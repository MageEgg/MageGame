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548" windowHeight="81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P000!$A$1:$AP$697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<sst xmlns="http://schemas.openxmlformats.org/spreadsheetml/2006/main" count="813">
  <si>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</si>
  <si>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</si>
  <si>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</si>
  <si>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</si>
  <si>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</si>
  <si>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</si>
  <si>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</si>
  <si>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</si>
  <si>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</si>
  <si>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</si>
  <si>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</si>
  <si>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</si>
  <si>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</si>
  <si>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</si>
  <si>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</si>
  <si>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</si>
  <si>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</si>
  <si>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</si>
  <si>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</si>
  <si>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</si>
  <si>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</si>
  <si>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</si>
  <si>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</si>
  <si>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</si>
  <si>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</si>
  <si>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</si>
  <si>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</si>
  <si>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</si>
  <si>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</si>
  <si>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</si>
  <si>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</si>
  <si>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</si>
  <si>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</si>
  <si>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</si>
  <si>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</si>
  <si>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</si>
  <si>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</si>
  <si>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</si>
  <si>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</si>
  <si>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</si>
  <si>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</si>
  <si>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</si>
  <si>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</si>
  <si>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</si>
  <si>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</si>
  <si>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</si>
  <si>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</si>
  <si>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</si>
  <si>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</si>
  <si>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</si>
  <si>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</si>
  <si>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</si>
  <si>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</si>
  <si>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</si>
  <si>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</si>
  <si>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</si>
  <si>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</si>
  <si>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</si>
  <si>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</si>
  <si>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</si>
  <si>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</si>
  <si>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</si>
  <si>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</si>
  <si>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</si>
  <si>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</si>
  <si>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</si>
  <si>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</si>
  <si>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</si>
  <si>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</si>
  <si>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</si>
  <si>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</si>
  <si>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</si>
  <si>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</si>
  <si>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</si>
  <si>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</si>
  <si>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</si>
  <si>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</si>
  <si>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</si>
  <si>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</si>
  <si>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</si>
  <si>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</si>
  <si>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</si>
  <si>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</si>
  <si>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</si>
  <si>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</si>
  <si>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</si>
  <si>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</si>
  <si>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</si>
  <si>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</si>
  <si>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</si>
  <si>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</si>
  <si>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</si>
  <si>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</si>
  <si>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</si>
  <si>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</si>
  <si>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</si>
  <si>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</si>
  <si>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</si>
  <si>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</si>
  <si>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</si>
  <si>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</si>
  <si>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</si>
  <si>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</si>
  <si>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</si>
  <si>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</si>
  <si>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</si>
  <si>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</si>
  <si>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</si>
  <si>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</si>
  <si>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</si>
  <si>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</si>
  <si>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</si>
  <si>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</si>
  <si>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</si>
  <si>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</si>
  <si>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</si>
  <si>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</si>
  <si>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</si>
  <si>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</si>
  <si>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</si>
  <si>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</si>
  <si>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</si>
  <si>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</si>
  <si>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</si>
  <si>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</si>
  <si>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</si>
  <si>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</si>
  <si>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</si>
  <si>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</si>
  <si>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</si>
  <si>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</si>
  <si>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</si>
  <si>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</si>
  <si>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</si>
  <si>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</si>
  <si>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</si>
  <si>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</si>
  <si>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</si>
  <si>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</si>
  <si>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</si>
  <si>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</si>
  <si>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</si>
  <si>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</si>
  <si>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</si>
  <si>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</si>
  <si>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</si>
  <si>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</si>
  <si>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</si>
  <si>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</si>
  <si>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</si>
  <si>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</si>
  <si>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</si>
  <si>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</si>
  <si>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</si>
  <si>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</si>
  <si>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</si>
  <si>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</si>
  <si>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</si>
  <si>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</si>
  <si>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</si>
  <si>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</si>
  <si>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</si>
  <si>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</si>
  <si>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</si>
  <si>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</si>
  <si>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</si>
  <si>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</si>
  <si>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</si>
  <si>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</si>
  <si>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  <scheme val="minor"/>
      </rP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charset val="134"/>
        <scheme val="minor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</si>
  <si>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</si>
  <si>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</si>
  <si>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</si>
  <si>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</si>
  <si>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</si>
  <si>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</si>
  <si>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</si>
  <si>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</si>
  <si>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</si>
  <si>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</si>
  <si>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</si>
  <si>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</si>
  <si>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</si>
  <si>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</si>
  <si>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</si>
  <si>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</si>
  <si>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</si>
  <si>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</si>
  <si>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</si>
  <si>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</si>
  <si>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</si>
  <si>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</si>
  <si>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</si>
  <si>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</si>
  <si>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</si>
  <si>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</si>
  <si>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</si>
  <si>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</si>
  <si>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</si>
  <si>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</si>
  <si>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</si>
  <si>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</si>
  <si>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</si>
  <si>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</si>
  <si>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</si>
  <si>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</si>
  <si>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</si>
  <si>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</si>
  <si>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</si>
  <si>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</si>
  <si>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</si>
  <si>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</si>
  <si>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</si>
  <si>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</si>
  <si>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</si>
  <si>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</si>
  <si>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</si>
  <si>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</si>
  <si>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</si>
  <si>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</si>
  <si>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</si>
  <si>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</si>
  <si>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</si>
  <si>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</si>
  <si>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</si>
  <si>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</si>
  <si>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</si>
  <si>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</si>
  <si>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</si>
  <si>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</si>
  <si>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</si>
  <si>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</si>
  <si>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</si>
  <si>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</si>
  <si>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</si>
  <si>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</si>
  <si>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</si>
  <si>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</si>
  <si>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</si>
  <si>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</si>
  <si>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</si>
  <si>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</si>
  <si>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</si>
  <si>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</si>
  <si>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</si>
  <si>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</si>
  <si>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</si>
  <si>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</si>
  <si>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</si>
  <si>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</si>
  <si>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</si>
  <si>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</si>
  <si>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</si>
  <si>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</si>
  <si>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</si>
  <si>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</si>
  <si>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</si>
  <si>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</si>
  <si>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</si>
  <si>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</si>
  <si>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</si>
  <si>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</si>
  <si>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</si>
  <si>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</si>
  <si>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</si>
  <si>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</si>
  <si>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</si>
  <si>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</si>
  <si>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</si>
  <si>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</si>
  <si>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</si>
  <si>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</si>
  <si>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</si>
  <si>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</si>
  <si>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</si>
  <si>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</si>
  <si>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</si>
  <si>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</si>
  <si>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</si>
  <si>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</si>
  <si>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</si>
  <si>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</si>
  <si>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</si>
  <si>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</si>
  <si>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</si>
  <si>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</si>
  <si>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</si>
  <si>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</si>
  <si>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</si>
  <si>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</si>
  <si>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</si>
  <si>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</si>
  <si>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</si>
  <si>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</si>
  <si>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</si>
  <si>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</si>
  <si>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</si>
  <si>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</si>
  <si>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</si>
  <si>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</si>
  <si>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</si>
  <si>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</si>
  <si>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</si>
  <si>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</si>
  <si>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</si>
  <si>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</si>
  <si>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</si>
  <si>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</si>
  <si>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</si>
  <si>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</si>
  <si>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</si>
  <si>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</si>
  <si>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</si>
  <si>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</si>
  <si>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</si>
  <si>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</si>
  <si>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</si>
  <si>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</si>
  <si>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</si>
  <si>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</si>
  <si>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</si>
  <si>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</si>
  <si>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</si>
  <si>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</si>
  <si>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</si>
  <si>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</si>
  <si>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</si>
  <si>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</si>
  <si>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</si>
  <si>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</si>
  <si>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</si>
  <si>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</si>
  <si>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</si>
  <si>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</si>
  <si>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</si>
  <si>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</si>
  <si>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</si>
  <si>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</si>
  <si>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</si>
  <si>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</si>
  <si>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</si>
  <si>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</si>
  <si>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</si>
  <si>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</si>
  <si>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</si>
  <si>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</si>
  <si>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</si>
  <si>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</si>
  <si>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</si>
  <si>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</si>
  <si>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</si>
  <si>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</si>
  <si>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</si>
  <si>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</si>
  <si>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</si>
  <si>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</si>
  <si>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</si>
  <si>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</si>
  <si>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</si>
  <si>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</si>
  <si>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</si>
  <si>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</si>
  <si>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</si>
  <si>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</si>
  <si>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</si>
  <si>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</si>
  <si>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</si>
  <si>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</si>
  <si>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</si>
  <si>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</si>
  <si>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</si>
  <si>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</si>
  <si>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</si>
  <si>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ID01</t>
  </si>
  <si>
    <t>完美的低级道果</t>
  </si>
  <si>
    <t>ReplaceableTextures\\CommandButtons\\BTNDG11.blp</t>
  </si>
  <si>
    <t>ID02</t>
  </si>
  <si>
    <t>完美的中级道果</t>
  </si>
  <si>
    <t>ReplaceableTextures\\CommandButtons\\BTNDG12.blp</t>
  </si>
  <si>
    <t>ID03</t>
  </si>
  <si>
    <t>|Cff00FF7F完美的高级道果|r</t>
  </si>
  <si>
    <t>ReplaceableTextures\\CommandButtons\\BTNDG13.blp</t>
  </si>
  <si>
    <t>ID04</t>
  </si>
  <si>
    <t>|Cff00FF7F完美的黄级道果|r</t>
  </si>
  <si>
    <t>ReplaceableTextures\\CommandButtons\\BTNDG14.blp</t>
  </si>
  <si>
    <t>ID05</t>
  </si>
  <si>
    <t>|Cff00BFFF完美的玄级道果|r</t>
  </si>
  <si>
    <t>ReplaceableTextures\\CommandButtons\\BTNDG15.blp</t>
  </si>
  <si>
    <t>ID06</t>
  </si>
  <si>
    <t>|Cff00BFFF完美的地级道果|r</t>
  </si>
  <si>
    <t>ReplaceableTextures\\CommandButtons\\BTNDG16.blp</t>
  </si>
  <si>
    <t>ID07</t>
  </si>
  <si>
    <t>|CffFFC926完美的天级道果|r</t>
  </si>
  <si>
    <t>ReplaceableTextures\\CommandButtons\\BTNDG17.blp</t>
  </si>
  <si>
    <t>ID08</t>
  </si>
  <si>
    <t>|CffFFC926完美的仙品道果|r</t>
  </si>
  <si>
    <t>ReplaceableTextures\\CommandButtons\\BTNDG18.blp</t>
  </si>
  <si>
    <t>ID09</t>
  </si>
  <si>
    <t>|CffFF0000完美的至圣道果|r</t>
  </si>
  <si>
    <t>ReplaceableTextures\\CommandButtons\\BTNDG19.blp</t>
  </si>
  <si>
    <t>ID10</t>
  </si>
  <si>
    <t>|CffFF0000完美的混沌道果|r</t>
  </si>
  <si>
    <t>ReplaceableTextures\\CommandButtons\\BTNDG20.blp</t>
  </si>
  <si>
    <t>ID11</t>
  </si>
  <si>
    <t>残缺的低级道果</t>
  </si>
  <si>
    <t>ReplaceableTextures\\CommandButtons\\BTNDG01.blp</t>
  </si>
  <si>
    <t>ID12</t>
  </si>
  <si>
    <t>残缺的中级道果</t>
  </si>
  <si>
    <t>ReplaceableTextures\\CommandButtons\\BTNDG02.blp</t>
  </si>
  <si>
    <t>ID13</t>
  </si>
  <si>
    <t>|Cff00FF7F残缺的高级道果|r</t>
  </si>
  <si>
    <t>ReplaceableTextures\\CommandButtons\\BTNDG03.blp</t>
  </si>
  <si>
    <t>ID14</t>
  </si>
  <si>
    <t>|Cff00FF7F残缺的黄级道果|r</t>
  </si>
  <si>
    <t>ReplaceableTextures\\CommandButtons\\BTNDG04.blp</t>
  </si>
  <si>
    <t>ID15</t>
  </si>
  <si>
    <t>|Cff00BFFF残缺的玄级道果|r</t>
  </si>
  <si>
    <t>ReplaceableTextures\\CommandButtons\\BTNDG05.blp</t>
  </si>
  <si>
    <t>ID16</t>
  </si>
  <si>
    <t>|Cff00BFFF残缺的地级道果|r</t>
  </si>
  <si>
    <t>ReplaceableTextures\\CommandButtons\\BTNDG06.blp</t>
  </si>
  <si>
    <t>ID17</t>
  </si>
  <si>
    <t>|CffFFC926残缺的天级道果|r</t>
  </si>
  <si>
    <t>ReplaceableTextures\\CommandButtons\\BTNDG07.blp</t>
  </si>
  <si>
    <t>ID18</t>
  </si>
  <si>
    <t>|CffFFC926残缺的仙品道果|r</t>
  </si>
  <si>
    <t>ReplaceableTextures\\CommandButtons\\BTNDG08.blp</t>
  </si>
  <si>
    <t>ID19</t>
  </si>
  <si>
    <t>|CffFF0000残缺的至圣道果|r</t>
  </si>
  <si>
    <t>ReplaceableTextures\\CommandButtons\\BTNDG09.blp</t>
  </si>
  <si>
    <t>ID20</t>
  </si>
  <si>
    <t>|CffFF0000残缺的混沌道果|r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</si>
  <si>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</si>
  <si>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</si>
  <si>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</si>
  <si>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</si>
  <si>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</si>
  <si>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</si>
  <si>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</si>
  <si>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</si>
  <si>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</si>
  <si>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</si>
  <si>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</si>
  <si>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</si>
  <si>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</si>
  <si>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</si>
  <si>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</si>
  <si>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</si>
  <si>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</si>
  <si>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</si>
  <si>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</si>
  <si>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</si>
  <si>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</si>
  <si>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</si>
  <si>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</si>
  <si>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</si>
  <si>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</si>
  <si>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</si>
  <si>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</si>
  <si>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</si>
  <si>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</si>
  <si>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</si>
  <si>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</si>
  <si>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</si>
  <si>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</si>
  <si>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|CFFFF8000招魂幡Lv1</t>
  </si>
  <si>
    <t>护甲|cFF99CC66+10|r|n金币加成|cFF99CC66+10%|r|n击杀1000个敌人后奖励|n|cffffff7000~12000|r金币|n|cFFCC99FF2000-5000|r业力|n|cff99ccff同时只能携带一个招魂幡</t>
  </si>
  <si>
    <t>I012</t>
  </si>
  <si>
    <t>|CFFFF8000招魂幡Lv2</t>
  </si>
  <si>
    <t>护甲|cFF99CC66+80|r|n金币加成|cFF99CC66+15%|r|n击杀1000个敌人后奖励|n|cffffff008000~13000|r金币|n|cFFCC99FF3000-6000|r业力|n|cff99ccff同时只能携带一个招魂幡</t>
  </si>
  <si>
    <t>I013</t>
  </si>
  <si>
    <t>|CFFFF8000招魂幡Lv3</t>
  </si>
  <si>
    <t>护甲|cFF99CC66+200|r|n金币加成|cFF99CC66+20%|r|n击杀1000个敌人后奖励|n|cffffff9000~14000|r金币|n|cFFCC99FF4000-7000|r业力|n|cff99ccff同时只能携带一个招魂幡</t>
  </si>
  <si>
    <t>I014</t>
  </si>
  <si>
    <t>|CFFFF8000招魂幡Lv4</t>
  </si>
  <si>
    <t>护甲|cFF99CC66+500|r|n金币加成|cFF99CC66+25%|r|n击杀1000个敌人后奖励|n|cffffff10000~15000|r金币|n|cFFCC99FF5000-8000|r业力|n|cff99ccff同时只能携带一个招魂幡</t>
  </si>
  <si>
    <t>I015</t>
  </si>
  <si>
    <t>|CFFFF8000招魂幡Lv5</t>
  </si>
  <si>
    <t>护甲|cFF99CC66+500|r|n金币加成|cFF99CC66+30%|r|n击杀1000个敌人后奖励|n|cffffff12000~17000|r金币|n|cFFCC99FF6000-9000|r业力|n|cff99ccff同时只能携带一个招魂幡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</si>
  <si>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</si>
  <si>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</si>
  <si>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</si>
  <si>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</si>
  <si>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</si>
  <si>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</si>
  <si>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</si>
  <si>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</si>
  <si>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</si>
  <si>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</si>
  <si>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</si>
  <si>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</si>
  <si>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</si>
  <si>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</si>
  <si>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</si>
  <si>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</si>
  <si>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</si>
  <si>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</si>
  <si>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</si>
  <si>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</si>
  <si>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</si>
  <si>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</si>
  <si>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</si>
  <si>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</si>
  <si>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</si>
  <si>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</si>
  <si>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</si>
  <si>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</si>
  <si>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</si>
  <si>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</si>
  <si>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</si>
  <si>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</si>
  <si>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</si>
  <si>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</si>
  <si>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</si>
  <si>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</si>
  <si>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</si>
  <si>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</si>
  <si>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</si>
  <si>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</si>
  <si>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</si>
  <si>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</si>
  <si>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</si>
  <si>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</si>
  <si>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</si>
  <si>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</si>
  <si>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</si>
  <si>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</si>
  <si>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</si>
  <si>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</si>
  <si>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</si>
  <si>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</si>
  <si>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</si>
  <si>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</si>
  <si>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</si>
  <si>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</si>
  <si>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</si>
  <si>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</si>
  <si>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</si>
  <si>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</si>
  <si>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</si>
  <si>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</si>
  <si>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</si>
  <si>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</si>
  <si>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</si>
  <si>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</si>
  <si>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</si>
  <si>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</si>
  <si>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</si>
  <si>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</si>
  <si>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</si>
  <si>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</si>
  <si>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</si>
  <si>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</si>
  <si>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</si>
  <si>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</si>
  <si>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</si>
  <si>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</si>
  <si>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</si>
  <si>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</si>
  <si>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</si>
  <si>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</si>
  <si>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</si>
  <si>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</si>
  <si>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</si>
  <si>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</si>
  <si>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</si>
  <si>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</si>
  <si>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</si>
  <si>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</si>
  <si>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</si>
  <si>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</si>
  <si>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</si>
  <si>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</si>
  <si>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</si>
  <si>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</si>
  <si>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</si>
  <si>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</si>
  <si>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</si>
  <si>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</si>
  <si>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</si>
  <si>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</si>
  <si>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</si>
  <si>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</si>
  <si>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</si>
  <si>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</si>
  <si>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</si>
  <si>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</si>
  <si>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</si>
  <si>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</si>
  <si>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</si>
  <si>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</si>
  <si>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</si>
  <si>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</si>
  <si>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</si>
  <si>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</si>
  <si>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</si>
  <si>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</si>
  <si>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</si>
  <si>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</si>
  <si>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</si>
  <si>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</si>
  <si>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</si>
  <si>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</si>
  <si>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</si>
  <si>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</si>
  <si>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</si>
  <si>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</si>
  <si>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</si>
  <si>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</si>
  <si>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</si>
  <si>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</si>
  <si>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</si>
  <si>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</si>
  <si>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</si>
  <si>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</si>
  <si>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</si>
  <si>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</si>
  <si>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</si>
  <si>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</si>
  <si>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</si>
  <si>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</si>
  <si>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</si>
  <si>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</si>
  <si>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</si>
  <si>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</si>
  <si>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</si>
  <si>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</si>
  <si>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</si>
  <si>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</si>
  <si>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</si>
  <si>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</si>
  <si>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</si>
  <si>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</si>
  <si>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</si>
  <si>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</si>
  <si>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</si>
  <si>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</si>
  <si>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</si>
  <si>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</si>
  <si>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</si>
  <si>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</si>
  <si>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</si>
  <si>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</si>
  <si>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</si>
  <si>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</si>
  <si>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</si>
  <si>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</si>
  <si>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</si>
  <si>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IS12</t>
  </si>
  <si>
    <t>|cffffcc00神兽抽取|r</t>
  </si>
  <si>
    <t>IS13</t>
  </si>
  <si>
    <t>项链升级</t>
  </si>
  <si>
    <t>IS14</t>
  </si>
  <si>
    <t>升级C</t>
  </si>
  <si>
    <t>IB01</t>
  </si>
  <si>
    <t>公众号礼包</t>
  </si>
  <si>
    <r>
      <rPr>
        <sz val="11"/>
        <color theme="1"/>
        <rFont val="等线"/>
        <charset val="134"/>
        <scheme val="minor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</si>
  <si>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</si>
  <si>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</si>
  <si>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  <scheme val="minor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</si>
  <si>
    <t>IB03</t>
  </si>
  <si>
    <t>拜年礼包</t>
  </si>
  <si>
    <r>
      <rPr>
        <sz val="11"/>
        <color theme="1"/>
        <rFont val="等线"/>
        <charset val="134"/>
        <scheme val="minor"/>
      </rPr>
      <t>|cff99ccff</t>
    </r>
    <r>
      <rPr>
        <sz val="11"/>
        <color theme="1"/>
        <rFont val="等线"/>
        <charset val="134"/>
        <scheme val="minor"/>
      </rPr>
      <t>给与地图有效评论建议</t>
    </r>
    <r>
      <rPr>
        <sz val="11"/>
        <color theme="1"/>
        <rFont val="等线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>即可领取：</t>
    </r>
    <r>
      <rPr>
        <sz val="11"/>
        <color theme="1"/>
        <rFont val="等线"/>
        <charset val="134"/>
        <scheme val="minor"/>
      </rPr>
      <t>|n|cffffff00</t>
    </r>
    <r>
      <rPr>
        <sz val="11"/>
        <color theme="1"/>
        <rFont val="等线"/>
        <charset val="134"/>
        <scheme val="minor"/>
      </rPr>
      <t>杀敌生命</t>
    </r>
    <r>
      <rPr>
        <sz val="11"/>
        <color theme="1"/>
        <rFont val="等线"/>
        <charset val="134"/>
        <scheme val="minor"/>
      </rPr>
      <t>+5|n</t>
    </r>
    <r>
      <rPr>
        <sz val="11"/>
        <color theme="1"/>
        <rFont val="等线"/>
        <charset val="134"/>
        <scheme val="minor"/>
      </rPr>
      <t>杀敌业力</t>
    </r>
    <r>
      <rPr>
        <sz val="11"/>
        <color theme="1"/>
        <rFont val="等线"/>
        <charset val="134"/>
        <scheme val="minor"/>
      </rPr>
      <t>+1|n|r|cffffcc33</t>
    </r>
    <r>
      <rPr>
        <sz val="11"/>
        <color theme="1"/>
        <rFont val="等线"/>
        <charset val="134"/>
        <scheme val="minor"/>
      </rPr>
      <t>每级通行证永久增加</t>
    </r>
    <r>
      <rPr>
        <sz val="11"/>
        <color theme="1"/>
        <rFont val="等线"/>
        <charset val="134"/>
        <scheme val="minor"/>
      </rPr>
      <t>3点杀敌生命</t>
    </r>
    <r>
      <rPr>
        <sz val="11"/>
        <color theme="1"/>
        <rFont val="等线"/>
        <charset val="134"/>
        <scheme val="minor"/>
      </rPr>
      <t>奖励！</t>
    </r>
    <r>
      <rPr>
        <sz val="11"/>
        <color theme="1"/>
        <rFont val="等线"/>
        <charset val="134"/>
        <scheme val="minor"/>
      </rPr>
      <t>|n|n|r|cff808080</t>
    </r>
    <r>
      <rPr>
        <sz val="11"/>
        <color theme="1"/>
        <rFont val="等线"/>
        <charset val="134"/>
        <scheme val="minor"/>
      </rPr>
      <t>地图等级达到</t>
    </r>
    <r>
      <rPr>
        <sz val="11"/>
        <color theme="1"/>
        <rFont val="等线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级可领取</t>
    </r>
    <r>
      <rPr>
        <sz val="11"/>
        <color theme="1"/>
        <rFont val="等线"/>
        <charset val="134"/>
        <scheme val="minor"/>
      </rPr>
      <t>|r</t>
    </r>
  </si>
  <si>
    <t>IB04</t>
  </si>
  <si>
    <t>收藏礼包</t>
  </si>
  <si>
    <r>
      <rPr>
        <sz val="11"/>
        <color theme="1"/>
        <rFont val="等线"/>
        <charset val="134"/>
        <scheme val="minor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</si>
  <si>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</si>
  <si>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</si>
  <si>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</si>
  <si>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</si>
  <si>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</si>
  <si>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</si>
  <si>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</si>
  <si>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</si>
  <si>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  <scheme val="minor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</si>
  <si>
    <t>IB08</t>
  </si>
  <si>
    <t>魔芝RPG礼包</t>
  </si>
  <si>
    <r>
      <rPr>
        <sz val="11"/>
        <color theme="1"/>
        <rFont val="等线"/>
        <charset val="134"/>
        <scheme val="minor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</si>
  <si>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</si>
  <si>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</si>
  <si>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  <scheme val="minor"/>
      </rPr>
      <t>IB5</t>
    </r>
    <r>
      <rPr>
        <sz val="11"/>
        <color theme="1"/>
        <rFont val="等线"/>
        <charset val="134"/>
        <scheme val="minor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</si>
  <si>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</si>
  <si>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</si>
  <si>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  <scheme val="minor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</si>
  <si>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</si>
  <si>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  <scheme val="minor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</si>
  <si>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</si>
  <si>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  <scheme val="minor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</si>
  <si>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</si>
  <si>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  <scheme val="minor"/>
      </rPr>
      <t>IB55</t>
    </r>
  </si>
  <si>
    <r>
      <rPr>
        <sz val="11"/>
        <color theme="1"/>
        <rFont val="等线"/>
        <charset val="134"/>
        <scheme val="minor"/>
      </rPr>
      <t>IB56</t>
    </r>
  </si>
  <si>
    <r>
      <rPr>
        <sz val="11"/>
        <color theme="1"/>
        <rFont val="等线"/>
        <charset val="134"/>
        <scheme val="minor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</si>
  <si>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</si>
  <si>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  <scheme val="minor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</si>
  <si>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</si>
  <si>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</si>
  <si>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</si>
  <si>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</si>
  <si>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</si>
  <si>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</si>
  <si>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</si>
  <si>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</si>
  <si>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</si>
  <si>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</si>
  <si>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</si>
  <si>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</si>
  <si>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</si>
  <si>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</si>
  <si>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</si>
  <si>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</si>
  <si>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</si>
  <si>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</si>
  <si>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</si>
  <si>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</si>
  <si>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</si>
  <si>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</si>
  <si>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</si>
  <si>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</si>
  <si>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</si>
  <si>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</si>
  <si>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</si>
  <si>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</si>
  <si>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</si>
  <si>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</si>
  <si>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</si>
  <si>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</si>
  <si>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</si>
  <si>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</si>
  <si>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</si>
  <si>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</si>
  <si>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</si>
  <si>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</si>
  <si>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</si>
  <si>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</si>
  <si>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</si>
  <si>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</si>
  <si>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</si>
  <si>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</si>
  <si>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</si>
  <si>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</si>
  <si>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</si>
  <si>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</si>
  <si>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</si>
  <si>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</si>
  <si>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</si>
  <si>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</si>
  <si>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</si>
  <si>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</si>
  <si>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</si>
  <si>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</si>
  <si>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</si>
  <si>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</si>
  <si>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</si>
  <si>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</si>
  <si>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</si>
  <si>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</si>
  <si>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</si>
  <si>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</si>
  <si>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</si>
  <si>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</si>
  <si>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</si>
  <si>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</si>
  <si>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</si>
  <si>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</si>
  <si>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</si>
  <si>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</si>
  <si>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</si>
  <si>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</si>
  <si>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</si>
  <si>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</si>
  <si>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</si>
  <si>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</si>
  <si>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</si>
  <si>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</si>
  <si>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</si>
  <si>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</si>
  <si>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</si>
  <si>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</si>
  <si>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</si>
  <si>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</si>
  <si>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</si>
  <si>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</si>
  <si>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</si>
  <si>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</si>
  <si>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</si>
  <si>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</si>
  <si>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</si>
  <si>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</si>
  <si>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</si>
  <si>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</si>
  <si>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</si>
  <si>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</si>
  <si>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</si>
  <si>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</si>
  <si>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</si>
  <si>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</si>
  <si>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</si>
  <si>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</si>
  <si>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</si>
  <si>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</si>
  <si>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</si>
  <si>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</si>
  <si>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</si>
  <si>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</si>
  <si>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</si>
  <si>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</si>
  <si>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</si>
  <si>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</si>
  <si>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</si>
  <si>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</si>
  <si>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</si>
  <si>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2总计</t>
    </r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</si>
  <si>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3总计</t>
    </r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</si>
</sst>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_ "/>
  </numFmts>
  <fonts count="3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color rgb="FF999999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4" fillId="13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6" borderId="19" applyNumberFormat="0" applyFont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7" fillId="12" borderId="17" applyNumberFormat="0" applyAlignment="0" applyProtection="0">
      <alignment vertical="center"/>
    </xf>
    <xf numFmtId="0" fontId="19" fillId="12" borderId="13" applyNumberFormat="0" applyAlignment="0" applyProtection="0">
      <alignment vertical="center"/>
    </xf>
    <xf numFmtId="0" fontId="25" fillId="14" borderId="15" applyNumberFormat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4" fillId="0" borderId="20" applyNumberFormat="0" applyFill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</cellStyleXfs>
  <cellXfs count="138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2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3" fillId="0" borderId="0" xfId="0" applyFont="1" applyAlignment="1">
      <alignment horizontal="left" vertical="center" wrapText="1"/>
    </xf>
    <xf numFmtId="0" fontId="9" fillId="0" borderId="0" xfId="0" applyFont="1"/>
    <xf numFmtId="0" fontId="14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1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5" fillId="0" borderId="0" xfId="0" applyFont="1"/>
    <xf numFmtId="0" fontId="11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6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3" fillId="3" borderId="9" xfId="0" applyFont="1" applyFill="1" applyBorder="1" applyAlignment="1"/>
    <xf numFmtId="0" fontId="13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7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8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1" xfId="32" applyFont="1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43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699"/>
  <sheetViews>
    <sheetView tabSelected="1" workbookViewId="0">
      <pane xSplit="8" ySplit="2" topLeftCell="I175" activePane="bottomRight" state="frozen"/>
      <selection/>
      <selection pane="topRight"/>
      <selection pane="bottomLeft"/>
      <selection pane="bottomRight" activeCell="M196" sqref="M196"/>
    </sheetView>
  </sheetViews>
  <sheetFormatPr defaultColWidth="9" defaultRowHeight="13.8"/>
  <cols>
    <col min="1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14" customWidth="1"/>
    <col min="10" max="10" width="18.6296296296296" customWidth="1"/>
    <col min="11" max="11" width="41" customWidth="1"/>
    <col min="12" max="12" width="9" style="3" customWidth="1"/>
    <col min="13" max="13" width="47.3796296296296" style="118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14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14"/>
    <col min="41" max="16384" width="9" style="3"/>
  </cols>
  <sheetData>
    <row r="1" s="114" customFormat="1" spans="1:42">
      <c r="A1" s="118"/>
      <c r="B1" s="114" t="s">
        <v>0</v>
      </c>
      <c r="C1" s="114" t="s">
        <v>1</v>
      </c>
      <c r="D1" s="114" t="s">
        <v>2</v>
      </c>
      <c r="E1" s="138" t="s">
        <v>3</v>
      </c>
      <c r="F1" s="114" t="s">
        <v>4</v>
      </c>
      <c r="G1" s="114" t="s">
        <v>5</v>
      </c>
      <c r="H1" s="114" t="s">
        <v>6</v>
      </c>
      <c r="I1" s="114" t="s">
        <v>7</v>
      </c>
      <c r="J1" s="115" t="s">
        <v>8</v>
      </c>
      <c r="K1" s="115" t="s">
        <v>9</v>
      </c>
      <c r="L1" s="114" t="s">
        <v>10</v>
      </c>
      <c r="M1" s="114" t="s">
        <v>11</v>
      </c>
      <c r="N1" s="114" t="s">
        <v>12</v>
      </c>
      <c r="O1" s="114" t="s">
        <v>13</v>
      </c>
      <c r="P1" s="114" t="s">
        <v>14</v>
      </c>
      <c r="Q1" s="114" t="s">
        <v>15</v>
      </c>
      <c r="R1" s="114" t="s">
        <v>16</v>
      </c>
      <c r="S1" s="114" t="s">
        <v>17</v>
      </c>
      <c r="T1" s="114" t="s">
        <v>18</v>
      </c>
      <c r="U1" s="114" t="s">
        <v>19</v>
      </c>
      <c r="V1" s="114" t="s">
        <v>20</v>
      </c>
      <c r="W1" s="114" t="s">
        <v>21</v>
      </c>
      <c r="X1" s="114" t="s">
        <v>22</v>
      </c>
      <c r="Y1" s="114" t="s">
        <v>23</v>
      </c>
      <c r="Z1" s="114" t="s">
        <v>24</v>
      </c>
      <c r="AA1" s="114" t="s">
        <v>25</v>
      </c>
      <c r="AB1" s="114" t="s">
        <v>26</v>
      </c>
      <c r="AC1" s="114" t="s">
        <v>27</v>
      </c>
      <c r="AD1" s="114" t="s">
        <v>28</v>
      </c>
      <c r="AE1" s="114" t="s">
        <v>29</v>
      </c>
      <c r="AF1" s="114" t="s">
        <v>30</v>
      </c>
      <c r="AG1" s="114" t="s">
        <v>31</v>
      </c>
      <c r="AH1" s="114" t="s">
        <v>32</v>
      </c>
      <c r="AI1" s="114" t="s">
        <v>33</v>
      </c>
      <c r="AJ1" s="115" t="s">
        <v>34</v>
      </c>
      <c r="AK1" s="114" t="s">
        <v>35</v>
      </c>
      <c r="AL1" s="114" t="s">
        <v>36</v>
      </c>
      <c r="AM1" s="114" t="s">
        <v>37</v>
      </c>
      <c r="AN1" s="114" t="s">
        <v>38</v>
      </c>
      <c r="AO1" s="114" t="s">
        <v>39</v>
      </c>
      <c r="AP1" s="115" t="s">
        <v>40</v>
      </c>
    </row>
    <row r="2" s="115" customFormat="1" ht="12.75" customHeight="1" spans="1:42">
      <c r="A2" s="119">
        <f>COUNTA(B:B)+1</f>
        <v>243</v>
      </c>
      <c r="C2" s="115" t="s">
        <v>41</v>
      </c>
      <c r="D2" s="115" t="s">
        <v>42</v>
      </c>
      <c r="E2" s="115" t="s">
        <v>43</v>
      </c>
      <c r="F2" s="115" t="s">
        <v>44</v>
      </c>
      <c r="G2" s="115" t="s">
        <v>45</v>
      </c>
      <c r="H2" s="115" t="s">
        <v>46</v>
      </c>
      <c r="I2" s="115" t="s">
        <v>47</v>
      </c>
      <c r="J2" s="115" t="s">
        <v>48</v>
      </c>
      <c r="K2" s="115" t="s">
        <v>49</v>
      </c>
      <c r="L2" s="115" t="s">
        <v>50</v>
      </c>
      <c r="M2" s="115" t="s">
        <v>51</v>
      </c>
      <c r="N2" s="115" t="s">
        <v>52</v>
      </c>
      <c r="O2" s="115" t="s">
        <v>53</v>
      </c>
      <c r="P2" s="115" t="s">
        <v>54</v>
      </c>
      <c r="Q2" s="115" t="s">
        <v>55</v>
      </c>
      <c r="R2" s="115" t="s">
        <v>56</v>
      </c>
      <c r="S2" s="115" t="s">
        <v>57</v>
      </c>
      <c r="T2" s="115" t="s">
        <v>58</v>
      </c>
      <c r="U2" s="115" t="s">
        <v>59</v>
      </c>
      <c r="V2" s="115" t="s">
        <v>60</v>
      </c>
      <c r="W2" s="115" t="s">
        <v>61</v>
      </c>
      <c r="X2" s="115" t="s">
        <v>62</v>
      </c>
      <c r="Y2" s="115" t="s">
        <v>63</v>
      </c>
      <c r="Z2" s="115" t="s">
        <v>64</v>
      </c>
      <c r="AA2" s="115" t="s">
        <v>65</v>
      </c>
      <c r="AB2" s="115" t="s">
        <v>66</v>
      </c>
      <c r="AC2" s="115" t="s">
        <v>67</v>
      </c>
      <c r="AD2" s="115" t="s">
        <v>68</v>
      </c>
      <c r="AE2" s="115" t="s">
        <v>69</v>
      </c>
      <c r="AF2" s="115" t="s">
        <v>70</v>
      </c>
      <c r="AG2" s="115" t="s">
        <v>71</v>
      </c>
      <c r="AH2" s="115" t="s">
        <v>72</v>
      </c>
      <c r="AI2" s="115" t="s">
        <v>73</v>
      </c>
      <c r="AJ2" s="115" t="s">
        <v>74</v>
      </c>
      <c r="AK2" s="115" t="s">
        <v>75</v>
      </c>
      <c r="AL2" s="115" t="s">
        <v>76</v>
      </c>
      <c r="AM2" s="115" t="s">
        <v>77</v>
      </c>
      <c r="AN2" s="115" t="s">
        <v>78</v>
      </c>
      <c r="AO2" s="115" t="s">
        <v>79</v>
      </c>
      <c r="AP2" s="115" t="s">
        <v>80</v>
      </c>
    </row>
    <row r="3" spans="1:42">
      <c r="A3" s="118"/>
      <c r="B3" s="8" t="str">
        <f>装备!B3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VLOOKUP(LEFT(RIGHT(B3,5),4),装备!B:CU,2,FALSE)</f>
        <v>[武器]古纹剑lv1</v>
      </c>
      <c r="I3" s="8" t="str">
        <f>VLOOKUP(B3,装备!B:CV,99,FALSE)</f>
        <v>|Cffbbbbbb属性：|r|n攻击+1000|n|n攻击10%概率附加|cffff4646业力*1|r魔法伤害|n|n|Cff00ff7f点击消耗800金币进行强化|n成功率100%</v>
      </c>
      <c r="J3" s="120" t="str">
        <f t="shared" ref="J3" si="0">H3</f>
        <v>[武器]古纹剑lv1</v>
      </c>
      <c r="K3" s="120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1" t="str">
        <f>VLOOKUP(LEFT(RIGHT(B3,5),4),装备!B:CU,20,FALSE)</f>
        <v>ReplaceableTextures\\CommandButtons\\BTNZ01.blp</v>
      </c>
      <c r="N3" s="138" t="s">
        <v>83</v>
      </c>
      <c r="O3" s="139" t="s">
        <v>84</v>
      </c>
      <c r="P3" s="8">
        <v>0</v>
      </c>
      <c r="Q3" s="8">
        <v>0</v>
      </c>
      <c r="R3" s="138" t="s">
        <v>83</v>
      </c>
      <c r="S3" s="138" t="s">
        <v>83</v>
      </c>
      <c r="T3" s="138" t="s">
        <v>83</v>
      </c>
      <c r="U3" s="138" t="s">
        <v>83</v>
      </c>
      <c r="V3" s="8"/>
      <c r="W3" s="8" t="s">
        <v>85</v>
      </c>
      <c r="X3" s="8">
        <v>0</v>
      </c>
      <c r="Y3" s="138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38" t="s">
        <v>83</v>
      </c>
      <c r="AF3" s="138" t="s">
        <v>83</v>
      </c>
      <c r="AG3" s="138" t="s">
        <v>83</v>
      </c>
      <c r="AH3" s="138" t="s">
        <v>83</v>
      </c>
      <c r="AI3" s="8"/>
      <c r="AJ3" s="8"/>
      <c r="AK3" s="8">
        <v>0</v>
      </c>
      <c r="AL3" s="8">
        <v>0</v>
      </c>
      <c r="AM3" s="138" t="s">
        <v>83</v>
      </c>
      <c r="AN3" s="8"/>
      <c r="AO3" s="8"/>
      <c r="AP3" s="8">
        <v>1</v>
      </c>
    </row>
    <row r="4" spans="1:42">
      <c r="A4" s="118"/>
      <c r="B4" s="8" t="str">
        <f>装备!B4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VLOOKUP(LEFT(RIGHT(B4,5),4),装备!B:CU,2,FALSE)</f>
        <v>[武器]古纹剑lv2</v>
      </c>
      <c r="I4" s="8" t="str">
        <f>VLOOKUP(B4,装备!B:CV,99,FALSE)</f>
        <v>|Cffbbbbbb属性：|r|n攻击+2500|n|n攻击10%概率附加|cffff4646业力*1|r魔法伤害|n|n|Cff00ff7f点击消耗800金币进行强化|n成功率100%</v>
      </c>
      <c r="J4" s="120" t="str">
        <f t="shared" ref="J4:J7" si="2">H4</f>
        <v>[武器]古纹剑lv2</v>
      </c>
      <c r="K4" s="120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1" t="str">
        <f>VLOOKUP(LEFT(RIGHT(B4,5),4),装备!B:CU,20,FALSE)</f>
        <v>ReplaceableTextures\\CommandButtons\\BTNZ01.blp</v>
      </c>
      <c r="N4" s="138" t="s">
        <v>83</v>
      </c>
      <c r="O4" s="139" t="s">
        <v>84</v>
      </c>
      <c r="P4" s="8">
        <v>0</v>
      </c>
      <c r="Q4" s="8">
        <v>0</v>
      </c>
      <c r="R4" s="138" t="s">
        <v>83</v>
      </c>
      <c r="S4" s="138" t="s">
        <v>83</v>
      </c>
      <c r="T4" s="138" t="s">
        <v>83</v>
      </c>
      <c r="U4" s="138" t="s">
        <v>83</v>
      </c>
      <c r="V4" s="8"/>
      <c r="W4" s="8" t="s">
        <v>85</v>
      </c>
      <c r="X4" s="8">
        <v>0</v>
      </c>
      <c r="Y4" s="138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38" t="s">
        <v>83</v>
      </c>
      <c r="AF4" s="138" t="s">
        <v>83</v>
      </c>
      <c r="AG4" s="138" t="s">
        <v>83</v>
      </c>
      <c r="AH4" s="138" t="s">
        <v>83</v>
      </c>
      <c r="AI4" s="8"/>
      <c r="AJ4" s="8"/>
      <c r="AK4" s="8">
        <v>0</v>
      </c>
      <c r="AL4" s="8">
        <v>0</v>
      </c>
      <c r="AM4" s="138" t="s">
        <v>83</v>
      </c>
      <c r="AN4" s="8"/>
      <c r="AO4" s="8"/>
      <c r="AP4" s="8">
        <v>1</v>
      </c>
    </row>
    <row r="5" spans="1:42">
      <c r="A5" s="118"/>
      <c r="B5" s="8" t="str">
        <f>装备!B5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VLOOKUP(LEFT(RIGHT(B5,5),4),装备!B:CU,2,FALSE)</f>
        <v>[武器]古纹剑lv3</v>
      </c>
      <c r="I5" s="8" t="str">
        <f>VLOOKUP(B5,装备!B:CV,99,FALSE)</f>
        <v>|Cffbbbbbb属性：|r|n攻击+4000|n|n攻击10%概率附加|cffff4646业力*1|r魔法伤害|n|n|Cff00ff7f点击消耗800金币进行强化|n成功率100%</v>
      </c>
      <c r="J5" s="120" t="str">
        <f t="shared" si="2"/>
        <v>[武器]古纹剑lv3</v>
      </c>
      <c r="K5" s="120" t="str">
        <f t="shared" si="3"/>
        <v>|Cffbbbbbb属性：|r|n攻击+4000|n|n攻击10%概率附加|cffff4646业力*1|r魔法伤害|n|n|Cff00ff7f点击消耗800金币进行强化|n成功率100%</v>
      </c>
      <c r="L5" s="8"/>
      <c r="M5" s="121" t="str">
        <f>VLOOKUP(LEFT(RIGHT(B5,5),4),装备!B:CU,20,FALSE)</f>
        <v>ReplaceableTextures\\CommandButtons\\BTNZ01.blp</v>
      </c>
      <c r="N5" s="138" t="s">
        <v>83</v>
      </c>
      <c r="O5" s="139" t="s">
        <v>84</v>
      </c>
      <c r="P5" s="8">
        <v>0</v>
      </c>
      <c r="Q5" s="8">
        <v>0</v>
      </c>
      <c r="R5" s="138" t="s">
        <v>83</v>
      </c>
      <c r="S5" s="138" t="s">
        <v>83</v>
      </c>
      <c r="T5" s="138" t="s">
        <v>83</v>
      </c>
      <c r="U5" s="138" t="s">
        <v>83</v>
      </c>
      <c r="V5" s="8"/>
      <c r="W5" s="8" t="s">
        <v>85</v>
      </c>
      <c r="X5" s="8">
        <v>0</v>
      </c>
      <c r="Y5" s="138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38" t="s">
        <v>83</v>
      </c>
      <c r="AF5" s="138" t="s">
        <v>83</v>
      </c>
      <c r="AG5" s="138" t="s">
        <v>83</v>
      </c>
      <c r="AH5" s="138" t="s">
        <v>83</v>
      </c>
      <c r="AI5" s="8"/>
      <c r="AJ5" s="8"/>
      <c r="AK5" s="8">
        <v>0</v>
      </c>
      <c r="AL5" s="8">
        <v>0</v>
      </c>
      <c r="AM5" s="138" t="s">
        <v>83</v>
      </c>
      <c r="AN5" s="8"/>
      <c r="AO5" s="8"/>
      <c r="AP5" s="8">
        <v>1</v>
      </c>
    </row>
    <row r="6" spans="1:42">
      <c r="A6" s="118"/>
      <c r="B6" s="8" t="str">
        <f>装备!B6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VLOOKUP(LEFT(RIGHT(B6,5),4),装备!B:CU,2,FALSE)</f>
        <v>[武器]古纹剑lv4</v>
      </c>
      <c r="I6" s="8" t="str">
        <f>VLOOKUP(B6,装备!B:CV,99,FALSE)</f>
        <v>|Cffbbbbbb属性：|r|n攻击+6000|n|n攻击10%概率附加|cffff4646业力*1|r魔法伤害|n|n|Cff00ff7f点击消耗800金币进行强化|n成功率100%</v>
      </c>
      <c r="J6" s="120" t="str">
        <f t="shared" si="2"/>
        <v>[武器]古纹剑lv4</v>
      </c>
      <c r="K6" s="120" t="str">
        <f t="shared" si="3"/>
        <v>|Cffbbbbbb属性：|r|n攻击+6000|n|n攻击10%概率附加|cffff4646业力*1|r魔法伤害|n|n|Cff00ff7f点击消耗800金币进行强化|n成功率100%</v>
      </c>
      <c r="L6" s="8"/>
      <c r="M6" s="121" t="str">
        <f>VLOOKUP(LEFT(RIGHT(B6,5),4),装备!B:CU,20,FALSE)</f>
        <v>ReplaceableTextures\\CommandButtons\\BTNZ01.blp</v>
      </c>
      <c r="N6" s="138" t="s">
        <v>83</v>
      </c>
      <c r="O6" s="139" t="s">
        <v>84</v>
      </c>
      <c r="P6" s="8">
        <v>0</v>
      </c>
      <c r="Q6" s="8">
        <v>0</v>
      </c>
      <c r="R6" s="138" t="s">
        <v>83</v>
      </c>
      <c r="S6" s="138" t="s">
        <v>83</v>
      </c>
      <c r="T6" s="138" t="s">
        <v>83</v>
      </c>
      <c r="U6" s="138" t="s">
        <v>83</v>
      </c>
      <c r="V6" s="8"/>
      <c r="W6" s="8" t="s">
        <v>85</v>
      </c>
      <c r="X6" s="8">
        <v>0</v>
      </c>
      <c r="Y6" s="138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38" t="s">
        <v>83</v>
      </c>
      <c r="AF6" s="138" t="s">
        <v>83</v>
      </c>
      <c r="AG6" s="138" t="s">
        <v>83</v>
      </c>
      <c r="AH6" s="138" t="s">
        <v>83</v>
      </c>
      <c r="AI6" s="8"/>
      <c r="AJ6" s="8"/>
      <c r="AK6" s="8">
        <v>0</v>
      </c>
      <c r="AL6" s="8">
        <v>0</v>
      </c>
      <c r="AM6" s="138" t="s">
        <v>83</v>
      </c>
      <c r="AN6" s="8"/>
      <c r="AO6" s="8"/>
      <c r="AP6" s="8">
        <v>1</v>
      </c>
    </row>
    <row r="7" spans="1:42">
      <c r="A7" s="118"/>
      <c r="B7" s="8" t="str">
        <f>装备!B7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VLOOKUP(LEFT(RIGHT(B7,5),4),装备!B:CU,2,FALSE)</f>
        <v>[武器]古纹剑lv5</v>
      </c>
      <c r="I7" s="8" t="str">
        <f>VLOOKUP(B7,装备!B:CV,99,FALSE)</f>
        <v>|Cffbbbbbb属性：|r|n攻击+8000|n|n攻击10%概率附加|cffff4646业力*1|r魔法伤害|n|n|Cff00ff7f点击消耗2500金币进行晋阶挑战</v>
      </c>
      <c r="J7" s="120" t="str">
        <f t="shared" si="2"/>
        <v>[武器]古纹剑lv5</v>
      </c>
      <c r="K7" s="120" t="str">
        <f t="shared" si="3"/>
        <v>|Cffbbbbbb属性：|r|n攻击+8000|n|n攻击10%概率附加|cffff4646业力*1|r魔法伤害|n|n|Cff00ff7f点击消耗2500金币进行晋阶挑战</v>
      </c>
      <c r="L7" s="8"/>
      <c r="M7" s="121" t="str">
        <f>VLOOKUP(LEFT(RIGHT(B7,5),4),装备!B:CU,20,FALSE)</f>
        <v>ReplaceableTextures\\CommandButtons\\BTNZ01.blp</v>
      </c>
      <c r="N7" s="138" t="s">
        <v>83</v>
      </c>
      <c r="O7" s="139" t="s">
        <v>84</v>
      </c>
      <c r="P7" s="8">
        <v>0</v>
      </c>
      <c r="Q7" s="8">
        <v>0</v>
      </c>
      <c r="R7" s="138" t="s">
        <v>83</v>
      </c>
      <c r="S7" s="138" t="s">
        <v>83</v>
      </c>
      <c r="T7" s="138" t="s">
        <v>83</v>
      </c>
      <c r="U7" s="138" t="s">
        <v>83</v>
      </c>
      <c r="V7" s="8"/>
      <c r="W7" s="8" t="s">
        <v>85</v>
      </c>
      <c r="X7" s="8">
        <v>0</v>
      </c>
      <c r="Y7" s="138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38" t="s">
        <v>83</v>
      </c>
      <c r="AF7" s="138" t="s">
        <v>83</v>
      </c>
      <c r="AG7" s="138" t="s">
        <v>83</v>
      </c>
      <c r="AH7" s="138" t="s">
        <v>83</v>
      </c>
      <c r="AI7" s="8"/>
      <c r="AJ7" s="8"/>
      <c r="AK7" s="8">
        <v>0</v>
      </c>
      <c r="AL7" s="8">
        <v>0</v>
      </c>
      <c r="AM7" s="138" t="s">
        <v>83</v>
      </c>
      <c r="AN7" s="8"/>
      <c r="AO7" s="8"/>
      <c r="AP7" s="8">
        <v>1</v>
      </c>
    </row>
    <row r="8" spans="1:42">
      <c r="A8" s="118"/>
      <c r="B8" s="8" t="str">
        <f>装备!B8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VLOOKUP(LEFT(RIGHT(B8,5),4),装备!B:CU,2,FALSE)</f>
        <v>|Cff00FF7F[武器]鱼肠剑lv1|r</v>
      </c>
      <c r="I8" s="8" t="str">
        <f>VLOOKUP(B8,装备!B:CV,99,FALSE)</f>
        <v>|Cffbbbbbb属性：|r|n攻击+12000|n业力+4000|n暴击+5%|n暴伤+100%|n伤害吸取+1%|n|n攻击10%概率附加|cffff4646业力*1|r魔法伤害|n|n|Cff00ff7f点击消耗2500金币进行强化|n成功率85%</v>
      </c>
      <c r="J8" s="120" t="str">
        <f t="shared" ref="J8:J18" si="4">H8</f>
        <v>|Cff00FF7F[武器]鱼肠剑lv1|r</v>
      </c>
      <c r="K8" s="120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1" t="str">
        <f>VLOOKUP(LEFT(RIGHT(B8,5),4),装备!B:CU,20,FALSE)</f>
        <v>ReplaceableTextures\\CommandButtons\\BTNZ02.blp</v>
      </c>
      <c r="N8" s="138" t="s">
        <v>83</v>
      </c>
      <c r="O8" s="139" t="s">
        <v>84</v>
      </c>
      <c r="P8" s="8">
        <v>0</v>
      </c>
      <c r="Q8" s="8">
        <v>0</v>
      </c>
      <c r="R8" s="138" t="s">
        <v>83</v>
      </c>
      <c r="S8" s="138" t="s">
        <v>83</v>
      </c>
      <c r="T8" s="138" t="s">
        <v>83</v>
      </c>
      <c r="U8" s="138" t="s">
        <v>83</v>
      </c>
      <c r="V8" s="8"/>
      <c r="W8" s="8" t="s">
        <v>85</v>
      </c>
      <c r="X8" s="8">
        <v>0</v>
      </c>
      <c r="Y8" s="138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38" t="s">
        <v>83</v>
      </c>
      <c r="AF8" s="138" t="s">
        <v>83</v>
      </c>
      <c r="AG8" s="138" t="s">
        <v>83</v>
      </c>
      <c r="AH8" s="138" t="s">
        <v>83</v>
      </c>
      <c r="AI8" s="8"/>
      <c r="AJ8" s="8"/>
      <c r="AK8" s="8">
        <v>0</v>
      </c>
      <c r="AL8" s="8">
        <v>0</v>
      </c>
      <c r="AM8" s="138" t="s">
        <v>83</v>
      </c>
      <c r="AN8" s="8"/>
      <c r="AO8" s="8"/>
      <c r="AP8" s="8">
        <v>1</v>
      </c>
    </row>
    <row r="9" spans="1:42">
      <c r="A9" s="118"/>
      <c r="B9" s="8" t="str">
        <f>装备!B9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VLOOKUP(LEFT(RIGHT(B9,5),4),装备!B:CU,2,FALSE)</f>
        <v>|Cff00FF7F[武器]鱼肠剑lv2|r</v>
      </c>
      <c r="I9" s="8" t="str">
        <f>VLOOKUP(B9,装备!B:CV,99,FALSE)</f>
        <v>|Cffbbbbbb属性：|r|n攻击+16000|n暴击+5%|n暴伤+100%|n伤害吸取+1%|n|n攻击10%概率附加|cffff4646业力*1|r魔法伤害|n|n|Cff00ff7f点击消耗2500金币进行强化|n成功率85%</v>
      </c>
      <c r="J9" s="120" t="str">
        <f t="shared" si="4"/>
        <v>|Cff00FF7F[武器]鱼肠剑lv2|r</v>
      </c>
      <c r="K9" s="120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1" t="str">
        <f>VLOOKUP(LEFT(RIGHT(B9,5),4),装备!B:CU,20,FALSE)</f>
        <v>ReplaceableTextures\\CommandButtons\\BTNZ02.blp</v>
      </c>
      <c r="N9" s="138" t="s">
        <v>83</v>
      </c>
      <c r="O9" s="139" t="s">
        <v>84</v>
      </c>
      <c r="P9" s="8">
        <v>0</v>
      </c>
      <c r="Q9" s="8">
        <v>0</v>
      </c>
      <c r="R9" s="138" t="s">
        <v>83</v>
      </c>
      <c r="S9" s="138" t="s">
        <v>83</v>
      </c>
      <c r="T9" s="138" t="s">
        <v>83</v>
      </c>
      <c r="U9" s="138" t="s">
        <v>83</v>
      </c>
      <c r="V9" s="8"/>
      <c r="W9" s="8" t="s">
        <v>85</v>
      </c>
      <c r="X9" s="8">
        <v>0</v>
      </c>
      <c r="Y9" s="138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38" t="s">
        <v>83</v>
      </c>
      <c r="AF9" s="138" t="s">
        <v>83</v>
      </c>
      <c r="AG9" s="138" t="s">
        <v>83</v>
      </c>
      <c r="AH9" s="138" t="s">
        <v>83</v>
      </c>
      <c r="AI9" s="8"/>
      <c r="AJ9" s="8"/>
      <c r="AK9" s="8">
        <v>0</v>
      </c>
      <c r="AL9" s="8">
        <v>0</v>
      </c>
      <c r="AM9" s="138" t="s">
        <v>83</v>
      </c>
      <c r="AN9" s="8"/>
      <c r="AO9" s="8"/>
      <c r="AP9" s="8">
        <v>1</v>
      </c>
    </row>
    <row r="10" spans="1:42">
      <c r="A10" s="118"/>
      <c r="B10" s="8" t="str">
        <f>装备!B10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VLOOKUP(LEFT(RIGHT(B10,5),4),装备!B:CU,2,FALSE)</f>
        <v>|Cff00FF7F[武器]鱼肠剑lv3|r</v>
      </c>
      <c r="I10" s="8" t="str">
        <f>VLOOKUP(B10,装备!B:CV,99,FALSE)</f>
        <v>|Cffbbbbbb属性：|r|n攻击+20000|n暴击+5%|n暴伤+100%|n伤害吸取+2%|n|n攻击10%概率附加|cffff4646业力*1|r魔法伤害|n|n|Cff00ff7f点击消耗2500金币进行强化|n成功率85%</v>
      </c>
      <c r="J10" s="120" t="str">
        <f t="shared" si="4"/>
        <v>|Cff00FF7F[武器]鱼肠剑lv3|r</v>
      </c>
      <c r="K10" s="120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1" t="str">
        <f>VLOOKUP(LEFT(RIGHT(B10,5),4),装备!B:CU,20,FALSE)</f>
        <v>ReplaceableTextures\\CommandButtons\\BTNZ02.blp</v>
      </c>
      <c r="N10" s="138" t="s">
        <v>83</v>
      </c>
      <c r="O10" s="139" t="s">
        <v>84</v>
      </c>
      <c r="P10" s="8">
        <v>0</v>
      </c>
      <c r="Q10" s="8">
        <v>0</v>
      </c>
      <c r="R10" s="138" t="s">
        <v>83</v>
      </c>
      <c r="S10" s="138" t="s">
        <v>83</v>
      </c>
      <c r="T10" s="138" t="s">
        <v>83</v>
      </c>
      <c r="U10" s="138" t="s">
        <v>83</v>
      </c>
      <c r="V10" s="8"/>
      <c r="W10" s="8" t="s">
        <v>85</v>
      </c>
      <c r="X10" s="8">
        <v>0</v>
      </c>
      <c r="Y10" s="138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38" t="s">
        <v>83</v>
      </c>
      <c r="AF10" s="138" t="s">
        <v>83</v>
      </c>
      <c r="AG10" s="138" t="s">
        <v>83</v>
      </c>
      <c r="AH10" s="138" t="s">
        <v>83</v>
      </c>
      <c r="AI10" s="8"/>
      <c r="AJ10" s="8"/>
      <c r="AK10" s="8">
        <v>0</v>
      </c>
      <c r="AL10" s="8">
        <v>0</v>
      </c>
      <c r="AM10" s="138" t="s">
        <v>83</v>
      </c>
      <c r="AN10" s="8"/>
      <c r="AO10" s="8"/>
      <c r="AP10" s="8">
        <v>1</v>
      </c>
    </row>
    <row r="11" spans="1:42">
      <c r="A11" s="118"/>
      <c r="B11" s="8" t="str">
        <f>装备!B11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VLOOKUP(LEFT(RIGHT(B11,5),4),装备!B:CU,2,FALSE)</f>
        <v>|Cff00FF7F[武器]鱼肠剑lv4|r</v>
      </c>
      <c r="I11" s="8" t="str">
        <f>VLOOKUP(B11,装备!B:CV,99,FALSE)</f>
        <v>|Cffbbbbbb属性：|r|n攻击+24000|n暴击+5%|n暴伤+100%|n伤害吸取+2%|n|n攻击10%概率附加|cffff4646业力*1|r魔法伤害|n|n|Cff00ff7f点击消耗2500金币进行强化|n成功率85%</v>
      </c>
      <c r="J11" s="120" t="str">
        <f t="shared" si="4"/>
        <v>|Cff00FF7F[武器]鱼肠剑lv4|r</v>
      </c>
      <c r="K11" s="120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1" t="str">
        <f>VLOOKUP(LEFT(RIGHT(B11,5),4),装备!B:CU,20,FALSE)</f>
        <v>ReplaceableTextures\\CommandButtons\\BTNZ02.blp</v>
      </c>
      <c r="N11" s="138" t="s">
        <v>83</v>
      </c>
      <c r="O11" s="139" t="s">
        <v>84</v>
      </c>
      <c r="P11" s="8">
        <v>0</v>
      </c>
      <c r="Q11" s="8">
        <v>0</v>
      </c>
      <c r="R11" s="138" t="s">
        <v>83</v>
      </c>
      <c r="S11" s="138" t="s">
        <v>83</v>
      </c>
      <c r="T11" s="138" t="s">
        <v>83</v>
      </c>
      <c r="U11" s="138" t="s">
        <v>83</v>
      </c>
      <c r="V11" s="8"/>
      <c r="W11" s="8" t="s">
        <v>85</v>
      </c>
      <c r="X11" s="8">
        <v>0</v>
      </c>
      <c r="Y11" s="138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38" t="s">
        <v>83</v>
      </c>
      <c r="AF11" s="138" t="s">
        <v>83</v>
      </c>
      <c r="AG11" s="138" t="s">
        <v>83</v>
      </c>
      <c r="AH11" s="138" t="s">
        <v>83</v>
      </c>
      <c r="AI11" s="8"/>
      <c r="AJ11" s="8"/>
      <c r="AK11" s="8">
        <v>0</v>
      </c>
      <c r="AL11" s="8">
        <v>0</v>
      </c>
      <c r="AM11" s="138" t="s">
        <v>83</v>
      </c>
      <c r="AN11" s="8"/>
      <c r="AO11" s="8"/>
      <c r="AP11" s="8">
        <v>1</v>
      </c>
    </row>
    <row r="12" spans="1:42">
      <c r="A12" s="118"/>
      <c r="B12" s="8" t="str">
        <f>装备!B12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VLOOKUP(LEFT(RIGHT(B12,5),4),装备!B:CU,2,FALSE)</f>
        <v>|Cff00FF7F[武器]鱼肠剑lv5|r</v>
      </c>
      <c r="I12" s="8" t="str">
        <f>VLOOKUP(B12,装备!B:CV,99,FALSE)</f>
        <v>|Cffbbbbbb属性：|r|n攻击+28000|n暴击+5%|n暴伤+100%|n伤害吸取+2%|n|n攻击10%概率附加|cffff4646业力*1|r魔法伤害|n|n|Cff00ff7f点击消耗10000金币进行晋阶挑战</v>
      </c>
      <c r="J12" s="120" t="str">
        <f t="shared" si="4"/>
        <v>|Cff00FF7F[武器]鱼肠剑lv5|r</v>
      </c>
      <c r="K12" s="120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1" t="str">
        <f>VLOOKUP(LEFT(RIGHT(B12,5),4),装备!B:CU,20,FALSE)</f>
        <v>ReplaceableTextures\\CommandButtons\\BTNZ02.blp</v>
      </c>
      <c r="N12" s="138" t="s">
        <v>83</v>
      </c>
      <c r="O12" s="139" t="s">
        <v>84</v>
      </c>
      <c r="P12" s="8">
        <v>0</v>
      </c>
      <c r="Q12" s="8">
        <v>0</v>
      </c>
      <c r="R12" s="138" t="s">
        <v>83</v>
      </c>
      <c r="S12" s="138" t="s">
        <v>83</v>
      </c>
      <c r="T12" s="138" t="s">
        <v>83</v>
      </c>
      <c r="U12" s="138" t="s">
        <v>83</v>
      </c>
      <c r="V12" s="8"/>
      <c r="W12" s="8" t="s">
        <v>85</v>
      </c>
      <c r="X12" s="8">
        <v>0</v>
      </c>
      <c r="Y12" s="138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38" t="s">
        <v>83</v>
      </c>
      <c r="AF12" s="138" t="s">
        <v>83</v>
      </c>
      <c r="AG12" s="138" t="s">
        <v>83</v>
      </c>
      <c r="AH12" s="138" t="s">
        <v>83</v>
      </c>
      <c r="AI12" s="8"/>
      <c r="AJ12" s="8"/>
      <c r="AK12" s="8">
        <v>0</v>
      </c>
      <c r="AL12" s="8">
        <v>0</v>
      </c>
      <c r="AM12" s="138" t="s">
        <v>83</v>
      </c>
      <c r="AN12" s="8"/>
      <c r="AO12" s="8"/>
      <c r="AP12" s="8">
        <v>1</v>
      </c>
    </row>
    <row r="13" spans="1:42">
      <c r="A13" s="118"/>
      <c r="B13" s="8" t="str">
        <f>装备!B13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VLOOKUP(LEFT(RIGHT(B13,5),4),装备!B:CU,2,FALSE)</f>
        <v>|Cff00BFFF[武器]太阿剑lv1|r</v>
      </c>
      <c r="I13" s="8" t="str">
        <f>VLOOKUP(B13,装备!B:CV,99,FALSE)</f>
        <v>|Cffbbbbbb属性：|r|n攻击+60000|n业力+32000|n暴击+6%|n暴伤+200%|n伤害吸取+3%|n|n攻击10%概率附加|cffff4646业力*1|r魔法伤害|n|n|Cff00ff7f点击消耗8000金币进行强化|n成功率70%</v>
      </c>
      <c r="J13" s="120" t="str">
        <f t="shared" si="4"/>
        <v>|Cff00BFFF[武器]太阿剑lv1|r</v>
      </c>
      <c r="K13" s="120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1" t="str">
        <f>VLOOKUP(LEFT(RIGHT(B13,5),4),装备!B:CU,20,FALSE)</f>
        <v>ReplaceableTextures\\CommandButtons\\BTNZ03.blp</v>
      </c>
      <c r="N13" s="138" t="s">
        <v>83</v>
      </c>
      <c r="O13" s="139" t="s">
        <v>84</v>
      </c>
      <c r="P13" s="8">
        <v>0</v>
      </c>
      <c r="Q13" s="8">
        <v>0</v>
      </c>
      <c r="R13" s="138" t="s">
        <v>83</v>
      </c>
      <c r="S13" s="138" t="s">
        <v>83</v>
      </c>
      <c r="T13" s="138" t="s">
        <v>83</v>
      </c>
      <c r="U13" s="138" t="s">
        <v>83</v>
      </c>
      <c r="V13" s="8"/>
      <c r="W13" s="8" t="s">
        <v>85</v>
      </c>
      <c r="X13" s="8">
        <v>0</v>
      </c>
      <c r="Y13" s="138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38" t="s">
        <v>83</v>
      </c>
      <c r="AF13" s="138" t="s">
        <v>83</v>
      </c>
      <c r="AG13" s="138" t="s">
        <v>83</v>
      </c>
      <c r="AH13" s="138" t="s">
        <v>83</v>
      </c>
      <c r="AI13" s="8"/>
      <c r="AJ13" s="8"/>
      <c r="AK13" s="8">
        <v>0</v>
      </c>
      <c r="AL13" s="8">
        <v>0</v>
      </c>
      <c r="AM13" s="138" t="s">
        <v>83</v>
      </c>
      <c r="AN13" s="8"/>
      <c r="AO13" s="8"/>
      <c r="AP13" s="8">
        <v>1</v>
      </c>
    </row>
    <row r="14" spans="1:42">
      <c r="A14" s="118"/>
      <c r="B14" s="8" t="str">
        <f>装备!B14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VLOOKUP(LEFT(RIGHT(B14,5),4),装备!B:CU,2,FALSE)</f>
        <v>|Cff00BFFF[武器]太阿剑lv2|r</v>
      </c>
      <c r="I14" s="8" t="str">
        <f>VLOOKUP(B14,装备!B:CV,99,FALSE)</f>
        <v>|Cffbbbbbb属性：|r|n攻击+80000|n暴击+6%|n暴伤+200%|n伤害吸取+3%|n|n攻击10%概率附加|cffff4646业力*1|r魔法伤害|n|n|Cff00ff7f点击消耗8000金币进行强化|n成功率70%</v>
      </c>
      <c r="J14" s="120" t="str">
        <f t="shared" si="4"/>
        <v>|Cff00BFFF[武器]太阿剑lv2|r</v>
      </c>
      <c r="K14" s="120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1" t="str">
        <f>VLOOKUP(LEFT(RIGHT(B14,5),4),装备!B:CU,20,FALSE)</f>
        <v>ReplaceableTextures\\CommandButtons\\BTNZ03.blp</v>
      </c>
      <c r="N14" s="138" t="s">
        <v>83</v>
      </c>
      <c r="O14" s="139" t="s">
        <v>84</v>
      </c>
      <c r="P14" s="8">
        <v>0</v>
      </c>
      <c r="Q14" s="8">
        <v>0</v>
      </c>
      <c r="R14" s="138" t="s">
        <v>83</v>
      </c>
      <c r="S14" s="138" t="s">
        <v>83</v>
      </c>
      <c r="T14" s="138" t="s">
        <v>83</v>
      </c>
      <c r="U14" s="138" t="s">
        <v>83</v>
      </c>
      <c r="V14" s="8"/>
      <c r="W14" s="8" t="s">
        <v>85</v>
      </c>
      <c r="X14" s="8">
        <v>0</v>
      </c>
      <c r="Y14" s="138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38" t="s">
        <v>83</v>
      </c>
      <c r="AF14" s="138" t="s">
        <v>83</v>
      </c>
      <c r="AG14" s="138" t="s">
        <v>83</v>
      </c>
      <c r="AH14" s="138" t="s">
        <v>83</v>
      </c>
      <c r="AI14" s="8"/>
      <c r="AJ14" s="8"/>
      <c r="AK14" s="8">
        <v>0</v>
      </c>
      <c r="AL14" s="8">
        <v>0</v>
      </c>
      <c r="AM14" s="138" t="s">
        <v>83</v>
      </c>
      <c r="AN14" s="8"/>
      <c r="AO14" s="8"/>
      <c r="AP14" s="8">
        <v>1</v>
      </c>
    </row>
    <row r="15" spans="1:42">
      <c r="A15" s="118"/>
      <c r="B15" s="8" t="str">
        <f>装备!B15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VLOOKUP(LEFT(RIGHT(B15,5),4),装备!B:CU,2,FALSE)</f>
        <v>|Cff00BFFF[武器]太阿剑lv3|r</v>
      </c>
      <c r="I15" s="8" t="str">
        <f>VLOOKUP(B15,装备!B:CV,99,FALSE)</f>
        <v>|Cffbbbbbb属性：|r|n攻击+100000|n暴击+6%|n暴伤+200%|n伤害吸取+3%|n|n攻击10%概率附加|cffff4646业力*1|r魔法伤害|n|n|Cff00ff7f点击消耗8000金币进行强化|n成功率70%</v>
      </c>
      <c r="J15" s="120" t="str">
        <f t="shared" si="4"/>
        <v>|Cff00BFFF[武器]太阿剑lv3|r</v>
      </c>
      <c r="K15" s="120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1" t="str">
        <f>VLOOKUP(LEFT(RIGHT(B15,5),4),装备!B:CU,20,FALSE)</f>
        <v>ReplaceableTextures\\CommandButtons\\BTNZ03.blp</v>
      </c>
      <c r="N15" s="138" t="s">
        <v>83</v>
      </c>
      <c r="O15" s="139" t="s">
        <v>84</v>
      </c>
      <c r="P15" s="8">
        <v>0</v>
      </c>
      <c r="Q15" s="8">
        <v>0</v>
      </c>
      <c r="R15" s="138" t="s">
        <v>83</v>
      </c>
      <c r="S15" s="138" t="s">
        <v>83</v>
      </c>
      <c r="T15" s="138" t="s">
        <v>83</v>
      </c>
      <c r="U15" s="138" t="s">
        <v>83</v>
      </c>
      <c r="V15" s="8"/>
      <c r="W15" s="8" t="s">
        <v>85</v>
      </c>
      <c r="X15" s="8">
        <v>0</v>
      </c>
      <c r="Y15" s="138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38" t="s">
        <v>83</v>
      </c>
      <c r="AF15" s="138" t="s">
        <v>83</v>
      </c>
      <c r="AG15" s="138" t="s">
        <v>83</v>
      </c>
      <c r="AH15" s="138" t="s">
        <v>83</v>
      </c>
      <c r="AI15" s="8"/>
      <c r="AJ15" s="8"/>
      <c r="AK15" s="8">
        <v>0</v>
      </c>
      <c r="AL15" s="8">
        <v>0</v>
      </c>
      <c r="AM15" s="138" t="s">
        <v>83</v>
      </c>
      <c r="AN15" s="8"/>
      <c r="AO15" s="8"/>
      <c r="AP15" s="8">
        <v>1</v>
      </c>
    </row>
    <row r="16" spans="1:42">
      <c r="A16" s="118"/>
      <c r="B16" s="8" t="str">
        <f>装备!B16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VLOOKUP(LEFT(RIGHT(B16,5),4),装备!B:CU,2,FALSE)</f>
        <v>|Cff00BFFF[武器]太阿剑lv4|r</v>
      </c>
      <c r="I16" s="8" t="str">
        <f>VLOOKUP(B16,装备!B:CV,99,FALSE)</f>
        <v>|Cffbbbbbb属性：|r|n攻击+120000|n暴击+6%|n暴伤+200%|n伤害吸取+3%|n|n攻击10%概率附加|cffff4646业力*1|r魔法伤害|n|n|Cff00ff7f点击消耗8000金币进行强化|n成功率70%</v>
      </c>
      <c r="J16" s="120" t="str">
        <f t="shared" si="4"/>
        <v>|Cff00BFFF[武器]太阿剑lv4|r</v>
      </c>
      <c r="K16" s="120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1" t="str">
        <f>VLOOKUP(LEFT(RIGHT(B16,5),4),装备!B:CU,20,FALSE)</f>
        <v>ReplaceableTextures\\CommandButtons\\BTNZ03.blp</v>
      </c>
      <c r="N16" s="138" t="s">
        <v>83</v>
      </c>
      <c r="O16" s="139" t="s">
        <v>84</v>
      </c>
      <c r="P16" s="8">
        <v>0</v>
      </c>
      <c r="Q16" s="8">
        <v>0</v>
      </c>
      <c r="R16" s="138" t="s">
        <v>83</v>
      </c>
      <c r="S16" s="138" t="s">
        <v>83</v>
      </c>
      <c r="T16" s="138" t="s">
        <v>83</v>
      </c>
      <c r="U16" s="138" t="s">
        <v>83</v>
      </c>
      <c r="V16" s="8"/>
      <c r="W16" s="8" t="s">
        <v>85</v>
      </c>
      <c r="X16" s="8">
        <v>0</v>
      </c>
      <c r="Y16" s="138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38" t="s">
        <v>83</v>
      </c>
      <c r="AF16" s="138" t="s">
        <v>83</v>
      </c>
      <c r="AG16" s="138" t="s">
        <v>83</v>
      </c>
      <c r="AH16" s="138" t="s">
        <v>83</v>
      </c>
      <c r="AI16" s="8"/>
      <c r="AJ16" s="8"/>
      <c r="AK16" s="8">
        <v>0</v>
      </c>
      <c r="AL16" s="8">
        <v>0</v>
      </c>
      <c r="AM16" s="138" t="s">
        <v>83</v>
      </c>
      <c r="AN16" s="8"/>
      <c r="AO16" s="8"/>
      <c r="AP16" s="8">
        <v>1</v>
      </c>
    </row>
    <row r="17" spans="1:42">
      <c r="A17" s="118"/>
      <c r="B17" s="8" t="str">
        <f>装备!B17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VLOOKUP(LEFT(RIGHT(B17,5),4),装备!B:CU,2,FALSE)</f>
        <v>|Cff00BFFF[武器]太阿剑lv5|r</v>
      </c>
      <c r="I17" s="8" t="str">
        <f>VLOOKUP(B17,装备!B:CV,99,FALSE)</f>
        <v>|Cffbbbbbb属性：|r|n攻击+140000|n暴击+6%|n暴伤+200%|n伤害吸取+3%|n|n攻击10%概率附加|cffff4646业力*1|r魔法伤害|n|n|Cff00ff7f点击消耗30000金币进行晋阶挑战</v>
      </c>
      <c r="J17" s="120" t="str">
        <f t="shared" si="4"/>
        <v>|Cff00BFFF[武器]太阿剑lv5|r</v>
      </c>
      <c r="K17" s="120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1" t="str">
        <f>VLOOKUP(LEFT(RIGHT(B17,5),4),装备!B:CU,20,FALSE)</f>
        <v>ReplaceableTextures\\CommandButtons\\BTNZ03.blp</v>
      </c>
      <c r="N17" s="138" t="s">
        <v>83</v>
      </c>
      <c r="O17" s="139" t="s">
        <v>84</v>
      </c>
      <c r="P17" s="8">
        <v>0</v>
      </c>
      <c r="Q17" s="8">
        <v>0</v>
      </c>
      <c r="R17" s="138" t="s">
        <v>83</v>
      </c>
      <c r="S17" s="138" t="s">
        <v>83</v>
      </c>
      <c r="T17" s="138" t="s">
        <v>83</v>
      </c>
      <c r="U17" s="138" t="s">
        <v>83</v>
      </c>
      <c r="V17" s="8"/>
      <c r="W17" s="8" t="s">
        <v>85</v>
      </c>
      <c r="X17" s="8">
        <v>0</v>
      </c>
      <c r="Y17" s="138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38" t="s">
        <v>83</v>
      </c>
      <c r="AF17" s="138" t="s">
        <v>83</v>
      </c>
      <c r="AG17" s="138" t="s">
        <v>83</v>
      </c>
      <c r="AH17" s="138" t="s">
        <v>83</v>
      </c>
      <c r="AI17" s="8"/>
      <c r="AJ17" s="8"/>
      <c r="AK17" s="8">
        <v>0</v>
      </c>
      <c r="AL17" s="8">
        <v>0</v>
      </c>
      <c r="AM17" s="138" t="s">
        <v>83</v>
      </c>
      <c r="AN17" s="8"/>
      <c r="AO17" s="8"/>
      <c r="AP17" s="8">
        <v>1</v>
      </c>
    </row>
    <row r="18" spans="1:42">
      <c r="A18" s="118"/>
      <c r="B18" s="8" t="str">
        <f>装备!B18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VLOOKUP(LEFT(RIGHT(B18,5),4),装备!B:CU,2,FALSE)</f>
        <v>|CffFFC926[武器]轩辕剑lv1|r</v>
      </c>
      <c r="I18" s="8" t="str">
        <f>VLOOKUP(B18,装备!B:CV,99,FALSE)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0" t="str">
        <f t="shared" si="4"/>
        <v>|CffFFC926[武器]轩辕剑lv1|r</v>
      </c>
      <c r="K18" s="120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1" t="str">
        <f>VLOOKUP(LEFT(RIGHT(B18,5),4),装备!B:CU,20,FALSE)</f>
        <v>ReplaceableTextures\\CommandButtons\\BTNZ04.blp</v>
      </c>
      <c r="N18" s="138" t="s">
        <v>83</v>
      </c>
      <c r="O18" s="139" t="s">
        <v>84</v>
      </c>
      <c r="P18" s="8">
        <v>0</v>
      </c>
      <c r="Q18" s="8">
        <v>0</v>
      </c>
      <c r="R18" s="138" t="s">
        <v>83</v>
      </c>
      <c r="S18" s="138" t="s">
        <v>83</v>
      </c>
      <c r="T18" s="138" t="s">
        <v>83</v>
      </c>
      <c r="U18" s="138" t="s">
        <v>83</v>
      </c>
      <c r="V18" s="8"/>
      <c r="W18" s="8" t="s">
        <v>85</v>
      </c>
      <c r="X18" s="8">
        <v>0</v>
      </c>
      <c r="Y18" s="138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38" t="s">
        <v>83</v>
      </c>
      <c r="AF18" s="138" t="s">
        <v>83</v>
      </c>
      <c r="AG18" s="138" t="s">
        <v>83</v>
      </c>
      <c r="AH18" s="138" t="s">
        <v>83</v>
      </c>
      <c r="AI18" s="8"/>
      <c r="AJ18" s="8"/>
      <c r="AK18" s="8">
        <v>0</v>
      </c>
      <c r="AL18" s="8">
        <v>0</v>
      </c>
      <c r="AM18" s="138" t="s">
        <v>83</v>
      </c>
      <c r="AN18" s="8"/>
      <c r="AO18" s="8"/>
      <c r="AP18" s="8">
        <v>1</v>
      </c>
    </row>
    <row r="19" spans="1:42">
      <c r="A19" s="118"/>
      <c r="B19" s="8" t="str">
        <f>装备!B19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VLOOKUP(LEFT(RIGHT(B19,5),4),装备!B:CU,2,FALSE)</f>
        <v>|CffFFC926[武器]轩辕剑lv2|r</v>
      </c>
      <c r="I19" s="8" t="str">
        <f>VLOOKUP(B19,装备!B:CV,99,FALSE)</f>
        <v>|Cffbbbbbb属性：|r|n攻击+350000|n暴击+7%|n暴伤+300%|n伤害吸取+4%|n|n攻击10%概率附加|cffff4646业力*1|r魔法伤害|n|n|Cff00ff7f点击消耗20000金币进行强化|n成功率60%</v>
      </c>
      <c r="J19" s="120" t="str">
        <f t="shared" ref="J19:J35" si="6">H19</f>
        <v>|CffFFC926[武器]轩辕剑lv2|r</v>
      </c>
      <c r="K19" s="120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1" t="str">
        <f>VLOOKUP(LEFT(RIGHT(B19,5),4),装备!B:CU,20,FALSE)</f>
        <v>ReplaceableTextures\\CommandButtons\\BTNZ04.blp</v>
      </c>
      <c r="N19" s="138" t="s">
        <v>83</v>
      </c>
      <c r="O19" s="139" t="s">
        <v>84</v>
      </c>
      <c r="P19" s="8">
        <v>0</v>
      </c>
      <c r="Q19" s="8">
        <v>0</v>
      </c>
      <c r="R19" s="138" t="s">
        <v>83</v>
      </c>
      <c r="S19" s="138" t="s">
        <v>83</v>
      </c>
      <c r="T19" s="138" t="s">
        <v>83</v>
      </c>
      <c r="U19" s="138" t="s">
        <v>83</v>
      </c>
      <c r="V19" s="8"/>
      <c r="W19" s="8" t="s">
        <v>85</v>
      </c>
      <c r="X19" s="8">
        <v>0</v>
      </c>
      <c r="Y19" s="138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38" t="s">
        <v>83</v>
      </c>
      <c r="AF19" s="138" t="s">
        <v>83</v>
      </c>
      <c r="AG19" s="138" t="s">
        <v>83</v>
      </c>
      <c r="AH19" s="138" t="s">
        <v>83</v>
      </c>
      <c r="AI19" s="8"/>
      <c r="AJ19" s="8"/>
      <c r="AK19" s="8">
        <v>0</v>
      </c>
      <c r="AL19" s="8">
        <v>0</v>
      </c>
      <c r="AM19" s="138" t="s">
        <v>83</v>
      </c>
      <c r="AN19" s="8"/>
      <c r="AO19" s="8"/>
      <c r="AP19" s="8">
        <v>1</v>
      </c>
    </row>
    <row r="20" spans="1:42">
      <c r="A20" s="118"/>
      <c r="B20" s="8" t="str">
        <f>装备!B20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VLOOKUP(LEFT(RIGHT(B20,5),4),装备!B:CU,2,FALSE)</f>
        <v>|CffFFC926[武器]轩辕剑lv3|r</v>
      </c>
      <c r="I20" s="8" t="str">
        <f>VLOOKUP(B20,装备!B:CV,99,FALSE)</f>
        <v>|Cffbbbbbb属性：|r|n攻击+400000|n暴击+7%|n暴伤+300%|n伤害吸取+4%|n|n攻击10%概率附加|cffff4646业力*1|r魔法伤害|n|n|Cff00ff7f点击消耗20000金币进行强化|n成功率60%</v>
      </c>
      <c r="J20" s="120" t="str">
        <f t="shared" si="6"/>
        <v>|CffFFC926[武器]轩辕剑lv3|r</v>
      </c>
      <c r="K20" s="120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1" t="str">
        <f>VLOOKUP(LEFT(RIGHT(B20,5),4),装备!B:CU,20,FALSE)</f>
        <v>ReplaceableTextures\\CommandButtons\\BTNZ04.blp</v>
      </c>
      <c r="N20" s="138" t="s">
        <v>83</v>
      </c>
      <c r="O20" s="139" t="s">
        <v>84</v>
      </c>
      <c r="P20" s="8">
        <v>0</v>
      </c>
      <c r="Q20" s="8">
        <v>0</v>
      </c>
      <c r="R20" s="138" t="s">
        <v>83</v>
      </c>
      <c r="S20" s="138" t="s">
        <v>83</v>
      </c>
      <c r="T20" s="138" t="s">
        <v>83</v>
      </c>
      <c r="U20" s="138" t="s">
        <v>83</v>
      </c>
      <c r="V20" s="8"/>
      <c r="W20" s="8" t="s">
        <v>85</v>
      </c>
      <c r="X20" s="8">
        <v>0</v>
      </c>
      <c r="Y20" s="138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38" t="s">
        <v>83</v>
      </c>
      <c r="AF20" s="138" t="s">
        <v>83</v>
      </c>
      <c r="AG20" s="138" t="s">
        <v>83</v>
      </c>
      <c r="AH20" s="138" t="s">
        <v>83</v>
      </c>
      <c r="AI20" s="8"/>
      <c r="AJ20" s="8"/>
      <c r="AK20" s="8">
        <v>0</v>
      </c>
      <c r="AL20" s="8">
        <v>0</v>
      </c>
      <c r="AM20" s="138" t="s">
        <v>83</v>
      </c>
      <c r="AN20" s="8"/>
      <c r="AO20" s="8"/>
      <c r="AP20" s="8">
        <v>1</v>
      </c>
    </row>
    <row r="21" spans="1:42">
      <c r="A21" s="118"/>
      <c r="B21" s="8" t="str">
        <f>装备!B21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VLOOKUP(LEFT(RIGHT(B21,5),4),装备!B:CU,2,FALSE)</f>
        <v>|CffFFC926[武器]轩辕剑lv4|r</v>
      </c>
      <c r="I21" s="8" t="str">
        <f>VLOOKUP(B21,装备!B:CV,99,FALSE)</f>
        <v>|Cffbbbbbb属性：|r|n攻击+450000|n暴击+7%|n暴伤+300%|n伤害吸取+4%|n|n攻击10%概率附加|cffff4646业力*1|r魔法伤害|n|n|Cff00ff7f点击消耗20000金币进行强化|n成功率60%</v>
      </c>
      <c r="J21" s="120" t="str">
        <f t="shared" si="6"/>
        <v>|CffFFC926[武器]轩辕剑lv4|r</v>
      </c>
      <c r="K21" s="120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1" t="str">
        <f>VLOOKUP(LEFT(RIGHT(B21,5),4),装备!B:CU,20,FALSE)</f>
        <v>ReplaceableTextures\\CommandButtons\\BTNZ04.blp</v>
      </c>
      <c r="N21" s="138" t="s">
        <v>83</v>
      </c>
      <c r="O21" s="139" t="s">
        <v>84</v>
      </c>
      <c r="P21" s="8">
        <v>0</v>
      </c>
      <c r="Q21" s="8">
        <v>0</v>
      </c>
      <c r="R21" s="138" t="s">
        <v>83</v>
      </c>
      <c r="S21" s="138" t="s">
        <v>83</v>
      </c>
      <c r="T21" s="138" t="s">
        <v>83</v>
      </c>
      <c r="U21" s="138" t="s">
        <v>83</v>
      </c>
      <c r="V21" s="8"/>
      <c r="W21" s="8" t="s">
        <v>85</v>
      </c>
      <c r="X21" s="8">
        <v>0</v>
      </c>
      <c r="Y21" s="138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38" t="s">
        <v>83</v>
      </c>
      <c r="AF21" s="138" t="s">
        <v>83</v>
      </c>
      <c r="AG21" s="138" t="s">
        <v>83</v>
      </c>
      <c r="AH21" s="138" t="s">
        <v>83</v>
      </c>
      <c r="AI21" s="8"/>
      <c r="AJ21" s="8"/>
      <c r="AK21" s="8">
        <v>0</v>
      </c>
      <c r="AL21" s="8">
        <v>0</v>
      </c>
      <c r="AM21" s="138" t="s">
        <v>83</v>
      </c>
      <c r="AN21" s="8"/>
      <c r="AO21" s="8"/>
      <c r="AP21" s="8">
        <v>1</v>
      </c>
    </row>
    <row r="22" spans="1:42">
      <c r="A22" s="118"/>
      <c r="B22" s="8" t="str">
        <f>装备!B22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VLOOKUP(LEFT(RIGHT(B22,5),4),装备!B:CU,2,FALSE)</f>
        <v>|CffFFC926[武器]轩辕剑lv5|r</v>
      </c>
      <c r="I22" s="8" t="str">
        <f>VLOOKUP(B22,装备!B:CV,99,FALSE)</f>
        <v>|Cffbbbbbb属性：|r|n攻击+550000|n暴击+7%|n暴伤+300%|n伤害吸取+4%|n|n攻击10%概率附加|cffff4646业力*1|r魔法伤害|n|n|Cff00ff7f点击消耗35000金币进行晋阶挑战</v>
      </c>
      <c r="J22" s="120" t="str">
        <f t="shared" si="6"/>
        <v>|CffFFC926[武器]轩辕剑lv5|r</v>
      </c>
      <c r="K22" s="120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1" t="str">
        <f>VLOOKUP(LEFT(RIGHT(B22,5),4),装备!B:CU,20,FALSE)</f>
        <v>ReplaceableTextures\\CommandButtons\\BTNZ04.blp</v>
      </c>
      <c r="N22" s="138" t="s">
        <v>83</v>
      </c>
      <c r="O22" s="139" t="s">
        <v>84</v>
      </c>
      <c r="P22" s="8">
        <v>0</v>
      </c>
      <c r="Q22" s="8">
        <v>0</v>
      </c>
      <c r="R22" s="138" t="s">
        <v>83</v>
      </c>
      <c r="S22" s="138" t="s">
        <v>83</v>
      </c>
      <c r="T22" s="138" t="s">
        <v>83</v>
      </c>
      <c r="U22" s="138" t="s">
        <v>83</v>
      </c>
      <c r="V22" s="8"/>
      <c r="W22" s="8" t="s">
        <v>85</v>
      </c>
      <c r="X22" s="8">
        <v>0</v>
      </c>
      <c r="Y22" s="138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38" t="s">
        <v>83</v>
      </c>
      <c r="AF22" s="138" t="s">
        <v>83</v>
      </c>
      <c r="AG22" s="138" t="s">
        <v>83</v>
      </c>
      <c r="AH22" s="138" t="s">
        <v>83</v>
      </c>
      <c r="AI22" s="8"/>
      <c r="AJ22" s="8"/>
      <c r="AK22" s="8">
        <v>0</v>
      </c>
      <c r="AL22" s="8">
        <v>0</v>
      </c>
      <c r="AM22" s="138" t="s">
        <v>83</v>
      </c>
      <c r="AN22" s="8"/>
      <c r="AO22" s="8"/>
      <c r="AP22" s="8">
        <v>1</v>
      </c>
    </row>
    <row r="23" spans="1:42">
      <c r="A23" s="118"/>
      <c r="B23" s="8" t="str">
        <f>装备!B23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VLOOKUP(LEFT(RIGHT(B23,5),4),装备!B:CU,2,FALSE)</f>
        <v>|CffFF0000[武器]太极八卦剑lv1|r</v>
      </c>
      <c r="I23" s="8" t="str">
        <f>VLOOKUP(B23,装备!B:CV,99,FALSE)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0" t="str">
        <f t="shared" si="6"/>
        <v>|CffFF0000[武器]太极八卦剑lv1|r</v>
      </c>
      <c r="K23" s="120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1" t="str">
        <f>VLOOKUP(LEFT(RIGHT(B23,5),4),装备!B:CU,20,FALSE)</f>
        <v>ReplaceableTextures\\CommandButtons\\BTNZ05.blp</v>
      </c>
      <c r="N23" s="138" t="s">
        <v>83</v>
      </c>
      <c r="O23" s="139" t="s">
        <v>84</v>
      </c>
      <c r="P23" s="8">
        <v>0</v>
      </c>
      <c r="Q23" s="8">
        <v>0</v>
      </c>
      <c r="R23" s="138" t="s">
        <v>83</v>
      </c>
      <c r="S23" s="138" t="s">
        <v>83</v>
      </c>
      <c r="T23" s="138" t="s">
        <v>83</v>
      </c>
      <c r="U23" s="138" t="s">
        <v>83</v>
      </c>
      <c r="V23" s="8"/>
      <c r="W23" s="8" t="s">
        <v>85</v>
      </c>
      <c r="X23" s="8">
        <v>0</v>
      </c>
      <c r="Y23" s="138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38" t="s">
        <v>83</v>
      </c>
      <c r="AF23" s="138" t="s">
        <v>83</v>
      </c>
      <c r="AG23" s="138" t="s">
        <v>83</v>
      </c>
      <c r="AH23" s="138" t="s">
        <v>83</v>
      </c>
      <c r="AI23" s="8"/>
      <c r="AJ23" s="8"/>
      <c r="AK23" s="8">
        <v>0</v>
      </c>
      <c r="AL23" s="8">
        <v>0</v>
      </c>
      <c r="AM23" s="138" t="s">
        <v>83</v>
      </c>
      <c r="AN23" s="8"/>
      <c r="AO23" s="8"/>
      <c r="AP23" s="8">
        <v>1</v>
      </c>
    </row>
    <row r="24" spans="1:42">
      <c r="A24" s="118"/>
      <c r="B24" s="8" t="str">
        <f>装备!B24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VLOOKUP(LEFT(RIGHT(B24,5),4),装备!B:CU,2,FALSE)</f>
        <v>|CffFF0000[武器]太极八卦剑lv2|r</v>
      </c>
      <c r="I24" s="8" t="str">
        <f>VLOOKUP(B24,装备!B:CV,99,FALSE)</f>
        <v>|Cffbbbbbb属性：|r|n攻击+1000000|n暴击+8%|n暴伤+400%|n伤害吸取+5%|n|n攻击10%概率附加|cffff4646业力*1|r魔法伤害|n|n|Cff00ff7f点击消耗35000金币进行强化|n成功率50%</v>
      </c>
      <c r="J24" s="120" t="str">
        <f t="shared" si="6"/>
        <v>|CffFF0000[武器]太极八卦剑lv2|r</v>
      </c>
      <c r="K24" s="120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1" t="str">
        <f>VLOOKUP(LEFT(RIGHT(B24,5),4),装备!B:CU,20,FALSE)</f>
        <v>ReplaceableTextures\\CommandButtons\\BTNZ05.blp</v>
      </c>
      <c r="N24" s="138" t="s">
        <v>83</v>
      </c>
      <c r="O24" s="139" t="s">
        <v>84</v>
      </c>
      <c r="P24" s="8">
        <v>0</v>
      </c>
      <c r="Q24" s="8">
        <v>0</v>
      </c>
      <c r="R24" s="138" t="s">
        <v>83</v>
      </c>
      <c r="S24" s="138" t="s">
        <v>83</v>
      </c>
      <c r="T24" s="138" t="s">
        <v>83</v>
      </c>
      <c r="U24" s="138" t="s">
        <v>83</v>
      </c>
      <c r="V24" s="8"/>
      <c r="W24" s="8" t="s">
        <v>85</v>
      </c>
      <c r="X24" s="8">
        <v>0</v>
      </c>
      <c r="Y24" s="138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38" t="s">
        <v>83</v>
      </c>
      <c r="AF24" s="138" t="s">
        <v>83</v>
      </c>
      <c r="AG24" s="138" t="s">
        <v>83</v>
      </c>
      <c r="AH24" s="138" t="s">
        <v>83</v>
      </c>
      <c r="AI24" s="8"/>
      <c r="AJ24" s="8"/>
      <c r="AK24" s="8">
        <v>0</v>
      </c>
      <c r="AL24" s="8">
        <v>0</v>
      </c>
      <c r="AM24" s="138" t="s">
        <v>83</v>
      </c>
      <c r="AN24" s="8"/>
      <c r="AO24" s="8"/>
      <c r="AP24" s="8">
        <v>1</v>
      </c>
    </row>
    <row r="25" spans="1:42">
      <c r="A25" s="118"/>
      <c r="B25" s="8" t="str">
        <f>装备!B25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VLOOKUP(LEFT(RIGHT(B25,5),4),装备!B:CU,2,FALSE)</f>
        <v>|CffFF0000[武器]太极八卦剑lv3|r</v>
      </c>
      <c r="I25" s="8" t="str">
        <f>VLOOKUP(B25,装备!B:CV,99,FALSE)</f>
        <v>|Cffbbbbbb属性：|r|n攻击+1200000|n暴击+8%|n暴伤+400%|n伤害吸取+5%|n|n攻击10%概率附加|cffff4646业力*1|r魔法伤害|n|n|Cff00ff7f点击消耗35000金币进行强化|n成功率50%</v>
      </c>
      <c r="J25" s="120" t="str">
        <f t="shared" si="6"/>
        <v>|CffFF0000[武器]太极八卦剑lv3|r</v>
      </c>
      <c r="K25" s="120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1" t="str">
        <f>VLOOKUP(LEFT(RIGHT(B25,5),4),装备!B:CU,20,FALSE)</f>
        <v>ReplaceableTextures\\CommandButtons\\BTNZ05.blp</v>
      </c>
      <c r="N25" s="138" t="s">
        <v>83</v>
      </c>
      <c r="O25" s="139" t="s">
        <v>84</v>
      </c>
      <c r="P25" s="8">
        <v>0</v>
      </c>
      <c r="Q25" s="8">
        <v>0</v>
      </c>
      <c r="R25" s="138" t="s">
        <v>83</v>
      </c>
      <c r="S25" s="138" t="s">
        <v>83</v>
      </c>
      <c r="T25" s="138" t="s">
        <v>83</v>
      </c>
      <c r="U25" s="138" t="s">
        <v>83</v>
      </c>
      <c r="V25" s="8"/>
      <c r="W25" s="8" t="s">
        <v>85</v>
      </c>
      <c r="X25" s="8">
        <v>0</v>
      </c>
      <c r="Y25" s="138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38" t="s">
        <v>83</v>
      </c>
      <c r="AF25" s="138" t="s">
        <v>83</v>
      </c>
      <c r="AG25" s="138" t="s">
        <v>83</v>
      </c>
      <c r="AH25" s="138" t="s">
        <v>83</v>
      </c>
      <c r="AI25" s="8"/>
      <c r="AJ25" s="8"/>
      <c r="AK25" s="8">
        <v>0</v>
      </c>
      <c r="AL25" s="8">
        <v>0</v>
      </c>
      <c r="AM25" s="138" t="s">
        <v>83</v>
      </c>
      <c r="AN25" s="8"/>
      <c r="AO25" s="8"/>
      <c r="AP25" s="8">
        <v>1</v>
      </c>
    </row>
    <row r="26" spans="1:42">
      <c r="A26" s="118"/>
      <c r="B26" s="8" t="str">
        <f>装备!B26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VLOOKUP(LEFT(RIGHT(B26,5),4),装备!B:CU,2,FALSE)</f>
        <v>|CffFF0000[武器]太极八卦剑lv4|r</v>
      </c>
      <c r="I26" s="8" t="str">
        <f>VLOOKUP(B26,装备!B:CV,99,FALSE)</f>
        <v>|Cffbbbbbb属性：|r|n攻击+1400000|n暴击+8%|n暴伤+400%|n伤害吸取+5%|n|n攻击10%概率附加|cffff4646业力*1|r魔法伤害|n|n|Cff00ff7f点击消耗35000金币进行强化|n成功率50%</v>
      </c>
      <c r="J26" s="120" t="str">
        <f t="shared" si="6"/>
        <v>|CffFF0000[武器]太极八卦剑lv4|r</v>
      </c>
      <c r="K26" s="120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1" t="str">
        <f>VLOOKUP(LEFT(RIGHT(B26,5),4),装备!B:CU,20,FALSE)</f>
        <v>ReplaceableTextures\\CommandButtons\\BTNZ05.blp</v>
      </c>
      <c r="N26" s="138" t="s">
        <v>83</v>
      </c>
      <c r="O26" s="139" t="s">
        <v>84</v>
      </c>
      <c r="P26" s="8">
        <v>0</v>
      </c>
      <c r="Q26" s="8">
        <v>0</v>
      </c>
      <c r="R26" s="138" t="s">
        <v>83</v>
      </c>
      <c r="S26" s="138" t="s">
        <v>83</v>
      </c>
      <c r="T26" s="138" t="s">
        <v>83</v>
      </c>
      <c r="U26" s="138" t="s">
        <v>83</v>
      </c>
      <c r="V26" s="8"/>
      <c r="W26" s="8" t="s">
        <v>85</v>
      </c>
      <c r="X26" s="8">
        <v>0</v>
      </c>
      <c r="Y26" s="138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38" t="s">
        <v>83</v>
      </c>
      <c r="AF26" s="138" t="s">
        <v>83</v>
      </c>
      <c r="AG26" s="138" t="s">
        <v>83</v>
      </c>
      <c r="AH26" s="138" t="s">
        <v>83</v>
      </c>
      <c r="AI26" s="8"/>
      <c r="AJ26" s="8"/>
      <c r="AK26" s="8">
        <v>0</v>
      </c>
      <c r="AL26" s="8">
        <v>0</v>
      </c>
      <c r="AM26" s="138" t="s">
        <v>83</v>
      </c>
      <c r="AN26" s="8"/>
      <c r="AO26" s="8"/>
      <c r="AP26" s="8">
        <v>1</v>
      </c>
    </row>
    <row r="27" spans="1:42">
      <c r="A27" s="118"/>
      <c r="B27" s="8" t="str">
        <f>装备!B27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VLOOKUP(LEFT(RIGHT(B27,5),4),装备!B:CU,2,FALSE)</f>
        <v>|CffFF0000[武器]太极八卦剑lv5|r</v>
      </c>
      <c r="I27" s="8" t="str">
        <f>VLOOKUP(B27,装备!B:CV,99,FALSE)</f>
        <v>|Cffbbbbbb属性：|r|n攻击+1600000|n暴击+8%|n暴伤+400%|n伤害吸取+5%|n|n攻击10%概率附加|cffff4646业力*1|r魔法伤害|n|n|Cff999999装备进化：未开放|r</v>
      </c>
      <c r="J27" s="120" t="str">
        <f t="shared" si="6"/>
        <v>|CffFF0000[武器]太极八卦剑lv5|r</v>
      </c>
      <c r="K27" s="120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1" t="str">
        <f>VLOOKUP(LEFT(RIGHT(B27,5),4),装备!B:CU,20,FALSE)</f>
        <v>ReplaceableTextures\\CommandButtons\\BTNZ05.blp</v>
      </c>
      <c r="N27" s="138" t="s">
        <v>83</v>
      </c>
      <c r="O27" s="139" t="s">
        <v>84</v>
      </c>
      <c r="P27" s="8">
        <v>0</v>
      </c>
      <c r="Q27" s="8">
        <v>0</v>
      </c>
      <c r="R27" s="138" t="s">
        <v>83</v>
      </c>
      <c r="S27" s="138" t="s">
        <v>83</v>
      </c>
      <c r="T27" s="138" t="s">
        <v>83</v>
      </c>
      <c r="U27" s="138" t="s">
        <v>83</v>
      </c>
      <c r="V27" s="8"/>
      <c r="W27" s="8" t="s">
        <v>85</v>
      </c>
      <c r="X27" s="8">
        <v>0</v>
      </c>
      <c r="Y27" s="138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38" t="s">
        <v>83</v>
      </c>
      <c r="AF27" s="138" t="s">
        <v>83</v>
      </c>
      <c r="AG27" s="138" t="s">
        <v>83</v>
      </c>
      <c r="AH27" s="138" t="s">
        <v>83</v>
      </c>
      <c r="AI27" s="8"/>
      <c r="AJ27" s="8"/>
      <c r="AK27" s="8">
        <v>0</v>
      </c>
      <c r="AL27" s="8">
        <v>0</v>
      </c>
      <c r="AM27" s="138" t="s">
        <v>83</v>
      </c>
      <c r="AN27" s="8"/>
      <c r="AO27" s="8"/>
      <c r="AP27" s="8"/>
    </row>
    <row r="28" spans="1:42">
      <c r="A28" s="118"/>
      <c r="B28" s="8" t="str">
        <f>装备!B28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VLOOKUP(LEFT(RIGHT(B28,5),4),装备!B:CU,2,FALSE)</f>
        <v>[饰品]青珑挂珠lv1</v>
      </c>
      <c r="I28" s="8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20" t="str">
        <f t="shared" si="6"/>
        <v>[饰品]青珑挂珠lv1</v>
      </c>
      <c r="K28" s="120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1" t="str">
        <f>VLOOKUP(LEFT(RIGHT(B28,5),4),装备!B:CU,20,FALSE)</f>
        <v>ReplaceableTextures\\CommandButtons\\BTNZ06.blp</v>
      </c>
      <c r="N28" s="138" t="s">
        <v>83</v>
      </c>
      <c r="O28" s="139" t="s">
        <v>84</v>
      </c>
      <c r="P28" s="8">
        <v>0</v>
      </c>
      <c r="Q28" s="8">
        <v>0</v>
      </c>
      <c r="R28" s="138" t="s">
        <v>83</v>
      </c>
      <c r="S28" s="138" t="s">
        <v>83</v>
      </c>
      <c r="T28" s="138" t="s">
        <v>83</v>
      </c>
      <c r="U28" s="138" t="s">
        <v>83</v>
      </c>
      <c r="V28" s="8"/>
      <c r="W28" s="8" t="s">
        <v>85</v>
      </c>
      <c r="X28" s="8">
        <v>0</v>
      </c>
      <c r="Y28" s="138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38" t="s">
        <v>83</v>
      </c>
      <c r="AF28" s="138" t="s">
        <v>83</v>
      </c>
      <c r="AG28" s="138" t="s">
        <v>83</v>
      </c>
      <c r="AH28" s="138" t="s">
        <v>83</v>
      </c>
      <c r="AI28" s="8"/>
      <c r="AJ28" s="8"/>
      <c r="AK28" s="8">
        <v>0</v>
      </c>
      <c r="AL28" s="8">
        <v>0</v>
      </c>
      <c r="AM28" s="138" t="s">
        <v>83</v>
      </c>
      <c r="AN28" s="8">
        <v>150</v>
      </c>
      <c r="AO28" s="8"/>
      <c r="AP28" s="8"/>
    </row>
    <row r="29" spans="1:42">
      <c r="A29" s="118"/>
      <c r="B29" s="8" t="str">
        <f>装备!B29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VLOOKUP(LEFT(RIGHT(B29,5),4),装备!B:CU,2,FALSE)</f>
        <v>[饰品]青珑挂珠lv2</v>
      </c>
      <c r="I29" s="8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0" t="str">
        <f t="shared" si="6"/>
        <v>[饰品]青珑挂珠lv2</v>
      </c>
      <c r="K29" s="120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1" t="str">
        <f>VLOOKUP(LEFT(RIGHT(B29,5),4),装备!B:CU,20,FALSE)</f>
        <v>ReplaceableTextures\\CommandButtons\\BTNZ06.blp</v>
      </c>
      <c r="N29" s="138" t="s">
        <v>83</v>
      </c>
      <c r="O29" s="139" t="s">
        <v>84</v>
      </c>
      <c r="P29" s="8">
        <v>0</v>
      </c>
      <c r="Q29" s="8">
        <v>0</v>
      </c>
      <c r="R29" s="138" t="s">
        <v>83</v>
      </c>
      <c r="S29" s="138" t="s">
        <v>83</v>
      </c>
      <c r="T29" s="138" t="s">
        <v>83</v>
      </c>
      <c r="U29" s="138" t="s">
        <v>83</v>
      </c>
      <c r="V29" s="8"/>
      <c r="W29" s="8" t="s">
        <v>85</v>
      </c>
      <c r="X29" s="8">
        <v>0</v>
      </c>
      <c r="Y29" s="138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38" t="s">
        <v>83</v>
      </c>
      <c r="AF29" s="138" t="s">
        <v>83</v>
      </c>
      <c r="AG29" s="138" t="s">
        <v>83</v>
      </c>
      <c r="AH29" s="138" t="s">
        <v>83</v>
      </c>
      <c r="AI29" s="8"/>
      <c r="AJ29" s="8"/>
      <c r="AK29" s="8">
        <v>0</v>
      </c>
      <c r="AL29" s="8">
        <v>0</v>
      </c>
      <c r="AM29" s="138" t="s">
        <v>83</v>
      </c>
      <c r="AN29" s="8">
        <v>150</v>
      </c>
      <c r="AO29" s="8"/>
      <c r="AP29" s="8"/>
    </row>
    <row r="30" spans="1:42">
      <c r="A30" s="118"/>
      <c r="B30" s="8" t="str">
        <f>装备!B30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VLOOKUP(LEFT(RIGHT(B30,5),4),装备!B:CU,2,FALSE)</f>
        <v>[饰品]青珑挂珠lv3</v>
      </c>
      <c r="I30" s="8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0" t="str">
        <f t="shared" si="6"/>
        <v>[饰品]青珑挂珠lv3</v>
      </c>
      <c r="K30" s="120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1" t="str">
        <f>VLOOKUP(LEFT(RIGHT(B30,5),4),装备!B:CU,20,FALSE)</f>
        <v>ReplaceableTextures\\CommandButtons\\BTNZ06.blp</v>
      </c>
      <c r="N30" s="138" t="s">
        <v>83</v>
      </c>
      <c r="O30" s="139" t="s">
        <v>84</v>
      </c>
      <c r="P30" s="8">
        <v>0</v>
      </c>
      <c r="Q30" s="8">
        <v>0</v>
      </c>
      <c r="R30" s="138" t="s">
        <v>83</v>
      </c>
      <c r="S30" s="138" t="s">
        <v>83</v>
      </c>
      <c r="T30" s="138" t="s">
        <v>83</v>
      </c>
      <c r="U30" s="138" t="s">
        <v>83</v>
      </c>
      <c r="V30" s="8"/>
      <c r="W30" s="8" t="s">
        <v>85</v>
      </c>
      <c r="X30" s="8">
        <v>0</v>
      </c>
      <c r="Y30" s="138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38" t="s">
        <v>83</v>
      </c>
      <c r="AF30" s="138" t="s">
        <v>83</v>
      </c>
      <c r="AG30" s="138" t="s">
        <v>83</v>
      </c>
      <c r="AH30" s="138" t="s">
        <v>83</v>
      </c>
      <c r="AI30" s="8"/>
      <c r="AJ30" s="8"/>
      <c r="AK30" s="8">
        <v>0</v>
      </c>
      <c r="AL30" s="8">
        <v>0</v>
      </c>
      <c r="AM30" s="138" t="s">
        <v>83</v>
      </c>
      <c r="AN30" s="8">
        <v>150</v>
      </c>
      <c r="AO30" s="8"/>
      <c r="AP30" s="8"/>
    </row>
    <row r="31" spans="1:42">
      <c r="A31" s="118"/>
      <c r="B31" s="8" t="str">
        <f>装备!B31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VLOOKUP(LEFT(RIGHT(B31,5),4),装备!B:CU,2,FALSE)</f>
        <v>[饰品]青珑挂珠lv4</v>
      </c>
      <c r="I31" s="8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0" t="str">
        <f t="shared" si="6"/>
        <v>[饰品]青珑挂珠lv4</v>
      </c>
      <c r="K31" s="120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1" t="str">
        <f>VLOOKUP(LEFT(RIGHT(B31,5),4),装备!B:CU,20,FALSE)</f>
        <v>ReplaceableTextures\\CommandButtons\\BTNZ06.blp</v>
      </c>
      <c r="N31" s="138" t="s">
        <v>83</v>
      </c>
      <c r="O31" s="139" t="s">
        <v>84</v>
      </c>
      <c r="P31" s="8">
        <v>0</v>
      </c>
      <c r="Q31" s="8">
        <v>0</v>
      </c>
      <c r="R31" s="138" t="s">
        <v>83</v>
      </c>
      <c r="S31" s="138" t="s">
        <v>83</v>
      </c>
      <c r="T31" s="138" t="s">
        <v>83</v>
      </c>
      <c r="U31" s="138" t="s">
        <v>83</v>
      </c>
      <c r="V31" s="8"/>
      <c r="W31" s="8" t="s">
        <v>85</v>
      </c>
      <c r="X31" s="8">
        <v>0</v>
      </c>
      <c r="Y31" s="138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38" t="s">
        <v>83</v>
      </c>
      <c r="AF31" s="138" t="s">
        <v>83</v>
      </c>
      <c r="AG31" s="138" t="s">
        <v>83</v>
      </c>
      <c r="AH31" s="138" t="s">
        <v>83</v>
      </c>
      <c r="AI31" s="8"/>
      <c r="AJ31" s="8"/>
      <c r="AK31" s="8">
        <v>0</v>
      </c>
      <c r="AL31" s="8">
        <v>0</v>
      </c>
      <c r="AM31" s="138" t="s">
        <v>83</v>
      </c>
      <c r="AN31" s="8">
        <v>150</v>
      </c>
      <c r="AO31" s="8"/>
      <c r="AP31" s="8"/>
    </row>
    <row r="32" spans="1:42">
      <c r="A32" s="118"/>
      <c r="B32" s="8" t="str">
        <f>装备!B32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VLOOKUP(LEFT(RIGHT(B32,5),4),装备!B:CU,2,FALSE)</f>
        <v>[饰品]青珑挂珠lv5</v>
      </c>
      <c r="I32" s="8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0" t="str">
        <f t="shared" si="6"/>
        <v>[饰品]青珑挂珠lv5</v>
      </c>
      <c r="K32" s="120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1" t="str">
        <f>VLOOKUP(LEFT(RIGHT(B32,5),4),装备!B:CU,20,FALSE)</f>
        <v>ReplaceableTextures\\CommandButtons\\BTNZ06.blp</v>
      </c>
      <c r="N32" s="138" t="s">
        <v>83</v>
      </c>
      <c r="O32" s="139" t="s">
        <v>84</v>
      </c>
      <c r="P32" s="8">
        <v>0</v>
      </c>
      <c r="Q32" s="8">
        <v>0</v>
      </c>
      <c r="R32" s="138" t="s">
        <v>83</v>
      </c>
      <c r="S32" s="138" t="s">
        <v>83</v>
      </c>
      <c r="T32" s="138" t="s">
        <v>83</v>
      </c>
      <c r="U32" s="138" t="s">
        <v>83</v>
      </c>
      <c r="V32" s="8"/>
      <c r="W32" s="8" t="s">
        <v>85</v>
      </c>
      <c r="X32" s="8">
        <v>0</v>
      </c>
      <c r="Y32" s="138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38" t="s">
        <v>83</v>
      </c>
      <c r="AF32" s="138" t="s">
        <v>83</v>
      </c>
      <c r="AG32" s="138" t="s">
        <v>83</v>
      </c>
      <c r="AH32" s="138" t="s">
        <v>83</v>
      </c>
      <c r="AI32" s="8"/>
      <c r="AJ32" s="8"/>
      <c r="AK32" s="8">
        <v>0</v>
      </c>
      <c r="AL32" s="8">
        <v>0</v>
      </c>
      <c r="AM32" s="138" t="s">
        <v>83</v>
      </c>
      <c r="AN32" s="8">
        <v>150</v>
      </c>
      <c r="AO32" s="8"/>
      <c r="AP32" s="8"/>
    </row>
    <row r="33" spans="1:42">
      <c r="A33" s="118"/>
      <c r="B33" s="8" t="str">
        <f>装备!B33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VLOOKUP(LEFT(RIGHT(B33,5),4),装备!B:CU,2,FALSE)</f>
        <v>|Cff00FF7F[饰品]紫晶坠子lv1|r</v>
      </c>
      <c r="I33" s="8" t="str">
        <f>VLOOKUP(B33,装备!B:CV,99,FALSE)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0" t="str">
        <f t="shared" si="6"/>
        <v>|Cff00FF7F[饰品]紫晶坠子lv1|r</v>
      </c>
      <c r="K33" s="120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1" t="str">
        <f>VLOOKUP(LEFT(RIGHT(B33,5),4),装备!B:CU,20,FALSE)</f>
        <v>ReplaceableTextures\\CommandButtons\\BTNZ07.blp</v>
      </c>
      <c r="N33" s="138" t="s">
        <v>83</v>
      </c>
      <c r="O33" s="139" t="s">
        <v>84</v>
      </c>
      <c r="P33" s="8">
        <v>0</v>
      </c>
      <c r="Q33" s="8">
        <v>0</v>
      </c>
      <c r="R33" s="138" t="s">
        <v>83</v>
      </c>
      <c r="S33" s="138" t="s">
        <v>83</v>
      </c>
      <c r="T33" s="138" t="s">
        <v>83</v>
      </c>
      <c r="U33" s="138" t="s">
        <v>83</v>
      </c>
      <c r="V33" s="8"/>
      <c r="W33" s="8" t="s">
        <v>85</v>
      </c>
      <c r="X33" s="8">
        <v>0</v>
      </c>
      <c r="Y33" s="138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38" t="s">
        <v>83</v>
      </c>
      <c r="AF33" s="138" t="s">
        <v>83</v>
      </c>
      <c r="AG33" s="138" t="s">
        <v>83</v>
      </c>
      <c r="AH33" s="138" t="s">
        <v>83</v>
      </c>
      <c r="AI33" s="8"/>
      <c r="AJ33" s="8"/>
      <c r="AK33" s="8">
        <v>0</v>
      </c>
      <c r="AL33" s="8">
        <v>0</v>
      </c>
      <c r="AM33" s="138" t="s">
        <v>83</v>
      </c>
      <c r="AN33" s="8">
        <v>200</v>
      </c>
      <c r="AO33" s="8"/>
      <c r="AP33" s="8"/>
    </row>
    <row r="34" spans="1:42">
      <c r="A34" s="118"/>
      <c r="B34" s="8" t="str">
        <f>装备!B34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VLOOKUP(LEFT(RIGHT(B34,5),4),装备!B:CU,2,FALSE)</f>
        <v>|Cff00FF7F[饰品]紫晶坠子lv2|r</v>
      </c>
      <c r="I34" s="8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0" t="str">
        <f t="shared" si="6"/>
        <v>|Cff00FF7F[饰品]紫晶坠子lv2|r</v>
      </c>
      <c r="K34" s="120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1" t="str">
        <f>VLOOKUP(LEFT(RIGHT(B34,5),4),装备!B:CU,20,FALSE)</f>
        <v>ReplaceableTextures\\CommandButtons\\BTNZ07.blp</v>
      </c>
      <c r="N34" s="138" t="s">
        <v>83</v>
      </c>
      <c r="O34" s="139" t="s">
        <v>84</v>
      </c>
      <c r="P34" s="8">
        <v>0</v>
      </c>
      <c r="Q34" s="8">
        <v>0</v>
      </c>
      <c r="R34" s="138" t="s">
        <v>83</v>
      </c>
      <c r="S34" s="138" t="s">
        <v>83</v>
      </c>
      <c r="T34" s="138" t="s">
        <v>83</v>
      </c>
      <c r="U34" s="138" t="s">
        <v>83</v>
      </c>
      <c r="V34" s="8"/>
      <c r="W34" s="8" t="s">
        <v>85</v>
      </c>
      <c r="X34" s="8">
        <v>0</v>
      </c>
      <c r="Y34" s="138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38" t="s">
        <v>83</v>
      </c>
      <c r="AF34" s="138" t="s">
        <v>83</v>
      </c>
      <c r="AG34" s="138" t="s">
        <v>83</v>
      </c>
      <c r="AH34" s="138" t="s">
        <v>83</v>
      </c>
      <c r="AI34" s="8"/>
      <c r="AJ34" s="8"/>
      <c r="AK34" s="8">
        <v>0</v>
      </c>
      <c r="AL34" s="8">
        <v>0</v>
      </c>
      <c r="AM34" s="138" t="s">
        <v>83</v>
      </c>
      <c r="AN34" s="8">
        <v>200</v>
      </c>
      <c r="AO34" s="8"/>
      <c r="AP34" s="8"/>
    </row>
    <row r="35" spans="1:42">
      <c r="A35" s="118"/>
      <c r="B35" s="8" t="str">
        <f>装备!B35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VLOOKUP(LEFT(RIGHT(B35,5),4),装备!B:CU,2,FALSE)</f>
        <v>|Cff00FF7F[饰品]紫晶坠子lv3|r</v>
      </c>
      <c r="I35" s="8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0" t="str">
        <f t="shared" si="6"/>
        <v>|Cff00FF7F[饰品]紫晶坠子lv3|r</v>
      </c>
      <c r="K35" s="120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1" t="str">
        <f>VLOOKUP(LEFT(RIGHT(B35,5),4),装备!B:CU,20,FALSE)</f>
        <v>ReplaceableTextures\\CommandButtons\\BTNZ07.blp</v>
      </c>
      <c r="N35" s="138" t="s">
        <v>83</v>
      </c>
      <c r="O35" s="139" t="s">
        <v>84</v>
      </c>
      <c r="P35" s="8">
        <v>0</v>
      </c>
      <c r="Q35" s="8">
        <v>0</v>
      </c>
      <c r="R35" s="138" t="s">
        <v>83</v>
      </c>
      <c r="S35" s="138" t="s">
        <v>83</v>
      </c>
      <c r="T35" s="138" t="s">
        <v>83</v>
      </c>
      <c r="U35" s="138" t="s">
        <v>83</v>
      </c>
      <c r="V35" s="8"/>
      <c r="W35" s="8" t="s">
        <v>85</v>
      </c>
      <c r="X35" s="8">
        <v>0</v>
      </c>
      <c r="Y35" s="138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38" t="s">
        <v>83</v>
      </c>
      <c r="AF35" s="138" t="s">
        <v>83</v>
      </c>
      <c r="AG35" s="138" t="s">
        <v>83</v>
      </c>
      <c r="AH35" s="138" t="s">
        <v>83</v>
      </c>
      <c r="AI35" s="8"/>
      <c r="AJ35" s="8"/>
      <c r="AK35" s="8">
        <v>0</v>
      </c>
      <c r="AL35" s="8">
        <v>0</v>
      </c>
      <c r="AM35" s="138" t="s">
        <v>83</v>
      </c>
      <c r="AN35" s="8">
        <v>200</v>
      </c>
      <c r="AO35" s="8"/>
      <c r="AP35" s="8"/>
    </row>
    <row r="36" spans="1:42">
      <c r="A36" s="118"/>
      <c r="B36" s="8" t="str">
        <f>装备!B36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VLOOKUP(LEFT(RIGHT(B36,5),4),装备!B:CU,2,FALSE)</f>
        <v>|Cff00FF7F[饰品]紫晶坠子lv4|r</v>
      </c>
      <c r="I36" s="8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0" t="str">
        <f t="shared" ref="J36:J53" si="8">H36</f>
        <v>|Cff00FF7F[饰品]紫晶坠子lv4|r</v>
      </c>
      <c r="K36" s="120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1" t="str">
        <f>VLOOKUP(LEFT(RIGHT(B36,5),4),装备!B:CU,20,FALSE)</f>
        <v>ReplaceableTextures\\CommandButtons\\BTNZ07.blp</v>
      </c>
      <c r="N36" s="138" t="s">
        <v>83</v>
      </c>
      <c r="O36" s="139" t="s">
        <v>84</v>
      </c>
      <c r="P36" s="8">
        <v>0</v>
      </c>
      <c r="Q36" s="8">
        <v>0</v>
      </c>
      <c r="R36" s="138" t="s">
        <v>83</v>
      </c>
      <c r="S36" s="138" t="s">
        <v>83</v>
      </c>
      <c r="T36" s="138" t="s">
        <v>83</v>
      </c>
      <c r="U36" s="138" t="s">
        <v>83</v>
      </c>
      <c r="V36" s="8"/>
      <c r="W36" s="8" t="s">
        <v>85</v>
      </c>
      <c r="X36" s="8">
        <v>0</v>
      </c>
      <c r="Y36" s="138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38" t="s">
        <v>83</v>
      </c>
      <c r="AF36" s="138" t="s">
        <v>83</v>
      </c>
      <c r="AG36" s="138" t="s">
        <v>83</v>
      </c>
      <c r="AH36" s="138" t="s">
        <v>83</v>
      </c>
      <c r="AI36" s="8"/>
      <c r="AJ36" s="8"/>
      <c r="AK36" s="8">
        <v>0</v>
      </c>
      <c r="AL36" s="8">
        <v>0</v>
      </c>
      <c r="AM36" s="138" t="s">
        <v>83</v>
      </c>
      <c r="AN36" s="8">
        <v>200</v>
      </c>
      <c r="AO36" s="8"/>
      <c r="AP36" s="8"/>
    </row>
    <row r="37" spans="1:42">
      <c r="A37" s="118"/>
      <c r="B37" s="8" t="str">
        <f>装备!B37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VLOOKUP(LEFT(RIGHT(B37,5),4),装备!B:CU,2,FALSE)</f>
        <v>|Cff00FF7F[饰品]紫晶坠子lv5|r</v>
      </c>
      <c r="I37" s="8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0" t="str">
        <f t="shared" si="8"/>
        <v>|Cff00FF7F[饰品]紫晶坠子lv5|r</v>
      </c>
      <c r="K37" s="120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1" t="str">
        <f>VLOOKUP(LEFT(RIGHT(B37,5),4),装备!B:CU,20,FALSE)</f>
        <v>ReplaceableTextures\\CommandButtons\\BTNZ07.blp</v>
      </c>
      <c r="N37" s="138" t="s">
        <v>83</v>
      </c>
      <c r="O37" s="139" t="s">
        <v>84</v>
      </c>
      <c r="P37" s="8">
        <v>0</v>
      </c>
      <c r="Q37" s="8">
        <v>0</v>
      </c>
      <c r="R37" s="138" t="s">
        <v>83</v>
      </c>
      <c r="S37" s="138" t="s">
        <v>83</v>
      </c>
      <c r="T37" s="138" t="s">
        <v>83</v>
      </c>
      <c r="U37" s="138" t="s">
        <v>83</v>
      </c>
      <c r="V37" s="8"/>
      <c r="W37" s="8" t="s">
        <v>85</v>
      </c>
      <c r="X37" s="8">
        <v>0</v>
      </c>
      <c r="Y37" s="138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38" t="s">
        <v>83</v>
      </c>
      <c r="AF37" s="138" t="s">
        <v>83</v>
      </c>
      <c r="AG37" s="138" t="s">
        <v>83</v>
      </c>
      <c r="AH37" s="138" t="s">
        <v>83</v>
      </c>
      <c r="AI37" s="8"/>
      <c r="AJ37" s="8"/>
      <c r="AK37" s="8">
        <v>0</v>
      </c>
      <c r="AL37" s="8">
        <v>0</v>
      </c>
      <c r="AM37" s="138" t="s">
        <v>83</v>
      </c>
      <c r="AN37" s="8">
        <v>200</v>
      </c>
      <c r="AO37" s="8"/>
      <c r="AP37" s="8"/>
    </row>
    <row r="38" spans="1:42">
      <c r="A38" s="118"/>
      <c r="B38" s="8" t="str">
        <f>装备!B38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VLOOKUP(LEFT(RIGHT(B38,5),4),装备!B:CU,2,FALSE)</f>
        <v>|Cff00BFFF[饰品]三才项圈lv1|r</v>
      </c>
      <c r="I38" s="8" t="str">
        <f>VLOOKUP(B38,装备!B:CV,99,FALSE)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0" t="str">
        <f t="shared" si="8"/>
        <v>|Cff00BFFF[饰品]三才项圈lv1|r</v>
      </c>
      <c r="K38" s="120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1" t="str">
        <f>VLOOKUP(LEFT(RIGHT(B38,5),4),装备!B:CU,20,FALSE)</f>
        <v>ReplaceableTextures\\CommandButtons\\BTNZ08.blp</v>
      </c>
      <c r="N38" s="138" t="s">
        <v>83</v>
      </c>
      <c r="O38" s="139" t="s">
        <v>84</v>
      </c>
      <c r="P38" s="8">
        <v>0</v>
      </c>
      <c r="Q38" s="8">
        <v>0</v>
      </c>
      <c r="R38" s="138" t="s">
        <v>83</v>
      </c>
      <c r="S38" s="138" t="s">
        <v>83</v>
      </c>
      <c r="T38" s="138" t="s">
        <v>83</v>
      </c>
      <c r="U38" s="138" t="s">
        <v>83</v>
      </c>
      <c r="V38" s="8"/>
      <c r="W38" s="8" t="s">
        <v>85</v>
      </c>
      <c r="X38" s="8">
        <v>0</v>
      </c>
      <c r="Y38" s="138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38" t="s">
        <v>83</v>
      </c>
      <c r="AF38" s="138" t="s">
        <v>83</v>
      </c>
      <c r="AG38" s="138" t="s">
        <v>83</v>
      </c>
      <c r="AH38" s="138" t="s">
        <v>83</v>
      </c>
      <c r="AI38" s="8"/>
      <c r="AJ38" s="8"/>
      <c r="AK38" s="8">
        <v>0</v>
      </c>
      <c r="AL38" s="8">
        <v>0</v>
      </c>
      <c r="AM38" s="138" t="s">
        <v>83</v>
      </c>
      <c r="AN38" s="8">
        <v>300</v>
      </c>
      <c r="AO38" s="8"/>
      <c r="AP38" s="8"/>
    </row>
    <row r="39" spans="1:42">
      <c r="A39" s="118"/>
      <c r="B39" s="8" t="str">
        <f>装备!B39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VLOOKUP(LEFT(RIGHT(B39,5),4),装备!B:CU,2,FALSE)</f>
        <v>|Cff00BFFF[饰品]三才项圈lv2|r</v>
      </c>
      <c r="I39" s="8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0" t="str">
        <f t="shared" si="8"/>
        <v>|Cff00BFFF[饰品]三才项圈lv2|r</v>
      </c>
      <c r="K39" s="120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1" t="str">
        <f>VLOOKUP(LEFT(RIGHT(B39,5),4),装备!B:CU,20,FALSE)</f>
        <v>ReplaceableTextures\\CommandButtons\\BTNZ08.blp</v>
      </c>
      <c r="N39" s="138" t="s">
        <v>83</v>
      </c>
      <c r="O39" s="139" t="s">
        <v>84</v>
      </c>
      <c r="P39" s="8">
        <v>0</v>
      </c>
      <c r="Q39" s="8">
        <v>0</v>
      </c>
      <c r="R39" s="138" t="s">
        <v>83</v>
      </c>
      <c r="S39" s="138" t="s">
        <v>83</v>
      </c>
      <c r="T39" s="138" t="s">
        <v>83</v>
      </c>
      <c r="U39" s="138" t="s">
        <v>83</v>
      </c>
      <c r="V39" s="8"/>
      <c r="W39" s="8" t="s">
        <v>85</v>
      </c>
      <c r="X39" s="8">
        <v>0</v>
      </c>
      <c r="Y39" s="138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38" t="s">
        <v>83</v>
      </c>
      <c r="AF39" s="138" t="s">
        <v>83</v>
      </c>
      <c r="AG39" s="138" t="s">
        <v>83</v>
      </c>
      <c r="AH39" s="138" t="s">
        <v>83</v>
      </c>
      <c r="AI39" s="8"/>
      <c r="AJ39" s="8"/>
      <c r="AK39" s="8">
        <v>0</v>
      </c>
      <c r="AL39" s="8">
        <v>0</v>
      </c>
      <c r="AM39" s="138" t="s">
        <v>83</v>
      </c>
      <c r="AN39" s="8">
        <v>300</v>
      </c>
      <c r="AO39" s="8"/>
      <c r="AP39" s="8"/>
    </row>
    <row r="40" spans="1:42">
      <c r="A40" s="118"/>
      <c r="B40" s="8" t="str">
        <f>装备!B40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VLOOKUP(LEFT(RIGHT(B40,5),4),装备!B:CU,2,FALSE)</f>
        <v>|Cff00BFFF[饰品]三才项圈lv3|r</v>
      </c>
      <c r="I40" s="8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0" t="str">
        <f t="shared" si="8"/>
        <v>|Cff00BFFF[饰品]三才项圈lv3|r</v>
      </c>
      <c r="K40" s="120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1" t="str">
        <f>VLOOKUP(LEFT(RIGHT(B40,5),4),装备!B:CU,20,FALSE)</f>
        <v>ReplaceableTextures\\CommandButtons\\BTNZ08.blp</v>
      </c>
      <c r="N40" s="138" t="s">
        <v>83</v>
      </c>
      <c r="O40" s="139" t="s">
        <v>84</v>
      </c>
      <c r="P40" s="8">
        <v>0</v>
      </c>
      <c r="Q40" s="8">
        <v>0</v>
      </c>
      <c r="R40" s="138" t="s">
        <v>83</v>
      </c>
      <c r="S40" s="138" t="s">
        <v>83</v>
      </c>
      <c r="T40" s="138" t="s">
        <v>83</v>
      </c>
      <c r="U40" s="138" t="s">
        <v>83</v>
      </c>
      <c r="V40" s="8"/>
      <c r="W40" s="8" t="s">
        <v>85</v>
      </c>
      <c r="X40" s="8">
        <v>0</v>
      </c>
      <c r="Y40" s="138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38" t="s">
        <v>83</v>
      </c>
      <c r="AF40" s="138" t="s">
        <v>83</v>
      </c>
      <c r="AG40" s="138" t="s">
        <v>83</v>
      </c>
      <c r="AH40" s="138" t="s">
        <v>83</v>
      </c>
      <c r="AI40" s="8"/>
      <c r="AJ40" s="8"/>
      <c r="AK40" s="8">
        <v>0</v>
      </c>
      <c r="AL40" s="8">
        <v>0</v>
      </c>
      <c r="AM40" s="138" t="s">
        <v>83</v>
      </c>
      <c r="AN40" s="8">
        <v>300</v>
      </c>
      <c r="AO40" s="8"/>
      <c r="AP40" s="8"/>
    </row>
    <row r="41" spans="1:42">
      <c r="A41" s="118"/>
      <c r="B41" s="8" t="str">
        <f>装备!B41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VLOOKUP(LEFT(RIGHT(B41,5),4),装备!B:CU,2,FALSE)</f>
        <v>|Cff00BFFF[饰品]三才项圈lv4|r</v>
      </c>
      <c r="I41" s="8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0" t="str">
        <f t="shared" si="8"/>
        <v>|Cff00BFFF[饰品]三才项圈lv4|r</v>
      </c>
      <c r="K41" s="120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1" t="str">
        <f>VLOOKUP(LEFT(RIGHT(B41,5),4),装备!B:CU,20,FALSE)</f>
        <v>ReplaceableTextures\\CommandButtons\\BTNZ08.blp</v>
      </c>
      <c r="N41" s="138" t="s">
        <v>83</v>
      </c>
      <c r="O41" s="139" t="s">
        <v>84</v>
      </c>
      <c r="P41" s="8">
        <v>0</v>
      </c>
      <c r="Q41" s="8">
        <v>0</v>
      </c>
      <c r="R41" s="138" t="s">
        <v>83</v>
      </c>
      <c r="S41" s="138" t="s">
        <v>83</v>
      </c>
      <c r="T41" s="138" t="s">
        <v>83</v>
      </c>
      <c r="U41" s="138" t="s">
        <v>83</v>
      </c>
      <c r="V41" s="8"/>
      <c r="W41" s="8" t="s">
        <v>85</v>
      </c>
      <c r="X41" s="8">
        <v>0</v>
      </c>
      <c r="Y41" s="138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38" t="s">
        <v>83</v>
      </c>
      <c r="AF41" s="138" t="s">
        <v>83</v>
      </c>
      <c r="AG41" s="138" t="s">
        <v>83</v>
      </c>
      <c r="AH41" s="138" t="s">
        <v>83</v>
      </c>
      <c r="AI41" s="8"/>
      <c r="AJ41" s="8"/>
      <c r="AK41" s="8">
        <v>0</v>
      </c>
      <c r="AL41" s="8">
        <v>0</v>
      </c>
      <c r="AM41" s="138" t="s">
        <v>83</v>
      </c>
      <c r="AN41" s="8">
        <v>300</v>
      </c>
      <c r="AO41" s="8"/>
      <c r="AP41" s="8"/>
    </row>
    <row r="42" spans="1:42">
      <c r="A42" s="118"/>
      <c r="B42" s="8" t="str">
        <f>装备!B42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VLOOKUP(LEFT(RIGHT(B42,5),4),装备!B:CU,2,FALSE)</f>
        <v>|Cff00BFFF[饰品]三才项圈lv5|r</v>
      </c>
      <c r="I42" s="8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0" t="str">
        <f t="shared" si="8"/>
        <v>|Cff00BFFF[饰品]三才项圈lv5|r</v>
      </c>
      <c r="K42" s="120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1" t="str">
        <f>VLOOKUP(LEFT(RIGHT(B42,5),4),装备!B:CU,20,FALSE)</f>
        <v>ReplaceableTextures\\CommandButtons\\BTNZ08.blp</v>
      </c>
      <c r="N42" s="138" t="s">
        <v>83</v>
      </c>
      <c r="O42" s="139" t="s">
        <v>84</v>
      </c>
      <c r="P42" s="8">
        <v>0</v>
      </c>
      <c r="Q42" s="8">
        <v>0</v>
      </c>
      <c r="R42" s="138" t="s">
        <v>83</v>
      </c>
      <c r="S42" s="138" t="s">
        <v>83</v>
      </c>
      <c r="T42" s="138" t="s">
        <v>83</v>
      </c>
      <c r="U42" s="138" t="s">
        <v>83</v>
      </c>
      <c r="V42" s="8"/>
      <c r="W42" s="8" t="s">
        <v>85</v>
      </c>
      <c r="X42" s="8">
        <v>0</v>
      </c>
      <c r="Y42" s="138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38" t="s">
        <v>83</v>
      </c>
      <c r="AF42" s="138" t="s">
        <v>83</v>
      </c>
      <c r="AG42" s="138" t="s">
        <v>83</v>
      </c>
      <c r="AH42" s="138" t="s">
        <v>83</v>
      </c>
      <c r="AI42" s="8"/>
      <c r="AJ42" s="8"/>
      <c r="AK42" s="8">
        <v>0</v>
      </c>
      <c r="AL42" s="8">
        <v>0</v>
      </c>
      <c r="AM42" s="138" t="s">
        <v>83</v>
      </c>
      <c r="AN42" s="8">
        <v>300</v>
      </c>
      <c r="AO42" s="8"/>
      <c r="AP42" s="8"/>
    </row>
    <row r="43" spans="1:42">
      <c r="A43" s="118"/>
      <c r="B43" s="8" t="str">
        <f>装备!B43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VLOOKUP(LEFT(RIGHT(B43,5),4),装备!B:CU,2,FALSE)</f>
        <v>|CffFFC926[饰品]秘魔灵珠lv1|r</v>
      </c>
      <c r="I43" s="8" t="str">
        <f>VLOOKUP(B43,装备!B:CV,99,FALSE)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0" t="str">
        <f t="shared" si="8"/>
        <v>|CffFFC926[饰品]秘魔灵珠lv1|r</v>
      </c>
      <c r="K43" s="120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1" t="str">
        <f>VLOOKUP(LEFT(RIGHT(B43,5),4),装备!B:CU,20,FALSE)</f>
        <v>ReplaceableTextures\\CommandButtons\\BTNZ09.blp</v>
      </c>
      <c r="N43" s="138" t="s">
        <v>83</v>
      </c>
      <c r="O43" s="139" t="s">
        <v>84</v>
      </c>
      <c r="P43" s="8">
        <v>0</v>
      </c>
      <c r="Q43" s="8">
        <v>0</v>
      </c>
      <c r="R43" s="138" t="s">
        <v>83</v>
      </c>
      <c r="S43" s="138" t="s">
        <v>83</v>
      </c>
      <c r="T43" s="138" t="s">
        <v>83</v>
      </c>
      <c r="U43" s="138" t="s">
        <v>83</v>
      </c>
      <c r="V43" s="8"/>
      <c r="W43" s="8" t="s">
        <v>85</v>
      </c>
      <c r="X43" s="8">
        <v>0</v>
      </c>
      <c r="Y43" s="138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38" t="s">
        <v>83</v>
      </c>
      <c r="AF43" s="138" t="s">
        <v>83</v>
      </c>
      <c r="AG43" s="138" t="s">
        <v>83</v>
      </c>
      <c r="AH43" s="138" t="s">
        <v>83</v>
      </c>
      <c r="AI43" s="8"/>
      <c r="AJ43" s="8"/>
      <c r="AK43" s="8">
        <v>0</v>
      </c>
      <c r="AL43" s="8">
        <v>0</v>
      </c>
      <c r="AM43" s="138" t="s">
        <v>83</v>
      </c>
      <c r="AN43" s="8">
        <v>400</v>
      </c>
      <c r="AO43" s="8"/>
      <c r="AP43" s="8"/>
    </row>
    <row r="44" spans="1:42">
      <c r="A44" s="118"/>
      <c r="B44" s="8" t="str">
        <f>装备!B44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VLOOKUP(LEFT(RIGHT(B44,5),4),装备!B:CU,2,FALSE)</f>
        <v>|CffFFC926[饰品]秘魔灵珠lv2|r</v>
      </c>
      <c r="I44" s="8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0" t="str">
        <f t="shared" si="8"/>
        <v>|CffFFC926[饰品]秘魔灵珠lv2|r</v>
      </c>
      <c r="K44" s="120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1" t="str">
        <f>VLOOKUP(LEFT(RIGHT(B44,5),4),装备!B:CU,20,FALSE)</f>
        <v>ReplaceableTextures\\CommandButtons\\BTNZ09.blp</v>
      </c>
      <c r="N44" s="138" t="s">
        <v>83</v>
      </c>
      <c r="O44" s="139" t="s">
        <v>84</v>
      </c>
      <c r="P44" s="8">
        <v>0</v>
      </c>
      <c r="Q44" s="8">
        <v>0</v>
      </c>
      <c r="R44" s="138" t="s">
        <v>83</v>
      </c>
      <c r="S44" s="138" t="s">
        <v>83</v>
      </c>
      <c r="T44" s="138" t="s">
        <v>83</v>
      </c>
      <c r="U44" s="138" t="s">
        <v>83</v>
      </c>
      <c r="V44" s="8"/>
      <c r="W44" s="8" t="s">
        <v>85</v>
      </c>
      <c r="X44" s="8">
        <v>0</v>
      </c>
      <c r="Y44" s="138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38" t="s">
        <v>83</v>
      </c>
      <c r="AF44" s="138" t="s">
        <v>83</v>
      </c>
      <c r="AG44" s="138" t="s">
        <v>83</v>
      </c>
      <c r="AH44" s="138" t="s">
        <v>83</v>
      </c>
      <c r="AI44" s="8"/>
      <c r="AJ44" s="8"/>
      <c r="AK44" s="8">
        <v>0</v>
      </c>
      <c r="AL44" s="8">
        <v>0</v>
      </c>
      <c r="AM44" s="138" t="s">
        <v>83</v>
      </c>
      <c r="AN44" s="8">
        <v>400</v>
      </c>
      <c r="AO44" s="8"/>
      <c r="AP44" s="8"/>
    </row>
    <row r="45" spans="1:42">
      <c r="A45" s="118"/>
      <c r="B45" s="8" t="str">
        <f>装备!B45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VLOOKUP(LEFT(RIGHT(B45,5),4),装备!B:CU,2,FALSE)</f>
        <v>|CffFFC926[饰品]秘魔灵珠lv3|r</v>
      </c>
      <c r="I45" s="8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0" t="str">
        <f t="shared" si="8"/>
        <v>|CffFFC926[饰品]秘魔灵珠lv3|r</v>
      </c>
      <c r="K45" s="120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1" t="str">
        <f>VLOOKUP(LEFT(RIGHT(B45,5),4),装备!B:CU,20,FALSE)</f>
        <v>ReplaceableTextures\\CommandButtons\\BTNZ09.blp</v>
      </c>
      <c r="N45" s="138" t="s">
        <v>83</v>
      </c>
      <c r="O45" s="139" t="s">
        <v>84</v>
      </c>
      <c r="P45" s="8">
        <v>0</v>
      </c>
      <c r="Q45" s="8">
        <v>0</v>
      </c>
      <c r="R45" s="138" t="s">
        <v>83</v>
      </c>
      <c r="S45" s="138" t="s">
        <v>83</v>
      </c>
      <c r="T45" s="138" t="s">
        <v>83</v>
      </c>
      <c r="U45" s="138" t="s">
        <v>83</v>
      </c>
      <c r="V45" s="8"/>
      <c r="W45" s="8" t="s">
        <v>85</v>
      </c>
      <c r="X45" s="8">
        <v>0</v>
      </c>
      <c r="Y45" s="138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38" t="s">
        <v>83</v>
      </c>
      <c r="AF45" s="138" t="s">
        <v>83</v>
      </c>
      <c r="AG45" s="138" t="s">
        <v>83</v>
      </c>
      <c r="AH45" s="138" t="s">
        <v>83</v>
      </c>
      <c r="AI45" s="8"/>
      <c r="AJ45" s="8"/>
      <c r="AK45" s="8">
        <v>0</v>
      </c>
      <c r="AL45" s="8">
        <v>0</v>
      </c>
      <c r="AM45" s="138" t="s">
        <v>83</v>
      </c>
      <c r="AN45" s="8">
        <v>400</v>
      </c>
      <c r="AO45" s="8"/>
      <c r="AP45" s="8"/>
    </row>
    <row r="46" spans="1:42">
      <c r="A46" s="118"/>
      <c r="B46" s="8" t="str">
        <f>装备!B46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VLOOKUP(LEFT(RIGHT(B46,5),4),装备!B:CU,2,FALSE)</f>
        <v>|CffFFC926[饰品]秘魔灵珠lv4|r</v>
      </c>
      <c r="I46" s="8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0" t="str">
        <f t="shared" si="8"/>
        <v>|CffFFC926[饰品]秘魔灵珠lv4|r</v>
      </c>
      <c r="K46" s="120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1" t="str">
        <f>VLOOKUP(LEFT(RIGHT(B46,5),4),装备!B:CU,20,FALSE)</f>
        <v>ReplaceableTextures\\CommandButtons\\BTNZ09.blp</v>
      </c>
      <c r="N46" s="138" t="s">
        <v>83</v>
      </c>
      <c r="O46" s="139" t="s">
        <v>84</v>
      </c>
      <c r="P46" s="8">
        <v>0</v>
      </c>
      <c r="Q46" s="8">
        <v>0</v>
      </c>
      <c r="R46" s="138" t="s">
        <v>83</v>
      </c>
      <c r="S46" s="138" t="s">
        <v>83</v>
      </c>
      <c r="T46" s="138" t="s">
        <v>83</v>
      </c>
      <c r="U46" s="138" t="s">
        <v>83</v>
      </c>
      <c r="V46" s="8"/>
      <c r="W46" s="8" t="s">
        <v>85</v>
      </c>
      <c r="X46" s="8">
        <v>0</v>
      </c>
      <c r="Y46" s="138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38" t="s">
        <v>83</v>
      </c>
      <c r="AF46" s="138" t="s">
        <v>83</v>
      </c>
      <c r="AG46" s="138" t="s">
        <v>83</v>
      </c>
      <c r="AH46" s="138" t="s">
        <v>83</v>
      </c>
      <c r="AI46" s="8"/>
      <c r="AJ46" s="8"/>
      <c r="AK46" s="8">
        <v>0</v>
      </c>
      <c r="AL46" s="8">
        <v>0</v>
      </c>
      <c r="AM46" s="138" t="s">
        <v>83</v>
      </c>
      <c r="AN46" s="8">
        <v>400</v>
      </c>
      <c r="AO46" s="8"/>
      <c r="AP46" s="8"/>
    </row>
    <row r="47" spans="1:42">
      <c r="A47" s="118"/>
      <c r="B47" s="8" t="str">
        <f>装备!B47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VLOOKUP(LEFT(RIGHT(B47,5),4),装备!B:CU,2,FALSE)</f>
        <v>|CffFFC926[饰品]秘魔灵珠lv5|r</v>
      </c>
      <c r="I47" s="8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0" t="str">
        <f t="shared" si="8"/>
        <v>|CffFFC926[饰品]秘魔灵珠lv5|r</v>
      </c>
      <c r="K47" s="120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1" t="str">
        <f>VLOOKUP(LEFT(RIGHT(B47,5),4),装备!B:CU,20,FALSE)</f>
        <v>ReplaceableTextures\\CommandButtons\\BTNZ09.blp</v>
      </c>
      <c r="N47" s="138" t="s">
        <v>83</v>
      </c>
      <c r="O47" s="139" t="s">
        <v>84</v>
      </c>
      <c r="P47" s="8">
        <v>0</v>
      </c>
      <c r="Q47" s="8">
        <v>0</v>
      </c>
      <c r="R47" s="138" t="s">
        <v>83</v>
      </c>
      <c r="S47" s="138" t="s">
        <v>83</v>
      </c>
      <c r="T47" s="138" t="s">
        <v>83</v>
      </c>
      <c r="U47" s="138" t="s">
        <v>83</v>
      </c>
      <c r="V47" s="8"/>
      <c r="W47" s="8" t="s">
        <v>85</v>
      </c>
      <c r="X47" s="8">
        <v>0</v>
      </c>
      <c r="Y47" s="138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38" t="s">
        <v>83</v>
      </c>
      <c r="AF47" s="138" t="s">
        <v>83</v>
      </c>
      <c r="AG47" s="138" t="s">
        <v>83</v>
      </c>
      <c r="AH47" s="138" t="s">
        <v>83</v>
      </c>
      <c r="AI47" s="8"/>
      <c r="AJ47" s="8"/>
      <c r="AK47" s="8">
        <v>0</v>
      </c>
      <c r="AL47" s="8">
        <v>0</v>
      </c>
      <c r="AM47" s="138" t="s">
        <v>83</v>
      </c>
      <c r="AN47" s="8">
        <v>400</v>
      </c>
      <c r="AO47" s="8"/>
      <c r="AP47" s="8"/>
    </row>
    <row r="48" spans="1:42">
      <c r="A48" s="118"/>
      <c r="B48" s="8" t="str">
        <f>装备!B48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VLOOKUP(LEFT(RIGHT(B48,5),4),装备!B:CU,2,FALSE)</f>
        <v>|CffFF0000[饰品]流光绝影lv1|r</v>
      </c>
      <c r="I48" s="8" t="str">
        <f>VLOOKUP(B48,装备!B:CV,99,FALSE)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0" t="str">
        <f t="shared" si="8"/>
        <v>|CffFF0000[饰品]流光绝影lv1|r</v>
      </c>
      <c r="K48" s="120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1" t="str">
        <f>VLOOKUP(LEFT(RIGHT(B48,5),4),装备!B:CU,20,FALSE)</f>
        <v>ReplaceableTextures\\CommandButtons\\BTNZ10.blp</v>
      </c>
      <c r="N48" s="138" t="s">
        <v>83</v>
      </c>
      <c r="O48" s="139" t="s">
        <v>84</v>
      </c>
      <c r="P48" s="8">
        <v>0</v>
      </c>
      <c r="Q48" s="8">
        <v>0</v>
      </c>
      <c r="R48" s="138" t="s">
        <v>83</v>
      </c>
      <c r="S48" s="138" t="s">
        <v>83</v>
      </c>
      <c r="T48" s="138" t="s">
        <v>83</v>
      </c>
      <c r="U48" s="138" t="s">
        <v>83</v>
      </c>
      <c r="V48" s="8"/>
      <c r="W48" s="8" t="s">
        <v>85</v>
      </c>
      <c r="X48" s="8">
        <v>0</v>
      </c>
      <c r="Y48" s="138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38" t="s">
        <v>83</v>
      </c>
      <c r="AF48" s="138" t="s">
        <v>83</v>
      </c>
      <c r="AG48" s="138" t="s">
        <v>83</v>
      </c>
      <c r="AH48" s="138" t="s">
        <v>83</v>
      </c>
      <c r="AI48" s="8"/>
      <c r="AJ48" s="8"/>
      <c r="AK48" s="8">
        <v>0</v>
      </c>
      <c r="AL48" s="8">
        <v>0</v>
      </c>
      <c r="AM48" s="138" t="s">
        <v>83</v>
      </c>
      <c r="AN48" s="8">
        <v>500</v>
      </c>
      <c r="AO48" s="8"/>
      <c r="AP48" s="8"/>
    </row>
    <row r="49" spans="1:42">
      <c r="A49" s="118"/>
      <c r="B49" s="8" t="str">
        <f>装备!B49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VLOOKUP(LEFT(RIGHT(B49,5),4),装备!B:CU,2,FALSE)</f>
        <v>|CffFF0000[饰品]流光绝影lv2|r</v>
      </c>
      <c r="I49" s="8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0" t="str">
        <f t="shared" si="8"/>
        <v>|CffFF0000[饰品]流光绝影lv2|r</v>
      </c>
      <c r="K49" s="120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1" t="str">
        <f>VLOOKUP(LEFT(RIGHT(B49,5),4),装备!B:CU,20,FALSE)</f>
        <v>ReplaceableTextures\\CommandButtons\\BTNZ10.blp</v>
      </c>
      <c r="N49" s="138" t="s">
        <v>83</v>
      </c>
      <c r="O49" s="139" t="s">
        <v>84</v>
      </c>
      <c r="P49" s="8">
        <v>0</v>
      </c>
      <c r="Q49" s="8">
        <v>0</v>
      </c>
      <c r="R49" s="138" t="s">
        <v>83</v>
      </c>
      <c r="S49" s="138" t="s">
        <v>83</v>
      </c>
      <c r="T49" s="138" t="s">
        <v>83</v>
      </c>
      <c r="U49" s="138" t="s">
        <v>83</v>
      </c>
      <c r="V49" s="8"/>
      <c r="W49" s="8" t="s">
        <v>85</v>
      </c>
      <c r="X49" s="8">
        <v>0</v>
      </c>
      <c r="Y49" s="138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38" t="s">
        <v>83</v>
      </c>
      <c r="AF49" s="138" t="s">
        <v>83</v>
      </c>
      <c r="AG49" s="138" t="s">
        <v>83</v>
      </c>
      <c r="AH49" s="138" t="s">
        <v>83</v>
      </c>
      <c r="AI49" s="8"/>
      <c r="AJ49" s="8"/>
      <c r="AK49" s="8">
        <v>0</v>
      </c>
      <c r="AL49" s="8">
        <v>0</v>
      </c>
      <c r="AM49" s="138" t="s">
        <v>83</v>
      </c>
      <c r="AN49" s="8">
        <v>500</v>
      </c>
      <c r="AO49" s="8"/>
      <c r="AP49" s="8"/>
    </row>
    <row r="50" spans="1:42">
      <c r="A50" s="118"/>
      <c r="B50" s="8" t="str">
        <f>装备!B50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VLOOKUP(LEFT(RIGHT(B50,5),4),装备!B:CU,2,FALSE)</f>
        <v>|CffFF0000[饰品]流光绝影lv3|r</v>
      </c>
      <c r="I50" s="8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0" t="str">
        <f t="shared" si="8"/>
        <v>|CffFF0000[饰品]流光绝影lv3|r</v>
      </c>
      <c r="K50" s="120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1" t="str">
        <f>VLOOKUP(LEFT(RIGHT(B50,5),4),装备!B:CU,20,FALSE)</f>
        <v>ReplaceableTextures\\CommandButtons\\BTNZ10.blp</v>
      </c>
      <c r="N50" s="138" t="s">
        <v>83</v>
      </c>
      <c r="O50" s="139" t="s">
        <v>84</v>
      </c>
      <c r="P50" s="8">
        <v>0</v>
      </c>
      <c r="Q50" s="8">
        <v>0</v>
      </c>
      <c r="R50" s="138" t="s">
        <v>83</v>
      </c>
      <c r="S50" s="138" t="s">
        <v>83</v>
      </c>
      <c r="T50" s="138" t="s">
        <v>83</v>
      </c>
      <c r="U50" s="138" t="s">
        <v>83</v>
      </c>
      <c r="V50" s="8"/>
      <c r="W50" s="8" t="s">
        <v>85</v>
      </c>
      <c r="X50" s="8">
        <v>0</v>
      </c>
      <c r="Y50" s="138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38" t="s">
        <v>83</v>
      </c>
      <c r="AF50" s="138" t="s">
        <v>83</v>
      </c>
      <c r="AG50" s="138" t="s">
        <v>83</v>
      </c>
      <c r="AH50" s="138" t="s">
        <v>83</v>
      </c>
      <c r="AI50" s="8"/>
      <c r="AJ50" s="8"/>
      <c r="AK50" s="8">
        <v>0</v>
      </c>
      <c r="AL50" s="8">
        <v>0</v>
      </c>
      <c r="AM50" s="138" t="s">
        <v>83</v>
      </c>
      <c r="AN50" s="8">
        <v>500</v>
      </c>
      <c r="AO50" s="8"/>
      <c r="AP50" s="8"/>
    </row>
    <row r="51" spans="1:42">
      <c r="A51" s="118"/>
      <c r="B51" s="8" t="str">
        <f>装备!B51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VLOOKUP(LEFT(RIGHT(B51,5),4),装备!B:CU,2,FALSE)</f>
        <v>|CffFF0000[饰品]流光绝影lv4|r</v>
      </c>
      <c r="I51" s="8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0" t="str">
        <f t="shared" si="8"/>
        <v>|CffFF0000[饰品]流光绝影lv4|r</v>
      </c>
      <c r="K51" s="120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1" t="str">
        <f>VLOOKUP(LEFT(RIGHT(B51,5),4),装备!B:CU,20,FALSE)</f>
        <v>ReplaceableTextures\\CommandButtons\\BTNZ10.blp</v>
      </c>
      <c r="N51" s="138" t="s">
        <v>83</v>
      </c>
      <c r="O51" s="139" t="s">
        <v>84</v>
      </c>
      <c r="P51" s="8">
        <v>0</v>
      </c>
      <c r="Q51" s="8">
        <v>0</v>
      </c>
      <c r="R51" s="138" t="s">
        <v>83</v>
      </c>
      <c r="S51" s="138" t="s">
        <v>83</v>
      </c>
      <c r="T51" s="138" t="s">
        <v>83</v>
      </c>
      <c r="U51" s="138" t="s">
        <v>83</v>
      </c>
      <c r="V51" s="8"/>
      <c r="W51" s="8" t="s">
        <v>85</v>
      </c>
      <c r="X51" s="8">
        <v>0</v>
      </c>
      <c r="Y51" s="138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38" t="s">
        <v>83</v>
      </c>
      <c r="AF51" s="138" t="s">
        <v>83</v>
      </c>
      <c r="AG51" s="138" t="s">
        <v>83</v>
      </c>
      <c r="AH51" s="138" t="s">
        <v>83</v>
      </c>
      <c r="AI51" s="8"/>
      <c r="AJ51" s="8"/>
      <c r="AK51" s="8">
        <v>0</v>
      </c>
      <c r="AL51" s="8">
        <v>0</v>
      </c>
      <c r="AM51" s="138" t="s">
        <v>83</v>
      </c>
      <c r="AN51" s="8">
        <v>500</v>
      </c>
      <c r="AO51" s="8"/>
      <c r="AP51" s="8"/>
    </row>
    <row r="52" spans="1:42">
      <c r="A52" s="118"/>
      <c r="B52" s="8" t="str">
        <f>装备!B52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VLOOKUP(LEFT(RIGHT(B52,5),4),装备!B:CU,2,FALSE)</f>
        <v>|CffFF0000[饰品]流光绝影lv5|r</v>
      </c>
      <c r="I52" s="8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20" t="str">
        <f t="shared" si="8"/>
        <v>|CffFF0000[饰品]流光绝影lv5|r</v>
      </c>
      <c r="K52" s="120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8"/>
      <c r="M52" s="121" t="str">
        <f>VLOOKUP(LEFT(RIGHT(B52,5),4),装备!B:CU,20,FALSE)</f>
        <v>ReplaceableTextures\\CommandButtons\\BTNZ10.blp</v>
      </c>
      <c r="N52" s="138" t="s">
        <v>83</v>
      </c>
      <c r="O52" s="139" t="s">
        <v>84</v>
      </c>
      <c r="P52" s="8">
        <v>0</v>
      </c>
      <c r="Q52" s="8">
        <v>0</v>
      </c>
      <c r="R52" s="138" t="s">
        <v>83</v>
      </c>
      <c r="S52" s="138" t="s">
        <v>83</v>
      </c>
      <c r="T52" s="138" t="s">
        <v>83</v>
      </c>
      <c r="U52" s="138" t="s">
        <v>83</v>
      </c>
      <c r="V52" s="8"/>
      <c r="W52" s="8" t="s">
        <v>85</v>
      </c>
      <c r="X52" s="8">
        <v>0</v>
      </c>
      <c r="Y52" s="138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38" t="s">
        <v>83</v>
      </c>
      <c r="AF52" s="138" t="s">
        <v>83</v>
      </c>
      <c r="AG52" s="138" t="s">
        <v>83</v>
      </c>
      <c r="AH52" s="138" t="s">
        <v>83</v>
      </c>
      <c r="AI52" s="8"/>
      <c r="AJ52" s="8"/>
      <c r="AK52" s="8">
        <v>0</v>
      </c>
      <c r="AL52" s="8">
        <v>0</v>
      </c>
      <c r="AM52" s="138" t="s">
        <v>83</v>
      </c>
      <c r="AN52" s="8"/>
      <c r="AO52" s="8"/>
      <c r="AP52" s="8"/>
    </row>
    <row r="53" spans="1:42">
      <c r="A53" s="118"/>
      <c r="B53" s="8" t="str">
        <f>装备!B53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VLOOKUP(LEFT(RIGHT(B53,5),4),装备!B:CU,2,FALSE)</f>
        <v>[防具]贤者道袍lv1</v>
      </c>
      <c r="I53" s="8" t="str">
        <f>VLOOKUP(B53,装备!B:CV,99,FALSE)</f>
        <v>|Cffbbbbbb属性：|r|n护甲+30|n生命值+750|n生命回复+15|n|n|Cff00ff7f点击消耗800金币进行强化|n成功率100%</v>
      </c>
      <c r="J53" s="120" t="str">
        <f t="shared" si="8"/>
        <v>[防具]贤者道袍lv1</v>
      </c>
      <c r="K53" s="120" t="str">
        <f t="shared" si="9"/>
        <v>|Cffbbbbbb属性：|r|n护甲+30|n生命值+750|n生命回复+15|n|n|Cff00ff7f点击消耗800金币进行强化|n成功率100%</v>
      </c>
      <c r="L53" s="8"/>
      <c r="M53" s="121" t="str">
        <f>VLOOKUP(LEFT(RIGHT(B53,5),4),装备!B:CU,20,FALSE)</f>
        <v>ReplaceableTextures\\CommandButtons\\BTNZ11.blp</v>
      </c>
      <c r="N53" s="138" t="s">
        <v>83</v>
      </c>
      <c r="O53" s="139" t="s">
        <v>84</v>
      </c>
      <c r="P53" s="8">
        <v>0</v>
      </c>
      <c r="Q53" s="8">
        <v>0</v>
      </c>
      <c r="R53" s="138" t="s">
        <v>83</v>
      </c>
      <c r="S53" s="138" t="s">
        <v>83</v>
      </c>
      <c r="T53" s="138" t="s">
        <v>83</v>
      </c>
      <c r="U53" s="138" t="s">
        <v>83</v>
      </c>
      <c r="V53" s="8"/>
      <c r="W53" s="8" t="s">
        <v>85</v>
      </c>
      <c r="X53" s="8">
        <v>0</v>
      </c>
      <c r="Y53" s="138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38" t="s">
        <v>83</v>
      </c>
      <c r="AF53" s="138" t="s">
        <v>83</v>
      </c>
      <c r="AG53" s="138" t="s">
        <v>83</v>
      </c>
      <c r="AH53" s="138" t="s">
        <v>83</v>
      </c>
      <c r="AI53" s="8"/>
      <c r="AJ53" s="8"/>
      <c r="AK53" s="8">
        <v>0</v>
      </c>
      <c r="AL53" s="8">
        <v>0</v>
      </c>
      <c r="AM53" s="138" t="s">
        <v>83</v>
      </c>
      <c r="AN53" s="8"/>
      <c r="AO53" s="8"/>
      <c r="AP53" s="8">
        <v>1</v>
      </c>
    </row>
    <row r="54" spans="1:42">
      <c r="A54" s="118"/>
      <c r="B54" s="8" t="str">
        <f>装备!B54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VLOOKUP(LEFT(RIGHT(B54,5),4),装备!B:CU,2,FALSE)</f>
        <v>[防具]贤者道袍lv2</v>
      </c>
      <c r="I54" s="8" t="str">
        <f>VLOOKUP(B54,装备!B:CV,99,FALSE)</f>
        <v>|Cffbbbbbb属性：|r|n护甲+60|n生命值+1500|n生命回复+30|n|n|Cff00ff7f点击消耗800金币进行强化|n成功率100%</v>
      </c>
      <c r="J54" s="120" t="str">
        <f t="shared" ref="J54:J58" si="10">H54</f>
        <v>[防具]贤者道袍lv2</v>
      </c>
      <c r="K54" s="120" t="str">
        <f t="shared" ref="K54:K58" si="11">I54</f>
        <v>|Cffbbbbbb属性：|r|n护甲+60|n生命值+1500|n生命回复+30|n|n|Cff00ff7f点击消耗800金币进行强化|n成功率100%</v>
      </c>
      <c r="L54" s="8"/>
      <c r="M54" s="121" t="str">
        <f>VLOOKUP(LEFT(RIGHT(B54,5),4),装备!B:CU,20,FALSE)</f>
        <v>ReplaceableTextures\\CommandButtons\\BTNZ11.blp</v>
      </c>
      <c r="N54" s="138" t="s">
        <v>83</v>
      </c>
      <c r="O54" s="139" t="s">
        <v>84</v>
      </c>
      <c r="P54" s="8">
        <v>0</v>
      </c>
      <c r="Q54" s="8">
        <v>0</v>
      </c>
      <c r="R54" s="138" t="s">
        <v>83</v>
      </c>
      <c r="S54" s="138" t="s">
        <v>83</v>
      </c>
      <c r="T54" s="138" t="s">
        <v>83</v>
      </c>
      <c r="U54" s="138" t="s">
        <v>83</v>
      </c>
      <c r="V54" s="8"/>
      <c r="W54" s="8" t="s">
        <v>85</v>
      </c>
      <c r="X54" s="8">
        <v>0</v>
      </c>
      <c r="Y54" s="138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38" t="s">
        <v>83</v>
      </c>
      <c r="AF54" s="138" t="s">
        <v>83</v>
      </c>
      <c r="AG54" s="138" t="s">
        <v>83</v>
      </c>
      <c r="AH54" s="138" t="s">
        <v>83</v>
      </c>
      <c r="AI54" s="8"/>
      <c r="AJ54" s="8"/>
      <c r="AK54" s="8">
        <v>0</v>
      </c>
      <c r="AL54" s="8">
        <v>0</v>
      </c>
      <c r="AM54" s="138" t="s">
        <v>83</v>
      </c>
      <c r="AN54" s="8"/>
      <c r="AO54" s="8"/>
      <c r="AP54" s="8">
        <v>1</v>
      </c>
    </row>
    <row r="55" spans="1:42">
      <c r="A55" s="118"/>
      <c r="B55" s="8" t="str">
        <f>装备!B55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VLOOKUP(LEFT(RIGHT(B55,5),4),装备!B:CU,2,FALSE)</f>
        <v>[防具]贤者道袍lv3</v>
      </c>
      <c r="I55" s="8" t="str">
        <f>VLOOKUP(B55,装备!B:CV,99,FALSE)</f>
        <v>|Cffbbbbbb属性：|r|n护甲+90|n生命值+2250|n生命回复+45|n|n|Cff00ff7f点击消耗800金币进行强化|n成功率100%</v>
      </c>
      <c r="J55" s="120" t="str">
        <f t="shared" si="10"/>
        <v>[防具]贤者道袍lv3</v>
      </c>
      <c r="K55" s="120" t="str">
        <f t="shared" si="11"/>
        <v>|Cffbbbbbb属性：|r|n护甲+90|n生命值+2250|n生命回复+45|n|n|Cff00ff7f点击消耗800金币进行强化|n成功率100%</v>
      </c>
      <c r="L55" s="8"/>
      <c r="M55" s="121" t="str">
        <f>VLOOKUP(LEFT(RIGHT(B55,5),4),装备!B:CU,20,FALSE)</f>
        <v>ReplaceableTextures\\CommandButtons\\BTNZ11.blp</v>
      </c>
      <c r="N55" s="138" t="s">
        <v>83</v>
      </c>
      <c r="O55" s="139" t="s">
        <v>84</v>
      </c>
      <c r="P55" s="8">
        <v>0</v>
      </c>
      <c r="Q55" s="8">
        <v>0</v>
      </c>
      <c r="R55" s="138" t="s">
        <v>83</v>
      </c>
      <c r="S55" s="138" t="s">
        <v>83</v>
      </c>
      <c r="T55" s="138" t="s">
        <v>83</v>
      </c>
      <c r="U55" s="138" t="s">
        <v>83</v>
      </c>
      <c r="V55" s="8"/>
      <c r="W55" s="8" t="s">
        <v>85</v>
      </c>
      <c r="X55" s="8">
        <v>0</v>
      </c>
      <c r="Y55" s="138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38" t="s">
        <v>83</v>
      </c>
      <c r="AF55" s="138" t="s">
        <v>83</v>
      </c>
      <c r="AG55" s="138" t="s">
        <v>83</v>
      </c>
      <c r="AH55" s="138" t="s">
        <v>83</v>
      </c>
      <c r="AI55" s="8"/>
      <c r="AJ55" s="8"/>
      <c r="AK55" s="8">
        <v>0</v>
      </c>
      <c r="AL55" s="8">
        <v>0</v>
      </c>
      <c r="AM55" s="138" t="s">
        <v>83</v>
      </c>
      <c r="AN55" s="8"/>
      <c r="AO55" s="8"/>
      <c r="AP55" s="8">
        <v>1</v>
      </c>
    </row>
    <row r="56" spans="1:42">
      <c r="A56" s="118"/>
      <c r="B56" s="8" t="str">
        <f>装备!B56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VLOOKUP(LEFT(RIGHT(B56,5),4),装备!B:CU,2,FALSE)</f>
        <v>[防具]贤者道袍lv4</v>
      </c>
      <c r="I56" s="8" t="str">
        <f>VLOOKUP(B56,装备!B:CV,99,FALSE)</f>
        <v>|Cffbbbbbb属性：|r|n护甲+120|n生命值+3750|n生命回复+75|n|n|Cff00ff7f点击消耗800金币进行强化|n成功率100%</v>
      </c>
      <c r="J56" s="120" t="str">
        <f t="shared" si="10"/>
        <v>[防具]贤者道袍lv4</v>
      </c>
      <c r="K56" s="120" t="str">
        <f t="shared" si="11"/>
        <v>|Cffbbbbbb属性：|r|n护甲+120|n生命值+3750|n生命回复+75|n|n|Cff00ff7f点击消耗800金币进行强化|n成功率100%</v>
      </c>
      <c r="L56" s="8"/>
      <c r="M56" s="121" t="str">
        <f>VLOOKUP(LEFT(RIGHT(B56,5),4),装备!B:CU,20,FALSE)</f>
        <v>ReplaceableTextures\\CommandButtons\\BTNZ11.blp</v>
      </c>
      <c r="N56" s="138" t="s">
        <v>83</v>
      </c>
      <c r="O56" s="139" t="s">
        <v>84</v>
      </c>
      <c r="P56" s="8">
        <v>0</v>
      </c>
      <c r="Q56" s="8">
        <v>0</v>
      </c>
      <c r="R56" s="138" t="s">
        <v>83</v>
      </c>
      <c r="S56" s="138" t="s">
        <v>83</v>
      </c>
      <c r="T56" s="138" t="s">
        <v>83</v>
      </c>
      <c r="U56" s="138" t="s">
        <v>83</v>
      </c>
      <c r="V56" s="8"/>
      <c r="W56" s="8" t="s">
        <v>85</v>
      </c>
      <c r="X56" s="8">
        <v>0</v>
      </c>
      <c r="Y56" s="138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38" t="s">
        <v>83</v>
      </c>
      <c r="AF56" s="138" t="s">
        <v>83</v>
      </c>
      <c r="AG56" s="138" t="s">
        <v>83</v>
      </c>
      <c r="AH56" s="138" t="s">
        <v>83</v>
      </c>
      <c r="AI56" s="8"/>
      <c r="AJ56" s="8"/>
      <c r="AK56" s="8">
        <v>0</v>
      </c>
      <c r="AL56" s="8">
        <v>0</v>
      </c>
      <c r="AM56" s="138" t="s">
        <v>83</v>
      </c>
      <c r="AN56" s="8"/>
      <c r="AO56" s="8"/>
      <c r="AP56" s="8">
        <v>1</v>
      </c>
    </row>
    <row r="57" spans="1:42">
      <c r="A57" s="118"/>
      <c r="B57" s="8" t="str">
        <f>装备!B57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VLOOKUP(LEFT(RIGHT(B57,5),4),装备!B:CU,2,FALSE)</f>
        <v>[防具]贤者道袍lv5</v>
      </c>
      <c r="I57" s="8" t="str">
        <f>VLOOKUP(B57,装备!B:CV,99,FALSE)</f>
        <v>|Cffbbbbbb属性：|r|n护甲+150|n生命值+5250|n生命回复+105|n|n|Cff00ff7f点击消耗2500金币进行晋阶挑战</v>
      </c>
      <c r="J57" s="120" t="str">
        <f t="shared" si="10"/>
        <v>[防具]贤者道袍lv5</v>
      </c>
      <c r="K57" s="120" t="str">
        <f t="shared" si="11"/>
        <v>|Cffbbbbbb属性：|r|n护甲+150|n生命值+5250|n生命回复+105|n|n|Cff00ff7f点击消耗2500金币进行晋阶挑战</v>
      </c>
      <c r="L57" s="8"/>
      <c r="M57" s="121" t="str">
        <f>VLOOKUP(LEFT(RIGHT(B57,5),4),装备!B:CU,20,FALSE)</f>
        <v>ReplaceableTextures\\CommandButtons\\BTNZ11.blp</v>
      </c>
      <c r="N57" s="138" t="s">
        <v>83</v>
      </c>
      <c r="O57" s="139" t="s">
        <v>84</v>
      </c>
      <c r="P57" s="8">
        <v>0</v>
      </c>
      <c r="Q57" s="8">
        <v>0</v>
      </c>
      <c r="R57" s="138" t="s">
        <v>83</v>
      </c>
      <c r="S57" s="138" t="s">
        <v>83</v>
      </c>
      <c r="T57" s="138" t="s">
        <v>83</v>
      </c>
      <c r="U57" s="138" t="s">
        <v>83</v>
      </c>
      <c r="V57" s="8"/>
      <c r="W57" s="8" t="s">
        <v>85</v>
      </c>
      <c r="X57" s="8">
        <v>0</v>
      </c>
      <c r="Y57" s="138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38" t="s">
        <v>83</v>
      </c>
      <c r="AF57" s="138" t="s">
        <v>83</v>
      </c>
      <c r="AG57" s="138" t="s">
        <v>83</v>
      </c>
      <c r="AH57" s="138" t="s">
        <v>83</v>
      </c>
      <c r="AI57" s="8"/>
      <c r="AJ57" s="8"/>
      <c r="AK57" s="8">
        <v>0</v>
      </c>
      <c r="AL57" s="8">
        <v>0</v>
      </c>
      <c r="AM57" s="138" t="s">
        <v>83</v>
      </c>
      <c r="AN57" s="8"/>
      <c r="AO57" s="8"/>
      <c r="AP57" s="8">
        <v>1</v>
      </c>
    </row>
    <row r="58" spans="1:42">
      <c r="A58" s="118"/>
      <c r="B58" s="8" t="str">
        <f>装备!B58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VLOOKUP(LEFT(RIGHT(B58,5),4),装备!B:CU,2,FALSE)</f>
        <v>|Cff00FF7F[防具]珊瑚玉衣lv1|r</v>
      </c>
      <c r="I58" s="8" t="str">
        <f>VLOOKUP(B58,装备!B:CV,99,FALSE)</f>
        <v>|Cffbbbbbb属性：|r|n护甲+200|n生命值+7500|n生命回复+150|n生命恢复%+1|n|n|Cff00ff7f点击消耗2500金币进行强化|n成功率85%</v>
      </c>
      <c r="J58" s="120" t="str">
        <f t="shared" si="10"/>
        <v>|Cff00FF7F[防具]珊瑚玉衣lv1|r</v>
      </c>
      <c r="K58" s="120" t="str">
        <f t="shared" si="11"/>
        <v>|Cffbbbbbb属性：|r|n护甲+200|n生命值+7500|n生命回复+150|n生命恢复%+1|n|n|Cff00ff7f点击消耗2500金币进行强化|n成功率85%</v>
      </c>
      <c r="L58" s="8"/>
      <c r="M58" s="121" t="str">
        <f>VLOOKUP(LEFT(RIGHT(B58,5),4),装备!B:CU,20,FALSE)</f>
        <v>ReplaceableTextures\\CommandButtons\\BTNZ12.blp</v>
      </c>
      <c r="N58" s="138" t="s">
        <v>83</v>
      </c>
      <c r="O58" s="139" t="s">
        <v>84</v>
      </c>
      <c r="P58" s="8">
        <v>0</v>
      </c>
      <c r="Q58" s="8">
        <v>0</v>
      </c>
      <c r="R58" s="138" t="s">
        <v>83</v>
      </c>
      <c r="S58" s="138" t="s">
        <v>83</v>
      </c>
      <c r="T58" s="138" t="s">
        <v>83</v>
      </c>
      <c r="U58" s="138" t="s">
        <v>83</v>
      </c>
      <c r="V58" s="8"/>
      <c r="W58" s="8" t="s">
        <v>85</v>
      </c>
      <c r="X58" s="8">
        <v>0</v>
      </c>
      <c r="Y58" s="138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38" t="s">
        <v>83</v>
      </c>
      <c r="AF58" s="138" t="s">
        <v>83</v>
      </c>
      <c r="AG58" s="138" t="s">
        <v>83</v>
      </c>
      <c r="AH58" s="138" t="s">
        <v>83</v>
      </c>
      <c r="AI58" s="8"/>
      <c r="AJ58" s="8"/>
      <c r="AK58" s="8">
        <v>0</v>
      </c>
      <c r="AL58" s="8">
        <v>0</v>
      </c>
      <c r="AM58" s="138" t="s">
        <v>83</v>
      </c>
      <c r="AN58" s="8"/>
      <c r="AO58" s="8"/>
      <c r="AP58" s="8">
        <v>1</v>
      </c>
    </row>
    <row r="59" spans="1:42">
      <c r="A59" s="118"/>
      <c r="B59" s="8" t="str">
        <f>装备!B59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VLOOKUP(LEFT(RIGHT(B59,5),4),装备!B:CU,2,FALSE)</f>
        <v>|Cff00FF7F[防具]珊瑚玉衣lv2|r</v>
      </c>
      <c r="I59" s="8" t="str">
        <f>VLOOKUP(B59,装备!B:CV,99,FALSE)</f>
        <v>|Cffbbbbbb属性：|r|n护甲+260|n生命值+12000|n生命回复+240|n生命恢复%+1|n|n|Cff00ff7f点击消耗2500金币进行强化|n成功率85%</v>
      </c>
      <c r="J59" s="120" t="str">
        <f t="shared" ref="J59:J62" si="12">H59</f>
        <v>|Cff00FF7F[防具]珊瑚玉衣lv2|r</v>
      </c>
      <c r="K59" s="120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1" t="str">
        <f>VLOOKUP(LEFT(RIGHT(B59,5),4),装备!B:CU,20,FALSE)</f>
        <v>ReplaceableTextures\\CommandButtons\\BTNZ12.blp</v>
      </c>
      <c r="N59" s="138" t="s">
        <v>83</v>
      </c>
      <c r="O59" s="139" t="s">
        <v>84</v>
      </c>
      <c r="P59" s="8">
        <v>0</v>
      </c>
      <c r="Q59" s="8">
        <v>0</v>
      </c>
      <c r="R59" s="138" t="s">
        <v>83</v>
      </c>
      <c r="S59" s="138" t="s">
        <v>83</v>
      </c>
      <c r="T59" s="138" t="s">
        <v>83</v>
      </c>
      <c r="U59" s="138" t="s">
        <v>83</v>
      </c>
      <c r="V59" s="8"/>
      <c r="W59" s="8" t="s">
        <v>85</v>
      </c>
      <c r="X59" s="8">
        <v>0</v>
      </c>
      <c r="Y59" s="138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38" t="s">
        <v>83</v>
      </c>
      <c r="AF59" s="138" t="s">
        <v>83</v>
      </c>
      <c r="AG59" s="138" t="s">
        <v>83</v>
      </c>
      <c r="AH59" s="138" t="s">
        <v>83</v>
      </c>
      <c r="AI59" s="8"/>
      <c r="AJ59" s="8"/>
      <c r="AK59" s="8">
        <v>0</v>
      </c>
      <c r="AL59" s="8">
        <v>0</v>
      </c>
      <c r="AM59" s="138" t="s">
        <v>83</v>
      </c>
      <c r="AN59" s="8"/>
      <c r="AO59" s="8"/>
      <c r="AP59" s="8">
        <v>1</v>
      </c>
    </row>
    <row r="60" spans="1:42">
      <c r="A60" s="118"/>
      <c r="B60" s="8" t="str">
        <f>装备!B60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VLOOKUP(LEFT(RIGHT(B60,5),4),装备!B:CU,2,FALSE)</f>
        <v>|Cff00FF7F[防具]珊瑚玉衣lv3|r</v>
      </c>
      <c r="I60" s="8" t="str">
        <f>VLOOKUP(B60,装备!B:CV,99,FALSE)</f>
        <v>|Cffbbbbbb属性：|r|n护甲+320|n生命值+16500|n生命回复+330|n生命恢复%+1|n|n|Cff00ff7f点击消耗2500金币进行强化|n成功率85%</v>
      </c>
      <c r="J60" s="120" t="str">
        <f t="shared" si="12"/>
        <v>|Cff00FF7F[防具]珊瑚玉衣lv3|r</v>
      </c>
      <c r="K60" s="120" t="str">
        <f t="shared" si="13"/>
        <v>|Cffbbbbbb属性：|r|n护甲+320|n生命值+16500|n生命回复+330|n生命恢复%+1|n|n|Cff00ff7f点击消耗2500金币进行强化|n成功率85%</v>
      </c>
      <c r="L60" s="8"/>
      <c r="M60" s="121" t="str">
        <f>VLOOKUP(LEFT(RIGHT(B60,5),4),装备!B:CU,20,FALSE)</f>
        <v>ReplaceableTextures\\CommandButtons\\BTNZ12.blp</v>
      </c>
      <c r="N60" s="138" t="s">
        <v>83</v>
      </c>
      <c r="O60" s="139" t="s">
        <v>84</v>
      </c>
      <c r="P60" s="8">
        <v>0</v>
      </c>
      <c r="Q60" s="8">
        <v>0</v>
      </c>
      <c r="R60" s="138" t="s">
        <v>83</v>
      </c>
      <c r="S60" s="138" t="s">
        <v>83</v>
      </c>
      <c r="T60" s="138" t="s">
        <v>83</v>
      </c>
      <c r="U60" s="138" t="s">
        <v>83</v>
      </c>
      <c r="V60" s="8"/>
      <c r="W60" s="8" t="s">
        <v>85</v>
      </c>
      <c r="X60" s="8">
        <v>0</v>
      </c>
      <c r="Y60" s="138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38" t="s">
        <v>83</v>
      </c>
      <c r="AF60" s="138" t="s">
        <v>83</v>
      </c>
      <c r="AG60" s="138" t="s">
        <v>83</v>
      </c>
      <c r="AH60" s="138" t="s">
        <v>83</v>
      </c>
      <c r="AI60" s="8"/>
      <c r="AJ60" s="8"/>
      <c r="AK60" s="8">
        <v>0</v>
      </c>
      <c r="AL60" s="8">
        <v>0</v>
      </c>
      <c r="AM60" s="138" t="s">
        <v>83</v>
      </c>
      <c r="AN60" s="8"/>
      <c r="AO60" s="8"/>
      <c r="AP60" s="8">
        <v>1</v>
      </c>
    </row>
    <row r="61" spans="1:42">
      <c r="A61" s="118"/>
      <c r="B61" s="8" t="str">
        <f>装备!B61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VLOOKUP(LEFT(RIGHT(B61,5),4),装备!B:CU,2,FALSE)</f>
        <v>|Cff00FF7F[防具]珊瑚玉衣lv4|r</v>
      </c>
      <c r="I61" s="8" t="str">
        <f>VLOOKUP(B61,装备!B:CV,99,FALSE)</f>
        <v>|Cffbbbbbb属性：|r|n护甲+380|n生命值+21000|n生命回复+420|n生命恢复%+1|n|n|Cff00ff7f点击消耗2500金币进行强化|n成功率85%</v>
      </c>
      <c r="J61" s="120" t="str">
        <f t="shared" si="12"/>
        <v>|Cff00FF7F[防具]珊瑚玉衣lv4|r</v>
      </c>
      <c r="K61" s="120" t="str">
        <f t="shared" si="13"/>
        <v>|Cffbbbbbb属性：|r|n护甲+380|n生命值+21000|n生命回复+420|n生命恢复%+1|n|n|Cff00ff7f点击消耗2500金币进行强化|n成功率85%</v>
      </c>
      <c r="L61" s="8"/>
      <c r="M61" s="121" t="str">
        <f>VLOOKUP(LEFT(RIGHT(B61,5),4),装备!B:CU,20,FALSE)</f>
        <v>ReplaceableTextures\\CommandButtons\\BTNZ12.blp</v>
      </c>
      <c r="N61" s="138" t="s">
        <v>83</v>
      </c>
      <c r="O61" s="139" t="s">
        <v>84</v>
      </c>
      <c r="P61" s="8">
        <v>0</v>
      </c>
      <c r="Q61" s="8">
        <v>0</v>
      </c>
      <c r="R61" s="138" t="s">
        <v>83</v>
      </c>
      <c r="S61" s="138" t="s">
        <v>83</v>
      </c>
      <c r="T61" s="138" t="s">
        <v>83</v>
      </c>
      <c r="U61" s="138" t="s">
        <v>83</v>
      </c>
      <c r="V61" s="8"/>
      <c r="W61" s="8" t="s">
        <v>85</v>
      </c>
      <c r="X61" s="8">
        <v>0</v>
      </c>
      <c r="Y61" s="138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38" t="s">
        <v>83</v>
      </c>
      <c r="AF61" s="138" t="s">
        <v>83</v>
      </c>
      <c r="AG61" s="138" t="s">
        <v>83</v>
      </c>
      <c r="AH61" s="138" t="s">
        <v>83</v>
      </c>
      <c r="AI61" s="8"/>
      <c r="AJ61" s="8"/>
      <c r="AK61" s="8">
        <v>0</v>
      </c>
      <c r="AL61" s="8">
        <v>0</v>
      </c>
      <c r="AM61" s="138" t="s">
        <v>83</v>
      </c>
      <c r="AN61" s="8"/>
      <c r="AO61" s="8"/>
      <c r="AP61" s="8">
        <v>1</v>
      </c>
    </row>
    <row r="62" spans="1:42">
      <c r="A62" s="118"/>
      <c r="B62" s="8" t="str">
        <f>装备!B62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VLOOKUP(LEFT(RIGHT(B62,5),4),装备!B:CU,2,FALSE)</f>
        <v>|Cff00FF7F[防具]珊瑚玉衣lv5|r</v>
      </c>
      <c r="I62" s="8" t="str">
        <f>VLOOKUP(B62,装备!B:CV,99,FALSE)</f>
        <v>|Cffbbbbbb属性：|r|n护甲+440|n生命值+25500|n生命回复+510|n生命恢复%+1|n|n|Cff00ff7f点击消耗10000金币进行晋阶挑战</v>
      </c>
      <c r="J62" s="120" t="str">
        <f t="shared" si="12"/>
        <v>|Cff00FF7F[防具]珊瑚玉衣lv5|r</v>
      </c>
      <c r="K62" s="120" t="str">
        <f t="shared" si="13"/>
        <v>|Cffbbbbbb属性：|r|n护甲+440|n生命值+25500|n生命回复+510|n生命恢复%+1|n|n|Cff00ff7f点击消耗10000金币进行晋阶挑战</v>
      </c>
      <c r="L62" s="8"/>
      <c r="M62" s="121" t="str">
        <f>VLOOKUP(LEFT(RIGHT(B62,5),4),装备!B:CU,20,FALSE)</f>
        <v>ReplaceableTextures\\CommandButtons\\BTNZ12.blp</v>
      </c>
      <c r="N62" s="138" t="s">
        <v>83</v>
      </c>
      <c r="O62" s="139" t="s">
        <v>84</v>
      </c>
      <c r="P62" s="8">
        <v>0</v>
      </c>
      <c r="Q62" s="8">
        <v>0</v>
      </c>
      <c r="R62" s="138" t="s">
        <v>83</v>
      </c>
      <c r="S62" s="138" t="s">
        <v>83</v>
      </c>
      <c r="T62" s="138" t="s">
        <v>83</v>
      </c>
      <c r="U62" s="138" t="s">
        <v>83</v>
      </c>
      <c r="V62" s="8"/>
      <c r="W62" s="8" t="s">
        <v>85</v>
      </c>
      <c r="X62" s="8">
        <v>0</v>
      </c>
      <c r="Y62" s="138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38" t="s">
        <v>83</v>
      </c>
      <c r="AF62" s="138" t="s">
        <v>83</v>
      </c>
      <c r="AG62" s="138" t="s">
        <v>83</v>
      </c>
      <c r="AH62" s="138" t="s">
        <v>83</v>
      </c>
      <c r="AI62" s="8"/>
      <c r="AJ62" s="8"/>
      <c r="AK62" s="8">
        <v>0</v>
      </c>
      <c r="AL62" s="8">
        <v>0</v>
      </c>
      <c r="AM62" s="138" t="s">
        <v>83</v>
      </c>
      <c r="AN62" s="8"/>
      <c r="AO62" s="8"/>
      <c r="AP62" s="8">
        <v>1</v>
      </c>
    </row>
    <row r="63" spans="1:42">
      <c r="A63" s="118"/>
      <c r="B63" s="8" t="str">
        <f>装备!B63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VLOOKUP(LEFT(RIGHT(B63,5),4),装备!B:CU,2,FALSE)</f>
        <v>|Cff00BFFF[防具]圣谕披风lv1|r</v>
      </c>
      <c r="I63" s="8" t="str">
        <f>VLOOKUP(B63,装备!B:CV,99,FALSE)</f>
        <v>|Cffbbbbbb属性：|r|n护甲+500|n生命值+37500|n生命回复+750|n生命恢复%+1|n|n|Cff00ff7f点击消耗8000金币进行强化|n成功率70%</v>
      </c>
      <c r="J63" s="120" t="str">
        <f t="shared" ref="J63:J77" si="14">H63</f>
        <v>|Cff00BFFF[防具]圣谕披风lv1|r</v>
      </c>
      <c r="K63" s="120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1" t="str">
        <f>VLOOKUP(LEFT(RIGHT(B63,5),4),装备!B:CU,20,FALSE)</f>
        <v>ReplaceableTextures\\CommandButtons\\BTNZ13.blp</v>
      </c>
      <c r="N63" s="138" t="s">
        <v>83</v>
      </c>
      <c r="O63" s="139" t="s">
        <v>84</v>
      </c>
      <c r="P63" s="8">
        <v>0</v>
      </c>
      <c r="Q63" s="8">
        <v>0</v>
      </c>
      <c r="R63" s="138" t="s">
        <v>83</v>
      </c>
      <c r="S63" s="138" t="s">
        <v>83</v>
      </c>
      <c r="T63" s="138" t="s">
        <v>83</v>
      </c>
      <c r="U63" s="138" t="s">
        <v>83</v>
      </c>
      <c r="V63" s="8"/>
      <c r="W63" s="8" t="s">
        <v>85</v>
      </c>
      <c r="X63" s="8">
        <v>0</v>
      </c>
      <c r="Y63" s="138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38" t="s">
        <v>83</v>
      </c>
      <c r="AF63" s="138" t="s">
        <v>83</v>
      </c>
      <c r="AG63" s="138" t="s">
        <v>83</v>
      </c>
      <c r="AH63" s="138" t="s">
        <v>83</v>
      </c>
      <c r="AI63" s="8"/>
      <c r="AJ63" s="8"/>
      <c r="AK63" s="8">
        <v>0</v>
      </c>
      <c r="AL63" s="8">
        <v>0</v>
      </c>
      <c r="AM63" s="138" t="s">
        <v>83</v>
      </c>
      <c r="AN63" s="8"/>
      <c r="AO63" s="8"/>
      <c r="AP63" s="8">
        <v>1</v>
      </c>
    </row>
    <row r="64" spans="1:42">
      <c r="A64" s="118"/>
      <c r="B64" s="8" t="str">
        <f>装备!B64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VLOOKUP(LEFT(RIGHT(B64,5),4),装备!B:CU,2,FALSE)</f>
        <v>|Cff00BFFF[防具]圣谕披风lv2|r</v>
      </c>
      <c r="I64" s="8" t="str">
        <f>VLOOKUP(B64,装备!B:CV,99,FALSE)</f>
        <v>|Cffbbbbbb属性：|r|n护甲+580|n生命值+52500|n生命回复+1050|n生命恢复%+1|n|n|Cff00ff7f点击消耗8000金币进行强化|n成功率70%</v>
      </c>
      <c r="J64" s="120" t="str">
        <f t="shared" si="14"/>
        <v>|Cff00BFFF[防具]圣谕披风lv2|r</v>
      </c>
      <c r="K64" s="120" t="str">
        <f t="shared" si="15"/>
        <v>|Cffbbbbbb属性：|r|n护甲+580|n生命值+52500|n生命回复+1050|n生命恢复%+1|n|n|Cff00ff7f点击消耗8000金币进行强化|n成功率70%</v>
      </c>
      <c r="L64" s="8"/>
      <c r="M64" s="121" t="str">
        <f>VLOOKUP(LEFT(RIGHT(B64,5),4),装备!B:CU,20,FALSE)</f>
        <v>ReplaceableTextures\\CommandButtons\\BTNZ13.blp</v>
      </c>
      <c r="N64" s="138" t="s">
        <v>83</v>
      </c>
      <c r="O64" s="139" t="s">
        <v>84</v>
      </c>
      <c r="P64" s="8">
        <v>0</v>
      </c>
      <c r="Q64" s="8">
        <v>0</v>
      </c>
      <c r="R64" s="138" t="s">
        <v>83</v>
      </c>
      <c r="S64" s="138" t="s">
        <v>83</v>
      </c>
      <c r="T64" s="138" t="s">
        <v>83</v>
      </c>
      <c r="U64" s="138" t="s">
        <v>83</v>
      </c>
      <c r="V64" s="8"/>
      <c r="W64" s="8" t="s">
        <v>85</v>
      </c>
      <c r="X64" s="8">
        <v>0</v>
      </c>
      <c r="Y64" s="138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38" t="s">
        <v>83</v>
      </c>
      <c r="AF64" s="138" t="s">
        <v>83</v>
      </c>
      <c r="AG64" s="138" t="s">
        <v>83</v>
      </c>
      <c r="AH64" s="138" t="s">
        <v>83</v>
      </c>
      <c r="AI64" s="8"/>
      <c r="AJ64" s="8"/>
      <c r="AK64" s="8">
        <v>0</v>
      </c>
      <c r="AL64" s="8">
        <v>0</v>
      </c>
      <c r="AM64" s="138" t="s">
        <v>83</v>
      </c>
      <c r="AN64" s="8"/>
      <c r="AO64" s="8"/>
      <c r="AP64" s="8">
        <v>1</v>
      </c>
    </row>
    <row r="65" spans="1:42">
      <c r="A65" s="118"/>
      <c r="B65" s="8" t="str">
        <f>装备!B65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VLOOKUP(LEFT(RIGHT(B65,5),4),装备!B:CU,2,FALSE)</f>
        <v>|Cff00BFFF[防具]圣谕披风lv3|r</v>
      </c>
      <c r="I65" s="8" t="str">
        <f>VLOOKUP(B65,装备!B:CV,99,FALSE)</f>
        <v>|Cffbbbbbb属性：|r|n护甲+660|n生命值+67500|n生命回复+1350|n生命恢复%+1|n|n|Cff00ff7f点击消耗8000金币进行强化|n成功率70%</v>
      </c>
      <c r="J65" s="120" t="str">
        <f t="shared" si="14"/>
        <v>|Cff00BFFF[防具]圣谕披风lv3|r</v>
      </c>
      <c r="K65" s="120" t="str">
        <f t="shared" si="15"/>
        <v>|Cffbbbbbb属性：|r|n护甲+660|n生命值+67500|n生命回复+1350|n生命恢复%+1|n|n|Cff00ff7f点击消耗8000金币进行强化|n成功率70%</v>
      </c>
      <c r="L65" s="8"/>
      <c r="M65" s="121" t="str">
        <f>VLOOKUP(LEFT(RIGHT(B65,5),4),装备!B:CU,20,FALSE)</f>
        <v>ReplaceableTextures\\CommandButtons\\BTNZ13.blp</v>
      </c>
      <c r="N65" s="138" t="s">
        <v>83</v>
      </c>
      <c r="O65" s="139" t="s">
        <v>84</v>
      </c>
      <c r="P65" s="8">
        <v>0</v>
      </c>
      <c r="Q65" s="8">
        <v>0</v>
      </c>
      <c r="R65" s="138" t="s">
        <v>83</v>
      </c>
      <c r="S65" s="138" t="s">
        <v>83</v>
      </c>
      <c r="T65" s="138" t="s">
        <v>83</v>
      </c>
      <c r="U65" s="138" t="s">
        <v>83</v>
      </c>
      <c r="V65" s="8"/>
      <c r="W65" s="8" t="s">
        <v>85</v>
      </c>
      <c r="X65" s="8">
        <v>0</v>
      </c>
      <c r="Y65" s="138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38" t="s">
        <v>83</v>
      </c>
      <c r="AF65" s="138" t="s">
        <v>83</v>
      </c>
      <c r="AG65" s="138" t="s">
        <v>83</v>
      </c>
      <c r="AH65" s="138" t="s">
        <v>83</v>
      </c>
      <c r="AI65" s="8"/>
      <c r="AJ65" s="8"/>
      <c r="AK65" s="8">
        <v>0</v>
      </c>
      <c r="AL65" s="8">
        <v>0</v>
      </c>
      <c r="AM65" s="138" t="s">
        <v>83</v>
      </c>
      <c r="AN65" s="8"/>
      <c r="AO65" s="8"/>
      <c r="AP65" s="8">
        <v>1</v>
      </c>
    </row>
    <row r="66" spans="1:42">
      <c r="A66" s="118"/>
      <c r="B66" s="8" t="str">
        <f>装备!B66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VLOOKUP(LEFT(RIGHT(B66,5),4),装备!B:CU,2,FALSE)</f>
        <v>|Cff00BFFF[防具]圣谕披风lv4|r</v>
      </c>
      <c r="I66" s="8" t="str">
        <f>VLOOKUP(B66,装备!B:CV,99,FALSE)</f>
        <v>|Cffbbbbbb属性：|r|n护甲+740|n生命值+82500|n生命回复+1650|n生命恢复%+1|n|n|Cff00ff7f点击消耗8000金币进行强化|n成功率70%</v>
      </c>
      <c r="J66" s="120" t="str">
        <f t="shared" si="14"/>
        <v>|Cff00BFFF[防具]圣谕披风lv4|r</v>
      </c>
      <c r="K66" s="120" t="str">
        <f t="shared" si="15"/>
        <v>|Cffbbbbbb属性：|r|n护甲+740|n生命值+82500|n生命回复+1650|n生命恢复%+1|n|n|Cff00ff7f点击消耗8000金币进行强化|n成功率70%</v>
      </c>
      <c r="L66" s="8"/>
      <c r="M66" s="121" t="str">
        <f>VLOOKUP(LEFT(RIGHT(B66,5),4),装备!B:CU,20,FALSE)</f>
        <v>ReplaceableTextures\\CommandButtons\\BTNZ13.blp</v>
      </c>
      <c r="N66" s="138" t="s">
        <v>83</v>
      </c>
      <c r="O66" s="139" t="s">
        <v>84</v>
      </c>
      <c r="P66" s="8">
        <v>0</v>
      </c>
      <c r="Q66" s="8">
        <v>0</v>
      </c>
      <c r="R66" s="138" t="s">
        <v>83</v>
      </c>
      <c r="S66" s="138" t="s">
        <v>83</v>
      </c>
      <c r="T66" s="138" t="s">
        <v>83</v>
      </c>
      <c r="U66" s="138" t="s">
        <v>83</v>
      </c>
      <c r="V66" s="8"/>
      <c r="W66" s="8" t="s">
        <v>85</v>
      </c>
      <c r="X66" s="8">
        <v>0</v>
      </c>
      <c r="Y66" s="138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38" t="s">
        <v>83</v>
      </c>
      <c r="AF66" s="138" t="s">
        <v>83</v>
      </c>
      <c r="AG66" s="138" t="s">
        <v>83</v>
      </c>
      <c r="AH66" s="138" t="s">
        <v>83</v>
      </c>
      <c r="AI66" s="8"/>
      <c r="AJ66" s="8"/>
      <c r="AK66" s="8">
        <v>0</v>
      </c>
      <c r="AL66" s="8">
        <v>0</v>
      </c>
      <c r="AM66" s="138" t="s">
        <v>83</v>
      </c>
      <c r="AN66" s="8"/>
      <c r="AO66" s="8"/>
      <c r="AP66" s="8">
        <v>1</v>
      </c>
    </row>
    <row r="67" spans="1:42">
      <c r="A67" s="118"/>
      <c r="B67" s="8" t="str">
        <f>装备!B67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VLOOKUP(LEFT(RIGHT(B67,5),4),装备!B:CU,2,FALSE)</f>
        <v>|Cff00BFFF[防具]圣谕披风lv5|r</v>
      </c>
      <c r="I67" s="8" t="str">
        <f>VLOOKUP(B67,装备!B:CV,99,FALSE)</f>
        <v>|Cffbbbbbb属性：|r|n护甲+820|n生命值+97500|n生命回复+1950|n生命恢复%+1|n|n|Cff00ff7f点击消耗30000金币进行晋阶挑战</v>
      </c>
      <c r="J67" s="120" t="str">
        <f t="shared" si="14"/>
        <v>|Cff00BFFF[防具]圣谕披风lv5|r</v>
      </c>
      <c r="K67" s="120" t="str">
        <f t="shared" si="15"/>
        <v>|Cffbbbbbb属性：|r|n护甲+820|n生命值+97500|n生命回复+1950|n生命恢复%+1|n|n|Cff00ff7f点击消耗30000金币进行晋阶挑战</v>
      </c>
      <c r="L67" s="8"/>
      <c r="M67" s="121" t="str">
        <f>VLOOKUP(LEFT(RIGHT(B67,5),4),装备!B:CU,20,FALSE)</f>
        <v>ReplaceableTextures\\CommandButtons\\BTNZ13.blp</v>
      </c>
      <c r="N67" s="138" t="s">
        <v>83</v>
      </c>
      <c r="O67" s="139" t="s">
        <v>84</v>
      </c>
      <c r="P67" s="8">
        <v>0</v>
      </c>
      <c r="Q67" s="8">
        <v>0</v>
      </c>
      <c r="R67" s="138" t="s">
        <v>83</v>
      </c>
      <c r="S67" s="138" t="s">
        <v>83</v>
      </c>
      <c r="T67" s="138" t="s">
        <v>83</v>
      </c>
      <c r="U67" s="138" t="s">
        <v>83</v>
      </c>
      <c r="V67" s="8"/>
      <c r="W67" s="8" t="s">
        <v>85</v>
      </c>
      <c r="X67" s="8">
        <v>0</v>
      </c>
      <c r="Y67" s="138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38" t="s">
        <v>83</v>
      </c>
      <c r="AF67" s="138" t="s">
        <v>83</v>
      </c>
      <c r="AG67" s="138" t="s">
        <v>83</v>
      </c>
      <c r="AH67" s="138" t="s">
        <v>83</v>
      </c>
      <c r="AI67" s="8"/>
      <c r="AJ67" s="8"/>
      <c r="AK67" s="8">
        <v>0</v>
      </c>
      <c r="AL67" s="8">
        <v>0</v>
      </c>
      <c r="AM67" s="138" t="s">
        <v>83</v>
      </c>
      <c r="AN67" s="8"/>
      <c r="AO67" s="8"/>
      <c r="AP67" s="8">
        <v>1</v>
      </c>
    </row>
    <row r="68" spans="1:42">
      <c r="A68" s="118"/>
      <c r="B68" s="8" t="str">
        <f>装备!B68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VLOOKUP(LEFT(RIGHT(B68,5),4),装备!B:CU,2,FALSE)</f>
        <v>|CffFFC926[防具]乾坤护心甲lv1|r</v>
      </c>
      <c r="I68" s="8" t="str">
        <f>VLOOKUP(B68,装备!B:CV,99,FALSE)</f>
        <v>|Cffbbbbbb属性：|r|n护甲+1000|n生命值+150000|n生命回复+3000|n生命恢复%+2|n|n|Cff00ff7f点击消耗20000金币进行强化|n成功率60%</v>
      </c>
      <c r="J68" s="120" t="str">
        <f t="shared" si="14"/>
        <v>|CffFFC926[防具]乾坤护心甲lv1|r</v>
      </c>
      <c r="K68" s="120" t="str">
        <f t="shared" si="15"/>
        <v>|Cffbbbbbb属性：|r|n护甲+1000|n生命值+150000|n生命回复+3000|n生命恢复%+2|n|n|Cff00ff7f点击消耗20000金币进行强化|n成功率60%</v>
      </c>
      <c r="L68" s="8"/>
      <c r="M68" s="121" t="str">
        <f>VLOOKUP(LEFT(RIGHT(B68,5),4),装备!B:CU,20,FALSE)</f>
        <v>ReplaceableTextures\\CommandButtons\\BTNZ14.blp</v>
      </c>
      <c r="N68" s="138" t="s">
        <v>83</v>
      </c>
      <c r="O68" s="139" t="s">
        <v>84</v>
      </c>
      <c r="P68" s="8">
        <v>0</v>
      </c>
      <c r="Q68" s="8">
        <v>0</v>
      </c>
      <c r="R68" s="138" t="s">
        <v>83</v>
      </c>
      <c r="S68" s="138" t="s">
        <v>83</v>
      </c>
      <c r="T68" s="138" t="s">
        <v>83</v>
      </c>
      <c r="U68" s="138" t="s">
        <v>83</v>
      </c>
      <c r="V68" s="8"/>
      <c r="W68" s="8" t="s">
        <v>85</v>
      </c>
      <c r="X68" s="8">
        <v>0</v>
      </c>
      <c r="Y68" s="138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38" t="s">
        <v>83</v>
      </c>
      <c r="AF68" s="138" t="s">
        <v>83</v>
      </c>
      <c r="AG68" s="138" t="s">
        <v>83</v>
      </c>
      <c r="AH68" s="138" t="s">
        <v>83</v>
      </c>
      <c r="AI68" s="8"/>
      <c r="AJ68" s="8"/>
      <c r="AK68" s="8">
        <v>0</v>
      </c>
      <c r="AL68" s="8">
        <v>0</v>
      </c>
      <c r="AM68" s="138" t="s">
        <v>83</v>
      </c>
      <c r="AN68" s="8"/>
      <c r="AO68" s="8"/>
      <c r="AP68" s="8">
        <v>1</v>
      </c>
    </row>
    <row r="69" spans="1:42">
      <c r="A69" s="118"/>
      <c r="B69" s="8" t="str">
        <f>装备!B69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VLOOKUP(LEFT(RIGHT(B69,5),4),装备!B:CU,2,FALSE)</f>
        <v>|CffFFC926[防具]乾坤护心甲lv2|r</v>
      </c>
      <c r="I69" s="8" t="str">
        <f>VLOOKUP(B69,装备!B:CV,99,FALSE)</f>
        <v>|Cffbbbbbb属性：|r|n护甲+1100|n生命值+225000|n生命回复+4500|n生命恢复%+2|n|n|Cff00ff7f点击消耗20000金币进行强化|n成功率60%</v>
      </c>
      <c r="J69" s="120" t="str">
        <f t="shared" si="14"/>
        <v>|CffFFC926[防具]乾坤护心甲lv2|r</v>
      </c>
      <c r="K69" s="120" t="str">
        <f t="shared" si="15"/>
        <v>|Cffbbbbbb属性：|r|n护甲+1100|n生命值+225000|n生命回复+4500|n生命恢复%+2|n|n|Cff00ff7f点击消耗20000金币进行强化|n成功率60%</v>
      </c>
      <c r="L69" s="8"/>
      <c r="M69" s="121" t="str">
        <f>VLOOKUP(LEFT(RIGHT(B69,5),4),装备!B:CU,20,FALSE)</f>
        <v>ReplaceableTextures\\CommandButtons\\BTNZ14.blp</v>
      </c>
      <c r="N69" s="138" t="s">
        <v>83</v>
      </c>
      <c r="O69" s="139" t="s">
        <v>84</v>
      </c>
      <c r="P69" s="8">
        <v>0</v>
      </c>
      <c r="Q69" s="8">
        <v>0</v>
      </c>
      <c r="R69" s="138" t="s">
        <v>83</v>
      </c>
      <c r="S69" s="138" t="s">
        <v>83</v>
      </c>
      <c r="T69" s="138" t="s">
        <v>83</v>
      </c>
      <c r="U69" s="138" t="s">
        <v>83</v>
      </c>
      <c r="V69" s="8"/>
      <c r="W69" s="8" t="s">
        <v>85</v>
      </c>
      <c r="X69" s="8">
        <v>0</v>
      </c>
      <c r="Y69" s="138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38" t="s">
        <v>83</v>
      </c>
      <c r="AF69" s="138" t="s">
        <v>83</v>
      </c>
      <c r="AG69" s="138" t="s">
        <v>83</v>
      </c>
      <c r="AH69" s="138" t="s">
        <v>83</v>
      </c>
      <c r="AI69" s="8"/>
      <c r="AJ69" s="8"/>
      <c r="AK69" s="8">
        <v>0</v>
      </c>
      <c r="AL69" s="8">
        <v>0</v>
      </c>
      <c r="AM69" s="138" t="s">
        <v>83</v>
      </c>
      <c r="AN69" s="8"/>
      <c r="AO69" s="8"/>
      <c r="AP69" s="8">
        <v>1</v>
      </c>
    </row>
    <row r="70" spans="1:42">
      <c r="A70" s="118"/>
      <c r="B70" s="8" t="str">
        <f>装备!B70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VLOOKUP(LEFT(RIGHT(B70,5),4),装备!B:CU,2,FALSE)</f>
        <v>|CffFFC926[防具]乾坤护心甲lv3|r</v>
      </c>
      <c r="I70" s="8" t="str">
        <f>VLOOKUP(B70,装备!B:CV,99,FALSE)</f>
        <v>|Cffbbbbbb属性：|r|n护甲+1200|n生命值+300000|n生命回复+6000|n生命恢复%+2|n|n|Cff00ff7f点击消耗20000金币进行强化|n成功率60%</v>
      </c>
      <c r="J70" s="120" t="str">
        <f t="shared" si="14"/>
        <v>|CffFFC926[防具]乾坤护心甲lv3|r</v>
      </c>
      <c r="K70" s="120" t="str">
        <f t="shared" si="15"/>
        <v>|Cffbbbbbb属性：|r|n护甲+1200|n生命值+300000|n生命回复+6000|n生命恢复%+2|n|n|Cff00ff7f点击消耗20000金币进行强化|n成功率60%</v>
      </c>
      <c r="L70" s="8"/>
      <c r="M70" s="121" t="str">
        <f>VLOOKUP(LEFT(RIGHT(B70,5),4),装备!B:CU,20,FALSE)</f>
        <v>ReplaceableTextures\\CommandButtons\\BTNZ14.blp</v>
      </c>
      <c r="N70" s="138" t="s">
        <v>83</v>
      </c>
      <c r="O70" s="139" t="s">
        <v>84</v>
      </c>
      <c r="P70" s="8">
        <v>0</v>
      </c>
      <c r="Q70" s="8">
        <v>0</v>
      </c>
      <c r="R70" s="138" t="s">
        <v>83</v>
      </c>
      <c r="S70" s="138" t="s">
        <v>83</v>
      </c>
      <c r="T70" s="138" t="s">
        <v>83</v>
      </c>
      <c r="U70" s="138" t="s">
        <v>83</v>
      </c>
      <c r="V70" s="8"/>
      <c r="W70" s="8" t="s">
        <v>85</v>
      </c>
      <c r="X70" s="8">
        <v>0</v>
      </c>
      <c r="Y70" s="138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38" t="s">
        <v>83</v>
      </c>
      <c r="AF70" s="138" t="s">
        <v>83</v>
      </c>
      <c r="AG70" s="138" t="s">
        <v>83</v>
      </c>
      <c r="AH70" s="138" t="s">
        <v>83</v>
      </c>
      <c r="AI70" s="8"/>
      <c r="AJ70" s="8"/>
      <c r="AK70" s="8">
        <v>0</v>
      </c>
      <c r="AL70" s="8">
        <v>0</v>
      </c>
      <c r="AM70" s="138" t="s">
        <v>83</v>
      </c>
      <c r="AN70" s="8"/>
      <c r="AO70" s="8"/>
      <c r="AP70" s="8">
        <v>1</v>
      </c>
    </row>
    <row r="71" spans="1:42">
      <c r="A71" s="118"/>
      <c r="B71" s="8" t="str">
        <f>装备!B71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VLOOKUP(LEFT(RIGHT(B71,5),4),装备!B:CU,2,FALSE)</f>
        <v>|CffFFC926[防具]乾坤护心甲lv4|r</v>
      </c>
      <c r="I71" s="8" t="str">
        <f>VLOOKUP(B71,装备!B:CV,99,FALSE)</f>
        <v>|Cffbbbbbb属性：|r|n护甲+1300|n生命值+375000|n生命回复+7500|n生命恢复%+2|n|n|Cff00ff7f点击消耗20000金币进行强化|n成功率60%</v>
      </c>
      <c r="J71" s="120" t="str">
        <f t="shared" si="14"/>
        <v>|CffFFC926[防具]乾坤护心甲lv4|r</v>
      </c>
      <c r="K71" s="120" t="str">
        <f t="shared" si="15"/>
        <v>|Cffbbbbbb属性：|r|n护甲+1300|n生命值+375000|n生命回复+7500|n生命恢复%+2|n|n|Cff00ff7f点击消耗20000金币进行强化|n成功率60%</v>
      </c>
      <c r="L71" s="8"/>
      <c r="M71" s="121" t="str">
        <f>VLOOKUP(LEFT(RIGHT(B71,5),4),装备!B:CU,20,FALSE)</f>
        <v>ReplaceableTextures\\CommandButtons\\BTNZ14.blp</v>
      </c>
      <c r="N71" s="138" t="s">
        <v>83</v>
      </c>
      <c r="O71" s="139" t="s">
        <v>84</v>
      </c>
      <c r="P71" s="8">
        <v>0</v>
      </c>
      <c r="Q71" s="8">
        <v>0</v>
      </c>
      <c r="R71" s="138" t="s">
        <v>83</v>
      </c>
      <c r="S71" s="138" t="s">
        <v>83</v>
      </c>
      <c r="T71" s="138" t="s">
        <v>83</v>
      </c>
      <c r="U71" s="138" t="s">
        <v>83</v>
      </c>
      <c r="V71" s="8"/>
      <c r="W71" s="8" t="s">
        <v>85</v>
      </c>
      <c r="X71" s="8">
        <v>0</v>
      </c>
      <c r="Y71" s="138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38" t="s">
        <v>83</v>
      </c>
      <c r="AF71" s="138" t="s">
        <v>83</v>
      </c>
      <c r="AG71" s="138" t="s">
        <v>83</v>
      </c>
      <c r="AH71" s="138" t="s">
        <v>83</v>
      </c>
      <c r="AI71" s="8"/>
      <c r="AJ71" s="8"/>
      <c r="AK71" s="8">
        <v>0</v>
      </c>
      <c r="AL71" s="8">
        <v>0</v>
      </c>
      <c r="AM71" s="138" t="s">
        <v>83</v>
      </c>
      <c r="AN71" s="8"/>
      <c r="AO71" s="8"/>
      <c r="AP71" s="8">
        <v>1</v>
      </c>
    </row>
    <row r="72" spans="1:42">
      <c r="A72" s="118"/>
      <c r="B72" s="8" t="str">
        <f>装备!B72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VLOOKUP(LEFT(RIGHT(B72,5),4),装备!B:CU,2,FALSE)</f>
        <v>|CffFFC926[防具]乾坤护心甲lv5|r</v>
      </c>
      <c r="I72" s="8" t="str">
        <f>VLOOKUP(B72,装备!B:CV,99,FALSE)</f>
        <v>|Cffbbbbbb属性：|r|n护甲+1400|n生命值+450000|n生命回复+9000|n生命恢复%+2|n|n|Cff00ff7f点击消耗35000金币进行晋阶挑战</v>
      </c>
      <c r="J72" s="120" t="str">
        <f t="shared" si="14"/>
        <v>|CffFFC926[防具]乾坤护心甲lv5|r</v>
      </c>
      <c r="K72" s="120" t="str">
        <f t="shared" si="15"/>
        <v>|Cffbbbbbb属性：|r|n护甲+1400|n生命值+450000|n生命回复+9000|n生命恢复%+2|n|n|Cff00ff7f点击消耗35000金币进行晋阶挑战</v>
      </c>
      <c r="L72" s="8"/>
      <c r="M72" s="121" t="str">
        <f>VLOOKUP(LEFT(RIGHT(B72,5),4),装备!B:CU,20,FALSE)</f>
        <v>ReplaceableTextures\\CommandButtons\\BTNZ14.blp</v>
      </c>
      <c r="N72" s="138" t="s">
        <v>83</v>
      </c>
      <c r="O72" s="139" t="s">
        <v>84</v>
      </c>
      <c r="P72" s="8">
        <v>0</v>
      </c>
      <c r="Q72" s="8">
        <v>0</v>
      </c>
      <c r="R72" s="138" t="s">
        <v>83</v>
      </c>
      <c r="S72" s="138" t="s">
        <v>83</v>
      </c>
      <c r="T72" s="138" t="s">
        <v>83</v>
      </c>
      <c r="U72" s="138" t="s">
        <v>83</v>
      </c>
      <c r="V72" s="8"/>
      <c r="W72" s="8" t="s">
        <v>85</v>
      </c>
      <c r="X72" s="8">
        <v>0</v>
      </c>
      <c r="Y72" s="138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38" t="s">
        <v>83</v>
      </c>
      <c r="AF72" s="138" t="s">
        <v>83</v>
      </c>
      <c r="AG72" s="138" t="s">
        <v>83</v>
      </c>
      <c r="AH72" s="138" t="s">
        <v>83</v>
      </c>
      <c r="AI72" s="8"/>
      <c r="AJ72" s="8"/>
      <c r="AK72" s="8">
        <v>0</v>
      </c>
      <c r="AL72" s="8">
        <v>0</v>
      </c>
      <c r="AM72" s="138" t="s">
        <v>83</v>
      </c>
      <c r="AN72" s="8"/>
      <c r="AO72" s="8"/>
      <c r="AP72" s="8">
        <v>1</v>
      </c>
    </row>
    <row r="73" spans="1:42">
      <c r="A73" s="118"/>
      <c r="B73" s="8" t="str">
        <f>装备!B73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VLOOKUP(LEFT(RIGHT(B73,5),4),装备!B:CU,2,FALSE)</f>
        <v>|CffFF0000[防具]九龙黄金甲lv1|r</v>
      </c>
      <c r="I73" s="8" t="str">
        <f>VLOOKUP(B73,装备!B:CV,99,FALSE)</f>
        <v>|Cffbbbbbb属性：|r|n护甲+2000|n生命值+750000|n生命回复+15000|n生命恢复%+3|n|n|Cff00ff7f点击消耗35000金币进行强化|n成功率50%</v>
      </c>
      <c r="J73" s="120" t="str">
        <f t="shared" si="14"/>
        <v>|CffFF0000[防具]九龙黄金甲lv1|r</v>
      </c>
      <c r="K73" s="120" t="str">
        <f t="shared" si="15"/>
        <v>|Cffbbbbbb属性：|r|n护甲+2000|n生命值+750000|n生命回复+15000|n生命恢复%+3|n|n|Cff00ff7f点击消耗35000金币进行强化|n成功率50%</v>
      </c>
      <c r="L73" s="8"/>
      <c r="M73" s="121" t="str">
        <f>VLOOKUP(LEFT(RIGHT(B73,5),4),装备!B:CU,20,FALSE)</f>
        <v>ReplaceableTextures\\CommandButtons\\BTNZ15.blp</v>
      </c>
      <c r="N73" s="138" t="s">
        <v>83</v>
      </c>
      <c r="O73" s="139" t="s">
        <v>84</v>
      </c>
      <c r="P73" s="8">
        <v>0</v>
      </c>
      <c r="Q73" s="8">
        <v>0</v>
      </c>
      <c r="R73" s="138" t="s">
        <v>83</v>
      </c>
      <c r="S73" s="138" t="s">
        <v>83</v>
      </c>
      <c r="T73" s="138" t="s">
        <v>83</v>
      </c>
      <c r="U73" s="138" t="s">
        <v>83</v>
      </c>
      <c r="V73" s="8"/>
      <c r="W73" s="8" t="s">
        <v>85</v>
      </c>
      <c r="X73" s="8">
        <v>0</v>
      </c>
      <c r="Y73" s="138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38" t="s">
        <v>83</v>
      </c>
      <c r="AF73" s="138" t="s">
        <v>83</v>
      </c>
      <c r="AG73" s="138" t="s">
        <v>83</v>
      </c>
      <c r="AH73" s="138" t="s">
        <v>83</v>
      </c>
      <c r="AI73" s="8"/>
      <c r="AJ73" s="8"/>
      <c r="AK73" s="8">
        <v>0</v>
      </c>
      <c r="AL73" s="8">
        <v>0</v>
      </c>
      <c r="AM73" s="138" t="s">
        <v>83</v>
      </c>
      <c r="AN73" s="8"/>
      <c r="AO73" s="8"/>
      <c r="AP73" s="8">
        <v>1</v>
      </c>
    </row>
    <row r="74" spans="1:42">
      <c r="A74" s="118"/>
      <c r="B74" s="8" t="str">
        <f>装备!B74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VLOOKUP(LEFT(RIGHT(B74,5),4),装备!B:CU,2,FALSE)</f>
        <v>|CffFF0000[防具]九龙黄金甲lv2|r</v>
      </c>
      <c r="I74" s="8" t="str">
        <f>VLOOKUP(B74,装备!B:CV,99,FALSE)</f>
        <v>|Cffbbbbbb属性：|r|n护甲+2200|n生命值+1200000|n生命回复+24000|n生命恢复%+3|n|n|Cff00ff7f点击消耗35000金币进行强化|n成功率50%</v>
      </c>
      <c r="J74" s="120" t="str">
        <f t="shared" si="14"/>
        <v>|CffFF0000[防具]九龙黄金甲lv2|r</v>
      </c>
      <c r="K74" s="120" t="str">
        <f t="shared" si="15"/>
        <v>|Cffbbbbbb属性：|r|n护甲+2200|n生命值+1200000|n生命回复+24000|n生命恢复%+3|n|n|Cff00ff7f点击消耗35000金币进行强化|n成功率50%</v>
      </c>
      <c r="L74" s="8"/>
      <c r="M74" s="121" t="str">
        <f>VLOOKUP(LEFT(RIGHT(B74,5),4),装备!B:CU,20,FALSE)</f>
        <v>ReplaceableTextures\\CommandButtons\\BTNZ15.blp</v>
      </c>
      <c r="N74" s="138" t="s">
        <v>83</v>
      </c>
      <c r="O74" s="139" t="s">
        <v>84</v>
      </c>
      <c r="P74" s="8">
        <v>0</v>
      </c>
      <c r="Q74" s="8">
        <v>0</v>
      </c>
      <c r="R74" s="138" t="s">
        <v>83</v>
      </c>
      <c r="S74" s="138" t="s">
        <v>83</v>
      </c>
      <c r="T74" s="138" t="s">
        <v>83</v>
      </c>
      <c r="U74" s="138" t="s">
        <v>83</v>
      </c>
      <c r="V74" s="8"/>
      <c r="W74" s="8" t="s">
        <v>85</v>
      </c>
      <c r="X74" s="8">
        <v>0</v>
      </c>
      <c r="Y74" s="138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38" t="s">
        <v>83</v>
      </c>
      <c r="AF74" s="138" t="s">
        <v>83</v>
      </c>
      <c r="AG74" s="138" t="s">
        <v>83</v>
      </c>
      <c r="AH74" s="138" t="s">
        <v>83</v>
      </c>
      <c r="AI74" s="8"/>
      <c r="AJ74" s="8"/>
      <c r="AK74" s="8">
        <v>0</v>
      </c>
      <c r="AL74" s="8">
        <v>0</v>
      </c>
      <c r="AM74" s="138" t="s">
        <v>83</v>
      </c>
      <c r="AN74" s="8"/>
      <c r="AO74" s="8"/>
      <c r="AP74" s="8">
        <v>1</v>
      </c>
    </row>
    <row r="75" spans="1:42">
      <c r="A75" s="118"/>
      <c r="B75" s="8" t="str">
        <f>装备!B75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VLOOKUP(LEFT(RIGHT(B75,5),4),装备!B:CU,2,FALSE)</f>
        <v>|CffFF0000[防具]九龙黄金甲lv3|r</v>
      </c>
      <c r="I75" s="8" t="str">
        <f>VLOOKUP(B75,装备!B:CV,99,FALSE)</f>
        <v>|Cffbbbbbb属性：|r|n护甲+2400|n生命值+1650000|n生命回复+33000|n生命恢复%+3|n|n|Cff00ff7f点击消耗35000金币进行强化|n成功率50%</v>
      </c>
      <c r="J75" s="120" t="str">
        <f t="shared" si="14"/>
        <v>|CffFF0000[防具]九龙黄金甲lv3|r</v>
      </c>
      <c r="K75" s="120" t="str">
        <f t="shared" si="15"/>
        <v>|Cffbbbbbb属性：|r|n护甲+2400|n生命值+1650000|n生命回复+33000|n生命恢复%+3|n|n|Cff00ff7f点击消耗35000金币进行强化|n成功率50%</v>
      </c>
      <c r="L75" s="8"/>
      <c r="M75" s="121" t="str">
        <f>VLOOKUP(LEFT(RIGHT(B75,5),4),装备!B:CU,20,FALSE)</f>
        <v>ReplaceableTextures\\CommandButtons\\BTNZ15.blp</v>
      </c>
      <c r="N75" s="138" t="s">
        <v>83</v>
      </c>
      <c r="O75" s="139" t="s">
        <v>84</v>
      </c>
      <c r="P75" s="8">
        <v>0</v>
      </c>
      <c r="Q75" s="8">
        <v>0</v>
      </c>
      <c r="R75" s="138" t="s">
        <v>83</v>
      </c>
      <c r="S75" s="138" t="s">
        <v>83</v>
      </c>
      <c r="T75" s="138" t="s">
        <v>83</v>
      </c>
      <c r="U75" s="138" t="s">
        <v>83</v>
      </c>
      <c r="V75" s="8"/>
      <c r="W75" s="8" t="s">
        <v>85</v>
      </c>
      <c r="X75" s="8">
        <v>0</v>
      </c>
      <c r="Y75" s="138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38" t="s">
        <v>83</v>
      </c>
      <c r="AF75" s="138" t="s">
        <v>83</v>
      </c>
      <c r="AG75" s="138" t="s">
        <v>83</v>
      </c>
      <c r="AH75" s="138" t="s">
        <v>83</v>
      </c>
      <c r="AI75" s="8"/>
      <c r="AJ75" s="8"/>
      <c r="AK75" s="8">
        <v>0</v>
      </c>
      <c r="AL75" s="8">
        <v>0</v>
      </c>
      <c r="AM75" s="138" t="s">
        <v>83</v>
      </c>
      <c r="AN75" s="8"/>
      <c r="AO75" s="8"/>
      <c r="AP75" s="8">
        <v>1</v>
      </c>
    </row>
    <row r="76" spans="1:42">
      <c r="A76" s="118"/>
      <c r="B76" s="8" t="str">
        <f>装备!B76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VLOOKUP(LEFT(RIGHT(B76,5),4),装备!B:CU,2,FALSE)</f>
        <v>|CffFF0000[防具]九龙黄金甲lv4|r</v>
      </c>
      <c r="I76" s="8" t="str">
        <f>VLOOKUP(B76,装备!B:CV,99,FALSE)</f>
        <v>|Cffbbbbbb属性：|r|n护甲+2600|n生命值+2100000|n生命回复+42000|n生命恢复%+3|n|n|Cff00ff7f点击消耗35000金币进行强化|n成功率50%</v>
      </c>
      <c r="J76" s="120" t="str">
        <f t="shared" si="14"/>
        <v>|CffFF0000[防具]九龙黄金甲lv4|r</v>
      </c>
      <c r="K76" s="120" t="str">
        <f t="shared" si="15"/>
        <v>|Cffbbbbbb属性：|r|n护甲+2600|n生命值+2100000|n生命回复+42000|n生命恢复%+3|n|n|Cff00ff7f点击消耗35000金币进行强化|n成功率50%</v>
      </c>
      <c r="L76" s="8"/>
      <c r="M76" s="121" t="str">
        <f>VLOOKUP(LEFT(RIGHT(B76,5),4),装备!B:CU,20,FALSE)</f>
        <v>ReplaceableTextures\\CommandButtons\\BTNZ15.blp</v>
      </c>
      <c r="N76" s="138" t="s">
        <v>83</v>
      </c>
      <c r="O76" s="139" t="s">
        <v>84</v>
      </c>
      <c r="P76" s="8">
        <v>0</v>
      </c>
      <c r="Q76" s="8">
        <v>0</v>
      </c>
      <c r="R76" s="138" t="s">
        <v>83</v>
      </c>
      <c r="S76" s="138" t="s">
        <v>83</v>
      </c>
      <c r="T76" s="138" t="s">
        <v>83</v>
      </c>
      <c r="U76" s="138" t="s">
        <v>83</v>
      </c>
      <c r="V76" s="8"/>
      <c r="W76" s="8" t="s">
        <v>85</v>
      </c>
      <c r="X76" s="8">
        <v>0</v>
      </c>
      <c r="Y76" s="138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38" t="s">
        <v>83</v>
      </c>
      <c r="AF76" s="138" t="s">
        <v>83</v>
      </c>
      <c r="AG76" s="138" t="s">
        <v>83</v>
      </c>
      <c r="AH76" s="138" t="s">
        <v>83</v>
      </c>
      <c r="AI76" s="8"/>
      <c r="AJ76" s="8"/>
      <c r="AK76" s="8">
        <v>0</v>
      </c>
      <c r="AL76" s="8">
        <v>0</v>
      </c>
      <c r="AM76" s="138" t="s">
        <v>83</v>
      </c>
      <c r="AN76" s="8"/>
      <c r="AO76" s="8"/>
      <c r="AP76" s="8">
        <v>1</v>
      </c>
    </row>
    <row r="77" spans="1:42">
      <c r="A77" s="118"/>
      <c r="B77" s="8" t="str">
        <f>装备!B77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VLOOKUP(LEFT(RIGHT(B77,5),4),装备!B:CU,2,FALSE)</f>
        <v>|CffFF0000[防具]九龙黄金甲lv5|r</v>
      </c>
      <c r="I77" s="8" t="str">
        <f>VLOOKUP(B77,装备!B:CV,99,FALSE)</f>
        <v>|Cffbbbbbb属性：|r|n护甲+2800|n生命值+3000000|n生命回复+60000|n生命恢复%+5|n|Cff999999装备进化：未开放|r</v>
      </c>
      <c r="J77" s="120" t="str">
        <f t="shared" si="14"/>
        <v>|CffFF0000[防具]九龙黄金甲lv5|r</v>
      </c>
      <c r="K77" s="120" t="str">
        <f t="shared" si="15"/>
        <v>|Cffbbbbbb属性：|r|n护甲+2800|n生命值+3000000|n生命回复+60000|n生命恢复%+5|n|Cff999999装备进化：未开放|r</v>
      </c>
      <c r="L77" s="8"/>
      <c r="M77" s="121" t="str">
        <f>VLOOKUP(LEFT(RIGHT(B77,5),4),装备!B:CU,20,FALSE)</f>
        <v>ReplaceableTextures\\CommandButtons\\BTNZ15.blp</v>
      </c>
      <c r="N77" s="138" t="s">
        <v>83</v>
      </c>
      <c r="O77" s="139" t="s">
        <v>84</v>
      </c>
      <c r="P77" s="8">
        <v>0</v>
      </c>
      <c r="Q77" s="8">
        <v>0</v>
      </c>
      <c r="R77" s="138" t="s">
        <v>83</v>
      </c>
      <c r="S77" s="138" t="s">
        <v>83</v>
      </c>
      <c r="T77" s="138" t="s">
        <v>83</v>
      </c>
      <c r="U77" s="138" t="s">
        <v>83</v>
      </c>
      <c r="V77" s="8"/>
      <c r="W77" s="8" t="s">
        <v>85</v>
      </c>
      <c r="X77" s="8">
        <v>0</v>
      </c>
      <c r="Y77" s="138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38" t="s">
        <v>83</v>
      </c>
      <c r="AF77" s="138" t="s">
        <v>83</v>
      </c>
      <c r="AG77" s="138" t="s">
        <v>83</v>
      </c>
      <c r="AH77" s="138" t="s">
        <v>83</v>
      </c>
      <c r="AI77" s="8"/>
      <c r="AJ77" s="8"/>
      <c r="AK77" s="8">
        <v>0</v>
      </c>
      <c r="AL77" s="8">
        <v>0</v>
      </c>
      <c r="AM77" s="138" t="s">
        <v>83</v>
      </c>
      <c r="AN77" s="8"/>
      <c r="AO77" s="8"/>
      <c r="AP77" s="8"/>
    </row>
    <row r="78" spans="1:42">
      <c r="A78" s="118"/>
      <c r="B78" s="8" t="str">
        <f>装备!B78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VLOOKUP(LEFT(RIGHT(B78,5),4),装备!B:CU,2,FALSE)</f>
        <v>低级道果</v>
      </c>
      <c r="I78" s="8" t="str">
        <f>VLOOKUP(B78,装备!B:CV,99,FALSE)</f>
        <v>|Cffbbbbbb属性：|r|n攻击+7500|n生命值+30000|n物理伤害+15%|n法术伤害+15%|n杀敌攻击+8|n杀敌业力+1|n杀敌生命+30|n</v>
      </c>
      <c r="J78" s="120" t="str">
        <f t="shared" ref="J78" si="16">H78</f>
        <v>低级道果</v>
      </c>
      <c r="K78" s="120" t="str">
        <f t="shared" ref="K78" si="17">I78</f>
        <v>|Cffbbbbbb属性：|r|n攻击+7500|n生命值+30000|n物理伤害+15%|n法术伤害+15%|n杀敌攻击+8|n杀敌业力+1|n杀敌生命+30|n</v>
      </c>
      <c r="L78" s="8"/>
      <c r="M78" s="121" t="str">
        <f>VLOOKUP(LEFT(RIGHT(B78,5),4),装备!B:CU,20,FALSE)</f>
        <v>ReplaceableTextures\\CommandButtons\\BTNOrbOfFrost.blp</v>
      </c>
      <c r="N78" s="138" t="s">
        <v>83</v>
      </c>
      <c r="O78" s="139" t="s">
        <v>84</v>
      </c>
      <c r="P78" s="8">
        <v>0</v>
      </c>
      <c r="Q78" s="8">
        <v>0</v>
      </c>
      <c r="R78" s="138" t="s">
        <v>83</v>
      </c>
      <c r="S78" s="138" t="s">
        <v>83</v>
      </c>
      <c r="T78" s="138" t="s">
        <v>83</v>
      </c>
      <c r="U78" s="138" t="s">
        <v>83</v>
      </c>
      <c r="V78" s="8"/>
      <c r="W78" s="8" t="s">
        <v>87</v>
      </c>
      <c r="X78" s="8">
        <v>0</v>
      </c>
      <c r="Y78" s="138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38" t="s">
        <v>83</v>
      </c>
      <c r="AF78" s="138" t="s">
        <v>83</v>
      </c>
      <c r="AG78" s="138" t="s">
        <v>83</v>
      </c>
      <c r="AH78" s="138" t="s">
        <v>83</v>
      </c>
      <c r="AI78" s="8">
        <v>1</v>
      </c>
      <c r="AJ78" s="8"/>
      <c r="AK78" s="8">
        <v>1</v>
      </c>
      <c r="AL78" s="8">
        <v>1</v>
      </c>
      <c r="AM78" s="138" t="s">
        <v>83</v>
      </c>
      <c r="AN78" s="8">
        <v>1</v>
      </c>
      <c r="AO78" s="8">
        <v>1</v>
      </c>
      <c r="AP78" s="8">
        <v>1</v>
      </c>
    </row>
    <row r="79" spans="1:42">
      <c r="A79" s="118"/>
      <c r="B79" s="8" t="str">
        <f>装备!B79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VLOOKUP(LEFT(RIGHT(B79,5),4),装备!B:CU,2,FALSE)</f>
        <v>中级道果</v>
      </c>
      <c r="I79" s="8" t="str">
        <f>VLOOKUP(B79,装备!B:CV,99,FALSE)</f>
        <v>|Cffbbbbbb属性：|r|n攻击+18000|n生命值+72000|n物理伤害+15%|n法术伤害+15%|n杀敌攻击+8|n杀敌业力+1|n杀敌生命+30|n</v>
      </c>
      <c r="J79" s="120" t="str">
        <f t="shared" ref="J79:J82" si="18">H79</f>
        <v>中级道果</v>
      </c>
      <c r="K79" s="120" t="str">
        <f t="shared" ref="K79:K82" si="19">I79</f>
        <v>|Cffbbbbbb属性：|r|n攻击+18000|n生命值+72000|n物理伤害+15%|n法术伤害+15%|n杀敌攻击+8|n杀敌业力+1|n杀敌生命+30|n</v>
      </c>
      <c r="L79" s="8"/>
      <c r="M79" s="121" t="str">
        <f>VLOOKUP(LEFT(RIGHT(B79,5),4),装备!B:CU,20,FALSE)</f>
        <v>ReplaceableTextures\\CommandButtons\\BTNOrbOfVenom.blp</v>
      </c>
      <c r="N79" s="138" t="s">
        <v>83</v>
      </c>
      <c r="O79" s="139" t="s">
        <v>84</v>
      </c>
      <c r="P79" s="8">
        <v>0</v>
      </c>
      <c r="Q79" s="8">
        <v>0</v>
      </c>
      <c r="R79" s="138" t="s">
        <v>83</v>
      </c>
      <c r="S79" s="138" t="s">
        <v>83</v>
      </c>
      <c r="T79" s="138" t="s">
        <v>83</v>
      </c>
      <c r="U79" s="138" t="s">
        <v>83</v>
      </c>
      <c r="V79" s="8"/>
      <c r="W79" s="8" t="s">
        <v>87</v>
      </c>
      <c r="X79" s="8">
        <v>0</v>
      </c>
      <c r="Y79" s="138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38" t="s">
        <v>83</v>
      </c>
      <c r="AF79" s="138" t="s">
        <v>83</v>
      </c>
      <c r="AG79" s="138" t="s">
        <v>83</v>
      </c>
      <c r="AH79" s="138" t="s">
        <v>83</v>
      </c>
      <c r="AI79" s="8">
        <v>1</v>
      </c>
      <c r="AJ79" s="8"/>
      <c r="AK79" s="8">
        <v>1</v>
      </c>
      <c r="AL79" s="8">
        <v>1</v>
      </c>
      <c r="AM79" s="138" t="s">
        <v>83</v>
      </c>
      <c r="AN79" s="8">
        <v>1</v>
      </c>
      <c r="AO79" s="8">
        <v>1</v>
      </c>
      <c r="AP79" s="8">
        <v>1</v>
      </c>
    </row>
    <row r="80" spans="1:42">
      <c r="A80" s="118"/>
      <c r="B80" s="8" t="str">
        <f>装备!B80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VLOOKUP(LEFT(RIGHT(B80,5),4),装备!B:CU,2,FALSE)</f>
        <v>|Cff00FF7F高级道果|r</v>
      </c>
      <c r="I80" s="8" t="str">
        <f>VLOOKUP(B80,装备!B:CV,99,FALSE)</f>
        <v>|Cffbbbbbb属性：|r|n攻击+37500|n生命值+150000|n物理伤害+15%|n法术伤害+15%|n杀敌攻击+8|n杀敌业力+1|n杀敌生命+30|n</v>
      </c>
      <c r="J80" s="120" t="str">
        <f t="shared" si="18"/>
        <v>|Cff00FF7F高级道果|r</v>
      </c>
      <c r="K80" s="120" t="str">
        <f t="shared" si="19"/>
        <v>|Cffbbbbbb属性：|r|n攻击+37500|n生命值+150000|n物理伤害+15%|n法术伤害+15%|n杀敌攻击+8|n杀敌业力+1|n杀敌生命+30|n</v>
      </c>
      <c r="L80" s="8"/>
      <c r="M80" s="121" t="str">
        <f>VLOOKUP(LEFT(RIGHT(B80,5),4),装备!B:CU,20,FALSE)</f>
        <v>ReplaceableTextures\\CommandButtons\\BTNOrbOfCorruption.blp</v>
      </c>
      <c r="N80" s="138" t="s">
        <v>83</v>
      </c>
      <c r="O80" s="139" t="s">
        <v>84</v>
      </c>
      <c r="P80" s="8">
        <v>0</v>
      </c>
      <c r="Q80" s="8">
        <v>0</v>
      </c>
      <c r="R80" s="138" t="s">
        <v>83</v>
      </c>
      <c r="S80" s="138" t="s">
        <v>83</v>
      </c>
      <c r="T80" s="138" t="s">
        <v>83</v>
      </c>
      <c r="U80" s="138" t="s">
        <v>83</v>
      </c>
      <c r="V80" s="8"/>
      <c r="W80" s="8" t="s">
        <v>87</v>
      </c>
      <c r="X80" s="8">
        <v>0</v>
      </c>
      <c r="Y80" s="138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38" t="s">
        <v>83</v>
      </c>
      <c r="AF80" s="138" t="s">
        <v>83</v>
      </c>
      <c r="AG80" s="138" t="s">
        <v>83</v>
      </c>
      <c r="AH80" s="138" t="s">
        <v>83</v>
      </c>
      <c r="AI80" s="8">
        <v>1</v>
      </c>
      <c r="AJ80" s="8"/>
      <c r="AK80" s="8">
        <v>1</v>
      </c>
      <c r="AL80" s="8">
        <v>1</v>
      </c>
      <c r="AM80" s="138" t="s">
        <v>83</v>
      </c>
      <c r="AN80" s="8">
        <v>1</v>
      </c>
      <c r="AO80" s="8">
        <v>1</v>
      </c>
      <c r="AP80" s="8">
        <v>1</v>
      </c>
    </row>
    <row r="81" spans="1:42">
      <c r="A81" s="118"/>
      <c r="B81" s="8" t="str">
        <f>装备!B81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VLOOKUP(LEFT(RIGHT(B81,5),4),装备!B:CU,2,FALSE)</f>
        <v>|Cff00FF7F黄级道果|r</v>
      </c>
      <c r="I81" s="8" t="str">
        <f>VLOOKUP(B81,装备!B:CV,99,FALSE)</f>
        <v>|Cffbbbbbb属性：|r|n攻击+60000|n生命值+240000|n物理伤害+20%|n法术伤害+20%|n杀敌攻击+8|n杀敌业力+1|n杀敌生命+30|n</v>
      </c>
      <c r="J81" s="120" t="str">
        <f t="shared" si="18"/>
        <v>|Cff00FF7F黄级道果|r</v>
      </c>
      <c r="K81" s="120" t="str">
        <f t="shared" si="19"/>
        <v>|Cffbbbbbb属性：|r|n攻击+60000|n生命值+240000|n物理伤害+20%|n法术伤害+20%|n杀敌攻击+8|n杀敌业力+1|n杀敌生命+30|n</v>
      </c>
      <c r="L81" s="8"/>
      <c r="M81" s="121" t="str">
        <f>VLOOKUP(LEFT(RIGHT(B81,5),4),装备!B:CU,20,FALSE)</f>
        <v>ReplaceableTextures\\CommandButtons\\BTNOrbOfFire.blp</v>
      </c>
      <c r="N81" s="138" t="s">
        <v>83</v>
      </c>
      <c r="O81" s="139" t="s">
        <v>84</v>
      </c>
      <c r="P81" s="8">
        <v>0</v>
      </c>
      <c r="Q81" s="8">
        <v>0</v>
      </c>
      <c r="R81" s="138" t="s">
        <v>83</v>
      </c>
      <c r="S81" s="138" t="s">
        <v>83</v>
      </c>
      <c r="T81" s="138" t="s">
        <v>83</v>
      </c>
      <c r="U81" s="138" t="s">
        <v>83</v>
      </c>
      <c r="V81" s="8"/>
      <c r="W81" s="8" t="s">
        <v>87</v>
      </c>
      <c r="X81" s="8">
        <v>0</v>
      </c>
      <c r="Y81" s="138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38" t="s">
        <v>83</v>
      </c>
      <c r="AF81" s="138" t="s">
        <v>83</v>
      </c>
      <c r="AG81" s="138" t="s">
        <v>83</v>
      </c>
      <c r="AH81" s="138" t="s">
        <v>83</v>
      </c>
      <c r="AI81" s="8">
        <v>1</v>
      </c>
      <c r="AJ81" s="8"/>
      <c r="AK81" s="8">
        <v>1</v>
      </c>
      <c r="AL81" s="8">
        <v>1</v>
      </c>
      <c r="AM81" s="138" t="s">
        <v>83</v>
      </c>
      <c r="AN81" s="8">
        <v>1</v>
      </c>
      <c r="AO81" s="8">
        <v>1</v>
      </c>
      <c r="AP81" s="8">
        <v>1</v>
      </c>
    </row>
    <row r="82" spans="1:42">
      <c r="A82" s="118"/>
      <c r="B82" s="8" t="str">
        <f>装备!B82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VLOOKUP(LEFT(RIGHT(B82,5),4),装备!B:CU,2,FALSE)</f>
        <v>|Cff00BFFF玄级道果|r</v>
      </c>
      <c r="I82" s="8" t="str">
        <f>VLOOKUP(B82,装备!B:CV,99,FALSE)</f>
        <v>|Cffbbbbbb属性：|r|n攻击+82500|n生命值+330000|n物理伤害+20%|n法术伤害+20%|n杀敌攻击+8|n杀敌业力+1|n杀敌生命+30|n</v>
      </c>
      <c r="J82" s="120" t="str">
        <f t="shared" si="18"/>
        <v>|Cff00BFFF玄级道果|r</v>
      </c>
      <c r="K82" s="120" t="str">
        <f t="shared" si="19"/>
        <v>|Cffbbbbbb属性：|r|n攻击+82500|n生命值+330000|n物理伤害+20%|n法术伤害+20%|n杀敌攻击+8|n杀敌业力+1|n杀敌生命+30|n</v>
      </c>
      <c r="L82" s="8"/>
      <c r="M82" s="121" t="str">
        <f>VLOOKUP(LEFT(RIGHT(B82,5),4),装备!B:CU,20,FALSE)</f>
        <v>ReplaceableTextures\\CommandButtons\\BTNUsedSoulGem.blp</v>
      </c>
      <c r="N82" s="138" t="s">
        <v>83</v>
      </c>
      <c r="O82" s="139" t="s">
        <v>84</v>
      </c>
      <c r="P82" s="8">
        <v>0</v>
      </c>
      <c r="Q82" s="8">
        <v>0</v>
      </c>
      <c r="R82" s="138" t="s">
        <v>83</v>
      </c>
      <c r="S82" s="138" t="s">
        <v>83</v>
      </c>
      <c r="T82" s="138" t="s">
        <v>83</v>
      </c>
      <c r="U82" s="138" t="s">
        <v>83</v>
      </c>
      <c r="V82" s="8"/>
      <c r="W82" s="8" t="s">
        <v>87</v>
      </c>
      <c r="X82" s="8">
        <v>0</v>
      </c>
      <c r="Y82" s="138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38" t="s">
        <v>83</v>
      </c>
      <c r="AF82" s="138" t="s">
        <v>83</v>
      </c>
      <c r="AG82" s="138" t="s">
        <v>83</v>
      </c>
      <c r="AH82" s="138" t="s">
        <v>83</v>
      </c>
      <c r="AI82" s="8">
        <v>1</v>
      </c>
      <c r="AJ82" s="8"/>
      <c r="AK82" s="8">
        <v>1</v>
      </c>
      <c r="AL82" s="8">
        <v>1</v>
      </c>
      <c r="AM82" s="138" t="s">
        <v>83</v>
      </c>
      <c r="AN82" s="8">
        <v>1</v>
      </c>
      <c r="AO82" s="8">
        <v>1</v>
      </c>
      <c r="AP82" s="8">
        <v>1</v>
      </c>
    </row>
    <row r="83" spans="1:42">
      <c r="A83" s="118"/>
      <c r="B83" s="8" t="str">
        <f>装备!B83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VLOOKUP(LEFT(RIGHT(B83,5),4),装备!B:CU,2,FALSE)</f>
        <v>|Cff00BFFF地级道果|r</v>
      </c>
      <c r="I83" s="8" t="str">
        <f>VLOOKUP(B83,装备!B:CV,99,FALSE)</f>
        <v>|Cffbbbbbb属性：|r|n攻击+120000|n生命值+480000|n物理伤害+20%|n法术伤害+20%|n杀敌攻击+8|n杀敌业力+1|n杀敌生命+30|n</v>
      </c>
      <c r="J83" s="120" t="str">
        <f t="shared" ref="J83:J108" si="20">H83</f>
        <v>|Cff00BFFF地级道果|r</v>
      </c>
      <c r="K83" s="120" t="str">
        <f t="shared" ref="K83:K108" si="21">I83</f>
        <v>|Cffbbbbbb属性：|r|n攻击+120000|n生命值+480000|n物理伤害+20%|n法术伤害+20%|n杀敌攻击+8|n杀敌业力+1|n杀敌生命+30|n</v>
      </c>
      <c r="L83" s="8"/>
      <c r="M83" s="121" t="str">
        <f>VLOOKUP(LEFT(RIGHT(B83,5),4),装备!B:CU,20,FALSE)</f>
        <v>ReplaceableTextures\\CommandButtons\\BTNOrbofSlowness.blp</v>
      </c>
      <c r="N83" s="138" t="s">
        <v>83</v>
      </c>
      <c r="O83" s="139" t="s">
        <v>84</v>
      </c>
      <c r="P83" s="8">
        <v>0</v>
      </c>
      <c r="Q83" s="8">
        <v>0</v>
      </c>
      <c r="R83" s="138" t="s">
        <v>83</v>
      </c>
      <c r="S83" s="138" t="s">
        <v>83</v>
      </c>
      <c r="T83" s="138" t="s">
        <v>83</v>
      </c>
      <c r="U83" s="138" t="s">
        <v>83</v>
      </c>
      <c r="V83" s="8"/>
      <c r="W83" s="8" t="s">
        <v>87</v>
      </c>
      <c r="X83" s="8">
        <v>0</v>
      </c>
      <c r="Y83" s="138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38" t="s">
        <v>83</v>
      </c>
      <c r="AF83" s="138" t="s">
        <v>83</v>
      </c>
      <c r="AG83" s="138" t="s">
        <v>83</v>
      </c>
      <c r="AH83" s="138" t="s">
        <v>83</v>
      </c>
      <c r="AI83" s="8">
        <v>1</v>
      </c>
      <c r="AJ83" s="8"/>
      <c r="AK83" s="8">
        <v>1</v>
      </c>
      <c r="AL83" s="8">
        <v>1</v>
      </c>
      <c r="AM83" s="138" t="s">
        <v>83</v>
      </c>
      <c r="AN83" s="8">
        <v>1</v>
      </c>
      <c r="AO83" s="8">
        <v>1</v>
      </c>
      <c r="AP83" s="8">
        <v>1</v>
      </c>
    </row>
    <row r="84" spans="1:42">
      <c r="A84" s="118"/>
      <c r="B84" s="8" t="str">
        <f>装备!B84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VLOOKUP(LEFT(RIGHT(B84,5),4),装备!B:CU,2,FALSE)</f>
        <v>|CffFFC926天级道果|r</v>
      </c>
      <c r="I84" s="8" t="str">
        <f>VLOOKUP(B84,装备!B:CV,99,FALSE)</f>
        <v>|Cffbbbbbb属性：|r|n攻击+180000|n生命值+720000|n物理伤害+25%|n法术伤害+25%|n杀敌攻击+8|n杀敌业力+1|n杀敌生命+30|n</v>
      </c>
      <c r="J84" s="120" t="str">
        <f t="shared" si="20"/>
        <v>|CffFFC926天级道果|r</v>
      </c>
      <c r="K84" s="120" t="str">
        <f t="shared" si="21"/>
        <v>|Cffbbbbbb属性：|r|n攻击+180000|n生命值+720000|n物理伤害+25%|n法术伤害+25%|n杀敌攻击+8|n杀敌业力+1|n杀敌生命+30|n</v>
      </c>
      <c r="L84" s="8"/>
      <c r="M84" s="121" t="str">
        <f>VLOOKUP(LEFT(RIGHT(B84,5),4),装备!B:CU,20,FALSE)</f>
        <v>ReplaceableTextures\\CommandButtons\\BTNOrbOfLightning.blp</v>
      </c>
      <c r="N84" s="138" t="s">
        <v>83</v>
      </c>
      <c r="O84" s="139" t="s">
        <v>84</v>
      </c>
      <c r="P84" s="8">
        <v>0</v>
      </c>
      <c r="Q84" s="8">
        <v>0</v>
      </c>
      <c r="R84" s="138" t="s">
        <v>83</v>
      </c>
      <c r="S84" s="138" t="s">
        <v>83</v>
      </c>
      <c r="T84" s="138" t="s">
        <v>83</v>
      </c>
      <c r="U84" s="138" t="s">
        <v>83</v>
      </c>
      <c r="V84" s="8"/>
      <c r="W84" s="8" t="s">
        <v>87</v>
      </c>
      <c r="X84" s="8">
        <v>0</v>
      </c>
      <c r="Y84" s="138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38" t="s">
        <v>83</v>
      </c>
      <c r="AF84" s="138" t="s">
        <v>83</v>
      </c>
      <c r="AG84" s="138" t="s">
        <v>83</v>
      </c>
      <c r="AH84" s="138" t="s">
        <v>83</v>
      </c>
      <c r="AI84" s="8">
        <v>1</v>
      </c>
      <c r="AJ84" s="8"/>
      <c r="AK84" s="8">
        <v>1</v>
      </c>
      <c r="AL84" s="8">
        <v>1</v>
      </c>
      <c r="AM84" s="138" t="s">
        <v>83</v>
      </c>
      <c r="AN84" s="8">
        <v>1</v>
      </c>
      <c r="AO84" s="8">
        <v>1</v>
      </c>
      <c r="AP84" s="8">
        <v>1</v>
      </c>
    </row>
    <row r="85" spans="1:42">
      <c r="A85" s="118"/>
      <c r="B85" s="8" t="str">
        <f>装备!B85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VLOOKUP(LEFT(RIGHT(B85,5),4),装备!B:CU,2,FALSE)</f>
        <v>|CffFFC926仙品道果|r</v>
      </c>
      <c r="I85" s="8" t="str">
        <f>VLOOKUP(B85,装备!B:CV,99,FALSE)</f>
        <v>|Cffbbbbbb属性：|r|n攻击+300000|n生命值+1200000|n物理伤害+25%|n法术伤害+25%|n杀敌攻击+8|n杀敌业力+1|n杀敌生命+30|n</v>
      </c>
      <c r="J85" s="120" t="str">
        <f t="shared" si="20"/>
        <v>|CffFFC926仙品道果|r</v>
      </c>
      <c r="K85" s="120" t="str">
        <f t="shared" si="21"/>
        <v>|Cffbbbbbb属性：|r|n攻击+300000|n生命值+1200000|n物理伤害+25%|n法术伤害+25%|n杀敌攻击+8|n杀敌业力+1|n杀敌生命+30|n</v>
      </c>
      <c r="L85" s="8"/>
      <c r="M85" s="121" t="str">
        <f>VLOOKUP(LEFT(RIGHT(B85,5),4),装备!B:CU,20,FALSE)</f>
        <v>ReplaceableTextures\\CommandButtons\\BTNHeartOfAszune.blp</v>
      </c>
      <c r="N85" s="138" t="s">
        <v>83</v>
      </c>
      <c r="O85" s="139" t="s">
        <v>84</v>
      </c>
      <c r="P85" s="8">
        <v>0</v>
      </c>
      <c r="Q85" s="8">
        <v>0</v>
      </c>
      <c r="R85" s="138" t="s">
        <v>83</v>
      </c>
      <c r="S85" s="138" t="s">
        <v>83</v>
      </c>
      <c r="T85" s="138" t="s">
        <v>83</v>
      </c>
      <c r="U85" s="138" t="s">
        <v>83</v>
      </c>
      <c r="V85" s="8"/>
      <c r="W85" s="8" t="s">
        <v>87</v>
      </c>
      <c r="X85" s="8">
        <v>0</v>
      </c>
      <c r="Y85" s="138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38" t="s">
        <v>83</v>
      </c>
      <c r="AF85" s="138" t="s">
        <v>83</v>
      </c>
      <c r="AG85" s="138" t="s">
        <v>83</v>
      </c>
      <c r="AH85" s="138" t="s">
        <v>83</v>
      </c>
      <c r="AI85" s="8">
        <v>1</v>
      </c>
      <c r="AJ85" s="8"/>
      <c r="AK85" s="8">
        <v>1</v>
      </c>
      <c r="AL85" s="8">
        <v>1</v>
      </c>
      <c r="AM85" s="138" t="s">
        <v>83</v>
      </c>
      <c r="AN85" s="8">
        <v>1</v>
      </c>
      <c r="AO85" s="8">
        <v>1</v>
      </c>
      <c r="AP85" s="8">
        <v>1</v>
      </c>
    </row>
    <row r="86" spans="1:42">
      <c r="A86" s="118"/>
      <c r="B86" s="8" t="str">
        <f>装备!B86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VLOOKUP(LEFT(RIGHT(B86,5),4),装备!B:CU,2,FALSE)</f>
        <v>|CffFF0000至圣道果|r</v>
      </c>
      <c r="I86" s="8" t="str">
        <f>VLOOKUP(B86,装备!B:CV,99,FALSE)</f>
        <v>|Cffbbbbbb属性：|r|n攻击+450000|n生命值+1800000|n物理伤害+25%|n法术伤害+25%|n杀敌攻击+8|n杀敌业力+1|n杀敌生命+30|n</v>
      </c>
      <c r="J86" s="120" t="str">
        <f t="shared" si="20"/>
        <v>|CffFF0000至圣道果|r</v>
      </c>
      <c r="K86" s="120" t="str">
        <f t="shared" si="21"/>
        <v>|Cffbbbbbb属性：|r|n攻击+450000|n生命值+1800000|n物理伤害+25%|n法术伤害+25%|n杀敌攻击+8|n杀敌业力+1|n杀敌生命+30|n</v>
      </c>
      <c r="L86" s="8"/>
      <c r="M86" s="121" t="str">
        <f>VLOOKUP(LEFT(RIGHT(B86,5),4),装备!B:CU,20,FALSE)</f>
        <v>ReplaceableTextures\\CommandButtons\\BTNPhilosophersStone.blp</v>
      </c>
      <c r="N86" s="138" t="s">
        <v>83</v>
      </c>
      <c r="O86" s="139" t="s">
        <v>84</v>
      </c>
      <c r="P86" s="8">
        <v>0</v>
      </c>
      <c r="Q86" s="8">
        <v>0</v>
      </c>
      <c r="R86" s="138" t="s">
        <v>83</v>
      </c>
      <c r="S86" s="138" t="s">
        <v>83</v>
      </c>
      <c r="T86" s="138" t="s">
        <v>83</v>
      </c>
      <c r="U86" s="138" t="s">
        <v>83</v>
      </c>
      <c r="V86" s="8"/>
      <c r="W86" s="8" t="s">
        <v>87</v>
      </c>
      <c r="X86" s="8">
        <v>0</v>
      </c>
      <c r="Y86" s="138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38" t="s">
        <v>83</v>
      </c>
      <c r="AF86" s="138" t="s">
        <v>83</v>
      </c>
      <c r="AG86" s="138" t="s">
        <v>83</v>
      </c>
      <c r="AH86" s="138" t="s">
        <v>83</v>
      </c>
      <c r="AI86" s="8">
        <v>1</v>
      </c>
      <c r="AJ86" s="8"/>
      <c r="AK86" s="8">
        <v>1</v>
      </c>
      <c r="AL86" s="8">
        <v>1</v>
      </c>
      <c r="AM86" s="138" t="s">
        <v>83</v>
      </c>
      <c r="AN86" s="8">
        <v>1</v>
      </c>
      <c r="AO86" s="8">
        <v>1</v>
      </c>
      <c r="AP86" s="8">
        <v>1</v>
      </c>
    </row>
    <row r="87" spans="1:42">
      <c r="A87" s="118"/>
      <c r="B87" s="8" t="str">
        <f>装备!B87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VLOOKUP(LEFT(RIGHT(B87,5),4),装备!B:CU,2,FALSE)</f>
        <v>|CffFF0000混沌道果|r</v>
      </c>
      <c r="I87" s="8" t="str">
        <f>VLOOKUP(B87,装备!B:CV,99,FALSE)</f>
        <v>|Cffbbbbbb属性：|r|n攻击+750000|n生命值+3000000|n物理伤害+30%|n法术伤害+30%|n杀敌攻击+8|n杀敌业力+1|n杀敌生命+30|n</v>
      </c>
      <c r="J87" s="120" t="str">
        <f t="shared" si="20"/>
        <v>|CffFF0000混沌道果|r</v>
      </c>
      <c r="K87" s="120" t="str">
        <f t="shared" si="21"/>
        <v>|Cffbbbbbb属性：|r|n攻击+750000|n生命值+3000000|n物理伤害+30%|n法术伤害+30%|n杀敌攻击+8|n杀敌业力+1|n杀敌生命+30|n</v>
      </c>
      <c r="L87" s="8"/>
      <c r="M87" s="121" t="str">
        <f>VLOOKUP(LEFT(RIGHT(B87,5),4),装备!B:CU,20,FALSE)</f>
        <v>ReplaceableTextures\\CommandButtons\\BTNOrbOfDarkness.blp</v>
      </c>
      <c r="N87" s="138" t="s">
        <v>83</v>
      </c>
      <c r="O87" s="139" t="s">
        <v>84</v>
      </c>
      <c r="P87" s="8">
        <v>0</v>
      </c>
      <c r="Q87" s="8">
        <v>0</v>
      </c>
      <c r="R87" s="138" t="s">
        <v>83</v>
      </c>
      <c r="S87" s="138" t="s">
        <v>83</v>
      </c>
      <c r="T87" s="138" t="s">
        <v>83</v>
      </c>
      <c r="U87" s="138" t="s">
        <v>83</v>
      </c>
      <c r="V87" s="8"/>
      <c r="W87" s="8" t="s">
        <v>87</v>
      </c>
      <c r="X87" s="8">
        <v>0</v>
      </c>
      <c r="Y87" s="138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38" t="s">
        <v>83</v>
      </c>
      <c r="AF87" s="138" t="s">
        <v>83</v>
      </c>
      <c r="AG87" s="138" t="s">
        <v>83</v>
      </c>
      <c r="AH87" s="138" t="s">
        <v>83</v>
      </c>
      <c r="AI87" s="8">
        <v>1</v>
      </c>
      <c r="AJ87" s="8"/>
      <c r="AK87" s="8">
        <v>1</v>
      </c>
      <c r="AL87" s="8">
        <v>1</v>
      </c>
      <c r="AM87" s="138" t="s">
        <v>83</v>
      </c>
      <c r="AN87" s="8">
        <v>1</v>
      </c>
      <c r="AO87" s="8">
        <v>1</v>
      </c>
      <c r="AP87" s="8">
        <v>1</v>
      </c>
    </row>
    <row r="88" spans="1:42">
      <c r="A88" s="118"/>
      <c r="B88" s="8" t="str">
        <f>装备!B88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VLOOKUP(LEFT(RIGHT(B88,5),4),装备!B:CU,2,FALSE)</f>
        <v>完美的低级道果</v>
      </c>
      <c r="I88" s="8" t="str">
        <f>VLOOKUP(B88,装备!B:CV,99,FALSE)</f>
        <v>强行突破境界|n攻击+7500|n生命值+30000|n物理伤害+15%|n法术伤害+15%|n杀敌攻击+8|n杀敌业力+1|n杀敌生命+30|n</v>
      </c>
      <c r="J88" s="120" t="str">
        <f t="shared" ref="J88:J97" si="22">H88</f>
        <v>完美的低级道果</v>
      </c>
      <c r="K88" s="120" t="str">
        <f t="shared" ref="K88:K97" si="23">I88</f>
        <v>强行突破境界|n攻击+7500|n生命值+30000|n物理伤害+15%|n法术伤害+15%|n杀敌攻击+8|n杀敌业力+1|n杀敌生命+30|n</v>
      </c>
      <c r="L88" s="8"/>
      <c r="M88" s="121" t="str">
        <f>VLOOKUP(LEFT(RIGHT(B88,5),4),装备!B:CU,20,FALSE)</f>
        <v>ReplaceableTextures\\CommandButtons\\BTNDG11.blp</v>
      </c>
      <c r="N88" s="138" t="s">
        <v>83</v>
      </c>
      <c r="O88" s="121" t="s">
        <v>88</v>
      </c>
      <c r="P88" s="8">
        <v>0</v>
      </c>
      <c r="Q88" s="8">
        <v>0</v>
      </c>
      <c r="R88" s="138" t="s">
        <v>83</v>
      </c>
      <c r="S88" s="138" t="s">
        <v>83</v>
      </c>
      <c r="T88" s="138" t="s">
        <v>83</v>
      </c>
      <c r="U88" s="138" t="s">
        <v>83</v>
      </c>
      <c r="V88" s="8"/>
      <c r="W88" s="8" t="s">
        <v>89</v>
      </c>
      <c r="X88" s="8">
        <v>0</v>
      </c>
      <c r="Y88" s="138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38" t="s">
        <v>83</v>
      </c>
      <c r="AF88" s="138" t="s">
        <v>83</v>
      </c>
      <c r="AG88" s="138" t="s">
        <v>83</v>
      </c>
      <c r="AH88" s="138" t="s">
        <v>83</v>
      </c>
      <c r="AI88" s="8"/>
      <c r="AJ88" s="8"/>
      <c r="AK88" s="8">
        <v>1</v>
      </c>
      <c r="AL88" s="8">
        <v>1</v>
      </c>
      <c r="AM88" s="138" t="s">
        <v>83</v>
      </c>
      <c r="AN88" s="8">
        <v>1</v>
      </c>
      <c r="AO88" s="8">
        <v>1</v>
      </c>
      <c r="AP88" s="8">
        <v>1</v>
      </c>
    </row>
    <row r="89" spans="1:42">
      <c r="A89" s="118"/>
      <c r="B89" s="8" t="str">
        <f>装备!B89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VLOOKUP(LEFT(RIGHT(B89,5),4),装备!B:CU,2,FALSE)</f>
        <v>完美的中级道果</v>
      </c>
      <c r="I89" s="8" t="str">
        <f>VLOOKUP(B89,装备!B:CV,99,FALSE)</f>
        <v>强行突破境界|n攻击+18000|n生命值+72000|n物理伤害+15%|n法术伤害+15%|n杀敌攻击+8|n杀敌业力+1|n杀敌生命+30|n</v>
      </c>
      <c r="J89" s="120" t="str">
        <f t="shared" si="22"/>
        <v>完美的中级道果</v>
      </c>
      <c r="K89" s="120" t="str">
        <f t="shared" si="23"/>
        <v>强行突破境界|n攻击+18000|n生命值+72000|n物理伤害+15%|n法术伤害+15%|n杀敌攻击+8|n杀敌业力+1|n杀敌生命+30|n</v>
      </c>
      <c r="L89" s="8"/>
      <c r="M89" s="121" t="str">
        <f>VLOOKUP(LEFT(RIGHT(B89,5),4),装备!B:CU,20,FALSE)</f>
        <v>ReplaceableTextures\\CommandButtons\\BTNDG12.blp</v>
      </c>
      <c r="N89" s="138" t="s">
        <v>83</v>
      </c>
      <c r="O89" s="121" t="s">
        <v>88</v>
      </c>
      <c r="P89" s="8">
        <v>0</v>
      </c>
      <c r="Q89" s="8">
        <v>0</v>
      </c>
      <c r="R89" s="138" t="s">
        <v>83</v>
      </c>
      <c r="S89" s="138" t="s">
        <v>83</v>
      </c>
      <c r="T89" s="138" t="s">
        <v>83</v>
      </c>
      <c r="U89" s="138" t="s">
        <v>83</v>
      </c>
      <c r="V89" s="8"/>
      <c r="W89" s="8" t="s">
        <v>89</v>
      </c>
      <c r="X89" s="8">
        <v>0</v>
      </c>
      <c r="Y89" s="138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38" t="s">
        <v>83</v>
      </c>
      <c r="AF89" s="138" t="s">
        <v>83</v>
      </c>
      <c r="AG89" s="138" t="s">
        <v>83</v>
      </c>
      <c r="AH89" s="138" t="s">
        <v>83</v>
      </c>
      <c r="AI89" s="8"/>
      <c r="AJ89" s="8"/>
      <c r="AK89" s="8">
        <v>0</v>
      </c>
      <c r="AL89" s="8">
        <v>1</v>
      </c>
      <c r="AM89" s="138" t="s">
        <v>83</v>
      </c>
      <c r="AN89" s="8">
        <v>1</v>
      </c>
      <c r="AO89" s="8">
        <v>1</v>
      </c>
      <c r="AP89" s="8">
        <v>1</v>
      </c>
    </row>
    <row r="90" spans="1:42">
      <c r="A90" s="118"/>
      <c r="B90" s="8" t="str">
        <f>装备!B90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VLOOKUP(LEFT(RIGHT(B90,5),4),装备!B:CU,2,FALSE)</f>
        <v>|Cff00FF7F完美的高级道果|r</v>
      </c>
      <c r="I90" s="8" t="str">
        <f>VLOOKUP(B90,装备!B:CV,99,FALSE)</f>
        <v>强行突破境界|n攻击+37500|n生命值+150000|n物理伤害+15%|n法术伤害+15%|n杀敌攻击+8|n杀敌业力+1|n杀敌生命+30|n</v>
      </c>
      <c r="J90" s="120" t="str">
        <f t="shared" si="22"/>
        <v>|Cff00FF7F完美的高级道果|r</v>
      </c>
      <c r="K90" s="120" t="str">
        <f t="shared" si="23"/>
        <v>强行突破境界|n攻击+37500|n生命值+150000|n物理伤害+15%|n法术伤害+15%|n杀敌攻击+8|n杀敌业力+1|n杀敌生命+30|n</v>
      </c>
      <c r="L90" s="8"/>
      <c r="M90" s="121" t="str">
        <f>VLOOKUP(LEFT(RIGHT(B90,5),4),装备!B:CU,20,FALSE)</f>
        <v>ReplaceableTextures\\CommandButtons\\BTNDG13.blp</v>
      </c>
      <c r="N90" s="138" t="s">
        <v>83</v>
      </c>
      <c r="O90" s="121" t="s">
        <v>88</v>
      </c>
      <c r="P90" s="8">
        <v>0</v>
      </c>
      <c r="Q90" s="8">
        <v>0</v>
      </c>
      <c r="R90" s="138" t="s">
        <v>83</v>
      </c>
      <c r="S90" s="138" t="s">
        <v>83</v>
      </c>
      <c r="T90" s="138" t="s">
        <v>83</v>
      </c>
      <c r="U90" s="138" t="s">
        <v>83</v>
      </c>
      <c r="V90" s="8"/>
      <c r="W90" s="8" t="s">
        <v>89</v>
      </c>
      <c r="X90" s="8">
        <v>0</v>
      </c>
      <c r="Y90" s="138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38" t="s">
        <v>83</v>
      </c>
      <c r="AF90" s="138" t="s">
        <v>83</v>
      </c>
      <c r="AG90" s="138" t="s">
        <v>83</v>
      </c>
      <c r="AH90" s="138" t="s">
        <v>83</v>
      </c>
      <c r="AI90" s="8"/>
      <c r="AJ90" s="8"/>
      <c r="AK90" s="8">
        <v>1</v>
      </c>
      <c r="AL90" s="8">
        <v>1</v>
      </c>
      <c r="AM90" s="138" t="s">
        <v>83</v>
      </c>
      <c r="AN90" s="8">
        <v>1</v>
      </c>
      <c r="AO90" s="8">
        <v>1</v>
      </c>
      <c r="AP90" s="8">
        <v>1</v>
      </c>
    </row>
    <row r="91" spans="1:42">
      <c r="A91" s="118"/>
      <c r="B91" s="8" t="str">
        <f>装备!B91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VLOOKUP(LEFT(RIGHT(B91,5),4),装备!B:CU,2,FALSE)</f>
        <v>|Cff00FF7F完美的黄级道果|r</v>
      </c>
      <c r="I91" s="8" t="str">
        <f>VLOOKUP(B91,装备!B:CV,99,FALSE)</f>
        <v>强行突破境界|n攻击+60000|n生命值+240000|n物理伤害+20%|n法术伤害+20%|n杀敌攻击+8|n杀敌业力+1|n杀敌生命+30|n</v>
      </c>
      <c r="J91" s="120" t="str">
        <f t="shared" si="22"/>
        <v>|Cff00FF7F完美的黄级道果|r</v>
      </c>
      <c r="K91" s="120" t="str">
        <f t="shared" si="23"/>
        <v>强行突破境界|n攻击+60000|n生命值+240000|n物理伤害+20%|n法术伤害+20%|n杀敌攻击+8|n杀敌业力+1|n杀敌生命+30|n</v>
      </c>
      <c r="L91" s="8"/>
      <c r="M91" s="121" t="str">
        <f>VLOOKUP(LEFT(RIGHT(B91,5),4),装备!B:CU,20,FALSE)</f>
        <v>ReplaceableTextures\\CommandButtons\\BTNDG14.blp</v>
      </c>
      <c r="N91" s="138" t="s">
        <v>83</v>
      </c>
      <c r="O91" s="121" t="s">
        <v>88</v>
      </c>
      <c r="P91" s="8">
        <v>0</v>
      </c>
      <c r="Q91" s="8">
        <v>0</v>
      </c>
      <c r="R91" s="138" t="s">
        <v>83</v>
      </c>
      <c r="S91" s="138" t="s">
        <v>83</v>
      </c>
      <c r="T91" s="138" t="s">
        <v>83</v>
      </c>
      <c r="U91" s="138" t="s">
        <v>83</v>
      </c>
      <c r="V91" s="8"/>
      <c r="W91" s="8" t="s">
        <v>89</v>
      </c>
      <c r="X91" s="8">
        <v>0</v>
      </c>
      <c r="Y91" s="138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38" t="s">
        <v>83</v>
      </c>
      <c r="AF91" s="138" t="s">
        <v>83</v>
      </c>
      <c r="AG91" s="138" t="s">
        <v>83</v>
      </c>
      <c r="AH91" s="138" t="s">
        <v>83</v>
      </c>
      <c r="AI91" s="8"/>
      <c r="AJ91" s="8"/>
      <c r="AK91" s="8">
        <v>0</v>
      </c>
      <c r="AL91" s="8">
        <v>1</v>
      </c>
      <c r="AM91" s="138" t="s">
        <v>83</v>
      </c>
      <c r="AN91" s="8">
        <v>1</v>
      </c>
      <c r="AO91" s="8">
        <v>1</v>
      </c>
      <c r="AP91" s="8">
        <v>1</v>
      </c>
    </row>
    <row r="92" spans="1:42">
      <c r="A92" s="118"/>
      <c r="B92" s="8" t="str">
        <f>装备!B92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VLOOKUP(LEFT(RIGHT(B92,5),4),装备!B:CU,2,FALSE)</f>
        <v>|Cff00BFFF完美的玄级道果|r</v>
      </c>
      <c r="I92" s="8" t="str">
        <f>VLOOKUP(B92,装备!B:CV,99,FALSE)</f>
        <v>强行突破境界|n攻击+82500|n生命值+330000|n物理伤害+20%|n法术伤害+20%|n杀敌攻击+8|n杀敌业力+1|n杀敌生命+30|n</v>
      </c>
      <c r="J92" s="120" t="str">
        <f t="shared" si="22"/>
        <v>|Cff00BFFF完美的玄级道果|r</v>
      </c>
      <c r="K92" s="120" t="str">
        <f t="shared" si="23"/>
        <v>强行突破境界|n攻击+82500|n生命值+330000|n物理伤害+20%|n法术伤害+20%|n杀敌攻击+8|n杀敌业力+1|n杀敌生命+30|n</v>
      </c>
      <c r="L92" s="8"/>
      <c r="M92" s="121" t="str">
        <f>VLOOKUP(LEFT(RIGHT(B92,5),4),装备!B:CU,20,FALSE)</f>
        <v>ReplaceableTextures\\CommandButtons\\BTNDG15.blp</v>
      </c>
      <c r="N92" s="138" t="s">
        <v>83</v>
      </c>
      <c r="O92" s="121" t="s">
        <v>88</v>
      </c>
      <c r="P92" s="8">
        <v>0</v>
      </c>
      <c r="Q92" s="8">
        <v>0</v>
      </c>
      <c r="R92" s="138" t="s">
        <v>83</v>
      </c>
      <c r="S92" s="138" t="s">
        <v>83</v>
      </c>
      <c r="T92" s="138" t="s">
        <v>83</v>
      </c>
      <c r="U92" s="138" t="s">
        <v>83</v>
      </c>
      <c r="V92" s="8"/>
      <c r="W92" s="8" t="s">
        <v>89</v>
      </c>
      <c r="X92" s="8">
        <v>0</v>
      </c>
      <c r="Y92" s="138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38" t="s">
        <v>83</v>
      </c>
      <c r="AF92" s="138" t="s">
        <v>83</v>
      </c>
      <c r="AG92" s="138" t="s">
        <v>83</v>
      </c>
      <c r="AH92" s="138" t="s">
        <v>83</v>
      </c>
      <c r="AI92" s="8"/>
      <c r="AJ92" s="8"/>
      <c r="AK92" s="8">
        <v>0</v>
      </c>
      <c r="AL92" s="8">
        <v>1</v>
      </c>
      <c r="AM92" s="138" t="s">
        <v>83</v>
      </c>
      <c r="AN92" s="8">
        <v>1</v>
      </c>
      <c r="AO92" s="8">
        <v>1</v>
      </c>
      <c r="AP92" s="8">
        <v>1</v>
      </c>
    </row>
    <row r="93" spans="1:42">
      <c r="A93" s="118"/>
      <c r="B93" s="8" t="str">
        <f>装备!B93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VLOOKUP(LEFT(RIGHT(B93,5),4),装备!B:CU,2,FALSE)</f>
        <v>|Cff00BFFF完美的地级道果|r</v>
      </c>
      <c r="I93" s="8" t="str">
        <f>VLOOKUP(B93,装备!B:CV,99,FALSE)</f>
        <v>强行突破境界|n攻击+120000|n生命值+480000|n物理伤害+20%|n法术伤害+20%|n杀敌攻击+8|n杀敌业力+1|n杀敌生命+30|n</v>
      </c>
      <c r="J93" s="120" t="str">
        <f t="shared" si="22"/>
        <v>|Cff00BFFF完美的地级道果|r</v>
      </c>
      <c r="K93" s="120" t="str">
        <f t="shared" si="23"/>
        <v>强行突破境界|n攻击+120000|n生命值+480000|n物理伤害+20%|n法术伤害+20%|n杀敌攻击+8|n杀敌业力+1|n杀敌生命+30|n</v>
      </c>
      <c r="L93" s="8"/>
      <c r="M93" s="121" t="str">
        <f>VLOOKUP(LEFT(RIGHT(B93,5),4),装备!B:CU,20,FALSE)</f>
        <v>ReplaceableTextures\\CommandButtons\\BTNDG16.blp</v>
      </c>
      <c r="N93" s="138" t="s">
        <v>83</v>
      </c>
      <c r="O93" s="121" t="s">
        <v>88</v>
      </c>
      <c r="P93" s="8">
        <v>0</v>
      </c>
      <c r="Q93" s="8">
        <v>0</v>
      </c>
      <c r="R93" s="138" t="s">
        <v>83</v>
      </c>
      <c r="S93" s="138" t="s">
        <v>83</v>
      </c>
      <c r="T93" s="138" t="s">
        <v>83</v>
      </c>
      <c r="U93" s="138" t="s">
        <v>83</v>
      </c>
      <c r="V93" s="8"/>
      <c r="W93" s="8" t="s">
        <v>89</v>
      </c>
      <c r="X93" s="8">
        <v>0</v>
      </c>
      <c r="Y93" s="138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38" t="s">
        <v>83</v>
      </c>
      <c r="AF93" s="138" t="s">
        <v>83</v>
      </c>
      <c r="AG93" s="138" t="s">
        <v>83</v>
      </c>
      <c r="AH93" s="138" t="s">
        <v>83</v>
      </c>
      <c r="AI93" s="8"/>
      <c r="AJ93" s="8"/>
      <c r="AK93" s="8">
        <v>0</v>
      </c>
      <c r="AL93" s="8">
        <v>1</v>
      </c>
      <c r="AM93" s="138" t="s">
        <v>83</v>
      </c>
      <c r="AN93" s="8">
        <v>1</v>
      </c>
      <c r="AO93" s="8">
        <v>1</v>
      </c>
      <c r="AP93" s="8">
        <v>1</v>
      </c>
    </row>
    <row r="94" spans="1:42">
      <c r="A94" s="118"/>
      <c r="B94" s="8" t="str">
        <f>装备!B94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VLOOKUP(LEFT(RIGHT(B94,5),4),装备!B:CU,2,FALSE)</f>
        <v>|CffFFC926完美的天级道果|r</v>
      </c>
      <c r="I94" s="8" t="str">
        <f>VLOOKUP(B94,装备!B:CV,99,FALSE)</f>
        <v>强行突破境界|n攻击+180000|n生命值+720000|n物理伤害+25%|n法术伤害+25%|n杀敌攻击+8|n杀敌业力+1|n杀敌生命+30|n</v>
      </c>
      <c r="J94" s="120" t="str">
        <f t="shared" si="22"/>
        <v>|CffFFC926完美的天级道果|r</v>
      </c>
      <c r="K94" s="120" t="str">
        <f t="shared" si="23"/>
        <v>强行突破境界|n攻击+180000|n生命值+720000|n物理伤害+25%|n法术伤害+25%|n杀敌攻击+8|n杀敌业力+1|n杀敌生命+30|n</v>
      </c>
      <c r="L94" s="8"/>
      <c r="M94" s="121" t="str">
        <f>VLOOKUP(LEFT(RIGHT(B94,5),4),装备!B:CU,20,FALSE)</f>
        <v>ReplaceableTextures\\CommandButtons\\BTNDG17.blp</v>
      </c>
      <c r="N94" s="138" t="s">
        <v>83</v>
      </c>
      <c r="O94" s="121" t="s">
        <v>88</v>
      </c>
      <c r="P94" s="8">
        <v>0</v>
      </c>
      <c r="Q94" s="8">
        <v>0</v>
      </c>
      <c r="R94" s="138" t="s">
        <v>83</v>
      </c>
      <c r="S94" s="138" t="s">
        <v>83</v>
      </c>
      <c r="T94" s="138" t="s">
        <v>83</v>
      </c>
      <c r="U94" s="138" t="s">
        <v>83</v>
      </c>
      <c r="V94" s="8"/>
      <c r="W94" s="8" t="s">
        <v>89</v>
      </c>
      <c r="X94" s="8">
        <v>0</v>
      </c>
      <c r="Y94" s="138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38" t="s">
        <v>83</v>
      </c>
      <c r="AF94" s="138" t="s">
        <v>83</v>
      </c>
      <c r="AG94" s="138" t="s">
        <v>83</v>
      </c>
      <c r="AH94" s="138" t="s">
        <v>83</v>
      </c>
      <c r="AI94" s="8"/>
      <c r="AJ94" s="8"/>
      <c r="AK94" s="8">
        <v>1</v>
      </c>
      <c r="AL94" s="8">
        <v>1</v>
      </c>
      <c r="AM94" s="138" t="s">
        <v>83</v>
      </c>
      <c r="AN94" s="8">
        <v>1</v>
      </c>
      <c r="AO94" s="8">
        <v>1</v>
      </c>
      <c r="AP94" s="8">
        <v>1</v>
      </c>
    </row>
    <row r="95" spans="1:42">
      <c r="A95" s="118"/>
      <c r="B95" s="8" t="str">
        <f>装备!B95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VLOOKUP(LEFT(RIGHT(B95,5),4),装备!B:CU,2,FALSE)</f>
        <v>|CffFFC926完美的仙品道果|r</v>
      </c>
      <c r="I95" s="8" t="str">
        <f>VLOOKUP(B95,装备!B:CV,99,FALSE)</f>
        <v>强行突破境界|n攻击+300000|n生命值+1200000|n物理伤害+25%|n法术伤害+25%|n杀敌攻击+8|n杀敌业力+1|n杀敌生命+30|n</v>
      </c>
      <c r="J95" s="120" t="str">
        <f t="shared" si="22"/>
        <v>|CffFFC926完美的仙品道果|r</v>
      </c>
      <c r="K95" s="120" t="str">
        <f t="shared" si="23"/>
        <v>强行突破境界|n攻击+300000|n生命值+1200000|n物理伤害+25%|n法术伤害+25%|n杀敌攻击+8|n杀敌业力+1|n杀敌生命+30|n</v>
      </c>
      <c r="L95" s="8"/>
      <c r="M95" s="121" t="str">
        <f>VLOOKUP(LEFT(RIGHT(B95,5),4),装备!B:CU,20,FALSE)</f>
        <v>ReplaceableTextures\\CommandButtons\\BTNDG18.blp</v>
      </c>
      <c r="N95" s="138" t="s">
        <v>83</v>
      </c>
      <c r="O95" s="121" t="s">
        <v>88</v>
      </c>
      <c r="P95" s="8">
        <v>0</v>
      </c>
      <c r="Q95" s="8">
        <v>0</v>
      </c>
      <c r="R95" s="138" t="s">
        <v>83</v>
      </c>
      <c r="S95" s="138" t="s">
        <v>83</v>
      </c>
      <c r="T95" s="138" t="s">
        <v>83</v>
      </c>
      <c r="U95" s="138" t="s">
        <v>83</v>
      </c>
      <c r="V95" s="8"/>
      <c r="W95" s="8" t="s">
        <v>89</v>
      </c>
      <c r="X95" s="8">
        <v>0</v>
      </c>
      <c r="Y95" s="138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38" t="s">
        <v>83</v>
      </c>
      <c r="AF95" s="138" t="s">
        <v>83</v>
      </c>
      <c r="AG95" s="138" t="s">
        <v>83</v>
      </c>
      <c r="AH95" s="138" t="s">
        <v>83</v>
      </c>
      <c r="AI95" s="8"/>
      <c r="AJ95" s="8"/>
      <c r="AK95" s="8">
        <v>0</v>
      </c>
      <c r="AL95" s="8">
        <v>1</v>
      </c>
      <c r="AM95" s="138" t="s">
        <v>83</v>
      </c>
      <c r="AN95" s="8">
        <v>1</v>
      </c>
      <c r="AO95" s="8">
        <v>1</v>
      </c>
      <c r="AP95" s="8">
        <v>1</v>
      </c>
    </row>
    <row r="96" spans="1:42">
      <c r="A96" s="118"/>
      <c r="B96" s="8" t="str">
        <f>装备!B96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VLOOKUP(LEFT(RIGHT(B96,5),4),装备!B:CU,2,FALSE)</f>
        <v>|CffFF0000完美的至圣道果|r</v>
      </c>
      <c r="I96" s="8" t="str">
        <f>VLOOKUP(B96,装备!B:CV,99,FALSE)</f>
        <v>强行突破境界|n攻击+450000|n生命值+1800000|n物理伤害+25%|n法术伤害+25%|n杀敌攻击+8|n杀敌业力+1|n杀敌生命+30|n</v>
      </c>
      <c r="J96" s="120" t="str">
        <f t="shared" si="22"/>
        <v>|CffFF0000完美的至圣道果|r</v>
      </c>
      <c r="K96" s="120" t="str">
        <f t="shared" si="23"/>
        <v>强行突破境界|n攻击+450000|n生命值+1800000|n物理伤害+25%|n法术伤害+25%|n杀敌攻击+8|n杀敌业力+1|n杀敌生命+30|n</v>
      </c>
      <c r="L96" s="8"/>
      <c r="M96" s="121" t="str">
        <f>VLOOKUP(LEFT(RIGHT(B96,5),4),装备!B:CU,20,FALSE)</f>
        <v>ReplaceableTextures\\CommandButtons\\BTNDG19.blp</v>
      </c>
      <c r="N96" s="138" t="s">
        <v>83</v>
      </c>
      <c r="O96" s="121" t="s">
        <v>88</v>
      </c>
      <c r="P96" s="8">
        <v>0</v>
      </c>
      <c r="Q96" s="8">
        <v>0</v>
      </c>
      <c r="R96" s="138" t="s">
        <v>83</v>
      </c>
      <c r="S96" s="138" t="s">
        <v>83</v>
      </c>
      <c r="T96" s="138" t="s">
        <v>83</v>
      </c>
      <c r="U96" s="138" t="s">
        <v>83</v>
      </c>
      <c r="V96" s="8"/>
      <c r="W96" s="8" t="s">
        <v>89</v>
      </c>
      <c r="X96" s="8">
        <v>0</v>
      </c>
      <c r="Y96" s="138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38" t="s">
        <v>83</v>
      </c>
      <c r="AF96" s="138" t="s">
        <v>83</v>
      </c>
      <c r="AG96" s="138" t="s">
        <v>83</v>
      </c>
      <c r="AH96" s="138" t="s">
        <v>83</v>
      </c>
      <c r="AI96" s="8"/>
      <c r="AJ96" s="8"/>
      <c r="AK96" s="8">
        <v>0</v>
      </c>
      <c r="AL96" s="8">
        <v>1</v>
      </c>
      <c r="AM96" s="138" t="s">
        <v>83</v>
      </c>
      <c r="AN96" s="8">
        <v>1</v>
      </c>
      <c r="AO96" s="8">
        <v>1</v>
      </c>
      <c r="AP96" s="8">
        <v>1</v>
      </c>
    </row>
    <row r="97" spans="1:42">
      <c r="A97" s="118"/>
      <c r="B97" s="8" t="str">
        <f>装备!B97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VLOOKUP(LEFT(RIGHT(B97,5),4),装备!B:CU,2,FALSE)</f>
        <v>|CffFF0000完美的混沌道果|r</v>
      </c>
      <c r="I97" s="8" t="str">
        <f>VLOOKUP(B97,装备!B:CV,99,FALSE)</f>
        <v>强行突破境界|n攻击+750000|n生命值+3000000|n物理伤害+30%|n法术伤害+30%|n杀敌攻击+8|n杀敌业力+1|n杀敌生命+30|n</v>
      </c>
      <c r="J97" s="120" t="str">
        <f t="shared" si="22"/>
        <v>|CffFF0000完美的混沌道果|r</v>
      </c>
      <c r="K97" s="120" t="str">
        <f t="shared" si="23"/>
        <v>强行突破境界|n攻击+750000|n生命值+3000000|n物理伤害+30%|n法术伤害+30%|n杀敌攻击+8|n杀敌业力+1|n杀敌生命+30|n</v>
      </c>
      <c r="L97" s="8"/>
      <c r="M97" s="121" t="str">
        <f>VLOOKUP(LEFT(RIGHT(B97,5),4),装备!B:CU,20,FALSE)</f>
        <v>ReplaceableTextures\\CommandButtons\\BTNDG20.blp</v>
      </c>
      <c r="N97" s="138" t="s">
        <v>83</v>
      </c>
      <c r="O97" s="121" t="s">
        <v>88</v>
      </c>
      <c r="P97" s="8">
        <v>0</v>
      </c>
      <c r="Q97" s="8">
        <v>0</v>
      </c>
      <c r="R97" s="138" t="s">
        <v>83</v>
      </c>
      <c r="S97" s="138" t="s">
        <v>83</v>
      </c>
      <c r="T97" s="138" t="s">
        <v>83</v>
      </c>
      <c r="U97" s="138" t="s">
        <v>83</v>
      </c>
      <c r="V97" s="8"/>
      <c r="W97" s="8" t="s">
        <v>89</v>
      </c>
      <c r="X97" s="8">
        <v>0</v>
      </c>
      <c r="Y97" s="138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38" t="s">
        <v>83</v>
      </c>
      <c r="AF97" s="138" t="s">
        <v>83</v>
      </c>
      <c r="AG97" s="138" t="s">
        <v>83</v>
      </c>
      <c r="AH97" s="138" t="s">
        <v>83</v>
      </c>
      <c r="AI97" s="8"/>
      <c r="AJ97" s="8"/>
      <c r="AK97" s="8">
        <v>0</v>
      </c>
      <c r="AL97" s="8">
        <v>1</v>
      </c>
      <c r="AM97" s="138" t="s">
        <v>83</v>
      </c>
      <c r="AN97" s="8">
        <v>1</v>
      </c>
      <c r="AO97" s="8">
        <v>1</v>
      </c>
      <c r="AP97" s="8">
        <v>1</v>
      </c>
    </row>
    <row r="98" spans="1:42">
      <c r="A98" s="118"/>
      <c r="B98" s="8" t="str">
        <f>装备!B98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VLOOKUP(LEFT(RIGHT(B98,5),4),装备!B:CU,2,FALSE)</f>
        <v>残缺的低级道果</v>
      </c>
      <c r="I98" s="8" t="str">
        <f>VLOOKUP(B98,装备!B:CV,99,FALSE)</f>
        <v>突破境界|n攻击+7500|n生命值+30000|n物理伤害+15%|n法术伤害+15%|n杀敌攻击+8|n杀敌业力+1|n杀敌生命+30|n</v>
      </c>
      <c r="J98" s="120" t="str">
        <f t="shared" si="20"/>
        <v>残缺的低级道果</v>
      </c>
      <c r="K98" s="120" t="str">
        <f t="shared" si="21"/>
        <v>突破境界|n攻击+7500|n生命值+30000|n物理伤害+15%|n法术伤害+15%|n杀敌攻击+8|n杀敌业力+1|n杀敌生命+30|n</v>
      </c>
      <c r="L98" s="8"/>
      <c r="M98" s="121" t="str">
        <f>VLOOKUP(LEFT(RIGHT(B98,5),4),装备!B:CU,20,FALSE)</f>
        <v>ReplaceableTextures\\CommandButtons\\BTNDG01.blp</v>
      </c>
      <c r="N98" s="138" t="s">
        <v>83</v>
      </c>
      <c r="O98" s="121" t="s">
        <v>88</v>
      </c>
      <c r="P98" s="8">
        <v>0</v>
      </c>
      <c r="Q98" s="8">
        <v>0</v>
      </c>
      <c r="R98" s="138" t="s">
        <v>83</v>
      </c>
      <c r="S98" s="138" t="s">
        <v>83</v>
      </c>
      <c r="T98" s="138" t="s">
        <v>83</v>
      </c>
      <c r="U98" s="138" t="s">
        <v>83</v>
      </c>
      <c r="V98" s="8"/>
      <c r="W98" s="8" t="s">
        <v>89</v>
      </c>
      <c r="X98" s="8">
        <v>0</v>
      </c>
      <c r="Y98" s="138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38" t="s">
        <v>83</v>
      </c>
      <c r="AF98" s="138" t="s">
        <v>83</v>
      </c>
      <c r="AG98" s="138" t="s">
        <v>83</v>
      </c>
      <c r="AH98" s="138" t="s">
        <v>83</v>
      </c>
      <c r="AI98" s="8"/>
      <c r="AJ98" s="8"/>
      <c r="AK98" s="8">
        <v>1</v>
      </c>
      <c r="AL98" s="8">
        <v>1</v>
      </c>
      <c r="AM98" s="138" t="s">
        <v>83</v>
      </c>
      <c r="AN98" s="8">
        <v>1</v>
      </c>
      <c r="AO98" s="8">
        <v>1</v>
      </c>
      <c r="AP98" s="8">
        <v>1</v>
      </c>
    </row>
    <row r="99" spans="1:42">
      <c r="A99" s="118"/>
      <c r="B99" s="8" t="str">
        <f>装备!B99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VLOOKUP(LEFT(RIGHT(B99,5),4),装备!B:CU,2,FALSE)</f>
        <v>残缺的中级道果</v>
      </c>
      <c r="I99" s="8" t="str">
        <f>VLOOKUP(B99,装备!B:CV,99,FALSE)</f>
        <v>突破境界|n攻击+18000|n生命值+72000|n物理伤害+15%|n法术伤害+15%|n杀敌攻击+8|n杀敌业力+1|n杀敌生命+30|n</v>
      </c>
      <c r="J99" s="120" t="str">
        <f t="shared" si="20"/>
        <v>残缺的中级道果</v>
      </c>
      <c r="K99" s="120" t="str">
        <f t="shared" si="21"/>
        <v>突破境界|n攻击+18000|n生命值+72000|n物理伤害+15%|n法术伤害+15%|n杀敌攻击+8|n杀敌业力+1|n杀敌生命+30|n</v>
      </c>
      <c r="L99" s="8"/>
      <c r="M99" s="121" t="str">
        <f>VLOOKUP(LEFT(RIGHT(B99,5),4),装备!B:CU,20,FALSE)</f>
        <v>ReplaceableTextures\\CommandButtons\\BTNDG02.blp</v>
      </c>
      <c r="N99" s="138" t="s">
        <v>83</v>
      </c>
      <c r="O99" s="121" t="s">
        <v>88</v>
      </c>
      <c r="P99" s="8">
        <v>0</v>
      </c>
      <c r="Q99" s="8">
        <v>0</v>
      </c>
      <c r="R99" s="138" t="s">
        <v>83</v>
      </c>
      <c r="S99" s="138" t="s">
        <v>83</v>
      </c>
      <c r="T99" s="138" t="s">
        <v>83</v>
      </c>
      <c r="U99" s="138" t="s">
        <v>83</v>
      </c>
      <c r="V99" s="8"/>
      <c r="W99" s="8" t="s">
        <v>89</v>
      </c>
      <c r="X99" s="8">
        <v>0</v>
      </c>
      <c r="Y99" s="138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38" t="s">
        <v>83</v>
      </c>
      <c r="AF99" s="138" t="s">
        <v>83</v>
      </c>
      <c r="AG99" s="138" t="s">
        <v>83</v>
      </c>
      <c r="AH99" s="138" t="s">
        <v>83</v>
      </c>
      <c r="AI99" s="8"/>
      <c r="AJ99" s="8"/>
      <c r="AK99" s="8">
        <v>0</v>
      </c>
      <c r="AL99" s="8">
        <v>1</v>
      </c>
      <c r="AM99" s="138" t="s">
        <v>83</v>
      </c>
      <c r="AN99" s="8">
        <v>1</v>
      </c>
      <c r="AO99" s="8">
        <v>1</v>
      </c>
      <c r="AP99" s="8">
        <v>1</v>
      </c>
    </row>
    <row r="100" spans="1:42">
      <c r="A100" s="118"/>
      <c r="B100" s="8" t="str">
        <f>装备!B100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VLOOKUP(LEFT(RIGHT(B100,5),4),装备!B:CU,2,FALSE)</f>
        <v>|Cff00FF7F残缺的高级道果|r</v>
      </c>
      <c r="I100" s="8" t="str">
        <f>VLOOKUP(B100,装备!B:CV,99,FALSE)</f>
        <v>突破境界|n攻击+37500|n生命值+150000|n物理伤害+15%|n法术伤害+15%|n杀敌攻击+8|n杀敌业力+1|n杀敌生命+30|n</v>
      </c>
      <c r="J100" s="120" t="str">
        <f t="shared" ref="J100:J103" si="24">H100</f>
        <v>|Cff00FF7F残缺的高级道果|r</v>
      </c>
      <c r="K100" s="120" t="str">
        <f t="shared" ref="K100:K103" si="25">I100</f>
        <v>突破境界|n攻击+37500|n生命值+150000|n物理伤害+15%|n法术伤害+15%|n杀敌攻击+8|n杀敌业力+1|n杀敌生命+30|n</v>
      </c>
      <c r="L100" s="8"/>
      <c r="M100" s="121" t="str">
        <f>VLOOKUP(LEFT(RIGHT(B100,5),4),装备!B:CU,20,FALSE)</f>
        <v>ReplaceableTextures\\CommandButtons\\BTNDG03.blp</v>
      </c>
      <c r="N100" s="138" t="s">
        <v>83</v>
      </c>
      <c r="O100" s="121" t="s">
        <v>88</v>
      </c>
      <c r="P100" s="8">
        <v>0</v>
      </c>
      <c r="Q100" s="8">
        <v>0</v>
      </c>
      <c r="R100" s="138" t="s">
        <v>83</v>
      </c>
      <c r="S100" s="138" t="s">
        <v>83</v>
      </c>
      <c r="T100" s="138" t="s">
        <v>83</v>
      </c>
      <c r="U100" s="138" t="s">
        <v>83</v>
      </c>
      <c r="V100" s="8"/>
      <c r="W100" s="8" t="s">
        <v>89</v>
      </c>
      <c r="X100" s="8">
        <v>0</v>
      </c>
      <c r="Y100" s="138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38" t="s">
        <v>83</v>
      </c>
      <c r="AF100" s="138" t="s">
        <v>83</v>
      </c>
      <c r="AG100" s="138" t="s">
        <v>83</v>
      </c>
      <c r="AH100" s="138" t="s">
        <v>83</v>
      </c>
      <c r="AI100" s="8"/>
      <c r="AJ100" s="8"/>
      <c r="AK100" s="8">
        <v>1</v>
      </c>
      <c r="AL100" s="8">
        <v>1</v>
      </c>
      <c r="AM100" s="138" t="s">
        <v>83</v>
      </c>
      <c r="AN100" s="8">
        <v>1</v>
      </c>
      <c r="AO100" s="8">
        <v>1</v>
      </c>
      <c r="AP100" s="8">
        <v>1</v>
      </c>
    </row>
    <row r="101" spans="1:42">
      <c r="A101" s="118"/>
      <c r="B101" s="8" t="str">
        <f>装备!B101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VLOOKUP(LEFT(RIGHT(B101,5),4),装备!B:CU,2,FALSE)</f>
        <v>|Cff00FF7F残缺的黄级道果|r</v>
      </c>
      <c r="I101" s="8" t="str">
        <f>VLOOKUP(B101,装备!B:CV,99,FALSE)</f>
        <v>突破境界|n攻击+60000|n生命值+240000|n物理伤害+20%|n法术伤害+20%|n杀敌攻击+8|n杀敌业力+1|n杀敌生命+30|n</v>
      </c>
      <c r="J101" s="120" t="str">
        <f t="shared" si="24"/>
        <v>|Cff00FF7F残缺的黄级道果|r</v>
      </c>
      <c r="K101" s="120" t="str">
        <f t="shared" si="25"/>
        <v>突破境界|n攻击+60000|n生命值+240000|n物理伤害+20%|n法术伤害+20%|n杀敌攻击+8|n杀敌业力+1|n杀敌生命+30|n</v>
      </c>
      <c r="L101" s="8"/>
      <c r="M101" s="121" t="str">
        <f>VLOOKUP(LEFT(RIGHT(B101,5),4),装备!B:CU,20,FALSE)</f>
        <v>ReplaceableTextures\\CommandButtons\\BTNDG04.blp</v>
      </c>
      <c r="N101" s="138" t="s">
        <v>83</v>
      </c>
      <c r="O101" s="121" t="s">
        <v>88</v>
      </c>
      <c r="P101" s="8">
        <v>0</v>
      </c>
      <c r="Q101" s="8">
        <v>0</v>
      </c>
      <c r="R101" s="138" t="s">
        <v>83</v>
      </c>
      <c r="S101" s="138" t="s">
        <v>83</v>
      </c>
      <c r="T101" s="138" t="s">
        <v>83</v>
      </c>
      <c r="U101" s="138" t="s">
        <v>83</v>
      </c>
      <c r="V101" s="8"/>
      <c r="W101" s="8" t="s">
        <v>89</v>
      </c>
      <c r="X101" s="8">
        <v>0</v>
      </c>
      <c r="Y101" s="138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38" t="s">
        <v>83</v>
      </c>
      <c r="AF101" s="138" t="s">
        <v>83</v>
      </c>
      <c r="AG101" s="138" t="s">
        <v>83</v>
      </c>
      <c r="AH101" s="138" t="s">
        <v>83</v>
      </c>
      <c r="AI101" s="8"/>
      <c r="AJ101" s="8"/>
      <c r="AK101" s="8">
        <v>0</v>
      </c>
      <c r="AL101" s="8">
        <v>1</v>
      </c>
      <c r="AM101" s="138" t="s">
        <v>83</v>
      </c>
      <c r="AN101" s="8">
        <v>1</v>
      </c>
      <c r="AO101" s="8">
        <v>1</v>
      </c>
      <c r="AP101" s="8">
        <v>1</v>
      </c>
    </row>
    <row r="102" spans="1:42">
      <c r="A102" s="118"/>
      <c r="B102" s="8" t="str">
        <f>装备!B102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VLOOKUP(LEFT(RIGHT(B102,5),4),装备!B:CU,2,FALSE)</f>
        <v>|Cff00BFFF残缺的玄级道果|r</v>
      </c>
      <c r="I102" s="8" t="str">
        <f>VLOOKUP(B102,装备!B:CV,99,FALSE)</f>
        <v>突破境界|n攻击+82500|n生命值+330000|n物理伤害+20%|n法术伤害+20%|n杀敌攻击+8|n杀敌业力+1|n杀敌生命+30|n</v>
      </c>
      <c r="J102" s="120" t="str">
        <f t="shared" si="24"/>
        <v>|Cff00BFFF残缺的玄级道果|r</v>
      </c>
      <c r="K102" s="120" t="str">
        <f t="shared" si="25"/>
        <v>突破境界|n攻击+82500|n生命值+330000|n物理伤害+20%|n法术伤害+20%|n杀敌攻击+8|n杀敌业力+1|n杀敌生命+30|n</v>
      </c>
      <c r="L102" s="8"/>
      <c r="M102" s="121" t="str">
        <f>VLOOKUP(LEFT(RIGHT(B102,5),4),装备!B:CU,20,FALSE)</f>
        <v>ReplaceableTextures\\CommandButtons\\BTNDG05.blp</v>
      </c>
      <c r="N102" s="138" t="s">
        <v>83</v>
      </c>
      <c r="O102" s="121" t="s">
        <v>88</v>
      </c>
      <c r="P102" s="8">
        <v>0</v>
      </c>
      <c r="Q102" s="8">
        <v>0</v>
      </c>
      <c r="R102" s="138" t="s">
        <v>83</v>
      </c>
      <c r="S102" s="138" t="s">
        <v>83</v>
      </c>
      <c r="T102" s="138" t="s">
        <v>83</v>
      </c>
      <c r="U102" s="138" t="s">
        <v>83</v>
      </c>
      <c r="V102" s="8"/>
      <c r="W102" s="8" t="s">
        <v>89</v>
      </c>
      <c r="X102" s="8">
        <v>0</v>
      </c>
      <c r="Y102" s="138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38" t="s">
        <v>83</v>
      </c>
      <c r="AF102" s="138" t="s">
        <v>83</v>
      </c>
      <c r="AG102" s="138" t="s">
        <v>83</v>
      </c>
      <c r="AH102" s="138" t="s">
        <v>83</v>
      </c>
      <c r="AI102" s="8"/>
      <c r="AJ102" s="8"/>
      <c r="AK102" s="8">
        <v>0</v>
      </c>
      <c r="AL102" s="8">
        <v>1</v>
      </c>
      <c r="AM102" s="138" t="s">
        <v>83</v>
      </c>
      <c r="AN102" s="8">
        <v>1</v>
      </c>
      <c r="AO102" s="8">
        <v>1</v>
      </c>
      <c r="AP102" s="8">
        <v>1</v>
      </c>
    </row>
    <row r="103" spans="1:42">
      <c r="A103" s="118"/>
      <c r="B103" s="8" t="str">
        <f>装备!B103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VLOOKUP(LEFT(RIGHT(B103,5),4),装备!B:CU,2,FALSE)</f>
        <v>|Cff00BFFF残缺的地级道果|r</v>
      </c>
      <c r="I103" s="8" t="str">
        <f>VLOOKUP(B103,装备!B:CV,99,FALSE)</f>
        <v>突破境界|n攻击+120000|n生命值+480000|n物理伤害+20%|n法术伤害+20%|n杀敌攻击+8|n杀敌业力+1|n杀敌生命+30|n</v>
      </c>
      <c r="J103" s="120" t="str">
        <f t="shared" si="24"/>
        <v>|Cff00BFFF残缺的地级道果|r</v>
      </c>
      <c r="K103" s="120" t="str">
        <f t="shared" si="25"/>
        <v>突破境界|n攻击+120000|n生命值+480000|n物理伤害+20%|n法术伤害+20%|n杀敌攻击+8|n杀敌业力+1|n杀敌生命+30|n</v>
      </c>
      <c r="L103" s="8"/>
      <c r="M103" s="121" t="str">
        <f>VLOOKUP(LEFT(RIGHT(B103,5),4),装备!B:CU,20,FALSE)</f>
        <v>ReplaceableTextures\\CommandButtons\\BTNDG06.blp</v>
      </c>
      <c r="N103" s="138" t="s">
        <v>83</v>
      </c>
      <c r="O103" s="121" t="s">
        <v>88</v>
      </c>
      <c r="P103" s="8">
        <v>0</v>
      </c>
      <c r="Q103" s="8">
        <v>0</v>
      </c>
      <c r="R103" s="138" t="s">
        <v>83</v>
      </c>
      <c r="S103" s="138" t="s">
        <v>83</v>
      </c>
      <c r="T103" s="138" t="s">
        <v>83</v>
      </c>
      <c r="U103" s="138" t="s">
        <v>83</v>
      </c>
      <c r="V103" s="8"/>
      <c r="W103" s="8" t="s">
        <v>89</v>
      </c>
      <c r="X103" s="8">
        <v>0</v>
      </c>
      <c r="Y103" s="138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38" t="s">
        <v>83</v>
      </c>
      <c r="AF103" s="138" t="s">
        <v>83</v>
      </c>
      <c r="AG103" s="138" t="s">
        <v>83</v>
      </c>
      <c r="AH103" s="138" t="s">
        <v>83</v>
      </c>
      <c r="AI103" s="8"/>
      <c r="AJ103" s="8"/>
      <c r="AK103" s="8">
        <v>0</v>
      </c>
      <c r="AL103" s="8">
        <v>1</v>
      </c>
      <c r="AM103" s="138" t="s">
        <v>83</v>
      </c>
      <c r="AN103" s="8">
        <v>1</v>
      </c>
      <c r="AO103" s="8">
        <v>1</v>
      </c>
      <c r="AP103" s="8">
        <v>1</v>
      </c>
    </row>
    <row r="104" spans="1:42">
      <c r="A104" s="118"/>
      <c r="B104" s="8" t="str">
        <f>装备!B104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VLOOKUP(LEFT(RIGHT(B104,5),4),装备!B:CU,2,FALSE)</f>
        <v>|CffFFC926残缺的天级道果|r</v>
      </c>
      <c r="I104" s="8" t="str">
        <f>VLOOKUP(B104,装备!B:CV,99,FALSE)</f>
        <v>突破境界|n攻击+180000|n生命值+720000|n物理伤害+25%|n法术伤害+25%|n杀敌攻击+8|n杀敌业力+1|n杀敌生命+30|n</v>
      </c>
      <c r="J104" s="120" t="str">
        <f t="shared" si="20"/>
        <v>|CffFFC926残缺的天级道果|r</v>
      </c>
      <c r="K104" s="120" t="str">
        <f t="shared" si="21"/>
        <v>突破境界|n攻击+180000|n生命值+720000|n物理伤害+25%|n法术伤害+25%|n杀敌攻击+8|n杀敌业力+1|n杀敌生命+30|n</v>
      </c>
      <c r="L104" s="8"/>
      <c r="M104" s="121" t="str">
        <f>VLOOKUP(LEFT(RIGHT(B104,5),4),装备!B:CU,20,FALSE)</f>
        <v>ReplaceableTextures\\CommandButtons\\BTNDG07.blp</v>
      </c>
      <c r="N104" s="138" t="s">
        <v>83</v>
      </c>
      <c r="O104" s="121" t="s">
        <v>88</v>
      </c>
      <c r="P104" s="8">
        <v>0</v>
      </c>
      <c r="Q104" s="8">
        <v>0</v>
      </c>
      <c r="R104" s="138" t="s">
        <v>83</v>
      </c>
      <c r="S104" s="138" t="s">
        <v>83</v>
      </c>
      <c r="T104" s="138" t="s">
        <v>83</v>
      </c>
      <c r="U104" s="138" t="s">
        <v>83</v>
      </c>
      <c r="V104" s="8"/>
      <c r="W104" s="8" t="s">
        <v>89</v>
      </c>
      <c r="X104" s="8">
        <v>0</v>
      </c>
      <c r="Y104" s="138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38" t="s">
        <v>83</v>
      </c>
      <c r="AF104" s="138" t="s">
        <v>83</v>
      </c>
      <c r="AG104" s="138" t="s">
        <v>83</v>
      </c>
      <c r="AH104" s="138" t="s">
        <v>83</v>
      </c>
      <c r="AI104" s="8"/>
      <c r="AJ104" s="8"/>
      <c r="AK104" s="8">
        <v>1</v>
      </c>
      <c r="AL104" s="8">
        <v>1</v>
      </c>
      <c r="AM104" s="138" t="s">
        <v>83</v>
      </c>
      <c r="AN104" s="8">
        <v>1</v>
      </c>
      <c r="AO104" s="8">
        <v>1</v>
      </c>
      <c r="AP104" s="8">
        <v>1</v>
      </c>
    </row>
    <row r="105" spans="1:42">
      <c r="A105" s="118"/>
      <c r="B105" s="8" t="str">
        <f>装备!B105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VLOOKUP(LEFT(RIGHT(B105,5),4),装备!B:CU,2,FALSE)</f>
        <v>|CffFFC926残缺的仙品道果|r</v>
      </c>
      <c r="I105" s="8" t="str">
        <f>VLOOKUP(B105,装备!B:CV,99,FALSE)</f>
        <v>突破境界|n攻击+300000|n生命值+1200000|n物理伤害+25%|n法术伤害+25%|n杀敌攻击+8|n杀敌业力+1|n杀敌生命+30|n</v>
      </c>
      <c r="J105" s="120" t="str">
        <f t="shared" si="20"/>
        <v>|CffFFC926残缺的仙品道果|r</v>
      </c>
      <c r="K105" s="120" t="str">
        <f t="shared" si="21"/>
        <v>突破境界|n攻击+300000|n生命值+1200000|n物理伤害+25%|n法术伤害+25%|n杀敌攻击+8|n杀敌业力+1|n杀敌生命+30|n</v>
      </c>
      <c r="L105" s="8"/>
      <c r="M105" s="121" t="str">
        <f>VLOOKUP(LEFT(RIGHT(B105,5),4),装备!B:CU,20,FALSE)</f>
        <v>ReplaceableTextures\\CommandButtons\\BTNDG08.blp</v>
      </c>
      <c r="N105" s="138" t="s">
        <v>83</v>
      </c>
      <c r="O105" s="121" t="s">
        <v>88</v>
      </c>
      <c r="P105" s="8">
        <v>0</v>
      </c>
      <c r="Q105" s="8">
        <v>0</v>
      </c>
      <c r="R105" s="138" t="s">
        <v>83</v>
      </c>
      <c r="S105" s="138" t="s">
        <v>83</v>
      </c>
      <c r="T105" s="138" t="s">
        <v>83</v>
      </c>
      <c r="U105" s="138" t="s">
        <v>83</v>
      </c>
      <c r="V105" s="8"/>
      <c r="W105" s="8" t="s">
        <v>89</v>
      </c>
      <c r="X105" s="8">
        <v>0</v>
      </c>
      <c r="Y105" s="138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38" t="s">
        <v>83</v>
      </c>
      <c r="AF105" s="138" t="s">
        <v>83</v>
      </c>
      <c r="AG105" s="138" t="s">
        <v>83</v>
      </c>
      <c r="AH105" s="138" t="s">
        <v>83</v>
      </c>
      <c r="AI105" s="8"/>
      <c r="AJ105" s="8"/>
      <c r="AK105" s="8">
        <v>0</v>
      </c>
      <c r="AL105" s="8">
        <v>1</v>
      </c>
      <c r="AM105" s="138" t="s">
        <v>83</v>
      </c>
      <c r="AN105" s="8">
        <v>1</v>
      </c>
      <c r="AO105" s="8">
        <v>1</v>
      </c>
      <c r="AP105" s="8">
        <v>1</v>
      </c>
    </row>
    <row r="106" spans="1:42">
      <c r="A106" s="118"/>
      <c r="B106" s="8" t="str">
        <f>装备!B106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VLOOKUP(LEFT(RIGHT(B106,5),4),装备!B:CU,2,FALSE)</f>
        <v>|CffFF0000残缺的至圣道果|r</v>
      </c>
      <c r="I106" s="8" t="str">
        <f>VLOOKUP(B106,装备!B:CV,99,FALSE)</f>
        <v>突破境界|n攻击+450000|n生命值+1800000|n物理伤害+25%|n法术伤害+25%|n杀敌攻击+8|n杀敌业力+1|n杀敌生命+30|n</v>
      </c>
      <c r="J106" s="120" t="str">
        <f t="shared" si="20"/>
        <v>|CffFF0000残缺的至圣道果|r</v>
      </c>
      <c r="K106" s="120" t="str">
        <f t="shared" si="21"/>
        <v>突破境界|n攻击+450000|n生命值+1800000|n物理伤害+25%|n法术伤害+25%|n杀敌攻击+8|n杀敌业力+1|n杀敌生命+30|n</v>
      </c>
      <c r="L106" s="8"/>
      <c r="M106" s="121" t="str">
        <f>VLOOKUP(LEFT(RIGHT(B106,5),4),装备!B:CU,20,FALSE)</f>
        <v>ReplaceableTextures\\CommandButtons\\BTNDG09.blp</v>
      </c>
      <c r="N106" s="138" t="s">
        <v>83</v>
      </c>
      <c r="O106" s="121" t="s">
        <v>88</v>
      </c>
      <c r="P106" s="8">
        <v>0</v>
      </c>
      <c r="Q106" s="8">
        <v>0</v>
      </c>
      <c r="R106" s="138" t="s">
        <v>83</v>
      </c>
      <c r="S106" s="138" t="s">
        <v>83</v>
      </c>
      <c r="T106" s="138" t="s">
        <v>83</v>
      </c>
      <c r="U106" s="138" t="s">
        <v>83</v>
      </c>
      <c r="V106" s="8"/>
      <c r="W106" s="8" t="s">
        <v>89</v>
      </c>
      <c r="X106" s="8">
        <v>0</v>
      </c>
      <c r="Y106" s="138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38" t="s">
        <v>83</v>
      </c>
      <c r="AF106" s="138" t="s">
        <v>83</v>
      </c>
      <c r="AG106" s="138" t="s">
        <v>83</v>
      </c>
      <c r="AH106" s="138" t="s">
        <v>83</v>
      </c>
      <c r="AI106" s="8"/>
      <c r="AJ106" s="8"/>
      <c r="AK106" s="8">
        <v>0</v>
      </c>
      <c r="AL106" s="8">
        <v>1</v>
      </c>
      <c r="AM106" s="138" t="s">
        <v>83</v>
      </c>
      <c r="AN106" s="8">
        <v>1</v>
      </c>
      <c r="AO106" s="8">
        <v>1</v>
      </c>
      <c r="AP106" s="8">
        <v>1</v>
      </c>
    </row>
    <row r="107" spans="1:42">
      <c r="A107" s="118"/>
      <c r="B107" s="8" t="str">
        <f>装备!B107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VLOOKUP(LEFT(RIGHT(B107,5),4),装备!B:CU,2,FALSE)</f>
        <v>|CffFF0000残缺的混沌道果|r</v>
      </c>
      <c r="I107" s="8" t="str">
        <f>VLOOKUP(B107,装备!B:CV,99,FALSE)</f>
        <v>突破境界|n攻击+750000|n生命值+3000000|n物理伤害+30%|n法术伤害+30%|n杀敌攻击+8|n杀敌业力+1|n杀敌生命+30|n</v>
      </c>
      <c r="J107" s="120" t="str">
        <f t="shared" si="20"/>
        <v>|CffFF0000残缺的混沌道果|r</v>
      </c>
      <c r="K107" s="120" t="str">
        <f t="shared" si="21"/>
        <v>突破境界|n攻击+750000|n生命值+3000000|n物理伤害+30%|n法术伤害+30%|n杀敌攻击+8|n杀敌业力+1|n杀敌生命+30|n</v>
      </c>
      <c r="L107" s="8"/>
      <c r="M107" s="121" t="str">
        <f>VLOOKUP(LEFT(RIGHT(B107,5),4),装备!B:CU,20,FALSE)</f>
        <v>ReplaceableTextures\\CommandButtons\\BTNDG10.blp</v>
      </c>
      <c r="N107" s="138" t="s">
        <v>83</v>
      </c>
      <c r="O107" s="121" t="s">
        <v>88</v>
      </c>
      <c r="P107" s="8">
        <v>0</v>
      </c>
      <c r="Q107" s="8">
        <v>0</v>
      </c>
      <c r="R107" s="138" t="s">
        <v>83</v>
      </c>
      <c r="S107" s="138" t="s">
        <v>83</v>
      </c>
      <c r="T107" s="138" t="s">
        <v>83</v>
      </c>
      <c r="U107" s="138" t="s">
        <v>83</v>
      </c>
      <c r="V107" s="8"/>
      <c r="W107" s="8" t="s">
        <v>89</v>
      </c>
      <c r="X107" s="8">
        <v>0</v>
      </c>
      <c r="Y107" s="138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38" t="s">
        <v>83</v>
      </c>
      <c r="AF107" s="138" t="s">
        <v>83</v>
      </c>
      <c r="AG107" s="138" t="s">
        <v>83</v>
      </c>
      <c r="AH107" s="138" t="s">
        <v>83</v>
      </c>
      <c r="AI107" s="8"/>
      <c r="AJ107" s="8"/>
      <c r="AK107" s="8">
        <v>0</v>
      </c>
      <c r="AL107" s="8">
        <v>1</v>
      </c>
      <c r="AM107" s="138" t="s">
        <v>83</v>
      </c>
      <c r="AN107" s="8">
        <v>1</v>
      </c>
      <c r="AO107" s="8">
        <v>1</v>
      </c>
      <c r="AP107" s="8">
        <v>1</v>
      </c>
    </row>
    <row r="108" spans="1:42">
      <c r="A108" s="118"/>
      <c r="B108" s="8" t="str">
        <f>装备!B108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VLOOKUP(LEFT(RIGHT(B108,5),4),装备!B:CU,2,FALSE)</f>
        <v>抽取Q技能</v>
      </c>
      <c r="I108" s="8" t="str">
        <f>VLOOKUP(B108,装备!B:CV,99,FALSE)</f>
        <v>抽取Q技能</v>
      </c>
      <c r="J108" s="120" t="str">
        <f t="shared" si="20"/>
        <v>抽取Q技能</v>
      </c>
      <c r="K108" s="120" t="str">
        <f t="shared" si="21"/>
        <v>抽取Q技能</v>
      </c>
      <c r="L108" s="8"/>
      <c r="M108" s="121" t="str">
        <f>VLOOKUP(LEFT(RIGHT(B108,5),4),装备!B:CU,20,FALSE)</f>
        <v>ReplaceableTextures\\CommandButtons\\BTN001.blp</v>
      </c>
      <c r="N108" s="138" t="s">
        <v>83</v>
      </c>
      <c r="O108" s="121" t="s">
        <v>88</v>
      </c>
      <c r="P108" s="8">
        <v>0</v>
      </c>
      <c r="Q108" s="8">
        <v>0</v>
      </c>
      <c r="R108" s="138" t="s">
        <v>83</v>
      </c>
      <c r="S108" s="138" t="s">
        <v>83</v>
      </c>
      <c r="T108" s="138" t="s">
        <v>83</v>
      </c>
      <c r="U108" s="138" t="s">
        <v>83</v>
      </c>
      <c r="V108" s="8"/>
      <c r="W108" s="8" t="s">
        <v>89</v>
      </c>
      <c r="X108" s="8">
        <v>0</v>
      </c>
      <c r="Y108" s="138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38" t="s">
        <v>83</v>
      </c>
      <c r="AF108" s="138" t="s">
        <v>83</v>
      </c>
      <c r="AG108" s="138" t="s">
        <v>83</v>
      </c>
      <c r="AH108" s="138" t="s">
        <v>83</v>
      </c>
      <c r="AI108" s="8"/>
      <c r="AJ108" s="8"/>
      <c r="AK108" s="8">
        <v>1</v>
      </c>
      <c r="AL108" s="8">
        <v>1</v>
      </c>
      <c r="AM108" s="138" t="s">
        <v>83</v>
      </c>
      <c r="AN108" s="8">
        <v>1</v>
      </c>
      <c r="AO108" s="8">
        <v>1</v>
      </c>
      <c r="AP108" s="8">
        <v>1</v>
      </c>
    </row>
    <row r="109" spans="1:42">
      <c r="A109" s="118"/>
      <c r="B109" s="8" t="str">
        <f>装备!B109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VLOOKUP(LEFT(RIGHT(B109,5),4),装备!B:CU,2,FALSE)</f>
        <v>升品质</v>
      </c>
      <c r="I109" s="8" t="str">
        <f>VLOOKUP(B109,装备!B:CV,99,FALSE)</f>
        <v>升品质</v>
      </c>
      <c r="J109" s="120" t="str">
        <f t="shared" ref="J109:J110" si="26">H109</f>
        <v>升品质</v>
      </c>
      <c r="K109" s="120" t="str">
        <f t="shared" ref="K109:K110" si="27">I109</f>
        <v>升品质</v>
      </c>
      <c r="L109" s="8"/>
      <c r="M109" s="121" t="str">
        <f>VLOOKUP(LEFT(RIGHT(B109,5),4),装备!B:CU,20,FALSE)</f>
        <v>ReplaceableTextures\\CommandButtons\\BTN008.blp</v>
      </c>
      <c r="N109" s="138" t="s">
        <v>83</v>
      </c>
      <c r="O109" s="121" t="s">
        <v>88</v>
      </c>
      <c r="P109" s="8">
        <v>0</v>
      </c>
      <c r="Q109" s="8">
        <v>0</v>
      </c>
      <c r="R109" s="138" t="s">
        <v>83</v>
      </c>
      <c r="S109" s="138" t="s">
        <v>83</v>
      </c>
      <c r="T109" s="138" t="s">
        <v>83</v>
      </c>
      <c r="U109" s="138" t="s">
        <v>83</v>
      </c>
      <c r="V109" s="8"/>
      <c r="W109" s="8" t="s">
        <v>89</v>
      </c>
      <c r="X109" s="8">
        <v>0</v>
      </c>
      <c r="Y109" s="138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38" t="s">
        <v>83</v>
      </c>
      <c r="AF109" s="138" t="s">
        <v>83</v>
      </c>
      <c r="AG109" s="138" t="s">
        <v>83</v>
      </c>
      <c r="AH109" s="138" t="s">
        <v>83</v>
      </c>
      <c r="AI109" s="8"/>
      <c r="AJ109" s="8"/>
      <c r="AK109" s="8">
        <v>1</v>
      </c>
      <c r="AL109" s="8">
        <v>1</v>
      </c>
      <c r="AM109" s="138" t="s">
        <v>83</v>
      </c>
      <c r="AN109" s="8">
        <v>1</v>
      </c>
      <c r="AO109" s="8">
        <v>1</v>
      </c>
      <c r="AP109" s="8">
        <v>1</v>
      </c>
    </row>
    <row r="110" spans="1:42">
      <c r="A110" s="118"/>
      <c r="B110" s="8" t="str">
        <f>装备!B110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VLOOKUP(LEFT(RIGHT(B110,5),4),装备!B:CU,2,FALSE)</f>
        <v>升S品质</v>
      </c>
      <c r="I110" s="8" t="str">
        <f>VLOOKUP(B110,装备!B:CV,99,FALSE)</f>
        <v>升S品质</v>
      </c>
      <c r="J110" s="120" t="str">
        <f t="shared" si="26"/>
        <v>升S品质</v>
      </c>
      <c r="K110" s="120" t="str">
        <f t="shared" si="27"/>
        <v>升S品质</v>
      </c>
      <c r="L110" s="8"/>
      <c r="M110" s="121" t="str">
        <f>VLOOKUP(LEFT(RIGHT(B110,5),4),装备!B:CU,20,FALSE)</f>
        <v>ReplaceableTextures\\CommandButtons\\BTN012.blp</v>
      </c>
      <c r="N110" s="138" t="s">
        <v>83</v>
      </c>
      <c r="O110" s="121" t="s">
        <v>88</v>
      </c>
      <c r="P110" s="8">
        <v>0</v>
      </c>
      <c r="Q110" s="8">
        <v>0</v>
      </c>
      <c r="R110" s="138" t="s">
        <v>83</v>
      </c>
      <c r="S110" s="138" t="s">
        <v>83</v>
      </c>
      <c r="T110" s="138" t="s">
        <v>83</v>
      </c>
      <c r="U110" s="138" t="s">
        <v>83</v>
      </c>
      <c r="V110" s="8"/>
      <c r="W110" s="8" t="s">
        <v>89</v>
      </c>
      <c r="X110" s="8">
        <v>0</v>
      </c>
      <c r="Y110" s="138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38" t="s">
        <v>83</v>
      </c>
      <c r="AF110" s="138" t="s">
        <v>83</v>
      </c>
      <c r="AG110" s="138" t="s">
        <v>83</v>
      </c>
      <c r="AH110" s="138" t="s">
        <v>83</v>
      </c>
      <c r="AI110" s="8"/>
      <c r="AJ110" s="8"/>
      <c r="AK110" s="8">
        <v>0</v>
      </c>
      <c r="AL110" s="8">
        <v>1</v>
      </c>
      <c r="AM110" s="138" t="s">
        <v>83</v>
      </c>
      <c r="AN110" s="8">
        <v>1</v>
      </c>
      <c r="AO110" s="8">
        <v>1</v>
      </c>
      <c r="AP110" s="8">
        <v>1</v>
      </c>
    </row>
    <row r="111" spans="1:42">
      <c r="A111" s="118"/>
      <c r="B111" s="8" t="str">
        <f>装备!B111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VLOOKUP(LEFT(RIGHT(B111,5),4),装备!B:CU,2,FALSE)</f>
        <v>劣质升品质</v>
      </c>
      <c r="I111" s="8" t="str">
        <f>VLOOKUP(B111,装备!B:CV,99,FALSE)</f>
        <v>劣质升品质</v>
      </c>
      <c r="J111" s="120" t="str">
        <f t="shared" ref="J111" si="28">H111</f>
        <v>劣质升品质</v>
      </c>
      <c r="K111" s="120" t="str">
        <f t="shared" ref="K111" si="29">I111</f>
        <v>劣质升品质</v>
      </c>
      <c r="L111" s="8"/>
      <c r="M111" s="121" t="str">
        <f>VLOOKUP(LEFT(RIGHT(B111,5),4),装备!B:CU,20,FALSE)</f>
        <v>ReplaceableTextures\\CommandButtons\\BTN008.blp</v>
      </c>
      <c r="N111" s="138" t="s">
        <v>83</v>
      </c>
      <c r="O111" s="121" t="s">
        <v>88</v>
      </c>
      <c r="P111" s="8">
        <v>0</v>
      </c>
      <c r="Q111" s="8">
        <v>0</v>
      </c>
      <c r="R111" s="138" t="s">
        <v>83</v>
      </c>
      <c r="S111" s="138" t="s">
        <v>83</v>
      </c>
      <c r="T111" s="138" t="s">
        <v>83</v>
      </c>
      <c r="U111" s="138" t="s">
        <v>83</v>
      </c>
      <c r="V111" s="8"/>
      <c r="W111" s="8" t="s">
        <v>89</v>
      </c>
      <c r="X111" s="8">
        <v>0</v>
      </c>
      <c r="Y111" s="138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38" t="s">
        <v>83</v>
      </c>
      <c r="AF111" s="138" t="s">
        <v>83</v>
      </c>
      <c r="AG111" s="138" t="s">
        <v>83</v>
      </c>
      <c r="AH111" s="138" t="s">
        <v>83</v>
      </c>
      <c r="AI111" s="8"/>
      <c r="AJ111" s="8"/>
      <c r="AK111" s="8">
        <v>0</v>
      </c>
      <c r="AL111" s="8">
        <v>1</v>
      </c>
      <c r="AM111" s="138" t="s">
        <v>83</v>
      </c>
      <c r="AN111" s="8">
        <v>1</v>
      </c>
      <c r="AO111" s="8">
        <v>1</v>
      </c>
      <c r="AP111" s="8">
        <v>1</v>
      </c>
    </row>
    <row r="112" spans="1:42">
      <c r="A112" s="118"/>
      <c r="B112" s="8" t="str">
        <f>装备!B112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VLOOKUP(LEFT(RIGHT(B112,5),4),装备!B:CU,2,FALSE)</f>
        <v>劣质升S品质</v>
      </c>
      <c r="I112" s="8" t="str">
        <f>VLOOKUP(B112,装备!B:CV,99,FALSE)</f>
        <v>劣质升S品质</v>
      </c>
      <c r="J112" s="120" t="str">
        <f t="shared" ref="J112" si="30">H112</f>
        <v>劣质升S品质</v>
      </c>
      <c r="K112" s="120" t="str">
        <f t="shared" ref="K112" si="31">I112</f>
        <v>劣质升S品质</v>
      </c>
      <c r="L112" s="8"/>
      <c r="M112" s="121" t="str">
        <f>VLOOKUP(LEFT(RIGHT(B112,5),4),装备!B:CU,20,FALSE)</f>
        <v>ReplaceableTextures\\CommandButtons\\BTN008.blp</v>
      </c>
      <c r="N112" s="138" t="s">
        <v>83</v>
      </c>
      <c r="O112" s="121" t="s">
        <v>88</v>
      </c>
      <c r="P112" s="8">
        <v>0</v>
      </c>
      <c r="Q112" s="8">
        <v>0</v>
      </c>
      <c r="R112" s="138" t="s">
        <v>83</v>
      </c>
      <c r="S112" s="138" t="s">
        <v>83</v>
      </c>
      <c r="T112" s="138" t="s">
        <v>83</v>
      </c>
      <c r="U112" s="138" t="s">
        <v>83</v>
      </c>
      <c r="V112" s="8"/>
      <c r="W112" s="8" t="s">
        <v>89</v>
      </c>
      <c r="X112" s="8">
        <v>0</v>
      </c>
      <c r="Y112" s="138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38" t="s">
        <v>83</v>
      </c>
      <c r="AF112" s="138" t="s">
        <v>83</v>
      </c>
      <c r="AG112" s="138" t="s">
        <v>83</v>
      </c>
      <c r="AH112" s="138" t="s">
        <v>83</v>
      </c>
      <c r="AI112" s="8"/>
      <c r="AJ112" s="8"/>
      <c r="AK112" s="8">
        <v>0</v>
      </c>
      <c r="AL112" s="8">
        <v>1</v>
      </c>
      <c r="AM112" s="138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18"/>
      <c r="B113" s="8" t="str">
        <f>装备!B113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VLOOKUP(LEFT(RIGHT(B113,5),4),装备!B:CU,2,FALSE)</f>
        <v>随机法宝</v>
      </c>
      <c r="I113" s="8" t="str">
        <f>VLOOKUP(B113,装备!B:CV,99,FALSE)</f>
        <v>获得一个随机品质的法宝。|n|n|Cff00ff7f副本难度影响法宝品质稀有度。|r</v>
      </c>
      <c r="J113" s="120" t="str">
        <f t="shared" ref="J113" si="32">H113</f>
        <v>随机法宝</v>
      </c>
      <c r="K113" s="120" t="str">
        <f t="shared" ref="K113" si="33">I113</f>
        <v>获得一个随机品质的法宝。|n|n|Cff00ff7f副本难度影响法宝品质稀有度。|r</v>
      </c>
      <c r="L113" s="8"/>
      <c r="M113" s="121" t="str">
        <f>VLOOKUP(LEFT(RIGHT(B113,5),4),装备!B:CU,20,FALSE)</f>
        <v>ReplaceableTextures\\CommandButtons\\BTNCF01.blp</v>
      </c>
      <c r="N113" s="138" t="s">
        <v>83</v>
      </c>
      <c r="O113" s="121" t="s">
        <v>90</v>
      </c>
      <c r="P113" s="8">
        <v>0</v>
      </c>
      <c r="Q113" s="8">
        <v>0</v>
      </c>
      <c r="R113" s="138" t="s">
        <v>83</v>
      </c>
      <c r="S113" s="138" t="s">
        <v>83</v>
      </c>
      <c r="T113" s="138" t="s">
        <v>83</v>
      </c>
      <c r="U113" s="138" t="s">
        <v>83</v>
      </c>
      <c r="V113" s="8"/>
      <c r="W113" s="8" t="s">
        <v>87</v>
      </c>
      <c r="X113" s="8">
        <v>0</v>
      </c>
      <c r="Y113" s="138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38" t="s">
        <v>83</v>
      </c>
      <c r="AF113" s="138" t="s">
        <v>83</v>
      </c>
      <c r="AG113" s="138" t="s">
        <v>83</v>
      </c>
      <c r="AH113" s="138" t="s">
        <v>83</v>
      </c>
      <c r="AI113" s="8">
        <v>1</v>
      </c>
      <c r="AJ113" s="8"/>
      <c r="AK113" s="8">
        <v>1</v>
      </c>
      <c r="AL113" s="8">
        <v>1</v>
      </c>
      <c r="AM113" s="138" t="s">
        <v>83</v>
      </c>
      <c r="AN113" s="8">
        <v>1</v>
      </c>
      <c r="AO113" s="8">
        <v>1</v>
      </c>
      <c r="AP113" s="8">
        <v>1</v>
      </c>
    </row>
    <row r="114" spans="1:42">
      <c r="A114" s="118"/>
      <c r="B114" s="8" t="str">
        <f>装备!B114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VLOOKUP(LEFT(RIGHT(B114,5),4),装备!B:CU,2,FALSE)</f>
        <v>蛋黄月饼</v>
      </c>
      <c r="I114" s="8" t="str">
        <f>VLOOKUP(B114,装备!B:CV,99,FALSE)</f>
        <v>回复|Cffffd24d80%|r生命，|Cff00ff7f解除|r异常状态</v>
      </c>
      <c r="J114" s="120" t="str">
        <f t="shared" ref="J114:J117" si="34">H114</f>
        <v>蛋黄月饼</v>
      </c>
      <c r="K114" s="120" t="str">
        <f t="shared" ref="K114:K117" si="35">I114</f>
        <v>回复|Cffffd24d80%|r生命，|Cff00ff7f解除|r异常状态</v>
      </c>
      <c r="L114" s="8"/>
      <c r="M114" s="121" t="str">
        <f>VLOOKUP(LEFT(RIGHT(B114,5),4),装备!B:CU,20,FALSE)</f>
        <v>ReplaceableTextures\\CommandButtons\\BTNI001.blp</v>
      </c>
      <c r="N114" s="138" t="s">
        <v>83</v>
      </c>
      <c r="O114" s="121" t="s">
        <v>88</v>
      </c>
      <c r="P114" s="8">
        <v>0</v>
      </c>
      <c r="Q114" s="8">
        <v>0</v>
      </c>
      <c r="R114" s="138" t="s">
        <v>83</v>
      </c>
      <c r="S114" s="138" t="s">
        <v>83</v>
      </c>
      <c r="T114" s="138" t="s">
        <v>83</v>
      </c>
      <c r="U114" s="138" t="s">
        <v>83</v>
      </c>
      <c r="V114" s="8"/>
      <c r="W114" s="8" t="s">
        <v>89</v>
      </c>
      <c r="X114" s="8">
        <v>0</v>
      </c>
      <c r="Y114" s="138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38" t="s">
        <v>83</v>
      </c>
      <c r="AF114" s="138" t="s">
        <v>83</v>
      </c>
      <c r="AG114" s="138" t="s">
        <v>83</v>
      </c>
      <c r="AH114" s="138" t="s">
        <v>83</v>
      </c>
      <c r="AI114" s="8"/>
      <c r="AJ114" s="8"/>
      <c r="AK114" s="8">
        <v>1</v>
      </c>
      <c r="AL114" s="8">
        <v>1</v>
      </c>
      <c r="AM114" s="138" t="s">
        <v>83</v>
      </c>
      <c r="AN114" s="8">
        <v>1</v>
      </c>
      <c r="AO114" s="8">
        <v>1</v>
      </c>
      <c r="AP114" s="8">
        <v>1</v>
      </c>
    </row>
    <row r="115" spans="1:42">
      <c r="A115" s="118"/>
      <c r="B115" s="8" t="str">
        <f>装备!B115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VLOOKUP(LEFT(RIGHT(B115,5),4),装备!B:CU,2,FALSE)</f>
        <v>豆沙月饼</v>
      </c>
      <c r="I115" s="8" t="str">
        <f>VLOOKUP(B115,装备!B:CV,99,FALSE)</f>
        <v>回复|Cff00bfff70%|r蓝量</v>
      </c>
      <c r="J115" s="120" t="str">
        <f t="shared" si="34"/>
        <v>豆沙月饼</v>
      </c>
      <c r="K115" s="120" t="str">
        <f t="shared" si="35"/>
        <v>回复|Cff00bfff70%|r蓝量</v>
      </c>
      <c r="L115" s="8"/>
      <c r="M115" s="121" t="str">
        <f>VLOOKUP(LEFT(RIGHT(B115,5),4),装备!B:CU,20,FALSE)</f>
        <v>ReplaceableTextures\\CommandButtons\\BTNI002.blp</v>
      </c>
      <c r="N115" s="138" t="s">
        <v>83</v>
      </c>
      <c r="O115" s="121" t="s">
        <v>88</v>
      </c>
      <c r="P115" s="8">
        <v>0</v>
      </c>
      <c r="Q115" s="8">
        <v>0</v>
      </c>
      <c r="R115" s="138" t="s">
        <v>83</v>
      </c>
      <c r="S115" s="138" t="s">
        <v>83</v>
      </c>
      <c r="T115" s="138" t="s">
        <v>83</v>
      </c>
      <c r="U115" s="138" t="s">
        <v>83</v>
      </c>
      <c r="V115" s="8"/>
      <c r="W115" s="8" t="s">
        <v>89</v>
      </c>
      <c r="X115" s="8">
        <v>0</v>
      </c>
      <c r="Y115" s="138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38" t="s">
        <v>83</v>
      </c>
      <c r="AF115" s="138" t="s">
        <v>83</v>
      </c>
      <c r="AG115" s="138" t="s">
        <v>83</v>
      </c>
      <c r="AH115" s="138" t="s">
        <v>83</v>
      </c>
      <c r="AI115" s="8"/>
      <c r="AJ115" s="8"/>
      <c r="AK115" s="8">
        <v>1</v>
      </c>
      <c r="AL115" s="8">
        <v>1</v>
      </c>
      <c r="AM115" s="138" t="s">
        <v>83</v>
      </c>
      <c r="AN115" s="8">
        <v>1</v>
      </c>
      <c r="AO115" s="8">
        <v>1</v>
      </c>
      <c r="AP115" s="8">
        <v>1</v>
      </c>
    </row>
    <row r="116" spans="1:42">
      <c r="A116" s="118"/>
      <c r="B116" s="8" t="str">
        <f>装备!B116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VLOOKUP(LEFT(RIGHT(B116,5),4),装备!B:CU,2,FALSE)</f>
        <v>冰皮月饼</v>
      </c>
      <c r="I116" s="8" t="str">
        <f>VLOOKUP(B116,装备!B:CV,99,FALSE)</f>
        <v>攻击速度|Cffff8000+60%|r，持续15秒。</v>
      </c>
      <c r="J116" s="120" t="str">
        <f t="shared" si="34"/>
        <v>冰皮月饼</v>
      </c>
      <c r="K116" s="120" t="str">
        <f t="shared" si="35"/>
        <v>攻击速度|Cffff8000+60%|r，持续15秒。</v>
      </c>
      <c r="L116" s="8"/>
      <c r="M116" s="121" t="str">
        <f>VLOOKUP(LEFT(RIGHT(B116,5),4),装备!B:CU,20,FALSE)</f>
        <v>ReplaceableTextures\\CommandButtons\\BTNI003.blp</v>
      </c>
      <c r="N116" s="138" t="s">
        <v>83</v>
      </c>
      <c r="O116" s="121" t="s">
        <v>88</v>
      </c>
      <c r="P116" s="8">
        <v>0</v>
      </c>
      <c r="Q116" s="8">
        <v>0</v>
      </c>
      <c r="R116" s="138" t="s">
        <v>83</v>
      </c>
      <c r="S116" s="138" t="s">
        <v>83</v>
      </c>
      <c r="T116" s="138" t="s">
        <v>83</v>
      </c>
      <c r="U116" s="138" t="s">
        <v>83</v>
      </c>
      <c r="V116" s="8"/>
      <c r="W116" s="8" t="s">
        <v>89</v>
      </c>
      <c r="X116" s="8">
        <v>0</v>
      </c>
      <c r="Y116" s="138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38" t="s">
        <v>83</v>
      </c>
      <c r="AF116" s="138" t="s">
        <v>83</v>
      </c>
      <c r="AG116" s="138" t="s">
        <v>83</v>
      </c>
      <c r="AH116" s="138" t="s">
        <v>83</v>
      </c>
      <c r="AI116" s="8"/>
      <c r="AJ116" s="8"/>
      <c r="AK116" s="8">
        <v>1</v>
      </c>
      <c r="AL116" s="8">
        <v>1</v>
      </c>
      <c r="AM116" s="138" t="s">
        <v>83</v>
      </c>
      <c r="AN116" s="8">
        <v>1</v>
      </c>
      <c r="AO116" s="8">
        <v>1</v>
      </c>
      <c r="AP116" s="8">
        <v>1</v>
      </c>
    </row>
    <row r="117" spans="1:42">
      <c r="A117" s="118"/>
      <c r="B117" s="8" t="str">
        <f>装备!B117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VLOOKUP(LEFT(RIGHT(B117,5),4),装备!B:CU,2,FALSE)</f>
        <v>果蔬月饼</v>
      </c>
      <c r="I117" s="8" t="str">
        <f>VLOOKUP(B117,装备!B:CV,99,FALSE)</f>
        <v>法术伤害提高|Cff00bfff40%|r，持续15秒。</v>
      </c>
      <c r="J117" s="120" t="str">
        <f t="shared" si="34"/>
        <v>果蔬月饼</v>
      </c>
      <c r="K117" s="120" t="str">
        <f t="shared" si="35"/>
        <v>法术伤害提高|Cff00bfff40%|r，持续15秒。</v>
      </c>
      <c r="L117" s="8"/>
      <c r="M117" s="121" t="str">
        <f>VLOOKUP(LEFT(RIGHT(B117,5),4),装备!B:CU,20,FALSE)</f>
        <v>ReplaceableTextures\\CommandButtons\\BTNI004.blp</v>
      </c>
      <c r="N117" s="138" t="s">
        <v>83</v>
      </c>
      <c r="O117" s="121" t="s">
        <v>88</v>
      </c>
      <c r="P117" s="8">
        <v>0</v>
      </c>
      <c r="Q117" s="8">
        <v>0</v>
      </c>
      <c r="R117" s="138" t="s">
        <v>83</v>
      </c>
      <c r="S117" s="138" t="s">
        <v>83</v>
      </c>
      <c r="T117" s="138" t="s">
        <v>83</v>
      </c>
      <c r="U117" s="138" t="s">
        <v>83</v>
      </c>
      <c r="V117" s="8"/>
      <c r="W117" s="8" t="s">
        <v>89</v>
      </c>
      <c r="X117" s="8">
        <v>0</v>
      </c>
      <c r="Y117" s="138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38" t="s">
        <v>83</v>
      </c>
      <c r="AF117" s="138" t="s">
        <v>83</v>
      </c>
      <c r="AG117" s="138" t="s">
        <v>83</v>
      </c>
      <c r="AH117" s="138" t="s">
        <v>83</v>
      </c>
      <c r="AI117" s="8"/>
      <c r="AJ117" s="8"/>
      <c r="AK117" s="8">
        <v>1</v>
      </c>
      <c r="AL117" s="8">
        <v>1</v>
      </c>
      <c r="AM117" s="138" t="s">
        <v>83</v>
      </c>
      <c r="AN117" s="8">
        <v>1</v>
      </c>
      <c r="AO117" s="8">
        <v>1</v>
      </c>
      <c r="AP117" s="8">
        <v>1</v>
      </c>
    </row>
    <row r="118" spans="1:42">
      <c r="A118" s="118"/>
      <c r="B118" s="8" t="str">
        <f>装备!B118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VLOOKUP(LEFT(RIGHT(B118,5),4),装备!B:CU,2,FALSE)</f>
        <v>鲜肉月饼</v>
      </c>
      <c r="I118" s="8" t="str">
        <f>VLOOKUP(B118,装备!B:CV,99,FALSE)</f>
        <v>物理伤害提高|Cffff800040%|r，持续15秒。</v>
      </c>
      <c r="J118" s="120" t="str">
        <f t="shared" ref="J118:J119" si="36">H118</f>
        <v>鲜肉月饼</v>
      </c>
      <c r="K118" s="120" t="str">
        <f t="shared" ref="K118:K119" si="37">I118</f>
        <v>物理伤害提高|Cffff800040%|r，持续15秒。</v>
      </c>
      <c r="L118" s="8"/>
      <c r="M118" s="121" t="str">
        <f>VLOOKUP(LEFT(RIGHT(B118,5),4),装备!B:CU,20,FALSE)</f>
        <v>ReplaceableTextures\\CommandButtons\\BTNI005.blp</v>
      </c>
      <c r="N118" s="138" t="s">
        <v>83</v>
      </c>
      <c r="O118" s="121" t="s">
        <v>88</v>
      </c>
      <c r="P118" s="8">
        <v>0</v>
      </c>
      <c r="Q118" s="8">
        <v>0</v>
      </c>
      <c r="R118" s="138" t="s">
        <v>83</v>
      </c>
      <c r="S118" s="138" t="s">
        <v>83</v>
      </c>
      <c r="T118" s="138" t="s">
        <v>83</v>
      </c>
      <c r="U118" s="138" t="s">
        <v>83</v>
      </c>
      <c r="V118" s="8"/>
      <c r="W118" s="8" t="s">
        <v>89</v>
      </c>
      <c r="X118" s="8">
        <v>0</v>
      </c>
      <c r="Y118" s="138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38" t="s">
        <v>83</v>
      </c>
      <c r="AF118" s="138" t="s">
        <v>83</v>
      </c>
      <c r="AG118" s="138" t="s">
        <v>83</v>
      </c>
      <c r="AH118" s="138" t="s">
        <v>83</v>
      </c>
      <c r="AI118" s="8"/>
      <c r="AJ118" s="8"/>
      <c r="AK118" s="8">
        <v>1</v>
      </c>
      <c r="AL118" s="8">
        <v>1</v>
      </c>
      <c r="AM118" s="138" t="s">
        <v>83</v>
      </c>
      <c r="AN118" s="8">
        <v>1</v>
      </c>
      <c r="AO118" s="8">
        <v>1</v>
      </c>
      <c r="AP118" s="8">
        <v>1</v>
      </c>
    </row>
    <row r="119" spans="1:42">
      <c r="A119" s="118"/>
      <c r="B119" s="8" t="str">
        <f>装备!B119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VLOOKUP(LEFT(RIGHT(B119,5),4),装备!B:CU,2,FALSE)</f>
        <v>|CFFFF8000招魂幡Lv1</v>
      </c>
      <c r="I119" s="8" t="str">
        <f>VLOOKUP(B119,装备!B:CV,99,FALSE)</f>
        <v>护甲|cFF99CC66+10|r|n金币加成|cFF99CC66+10%|r|n击杀1000个敌人后奖励|n|cffffff7000~12000|r金币|n|cFFCC99FF2000-5000|r业力|n|cff99ccff同时只能携带一个招魂幡</v>
      </c>
      <c r="J119" s="120" t="str">
        <f t="shared" si="36"/>
        <v>|CFFFF8000招魂幡Lv1</v>
      </c>
      <c r="K119" s="120" t="str">
        <f t="shared" si="37"/>
        <v>护甲|cFF99CC66+10|r|n金币加成|cFF99CC66+10%|r|n击杀1000个敌人后奖励|n|cffffff7000~12000|r金币|n|cFFCC99FF2000-5000|r业力|n|cff99ccff同时只能携带一个招魂幡</v>
      </c>
      <c r="L119" s="8"/>
      <c r="M119" s="121" t="str">
        <f>VLOOKUP(LEFT(RIGHT(B119,5),4),装备!B:CU,20,FALSE)</f>
        <v>ReplaceableTextures\\CommandButtons\\BTNI011.blp</v>
      </c>
      <c r="N119" s="138" t="s">
        <v>83</v>
      </c>
      <c r="O119" s="121" t="s">
        <v>88</v>
      </c>
      <c r="P119" s="8">
        <v>0</v>
      </c>
      <c r="Q119" s="8">
        <v>1</v>
      </c>
      <c r="R119" s="138" t="s">
        <v>83</v>
      </c>
      <c r="S119" s="138" t="s">
        <v>83</v>
      </c>
      <c r="T119" s="138" t="s">
        <v>83</v>
      </c>
      <c r="U119" s="138" t="s">
        <v>83</v>
      </c>
      <c r="V119" s="8"/>
      <c r="W119" s="8" t="s">
        <v>85</v>
      </c>
      <c r="X119" s="8">
        <v>0</v>
      </c>
      <c r="Y119" s="138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38" t="s">
        <v>83</v>
      </c>
      <c r="AF119" s="138" t="s">
        <v>83</v>
      </c>
      <c r="AG119" s="138" t="s">
        <v>83</v>
      </c>
      <c r="AH119" s="138" t="s">
        <v>83</v>
      </c>
      <c r="AI119" s="8"/>
      <c r="AJ119" s="8"/>
      <c r="AK119" s="8">
        <v>1</v>
      </c>
      <c r="AL119" s="8">
        <v>1</v>
      </c>
      <c r="AM119" s="138" t="s">
        <v>83</v>
      </c>
      <c r="AN119" s="8">
        <v>1000</v>
      </c>
      <c r="AO119" s="8"/>
      <c r="AP119" s="8"/>
    </row>
    <row r="120" spans="1:42">
      <c r="A120" s="118"/>
      <c r="B120" s="8" t="str">
        <f>装备!B120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VLOOKUP(LEFT(RIGHT(B120,5),4),装备!B:CU,2,FALSE)</f>
        <v>|CFFFF8000招魂幡Lv2</v>
      </c>
      <c r="I120" s="8" t="str">
        <f>VLOOKUP(B120,装备!B:CV,99,FALSE)</f>
        <v>护甲|cFF99CC66+80|r|n金币加成|cFF99CC66+15%|r|n击杀1000个敌人后奖励|n|cffffff008000~13000|r金币|n|cFFCC99FF3000-6000|r业力|n|cff99ccff同时只能携带一个招魂幡</v>
      </c>
      <c r="J120" s="120" t="str">
        <f t="shared" ref="J120:J121" si="38">H120</f>
        <v>|CFFFF8000招魂幡Lv2</v>
      </c>
      <c r="K120" s="120" t="str">
        <f t="shared" ref="K120:K121" si="39">I120</f>
        <v>护甲|cFF99CC66+80|r|n金币加成|cFF99CC66+15%|r|n击杀1000个敌人后奖励|n|cffffff008000~13000|r金币|n|cFFCC99FF3000-6000|r业力|n|cff99ccff同时只能携带一个招魂幡</v>
      </c>
      <c r="L120" s="8"/>
      <c r="M120" s="121" t="str">
        <f>VLOOKUP(LEFT(RIGHT(B120,5),4),装备!B:CU,20,FALSE)</f>
        <v>ReplaceableTextures\\CommandButtons\\BTNI012.blp</v>
      </c>
      <c r="N120" s="138" t="s">
        <v>83</v>
      </c>
      <c r="O120" s="121" t="s">
        <v>88</v>
      </c>
      <c r="P120" s="8">
        <v>1</v>
      </c>
      <c r="Q120" s="8">
        <v>1</v>
      </c>
      <c r="R120" s="138" t="s">
        <v>83</v>
      </c>
      <c r="S120" s="138" t="s">
        <v>83</v>
      </c>
      <c r="T120" s="138" t="s">
        <v>83</v>
      </c>
      <c r="U120" s="138" t="s">
        <v>83</v>
      </c>
      <c r="V120" s="8"/>
      <c r="W120" s="8" t="s">
        <v>85</v>
      </c>
      <c r="X120" s="8">
        <v>0</v>
      </c>
      <c r="Y120" s="138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38" t="s">
        <v>83</v>
      </c>
      <c r="AF120" s="138" t="s">
        <v>83</v>
      </c>
      <c r="AG120" s="138" t="s">
        <v>83</v>
      </c>
      <c r="AH120" s="138" t="s">
        <v>83</v>
      </c>
      <c r="AI120" s="8"/>
      <c r="AJ120" s="8"/>
      <c r="AK120" s="8">
        <v>1</v>
      </c>
      <c r="AL120" s="8">
        <v>1</v>
      </c>
      <c r="AM120" s="138" t="s">
        <v>83</v>
      </c>
      <c r="AN120" s="8">
        <v>1000</v>
      </c>
      <c r="AO120" s="8"/>
      <c r="AP120" s="8"/>
    </row>
    <row r="121" spans="1:42">
      <c r="A121" s="118"/>
      <c r="B121" s="8" t="str">
        <f>装备!B121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VLOOKUP(LEFT(RIGHT(B121,5),4),装备!B:CU,2,FALSE)</f>
        <v>|CFFFF8000招魂幡Lv3</v>
      </c>
      <c r="I121" s="8" t="str">
        <f>VLOOKUP(B121,装备!B:CV,99,FALSE)</f>
        <v>护甲|cFF99CC66+200|r|n金币加成|cFF99CC66+20%|r|n击杀1000个敌人后奖励|n|cffffff9000~14000|r金币|n|cFFCC99FF4000-7000|r业力|n|cff99ccff同时只能携带一个招魂幡</v>
      </c>
      <c r="J121" s="120" t="str">
        <f t="shared" si="38"/>
        <v>|CFFFF8000招魂幡Lv3</v>
      </c>
      <c r="K121" s="120" t="str">
        <f t="shared" si="39"/>
        <v>护甲|cFF99CC66+200|r|n金币加成|cFF99CC66+20%|r|n击杀1000个敌人后奖励|n|cffffff9000~14000|r金币|n|cFFCC99FF4000-7000|r业力|n|cff99ccff同时只能携带一个招魂幡</v>
      </c>
      <c r="L121" s="8"/>
      <c r="M121" s="121" t="str">
        <f>VLOOKUP(LEFT(RIGHT(B121,5),4),装备!B:CU,20,FALSE)</f>
        <v>ReplaceableTextures\\CommandButtons\\BTNI013.blp</v>
      </c>
      <c r="N121" s="138" t="s">
        <v>83</v>
      </c>
      <c r="O121" s="121" t="s">
        <v>88</v>
      </c>
      <c r="P121" s="8">
        <v>2</v>
      </c>
      <c r="Q121" s="8">
        <v>1</v>
      </c>
      <c r="R121" s="138" t="s">
        <v>83</v>
      </c>
      <c r="S121" s="138" t="s">
        <v>83</v>
      </c>
      <c r="T121" s="138" t="s">
        <v>83</v>
      </c>
      <c r="U121" s="138" t="s">
        <v>83</v>
      </c>
      <c r="V121" s="8"/>
      <c r="W121" s="8" t="s">
        <v>85</v>
      </c>
      <c r="X121" s="8">
        <v>0</v>
      </c>
      <c r="Y121" s="138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38" t="s">
        <v>83</v>
      </c>
      <c r="AF121" s="138" t="s">
        <v>83</v>
      </c>
      <c r="AG121" s="138" t="s">
        <v>83</v>
      </c>
      <c r="AH121" s="138" t="s">
        <v>83</v>
      </c>
      <c r="AI121" s="8"/>
      <c r="AJ121" s="8"/>
      <c r="AK121" s="8">
        <v>1</v>
      </c>
      <c r="AL121" s="8">
        <v>1</v>
      </c>
      <c r="AM121" s="138" t="s">
        <v>83</v>
      </c>
      <c r="AN121" s="8">
        <v>1000</v>
      </c>
      <c r="AO121" s="8"/>
      <c r="AP121" s="8"/>
    </row>
    <row r="122" spans="1:42">
      <c r="A122" s="118"/>
      <c r="B122" s="8" t="str">
        <f>装备!B122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VLOOKUP(LEFT(RIGHT(B122,5),4),装备!B:CU,2,FALSE)</f>
        <v>|CFFFF8000招魂幡Lv4</v>
      </c>
      <c r="I122" s="8" t="str">
        <f>VLOOKUP(B122,装备!B:CV,99,FALSE)</f>
        <v>护甲|cFF99CC66+500|r|n金币加成|cFF99CC66+25%|r|n击杀1000个敌人后奖励|n|cffffff10000~15000|r金币|n|cFFCC99FF5000-8000|r业力|n|cff99ccff同时只能携带一个招魂幡</v>
      </c>
      <c r="J122" s="120" t="str">
        <f t="shared" ref="J122:J150" si="40">H122</f>
        <v>|CFFFF8000招魂幡Lv4</v>
      </c>
      <c r="K122" s="120" t="str">
        <f t="shared" ref="K122:K150" si="41">I122</f>
        <v>护甲|cFF99CC66+500|r|n金币加成|cFF99CC66+25%|r|n击杀1000个敌人后奖励|n|cffffff10000~15000|r金币|n|cFFCC99FF5000-8000|r业力|n|cff99ccff同时只能携带一个招魂幡</v>
      </c>
      <c r="L122" s="8"/>
      <c r="M122" s="121" t="str">
        <f>VLOOKUP(LEFT(RIGHT(B122,5),4),装备!B:CU,20,FALSE)</f>
        <v>ReplaceableTextures\\CommandButtons\\BTNI014.blp</v>
      </c>
      <c r="N122" s="138" t="s">
        <v>83</v>
      </c>
      <c r="O122" s="121" t="s">
        <v>88</v>
      </c>
      <c r="P122" s="8">
        <v>3</v>
      </c>
      <c r="Q122" s="8">
        <v>1</v>
      </c>
      <c r="R122" s="138" t="s">
        <v>83</v>
      </c>
      <c r="S122" s="138" t="s">
        <v>83</v>
      </c>
      <c r="T122" s="138" t="s">
        <v>83</v>
      </c>
      <c r="U122" s="138" t="s">
        <v>83</v>
      </c>
      <c r="V122" s="8"/>
      <c r="W122" s="8" t="s">
        <v>85</v>
      </c>
      <c r="X122" s="8">
        <v>0</v>
      </c>
      <c r="Y122" s="138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38" t="s">
        <v>83</v>
      </c>
      <c r="AF122" s="138" t="s">
        <v>83</v>
      </c>
      <c r="AG122" s="138" t="s">
        <v>83</v>
      </c>
      <c r="AH122" s="138" t="s">
        <v>83</v>
      </c>
      <c r="AI122" s="8"/>
      <c r="AJ122" s="8"/>
      <c r="AK122" s="8">
        <v>1</v>
      </c>
      <c r="AL122" s="8">
        <v>1</v>
      </c>
      <c r="AM122" s="138" t="s">
        <v>83</v>
      </c>
      <c r="AN122" s="8">
        <v>1000</v>
      </c>
      <c r="AO122" s="8"/>
      <c r="AP122" s="8"/>
    </row>
    <row r="123" spans="1:42">
      <c r="A123" s="118"/>
      <c r="B123" s="8" t="str">
        <f>装备!B123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VLOOKUP(LEFT(RIGHT(B123,5),4),装备!B:CU,2,FALSE)</f>
        <v>|CFFFF8000招魂幡Lv5</v>
      </c>
      <c r="I123" s="8" t="str">
        <f>VLOOKUP(B123,装备!B:CV,99,FALSE)</f>
        <v>护甲|cFF99CC66+500|r|n金币加成|cFF99CC66+30%|r|n击杀1000个敌人后奖励|n|cffffff12000~17000|r金币|n|cFFCC99FF6000-9000|r业力|n|cff99ccff同时只能携带一个招魂幡</v>
      </c>
      <c r="J123" s="120" t="str">
        <f t="shared" ref="J123" si="42">H123</f>
        <v>|CFFFF8000招魂幡Lv5</v>
      </c>
      <c r="K123" s="120" t="str">
        <f t="shared" ref="K123" si="43">I123</f>
        <v>护甲|cFF99CC66+500|r|n金币加成|cFF99CC66+30%|r|n击杀1000个敌人后奖励|n|cffffff12000~17000|r金币|n|cFFCC99FF6000-9000|r业力|n|cff99ccff同时只能携带一个招魂幡</v>
      </c>
      <c r="L123" s="8"/>
      <c r="M123" s="121" t="str">
        <f>VLOOKUP(LEFT(RIGHT(B123,5),4),装备!B:CU,20,FALSE)</f>
        <v>ReplaceableTextures\\CommandButtons\\BTNI015.blp</v>
      </c>
      <c r="N123" s="138" t="s">
        <v>83</v>
      </c>
      <c r="O123" s="121" t="s">
        <v>88</v>
      </c>
      <c r="P123" s="8">
        <v>0</v>
      </c>
      <c r="Q123" s="8">
        <v>0</v>
      </c>
      <c r="R123" s="138" t="s">
        <v>83</v>
      </c>
      <c r="S123" s="138" t="s">
        <v>83</v>
      </c>
      <c r="T123" s="138" t="s">
        <v>83</v>
      </c>
      <c r="U123" s="138" t="s">
        <v>83</v>
      </c>
      <c r="V123" s="8"/>
      <c r="W123" s="8" t="s">
        <v>85</v>
      </c>
      <c r="X123" s="8">
        <v>0</v>
      </c>
      <c r="Y123" s="138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38" t="s">
        <v>83</v>
      </c>
      <c r="AF123" s="138" t="s">
        <v>83</v>
      </c>
      <c r="AG123" s="138" t="s">
        <v>83</v>
      </c>
      <c r="AH123" s="138" t="s">
        <v>83</v>
      </c>
      <c r="AI123" s="8"/>
      <c r="AJ123" s="8"/>
      <c r="AK123" s="8">
        <v>1</v>
      </c>
      <c r="AL123" s="8">
        <v>1</v>
      </c>
      <c r="AM123" s="138" t="s">
        <v>83</v>
      </c>
      <c r="AN123" s="8">
        <v>1000</v>
      </c>
      <c r="AO123" s="8"/>
      <c r="AP123" s="8"/>
    </row>
    <row r="124" spans="1:42">
      <c r="A124" s="118"/>
      <c r="B124" s="8" t="str">
        <f>装备!B124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VLOOKUP(LEFT(RIGHT(B124,5),4),装备!B:CU,2,FALSE)</f>
        <v>幸运星盒</v>
      </c>
      <c r="I124" s="8" t="str">
        <f>VLOOKUP(B124,装备!B:CV,99,FALSE)</f>
        <v>开启后获得|Cffffd24d42~700木头|r或|Cffffd24d随机锦囊卡|r。|n|n|Cff00ff7f掉落时激活的星宿越多，人品越好 |r     </v>
      </c>
      <c r="J124" s="120" t="str">
        <f t="shared" si="40"/>
        <v>幸运星盒</v>
      </c>
      <c r="K124" s="120" t="str">
        <f t="shared" si="41"/>
        <v>开启后获得|Cffffd24d42~700木头|r或|Cffffd24d随机锦囊卡|r。|n|n|Cff00ff7f掉落时激活的星宿越多，人品越好 |r     </v>
      </c>
      <c r="L124" s="8"/>
      <c r="M124" s="121" t="str">
        <f>VLOOKUP(LEFT(RIGHT(B124,5),4),装备!B:CU,20,FALSE)</f>
        <v>ReplaceableTextures\\CommandButtons\\BTNIND1.blp</v>
      </c>
      <c r="N124" s="138" t="s">
        <v>83</v>
      </c>
      <c r="O124" s="121" t="s">
        <v>88</v>
      </c>
      <c r="P124" s="8">
        <v>0</v>
      </c>
      <c r="Q124" s="8">
        <v>0</v>
      </c>
      <c r="R124" s="138" t="s">
        <v>83</v>
      </c>
      <c r="S124" s="138" t="s">
        <v>83</v>
      </c>
      <c r="T124" s="138" t="s">
        <v>83</v>
      </c>
      <c r="U124" s="138" t="s">
        <v>83</v>
      </c>
      <c r="V124" s="8"/>
      <c r="W124" s="8" t="s">
        <v>89</v>
      </c>
      <c r="X124" s="8">
        <v>0</v>
      </c>
      <c r="Y124" s="138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38" t="s">
        <v>83</v>
      </c>
      <c r="AF124" s="138" t="s">
        <v>83</v>
      </c>
      <c r="AG124" s="138" t="s">
        <v>83</v>
      </c>
      <c r="AH124" s="138" t="s">
        <v>83</v>
      </c>
      <c r="AI124" s="8"/>
      <c r="AJ124" s="8"/>
      <c r="AK124" s="8">
        <v>1</v>
      </c>
      <c r="AL124" s="8">
        <v>1</v>
      </c>
      <c r="AM124" s="138" t="s">
        <v>83</v>
      </c>
      <c r="AN124" s="8">
        <v>1</v>
      </c>
      <c r="AO124" s="8">
        <v>1</v>
      </c>
      <c r="AP124" s="8">
        <v>1</v>
      </c>
    </row>
    <row r="125" spans="1:42">
      <c r="A125" s="118"/>
      <c r="B125" s="8" t="str">
        <f>装备!B125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VLOOKUP(LEFT(RIGHT(B125,5),4),装备!B:CU,2,FALSE)</f>
        <v>幸运星盒</v>
      </c>
      <c r="I125" s="8" t="str">
        <f>VLOOKUP(B125,装备!B:CV,99,FALSE)</f>
        <v>开启后获得|Cffffd24d42~700木头|r或|Cffffd24d随机锦囊卡|r。|n|n|Cff00ff7f掉落时激活的星宿越多，人品越好 |r     </v>
      </c>
      <c r="J125" s="120" t="str">
        <f t="shared" si="40"/>
        <v>幸运星盒</v>
      </c>
      <c r="K125" s="120" t="str">
        <f t="shared" si="41"/>
        <v>开启后获得|Cffffd24d42~700木头|r或|Cffffd24d随机锦囊卡|r。|n|n|Cff00ff7f掉落时激活的星宿越多，人品越好 |r     </v>
      </c>
      <c r="L125" s="8"/>
      <c r="M125" s="121" t="str">
        <f>VLOOKUP(LEFT(RIGHT(B125,5),4),装备!B:CU,20,FALSE)</f>
        <v>ReplaceableTextures\\CommandButtons\\BTNIND1.blp</v>
      </c>
      <c r="N125" s="138" t="s">
        <v>83</v>
      </c>
      <c r="O125" s="121" t="s">
        <v>88</v>
      </c>
      <c r="P125" s="8">
        <v>0</v>
      </c>
      <c r="Q125" s="8">
        <v>0</v>
      </c>
      <c r="R125" s="138" t="s">
        <v>83</v>
      </c>
      <c r="S125" s="138" t="s">
        <v>83</v>
      </c>
      <c r="T125" s="138" t="s">
        <v>83</v>
      </c>
      <c r="U125" s="138" t="s">
        <v>83</v>
      </c>
      <c r="V125" s="8"/>
      <c r="W125" s="8" t="s">
        <v>89</v>
      </c>
      <c r="X125" s="8">
        <v>0</v>
      </c>
      <c r="Y125" s="138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38" t="s">
        <v>83</v>
      </c>
      <c r="AF125" s="138" t="s">
        <v>83</v>
      </c>
      <c r="AG125" s="138" t="s">
        <v>83</v>
      </c>
      <c r="AH125" s="138" t="s">
        <v>83</v>
      </c>
      <c r="AI125" s="8"/>
      <c r="AJ125" s="8"/>
      <c r="AK125" s="8">
        <v>1</v>
      </c>
      <c r="AL125" s="8">
        <v>1</v>
      </c>
      <c r="AM125" s="138" t="s">
        <v>83</v>
      </c>
      <c r="AN125" s="8">
        <v>1</v>
      </c>
      <c r="AO125" s="8">
        <v>1</v>
      </c>
      <c r="AP125" s="8">
        <v>1</v>
      </c>
    </row>
    <row r="126" spans="1:42">
      <c r="A126" s="118"/>
      <c r="B126" s="8" t="str">
        <f>装备!B126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VLOOKUP(LEFT(RIGHT(B126,5),4),装备!B:CU,2,FALSE)</f>
        <v>幸运星盒</v>
      </c>
      <c r="I126" s="8" t="str">
        <f>VLOOKUP(B126,装备!B:CV,99,FALSE)</f>
        <v>开启后获得|Cffffd24d42~700木头|r或|Cffffd24d随机锦囊卡|r。|n|n|Cff00ff7f掉落时激活的星宿越多，人品越好 |r     </v>
      </c>
      <c r="J126" s="120" t="str">
        <f t="shared" si="40"/>
        <v>幸运星盒</v>
      </c>
      <c r="K126" s="120" t="str">
        <f t="shared" si="41"/>
        <v>开启后获得|Cffffd24d42~700木头|r或|Cffffd24d随机锦囊卡|r。|n|n|Cff00ff7f掉落时激活的星宿越多，人品越好 |r     </v>
      </c>
      <c r="L126" s="8"/>
      <c r="M126" s="121" t="str">
        <f>VLOOKUP(LEFT(RIGHT(B126,5),4),装备!B:CU,20,FALSE)</f>
        <v>ReplaceableTextures\\CommandButtons\\BTNIND1.blp</v>
      </c>
      <c r="N126" s="138" t="s">
        <v>83</v>
      </c>
      <c r="O126" s="121" t="s">
        <v>88</v>
      </c>
      <c r="P126" s="8">
        <v>0</v>
      </c>
      <c r="Q126" s="8">
        <v>0</v>
      </c>
      <c r="R126" s="138" t="s">
        <v>83</v>
      </c>
      <c r="S126" s="138" t="s">
        <v>83</v>
      </c>
      <c r="T126" s="138" t="s">
        <v>83</v>
      </c>
      <c r="U126" s="138" t="s">
        <v>83</v>
      </c>
      <c r="V126" s="8"/>
      <c r="W126" s="8" t="s">
        <v>89</v>
      </c>
      <c r="X126" s="8">
        <v>0</v>
      </c>
      <c r="Y126" s="138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38" t="s">
        <v>83</v>
      </c>
      <c r="AF126" s="138" t="s">
        <v>83</v>
      </c>
      <c r="AG126" s="138" t="s">
        <v>83</v>
      </c>
      <c r="AH126" s="138" t="s">
        <v>83</v>
      </c>
      <c r="AI126" s="8"/>
      <c r="AJ126" s="8"/>
      <c r="AK126" s="8">
        <v>1</v>
      </c>
      <c r="AL126" s="8">
        <v>1</v>
      </c>
      <c r="AM126" s="138" t="s">
        <v>83</v>
      </c>
      <c r="AN126" s="8">
        <v>1</v>
      </c>
      <c r="AO126" s="8">
        <v>1</v>
      </c>
      <c r="AP126" s="8">
        <v>1</v>
      </c>
    </row>
    <row r="127" spans="1:42">
      <c r="A127" s="118"/>
      <c r="B127" s="8" t="str">
        <f>装备!B127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VLOOKUP(LEFT(RIGHT(B127,5),4),装备!B:CU,2,FALSE)</f>
        <v>幸运星盒</v>
      </c>
      <c r="I127" s="8" t="str">
        <f>VLOOKUP(B127,装备!B:CV,99,FALSE)</f>
        <v>开启后获得|Cffffd24d42~700木头|r或|Cffffd24d随机锦囊卡|r。|n|n|Cff00ff7f掉落时激活的星宿越多，人品越好 |r     </v>
      </c>
      <c r="J127" s="120" t="str">
        <f t="shared" si="40"/>
        <v>幸运星盒</v>
      </c>
      <c r="K127" s="120" t="str">
        <f t="shared" si="41"/>
        <v>开启后获得|Cffffd24d42~700木头|r或|Cffffd24d随机锦囊卡|r。|n|n|Cff00ff7f掉落时激活的星宿越多，人品越好 |r     </v>
      </c>
      <c r="L127" s="8"/>
      <c r="M127" s="121" t="str">
        <f>VLOOKUP(LEFT(RIGHT(B127,5),4),装备!B:CU,20,FALSE)</f>
        <v>ReplaceableTextures\\CommandButtons\\BTNIND1.blp</v>
      </c>
      <c r="N127" s="138" t="s">
        <v>83</v>
      </c>
      <c r="O127" s="121" t="s">
        <v>88</v>
      </c>
      <c r="P127" s="8">
        <v>0</v>
      </c>
      <c r="Q127" s="8">
        <v>0</v>
      </c>
      <c r="R127" s="138" t="s">
        <v>83</v>
      </c>
      <c r="S127" s="138" t="s">
        <v>83</v>
      </c>
      <c r="T127" s="138" t="s">
        <v>83</v>
      </c>
      <c r="U127" s="138" t="s">
        <v>83</v>
      </c>
      <c r="V127" s="8"/>
      <c r="W127" s="8" t="s">
        <v>89</v>
      </c>
      <c r="X127" s="8">
        <v>0</v>
      </c>
      <c r="Y127" s="138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38" t="s">
        <v>83</v>
      </c>
      <c r="AF127" s="138" t="s">
        <v>83</v>
      </c>
      <c r="AG127" s="138" t="s">
        <v>83</v>
      </c>
      <c r="AH127" s="138" t="s">
        <v>83</v>
      </c>
      <c r="AI127" s="8"/>
      <c r="AJ127" s="8"/>
      <c r="AK127" s="8">
        <v>1</v>
      </c>
      <c r="AL127" s="8">
        <v>1</v>
      </c>
      <c r="AM127" s="138" t="s">
        <v>83</v>
      </c>
      <c r="AN127" s="8">
        <v>1</v>
      </c>
      <c r="AO127" s="8">
        <v>1</v>
      </c>
      <c r="AP127" s="8">
        <v>1</v>
      </c>
    </row>
    <row r="128" spans="1:42">
      <c r="A128" s="118"/>
      <c r="B128" s="8" t="str">
        <f>装备!B128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VLOOKUP(LEFT(RIGHT(B128,5),4),装备!B:CU,2,FALSE)</f>
        <v>幸运星盒</v>
      </c>
      <c r="I128" s="8" t="str">
        <f>VLOOKUP(B128,装备!B:CV,99,FALSE)</f>
        <v>开启后获得|Cffffd24d42~700木头|r或|Cffffd24d随机锦囊卡|r。|n|n|Cff00ff7f掉落时激活的星宿越多，人品越好 |r     </v>
      </c>
      <c r="J128" s="120" t="str">
        <f t="shared" si="40"/>
        <v>幸运星盒</v>
      </c>
      <c r="K128" s="120" t="str">
        <f t="shared" si="41"/>
        <v>开启后获得|Cffffd24d42~700木头|r或|Cffffd24d随机锦囊卡|r。|n|n|Cff00ff7f掉落时激活的星宿越多，人品越好 |r     </v>
      </c>
      <c r="L128" s="8"/>
      <c r="M128" s="121" t="str">
        <f>VLOOKUP(LEFT(RIGHT(B128,5),4),装备!B:CU,20,FALSE)</f>
        <v>ReplaceableTextures\\CommandButtons\\BTNIND1.blp</v>
      </c>
      <c r="N128" s="138" t="s">
        <v>83</v>
      </c>
      <c r="O128" s="121" t="s">
        <v>88</v>
      </c>
      <c r="P128" s="8">
        <v>0</v>
      </c>
      <c r="Q128" s="8">
        <v>0</v>
      </c>
      <c r="R128" s="138" t="s">
        <v>83</v>
      </c>
      <c r="S128" s="138" t="s">
        <v>83</v>
      </c>
      <c r="T128" s="138" t="s">
        <v>83</v>
      </c>
      <c r="U128" s="138" t="s">
        <v>83</v>
      </c>
      <c r="V128" s="8"/>
      <c r="W128" s="8" t="s">
        <v>89</v>
      </c>
      <c r="X128" s="8">
        <v>0</v>
      </c>
      <c r="Y128" s="138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38" t="s">
        <v>83</v>
      </c>
      <c r="AF128" s="138" t="s">
        <v>83</v>
      </c>
      <c r="AG128" s="138" t="s">
        <v>83</v>
      </c>
      <c r="AH128" s="138" t="s">
        <v>83</v>
      </c>
      <c r="AI128" s="8"/>
      <c r="AJ128" s="8"/>
      <c r="AK128" s="8">
        <v>1</v>
      </c>
      <c r="AL128" s="8">
        <v>1</v>
      </c>
      <c r="AM128" s="138" t="s">
        <v>83</v>
      </c>
      <c r="AN128" s="8">
        <v>1</v>
      </c>
      <c r="AO128" s="8">
        <v>1</v>
      </c>
      <c r="AP128" s="8">
        <v>1</v>
      </c>
    </row>
    <row r="129" spans="1:42">
      <c r="A129" s="118"/>
      <c r="B129" s="8" t="str">
        <f>装备!B129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VLOOKUP(LEFT(RIGHT(B129,5),4),装备!B:CU,2,FALSE)</f>
        <v>炽星魔盒</v>
      </c>
      <c r="I129" s="8" t="str">
        <f>VLOOKUP(B129,装备!B:CV,99,FALSE)</f>
        <v>开启后随机获得一张|Cffffd24d锦囊卡|r</v>
      </c>
      <c r="J129" s="120" t="str">
        <f t="shared" si="40"/>
        <v>炽星魔盒</v>
      </c>
      <c r="K129" s="120" t="str">
        <f t="shared" si="41"/>
        <v>开启后随机获得一张|Cffffd24d锦囊卡|r</v>
      </c>
      <c r="L129" s="8"/>
      <c r="M129" s="121" t="str">
        <f>VLOOKUP(LEFT(RIGHT(B129,5),4),装备!B:CU,20,FALSE)</f>
        <v>ReplaceableTextures\\CommandButtons\\BTNIND2.blp</v>
      </c>
      <c r="N129" s="138" t="s">
        <v>83</v>
      </c>
      <c r="O129" s="121" t="s">
        <v>88</v>
      </c>
      <c r="P129" s="8">
        <v>0</v>
      </c>
      <c r="Q129" s="8">
        <v>0</v>
      </c>
      <c r="R129" s="138" t="s">
        <v>83</v>
      </c>
      <c r="S129" s="138" t="s">
        <v>83</v>
      </c>
      <c r="T129" s="138" t="s">
        <v>83</v>
      </c>
      <c r="U129" s="138" t="s">
        <v>83</v>
      </c>
      <c r="V129" s="8"/>
      <c r="W129" s="8" t="s">
        <v>89</v>
      </c>
      <c r="X129" s="8">
        <v>0</v>
      </c>
      <c r="Y129" s="138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38" t="s">
        <v>83</v>
      </c>
      <c r="AF129" s="138" t="s">
        <v>83</v>
      </c>
      <c r="AG129" s="138" t="s">
        <v>83</v>
      </c>
      <c r="AH129" s="138" t="s">
        <v>83</v>
      </c>
      <c r="AI129" s="8"/>
      <c r="AJ129" s="8"/>
      <c r="AK129" s="8">
        <v>1</v>
      </c>
      <c r="AL129" s="8">
        <v>1</v>
      </c>
      <c r="AM129" s="138" t="s">
        <v>83</v>
      </c>
      <c r="AN129" s="8">
        <v>1</v>
      </c>
      <c r="AO129" s="8">
        <v>1</v>
      </c>
      <c r="AP129" s="8">
        <v>1</v>
      </c>
    </row>
    <row r="130" spans="1:42">
      <c r="A130" s="118"/>
      <c r="B130" s="8" t="str">
        <f>装备!B130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VLOOKUP(LEFT(RIGHT(B130,5),4),装备!B:CU,2,FALSE)</f>
        <v>幸运星盒</v>
      </c>
      <c r="I130" s="8" t="str">
        <f>VLOOKUP(B130,装备!B:CV,99,FALSE)</f>
        <v>开启后获得|Cffffd24d42~700木头|r或|Cffffd24d随机锦囊卡|r。|n|n|Cff00ff7f掉落时激活的星宿越多，人品越好 |r     </v>
      </c>
      <c r="J130" s="120" t="str">
        <f t="shared" si="40"/>
        <v>幸运星盒</v>
      </c>
      <c r="K130" s="120" t="str">
        <f t="shared" si="41"/>
        <v>开启后获得|Cffffd24d42~700木头|r或|Cffffd24d随机锦囊卡|r。|n|n|Cff00ff7f掉落时激活的星宿越多，人品越好 |r     </v>
      </c>
      <c r="L130" s="8"/>
      <c r="M130" s="121" t="str">
        <f>VLOOKUP(LEFT(RIGHT(B130,5),4),装备!B:CU,20,FALSE)</f>
        <v>ReplaceableTextures\\CommandButtons\\BTNIND1.blp</v>
      </c>
      <c r="N130" s="138" t="s">
        <v>83</v>
      </c>
      <c r="O130" s="121" t="s">
        <v>88</v>
      </c>
      <c r="P130" s="8">
        <v>0</v>
      </c>
      <c r="Q130" s="8">
        <v>0</v>
      </c>
      <c r="R130" s="138" t="s">
        <v>83</v>
      </c>
      <c r="S130" s="138" t="s">
        <v>83</v>
      </c>
      <c r="T130" s="138" t="s">
        <v>83</v>
      </c>
      <c r="U130" s="138" t="s">
        <v>83</v>
      </c>
      <c r="V130" s="8"/>
      <c r="W130" s="8" t="s">
        <v>89</v>
      </c>
      <c r="X130" s="8">
        <v>0</v>
      </c>
      <c r="Y130" s="138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38" t="s">
        <v>83</v>
      </c>
      <c r="AF130" s="138" t="s">
        <v>83</v>
      </c>
      <c r="AG130" s="138" t="s">
        <v>83</v>
      </c>
      <c r="AH130" s="138" t="s">
        <v>83</v>
      </c>
      <c r="AI130" s="8"/>
      <c r="AJ130" s="8"/>
      <c r="AK130" s="8">
        <v>1</v>
      </c>
      <c r="AL130" s="8">
        <v>1</v>
      </c>
      <c r="AM130" s="138" t="s">
        <v>83</v>
      </c>
      <c r="AN130" s="8">
        <v>1</v>
      </c>
      <c r="AO130" s="8">
        <v>1</v>
      </c>
      <c r="AP130" s="8">
        <v>1</v>
      </c>
    </row>
    <row r="131" spans="1:42">
      <c r="A131" s="118"/>
      <c r="B131" s="8" t="str">
        <f>装备!B131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VLOOKUP(LEFT(RIGHT(B131,5),4),装备!B:CU,2,FALSE)</f>
        <v>幸运星盒</v>
      </c>
      <c r="I131" s="8" t="str">
        <f>VLOOKUP(B131,装备!B:CV,99,FALSE)</f>
        <v>开启后获得|Cffffd24d42~700木头|r或|Cffffd24d随机锦囊卡|r。|n|n|Cff00ff7f掉落时激活的星宿越多，人品越好 |r     </v>
      </c>
      <c r="J131" s="120" t="str">
        <f t="shared" si="40"/>
        <v>幸运星盒</v>
      </c>
      <c r="K131" s="120" t="str">
        <f t="shared" si="41"/>
        <v>开启后获得|Cffffd24d42~700木头|r或|Cffffd24d随机锦囊卡|r。|n|n|Cff00ff7f掉落时激活的星宿越多，人品越好 |r     </v>
      </c>
      <c r="L131" s="8"/>
      <c r="M131" s="121" t="str">
        <f>VLOOKUP(LEFT(RIGHT(B131,5),4),装备!B:CU,20,FALSE)</f>
        <v>ReplaceableTextures\\CommandButtons\\BTNIND1.blp</v>
      </c>
      <c r="N131" s="138" t="s">
        <v>83</v>
      </c>
      <c r="O131" s="121" t="s">
        <v>88</v>
      </c>
      <c r="P131" s="8">
        <v>0</v>
      </c>
      <c r="Q131" s="8">
        <v>0</v>
      </c>
      <c r="R131" s="138" t="s">
        <v>83</v>
      </c>
      <c r="S131" s="138" t="s">
        <v>83</v>
      </c>
      <c r="T131" s="138" t="s">
        <v>83</v>
      </c>
      <c r="U131" s="138" t="s">
        <v>83</v>
      </c>
      <c r="V131" s="8"/>
      <c r="W131" s="8" t="s">
        <v>89</v>
      </c>
      <c r="X131" s="8">
        <v>0</v>
      </c>
      <c r="Y131" s="138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38" t="s">
        <v>83</v>
      </c>
      <c r="AF131" s="138" t="s">
        <v>83</v>
      </c>
      <c r="AG131" s="138" t="s">
        <v>83</v>
      </c>
      <c r="AH131" s="138" t="s">
        <v>83</v>
      </c>
      <c r="AI131" s="8"/>
      <c r="AJ131" s="8"/>
      <c r="AK131" s="8">
        <v>1</v>
      </c>
      <c r="AL131" s="8">
        <v>1</v>
      </c>
      <c r="AM131" s="138" t="s">
        <v>83</v>
      </c>
      <c r="AN131" s="8">
        <v>1</v>
      </c>
      <c r="AO131" s="8">
        <v>1</v>
      </c>
      <c r="AP131" s="8">
        <v>1</v>
      </c>
    </row>
    <row r="132" spans="1:42">
      <c r="A132" s="118"/>
      <c r="B132" s="8" t="str">
        <f>装备!B132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VLOOKUP(LEFT(RIGHT(B132,5),4),装备!B:CU,2,FALSE)</f>
        <v>幸运星盒</v>
      </c>
      <c r="I132" s="8" t="str">
        <f>VLOOKUP(B132,装备!B:CV,99,FALSE)</f>
        <v>开启后获得|Cffffd24d42~700木头|r或|Cffffd24d随机锦囊卡|r。|n|n|Cff00ff7f掉落时激活的星宿越多，人品越好 |r     </v>
      </c>
      <c r="J132" s="120" t="str">
        <f t="shared" ref="J132:J139" si="44">H132</f>
        <v>幸运星盒</v>
      </c>
      <c r="K132" s="120" t="str">
        <f t="shared" ref="K132:K139" si="45">I132</f>
        <v>开启后获得|Cffffd24d42~700木头|r或|Cffffd24d随机锦囊卡|r。|n|n|Cff00ff7f掉落时激活的星宿越多，人品越好 |r     </v>
      </c>
      <c r="L132" s="8"/>
      <c r="M132" s="121" t="str">
        <f>VLOOKUP(LEFT(RIGHT(B132,5),4),装备!B:CU,20,FALSE)</f>
        <v>ReplaceableTextures\\CommandButtons\\BTNIND1.blp</v>
      </c>
      <c r="N132" s="138" t="s">
        <v>83</v>
      </c>
      <c r="O132" s="121" t="s">
        <v>88</v>
      </c>
      <c r="P132" s="8">
        <v>0</v>
      </c>
      <c r="Q132" s="8">
        <v>0</v>
      </c>
      <c r="R132" s="138" t="s">
        <v>83</v>
      </c>
      <c r="S132" s="138" t="s">
        <v>83</v>
      </c>
      <c r="T132" s="138" t="s">
        <v>83</v>
      </c>
      <c r="U132" s="138" t="s">
        <v>83</v>
      </c>
      <c r="V132" s="8"/>
      <c r="W132" s="8" t="s">
        <v>89</v>
      </c>
      <c r="X132" s="8">
        <v>0</v>
      </c>
      <c r="Y132" s="138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38" t="s">
        <v>83</v>
      </c>
      <c r="AF132" s="138" t="s">
        <v>83</v>
      </c>
      <c r="AG132" s="138" t="s">
        <v>83</v>
      </c>
      <c r="AH132" s="138" t="s">
        <v>83</v>
      </c>
      <c r="AI132" s="8"/>
      <c r="AJ132" s="8"/>
      <c r="AK132" s="8">
        <v>1</v>
      </c>
      <c r="AL132" s="8">
        <v>1</v>
      </c>
      <c r="AM132" s="138" t="s">
        <v>83</v>
      </c>
      <c r="AN132" s="8">
        <v>1</v>
      </c>
      <c r="AO132" s="8">
        <v>1</v>
      </c>
      <c r="AP132" s="8">
        <v>1</v>
      </c>
    </row>
    <row r="133" spans="1:42">
      <c r="A133" s="118"/>
      <c r="B133" s="8" t="str">
        <f>装备!B133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VLOOKUP(LEFT(RIGHT(B133,5),4),装备!B:CU,2,FALSE)</f>
        <v>幸运星盒</v>
      </c>
      <c r="I133" s="8" t="str">
        <f>VLOOKUP(B133,装备!B:CV,99,FALSE)</f>
        <v>开启后获得|Cffffd24d42~700木头|r或|Cffffd24d随机锦囊卡|r。|n|n|Cff00ff7f掉落时激活的星宿越多，人品越好 |r     </v>
      </c>
      <c r="J133" s="120" t="str">
        <f t="shared" si="44"/>
        <v>幸运星盒</v>
      </c>
      <c r="K133" s="120" t="str">
        <f t="shared" si="45"/>
        <v>开启后获得|Cffffd24d42~700木头|r或|Cffffd24d随机锦囊卡|r。|n|n|Cff00ff7f掉落时激活的星宿越多，人品越好 |r     </v>
      </c>
      <c r="L133" s="8"/>
      <c r="M133" s="121" t="str">
        <f>VLOOKUP(LEFT(RIGHT(B133,5),4),装备!B:CU,20,FALSE)</f>
        <v>ReplaceableTextures\\CommandButtons\\BTNIND1.blp</v>
      </c>
      <c r="N133" s="138" t="s">
        <v>83</v>
      </c>
      <c r="O133" s="121" t="s">
        <v>88</v>
      </c>
      <c r="P133" s="8">
        <v>0</v>
      </c>
      <c r="Q133" s="8">
        <v>0</v>
      </c>
      <c r="R133" s="138" t="s">
        <v>83</v>
      </c>
      <c r="S133" s="138" t="s">
        <v>83</v>
      </c>
      <c r="T133" s="138" t="s">
        <v>83</v>
      </c>
      <c r="U133" s="138" t="s">
        <v>83</v>
      </c>
      <c r="V133" s="8"/>
      <c r="W133" s="8" t="s">
        <v>89</v>
      </c>
      <c r="X133" s="8">
        <v>0</v>
      </c>
      <c r="Y133" s="138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38" t="s">
        <v>83</v>
      </c>
      <c r="AF133" s="138" t="s">
        <v>83</v>
      </c>
      <c r="AG133" s="138" t="s">
        <v>83</v>
      </c>
      <c r="AH133" s="138" t="s">
        <v>83</v>
      </c>
      <c r="AI133" s="8"/>
      <c r="AJ133" s="8"/>
      <c r="AK133" s="8">
        <v>1</v>
      </c>
      <c r="AL133" s="8">
        <v>1</v>
      </c>
      <c r="AM133" s="138" t="s">
        <v>83</v>
      </c>
      <c r="AN133" s="8">
        <v>1</v>
      </c>
      <c r="AO133" s="8">
        <v>1</v>
      </c>
      <c r="AP133" s="8">
        <v>1</v>
      </c>
    </row>
    <row r="134" spans="1:42">
      <c r="A134" s="118"/>
      <c r="B134" s="8" t="str">
        <f>装备!B134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VLOOKUP(LEFT(RIGHT(B134,5),4),装备!B:CU,2,FALSE)</f>
        <v>幸运星盒</v>
      </c>
      <c r="I134" s="8" t="str">
        <f>VLOOKUP(B134,装备!B:CV,99,FALSE)</f>
        <v>开启后获得|Cffffd24d42~700木头|r或|Cffffd24d随机锦囊卡|r。|n|n|Cff00ff7f掉落时激活的星宿越多，人品越好 |r     </v>
      </c>
      <c r="J134" s="120" t="str">
        <f t="shared" si="44"/>
        <v>幸运星盒</v>
      </c>
      <c r="K134" s="120" t="str">
        <f t="shared" si="45"/>
        <v>开启后获得|Cffffd24d42~700木头|r或|Cffffd24d随机锦囊卡|r。|n|n|Cff00ff7f掉落时激活的星宿越多，人品越好 |r     </v>
      </c>
      <c r="L134" s="8"/>
      <c r="M134" s="121" t="str">
        <f>VLOOKUP(LEFT(RIGHT(B134,5),4),装备!B:CU,20,FALSE)</f>
        <v>ReplaceableTextures\\CommandButtons\\BTNIND1.blp</v>
      </c>
      <c r="N134" s="138" t="s">
        <v>83</v>
      </c>
      <c r="O134" s="121" t="s">
        <v>88</v>
      </c>
      <c r="P134" s="8">
        <v>0</v>
      </c>
      <c r="Q134" s="8">
        <v>0</v>
      </c>
      <c r="R134" s="138" t="s">
        <v>83</v>
      </c>
      <c r="S134" s="138" t="s">
        <v>83</v>
      </c>
      <c r="T134" s="138" t="s">
        <v>83</v>
      </c>
      <c r="U134" s="138" t="s">
        <v>83</v>
      </c>
      <c r="V134" s="8"/>
      <c r="W134" s="8" t="s">
        <v>89</v>
      </c>
      <c r="X134" s="8">
        <v>0</v>
      </c>
      <c r="Y134" s="138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38" t="s">
        <v>83</v>
      </c>
      <c r="AF134" s="138" t="s">
        <v>83</v>
      </c>
      <c r="AG134" s="138" t="s">
        <v>83</v>
      </c>
      <c r="AH134" s="138" t="s">
        <v>83</v>
      </c>
      <c r="AI134" s="8"/>
      <c r="AJ134" s="8"/>
      <c r="AK134" s="8">
        <v>1</v>
      </c>
      <c r="AL134" s="8">
        <v>1</v>
      </c>
      <c r="AM134" s="138" t="s">
        <v>83</v>
      </c>
      <c r="AN134" s="8">
        <v>1</v>
      </c>
      <c r="AO134" s="8">
        <v>1</v>
      </c>
      <c r="AP134" s="8">
        <v>1</v>
      </c>
    </row>
    <row r="135" spans="1:42">
      <c r="A135" s="118"/>
      <c r="B135" s="8" t="str">
        <f>装备!B135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VLOOKUP(LEFT(RIGHT(B135,5),4),装备!B:CU,2,FALSE)</f>
        <v>炽星魔盒</v>
      </c>
      <c r="I135" s="8" t="str">
        <f>VLOOKUP(B135,装备!B:CV,99,FALSE)</f>
        <v>开启后随机获得一张|Cffffd24d锦囊卡|r</v>
      </c>
      <c r="J135" s="120" t="str">
        <f t="shared" si="44"/>
        <v>炽星魔盒</v>
      </c>
      <c r="K135" s="120" t="str">
        <f t="shared" si="45"/>
        <v>开启后随机获得一张|Cffffd24d锦囊卡|r</v>
      </c>
      <c r="L135" s="8"/>
      <c r="M135" s="121" t="str">
        <f>VLOOKUP(LEFT(RIGHT(B135,5),4),装备!B:CU,20,FALSE)</f>
        <v>ReplaceableTextures\\CommandButtons\\BTNIND2.blp</v>
      </c>
      <c r="N135" s="138" t="s">
        <v>83</v>
      </c>
      <c r="O135" s="121" t="s">
        <v>88</v>
      </c>
      <c r="P135" s="8">
        <v>0</v>
      </c>
      <c r="Q135" s="8">
        <v>0</v>
      </c>
      <c r="R135" s="138" t="s">
        <v>83</v>
      </c>
      <c r="S135" s="138" t="s">
        <v>83</v>
      </c>
      <c r="T135" s="138" t="s">
        <v>83</v>
      </c>
      <c r="U135" s="138" t="s">
        <v>83</v>
      </c>
      <c r="V135" s="8"/>
      <c r="W135" s="8" t="s">
        <v>89</v>
      </c>
      <c r="X135" s="8">
        <v>0</v>
      </c>
      <c r="Y135" s="138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38" t="s">
        <v>83</v>
      </c>
      <c r="AF135" s="138" t="s">
        <v>83</v>
      </c>
      <c r="AG135" s="138" t="s">
        <v>83</v>
      </c>
      <c r="AH135" s="138" t="s">
        <v>83</v>
      </c>
      <c r="AI135" s="8"/>
      <c r="AJ135" s="8"/>
      <c r="AK135" s="8">
        <v>1</v>
      </c>
      <c r="AL135" s="8">
        <v>1</v>
      </c>
      <c r="AM135" s="138" t="s">
        <v>83</v>
      </c>
      <c r="AN135" s="8">
        <v>1</v>
      </c>
      <c r="AO135" s="8">
        <v>1</v>
      </c>
      <c r="AP135" s="8">
        <v>1</v>
      </c>
    </row>
    <row r="136" spans="1:42">
      <c r="A136" s="118"/>
      <c r="B136" s="8" t="str">
        <f>装备!B136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VLOOKUP(LEFT(RIGHT(B136,5),4),装备!B:CU,2,FALSE)</f>
        <v>幸运星盒</v>
      </c>
      <c r="I136" s="8" t="str">
        <f>VLOOKUP(B136,装备!B:CV,99,FALSE)</f>
        <v>开启后获得|Cffffd24d42~700木头|r或|Cffffd24d随机锦囊卡|r。|n|n|Cff00ff7f掉落时激活的星宿越多，人品越好 |r     </v>
      </c>
      <c r="J136" s="120" t="str">
        <f t="shared" si="44"/>
        <v>幸运星盒</v>
      </c>
      <c r="K136" s="120" t="str">
        <f t="shared" si="45"/>
        <v>开启后获得|Cffffd24d42~700木头|r或|Cffffd24d随机锦囊卡|r。|n|n|Cff00ff7f掉落时激活的星宿越多，人品越好 |r     </v>
      </c>
      <c r="L136" s="8"/>
      <c r="M136" s="121" t="str">
        <f>VLOOKUP(LEFT(RIGHT(B136,5),4),装备!B:CU,20,FALSE)</f>
        <v>ReplaceableTextures\\CommandButtons\\BTNIND1.blp</v>
      </c>
      <c r="N136" s="138" t="s">
        <v>83</v>
      </c>
      <c r="O136" s="121" t="s">
        <v>88</v>
      </c>
      <c r="P136" s="8">
        <v>0</v>
      </c>
      <c r="Q136" s="8">
        <v>0</v>
      </c>
      <c r="R136" s="138" t="s">
        <v>83</v>
      </c>
      <c r="S136" s="138" t="s">
        <v>83</v>
      </c>
      <c r="T136" s="138" t="s">
        <v>83</v>
      </c>
      <c r="U136" s="138" t="s">
        <v>83</v>
      </c>
      <c r="V136" s="8"/>
      <c r="W136" s="8" t="s">
        <v>89</v>
      </c>
      <c r="X136" s="8">
        <v>0</v>
      </c>
      <c r="Y136" s="138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38" t="s">
        <v>83</v>
      </c>
      <c r="AF136" s="138" t="s">
        <v>83</v>
      </c>
      <c r="AG136" s="138" t="s">
        <v>83</v>
      </c>
      <c r="AH136" s="138" t="s">
        <v>83</v>
      </c>
      <c r="AI136" s="8"/>
      <c r="AJ136" s="8"/>
      <c r="AK136" s="8">
        <v>1</v>
      </c>
      <c r="AL136" s="8">
        <v>1</v>
      </c>
      <c r="AM136" s="138" t="s">
        <v>83</v>
      </c>
      <c r="AN136" s="8">
        <v>1</v>
      </c>
      <c r="AO136" s="8">
        <v>1</v>
      </c>
      <c r="AP136" s="8">
        <v>1</v>
      </c>
    </row>
    <row r="137" spans="1:42">
      <c r="A137" s="118"/>
      <c r="B137" s="8" t="str">
        <f>装备!B137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VLOOKUP(LEFT(RIGHT(B137,5),4),装备!B:CU,2,FALSE)</f>
        <v>幸运星盒</v>
      </c>
      <c r="I137" s="8" t="str">
        <f>VLOOKUP(B137,装备!B:CV,99,FALSE)</f>
        <v>开启后获得|Cffffd24d42~700木头|r或|Cffffd24d随机锦囊卡|r。|n|n|Cff00ff7f掉落时激活的星宿越多，人品越好 |r     </v>
      </c>
      <c r="J137" s="120" t="str">
        <f t="shared" si="44"/>
        <v>幸运星盒</v>
      </c>
      <c r="K137" s="120" t="str">
        <f t="shared" si="45"/>
        <v>开启后获得|Cffffd24d42~700木头|r或|Cffffd24d随机锦囊卡|r。|n|n|Cff00ff7f掉落时激活的星宿越多，人品越好 |r     </v>
      </c>
      <c r="L137" s="8"/>
      <c r="M137" s="121" t="str">
        <f>VLOOKUP(LEFT(RIGHT(B137,5),4),装备!B:CU,20,FALSE)</f>
        <v>ReplaceableTextures\\CommandButtons\\BTNIND1.blp</v>
      </c>
      <c r="N137" s="138" t="s">
        <v>83</v>
      </c>
      <c r="O137" s="121" t="s">
        <v>88</v>
      </c>
      <c r="P137" s="8">
        <v>0</v>
      </c>
      <c r="Q137" s="8">
        <v>0</v>
      </c>
      <c r="R137" s="138" t="s">
        <v>83</v>
      </c>
      <c r="S137" s="138" t="s">
        <v>83</v>
      </c>
      <c r="T137" s="138" t="s">
        <v>83</v>
      </c>
      <c r="U137" s="138" t="s">
        <v>83</v>
      </c>
      <c r="V137" s="8"/>
      <c r="W137" s="8" t="s">
        <v>89</v>
      </c>
      <c r="X137" s="8">
        <v>0</v>
      </c>
      <c r="Y137" s="138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38" t="s">
        <v>83</v>
      </c>
      <c r="AF137" s="138" t="s">
        <v>83</v>
      </c>
      <c r="AG137" s="138" t="s">
        <v>83</v>
      </c>
      <c r="AH137" s="138" t="s">
        <v>83</v>
      </c>
      <c r="AI137" s="8"/>
      <c r="AJ137" s="8"/>
      <c r="AK137" s="8">
        <v>1</v>
      </c>
      <c r="AL137" s="8">
        <v>1</v>
      </c>
      <c r="AM137" s="138" t="s">
        <v>83</v>
      </c>
      <c r="AN137" s="8">
        <v>1</v>
      </c>
      <c r="AO137" s="8">
        <v>1</v>
      </c>
      <c r="AP137" s="8">
        <v>1</v>
      </c>
    </row>
    <row r="138" spans="1:42">
      <c r="A138" s="118"/>
      <c r="B138" s="8" t="str">
        <f>装备!B138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VLOOKUP(LEFT(RIGHT(B138,5),4),装备!B:CU,2,FALSE)</f>
        <v>幸运星盒</v>
      </c>
      <c r="I138" s="8" t="str">
        <f>VLOOKUP(B138,装备!B:CV,99,FALSE)</f>
        <v>开启后获得|Cffffd24d42~700木头|r或|Cffffd24d随机锦囊卡|r。|n|n|Cff00ff7f掉落时激活的星宿越多，人品越好 |r     </v>
      </c>
      <c r="J138" s="120" t="str">
        <f t="shared" si="44"/>
        <v>幸运星盒</v>
      </c>
      <c r="K138" s="120" t="str">
        <f t="shared" si="45"/>
        <v>开启后获得|Cffffd24d42~700木头|r或|Cffffd24d随机锦囊卡|r。|n|n|Cff00ff7f掉落时激活的星宿越多，人品越好 |r     </v>
      </c>
      <c r="L138" s="8"/>
      <c r="M138" s="121" t="str">
        <f>VLOOKUP(LEFT(RIGHT(B138,5),4),装备!B:CU,20,FALSE)</f>
        <v>ReplaceableTextures\\CommandButtons\\BTNIND1.blp</v>
      </c>
      <c r="N138" s="138" t="s">
        <v>83</v>
      </c>
      <c r="O138" s="121" t="s">
        <v>88</v>
      </c>
      <c r="P138" s="8">
        <v>0</v>
      </c>
      <c r="Q138" s="8">
        <v>0</v>
      </c>
      <c r="R138" s="138" t="s">
        <v>83</v>
      </c>
      <c r="S138" s="138" t="s">
        <v>83</v>
      </c>
      <c r="T138" s="138" t="s">
        <v>83</v>
      </c>
      <c r="U138" s="138" t="s">
        <v>83</v>
      </c>
      <c r="V138" s="8"/>
      <c r="W138" s="8" t="s">
        <v>89</v>
      </c>
      <c r="X138" s="8">
        <v>0</v>
      </c>
      <c r="Y138" s="138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38" t="s">
        <v>83</v>
      </c>
      <c r="AF138" s="138" t="s">
        <v>83</v>
      </c>
      <c r="AG138" s="138" t="s">
        <v>83</v>
      </c>
      <c r="AH138" s="138" t="s">
        <v>83</v>
      </c>
      <c r="AI138" s="8"/>
      <c r="AJ138" s="8"/>
      <c r="AK138" s="8">
        <v>1</v>
      </c>
      <c r="AL138" s="8">
        <v>1</v>
      </c>
      <c r="AM138" s="138" t="s">
        <v>83</v>
      </c>
      <c r="AN138" s="8">
        <v>1</v>
      </c>
      <c r="AO138" s="8">
        <v>1</v>
      </c>
      <c r="AP138" s="8">
        <v>1</v>
      </c>
    </row>
    <row r="139" spans="1:42">
      <c r="A139" s="118"/>
      <c r="B139" s="8" t="str">
        <f>装备!B139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VLOOKUP(LEFT(RIGHT(B139,5),4),装备!B:CU,2,FALSE)</f>
        <v>幸运星盒</v>
      </c>
      <c r="I139" s="8" t="str">
        <f>VLOOKUP(B139,装备!B:CV,99,FALSE)</f>
        <v>开启后获得|Cffffd24d42~700木头|r或|Cffffd24d随机锦囊卡|r。|n|n|Cff00ff7f掉落时激活的星宿越多，人品越好 |r     </v>
      </c>
      <c r="J139" s="120" t="str">
        <f t="shared" si="44"/>
        <v>幸运星盒</v>
      </c>
      <c r="K139" s="120" t="str">
        <f t="shared" si="45"/>
        <v>开启后获得|Cffffd24d42~700木头|r或|Cffffd24d随机锦囊卡|r。|n|n|Cff00ff7f掉落时激活的星宿越多，人品越好 |r     </v>
      </c>
      <c r="L139" s="8"/>
      <c r="M139" s="121" t="str">
        <f>VLOOKUP(LEFT(RIGHT(B139,5),4),装备!B:CU,20,FALSE)</f>
        <v>ReplaceableTextures\\CommandButtons\\BTNIND1.blp</v>
      </c>
      <c r="N139" s="138" t="s">
        <v>83</v>
      </c>
      <c r="O139" s="121" t="s">
        <v>88</v>
      </c>
      <c r="P139" s="8">
        <v>0</v>
      </c>
      <c r="Q139" s="8">
        <v>0</v>
      </c>
      <c r="R139" s="138" t="s">
        <v>83</v>
      </c>
      <c r="S139" s="138" t="s">
        <v>83</v>
      </c>
      <c r="T139" s="138" t="s">
        <v>83</v>
      </c>
      <c r="U139" s="138" t="s">
        <v>83</v>
      </c>
      <c r="V139" s="8"/>
      <c r="W139" s="8" t="s">
        <v>89</v>
      </c>
      <c r="X139" s="8">
        <v>0</v>
      </c>
      <c r="Y139" s="138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38" t="s">
        <v>83</v>
      </c>
      <c r="AF139" s="138" t="s">
        <v>83</v>
      </c>
      <c r="AG139" s="138" t="s">
        <v>83</v>
      </c>
      <c r="AH139" s="138" t="s">
        <v>83</v>
      </c>
      <c r="AI139" s="8"/>
      <c r="AJ139" s="8"/>
      <c r="AK139" s="8">
        <v>1</v>
      </c>
      <c r="AL139" s="8">
        <v>1</v>
      </c>
      <c r="AM139" s="138" t="s">
        <v>83</v>
      </c>
      <c r="AN139" s="8">
        <v>1</v>
      </c>
      <c r="AO139" s="8">
        <v>1</v>
      </c>
      <c r="AP139" s="8">
        <v>1</v>
      </c>
    </row>
    <row r="140" spans="1:42">
      <c r="A140" s="118"/>
      <c r="B140" s="8" t="str">
        <f>装备!B140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VLOOKUP(LEFT(RIGHT(B140,5),4),装备!B:CU,2,FALSE)</f>
        <v>幸运星盒</v>
      </c>
      <c r="I140" s="8" t="str">
        <f>VLOOKUP(B140,装备!B:CV,99,FALSE)</f>
        <v>开启后获得|Cffffd24d42~700木头|r或|Cffffd24d随机锦囊卡|r。|n|n|Cff00ff7f掉落时激活的星宿越多，人品越好 |r     </v>
      </c>
      <c r="J140" s="120" t="str">
        <f t="shared" si="40"/>
        <v>幸运星盒</v>
      </c>
      <c r="K140" s="120" t="str">
        <f t="shared" si="41"/>
        <v>开启后获得|Cffffd24d42~700木头|r或|Cffffd24d随机锦囊卡|r。|n|n|Cff00ff7f掉落时激活的星宿越多，人品越好 |r     </v>
      </c>
      <c r="L140" s="8"/>
      <c r="M140" s="121" t="str">
        <f>VLOOKUP(LEFT(RIGHT(B140,5),4),装备!B:CU,20,FALSE)</f>
        <v>ReplaceableTextures\\CommandButtons\\BTNIND1.blp</v>
      </c>
      <c r="N140" s="138" t="s">
        <v>83</v>
      </c>
      <c r="O140" s="121" t="s">
        <v>88</v>
      </c>
      <c r="P140" s="8">
        <v>0</v>
      </c>
      <c r="Q140" s="8">
        <v>0</v>
      </c>
      <c r="R140" s="138" t="s">
        <v>83</v>
      </c>
      <c r="S140" s="138" t="s">
        <v>83</v>
      </c>
      <c r="T140" s="138" t="s">
        <v>83</v>
      </c>
      <c r="U140" s="138" t="s">
        <v>83</v>
      </c>
      <c r="V140" s="8"/>
      <c r="W140" s="8" t="s">
        <v>89</v>
      </c>
      <c r="X140" s="8">
        <v>0</v>
      </c>
      <c r="Y140" s="138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38" t="s">
        <v>83</v>
      </c>
      <c r="AF140" s="138" t="s">
        <v>83</v>
      </c>
      <c r="AG140" s="138" t="s">
        <v>83</v>
      </c>
      <c r="AH140" s="138" t="s">
        <v>83</v>
      </c>
      <c r="AI140" s="8"/>
      <c r="AJ140" s="8"/>
      <c r="AK140" s="8">
        <v>1</v>
      </c>
      <c r="AL140" s="8">
        <v>1</v>
      </c>
      <c r="AM140" s="138" t="s">
        <v>83</v>
      </c>
      <c r="AN140" s="8">
        <v>1</v>
      </c>
      <c r="AO140" s="8">
        <v>1</v>
      </c>
      <c r="AP140" s="8">
        <v>1</v>
      </c>
    </row>
    <row r="141" spans="1:42">
      <c r="A141" s="118"/>
      <c r="B141" s="8" t="str">
        <f>装备!B141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VLOOKUP(LEFT(RIGHT(B141,5),4),装备!B:CU,2,FALSE)</f>
        <v>炽星魔盒</v>
      </c>
      <c r="I141" s="8" t="str">
        <f>VLOOKUP(B141,装备!B:CV,99,FALSE)</f>
        <v>开启后随机获得一张|Cffffd24d锦囊卡|r</v>
      </c>
      <c r="J141" s="120" t="str">
        <f t="shared" si="40"/>
        <v>炽星魔盒</v>
      </c>
      <c r="K141" s="120" t="str">
        <f t="shared" si="41"/>
        <v>开启后随机获得一张|Cffffd24d锦囊卡|r</v>
      </c>
      <c r="L141" s="8"/>
      <c r="M141" s="121" t="str">
        <f>VLOOKUP(LEFT(RIGHT(B141,5),4),装备!B:CU,20,FALSE)</f>
        <v>ReplaceableTextures\\CommandButtons\\BTNIND2.blp</v>
      </c>
      <c r="N141" s="138" t="s">
        <v>83</v>
      </c>
      <c r="O141" s="121" t="s">
        <v>88</v>
      </c>
      <c r="P141" s="8">
        <v>0</v>
      </c>
      <c r="Q141" s="8">
        <v>0</v>
      </c>
      <c r="R141" s="138" t="s">
        <v>83</v>
      </c>
      <c r="S141" s="138" t="s">
        <v>83</v>
      </c>
      <c r="T141" s="138" t="s">
        <v>83</v>
      </c>
      <c r="U141" s="138" t="s">
        <v>83</v>
      </c>
      <c r="V141" s="8"/>
      <c r="W141" s="8" t="s">
        <v>89</v>
      </c>
      <c r="X141" s="8">
        <v>0</v>
      </c>
      <c r="Y141" s="138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38" t="s">
        <v>83</v>
      </c>
      <c r="AF141" s="138" t="s">
        <v>83</v>
      </c>
      <c r="AG141" s="138" t="s">
        <v>83</v>
      </c>
      <c r="AH141" s="138" t="s">
        <v>83</v>
      </c>
      <c r="AI141" s="8"/>
      <c r="AJ141" s="8"/>
      <c r="AK141" s="8">
        <v>1</v>
      </c>
      <c r="AL141" s="8">
        <v>1</v>
      </c>
      <c r="AM141" s="138" t="s">
        <v>83</v>
      </c>
      <c r="AN141" s="8">
        <v>1</v>
      </c>
      <c r="AO141" s="8">
        <v>1</v>
      </c>
      <c r="AP141" s="8">
        <v>1</v>
      </c>
    </row>
    <row r="142" spans="1:42">
      <c r="A142" s="118"/>
      <c r="B142" s="8" t="str">
        <f>装备!B142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VLOOKUP(LEFT(RIGHT(B142,5),4),装备!B:CU,2,FALSE)</f>
        <v>幸运星盒</v>
      </c>
      <c r="I142" s="8" t="str">
        <f>VLOOKUP(B142,装备!B:CV,99,FALSE)</f>
        <v>开启后获得|Cffffd24d42~700木头|r或|Cffffd24d随机锦囊卡|r。|n|n|Cff00ff7f掉落时激活的星宿越多，人品越好 |r     </v>
      </c>
      <c r="J142" s="120" t="str">
        <f t="shared" ref="J142:J143" si="46">H142</f>
        <v>幸运星盒</v>
      </c>
      <c r="K142" s="120" t="str">
        <f t="shared" ref="K142:K143" si="47">I142</f>
        <v>开启后获得|Cffffd24d42~700木头|r或|Cffffd24d随机锦囊卡|r。|n|n|Cff00ff7f掉落时激活的星宿越多，人品越好 |r     </v>
      </c>
      <c r="L142" s="8"/>
      <c r="M142" s="121" t="str">
        <f>VLOOKUP(LEFT(RIGHT(B142,5),4),装备!B:CU,20,FALSE)</f>
        <v>ReplaceableTextures\\CommandButtons\\BTNIND1.blp</v>
      </c>
      <c r="N142" s="138" t="s">
        <v>83</v>
      </c>
      <c r="O142" s="121" t="s">
        <v>88</v>
      </c>
      <c r="P142" s="8">
        <v>0</v>
      </c>
      <c r="Q142" s="8">
        <v>0</v>
      </c>
      <c r="R142" s="138" t="s">
        <v>83</v>
      </c>
      <c r="S142" s="138" t="s">
        <v>83</v>
      </c>
      <c r="T142" s="138" t="s">
        <v>83</v>
      </c>
      <c r="U142" s="138" t="s">
        <v>83</v>
      </c>
      <c r="V142" s="8"/>
      <c r="W142" s="8" t="s">
        <v>89</v>
      </c>
      <c r="X142" s="8">
        <v>0</v>
      </c>
      <c r="Y142" s="138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38" t="s">
        <v>83</v>
      </c>
      <c r="AF142" s="138" t="s">
        <v>83</v>
      </c>
      <c r="AG142" s="138" t="s">
        <v>83</v>
      </c>
      <c r="AH142" s="138" t="s">
        <v>83</v>
      </c>
      <c r="AI142" s="8"/>
      <c r="AJ142" s="8"/>
      <c r="AK142" s="8">
        <v>1</v>
      </c>
      <c r="AL142" s="8">
        <v>1</v>
      </c>
      <c r="AM142" s="138" t="s">
        <v>83</v>
      </c>
      <c r="AN142" s="8">
        <v>1</v>
      </c>
      <c r="AO142" s="8">
        <v>1</v>
      </c>
      <c r="AP142" s="8">
        <v>1</v>
      </c>
    </row>
    <row r="143" spans="1:42">
      <c r="A143" s="118"/>
      <c r="B143" s="8" t="str">
        <f>装备!B143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VLOOKUP(LEFT(RIGHT(B143,5),4),装备!B:CU,2,FALSE)</f>
        <v>幸运星盒</v>
      </c>
      <c r="I143" s="8" t="str">
        <f>VLOOKUP(B143,装备!B:CV,99,FALSE)</f>
        <v>开启后获得|Cffffd24d42~700木头|r或|Cffffd24d随机锦囊卡|r。|n|n|Cff00ff7f掉落时激活的星宿越多，人品越好 |r     </v>
      </c>
      <c r="J143" s="120" t="str">
        <f t="shared" si="46"/>
        <v>幸运星盒</v>
      </c>
      <c r="K143" s="120" t="str">
        <f t="shared" si="47"/>
        <v>开启后获得|Cffffd24d42~700木头|r或|Cffffd24d随机锦囊卡|r。|n|n|Cff00ff7f掉落时激活的星宿越多，人品越好 |r     </v>
      </c>
      <c r="L143" s="8"/>
      <c r="M143" s="121" t="str">
        <f>VLOOKUP(LEFT(RIGHT(B143,5),4),装备!B:CU,20,FALSE)</f>
        <v>ReplaceableTextures\\CommandButtons\\BTNIND1.blp</v>
      </c>
      <c r="N143" s="138" t="s">
        <v>83</v>
      </c>
      <c r="O143" s="121" t="s">
        <v>88</v>
      </c>
      <c r="P143" s="8">
        <v>0</v>
      </c>
      <c r="Q143" s="8">
        <v>0</v>
      </c>
      <c r="R143" s="138" t="s">
        <v>83</v>
      </c>
      <c r="S143" s="138" t="s">
        <v>83</v>
      </c>
      <c r="T143" s="138" t="s">
        <v>83</v>
      </c>
      <c r="U143" s="138" t="s">
        <v>83</v>
      </c>
      <c r="V143" s="8"/>
      <c r="W143" s="8" t="s">
        <v>89</v>
      </c>
      <c r="X143" s="8">
        <v>0</v>
      </c>
      <c r="Y143" s="138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38" t="s">
        <v>83</v>
      </c>
      <c r="AF143" s="138" t="s">
        <v>83</v>
      </c>
      <c r="AG143" s="138" t="s">
        <v>83</v>
      </c>
      <c r="AH143" s="138" t="s">
        <v>83</v>
      </c>
      <c r="AI143" s="8"/>
      <c r="AJ143" s="8"/>
      <c r="AK143" s="8">
        <v>1</v>
      </c>
      <c r="AL143" s="8">
        <v>1</v>
      </c>
      <c r="AM143" s="138" t="s">
        <v>83</v>
      </c>
      <c r="AN143" s="8">
        <v>1</v>
      </c>
      <c r="AO143" s="8">
        <v>1</v>
      </c>
      <c r="AP143" s="8">
        <v>1</v>
      </c>
    </row>
    <row r="144" spans="1:42">
      <c r="A144" s="118"/>
      <c r="B144" s="8" t="str">
        <f>装备!B144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VLOOKUP(LEFT(RIGHT(B144,5),4),装备!B:CU,2,FALSE)</f>
        <v>幸运星盒</v>
      </c>
      <c r="I144" s="8" t="str">
        <f>VLOOKUP(B144,装备!B:CV,99,FALSE)</f>
        <v>开启后获得|Cffffd24d42~700木头|r或|Cffffd24d随机锦囊卡|r。|n|n|Cff00ff7f掉落时激活的星宿越多，人品越好 |r     </v>
      </c>
      <c r="J144" s="120" t="str">
        <f t="shared" ref="J144:J145" si="48">H144</f>
        <v>幸运星盒</v>
      </c>
      <c r="K144" s="120" t="str">
        <f t="shared" ref="K144:K145" si="49">I144</f>
        <v>开启后获得|Cffffd24d42~700木头|r或|Cffffd24d随机锦囊卡|r。|n|n|Cff00ff7f掉落时激活的星宿越多，人品越好 |r     </v>
      </c>
      <c r="L144" s="8"/>
      <c r="M144" s="121" t="str">
        <f>VLOOKUP(LEFT(RIGHT(B144,5),4),装备!B:CU,20,FALSE)</f>
        <v>ReplaceableTextures\\CommandButtons\\BTNIND1.blp</v>
      </c>
      <c r="N144" s="138" t="s">
        <v>83</v>
      </c>
      <c r="O144" s="121" t="s">
        <v>88</v>
      </c>
      <c r="P144" s="8">
        <v>0</v>
      </c>
      <c r="Q144" s="8">
        <v>0</v>
      </c>
      <c r="R144" s="138" t="s">
        <v>83</v>
      </c>
      <c r="S144" s="138" t="s">
        <v>83</v>
      </c>
      <c r="T144" s="138" t="s">
        <v>83</v>
      </c>
      <c r="U144" s="138" t="s">
        <v>83</v>
      </c>
      <c r="V144" s="8"/>
      <c r="W144" s="8" t="s">
        <v>89</v>
      </c>
      <c r="X144" s="8">
        <v>0</v>
      </c>
      <c r="Y144" s="138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38" t="s">
        <v>83</v>
      </c>
      <c r="AF144" s="138" t="s">
        <v>83</v>
      </c>
      <c r="AG144" s="138" t="s">
        <v>83</v>
      </c>
      <c r="AH144" s="138" t="s">
        <v>83</v>
      </c>
      <c r="AI144" s="8"/>
      <c r="AJ144" s="8"/>
      <c r="AK144" s="8">
        <v>1</v>
      </c>
      <c r="AL144" s="8">
        <v>1</v>
      </c>
      <c r="AM144" s="138" t="s">
        <v>83</v>
      </c>
      <c r="AN144" s="8">
        <v>1</v>
      </c>
      <c r="AO144" s="8">
        <v>1</v>
      </c>
      <c r="AP144" s="8">
        <v>1</v>
      </c>
    </row>
    <row r="145" spans="1:42">
      <c r="A145" s="118"/>
      <c r="B145" s="8" t="str">
        <f>装备!B145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VLOOKUP(LEFT(RIGHT(B145,5),4),装备!B:CU,2,FALSE)</f>
        <v>幸运星盒</v>
      </c>
      <c r="I145" s="8" t="str">
        <f>VLOOKUP(B145,装备!B:CV,99,FALSE)</f>
        <v>开启后获得|Cffffd24d42~700木头|r或|Cffffd24d随机锦囊卡|r。|n|n|Cff00ff7f掉落时激活的星宿越多，人品越好 |r     </v>
      </c>
      <c r="J145" s="120" t="str">
        <f t="shared" si="48"/>
        <v>幸运星盒</v>
      </c>
      <c r="K145" s="120" t="str">
        <f t="shared" si="49"/>
        <v>开启后获得|Cffffd24d42~700木头|r或|Cffffd24d随机锦囊卡|r。|n|n|Cff00ff7f掉落时激活的星宿越多，人品越好 |r     </v>
      </c>
      <c r="L145" s="8"/>
      <c r="M145" s="121" t="str">
        <f>VLOOKUP(LEFT(RIGHT(B145,5),4),装备!B:CU,20,FALSE)</f>
        <v>ReplaceableTextures\\CommandButtons\\BTNIND1.blp</v>
      </c>
      <c r="N145" s="138" t="s">
        <v>83</v>
      </c>
      <c r="O145" s="121" t="s">
        <v>88</v>
      </c>
      <c r="P145" s="8">
        <v>0</v>
      </c>
      <c r="Q145" s="8">
        <v>0</v>
      </c>
      <c r="R145" s="138" t="s">
        <v>83</v>
      </c>
      <c r="S145" s="138" t="s">
        <v>83</v>
      </c>
      <c r="T145" s="138" t="s">
        <v>83</v>
      </c>
      <c r="U145" s="138" t="s">
        <v>83</v>
      </c>
      <c r="V145" s="8"/>
      <c r="W145" s="8" t="s">
        <v>89</v>
      </c>
      <c r="X145" s="8">
        <v>0</v>
      </c>
      <c r="Y145" s="138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38" t="s">
        <v>83</v>
      </c>
      <c r="AF145" s="138" t="s">
        <v>83</v>
      </c>
      <c r="AG145" s="138" t="s">
        <v>83</v>
      </c>
      <c r="AH145" s="138" t="s">
        <v>83</v>
      </c>
      <c r="AI145" s="8"/>
      <c r="AJ145" s="8"/>
      <c r="AK145" s="8">
        <v>1</v>
      </c>
      <c r="AL145" s="8">
        <v>1</v>
      </c>
      <c r="AM145" s="138" t="s">
        <v>83</v>
      </c>
      <c r="AN145" s="8">
        <v>1</v>
      </c>
      <c r="AO145" s="8">
        <v>1</v>
      </c>
      <c r="AP145" s="8">
        <v>1</v>
      </c>
    </row>
    <row r="146" spans="1:42">
      <c r="A146" s="118"/>
      <c r="B146" s="8" t="str">
        <f>装备!B146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VLOOKUP(LEFT(RIGHT(B146,5),4),装备!B:CU,2,FALSE)</f>
        <v>幸运星盒</v>
      </c>
      <c r="I146" s="8" t="str">
        <f>VLOOKUP(B146,装备!B:CV,99,FALSE)</f>
        <v>开启后获得|Cffffd24d42~700木头|r或|Cffffd24d随机锦囊卡|r。|n|n|Cff00ff7f掉落时激活的星宿越多，人品越好 |r     </v>
      </c>
      <c r="J146" s="120" t="str">
        <f t="shared" si="40"/>
        <v>幸运星盒</v>
      </c>
      <c r="K146" s="120" t="str">
        <f t="shared" si="41"/>
        <v>开启后获得|Cffffd24d42~700木头|r或|Cffffd24d随机锦囊卡|r。|n|n|Cff00ff7f掉落时激活的星宿越多，人品越好 |r     </v>
      </c>
      <c r="L146" s="8"/>
      <c r="M146" s="121" t="str">
        <f>VLOOKUP(LEFT(RIGHT(B146,5),4),装备!B:CU,20,FALSE)</f>
        <v>ReplaceableTextures\\CommandButtons\\BTNIND1.blp</v>
      </c>
      <c r="N146" s="138" t="s">
        <v>83</v>
      </c>
      <c r="O146" s="121" t="s">
        <v>88</v>
      </c>
      <c r="P146" s="8">
        <v>0</v>
      </c>
      <c r="Q146" s="8">
        <v>0</v>
      </c>
      <c r="R146" s="138" t="s">
        <v>83</v>
      </c>
      <c r="S146" s="138" t="s">
        <v>83</v>
      </c>
      <c r="T146" s="138" t="s">
        <v>83</v>
      </c>
      <c r="U146" s="138" t="s">
        <v>83</v>
      </c>
      <c r="V146" s="8"/>
      <c r="W146" s="8" t="s">
        <v>89</v>
      </c>
      <c r="X146" s="8">
        <v>0</v>
      </c>
      <c r="Y146" s="138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38" t="s">
        <v>83</v>
      </c>
      <c r="AF146" s="138" t="s">
        <v>83</v>
      </c>
      <c r="AG146" s="138" t="s">
        <v>83</v>
      </c>
      <c r="AH146" s="138" t="s">
        <v>83</v>
      </c>
      <c r="AI146" s="8"/>
      <c r="AJ146" s="8"/>
      <c r="AK146" s="8">
        <v>1</v>
      </c>
      <c r="AL146" s="8">
        <v>1</v>
      </c>
      <c r="AM146" s="138" t="s">
        <v>83</v>
      </c>
      <c r="AN146" s="8">
        <v>1</v>
      </c>
      <c r="AO146" s="8">
        <v>1</v>
      </c>
      <c r="AP146" s="8">
        <v>1</v>
      </c>
    </row>
    <row r="147" spans="1:42">
      <c r="A147" s="118"/>
      <c r="B147" s="8" t="str">
        <f>装备!B147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VLOOKUP(LEFT(RIGHT(B147,5),4),装备!B:CU,2,FALSE)</f>
        <v>炽星魔盒</v>
      </c>
      <c r="I147" s="8" t="str">
        <f>VLOOKUP(B147,装备!B:CV,99,FALSE)</f>
        <v>开启后随机获得一张|Cffffd24d锦囊卡|r</v>
      </c>
      <c r="J147" s="120" t="str">
        <f t="shared" ref="J147" si="50">H147</f>
        <v>炽星魔盒</v>
      </c>
      <c r="K147" s="120" t="str">
        <f t="shared" ref="K147" si="51">I147</f>
        <v>开启后随机获得一张|Cffffd24d锦囊卡|r</v>
      </c>
      <c r="L147" s="8"/>
      <c r="M147" s="121" t="str">
        <f>VLOOKUP(LEFT(RIGHT(B147,5),4),装备!B:CU,20,FALSE)</f>
        <v>ReplaceableTextures\\CommandButtons\\BTNIND2.blp</v>
      </c>
      <c r="N147" s="138" t="s">
        <v>83</v>
      </c>
      <c r="O147" s="121" t="s">
        <v>88</v>
      </c>
      <c r="P147" s="8">
        <v>0</v>
      </c>
      <c r="Q147" s="8">
        <v>0</v>
      </c>
      <c r="R147" s="138" t="s">
        <v>83</v>
      </c>
      <c r="S147" s="138" t="s">
        <v>83</v>
      </c>
      <c r="T147" s="138" t="s">
        <v>83</v>
      </c>
      <c r="U147" s="138" t="s">
        <v>83</v>
      </c>
      <c r="V147" s="8"/>
      <c r="W147" s="8" t="s">
        <v>89</v>
      </c>
      <c r="X147" s="8">
        <v>0</v>
      </c>
      <c r="Y147" s="138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38" t="s">
        <v>83</v>
      </c>
      <c r="AF147" s="138" t="s">
        <v>83</v>
      </c>
      <c r="AG147" s="138" t="s">
        <v>83</v>
      </c>
      <c r="AH147" s="138" t="s">
        <v>83</v>
      </c>
      <c r="AI147" s="8"/>
      <c r="AJ147" s="8"/>
      <c r="AK147" s="8">
        <v>1</v>
      </c>
      <c r="AL147" s="8">
        <v>1</v>
      </c>
      <c r="AM147" s="138" t="s">
        <v>83</v>
      </c>
      <c r="AN147" s="8">
        <v>1</v>
      </c>
      <c r="AO147" s="8">
        <v>1</v>
      </c>
      <c r="AP147" s="8">
        <v>1</v>
      </c>
    </row>
    <row r="148" spans="1:42">
      <c r="A148" s="118"/>
      <c r="B148" s="8" t="str">
        <f>装备!B148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VLOOKUP(LEFT(RIGHT(B148,5),4),装备!B:CU,2,FALSE)</f>
        <v>锦囊</v>
      </c>
      <c r="I148" s="8" t="str">
        <f>VLOOKUP(B148,装备!B:CV,99,FALSE)</f>
        <v>开出一个随机锦囊</v>
      </c>
      <c r="J148" s="120" t="str">
        <f t="shared" si="40"/>
        <v>锦囊</v>
      </c>
      <c r="K148" s="120" t="str">
        <f t="shared" si="41"/>
        <v>开出一个随机锦囊</v>
      </c>
      <c r="L148" s="8"/>
      <c r="M148" s="121" t="str">
        <f>VLOOKUP(LEFT(RIGHT(B148,5),4),装备!B:CU,20,FALSE)</f>
        <v>ReplaceableTextures\\CommandButtons\\BTNIN00.blp</v>
      </c>
      <c r="N148" s="138" t="s">
        <v>83</v>
      </c>
      <c r="O148" s="121" t="s">
        <v>88</v>
      </c>
      <c r="P148" s="8">
        <v>0</v>
      </c>
      <c r="Q148" s="8">
        <v>0</v>
      </c>
      <c r="R148" s="138" t="s">
        <v>83</v>
      </c>
      <c r="S148" s="138" t="s">
        <v>83</v>
      </c>
      <c r="T148" s="138" t="s">
        <v>83</v>
      </c>
      <c r="U148" s="138" t="s">
        <v>83</v>
      </c>
      <c r="V148" s="8"/>
      <c r="W148" s="8" t="s">
        <v>89</v>
      </c>
      <c r="X148" s="8">
        <v>0</v>
      </c>
      <c r="Y148" s="138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38" t="s">
        <v>83</v>
      </c>
      <c r="AF148" s="138" t="s">
        <v>83</v>
      </c>
      <c r="AG148" s="138" t="s">
        <v>83</v>
      </c>
      <c r="AH148" s="138" t="s">
        <v>83</v>
      </c>
      <c r="AI148" s="8"/>
      <c r="AJ148" s="8"/>
      <c r="AK148" s="8">
        <v>1</v>
      </c>
      <c r="AL148" s="8">
        <v>1</v>
      </c>
      <c r="AM148" s="138" t="s">
        <v>83</v>
      </c>
      <c r="AN148" s="8">
        <v>1</v>
      </c>
      <c r="AO148" s="8">
        <v>1</v>
      </c>
      <c r="AP148" s="8">
        <v>1</v>
      </c>
    </row>
    <row r="149" spans="1:42">
      <c r="A149" s="118"/>
      <c r="B149" s="8" t="str">
        <f>装备!B149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VLOOKUP(LEFT(RIGHT(B149,5),4),装备!B:CU,2,FALSE)</f>
        <v>快乐刷Q</v>
      </c>
      <c r="I149" s="8" t="str">
        <f>VLOOKUP(B149,装备!B:CV,99,FALSE)</f>
        <v>为|Cffffd24d当前的Q技能|r附魔随机效果。|n|n|Cff00ff7f替换技能后，附魔效果消失。|r</v>
      </c>
      <c r="J149" s="120" t="str">
        <f t="shared" si="40"/>
        <v>快乐刷Q</v>
      </c>
      <c r="K149" s="120" t="str">
        <f t="shared" si="41"/>
        <v>为|Cffffd24d当前的Q技能|r附魔随机效果。|n|n|Cff00ff7f替换技能后，附魔效果消失。|r</v>
      </c>
      <c r="L149" s="8"/>
      <c r="M149" s="121" t="str">
        <f>VLOOKUP(LEFT(RIGHT(B149,5),4),装备!B:CU,20,FALSE)</f>
        <v>ReplaceableTextures\\CommandButtons\\BTNIN01.blp</v>
      </c>
      <c r="N149" s="138" t="s">
        <v>83</v>
      </c>
      <c r="O149" s="121" t="s">
        <v>88</v>
      </c>
      <c r="P149" s="8">
        <v>0</v>
      </c>
      <c r="Q149" s="8">
        <v>0</v>
      </c>
      <c r="R149" s="138" t="s">
        <v>83</v>
      </c>
      <c r="S149" s="138" t="s">
        <v>83</v>
      </c>
      <c r="T149" s="138" t="s">
        <v>83</v>
      </c>
      <c r="U149" s="138" t="s">
        <v>83</v>
      </c>
      <c r="V149" s="8"/>
      <c r="W149" s="8" t="s">
        <v>89</v>
      </c>
      <c r="X149" s="8">
        <v>0</v>
      </c>
      <c r="Y149" s="138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38" t="s">
        <v>83</v>
      </c>
      <c r="AF149" s="138" t="s">
        <v>83</v>
      </c>
      <c r="AG149" s="138" t="s">
        <v>83</v>
      </c>
      <c r="AH149" s="138" t="s">
        <v>83</v>
      </c>
      <c r="AI149" s="8"/>
      <c r="AJ149" s="8"/>
      <c r="AK149" s="8">
        <v>1</v>
      </c>
      <c r="AL149" s="8">
        <v>1</v>
      </c>
      <c r="AM149" s="138" t="s">
        <v>83</v>
      </c>
      <c r="AN149" s="8">
        <v>1</v>
      </c>
      <c r="AO149" s="8">
        <v>1</v>
      </c>
      <c r="AP149" s="8">
        <v>1</v>
      </c>
    </row>
    <row r="150" spans="1:42">
      <c r="A150" s="118"/>
      <c r="B150" s="8" t="str">
        <f>装备!B150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VLOOKUP(LEFT(RIGHT(B150,5),4),装备!B:CU,2,FALSE)</f>
        <v>快乐刷W</v>
      </c>
      <c r="I150" s="8" t="str">
        <f>VLOOKUP(B150,装备!B:CV,99,FALSE)</f>
        <v>为|Cffffd24d当前的W技能|r附魔随机效果。|n|n|Cff00ff7f替换技能后，附魔效果消失。|r</v>
      </c>
      <c r="J150" s="120" t="str">
        <f t="shared" si="40"/>
        <v>快乐刷W</v>
      </c>
      <c r="K150" s="120" t="str">
        <f t="shared" si="41"/>
        <v>为|Cffffd24d当前的W技能|r附魔随机效果。|n|n|Cff00ff7f替换技能后，附魔效果消失。|r</v>
      </c>
      <c r="L150" s="8"/>
      <c r="M150" s="121" t="str">
        <f>VLOOKUP(LEFT(RIGHT(B150,5),4),装备!B:CU,20,FALSE)</f>
        <v>ReplaceableTextures\\CommandButtons\\BTNIN02.blp</v>
      </c>
      <c r="N150" s="138" t="s">
        <v>83</v>
      </c>
      <c r="O150" s="121" t="s">
        <v>88</v>
      </c>
      <c r="P150" s="8">
        <v>0</v>
      </c>
      <c r="Q150" s="8">
        <v>0</v>
      </c>
      <c r="R150" s="138" t="s">
        <v>83</v>
      </c>
      <c r="S150" s="138" t="s">
        <v>83</v>
      </c>
      <c r="T150" s="138" t="s">
        <v>83</v>
      </c>
      <c r="U150" s="138" t="s">
        <v>83</v>
      </c>
      <c r="V150" s="8"/>
      <c r="W150" s="8" t="s">
        <v>89</v>
      </c>
      <c r="X150" s="8">
        <v>0</v>
      </c>
      <c r="Y150" s="138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38" t="s">
        <v>83</v>
      </c>
      <c r="AF150" s="138" t="s">
        <v>83</v>
      </c>
      <c r="AG150" s="138" t="s">
        <v>83</v>
      </c>
      <c r="AH150" s="138" t="s">
        <v>83</v>
      </c>
      <c r="AI150" s="8"/>
      <c r="AJ150" s="8"/>
      <c r="AK150" s="8">
        <v>1</v>
      </c>
      <c r="AL150" s="8">
        <v>1</v>
      </c>
      <c r="AM150" s="138" t="s">
        <v>83</v>
      </c>
      <c r="AN150" s="8">
        <v>1</v>
      </c>
      <c r="AO150" s="8">
        <v>1</v>
      </c>
      <c r="AP150" s="8">
        <v>1</v>
      </c>
    </row>
    <row r="151" spans="1:42">
      <c r="A151" s="118"/>
      <c r="B151" s="8" t="str">
        <f>装备!B151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VLOOKUP(LEFT(RIGHT(B151,5),4),装备!B:CU,2,FALSE)</f>
        <v>快乐刷E</v>
      </c>
      <c r="I151" s="8" t="str">
        <f>VLOOKUP(B151,装备!B:CV,99,FALSE)</f>
        <v>为|Cffffd24d当前的E技能|r附魔随机效果。|n|n|Cff00ff7f替换技能后，附魔效果消失。|r</v>
      </c>
      <c r="J151" s="120" t="str">
        <f t="shared" ref="J151:J158" si="52">H151</f>
        <v>快乐刷E</v>
      </c>
      <c r="K151" s="120" t="str">
        <f t="shared" ref="K151:K158" si="53">I151</f>
        <v>为|Cffffd24d当前的E技能|r附魔随机效果。|n|n|Cff00ff7f替换技能后，附魔效果消失。|r</v>
      </c>
      <c r="L151" s="8"/>
      <c r="M151" s="121" t="str">
        <f>VLOOKUP(LEFT(RIGHT(B151,5),4),装备!B:CU,20,FALSE)</f>
        <v>ReplaceableTextures\\CommandButtons\\BTNIN03.blp</v>
      </c>
      <c r="N151" s="138" t="s">
        <v>83</v>
      </c>
      <c r="O151" s="121" t="s">
        <v>88</v>
      </c>
      <c r="P151" s="8">
        <v>0</v>
      </c>
      <c r="Q151" s="8">
        <v>0</v>
      </c>
      <c r="R151" s="138" t="s">
        <v>83</v>
      </c>
      <c r="S151" s="138" t="s">
        <v>83</v>
      </c>
      <c r="T151" s="138" t="s">
        <v>83</v>
      </c>
      <c r="U151" s="138" t="s">
        <v>83</v>
      </c>
      <c r="V151" s="8"/>
      <c r="W151" s="8" t="s">
        <v>89</v>
      </c>
      <c r="X151" s="8">
        <v>0</v>
      </c>
      <c r="Y151" s="138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38" t="s">
        <v>83</v>
      </c>
      <c r="AF151" s="138" t="s">
        <v>83</v>
      </c>
      <c r="AG151" s="138" t="s">
        <v>83</v>
      </c>
      <c r="AH151" s="138" t="s">
        <v>83</v>
      </c>
      <c r="AI151" s="8"/>
      <c r="AJ151" s="8"/>
      <c r="AK151" s="8">
        <v>1</v>
      </c>
      <c r="AL151" s="8">
        <v>1</v>
      </c>
      <c r="AM151" s="138" t="s">
        <v>83</v>
      </c>
      <c r="AN151" s="8">
        <v>1</v>
      </c>
      <c r="AO151" s="8">
        <v>1</v>
      </c>
      <c r="AP151" s="8">
        <v>1</v>
      </c>
    </row>
    <row r="152" spans="1:42">
      <c r="A152" s="118"/>
      <c r="B152" s="8" t="str">
        <f>装备!B152</f>
        <v>IN04</v>
      </c>
      <c r="C152" s="8" t="s">
        <v>41</v>
      </c>
      <c r="D152" s="8" t="s">
        <v>81</v>
      </c>
      <c r="E152" s="8" t="s">
        <v>91</v>
      </c>
      <c r="F152" s="8"/>
      <c r="G152" s="8"/>
      <c r="H152" s="8" t="str">
        <f>VLOOKUP(LEFT(RIGHT(B152,5),4),装备!B:CU,2,FALSE)</f>
        <v>九重锻神丹</v>
      </c>
      <c r="I152" s="8" t="str">
        <f>VLOOKUP(B152,装备!B:CV,99,FALSE)</f>
        <v>秒杀|Cffffc926雷神化身|n|n|r|Cff00ff7f雷神化身：|n|r渡劫NPC-九重锻神劫Boss</v>
      </c>
      <c r="J152" s="120" t="str">
        <f t="shared" ref="J152:J155" si="54">H152</f>
        <v>九重锻神丹</v>
      </c>
      <c r="K152" s="120" t="str">
        <f t="shared" ref="K152:K155" si="55">I152</f>
        <v>秒杀|Cffffc926雷神化身|n|n|r|Cff00ff7f雷神化身：|n|r渡劫NPC-九重锻神劫Boss</v>
      </c>
      <c r="L152" s="8"/>
      <c r="M152" s="121" t="str">
        <f>VLOOKUP(LEFT(RIGHT(B152,5),4),装备!B:CU,20,FALSE)</f>
        <v>ReplaceableTextures\\CommandButtons\\BTNIN04.blp</v>
      </c>
      <c r="N152" s="138" t="s">
        <v>83</v>
      </c>
      <c r="O152" s="121" t="s">
        <v>88</v>
      </c>
      <c r="P152" s="8">
        <v>0</v>
      </c>
      <c r="Q152" s="8">
        <v>0</v>
      </c>
      <c r="R152" s="138" t="s">
        <v>83</v>
      </c>
      <c r="S152" s="138" t="s">
        <v>83</v>
      </c>
      <c r="T152" s="138" t="s">
        <v>83</v>
      </c>
      <c r="U152" s="138" t="s">
        <v>83</v>
      </c>
      <c r="V152" s="8"/>
      <c r="W152" s="8" t="s">
        <v>89</v>
      </c>
      <c r="X152" s="8">
        <v>0</v>
      </c>
      <c r="Y152" s="138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38" t="s">
        <v>83</v>
      </c>
      <c r="AF152" s="138" t="s">
        <v>83</v>
      </c>
      <c r="AG152" s="138" t="s">
        <v>83</v>
      </c>
      <c r="AH152" s="138" t="s">
        <v>83</v>
      </c>
      <c r="AI152" s="8"/>
      <c r="AJ152" s="8"/>
      <c r="AK152" s="8">
        <v>1</v>
      </c>
      <c r="AL152" s="8">
        <v>1</v>
      </c>
      <c r="AM152" s="138" t="s">
        <v>83</v>
      </c>
      <c r="AN152" s="8">
        <v>1</v>
      </c>
      <c r="AO152" s="8">
        <v>1</v>
      </c>
      <c r="AP152" s="8">
        <v>1</v>
      </c>
    </row>
    <row r="153" spans="1:42">
      <c r="A153" s="118"/>
      <c r="B153" s="8" t="str">
        <f>装备!B153</f>
        <v>IN05</v>
      </c>
      <c r="C153" s="8" t="s">
        <v>41</v>
      </c>
      <c r="D153" s="8" t="s">
        <v>81</v>
      </c>
      <c r="E153" s="8" t="s">
        <v>92</v>
      </c>
      <c r="F153" s="8"/>
      <c r="G153" s="8"/>
      <c r="H153" s="8" t="str">
        <f>VLOOKUP(LEFT(RIGHT(B153,5),4),装备!B:CU,2,FALSE)</f>
        <v>灭魄血煞丹</v>
      </c>
      <c r="I153" s="8" t="str">
        <f>VLOOKUP(B153,装备!B:CV,99,FALSE)</f>
        <v>秒杀|Cffffc926灾厄|n|n|r|Cff00ff7f灾厄：|n|r渡劫NPC-灭魄血煞劫Boss</v>
      </c>
      <c r="J153" s="120" t="str">
        <f t="shared" si="54"/>
        <v>灭魄血煞丹</v>
      </c>
      <c r="K153" s="120" t="str">
        <f t="shared" si="55"/>
        <v>秒杀|Cffffc926灾厄|n|n|r|Cff00ff7f灾厄：|n|r渡劫NPC-灭魄血煞劫Boss</v>
      </c>
      <c r="L153" s="8"/>
      <c r="M153" s="121" t="str">
        <f>VLOOKUP(LEFT(RIGHT(B153,5),4),装备!B:CU,20,FALSE)</f>
        <v>ReplaceableTextures\\CommandButtons\\BTNIN05.blp</v>
      </c>
      <c r="N153" s="138" t="s">
        <v>83</v>
      </c>
      <c r="O153" s="121" t="s">
        <v>88</v>
      </c>
      <c r="P153" s="8">
        <v>0</v>
      </c>
      <c r="Q153" s="8">
        <v>0</v>
      </c>
      <c r="R153" s="138" t="s">
        <v>83</v>
      </c>
      <c r="S153" s="138" t="s">
        <v>83</v>
      </c>
      <c r="T153" s="138" t="s">
        <v>83</v>
      </c>
      <c r="U153" s="138" t="s">
        <v>83</v>
      </c>
      <c r="V153" s="8"/>
      <c r="W153" s="8" t="s">
        <v>89</v>
      </c>
      <c r="X153" s="8">
        <v>0</v>
      </c>
      <c r="Y153" s="138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38" t="s">
        <v>83</v>
      </c>
      <c r="AF153" s="138" t="s">
        <v>83</v>
      </c>
      <c r="AG153" s="138" t="s">
        <v>83</v>
      </c>
      <c r="AH153" s="138" t="s">
        <v>83</v>
      </c>
      <c r="AI153" s="8"/>
      <c r="AJ153" s="8"/>
      <c r="AK153" s="8">
        <v>1</v>
      </c>
      <c r="AL153" s="8">
        <v>1</v>
      </c>
      <c r="AM153" s="138" t="s">
        <v>83</v>
      </c>
      <c r="AN153" s="8">
        <v>1</v>
      </c>
      <c r="AO153" s="8">
        <v>1</v>
      </c>
      <c r="AP153" s="8">
        <v>1</v>
      </c>
    </row>
    <row r="154" spans="1:42">
      <c r="A154" s="118"/>
      <c r="B154" s="8" t="str">
        <f>装备!B154</f>
        <v>IN06</v>
      </c>
      <c r="C154" s="8" t="s">
        <v>41</v>
      </c>
      <c r="D154" s="8" t="s">
        <v>81</v>
      </c>
      <c r="E154" s="8" t="s">
        <v>93</v>
      </c>
      <c r="F154" s="8"/>
      <c r="G154" s="8"/>
      <c r="H154" s="8" t="str">
        <f>VLOOKUP(LEFT(RIGHT(B154,5),4),装备!B:CU,2,FALSE)</f>
        <v>入微洞虚丹</v>
      </c>
      <c r="I154" s="8" t="str">
        <f>VLOOKUP(B154,装备!B:CV,99,FALSE)</f>
        <v>秒杀|Cffffc926芥子魔|n|n|r|Cff00ff7f芥子魔：|n|r渡劫NPC-入微洞虚劫Boss</v>
      </c>
      <c r="J154" s="120" t="str">
        <f t="shared" si="54"/>
        <v>入微洞虚丹</v>
      </c>
      <c r="K154" s="120" t="str">
        <f t="shared" si="55"/>
        <v>秒杀|Cffffc926芥子魔|n|n|r|Cff00ff7f芥子魔：|n|r渡劫NPC-入微洞虚劫Boss</v>
      </c>
      <c r="L154" s="8"/>
      <c r="M154" s="121" t="str">
        <f>VLOOKUP(LEFT(RIGHT(B154,5),4),装备!B:CU,20,FALSE)</f>
        <v>ReplaceableTextures\\CommandButtons\\BTNIN06.blp</v>
      </c>
      <c r="N154" s="138" t="s">
        <v>83</v>
      </c>
      <c r="O154" s="121" t="s">
        <v>88</v>
      </c>
      <c r="P154" s="8">
        <v>0</v>
      </c>
      <c r="Q154" s="8">
        <v>0</v>
      </c>
      <c r="R154" s="138" t="s">
        <v>83</v>
      </c>
      <c r="S154" s="138" t="s">
        <v>83</v>
      </c>
      <c r="T154" s="138" t="s">
        <v>83</v>
      </c>
      <c r="U154" s="138" t="s">
        <v>83</v>
      </c>
      <c r="V154" s="8"/>
      <c r="W154" s="8" t="s">
        <v>89</v>
      </c>
      <c r="X154" s="8">
        <v>0</v>
      </c>
      <c r="Y154" s="138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38" t="s">
        <v>83</v>
      </c>
      <c r="AF154" s="138" t="s">
        <v>83</v>
      </c>
      <c r="AG154" s="138" t="s">
        <v>83</v>
      </c>
      <c r="AH154" s="138" t="s">
        <v>83</v>
      </c>
      <c r="AI154" s="8"/>
      <c r="AJ154" s="8"/>
      <c r="AK154" s="8">
        <v>1</v>
      </c>
      <c r="AL154" s="8">
        <v>1</v>
      </c>
      <c r="AM154" s="138" t="s">
        <v>83</v>
      </c>
      <c r="AN154" s="8">
        <v>1</v>
      </c>
      <c r="AO154" s="8">
        <v>1</v>
      </c>
      <c r="AP154" s="8">
        <v>1</v>
      </c>
    </row>
    <row r="155" spans="1:42">
      <c r="A155" s="118"/>
      <c r="B155" s="8" t="str">
        <f>装备!B155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VLOOKUP(LEFT(RIGHT(B155,5),4),装备!B:CU,2,FALSE)</f>
        <v>来份快餐</v>
      </c>
      <c r="I155" s="8" t="str">
        <f>VLOOKUP(B155,装备!B:CV,99,FALSE)</f>
        <v>每秒回复|Cffffc92630%|r生命值，持续|Cffffc9266|r秒</v>
      </c>
      <c r="J155" s="120" t="str">
        <f t="shared" si="54"/>
        <v>来份快餐</v>
      </c>
      <c r="K155" s="120" t="str">
        <f t="shared" si="55"/>
        <v>每秒回复|Cffffc92630%|r生命值，持续|Cffffc9266|r秒</v>
      </c>
      <c r="L155" s="8"/>
      <c r="M155" s="121" t="str">
        <f>VLOOKUP(LEFT(RIGHT(B155,5),4),装备!B:CU,20,FALSE)</f>
        <v>ReplaceableTextures\\CommandButtons\\BTNIN07.blp</v>
      </c>
      <c r="N155" s="138" t="s">
        <v>83</v>
      </c>
      <c r="O155" s="121" t="s">
        <v>88</v>
      </c>
      <c r="P155" s="8">
        <v>0</v>
      </c>
      <c r="Q155" s="8">
        <v>0</v>
      </c>
      <c r="R155" s="138" t="s">
        <v>83</v>
      </c>
      <c r="S155" s="138" t="s">
        <v>83</v>
      </c>
      <c r="T155" s="138" t="s">
        <v>83</v>
      </c>
      <c r="U155" s="138" t="s">
        <v>83</v>
      </c>
      <c r="V155" s="8"/>
      <c r="W155" s="8" t="s">
        <v>89</v>
      </c>
      <c r="X155" s="8">
        <v>0</v>
      </c>
      <c r="Y155" s="138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38" t="s">
        <v>83</v>
      </c>
      <c r="AF155" s="138" t="s">
        <v>83</v>
      </c>
      <c r="AG155" s="138" t="s">
        <v>83</v>
      </c>
      <c r="AH155" s="138" t="s">
        <v>83</v>
      </c>
      <c r="AI155" s="8"/>
      <c r="AJ155" s="8"/>
      <c r="AK155" s="8">
        <v>1</v>
      </c>
      <c r="AL155" s="8">
        <v>1</v>
      </c>
      <c r="AM155" s="138" t="s">
        <v>83</v>
      </c>
      <c r="AN155" s="8">
        <v>1</v>
      </c>
      <c r="AO155" s="8">
        <v>1</v>
      </c>
      <c r="AP155" s="8">
        <v>1</v>
      </c>
    </row>
    <row r="156" spans="1:42">
      <c r="A156" s="118"/>
      <c r="B156" s="8" t="str">
        <f>装备!B156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VLOOKUP(LEFT(RIGHT(B156,5),4),装备!B:CU,2,FALSE)</f>
        <v>抬你一手</v>
      </c>
      <c r="I156" s="8" t="str">
        <f>VLOOKUP(B156,装备!B:CV,99,FALSE)</f>
        <v>|CffFFC926击杀|r当前存在的|Cffffc926进攻怪|r和|Cffffc926Boss|r。|n|n|Cff00ff7f无法在大决战时使用|r</v>
      </c>
      <c r="J156" s="120" t="str">
        <f t="shared" si="52"/>
        <v>抬你一手</v>
      </c>
      <c r="K156" s="120" t="str">
        <f t="shared" si="53"/>
        <v>|CffFFC926击杀|r当前存在的|Cffffc926进攻怪|r和|Cffffc926Boss|r。|n|n|Cff00ff7f无法在大决战时使用|r</v>
      </c>
      <c r="L156" s="8"/>
      <c r="M156" s="121" t="str">
        <f>VLOOKUP(LEFT(RIGHT(B156,5),4),装备!B:CU,20,FALSE)</f>
        <v>ReplaceableTextures\\CommandButtons\\BTNIN08.blp</v>
      </c>
      <c r="N156" s="138" t="s">
        <v>83</v>
      </c>
      <c r="O156" s="121" t="s">
        <v>88</v>
      </c>
      <c r="P156" s="8">
        <v>0</v>
      </c>
      <c r="Q156" s="8">
        <v>0</v>
      </c>
      <c r="R156" s="138" t="s">
        <v>83</v>
      </c>
      <c r="S156" s="138" t="s">
        <v>83</v>
      </c>
      <c r="T156" s="138" t="s">
        <v>83</v>
      </c>
      <c r="U156" s="138" t="s">
        <v>83</v>
      </c>
      <c r="V156" s="8"/>
      <c r="W156" s="8" t="s">
        <v>89</v>
      </c>
      <c r="X156" s="8">
        <v>0</v>
      </c>
      <c r="Y156" s="138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38" t="s">
        <v>83</v>
      </c>
      <c r="AF156" s="138" t="s">
        <v>83</v>
      </c>
      <c r="AG156" s="138" t="s">
        <v>83</v>
      </c>
      <c r="AH156" s="138" t="s">
        <v>83</v>
      </c>
      <c r="AI156" s="8"/>
      <c r="AJ156" s="8"/>
      <c r="AK156" s="8">
        <v>1</v>
      </c>
      <c r="AL156" s="8">
        <v>1</v>
      </c>
      <c r="AM156" s="138" t="s">
        <v>83</v>
      </c>
      <c r="AN156" s="8">
        <v>1</v>
      </c>
      <c r="AO156" s="8">
        <v>1</v>
      </c>
      <c r="AP156" s="8">
        <v>1</v>
      </c>
    </row>
    <row r="157" spans="1:42">
      <c r="A157" s="118"/>
      <c r="B157" s="8" t="str">
        <f>装备!B157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VLOOKUP(LEFT(RIGHT(B157,5),4),装备!B:CU,2,FALSE)</f>
        <v>我刷一会</v>
      </c>
      <c r="I157" s="8" t="str">
        <f>VLOOKUP(B157,装备!B:CV,99,FALSE)</f>
        <v>暂停|Cffffc926场上已存在的进攻怪|r10秒</v>
      </c>
      <c r="J157" s="120" t="str">
        <f t="shared" si="52"/>
        <v>我刷一会</v>
      </c>
      <c r="K157" s="120" t="str">
        <f t="shared" si="53"/>
        <v>暂停|Cffffc926场上已存在的进攻怪|r10秒</v>
      </c>
      <c r="L157" s="8"/>
      <c r="M157" s="121" t="str">
        <f>VLOOKUP(LEFT(RIGHT(B157,5),4),装备!B:CU,20,FALSE)</f>
        <v>ReplaceableTextures\\CommandButtons\\BTNIN09.blp</v>
      </c>
      <c r="N157" s="138" t="s">
        <v>83</v>
      </c>
      <c r="O157" s="121" t="s">
        <v>88</v>
      </c>
      <c r="P157" s="8">
        <v>0</v>
      </c>
      <c r="Q157" s="8">
        <v>0</v>
      </c>
      <c r="R157" s="138" t="s">
        <v>83</v>
      </c>
      <c r="S157" s="138" t="s">
        <v>83</v>
      </c>
      <c r="T157" s="138" t="s">
        <v>83</v>
      </c>
      <c r="U157" s="138" t="s">
        <v>83</v>
      </c>
      <c r="V157" s="8"/>
      <c r="W157" s="8" t="s">
        <v>89</v>
      </c>
      <c r="X157" s="8">
        <v>0</v>
      </c>
      <c r="Y157" s="138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38" t="s">
        <v>83</v>
      </c>
      <c r="AF157" s="138" t="s">
        <v>83</v>
      </c>
      <c r="AG157" s="138" t="s">
        <v>83</v>
      </c>
      <c r="AH157" s="138" t="s">
        <v>83</v>
      </c>
      <c r="AI157" s="8"/>
      <c r="AJ157" s="8"/>
      <c r="AK157" s="8">
        <v>1</v>
      </c>
      <c r="AL157" s="8">
        <v>1</v>
      </c>
      <c r="AM157" s="138" t="s">
        <v>83</v>
      </c>
      <c r="AN157" s="8">
        <v>1</v>
      </c>
      <c r="AO157" s="8">
        <v>1</v>
      </c>
      <c r="AP157" s="8">
        <v>1</v>
      </c>
    </row>
    <row r="158" spans="1:42">
      <c r="A158" s="118"/>
      <c r="B158" s="8" t="str">
        <f>装备!B158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VLOOKUP(LEFT(RIGHT(B158,5),4),装备!B:CU,2,FALSE)</f>
        <v>我再刷会</v>
      </c>
      <c r="I158" s="8" t="str">
        <f>VLOOKUP(B158,装备!B:CV,99,FALSE)</f>
        <v>暂停场上|Cffffc926已存在的进攻怪|r20秒</v>
      </c>
      <c r="J158" s="120" t="str">
        <f t="shared" si="52"/>
        <v>我再刷会</v>
      </c>
      <c r="K158" s="120" t="str">
        <f t="shared" si="53"/>
        <v>暂停场上|Cffffc926已存在的进攻怪|r20秒</v>
      </c>
      <c r="L158" s="8"/>
      <c r="M158" s="121" t="str">
        <f>VLOOKUP(LEFT(RIGHT(B158,5),4),装备!B:CU,20,FALSE)</f>
        <v>ReplaceableTextures\\CommandButtons\\BTNIN10.blp</v>
      </c>
      <c r="N158" s="138" t="s">
        <v>83</v>
      </c>
      <c r="O158" s="121" t="s">
        <v>88</v>
      </c>
      <c r="P158" s="8">
        <v>0</v>
      </c>
      <c r="Q158" s="8">
        <v>0</v>
      </c>
      <c r="R158" s="138" t="s">
        <v>83</v>
      </c>
      <c r="S158" s="138" t="s">
        <v>83</v>
      </c>
      <c r="T158" s="138" t="s">
        <v>83</v>
      </c>
      <c r="U158" s="138" t="s">
        <v>83</v>
      </c>
      <c r="V158" s="8"/>
      <c r="W158" s="8" t="s">
        <v>89</v>
      </c>
      <c r="X158" s="8">
        <v>0</v>
      </c>
      <c r="Y158" s="138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38" t="s">
        <v>83</v>
      </c>
      <c r="AF158" s="138" t="s">
        <v>83</v>
      </c>
      <c r="AG158" s="138" t="s">
        <v>83</v>
      </c>
      <c r="AH158" s="138" t="s">
        <v>83</v>
      </c>
      <c r="AI158" s="8"/>
      <c r="AJ158" s="8"/>
      <c r="AK158" s="8">
        <v>1</v>
      </c>
      <c r="AL158" s="8">
        <v>1</v>
      </c>
      <c r="AM158" s="138" t="s">
        <v>83</v>
      </c>
      <c r="AN158" s="8">
        <v>1</v>
      </c>
      <c r="AO158" s="8">
        <v>1</v>
      </c>
      <c r="AP158" s="8">
        <v>1</v>
      </c>
    </row>
    <row r="159" spans="1:42">
      <c r="A159" s="118"/>
      <c r="B159" s="8" t="str">
        <f>装备!B159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VLOOKUP(LEFT(RIGHT(B159,5),4),装备!B:CU,2,FALSE)</f>
        <v>奥里给Lo他</v>
      </c>
      <c r="I159" s="8" t="str">
        <f>VLOOKUP(B159,装备!B:CV,99,FALSE)</f>
        <v>|CffFFC9265|r秒内提高|Cffffc926300%|r伤害加成</v>
      </c>
      <c r="J159" s="120" t="str">
        <f t="shared" ref="J159:J165" si="56">H159</f>
        <v>奥里给Lo他</v>
      </c>
      <c r="K159" s="120" t="str">
        <f t="shared" ref="K159:K165" si="57">I159</f>
        <v>|CffFFC9265|r秒内提高|Cffffc926300%|r伤害加成</v>
      </c>
      <c r="L159" s="8"/>
      <c r="M159" s="121" t="str">
        <f>VLOOKUP(LEFT(RIGHT(B159,5),4),装备!B:CU,20,FALSE)</f>
        <v>ReplaceableTextures\\CommandButtons\\BTNIN11.blp</v>
      </c>
      <c r="N159" s="138" t="s">
        <v>83</v>
      </c>
      <c r="O159" s="121" t="s">
        <v>88</v>
      </c>
      <c r="P159" s="8">
        <v>0</v>
      </c>
      <c r="Q159" s="8">
        <v>0</v>
      </c>
      <c r="R159" s="138" t="s">
        <v>83</v>
      </c>
      <c r="S159" s="138" t="s">
        <v>83</v>
      </c>
      <c r="T159" s="138" t="s">
        <v>83</v>
      </c>
      <c r="U159" s="138" t="s">
        <v>83</v>
      </c>
      <c r="V159" s="8"/>
      <c r="W159" s="8" t="s">
        <v>89</v>
      </c>
      <c r="X159" s="8">
        <v>0</v>
      </c>
      <c r="Y159" s="138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38" t="s">
        <v>83</v>
      </c>
      <c r="AF159" s="138" t="s">
        <v>83</v>
      </c>
      <c r="AG159" s="138" t="s">
        <v>83</v>
      </c>
      <c r="AH159" s="138" t="s">
        <v>83</v>
      </c>
      <c r="AI159" s="8"/>
      <c r="AJ159" s="8"/>
      <c r="AK159" s="8">
        <v>1</v>
      </c>
      <c r="AL159" s="8">
        <v>1</v>
      </c>
      <c r="AM159" s="138" t="s">
        <v>83</v>
      </c>
      <c r="AN159" s="8">
        <v>1</v>
      </c>
      <c r="AO159" s="8">
        <v>1</v>
      </c>
      <c r="AP159" s="8">
        <v>1</v>
      </c>
    </row>
    <row r="160" spans="1:42">
      <c r="A160" s="118"/>
      <c r="B160" s="8" t="str">
        <f>装备!B160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VLOOKUP(LEFT(RIGHT(B160,5),4),装备!B:CU,2,FALSE)</f>
        <v>钱有点多</v>
      </c>
      <c r="I160" s="8" t="str">
        <f>VLOOKUP(B160,装备!B:CV,99,FALSE)</f>
        <v>获得|Cffffc92620000|r金币</v>
      </c>
      <c r="J160" s="120" t="str">
        <f t="shared" si="56"/>
        <v>钱有点多</v>
      </c>
      <c r="K160" s="120" t="str">
        <f t="shared" si="57"/>
        <v>获得|Cffffc92620000|r金币</v>
      </c>
      <c r="L160" s="8"/>
      <c r="M160" s="121" t="str">
        <f>VLOOKUP(LEFT(RIGHT(B160,5),4),装备!B:CU,20,FALSE)</f>
        <v>ReplaceableTextures\\CommandButtons\\BTNIN12.blp</v>
      </c>
      <c r="N160" s="138" t="s">
        <v>83</v>
      </c>
      <c r="O160" s="121" t="s">
        <v>88</v>
      </c>
      <c r="P160" s="8">
        <v>0</v>
      </c>
      <c r="Q160" s="8">
        <v>0</v>
      </c>
      <c r="R160" s="138" t="s">
        <v>83</v>
      </c>
      <c r="S160" s="138" t="s">
        <v>83</v>
      </c>
      <c r="T160" s="138" t="s">
        <v>83</v>
      </c>
      <c r="U160" s="138" t="s">
        <v>83</v>
      </c>
      <c r="V160" s="8"/>
      <c r="W160" s="8" t="s">
        <v>89</v>
      </c>
      <c r="X160" s="8">
        <v>0</v>
      </c>
      <c r="Y160" s="138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38" t="s">
        <v>83</v>
      </c>
      <c r="AF160" s="138" t="s">
        <v>83</v>
      </c>
      <c r="AG160" s="138" t="s">
        <v>83</v>
      </c>
      <c r="AH160" s="138" t="s">
        <v>83</v>
      </c>
      <c r="AI160" s="8"/>
      <c r="AJ160" s="8"/>
      <c r="AK160" s="8">
        <v>1</v>
      </c>
      <c r="AL160" s="8">
        <v>1</v>
      </c>
      <c r="AM160" s="138" t="s">
        <v>83</v>
      </c>
      <c r="AN160" s="8">
        <v>1</v>
      </c>
      <c r="AO160" s="8">
        <v>1</v>
      </c>
      <c r="AP160" s="8">
        <v>1</v>
      </c>
    </row>
    <row r="161" spans="1:42">
      <c r="A161" s="118"/>
      <c r="B161" s="8" t="str">
        <f>装备!B161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VLOOKUP(LEFT(RIGHT(B161,5),4),装备!B:CU,2,FALSE)</f>
        <v>钱有点少</v>
      </c>
      <c r="I161" s="8" t="str">
        <f>VLOOKUP(B161,装备!B:CV,99,FALSE)</f>
        <v>获得|Cffffc9262000|r金币</v>
      </c>
      <c r="J161" s="120" t="str">
        <f t="shared" si="56"/>
        <v>钱有点少</v>
      </c>
      <c r="K161" s="120" t="str">
        <f t="shared" si="57"/>
        <v>获得|Cffffc9262000|r金币</v>
      </c>
      <c r="L161" s="8"/>
      <c r="M161" s="121" t="str">
        <f>VLOOKUP(LEFT(RIGHT(B161,5),4),装备!B:CU,20,FALSE)</f>
        <v>ReplaceableTextures\\CommandButtons\\BTNIN13.blp</v>
      </c>
      <c r="N161" s="138" t="s">
        <v>83</v>
      </c>
      <c r="O161" s="121" t="s">
        <v>88</v>
      </c>
      <c r="P161" s="8">
        <v>0</v>
      </c>
      <c r="Q161" s="8">
        <v>0</v>
      </c>
      <c r="R161" s="138" t="s">
        <v>83</v>
      </c>
      <c r="S161" s="138" t="s">
        <v>83</v>
      </c>
      <c r="T161" s="138" t="s">
        <v>83</v>
      </c>
      <c r="U161" s="138" t="s">
        <v>83</v>
      </c>
      <c r="V161" s="8"/>
      <c r="W161" s="8" t="s">
        <v>89</v>
      </c>
      <c r="X161" s="8">
        <v>0</v>
      </c>
      <c r="Y161" s="138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38" t="s">
        <v>83</v>
      </c>
      <c r="AF161" s="138" t="s">
        <v>83</v>
      </c>
      <c r="AG161" s="138" t="s">
        <v>83</v>
      </c>
      <c r="AH161" s="138" t="s">
        <v>83</v>
      </c>
      <c r="AI161" s="8"/>
      <c r="AJ161" s="8"/>
      <c r="AK161" s="8">
        <v>1</v>
      </c>
      <c r="AL161" s="8">
        <v>1</v>
      </c>
      <c r="AM161" s="138" t="s">
        <v>83</v>
      </c>
      <c r="AN161" s="8">
        <v>1</v>
      </c>
      <c r="AO161" s="8">
        <v>1</v>
      </c>
      <c r="AP161" s="8">
        <v>1</v>
      </c>
    </row>
    <row r="162" spans="1:42">
      <c r="A162" s="118"/>
      <c r="B162" s="8" t="str">
        <f>装备!B162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VLOOKUP(LEFT(RIGHT(B162,5),4),装备!B:CU,2,FALSE)</f>
        <v>精准预判</v>
      </c>
      <c r="I162" s="8" t="str">
        <f>VLOOKUP(B162,装备!B:CV,99,FALSE)</f>
        <v>若使用后|Cffffc9265|r秒内|Cffffc926基地濒死|r，则击杀其600码范围内所有生物。|n|n|Cff00ff7f不分敌我|r</v>
      </c>
      <c r="J162" s="120" t="str">
        <f t="shared" si="56"/>
        <v>精准预判</v>
      </c>
      <c r="K162" s="120" t="str">
        <f t="shared" si="57"/>
        <v>若使用后|Cffffc9265|r秒内|Cffffc926基地濒死|r，则击杀其600码范围内所有生物。|n|n|Cff00ff7f不分敌我|r</v>
      </c>
      <c r="L162" s="8"/>
      <c r="M162" s="121" t="str">
        <f>VLOOKUP(LEFT(RIGHT(B162,5),4),装备!B:CU,20,FALSE)</f>
        <v>ReplaceableTextures\\CommandButtons\\BTNIN14.blp</v>
      </c>
      <c r="N162" s="138" t="s">
        <v>83</v>
      </c>
      <c r="O162" s="121" t="s">
        <v>88</v>
      </c>
      <c r="P162" s="8">
        <v>0</v>
      </c>
      <c r="Q162" s="8">
        <v>0</v>
      </c>
      <c r="R162" s="138" t="s">
        <v>83</v>
      </c>
      <c r="S162" s="138" t="s">
        <v>83</v>
      </c>
      <c r="T162" s="138" t="s">
        <v>83</v>
      </c>
      <c r="U162" s="138" t="s">
        <v>83</v>
      </c>
      <c r="V162" s="8"/>
      <c r="W162" s="8" t="s">
        <v>89</v>
      </c>
      <c r="X162" s="8">
        <v>0</v>
      </c>
      <c r="Y162" s="138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38" t="s">
        <v>83</v>
      </c>
      <c r="AF162" s="138" t="s">
        <v>83</v>
      </c>
      <c r="AG162" s="138" t="s">
        <v>83</v>
      </c>
      <c r="AH162" s="138" t="s">
        <v>83</v>
      </c>
      <c r="AI162" s="8"/>
      <c r="AJ162" s="8"/>
      <c r="AK162" s="8">
        <v>1</v>
      </c>
      <c r="AL162" s="8">
        <v>1</v>
      </c>
      <c r="AM162" s="138" t="s">
        <v>83</v>
      </c>
      <c r="AN162" s="8">
        <v>1</v>
      </c>
      <c r="AO162" s="8">
        <v>1</v>
      </c>
      <c r="AP162" s="8">
        <v>1</v>
      </c>
    </row>
    <row r="163" spans="1:42">
      <c r="A163" s="118"/>
      <c r="B163" s="8" t="str">
        <f>装备!B163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VLOOKUP(LEFT(RIGHT(B163,5),4),装备!B:CU,2,FALSE)</f>
        <v>洗一手</v>
      </c>
      <c r="I163" s="8" t="str">
        <f>VLOOKUP(B163,装备!B:CV,99,FALSE)</f>
        <v>获得一个|Cffffc926补天石|r。|n|n|Cff00ff7f“法宝F4”查看，重置指定法宝，品质不变。|r</v>
      </c>
      <c r="J163" s="120" t="str">
        <f t="shared" si="56"/>
        <v>洗一手</v>
      </c>
      <c r="K163" s="120" t="str">
        <f t="shared" si="57"/>
        <v>获得一个|Cffffc926补天石|r。|n|n|Cff00ff7f“法宝F4”查看，重置指定法宝，品质不变。|r</v>
      </c>
      <c r="L163" s="8"/>
      <c r="M163" s="121" t="str">
        <f>VLOOKUP(LEFT(RIGHT(B163,5),4),装备!B:CU,20,FALSE)</f>
        <v>ReplaceableTextures\\CommandButtons\\BTNIN15.blp</v>
      </c>
      <c r="N163" s="138" t="s">
        <v>83</v>
      </c>
      <c r="O163" s="121" t="s">
        <v>88</v>
      </c>
      <c r="P163" s="8">
        <v>0</v>
      </c>
      <c r="Q163" s="8">
        <v>0</v>
      </c>
      <c r="R163" s="138" t="s">
        <v>83</v>
      </c>
      <c r="S163" s="138" t="s">
        <v>83</v>
      </c>
      <c r="T163" s="138" t="s">
        <v>83</v>
      </c>
      <c r="U163" s="138" t="s">
        <v>83</v>
      </c>
      <c r="V163" s="8"/>
      <c r="W163" s="8" t="s">
        <v>89</v>
      </c>
      <c r="X163" s="8">
        <v>0</v>
      </c>
      <c r="Y163" s="138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38" t="s">
        <v>83</v>
      </c>
      <c r="AF163" s="138" t="s">
        <v>83</v>
      </c>
      <c r="AG163" s="138" t="s">
        <v>83</v>
      </c>
      <c r="AH163" s="138" t="s">
        <v>83</v>
      </c>
      <c r="AI163" s="8"/>
      <c r="AJ163" s="8"/>
      <c r="AK163" s="8">
        <v>1</v>
      </c>
      <c r="AL163" s="8">
        <v>1</v>
      </c>
      <c r="AM163" s="138" t="s">
        <v>83</v>
      </c>
      <c r="AN163" s="8">
        <v>1</v>
      </c>
      <c r="AO163" s="8">
        <v>1</v>
      </c>
      <c r="AP163" s="8">
        <v>1</v>
      </c>
    </row>
    <row r="164" spans="1:42">
      <c r="A164" s="118"/>
      <c r="B164" s="8" t="str">
        <f>装备!B164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VLOOKUP(LEFT(RIGHT(B164,5),4),装备!B:CU,2,FALSE)</f>
        <v>怼上去</v>
      </c>
      <c r="I164" s="8" t="str">
        <f>VLOOKUP(B164,装备!B:CV,99,FALSE)</f>
        <v>获得一个|Cffff0000鸿蒙结晶|r。|n|n|Cff00ff7f“法宝F4”查看，重置指定法宝，品质提升一级。|r</v>
      </c>
      <c r="J164" s="120" t="str">
        <f t="shared" si="56"/>
        <v>怼上去</v>
      </c>
      <c r="K164" s="120" t="str">
        <f t="shared" si="57"/>
        <v>获得一个|Cffff0000鸿蒙结晶|r。|n|n|Cff00ff7f“法宝F4”查看，重置指定法宝，品质提升一级。|r</v>
      </c>
      <c r="L164" s="8"/>
      <c r="M164" s="121" t="str">
        <f>VLOOKUP(LEFT(RIGHT(B164,5),4),装备!B:CU,20,FALSE)</f>
        <v>ReplaceableTextures\\CommandButtons\\BTNIN16.blp</v>
      </c>
      <c r="N164" s="138" t="s">
        <v>83</v>
      </c>
      <c r="O164" s="121" t="s">
        <v>88</v>
      </c>
      <c r="P164" s="8">
        <v>0</v>
      </c>
      <c r="Q164" s="8">
        <v>0</v>
      </c>
      <c r="R164" s="138" t="s">
        <v>83</v>
      </c>
      <c r="S164" s="138" t="s">
        <v>83</v>
      </c>
      <c r="T164" s="138" t="s">
        <v>83</v>
      </c>
      <c r="U164" s="138" t="s">
        <v>83</v>
      </c>
      <c r="V164" s="8"/>
      <c r="W164" s="8" t="s">
        <v>89</v>
      </c>
      <c r="X164" s="8">
        <v>0</v>
      </c>
      <c r="Y164" s="138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38" t="s">
        <v>83</v>
      </c>
      <c r="AF164" s="138" t="s">
        <v>83</v>
      </c>
      <c r="AG164" s="138" t="s">
        <v>83</v>
      </c>
      <c r="AH164" s="138" t="s">
        <v>83</v>
      </c>
      <c r="AI164" s="8"/>
      <c r="AJ164" s="8"/>
      <c r="AK164" s="8">
        <v>1</v>
      </c>
      <c r="AL164" s="8">
        <v>1</v>
      </c>
      <c r="AM164" s="138" t="s">
        <v>83</v>
      </c>
      <c r="AN164" s="8">
        <v>1</v>
      </c>
      <c r="AO164" s="8">
        <v>1</v>
      </c>
      <c r="AP164" s="8">
        <v>1</v>
      </c>
    </row>
    <row r="165" spans="1:42">
      <c r="A165" s="118"/>
      <c r="B165" s="8" t="str">
        <f>装备!B165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VLOOKUP(LEFT(RIGHT(B165,5),4),装备!B:CU,2,FALSE)</f>
        <v>来点杀敌</v>
      </c>
      <c r="I165" s="8" t="str">
        <f>VLOOKUP(B165,装备!B:CV,99,FALSE)</f>
        <v>木头|Cffffc926+3000|r</v>
      </c>
      <c r="J165" s="120" t="str">
        <f t="shared" si="56"/>
        <v>来点杀敌</v>
      </c>
      <c r="K165" s="120" t="str">
        <f t="shared" si="57"/>
        <v>木头|Cffffc926+3000|r</v>
      </c>
      <c r="L165" s="8"/>
      <c r="M165" s="121" t="str">
        <f>VLOOKUP(LEFT(RIGHT(B165,5),4),装备!B:CU,20,FALSE)</f>
        <v>ReplaceableTextures\\CommandButtons\\BTNIN17.blp</v>
      </c>
      <c r="N165" s="138" t="s">
        <v>83</v>
      </c>
      <c r="O165" s="121" t="s">
        <v>88</v>
      </c>
      <c r="P165" s="8">
        <v>0</v>
      </c>
      <c r="Q165" s="8">
        <v>0</v>
      </c>
      <c r="R165" s="138" t="s">
        <v>83</v>
      </c>
      <c r="S165" s="138" t="s">
        <v>83</v>
      </c>
      <c r="T165" s="138" t="s">
        <v>83</v>
      </c>
      <c r="U165" s="138" t="s">
        <v>83</v>
      </c>
      <c r="V165" s="8"/>
      <c r="W165" s="8" t="s">
        <v>89</v>
      </c>
      <c r="X165" s="8">
        <v>0</v>
      </c>
      <c r="Y165" s="138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38" t="s">
        <v>83</v>
      </c>
      <c r="AF165" s="138" t="s">
        <v>83</v>
      </c>
      <c r="AG165" s="138" t="s">
        <v>83</v>
      </c>
      <c r="AH165" s="138" t="s">
        <v>83</v>
      </c>
      <c r="AI165" s="8"/>
      <c r="AJ165" s="8"/>
      <c r="AK165" s="8">
        <v>1</v>
      </c>
      <c r="AL165" s="8">
        <v>1</v>
      </c>
      <c r="AM165" s="138" t="s">
        <v>83</v>
      </c>
      <c r="AN165" s="8">
        <v>1</v>
      </c>
      <c r="AO165" s="8">
        <v>1</v>
      </c>
      <c r="AP165" s="8">
        <v>1</v>
      </c>
    </row>
    <row r="166" spans="1:42">
      <c r="A166" s="118"/>
      <c r="B166" s="8" t="str">
        <f>装备!B166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VLOOKUP(LEFT(RIGHT(B166,5),4),装备!B:CU,2,FALSE)</f>
        <v>真就一点</v>
      </c>
      <c r="I166" s="8" t="str">
        <f>VLOOKUP(B166,装备!B:CV,99,FALSE)</f>
        <v>木头|Cffffc926+300|r</v>
      </c>
      <c r="J166" s="120" t="str">
        <f t="shared" ref="J166" si="58">H166</f>
        <v>真就一点</v>
      </c>
      <c r="K166" s="120" t="str">
        <f t="shared" ref="K166" si="59">I166</f>
        <v>木头|Cffffc926+300|r</v>
      </c>
      <c r="L166" s="8"/>
      <c r="M166" s="121" t="str">
        <f>VLOOKUP(LEFT(RIGHT(B166,5),4),装备!B:CU,20,FALSE)</f>
        <v>ReplaceableTextures\\CommandButtons\\BTNIN18.blp</v>
      </c>
      <c r="N166" s="138" t="s">
        <v>83</v>
      </c>
      <c r="O166" s="121" t="s">
        <v>88</v>
      </c>
      <c r="P166" s="8">
        <v>0</v>
      </c>
      <c r="Q166" s="8">
        <v>0</v>
      </c>
      <c r="R166" s="138" t="s">
        <v>83</v>
      </c>
      <c r="S166" s="138" t="s">
        <v>83</v>
      </c>
      <c r="T166" s="138" t="s">
        <v>83</v>
      </c>
      <c r="U166" s="138" t="s">
        <v>83</v>
      </c>
      <c r="V166" s="8"/>
      <c r="W166" s="8" t="s">
        <v>89</v>
      </c>
      <c r="X166" s="8">
        <v>0</v>
      </c>
      <c r="Y166" s="138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38" t="s">
        <v>83</v>
      </c>
      <c r="AF166" s="138" t="s">
        <v>83</v>
      </c>
      <c r="AG166" s="138" t="s">
        <v>83</v>
      </c>
      <c r="AH166" s="138" t="s">
        <v>83</v>
      </c>
      <c r="AI166" s="8"/>
      <c r="AJ166" s="8"/>
      <c r="AK166" s="8">
        <v>1</v>
      </c>
      <c r="AL166" s="8">
        <v>1</v>
      </c>
      <c r="AM166" s="138" t="s">
        <v>83</v>
      </c>
      <c r="AN166" s="8">
        <v>1</v>
      </c>
      <c r="AO166" s="8">
        <v>1</v>
      </c>
      <c r="AP166" s="8">
        <v>1</v>
      </c>
    </row>
    <row r="167" spans="1:42">
      <c r="A167" s="118"/>
      <c r="B167" s="8" t="str">
        <f>装备!B167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VLOOKUP(LEFT(RIGHT(B167,5),4),装备!B:CU,2,FALSE)</f>
        <v>技能附魔券</v>
      </c>
      <c r="I167" s="8" t="str">
        <f>VLOOKUP(B167,装备!B:CV,99,FALSE)</f>
        <v>使用后获得|Cffffc926随机类型技能附魔卡|r</v>
      </c>
      <c r="J167" s="120" t="str">
        <f t="shared" ref="J167" si="60">H167</f>
        <v>技能附魔券</v>
      </c>
      <c r="K167" s="120" t="str">
        <f t="shared" ref="K167" si="61">I167</f>
        <v>使用后获得|Cffffc926随机类型技能附魔卡|r</v>
      </c>
      <c r="L167" s="8"/>
      <c r="M167" s="121" t="str">
        <f>VLOOKUP(LEFT(RIGHT(B167,5),4),装备!B:CU,20,FALSE)</f>
        <v>ReplaceableTextures\\CommandButtons\\BTNIN19.blp</v>
      </c>
      <c r="N167" s="138" t="s">
        <v>83</v>
      </c>
      <c r="O167" s="121" t="s">
        <v>88</v>
      </c>
      <c r="P167" s="8">
        <v>0</v>
      </c>
      <c r="Q167" s="8">
        <v>0</v>
      </c>
      <c r="R167" s="138" t="s">
        <v>83</v>
      </c>
      <c r="S167" s="138" t="s">
        <v>83</v>
      </c>
      <c r="T167" s="138" t="s">
        <v>83</v>
      </c>
      <c r="U167" s="138" t="s">
        <v>83</v>
      </c>
      <c r="V167" s="8"/>
      <c r="W167" s="8" t="s">
        <v>89</v>
      </c>
      <c r="X167" s="8">
        <v>0</v>
      </c>
      <c r="Y167" s="138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38" t="s">
        <v>83</v>
      </c>
      <c r="AF167" s="138" t="s">
        <v>83</v>
      </c>
      <c r="AG167" s="138" t="s">
        <v>83</v>
      </c>
      <c r="AH167" s="138" t="s">
        <v>83</v>
      </c>
      <c r="AI167" s="8"/>
      <c r="AJ167" s="8"/>
      <c r="AK167" s="8">
        <v>1</v>
      </c>
      <c r="AL167" s="8">
        <v>1</v>
      </c>
      <c r="AM167" s="138" t="s">
        <v>83</v>
      </c>
      <c r="AN167" s="8">
        <v>1</v>
      </c>
      <c r="AO167" s="8">
        <v>1</v>
      </c>
      <c r="AP167" s="8">
        <v>1</v>
      </c>
    </row>
    <row r="168" spans="1:42">
      <c r="A168" s="118"/>
      <c r="B168" s="8" t="str">
        <f>装备!B168</f>
        <v>IP01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VLOOKUP(LEFT(RIGHT(B168,5),4),装备!B:CU,2,FALSE)</f>
        <v>时渊碎片</v>
      </c>
      <c r="I168" s="8" t="str">
        <f>VLOOKUP(B168,装备!B:CV,99,FALSE)</f>
        <v>进入时渊副本消耗时渊碎片</v>
      </c>
      <c r="J168" s="120" t="str">
        <f t="shared" ref="J168" si="62">H168</f>
        <v>时渊碎片</v>
      </c>
      <c r="K168" s="120" t="str">
        <f t="shared" ref="K168" si="63">I168</f>
        <v>进入时渊副本消耗时渊碎片</v>
      </c>
      <c r="L168" s="8"/>
      <c r="M168" s="121" t="str">
        <f>VLOOKUP(LEFT(RIGHT(B168,5),4),装备!B:CU,20,FALSE)</f>
        <v>ReplaceableTextures\\CommandButtons\\BTNIP01.blp</v>
      </c>
      <c r="N168" s="138" t="s">
        <v>83</v>
      </c>
      <c r="O168" s="121" t="s">
        <v>90</v>
      </c>
      <c r="P168" s="8">
        <v>0</v>
      </c>
      <c r="Q168" s="8">
        <v>0</v>
      </c>
      <c r="R168" s="138" t="s">
        <v>83</v>
      </c>
      <c r="S168" s="138" t="s">
        <v>83</v>
      </c>
      <c r="T168" s="138" t="s">
        <v>83</v>
      </c>
      <c r="U168" s="138" t="s">
        <v>83</v>
      </c>
      <c r="V168" s="8"/>
      <c r="W168" s="8" t="s">
        <v>87</v>
      </c>
      <c r="X168" s="8">
        <v>0</v>
      </c>
      <c r="Y168" s="138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38" t="s">
        <v>83</v>
      </c>
      <c r="AF168" s="138" t="s">
        <v>83</v>
      </c>
      <c r="AG168" s="138" t="s">
        <v>83</v>
      </c>
      <c r="AH168" s="138" t="s">
        <v>83</v>
      </c>
      <c r="AI168" s="8">
        <v>1</v>
      </c>
      <c r="AJ168" s="8"/>
      <c r="AK168" s="8">
        <v>1</v>
      </c>
      <c r="AL168" s="8">
        <v>1</v>
      </c>
      <c r="AM168" s="138" t="s">
        <v>83</v>
      </c>
      <c r="AN168" s="8">
        <v>1</v>
      </c>
      <c r="AO168" s="8">
        <v>1</v>
      </c>
      <c r="AP168" s="8">
        <v>1</v>
      </c>
    </row>
    <row r="169" spans="1:42">
      <c r="A169" s="118"/>
      <c r="B169" s="8" t="str">
        <f>装备!B169</f>
        <v>IP02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VLOOKUP(LEFT(RIGHT(B169,5),4),装备!B:CU,2,FALSE)</f>
        <v>补天石</v>
      </c>
      <c r="I169" s="8" t="str">
        <f>VLOOKUP(B169,装备!B:CV,99,FALSE)</f>
        <v>点击|Cffffc926选中指定法宝|r后，再点击|Cffffc926重铸|r，可|Cffffc926重置|r指定法宝，|Cffffc926品质不变|r。|n|n|Cff00ff7f每次重铸消耗1个补天石|r</v>
      </c>
      <c r="J169" s="120" t="str">
        <f t="shared" ref="J169:J173" si="64">H169</f>
        <v>补天石</v>
      </c>
      <c r="K169" s="120" t="str">
        <f t="shared" ref="K169:K173" si="65">I169</f>
        <v>点击|Cffffc926选中指定法宝|r后，再点击|Cffffc926重铸|r，可|Cffffc926重置|r指定法宝，|Cffffc926品质不变|r。|n|n|Cff00ff7f每次重铸消耗1个补天石|r</v>
      </c>
      <c r="L169" s="8"/>
      <c r="M169" s="121" t="str">
        <f>VLOOKUP(LEFT(RIGHT(B169,5),4),装备!B:CU,20,FALSE)</f>
        <v>ReplaceableTextures\\CommandButtons\\BTNIP02.blp</v>
      </c>
      <c r="N169" s="138" t="s">
        <v>83</v>
      </c>
      <c r="O169" s="121" t="s">
        <v>90</v>
      </c>
      <c r="P169" s="8">
        <v>0</v>
      </c>
      <c r="Q169" s="8">
        <v>0</v>
      </c>
      <c r="R169" s="138" t="s">
        <v>83</v>
      </c>
      <c r="S169" s="138" t="s">
        <v>83</v>
      </c>
      <c r="T169" s="138" t="s">
        <v>83</v>
      </c>
      <c r="U169" s="138" t="s">
        <v>83</v>
      </c>
      <c r="V169" s="8"/>
      <c r="W169" s="8" t="s">
        <v>87</v>
      </c>
      <c r="X169" s="8">
        <v>0</v>
      </c>
      <c r="Y169" s="138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38" t="s">
        <v>83</v>
      </c>
      <c r="AF169" s="138" t="s">
        <v>83</v>
      </c>
      <c r="AG169" s="138" t="s">
        <v>83</v>
      </c>
      <c r="AH169" s="138" t="s">
        <v>83</v>
      </c>
      <c r="AI169" s="8">
        <v>1</v>
      </c>
      <c r="AJ169" s="8"/>
      <c r="AK169" s="8">
        <v>1</v>
      </c>
      <c r="AL169" s="8">
        <v>1</v>
      </c>
      <c r="AM169" s="138" t="s">
        <v>83</v>
      </c>
      <c r="AN169" s="8">
        <v>1</v>
      </c>
      <c r="AO169" s="8">
        <v>1</v>
      </c>
      <c r="AP169" s="8">
        <v>1</v>
      </c>
    </row>
    <row r="170" spans="1:42">
      <c r="A170" s="118"/>
      <c r="B170" s="8" t="str">
        <f>装备!B170</f>
        <v>IP03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VLOOKUP(LEFT(RIGHT(B170,5),4),装备!B:CU,2,FALSE)</f>
        <v>鸿蒙结晶</v>
      </c>
      <c r="I170" s="8" t="str">
        <f>VLOOKUP(B170,装备!B:CV,99,FALSE)</f>
        <v>点击|Cffffc926选中指定法宝|r后，再点击|Cffffc926锻造|r，可|Cffffc926重置|r指定法宝，|Cffffc926品质提升一级|r。|n|n|Cff00ff7f每次重铸消耗1个鸿蒙结晶|r</v>
      </c>
      <c r="J170" s="120" t="str">
        <f t="shared" si="64"/>
        <v>鸿蒙结晶</v>
      </c>
      <c r="K170" s="120" t="str">
        <f t="shared" si="65"/>
        <v>点击|Cffffc926选中指定法宝|r后，再点击|Cffffc926锻造|r，可|Cffffc926重置|r指定法宝，|Cffffc926品质提升一级|r。|n|n|Cff00ff7f每次重铸消耗1个鸿蒙结晶|r</v>
      </c>
      <c r="L170" s="8"/>
      <c r="M170" s="121" t="str">
        <f>VLOOKUP(LEFT(RIGHT(B170,5),4),装备!B:CU,20,FALSE)</f>
        <v>ReplaceableTextures\\CommandButtons\\BTNIP03.blp</v>
      </c>
      <c r="N170" s="138" t="s">
        <v>83</v>
      </c>
      <c r="O170" s="121" t="s">
        <v>90</v>
      </c>
      <c r="P170" s="8">
        <v>0</v>
      </c>
      <c r="Q170" s="8">
        <v>0</v>
      </c>
      <c r="R170" s="138" t="s">
        <v>83</v>
      </c>
      <c r="S170" s="138" t="s">
        <v>83</v>
      </c>
      <c r="T170" s="138" t="s">
        <v>83</v>
      </c>
      <c r="U170" s="138" t="s">
        <v>83</v>
      </c>
      <c r="V170" s="8"/>
      <c r="W170" s="8" t="s">
        <v>87</v>
      </c>
      <c r="X170" s="8">
        <v>0</v>
      </c>
      <c r="Y170" s="138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38" t="s">
        <v>83</v>
      </c>
      <c r="AF170" s="138" t="s">
        <v>83</v>
      </c>
      <c r="AG170" s="138" t="s">
        <v>83</v>
      </c>
      <c r="AH170" s="138" t="s">
        <v>83</v>
      </c>
      <c r="AI170" s="8">
        <v>1</v>
      </c>
      <c r="AJ170" s="8"/>
      <c r="AK170" s="8">
        <v>1</v>
      </c>
      <c r="AL170" s="8">
        <v>1</v>
      </c>
      <c r="AM170" s="138" t="s">
        <v>83</v>
      </c>
      <c r="AN170" s="8">
        <v>1</v>
      </c>
      <c r="AO170" s="8">
        <v>1</v>
      </c>
      <c r="AP170" s="8">
        <v>1</v>
      </c>
    </row>
    <row r="171" spans="1:42">
      <c r="A171" s="118"/>
      <c r="B171" s="8" t="str">
        <f>装备!B171</f>
        <v>IP04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VLOOKUP(LEFT(RIGHT(B171,5),4),装备!B:CU,2,FALSE)</f>
        <v>神兽洗灵石</v>
      </c>
      <c r="I171" s="8">
        <f>VLOOKUP(B171,装备!B:CV,99,FALSE)</f>
        <v>0</v>
      </c>
      <c r="J171" s="120" t="str">
        <f t="shared" ref="J171:J172" si="66">H171</f>
        <v>神兽洗灵石</v>
      </c>
      <c r="K171" s="120">
        <f t="shared" ref="K171:K172" si="67">I171</f>
        <v>0</v>
      </c>
      <c r="L171" s="8"/>
      <c r="M171" s="121" t="str">
        <f>VLOOKUP(LEFT(RIGHT(B171,5),4),装备!B:CU,20,FALSE)</f>
        <v>ReplaceableTextures\\CommandButtons\\BTNIP04.blp</v>
      </c>
      <c r="N171" s="138" t="s">
        <v>83</v>
      </c>
      <c r="O171" s="121" t="s">
        <v>90</v>
      </c>
      <c r="P171" s="8">
        <v>0</v>
      </c>
      <c r="Q171" s="8">
        <v>0</v>
      </c>
      <c r="R171" s="138" t="s">
        <v>83</v>
      </c>
      <c r="S171" s="138" t="s">
        <v>83</v>
      </c>
      <c r="T171" s="138" t="s">
        <v>83</v>
      </c>
      <c r="U171" s="138" t="s">
        <v>83</v>
      </c>
      <c r="V171" s="8"/>
      <c r="W171" s="8" t="s">
        <v>89</v>
      </c>
      <c r="X171" s="8">
        <v>0</v>
      </c>
      <c r="Y171" s="138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38" t="s">
        <v>83</v>
      </c>
      <c r="AF171" s="138" t="s">
        <v>83</v>
      </c>
      <c r="AG171" s="138" t="s">
        <v>83</v>
      </c>
      <c r="AH171" s="138" t="s">
        <v>83</v>
      </c>
      <c r="AI171" s="8"/>
      <c r="AJ171" s="8"/>
      <c r="AK171" s="8">
        <v>1</v>
      </c>
      <c r="AL171" s="8">
        <v>1</v>
      </c>
      <c r="AM171" s="138" t="s">
        <v>83</v>
      </c>
      <c r="AN171" s="8">
        <v>1</v>
      </c>
      <c r="AO171" s="8">
        <v>1</v>
      </c>
      <c r="AP171" s="8">
        <v>1</v>
      </c>
    </row>
    <row r="172" spans="1:42">
      <c r="A172" s="118"/>
      <c r="B172" s="8" t="str">
        <f>装备!B172</f>
        <v>IP05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VLOOKUP(LEFT(RIGHT(B172,5),4),装备!B:CU,2,FALSE)</f>
        <v>虚空圣战卡</v>
      </c>
      <c r="I172" s="8">
        <f>VLOOKUP(B172,装备!B:CV,99,FALSE)</f>
        <v>0</v>
      </c>
      <c r="J172" s="120" t="str">
        <f t="shared" si="66"/>
        <v>虚空圣战卡</v>
      </c>
      <c r="K172" s="120">
        <f t="shared" si="67"/>
        <v>0</v>
      </c>
      <c r="L172" s="8"/>
      <c r="M172" s="121" t="str">
        <f>VLOOKUP(LEFT(RIGHT(B172,5),4),装备!B:CU,20,FALSE)</f>
        <v>ReplaceableTextures\\CommandButtons\\BTNIP05.blp</v>
      </c>
      <c r="N172" s="138" t="s">
        <v>83</v>
      </c>
      <c r="O172" s="121" t="s">
        <v>90</v>
      </c>
      <c r="P172" s="8">
        <v>0</v>
      </c>
      <c r="Q172" s="8">
        <v>0</v>
      </c>
      <c r="R172" s="138" t="s">
        <v>83</v>
      </c>
      <c r="S172" s="138" t="s">
        <v>83</v>
      </c>
      <c r="T172" s="138" t="s">
        <v>83</v>
      </c>
      <c r="U172" s="138" t="s">
        <v>83</v>
      </c>
      <c r="V172" s="8"/>
      <c r="W172" s="8" t="s">
        <v>89</v>
      </c>
      <c r="X172" s="8">
        <v>0</v>
      </c>
      <c r="Y172" s="138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38" t="s">
        <v>83</v>
      </c>
      <c r="AF172" s="138" t="s">
        <v>83</v>
      </c>
      <c r="AG172" s="138" t="s">
        <v>83</v>
      </c>
      <c r="AH172" s="138" t="s">
        <v>83</v>
      </c>
      <c r="AI172" s="8"/>
      <c r="AJ172" s="8"/>
      <c r="AK172" s="8">
        <v>1</v>
      </c>
      <c r="AL172" s="8">
        <v>1</v>
      </c>
      <c r="AM172" s="138" t="s">
        <v>83</v>
      </c>
      <c r="AN172" s="8">
        <v>1</v>
      </c>
      <c r="AO172" s="8">
        <v>1</v>
      </c>
      <c r="AP172" s="8">
        <v>1</v>
      </c>
    </row>
    <row r="173" spans="1:42">
      <c r="A173" s="118"/>
      <c r="B173" s="8" t="str">
        <f>装备!B173</f>
        <v>IT01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VLOOKUP(LEFT(RIGHT(B173,5),4),装备!B:CU,2,FALSE)</f>
        <v>噬心劫</v>
      </c>
      <c r="I173" s="8" t="str">
        <f>VLOOKUP(B173,装备!B:CV,99,FALSE)</f>
        <v>渡过该劫后可结成低级道果。|n|n|Cfff0f0f0低级道果：|r|n攻击+1000|n法强+1000|n生命值+2000|n|Cffffd24d元神力+2|r|n|n|Cff00ff7f战力推荐：|r|n</v>
      </c>
      <c r="J173" s="120" t="str">
        <f t="shared" si="64"/>
        <v>噬心劫</v>
      </c>
      <c r="K173" s="120" t="str">
        <f t="shared" si="65"/>
        <v>渡过该劫后可结成低级道果。|n|n|Cfff0f0f0低级道果：|r|n攻击+1000|n法强+1000|n生命值+2000|n|Cffffd24d元神力+2|r|n|n|Cff00ff7f战力推荐：|r|n</v>
      </c>
      <c r="L173" s="8"/>
      <c r="M173" s="121" t="str">
        <f>VLOOKUP(LEFT(RIGHT(B173,5),4),装备!B:CU,20,FALSE)</f>
        <v>ReplaceableTextures\\CommandButtons\\BTNIT01.blp</v>
      </c>
      <c r="N173" s="138" t="s">
        <v>83</v>
      </c>
      <c r="O173" s="121" t="s">
        <v>90</v>
      </c>
      <c r="P173" s="8">
        <v>0</v>
      </c>
      <c r="Q173" s="8">
        <v>0</v>
      </c>
      <c r="R173" s="138" t="s">
        <v>83</v>
      </c>
      <c r="S173" s="138" t="s">
        <v>83</v>
      </c>
      <c r="T173" s="138" t="s">
        <v>83</v>
      </c>
      <c r="U173" s="138" t="s">
        <v>83</v>
      </c>
      <c r="V173" s="8"/>
      <c r="W173" s="8" t="s">
        <v>87</v>
      </c>
      <c r="X173" s="8">
        <v>2000</v>
      </c>
      <c r="Y173" s="138" t="s">
        <v>83</v>
      </c>
      <c r="Z173" s="8">
        <v>0</v>
      </c>
      <c r="AA173" s="8">
        <v>0</v>
      </c>
      <c r="AB173" s="120">
        <v>1</v>
      </c>
      <c r="AC173" s="8">
        <v>1</v>
      </c>
      <c r="AD173" s="8">
        <v>1</v>
      </c>
      <c r="AE173" s="138" t="s">
        <v>83</v>
      </c>
      <c r="AF173" s="138" t="s">
        <v>83</v>
      </c>
      <c r="AG173" s="138" t="s">
        <v>83</v>
      </c>
      <c r="AH173" s="138" t="s">
        <v>83</v>
      </c>
      <c r="AI173" s="8">
        <v>1</v>
      </c>
      <c r="AJ173" s="8"/>
      <c r="AK173" s="8">
        <v>1</v>
      </c>
      <c r="AL173" s="8">
        <v>1</v>
      </c>
      <c r="AM173" s="138" t="s">
        <v>83</v>
      </c>
      <c r="AN173" s="8">
        <v>1</v>
      </c>
      <c r="AO173" s="8">
        <v>1</v>
      </c>
      <c r="AP173" s="8">
        <v>1</v>
      </c>
    </row>
    <row r="174" spans="1:42">
      <c r="A174" s="118"/>
      <c r="B174" s="8" t="str">
        <f>装备!B174</f>
        <v>IT02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VLOOKUP(LEFT(RIGHT(B174,5),4),装备!B:CU,2,FALSE)</f>
        <v>三重轰雷劫</v>
      </c>
      <c r="I174" s="8" t="str">
        <f>VLOOKUP(B174,装备!B:CV,99,FALSE)</f>
        <v>渡过该劫后可结成中级道果。|n|n|Cfff0f0f0中级道果：|r|n攻击+1500|n法强+1500|n生命值+3000 |n|Cffffd24d元神力+4|r|n|n|Cff00ff7f战力推荐：|r|n</v>
      </c>
      <c r="J174" s="120" t="str">
        <f t="shared" ref="J174:J203" si="68">H174</f>
        <v>三重轰雷劫</v>
      </c>
      <c r="K174" s="120" t="str">
        <f t="shared" ref="K174:K203" si="69">I174</f>
        <v>渡过该劫后可结成中级道果。|n|n|Cfff0f0f0中级道果：|r|n攻击+1500|n法强+1500|n生命值+3000 |n|Cffffd24d元神力+4|r|n|n|Cff00ff7f战力推荐：|r|n</v>
      </c>
      <c r="L174" s="8"/>
      <c r="M174" s="121" t="str">
        <f>VLOOKUP(LEFT(RIGHT(B174,5),4),装备!B:CU,20,FALSE)</f>
        <v>ReplaceableTextures\\CommandButtons\\BTNIT02.blp</v>
      </c>
      <c r="N174" s="138" t="s">
        <v>83</v>
      </c>
      <c r="O174" s="121" t="s">
        <v>90</v>
      </c>
      <c r="P174" s="8">
        <v>1</v>
      </c>
      <c r="Q174" s="8">
        <v>0</v>
      </c>
      <c r="R174" s="138" t="s">
        <v>83</v>
      </c>
      <c r="S174" s="138" t="s">
        <v>83</v>
      </c>
      <c r="T174" s="138" t="s">
        <v>83</v>
      </c>
      <c r="U174" s="138" t="s">
        <v>83</v>
      </c>
      <c r="V174" s="8"/>
      <c r="W174" s="8" t="s">
        <v>87</v>
      </c>
      <c r="X174" s="8">
        <v>4000</v>
      </c>
      <c r="Y174" s="138" t="s">
        <v>83</v>
      </c>
      <c r="Z174" s="8">
        <v>0</v>
      </c>
      <c r="AA174" s="8">
        <v>0</v>
      </c>
      <c r="AB174" s="120">
        <v>2</v>
      </c>
      <c r="AC174" s="8">
        <v>1</v>
      </c>
      <c r="AD174" s="8">
        <v>1</v>
      </c>
      <c r="AE174" s="138" t="s">
        <v>83</v>
      </c>
      <c r="AF174" s="138" t="s">
        <v>83</v>
      </c>
      <c r="AG174" s="138" t="s">
        <v>83</v>
      </c>
      <c r="AH174" s="138" t="s">
        <v>83</v>
      </c>
      <c r="AI174" s="8">
        <v>1</v>
      </c>
      <c r="AJ174" s="8"/>
      <c r="AK174" s="8">
        <v>1</v>
      </c>
      <c r="AL174" s="8">
        <v>1</v>
      </c>
      <c r="AM174" s="138" t="s">
        <v>83</v>
      </c>
      <c r="AN174" s="8">
        <v>1</v>
      </c>
      <c r="AO174" s="8">
        <v>1</v>
      </c>
      <c r="AP174" s="8">
        <v>1</v>
      </c>
    </row>
    <row r="175" spans="1:42">
      <c r="A175" s="118"/>
      <c r="B175" s="8" t="str">
        <f>装备!B175</f>
        <v>IT03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VLOOKUP(LEFT(RIGHT(B175,5),4),装备!B:CU,2,FALSE)</f>
        <v>六重天雷劫</v>
      </c>
      <c r="I175" s="8" t="str">
        <f>VLOOKUP(B175,装备!B:CV,99,FALSE)</f>
        <v>渡过该劫后可结成|Cff00ff7f高级道果|r。|n|n|Cff00ff7f高级道果：|r|n攻击+2000|n法强+2000|n生命值+4000 |n|Cffffd24d元神力+5|r|n|n|Cff00ff7f战力推荐：|r|n</v>
      </c>
      <c r="J175" s="120" t="str">
        <f t="shared" si="68"/>
        <v>六重天雷劫</v>
      </c>
      <c r="K175" s="120" t="str">
        <f t="shared" si="69"/>
        <v>渡过该劫后可结成|Cff00ff7f高级道果|r。|n|n|Cff00ff7f高级道果：|r|n攻击+2000|n法强+2000|n生命值+4000 |n|Cffffd24d元神力+5|r|n|n|Cff00ff7f战力推荐：|r|n</v>
      </c>
      <c r="L175" s="8"/>
      <c r="M175" s="121" t="str">
        <f>VLOOKUP(LEFT(RIGHT(B175,5),4),装备!B:CU,20,FALSE)</f>
        <v>ReplaceableTextures\\CommandButtons\\BTNIT03.blp</v>
      </c>
      <c r="N175" s="138" t="s">
        <v>83</v>
      </c>
      <c r="O175" s="121" t="s">
        <v>90</v>
      </c>
      <c r="P175" s="8">
        <v>2</v>
      </c>
      <c r="Q175" s="8">
        <v>0</v>
      </c>
      <c r="R175" s="138" t="s">
        <v>83</v>
      </c>
      <c r="S175" s="138" t="s">
        <v>83</v>
      </c>
      <c r="T175" s="138" t="s">
        <v>83</v>
      </c>
      <c r="U175" s="138" t="s">
        <v>83</v>
      </c>
      <c r="V175" s="8"/>
      <c r="W175" s="8" t="s">
        <v>87</v>
      </c>
      <c r="X175" s="8">
        <v>6000</v>
      </c>
      <c r="Y175" s="138" t="s">
        <v>83</v>
      </c>
      <c r="Z175" s="8">
        <v>0</v>
      </c>
      <c r="AA175" s="8">
        <v>0</v>
      </c>
      <c r="AB175" s="120">
        <v>3</v>
      </c>
      <c r="AC175" s="8">
        <v>1</v>
      </c>
      <c r="AD175" s="8">
        <v>1</v>
      </c>
      <c r="AE175" s="138" t="s">
        <v>83</v>
      </c>
      <c r="AF175" s="138" t="s">
        <v>83</v>
      </c>
      <c r="AG175" s="138" t="s">
        <v>83</v>
      </c>
      <c r="AH175" s="138" t="s">
        <v>83</v>
      </c>
      <c r="AI175" s="8">
        <v>1</v>
      </c>
      <c r="AJ175" s="8"/>
      <c r="AK175" s="8">
        <v>1</v>
      </c>
      <c r="AL175" s="8">
        <v>1</v>
      </c>
      <c r="AM175" s="138" t="s">
        <v>83</v>
      </c>
      <c r="AN175" s="8">
        <v>1</v>
      </c>
      <c r="AO175" s="8">
        <v>1</v>
      </c>
      <c r="AP175" s="8">
        <v>1</v>
      </c>
    </row>
    <row r="176" spans="1:42">
      <c r="A176" s="118"/>
      <c r="B176" s="8" t="str">
        <f>装备!B176</f>
        <v>IT04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VLOOKUP(LEFT(RIGHT(B176,5),4),装备!B:CU,2,FALSE)</f>
        <v>九重煅神劫</v>
      </c>
      <c r="I176" s="8" t="str">
        <f>VLOOKUP(B176,装备!B:CV,99,FALSE)</f>
        <v>渡过该劫后可结成|Cff00ff7f黄级道果|r。|n|n|Cff00ff7f黄级道果：|r|n攻击+2500|n法强+2500|n生命值+5000|n|Cffffd24d元神力+6|r|n|n|Cff00ff7f战力推荐：|r|n</v>
      </c>
      <c r="J176" s="120" t="str">
        <f t="shared" si="68"/>
        <v>九重煅神劫</v>
      </c>
      <c r="K176" s="120" t="str">
        <f t="shared" si="69"/>
        <v>渡过该劫后可结成|Cff00ff7f黄级道果|r。|n|n|Cff00ff7f黄级道果：|r|n攻击+2500|n法强+2500|n生命值+5000|n|Cffffd24d元神力+6|r|n|n|Cff00ff7f战力推荐：|r|n</v>
      </c>
      <c r="L176" s="8"/>
      <c r="M176" s="121" t="str">
        <f>VLOOKUP(LEFT(RIGHT(B176,5),4),装备!B:CU,20,FALSE)</f>
        <v>ReplaceableTextures\\CommandButtons\\BTNIT04.blp</v>
      </c>
      <c r="N176" s="138" t="s">
        <v>83</v>
      </c>
      <c r="O176" s="121" t="s">
        <v>90</v>
      </c>
      <c r="P176" s="8">
        <v>3</v>
      </c>
      <c r="Q176" s="8">
        <v>0</v>
      </c>
      <c r="R176" s="138" t="s">
        <v>83</v>
      </c>
      <c r="S176" s="138" t="s">
        <v>83</v>
      </c>
      <c r="T176" s="138" t="s">
        <v>83</v>
      </c>
      <c r="U176" s="138" t="s">
        <v>83</v>
      </c>
      <c r="V176" s="8"/>
      <c r="W176" s="8" t="s">
        <v>87</v>
      </c>
      <c r="X176" s="8">
        <v>10000</v>
      </c>
      <c r="Y176" s="138" t="s">
        <v>83</v>
      </c>
      <c r="Z176" s="8">
        <v>0</v>
      </c>
      <c r="AA176" s="8">
        <v>0</v>
      </c>
      <c r="AB176" s="120">
        <v>4</v>
      </c>
      <c r="AC176" s="8">
        <v>1</v>
      </c>
      <c r="AD176" s="8">
        <v>1</v>
      </c>
      <c r="AE176" s="138" t="s">
        <v>83</v>
      </c>
      <c r="AF176" s="138" t="s">
        <v>83</v>
      </c>
      <c r="AG176" s="138" t="s">
        <v>83</v>
      </c>
      <c r="AH176" s="138" t="s">
        <v>83</v>
      </c>
      <c r="AI176" s="8">
        <v>1</v>
      </c>
      <c r="AJ176" s="8"/>
      <c r="AK176" s="8">
        <v>1</v>
      </c>
      <c r="AL176" s="8">
        <v>1</v>
      </c>
      <c r="AM176" s="138" t="s">
        <v>83</v>
      </c>
      <c r="AN176" s="8">
        <v>1</v>
      </c>
      <c r="AO176" s="8">
        <v>1</v>
      </c>
      <c r="AP176" s="8">
        <v>1</v>
      </c>
    </row>
    <row r="177" spans="1:42">
      <c r="A177" s="118"/>
      <c r="B177" s="8" t="str">
        <f>装备!B177</f>
        <v>IT05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VLOOKUP(LEFT(RIGHT(B177,5),4),装备!B:CU,2,FALSE)</f>
        <v>灭魄血煞劫</v>
      </c>
      <c r="I177" s="8" t="str">
        <f>VLOOKUP(B177,装备!B:CV,99,FALSE)</f>
        <v>渡过该劫后可结成|Cff00bfff玄级道果|r。|n|n|Cff00bfff玄级道果：|r|n攻击+3000|n法强+3000|n生命值+6000|n|Cffffd24d元神力+7|r|n|n|Cff00ff7f战力推荐：|r|n</v>
      </c>
      <c r="J177" s="120" t="str">
        <f t="shared" si="68"/>
        <v>灭魄血煞劫</v>
      </c>
      <c r="K177" s="120" t="str">
        <f t="shared" si="69"/>
        <v>渡过该劫后可结成|Cff00bfff玄级道果|r。|n|n|Cff00bfff玄级道果：|r|n攻击+3000|n法强+3000|n生命值+6000|n|Cffffd24d元神力+7|r|n|n|Cff00ff7f战力推荐：|r|n</v>
      </c>
      <c r="L177" s="8"/>
      <c r="M177" s="121" t="str">
        <f>VLOOKUP(LEFT(RIGHT(B177,5),4),装备!B:CU,20,FALSE)</f>
        <v>ReplaceableTextures\\CommandButtons\\BTNIT05.blp</v>
      </c>
      <c r="N177" s="138" t="s">
        <v>83</v>
      </c>
      <c r="O177" s="121" t="s">
        <v>90</v>
      </c>
      <c r="P177" s="8">
        <v>0</v>
      </c>
      <c r="Q177" s="8">
        <v>1</v>
      </c>
      <c r="R177" s="138" t="s">
        <v>83</v>
      </c>
      <c r="S177" s="138" t="s">
        <v>83</v>
      </c>
      <c r="T177" s="138" t="s">
        <v>83</v>
      </c>
      <c r="U177" s="138" t="s">
        <v>83</v>
      </c>
      <c r="V177" s="8"/>
      <c r="W177" s="8" t="s">
        <v>87</v>
      </c>
      <c r="X177" s="8">
        <v>15000</v>
      </c>
      <c r="Y177" s="138" t="s">
        <v>83</v>
      </c>
      <c r="Z177" s="8">
        <v>0</v>
      </c>
      <c r="AA177" s="8">
        <v>0</v>
      </c>
      <c r="AB177" s="120">
        <v>5</v>
      </c>
      <c r="AC177" s="8">
        <v>1</v>
      </c>
      <c r="AD177" s="8">
        <v>1</v>
      </c>
      <c r="AE177" s="138" t="s">
        <v>83</v>
      </c>
      <c r="AF177" s="138" t="s">
        <v>83</v>
      </c>
      <c r="AG177" s="138" t="s">
        <v>83</v>
      </c>
      <c r="AH177" s="138" t="s">
        <v>83</v>
      </c>
      <c r="AI177" s="8">
        <v>1</v>
      </c>
      <c r="AJ177" s="8"/>
      <c r="AK177" s="8">
        <v>1</v>
      </c>
      <c r="AL177" s="8">
        <v>1</v>
      </c>
      <c r="AM177" s="138" t="s">
        <v>83</v>
      </c>
      <c r="AN177" s="8">
        <v>1</v>
      </c>
      <c r="AO177" s="8">
        <v>1</v>
      </c>
      <c r="AP177" s="8">
        <v>1</v>
      </c>
    </row>
    <row r="178" spans="1:42">
      <c r="A178" s="118"/>
      <c r="B178" s="8" t="str">
        <f>装备!B178</f>
        <v>IT06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VLOOKUP(LEFT(RIGHT(B178,5),4),装备!B:CU,2,FALSE)</f>
        <v>入微洞虚劫</v>
      </c>
      <c r="I178" s="8" t="str">
        <f>VLOOKUP(B178,装备!B:CV,99,FALSE)</f>
        <v>渡过该劫后可结成|Cff00bfff地级道果|r。|n|n|Cff00bfff地级道果：|r|n攻击+4000|n法强+4000|n生命值+8000|n|Cffffd24d元神力+9|r|n|n|n|Cff00ff7f战力推荐：|r|n</v>
      </c>
      <c r="J178" s="120" t="str">
        <f t="shared" si="68"/>
        <v>入微洞虚劫</v>
      </c>
      <c r="K178" s="120" t="str">
        <f t="shared" si="69"/>
        <v>渡过该劫后可结成|Cff00bfff地级道果|r。|n|n|Cff00bfff地级道果：|r|n攻击+4000|n法强+4000|n生命值+8000|n|Cffffd24d元神力+9|r|n|n|n|Cff00ff7f战力推荐：|r|n</v>
      </c>
      <c r="L178" s="8"/>
      <c r="M178" s="121" t="str">
        <f>VLOOKUP(LEFT(RIGHT(B178,5),4),装备!B:CU,20,FALSE)</f>
        <v>ReplaceableTextures\\CommandButtons\\BTNIT06.blp</v>
      </c>
      <c r="N178" s="138" t="s">
        <v>83</v>
      </c>
      <c r="O178" s="121" t="s">
        <v>90</v>
      </c>
      <c r="P178" s="8">
        <v>1</v>
      </c>
      <c r="Q178" s="8">
        <v>1</v>
      </c>
      <c r="R178" s="138" t="s">
        <v>83</v>
      </c>
      <c r="S178" s="138" t="s">
        <v>83</v>
      </c>
      <c r="T178" s="138" t="s">
        <v>83</v>
      </c>
      <c r="U178" s="138" t="s">
        <v>83</v>
      </c>
      <c r="V178" s="8"/>
      <c r="W178" s="8" t="s">
        <v>87</v>
      </c>
      <c r="X178" s="8">
        <v>20000</v>
      </c>
      <c r="Y178" s="138" t="s">
        <v>83</v>
      </c>
      <c r="Z178" s="8">
        <v>0</v>
      </c>
      <c r="AA178" s="8">
        <v>0</v>
      </c>
      <c r="AB178" s="120">
        <v>6</v>
      </c>
      <c r="AC178" s="8">
        <v>1</v>
      </c>
      <c r="AD178" s="8">
        <v>1</v>
      </c>
      <c r="AE178" s="138" t="s">
        <v>83</v>
      </c>
      <c r="AF178" s="138" t="s">
        <v>83</v>
      </c>
      <c r="AG178" s="138" t="s">
        <v>83</v>
      </c>
      <c r="AH178" s="138" t="s">
        <v>83</v>
      </c>
      <c r="AI178" s="8">
        <v>1</v>
      </c>
      <c r="AJ178" s="8"/>
      <c r="AK178" s="8">
        <v>1</v>
      </c>
      <c r="AL178" s="8">
        <v>1</v>
      </c>
      <c r="AM178" s="138" t="s">
        <v>83</v>
      </c>
      <c r="AN178" s="8">
        <v>1</v>
      </c>
      <c r="AO178" s="8">
        <v>1</v>
      </c>
      <c r="AP178" s="8">
        <v>1</v>
      </c>
    </row>
    <row r="179" spans="1:42">
      <c r="A179" s="118"/>
      <c r="B179" s="8" t="str">
        <f>装备!B179</f>
        <v>IT07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VLOOKUP(LEFT(RIGHT(B179,5),4),装备!B:CU,2,FALSE)</f>
        <v>因果厄难劫</v>
      </c>
      <c r="I179" s="8" t="str">
        <f>VLOOKUP(B179,装备!B:CV,99,FALSE)</f>
        <v>渡过该劫后可结成|Cffffc926天级道果|r。|n|n|Cffffc926天级道果：|r|n攻击+5000|n法强+5000|n生命值+10000|n|Cffffd24d元神力+11|r|n|n|Cff00ff7f战力推荐：|r|n</v>
      </c>
      <c r="J179" s="120" t="str">
        <f t="shared" si="68"/>
        <v>因果厄难劫</v>
      </c>
      <c r="K179" s="120" t="str">
        <f t="shared" si="69"/>
        <v>渡过该劫后可结成|Cffffc926天级道果|r。|n|n|Cffffc926天级道果：|r|n攻击+5000|n法强+5000|n生命值+10000|n|Cffffd24d元神力+11|r|n|n|Cff00ff7f战力推荐：|r|n</v>
      </c>
      <c r="L179" s="8"/>
      <c r="M179" s="121" t="str">
        <f>VLOOKUP(LEFT(RIGHT(B179,5),4),装备!B:CU,20,FALSE)</f>
        <v>ReplaceableTextures\\CommandButtons\\BTNIT07.blp</v>
      </c>
      <c r="N179" s="138" t="s">
        <v>83</v>
      </c>
      <c r="O179" s="121" t="s">
        <v>90</v>
      </c>
      <c r="P179" s="8">
        <v>2</v>
      </c>
      <c r="Q179" s="8">
        <v>1</v>
      </c>
      <c r="R179" s="138" t="s">
        <v>83</v>
      </c>
      <c r="S179" s="138" t="s">
        <v>83</v>
      </c>
      <c r="T179" s="138" t="s">
        <v>83</v>
      </c>
      <c r="U179" s="138" t="s">
        <v>83</v>
      </c>
      <c r="V179" s="8"/>
      <c r="W179" s="8" t="s">
        <v>87</v>
      </c>
      <c r="X179" s="8">
        <v>30000</v>
      </c>
      <c r="Y179" s="138" t="s">
        <v>83</v>
      </c>
      <c r="Z179" s="8">
        <v>0</v>
      </c>
      <c r="AA179" s="8">
        <v>0</v>
      </c>
      <c r="AB179" s="120">
        <v>7</v>
      </c>
      <c r="AC179" s="8">
        <v>1</v>
      </c>
      <c r="AD179" s="8">
        <v>1</v>
      </c>
      <c r="AE179" s="138" t="s">
        <v>83</v>
      </c>
      <c r="AF179" s="138" t="s">
        <v>83</v>
      </c>
      <c r="AG179" s="138" t="s">
        <v>83</v>
      </c>
      <c r="AH179" s="138" t="s">
        <v>83</v>
      </c>
      <c r="AI179" s="8">
        <v>1</v>
      </c>
      <c r="AJ179" s="8"/>
      <c r="AK179" s="8">
        <v>1</v>
      </c>
      <c r="AL179" s="8">
        <v>1</v>
      </c>
      <c r="AM179" s="138" t="s">
        <v>83</v>
      </c>
      <c r="AN179" s="8">
        <v>1</v>
      </c>
      <c r="AO179" s="8">
        <v>1</v>
      </c>
      <c r="AP179" s="8">
        <v>1</v>
      </c>
    </row>
    <row r="180" spans="1:42">
      <c r="A180" s="118"/>
      <c r="B180" s="8" t="str">
        <f>装备!B180</f>
        <v>IT08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VLOOKUP(LEFT(RIGHT(B180,5),4),装备!B:CU,2,FALSE)</f>
        <v>迷魂幻世劫</v>
      </c>
      <c r="I180" s="8" t="str">
        <f>VLOOKUP(B180,装备!B:CV,99,FALSE)</f>
        <v>渡过该劫后可结成|Cffffc926仙品道果|r。|n|n|Cffffc926仙品道果：|r|n攻击+6500|n法强+6500|n生命值+13000|n|Cffffd24d元神力+13|r|n|n|Cff00ff7f战力推荐：|r</v>
      </c>
      <c r="J180" s="120" t="str">
        <f t="shared" si="68"/>
        <v>迷魂幻世劫</v>
      </c>
      <c r="K180" s="120" t="str">
        <f t="shared" si="69"/>
        <v>渡过该劫后可结成|Cffffc926仙品道果|r。|n|n|Cffffc926仙品道果：|r|n攻击+6500|n法强+6500|n生命值+13000|n|Cffffd24d元神力+13|r|n|n|Cff00ff7f战力推荐：|r</v>
      </c>
      <c r="L180" s="8"/>
      <c r="M180" s="121" t="str">
        <f>VLOOKUP(LEFT(RIGHT(B180,5),4),装备!B:CU,20,FALSE)</f>
        <v>ReplaceableTextures\\CommandButtons\\BTNIT08.blp</v>
      </c>
      <c r="N180" s="138" t="s">
        <v>83</v>
      </c>
      <c r="O180" s="121" t="s">
        <v>90</v>
      </c>
      <c r="P180" s="8">
        <v>3</v>
      </c>
      <c r="Q180" s="8">
        <v>1</v>
      </c>
      <c r="R180" s="138" t="s">
        <v>83</v>
      </c>
      <c r="S180" s="138" t="s">
        <v>83</v>
      </c>
      <c r="T180" s="138" t="s">
        <v>83</v>
      </c>
      <c r="U180" s="138" t="s">
        <v>83</v>
      </c>
      <c r="V180" s="8"/>
      <c r="W180" s="8" t="s">
        <v>87</v>
      </c>
      <c r="X180" s="8">
        <v>40000</v>
      </c>
      <c r="Y180" s="138" t="s">
        <v>83</v>
      </c>
      <c r="Z180" s="8">
        <v>0</v>
      </c>
      <c r="AA180" s="8">
        <v>0</v>
      </c>
      <c r="AB180" s="120">
        <v>8</v>
      </c>
      <c r="AC180" s="8">
        <v>1</v>
      </c>
      <c r="AD180" s="8">
        <v>1</v>
      </c>
      <c r="AE180" s="138" t="s">
        <v>83</v>
      </c>
      <c r="AF180" s="138" t="s">
        <v>83</v>
      </c>
      <c r="AG180" s="138" t="s">
        <v>83</v>
      </c>
      <c r="AH180" s="138" t="s">
        <v>83</v>
      </c>
      <c r="AI180" s="8">
        <v>1</v>
      </c>
      <c r="AJ180" s="8"/>
      <c r="AK180" s="8">
        <v>1</v>
      </c>
      <c r="AL180" s="8">
        <v>1</v>
      </c>
      <c r="AM180" s="138" t="s">
        <v>83</v>
      </c>
      <c r="AN180" s="8">
        <v>1</v>
      </c>
      <c r="AO180" s="8">
        <v>1</v>
      </c>
      <c r="AP180" s="8">
        <v>1</v>
      </c>
    </row>
    <row r="181" spans="1:42">
      <c r="A181" s="118"/>
      <c r="B181" s="8" t="str">
        <f>装备!B181</f>
        <v>IT09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VLOOKUP(LEFT(RIGHT(B181,5),4),装备!B:CU,2,FALSE)</f>
        <v>天人五衰劫</v>
      </c>
      <c r="I181" s="8" t="str">
        <f>VLOOKUP(B181,装备!B:CV,99,FALSE)</f>
        <v>渡过该劫后可结成|Cffff0000至圣道果|r。|n|n|Cffff0000至圣道果：|r|n攻击+8000|n法强+8000|n生命值+16000|n|Cffffd24d元神力+16|r|n|n|Cff00ff7f战力推荐：|r</v>
      </c>
      <c r="J181" s="120" t="str">
        <f t="shared" si="68"/>
        <v>天人五衰劫</v>
      </c>
      <c r="K181" s="120" t="str">
        <f t="shared" si="69"/>
        <v>渡过该劫后可结成|Cffff0000至圣道果|r。|n|n|Cffff0000至圣道果：|r|n攻击+8000|n法强+8000|n生命值+16000|n|Cffffd24d元神力+16|r|n|n|Cff00ff7f战力推荐：|r</v>
      </c>
      <c r="L181" s="8"/>
      <c r="M181" s="121" t="str">
        <f>VLOOKUP(LEFT(RIGHT(B181,5),4),装备!B:CU,20,FALSE)</f>
        <v>ReplaceableTextures\\CommandButtons\\BTNIT09.blp</v>
      </c>
      <c r="N181" s="138" t="s">
        <v>83</v>
      </c>
      <c r="O181" s="121" t="s">
        <v>90</v>
      </c>
      <c r="P181" s="8">
        <v>0</v>
      </c>
      <c r="Q181" s="8">
        <v>2</v>
      </c>
      <c r="R181" s="138" t="s">
        <v>83</v>
      </c>
      <c r="S181" s="138" t="s">
        <v>83</v>
      </c>
      <c r="T181" s="138" t="s">
        <v>83</v>
      </c>
      <c r="U181" s="138" t="s">
        <v>83</v>
      </c>
      <c r="V181" s="8"/>
      <c r="W181" s="8" t="s">
        <v>87</v>
      </c>
      <c r="X181" s="8">
        <v>50000</v>
      </c>
      <c r="Y181" s="138" t="s">
        <v>83</v>
      </c>
      <c r="Z181" s="8">
        <v>0</v>
      </c>
      <c r="AA181" s="8">
        <v>0</v>
      </c>
      <c r="AB181" s="120">
        <v>9</v>
      </c>
      <c r="AC181" s="8">
        <v>1</v>
      </c>
      <c r="AD181" s="8">
        <v>1</v>
      </c>
      <c r="AE181" s="138" t="s">
        <v>83</v>
      </c>
      <c r="AF181" s="138" t="s">
        <v>83</v>
      </c>
      <c r="AG181" s="138" t="s">
        <v>83</v>
      </c>
      <c r="AH181" s="138" t="s">
        <v>83</v>
      </c>
      <c r="AI181" s="8">
        <v>1</v>
      </c>
      <c r="AJ181" s="8"/>
      <c r="AK181" s="8">
        <v>1</v>
      </c>
      <c r="AL181" s="8">
        <v>1</v>
      </c>
      <c r="AM181" s="138" t="s">
        <v>83</v>
      </c>
      <c r="AN181" s="8">
        <v>1</v>
      </c>
      <c r="AO181" s="8">
        <v>1</v>
      </c>
      <c r="AP181" s="8">
        <v>1</v>
      </c>
    </row>
    <row r="182" spans="1:42">
      <c r="A182" s="118"/>
      <c r="B182" s="8" t="str">
        <f>装备!B182</f>
        <v>IT10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VLOOKUP(LEFT(RIGHT(B182,5),4),装备!B:CU,2,FALSE)</f>
        <v>|CffFF0000混元灭世劫|r</v>
      </c>
      <c r="I182" s="8" t="str">
        <f>VLOOKUP(B182,装备!B:CV,99,FALSE)</f>
        <v>渡过该劫后可结成|Cffff0000混沌道果|r。|n|n|Cffff0000混沌道果：|r|n攻击+10000|n法强+10000|n生命值+20000|n|Cffffd24d元神力+20|r|n|n|Cff00ff7f战力推荐：|r</v>
      </c>
      <c r="J182" s="120" t="str">
        <f t="shared" si="68"/>
        <v>|CffFF0000混元灭世劫|r</v>
      </c>
      <c r="K182" s="120" t="str">
        <f t="shared" si="69"/>
        <v>渡过该劫后可结成|Cffff0000混沌道果|r。|n|n|Cffff0000混沌道果：|r|n攻击+10000|n法强+10000|n生命值+20000|n|Cffffd24d元神力+20|r|n|n|Cff00ff7f战力推荐：|r</v>
      </c>
      <c r="L182" s="8"/>
      <c r="M182" s="121" t="str">
        <f>VLOOKUP(LEFT(RIGHT(B182,5),4),装备!B:CU,20,FALSE)</f>
        <v>ReplaceableTextures\\CommandButtons\\BTNIT10.blp</v>
      </c>
      <c r="N182" s="138" t="s">
        <v>83</v>
      </c>
      <c r="O182" s="121" t="s">
        <v>90</v>
      </c>
      <c r="P182" s="8">
        <v>1</v>
      </c>
      <c r="Q182" s="8">
        <v>2</v>
      </c>
      <c r="R182" s="138" t="s">
        <v>83</v>
      </c>
      <c r="S182" s="138" t="s">
        <v>83</v>
      </c>
      <c r="T182" s="138" t="s">
        <v>83</v>
      </c>
      <c r="U182" s="138" t="s">
        <v>83</v>
      </c>
      <c r="V182" s="8"/>
      <c r="W182" s="8" t="s">
        <v>87</v>
      </c>
      <c r="X182" s="8">
        <v>80000</v>
      </c>
      <c r="Y182" s="138" t="s">
        <v>83</v>
      </c>
      <c r="Z182" s="8">
        <v>0</v>
      </c>
      <c r="AA182" s="8">
        <v>0</v>
      </c>
      <c r="AB182" s="120">
        <v>10</v>
      </c>
      <c r="AC182" s="8">
        <v>1</v>
      </c>
      <c r="AD182" s="8">
        <v>1</v>
      </c>
      <c r="AE182" s="138" t="s">
        <v>83</v>
      </c>
      <c r="AF182" s="138" t="s">
        <v>83</v>
      </c>
      <c r="AG182" s="138" t="s">
        <v>83</v>
      </c>
      <c r="AH182" s="138" t="s">
        <v>83</v>
      </c>
      <c r="AI182" s="8">
        <v>1</v>
      </c>
      <c r="AJ182" s="8"/>
      <c r="AK182" s="8">
        <v>1</v>
      </c>
      <c r="AL182" s="8">
        <v>1</v>
      </c>
      <c r="AM182" s="138" t="s">
        <v>83</v>
      </c>
      <c r="AN182" s="8">
        <v>1</v>
      </c>
      <c r="AO182" s="8">
        <v>1</v>
      </c>
      <c r="AP182" s="8">
        <v>1</v>
      </c>
    </row>
    <row r="183" spans="1:42">
      <c r="A183" s="118"/>
      <c r="B183" s="8" t="str">
        <f>装备!B183</f>
        <v>IT11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VLOOKUP(LEFT(RIGHT(B183,5),4),装备!B:CU,2,FALSE)</f>
        <v>斩三尸</v>
      </c>
      <c r="I183" s="8" t="str">
        <f>VLOOKUP(B183,装备!B:CV,99,FALSE)</f>
        <v>境界挑战11</v>
      </c>
      <c r="J183" s="120" t="str">
        <f t="shared" ref="J183:J189" si="70">H183</f>
        <v>斩三尸</v>
      </c>
      <c r="K183" s="120" t="str">
        <f t="shared" ref="K183:K189" si="71">I183</f>
        <v>境界挑战11</v>
      </c>
      <c r="L183" s="8"/>
      <c r="M183" s="121" t="str">
        <f>VLOOKUP(LEFT(RIGHT(B183,5),4),装备!B:CU,20,FALSE)</f>
        <v>ReplaceableTextures\\CommandButtons\\BTNIT11.blp</v>
      </c>
      <c r="N183" s="138" t="s">
        <v>83</v>
      </c>
      <c r="O183" s="121" t="s">
        <v>90</v>
      </c>
      <c r="P183" s="8">
        <v>2</v>
      </c>
      <c r="Q183" s="8">
        <v>1</v>
      </c>
      <c r="R183" s="138" t="s">
        <v>83</v>
      </c>
      <c r="S183" s="138" t="s">
        <v>83</v>
      </c>
      <c r="T183" s="138" t="s">
        <v>83</v>
      </c>
      <c r="U183" s="138" t="s">
        <v>83</v>
      </c>
      <c r="V183" s="8"/>
      <c r="W183" s="8" t="s">
        <v>87</v>
      </c>
      <c r="X183" s="8">
        <v>0</v>
      </c>
      <c r="Y183" s="138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38" t="s">
        <v>83</v>
      </c>
      <c r="AF183" s="138" t="s">
        <v>83</v>
      </c>
      <c r="AG183" s="138" t="s">
        <v>83</v>
      </c>
      <c r="AH183" s="138" t="s">
        <v>83</v>
      </c>
      <c r="AI183" s="8">
        <v>1</v>
      </c>
      <c r="AJ183" s="8"/>
      <c r="AK183" s="8">
        <v>1</v>
      </c>
      <c r="AL183" s="8">
        <v>1</v>
      </c>
      <c r="AM183" s="138" t="s">
        <v>83</v>
      </c>
      <c r="AN183" s="8">
        <v>1</v>
      </c>
      <c r="AO183" s="8">
        <v>1</v>
      </c>
      <c r="AP183" s="8">
        <v>1</v>
      </c>
    </row>
    <row r="184" spans="1:42">
      <c r="A184" s="118"/>
      <c r="B184" s="8" t="str">
        <f>装备!B184</f>
        <v>IT12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VLOOKUP(LEFT(RIGHT(B184,5),4),装备!B:CU,2,FALSE)</f>
        <v>无量量劫</v>
      </c>
      <c r="I184" s="8" t="str">
        <f>VLOOKUP(B184,装备!B:CV,99,FALSE)</f>
        <v>境界挑战12</v>
      </c>
      <c r="J184" s="120" t="str">
        <f t="shared" si="70"/>
        <v>无量量劫</v>
      </c>
      <c r="K184" s="120" t="str">
        <f t="shared" si="71"/>
        <v>境界挑战12</v>
      </c>
      <c r="L184" s="8"/>
      <c r="M184" s="121" t="str">
        <f>VLOOKUP(LEFT(RIGHT(B184,5),4),装备!B:CU,20,FALSE)</f>
        <v>ReplaceableTextures\\CommandButtons\\BTNIT12.blp</v>
      </c>
      <c r="N184" s="138" t="s">
        <v>83</v>
      </c>
      <c r="O184" s="121" t="s">
        <v>90</v>
      </c>
      <c r="P184" s="8">
        <v>3</v>
      </c>
      <c r="Q184" s="8">
        <v>1</v>
      </c>
      <c r="R184" s="138" t="s">
        <v>83</v>
      </c>
      <c r="S184" s="138" t="s">
        <v>83</v>
      </c>
      <c r="T184" s="138" t="s">
        <v>83</v>
      </c>
      <c r="U184" s="138" t="s">
        <v>83</v>
      </c>
      <c r="V184" s="8"/>
      <c r="W184" s="8" t="s">
        <v>87</v>
      </c>
      <c r="X184" s="8">
        <v>0</v>
      </c>
      <c r="Y184" s="138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38" t="s">
        <v>83</v>
      </c>
      <c r="AF184" s="138" t="s">
        <v>83</v>
      </c>
      <c r="AG184" s="138" t="s">
        <v>83</v>
      </c>
      <c r="AH184" s="138" t="s">
        <v>83</v>
      </c>
      <c r="AI184" s="8">
        <v>1</v>
      </c>
      <c r="AJ184" s="8"/>
      <c r="AK184" s="8">
        <v>1</v>
      </c>
      <c r="AL184" s="8">
        <v>1</v>
      </c>
      <c r="AM184" s="138" t="s">
        <v>83</v>
      </c>
      <c r="AN184" s="8">
        <v>1</v>
      </c>
      <c r="AO184" s="8">
        <v>1</v>
      </c>
      <c r="AP184" s="8">
        <v>1</v>
      </c>
    </row>
    <row r="185" spans="1:42">
      <c r="A185" s="118"/>
      <c r="B185" s="8" t="str">
        <f>装备!B185</f>
        <v>IT13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VLOOKUP(LEFT(RIGHT(B185,5),4),装备!B:CU,2,FALSE)</f>
        <v>鸿钧对练</v>
      </c>
      <c r="I185" s="8" t="str">
        <f>VLOOKUP(B185,装备!B:CV,99,FALSE)</f>
        <v>境界挑战13</v>
      </c>
      <c r="J185" s="120" t="str">
        <f t="shared" si="70"/>
        <v>鸿钧对练</v>
      </c>
      <c r="K185" s="120" t="str">
        <f t="shared" si="71"/>
        <v>境界挑战13</v>
      </c>
      <c r="L185" s="8"/>
      <c r="M185" s="121" t="str">
        <f>VLOOKUP(LEFT(RIGHT(B185,5),4),装备!B:CU,20,FALSE)</f>
        <v>ReplaceableTextures\\CommandButtons\\BTNIT13.blp</v>
      </c>
      <c r="N185" s="138" t="s">
        <v>83</v>
      </c>
      <c r="O185" s="121" t="s">
        <v>90</v>
      </c>
      <c r="P185" s="8">
        <v>0</v>
      </c>
      <c r="Q185" s="8">
        <v>2</v>
      </c>
      <c r="R185" s="138" t="s">
        <v>83</v>
      </c>
      <c r="S185" s="138" t="s">
        <v>83</v>
      </c>
      <c r="T185" s="138" t="s">
        <v>83</v>
      </c>
      <c r="U185" s="138" t="s">
        <v>83</v>
      </c>
      <c r="V185" s="8"/>
      <c r="W185" s="8" t="s">
        <v>87</v>
      </c>
      <c r="X185" s="8">
        <v>0</v>
      </c>
      <c r="Y185" s="138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38" t="s">
        <v>83</v>
      </c>
      <c r="AF185" s="138" t="s">
        <v>83</v>
      </c>
      <c r="AG185" s="138" t="s">
        <v>83</v>
      </c>
      <c r="AH185" s="138" t="s">
        <v>83</v>
      </c>
      <c r="AI185" s="8">
        <v>1</v>
      </c>
      <c r="AJ185" s="8"/>
      <c r="AK185" s="8">
        <v>1</v>
      </c>
      <c r="AL185" s="8">
        <v>1</v>
      </c>
      <c r="AM185" s="138" t="s">
        <v>83</v>
      </c>
      <c r="AN185" s="8">
        <v>1</v>
      </c>
      <c r="AO185" s="8">
        <v>1</v>
      </c>
      <c r="AP185" s="8">
        <v>1</v>
      </c>
    </row>
    <row r="186" spans="1:42">
      <c r="A186" s="118"/>
      <c r="B186" s="8" t="str">
        <f>装备!B186</f>
        <v>IT14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VLOOKUP(LEFT(RIGHT(B186,5),4),装备!B:CU,2,FALSE)</f>
        <v>境界挑战14</v>
      </c>
      <c r="I186" s="8" t="str">
        <f>VLOOKUP(B186,装备!B:CV,99,FALSE)</f>
        <v>境界挑战14</v>
      </c>
      <c r="J186" s="120" t="str">
        <f t="shared" si="70"/>
        <v>境界挑战14</v>
      </c>
      <c r="K186" s="120" t="str">
        <f t="shared" si="71"/>
        <v>境界挑战14</v>
      </c>
      <c r="L186" s="8"/>
      <c r="M186" s="121" t="str">
        <f>VLOOKUP(LEFT(RIGHT(B186,5),4),装备!B:CU,20,FALSE)</f>
        <v>ReplaceableTextures\\CommandButtons\\BTNIT14.blp</v>
      </c>
      <c r="N186" s="138" t="s">
        <v>83</v>
      </c>
      <c r="O186" s="121" t="s">
        <v>90</v>
      </c>
      <c r="P186" s="8">
        <v>1</v>
      </c>
      <c r="Q186" s="8">
        <v>2</v>
      </c>
      <c r="R186" s="138" t="s">
        <v>83</v>
      </c>
      <c r="S186" s="138" t="s">
        <v>83</v>
      </c>
      <c r="T186" s="138" t="s">
        <v>83</v>
      </c>
      <c r="U186" s="138" t="s">
        <v>83</v>
      </c>
      <c r="V186" s="8"/>
      <c r="W186" s="8" t="s">
        <v>87</v>
      </c>
      <c r="X186" s="8">
        <v>0</v>
      </c>
      <c r="Y186" s="138" t="s">
        <v>83</v>
      </c>
      <c r="Z186" s="8">
        <v>0</v>
      </c>
      <c r="AA186" s="8">
        <v>0</v>
      </c>
      <c r="AB186" s="8">
        <v>0</v>
      </c>
      <c r="AC186" s="8">
        <v>1</v>
      </c>
      <c r="AD186" s="8">
        <v>1</v>
      </c>
      <c r="AE186" s="138" t="s">
        <v>83</v>
      </c>
      <c r="AF186" s="138" t="s">
        <v>83</v>
      </c>
      <c r="AG186" s="138" t="s">
        <v>83</v>
      </c>
      <c r="AH186" s="138" t="s">
        <v>83</v>
      </c>
      <c r="AI186" s="8">
        <v>1</v>
      </c>
      <c r="AJ186" s="8"/>
      <c r="AK186" s="8">
        <v>1</v>
      </c>
      <c r="AL186" s="8">
        <v>1</v>
      </c>
      <c r="AM186" s="138" t="s">
        <v>83</v>
      </c>
      <c r="AN186" s="8">
        <v>1</v>
      </c>
      <c r="AO186" s="8">
        <v>1</v>
      </c>
      <c r="AP186" s="8">
        <v>1</v>
      </c>
    </row>
    <row r="187" spans="1:42">
      <c r="A187" s="118"/>
      <c r="B187" s="8" t="str">
        <f>装备!B187</f>
        <v>IZ0A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VLOOKUP(LEFT(RIGHT(B187,5),4),装备!B:CU,2,FALSE)</f>
        <v>暂停进攻</v>
      </c>
      <c r="I187" s="8" t="str">
        <f>VLOOKUP(B187,装备!B:CV,99,FALSE)</f>
        <v>暂停进攻</v>
      </c>
      <c r="J187" s="120" t="str">
        <f t="shared" si="70"/>
        <v>暂停进攻</v>
      </c>
      <c r="K187" s="120" t="str">
        <f t="shared" si="71"/>
        <v>暂停进攻</v>
      </c>
      <c r="L187" s="8"/>
      <c r="M187" s="121" t="str">
        <f>VLOOKUP(LEFT(RIGHT(B187,5),4),装备!B:CU,20,FALSE)</f>
        <v>ReplaceableTextures\\CommandButtons\\BTNIZ0A.blp</v>
      </c>
      <c r="N187" s="138" t="s">
        <v>83</v>
      </c>
      <c r="O187" s="121" t="s">
        <v>90</v>
      </c>
      <c r="P187" s="8">
        <v>1</v>
      </c>
      <c r="Q187" s="8">
        <v>2</v>
      </c>
      <c r="R187" s="138" t="s">
        <v>83</v>
      </c>
      <c r="S187" s="138" t="s">
        <v>83</v>
      </c>
      <c r="T187" s="138" t="s">
        <v>83</v>
      </c>
      <c r="U187" s="138" t="s">
        <v>83</v>
      </c>
      <c r="V187" s="8"/>
      <c r="W187" s="8" t="s">
        <v>87</v>
      </c>
      <c r="X187" s="8">
        <v>10000</v>
      </c>
      <c r="Y187" s="138" t="s">
        <v>83</v>
      </c>
      <c r="Z187" s="8">
        <v>120</v>
      </c>
      <c r="AA187" s="8">
        <v>300</v>
      </c>
      <c r="AB187" s="8">
        <v>0</v>
      </c>
      <c r="AC187" s="8">
        <v>1</v>
      </c>
      <c r="AD187" s="8">
        <v>1</v>
      </c>
      <c r="AE187" s="138" t="s">
        <v>83</v>
      </c>
      <c r="AF187" s="138" t="s">
        <v>83</v>
      </c>
      <c r="AG187" s="138" t="s">
        <v>83</v>
      </c>
      <c r="AH187" s="138" t="s">
        <v>83</v>
      </c>
      <c r="AI187" s="8">
        <v>1</v>
      </c>
      <c r="AJ187" s="8"/>
      <c r="AK187" s="8">
        <v>1</v>
      </c>
      <c r="AL187" s="8">
        <v>1</v>
      </c>
      <c r="AM187" s="138" t="s">
        <v>83</v>
      </c>
      <c r="AN187" s="8">
        <v>1</v>
      </c>
      <c r="AO187" s="8">
        <v>1</v>
      </c>
      <c r="AP187" s="8">
        <v>1</v>
      </c>
    </row>
    <row r="188" spans="1:42">
      <c r="A188" s="118"/>
      <c r="B188" s="8" t="str">
        <f>装备!B188</f>
        <v>IZ01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VLOOKUP(LEFT(RIGHT(B188,5),4),装备!B:CU,2,FALSE)</f>
        <v>团队副本-万仙阵</v>
      </c>
      <c r="I188" s="8" t="str">
        <f>VLOOKUP(B188,装备!B:CV,99,FALSE)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8" s="120" t="str">
        <f t="shared" ref="J188" si="72">H188</f>
        <v>团队副本-万仙阵</v>
      </c>
      <c r="K188" s="120" t="str">
        <f t="shared" ref="K188" si="73">I188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8" s="8"/>
      <c r="M188" s="121" t="str">
        <f>VLOOKUP(LEFT(RIGHT(B188,5),4),装备!B:CU,20,FALSE)</f>
        <v>ReplaceableTextures\\CommandButtons\\BTNIZ01.blp</v>
      </c>
      <c r="N188" s="138" t="s">
        <v>83</v>
      </c>
      <c r="O188" s="121" t="s">
        <v>90</v>
      </c>
      <c r="P188" s="8">
        <v>1</v>
      </c>
      <c r="Q188" s="8">
        <v>2</v>
      </c>
      <c r="R188" s="138" t="s">
        <v>83</v>
      </c>
      <c r="S188" s="138" t="s">
        <v>83</v>
      </c>
      <c r="T188" s="138" t="s">
        <v>83</v>
      </c>
      <c r="U188" s="138" t="s">
        <v>83</v>
      </c>
      <c r="V188" s="8"/>
      <c r="W188" s="8" t="s">
        <v>87</v>
      </c>
      <c r="X188" s="8">
        <v>0</v>
      </c>
      <c r="Y188" s="138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38" t="s">
        <v>83</v>
      </c>
      <c r="AF188" s="138" t="s">
        <v>83</v>
      </c>
      <c r="AG188" s="138" t="s">
        <v>83</v>
      </c>
      <c r="AH188" s="138" t="s">
        <v>83</v>
      </c>
      <c r="AI188" s="8">
        <v>1</v>
      </c>
      <c r="AJ188" s="8"/>
      <c r="AK188" s="8">
        <v>1</v>
      </c>
      <c r="AL188" s="8">
        <v>1</v>
      </c>
      <c r="AM188" s="138" t="s">
        <v>83</v>
      </c>
      <c r="AN188" s="8">
        <v>1</v>
      </c>
      <c r="AO188" s="8">
        <v>1</v>
      </c>
      <c r="AP188" s="8">
        <v>1</v>
      </c>
    </row>
    <row r="189" spans="1:42">
      <c r="A189" s="118"/>
      <c r="B189" s="8" t="str">
        <f>装备!B189</f>
        <v>IS01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VLOOKUP(LEFT(RIGHT(B189,5),4),装备!B:CU,2,FALSE)</f>
        <v>抽技能Q</v>
      </c>
      <c r="I189" s="8" t="str">
        <f>VLOOKUP(B189,装备!B:CV,99,FALSE)</f>
        <v>抽技能Q</v>
      </c>
      <c r="J189" s="120" t="str">
        <f t="shared" si="70"/>
        <v>抽技能Q</v>
      </c>
      <c r="K189" s="120" t="str">
        <f t="shared" si="71"/>
        <v>抽技能Q</v>
      </c>
      <c r="L189" s="8"/>
      <c r="M189" s="121" t="str">
        <f>VLOOKUP(LEFT(RIGHT(B189,5),4),装备!B:CU,20,FALSE)</f>
        <v>ReplaceableTextures\\CommandButtons\\BTN001.blp</v>
      </c>
      <c r="N189" s="138" t="s">
        <v>83</v>
      </c>
      <c r="O189" s="121" t="s">
        <v>90</v>
      </c>
      <c r="P189" s="8">
        <v>0</v>
      </c>
      <c r="Q189" s="8">
        <v>0</v>
      </c>
      <c r="R189" s="138" t="s">
        <v>83</v>
      </c>
      <c r="S189" s="138" t="s">
        <v>83</v>
      </c>
      <c r="T189" s="138" t="s">
        <v>83</v>
      </c>
      <c r="U189" s="138" t="s">
        <v>83</v>
      </c>
      <c r="V189" s="8"/>
      <c r="W189" s="8" t="s">
        <v>87</v>
      </c>
      <c r="X189" s="8">
        <v>0</v>
      </c>
      <c r="Y189" s="138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38" t="s">
        <v>83</v>
      </c>
      <c r="AF189" s="138" t="s">
        <v>83</v>
      </c>
      <c r="AG189" s="138" t="s">
        <v>83</v>
      </c>
      <c r="AH189" s="138" t="s">
        <v>83</v>
      </c>
      <c r="AI189" s="8">
        <v>1</v>
      </c>
      <c r="AJ189" s="8"/>
      <c r="AK189" s="8">
        <v>1</v>
      </c>
      <c r="AL189" s="8">
        <v>1</v>
      </c>
      <c r="AM189" s="138" t="s">
        <v>83</v>
      </c>
      <c r="AN189" s="8">
        <v>1</v>
      </c>
      <c r="AO189" s="8">
        <v>1</v>
      </c>
      <c r="AP189" s="8">
        <v>1</v>
      </c>
    </row>
    <row r="190" spans="1:42">
      <c r="A190" s="118"/>
      <c r="B190" s="8" t="str">
        <f>装备!B190</f>
        <v>IS02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VLOOKUP(LEFT(RIGHT(B190,5),4),装备!B:CU,2,FALSE)</f>
        <v>抽技能W</v>
      </c>
      <c r="I190" s="8" t="str">
        <f>VLOOKUP(B190,装备!B:CV,99,FALSE)</f>
        <v>抽技能W</v>
      </c>
      <c r="J190" s="120" t="str">
        <f t="shared" si="68"/>
        <v>抽技能W</v>
      </c>
      <c r="K190" s="120" t="str">
        <f t="shared" si="69"/>
        <v>抽技能W</v>
      </c>
      <c r="L190" s="8"/>
      <c r="M190" s="121" t="str">
        <f>VLOOKUP(LEFT(RIGHT(B190,5),4),装备!B:CU,20,FALSE)</f>
        <v>ReplaceableTextures\\CommandButtons\\BTN002.blp</v>
      </c>
      <c r="N190" s="138" t="s">
        <v>83</v>
      </c>
      <c r="O190" s="121" t="s">
        <v>90</v>
      </c>
      <c r="P190" s="8">
        <v>1</v>
      </c>
      <c r="Q190" s="8">
        <v>0</v>
      </c>
      <c r="R190" s="138" t="s">
        <v>83</v>
      </c>
      <c r="S190" s="138" t="s">
        <v>83</v>
      </c>
      <c r="T190" s="138" t="s">
        <v>83</v>
      </c>
      <c r="U190" s="138" t="s">
        <v>83</v>
      </c>
      <c r="V190" s="8"/>
      <c r="W190" s="8" t="s">
        <v>87</v>
      </c>
      <c r="X190" s="8">
        <v>0</v>
      </c>
      <c r="Y190" s="138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38" t="s">
        <v>83</v>
      </c>
      <c r="AF190" s="138" t="s">
        <v>83</v>
      </c>
      <c r="AG190" s="138" t="s">
        <v>83</v>
      </c>
      <c r="AH190" s="138" t="s">
        <v>83</v>
      </c>
      <c r="AI190" s="8">
        <v>1</v>
      </c>
      <c r="AJ190" s="8"/>
      <c r="AK190" s="8">
        <v>1</v>
      </c>
      <c r="AL190" s="8">
        <v>1</v>
      </c>
      <c r="AM190" s="138" t="s">
        <v>83</v>
      </c>
      <c r="AN190" s="8">
        <v>1</v>
      </c>
      <c r="AO190" s="8">
        <v>1</v>
      </c>
      <c r="AP190" s="8">
        <v>1</v>
      </c>
    </row>
    <row r="191" spans="1:42">
      <c r="A191" s="118"/>
      <c r="B191" s="8" t="str">
        <f>装备!B191</f>
        <v>IS03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VLOOKUP(LEFT(RIGHT(B191,5),4),装备!B:CU,2,FALSE)</f>
        <v>抽技能E</v>
      </c>
      <c r="I191" s="8" t="str">
        <f>VLOOKUP(B191,装备!B:CV,99,FALSE)</f>
        <v>抽技能E</v>
      </c>
      <c r="J191" s="120" t="str">
        <f t="shared" si="68"/>
        <v>抽技能E</v>
      </c>
      <c r="K191" s="120" t="str">
        <f t="shared" si="69"/>
        <v>抽技能E</v>
      </c>
      <c r="L191" s="8"/>
      <c r="M191" s="121" t="str">
        <f>VLOOKUP(LEFT(RIGHT(B191,5),4),装备!B:CU,20,FALSE)</f>
        <v>ReplaceableTextures\\CommandButtons\\BTN003.blp</v>
      </c>
      <c r="N191" s="138" t="s">
        <v>83</v>
      </c>
      <c r="O191" s="121" t="s">
        <v>90</v>
      </c>
      <c r="P191" s="8">
        <v>2</v>
      </c>
      <c r="Q191" s="8">
        <v>0</v>
      </c>
      <c r="R191" s="138" t="s">
        <v>83</v>
      </c>
      <c r="S191" s="138" t="s">
        <v>83</v>
      </c>
      <c r="T191" s="138" t="s">
        <v>83</v>
      </c>
      <c r="U191" s="138" t="s">
        <v>83</v>
      </c>
      <c r="V191" s="8"/>
      <c r="W191" s="8" t="s">
        <v>87</v>
      </c>
      <c r="X191" s="8">
        <v>0</v>
      </c>
      <c r="Y191" s="138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38" t="s">
        <v>83</v>
      </c>
      <c r="AF191" s="138" t="s">
        <v>83</v>
      </c>
      <c r="AG191" s="138" t="s">
        <v>83</v>
      </c>
      <c r="AH191" s="138" t="s">
        <v>83</v>
      </c>
      <c r="AI191" s="8">
        <v>1</v>
      </c>
      <c r="AJ191" s="8"/>
      <c r="AK191" s="8">
        <v>1</v>
      </c>
      <c r="AL191" s="8">
        <v>1</v>
      </c>
      <c r="AM191" s="138" t="s">
        <v>83</v>
      </c>
      <c r="AN191" s="8">
        <v>1</v>
      </c>
      <c r="AO191" s="8">
        <v>1</v>
      </c>
      <c r="AP191" s="8">
        <v>1</v>
      </c>
    </row>
    <row r="192" spans="1:42">
      <c r="A192" s="118"/>
      <c r="B192" s="8" t="str">
        <f>装备!B192</f>
        <v>IS21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VLOOKUP(LEFT(RIGHT(B192,5),4),装备!B:CU,2,FALSE)</f>
        <v>Q附魔</v>
      </c>
      <c r="I192" s="8" t="str">
        <f>VLOOKUP(B192,装备!B:CV,99,FALSE)</f>
        <v>Q附魔</v>
      </c>
      <c r="J192" s="120" t="str">
        <f t="shared" si="68"/>
        <v>Q附魔</v>
      </c>
      <c r="K192" s="120" t="str">
        <f t="shared" si="69"/>
        <v>Q附魔</v>
      </c>
      <c r="L192" s="8"/>
      <c r="M192" s="121" t="str">
        <f>VLOOKUP(LEFT(RIGHT(B192,5),4),装备!B:CU,20,FALSE)</f>
        <v>ReplaceableTextures\\CommandButtons\\BTNIN01.blp</v>
      </c>
      <c r="N192" s="138" t="s">
        <v>83</v>
      </c>
      <c r="O192" s="121" t="s">
        <v>90</v>
      </c>
      <c r="P192" s="8">
        <v>0</v>
      </c>
      <c r="Q192" s="8">
        <v>2</v>
      </c>
      <c r="R192" s="138" t="s">
        <v>83</v>
      </c>
      <c r="S192" s="138" t="s">
        <v>83</v>
      </c>
      <c r="T192" s="138" t="s">
        <v>83</v>
      </c>
      <c r="U192" s="138" t="s">
        <v>83</v>
      </c>
      <c r="V192" s="8"/>
      <c r="W192" s="8" t="s">
        <v>87</v>
      </c>
      <c r="X192" s="8">
        <v>0</v>
      </c>
      <c r="Y192" s="138" t="s">
        <v>83</v>
      </c>
      <c r="Z192" s="8">
        <v>360</v>
      </c>
      <c r="AA192" s="8">
        <v>0</v>
      </c>
      <c r="AB192" s="8">
        <v>0</v>
      </c>
      <c r="AC192" s="8">
        <v>1</v>
      </c>
      <c r="AD192" s="8">
        <v>1</v>
      </c>
      <c r="AE192" s="138" t="s">
        <v>83</v>
      </c>
      <c r="AF192" s="138" t="s">
        <v>83</v>
      </c>
      <c r="AG192" s="138" t="s">
        <v>83</v>
      </c>
      <c r="AH192" s="138" t="s">
        <v>83</v>
      </c>
      <c r="AI192" s="8">
        <v>1</v>
      </c>
      <c r="AJ192" s="8"/>
      <c r="AK192" s="8">
        <v>1</v>
      </c>
      <c r="AL192" s="8">
        <v>1</v>
      </c>
      <c r="AM192" s="138" t="s">
        <v>83</v>
      </c>
      <c r="AN192" s="8">
        <v>1</v>
      </c>
      <c r="AO192" s="8">
        <v>1</v>
      </c>
      <c r="AP192" s="8">
        <v>1</v>
      </c>
    </row>
    <row r="193" spans="1:42">
      <c r="A193" s="118"/>
      <c r="B193" s="8" t="str">
        <f>装备!B193</f>
        <v>IS22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VLOOKUP(LEFT(RIGHT(B193,5),4),装备!B:CU,2,FALSE)</f>
        <v>W附魔</v>
      </c>
      <c r="I193" s="8" t="str">
        <f>VLOOKUP(B193,装备!B:CV,99,FALSE)</f>
        <v>W附魔</v>
      </c>
      <c r="J193" s="120" t="str">
        <f t="shared" ref="J193:J194" si="74">H193</f>
        <v>W附魔</v>
      </c>
      <c r="K193" s="120" t="str">
        <f t="shared" ref="K193:K194" si="75">I193</f>
        <v>W附魔</v>
      </c>
      <c r="L193" s="8"/>
      <c r="M193" s="121" t="str">
        <f>VLOOKUP(LEFT(RIGHT(B193,5),4),装备!B:CU,20,FALSE)</f>
        <v>ReplaceableTextures\\CommandButtons\\BTNIN02.blp</v>
      </c>
      <c r="N193" s="138" t="s">
        <v>83</v>
      </c>
      <c r="O193" s="121" t="s">
        <v>90</v>
      </c>
      <c r="P193" s="8">
        <v>1</v>
      </c>
      <c r="Q193" s="8">
        <v>2</v>
      </c>
      <c r="R193" s="138" t="s">
        <v>83</v>
      </c>
      <c r="S193" s="138" t="s">
        <v>83</v>
      </c>
      <c r="T193" s="138" t="s">
        <v>83</v>
      </c>
      <c r="U193" s="138" t="s">
        <v>83</v>
      </c>
      <c r="V193" s="8"/>
      <c r="W193" s="8" t="s">
        <v>87</v>
      </c>
      <c r="X193" s="8">
        <v>0</v>
      </c>
      <c r="Y193" s="138" t="s">
        <v>83</v>
      </c>
      <c r="Z193" s="8">
        <v>360</v>
      </c>
      <c r="AA193" s="8">
        <v>0</v>
      </c>
      <c r="AB193" s="8">
        <v>0</v>
      </c>
      <c r="AC193" s="8">
        <v>1</v>
      </c>
      <c r="AD193" s="8">
        <v>1</v>
      </c>
      <c r="AE193" s="138" t="s">
        <v>83</v>
      </c>
      <c r="AF193" s="138" t="s">
        <v>83</v>
      </c>
      <c r="AG193" s="138" t="s">
        <v>83</v>
      </c>
      <c r="AH193" s="138" t="s">
        <v>83</v>
      </c>
      <c r="AI193" s="8">
        <v>1</v>
      </c>
      <c r="AJ193" s="8"/>
      <c r="AK193" s="8">
        <v>1</v>
      </c>
      <c r="AL193" s="8">
        <v>1</v>
      </c>
      <c r="AM193" s="138" t="s">
        <v>83</v>
      </c>
      <c r="AN193" s="8">
        <v>1</v>
      </c>
      <c r="AO193" s="8">
        <v>1</v>
      </c>
      <c r="AP193" s="8">
        <v>1</v>
      </c>
    </row>
    <row r="194" spans="1:42">
      <c r="A194" s="118"/>
      <c r="B194" s="8" t="str">
        <f>装备!B194</f>
        <v>IS23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VLOOKUP(LEFT(RIGHT(B194,5),4),装备!B:CU,2,FALSE)</f>
        <v>E附魔</v>
      </c>
      <c r="I194" s="8" t="str">
        <f>VLOOKUP(B194,装备!B:CV,99,FALSE)</f>
        <v>E附魔</v>
      </c>
      <c r="J194" s="120" t="str">
        <f t="shared" si="74"/>
        <v>E附魔</v>
      </c>
      <c r="K194" s="120" t="str">
        <f t="shared" si="75"/>
        <v>E附魔</v>
      </c>
      <c r="L194" s="8"/>
      <c r="M194" s="121" t="str">
        <f>VLOOKUP(LEFT(RIGHT(B194,5),4),装备!B:CU,20,FALSE)</f>
        <v>ReplaceableTextures\\CommandButtons\\BTNIN03.blp</v>
      </c>
      <c r="N194" s="138" t="s">
        <v>83</v>
      </c>
      <c r="O194" s="121" t="s">
        <v>90</v>
      </c>
      <c r="P194" s="8">
        <v>2</v>
      </c>
      <c r="Q194" s="8">
        <v>2</v>
      </c>
      <c r="R194" s="138" t="s">
        <v>83</v>
      </c>
      <c r="S194" s="138" t="s">
        <v>83</v>
      </c>
      <c r="T194" s="138" t="s">
        <v>83</v>
      </c>
      <c r="U194" s="138" t="s">
        <v>83</v>
      </c>
      <c r="V194" s="8"/>
      <c r="W194" s="8" t="s">
        <v>87</v>
      </c>
      <c r="X194" s="8">
        <v>0</v>
      </c>
      <c r="Y194" s="138" t="s">
        <v>83</v>
      </c>
      <c r="Z194" s="8">
        <v>360</v>
      </c>
      <c r="AA194" s="8">
        <v>0</v>
      </c>
      <c r="AB194" s="8">
        <v>0</v>
      </c>
      <c r="AC194" s="8">
        <v>1</v>
      </c>
      <c r="AD194" s="8">
        <v>1</v>
      </c>
      <c r="AE194" s="138" t="s">
        <v>83</v>
      </c>
      <c r="AF194" s="138" t="s">
        <v>83</v>
      </c>
      <c r="AG194" s="138" t="s">
        <v>83</v>
      </c>
      <c r="AH194" s="138" t="s">
        <v>83</v>
      </c>
      <c r="AI194" s="8">
        <v>1</v>
      </c>
      <c r="AJ194" s="8"/>
      <c r="AK194" s="8">
        <v>1</v>
      </c>
      <c r="AL194" s="8">
        <v>1</v>
      </c>
      <c r="AM194" s="138" t="s">
        <v>83</v>
      </c>
      <c r="AN194" s="8">
        <v>1</v>
      </c>
      <c r="AO194" s="8">
        <v>1</v>
      </c>
      <c r="AP194" s="8">
        <v>1</v>
      </c>
    </row>
    <row r="195" spans="1:42">
      <c r="A195" s="118"/>
      <c r="B195" s="8" t="str">
        <f>装备!B195</f>
        <v>IS11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VLOOKUP(LEFT(RIGHT(B195,5),4),装备!B:CU,2,FALSE)</f>
        <v>占星</v>
      </c>
      <c r="I195" s="8" t="str">
        <f>VLOOKUP(B195,装备!B:CV,99,FALSE)</f>
        <v>占星</v>
      </c>
      <c r="J195" s="120" t="str">
        <f t="shared" ref="J195" si="76">H195</f>
        <v>占星</v>
      </c>
      <c r="K195" s="120" t="str">
        <f t="shared" ref="K195" si="77">I195</f>
        <v>占星</v>
      </c>
      <c r="L195" s="8"/>
      <c r="M195" s="121" t="str">
        <f>VLOOKUP(LEFT(RIGHT(B195,5),4),装备!B:CU,20,FALSE)</f>
        <v>ReplaceableTextures\\CommandButtons\\BTNIS11.blp</v>
      </c>
      <c r="N195" s="138" t="s">
        <v>83</v>
      </c>
      <c r="O195" s="121" t="s">
        <v>90</v>
      </c>
      <c r="P195" s="8">
        <v>0</v>
      </c>
      <c r="Q195" s="8">
        <v>0</v>
      </c>
      <c r="R195" s="138" t="s">
        <v>83</v>
      </c>
      <c r="S195" s="138" t="s">
        <v>83</v>
      </c>
      <c r="T195" s="138" t="s">
        <v>83</v>
      </c>
      <c r="U195" s="138" t="s">
        <v>83</v>
      </c>
      <c r="V195" s="8"/>
      <c r="W195" s="8" t="s">
        <v>87</v>
      </c>
      <c r="X195" s="8">
        <v>0</v>
      </c>
      <c r="Y195" s="138" t="s">
        <v>83</v>
      </c>
      <c r="Z195" s="8">
        <v>0</v>
      </c>
      <c r="AA195" s="8">
        <v>240</v>
      </c>
      <c r="AB195" s="8">
        <v>0</v>
      </c>
      <c r="AC195" s="8">
        <v>1</v>
      </c>
      <c r="AD195" s="8">
        <v>1</v>
      </c>
      <c r="AE195" s="138" t="s">
        <v>83</v>
      </c>
      <c r="AF195" s="138" t="s">
        <v>83</v>
      </c>
      <c r="AG195" s="138" t="s">
        <v>83</v>
      </c>
      <c r="AH195" s="138" t="s">
        <v>83</v>
      </c>
      <c r="AI195" s="8">
        <v>1</v>
      </c>
      <c r="AJ195" s="8"/>
      <c r="AK195" s="8">
        <v>1</v>
      </c>
      <c r="AL195" s="8">
        <v>1</v>
      </c>
      <c r="AM195" s="138" t="s">
        <v>83</v>
      </c>
      <c r="AN195" s="8">
        <v>1</v>
      </c>
      <c r="AO195" s="8">
        <v>1</v>
      </c>
      <c r="AP195" s="8">
        <v>1</v>
      </c>
    </row>
    <row r="196" spans="1:42">
      <c r="A196" s="118"/>
      <c r="B196" s="8" t="str">
        <f>装备!B196</f>
        <v>IS12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VLOOKUP(LEFT(RIGHT(B196,5),4),装备!B:CU,2,FALSE)</f>
        <v>|cffffcc00神兽抽取|r</v>
      </c>
      <c r="I196" s="8" t="str">
        <f>VLOOKUP(B196,装备!B:CV,99,FALSE)</f>
        <v>|cffffcc00神兽抽取|r</v>
      </c>
      <c r="J196" s="120" t="str">
        <f t="shared" si="68"/>
        <v>|cffffcc00神兽抽取|r</v>
      </c>
      <c r="K196" s="120" t="str">
        <f t="shared" si="69"/>
        <v>|cffffcc00神兽抽取|r</v>
      </c>
      <c r="L196" s="8"/>
      <c r="M196" s="121" t="str">
        <f>VLOOKUP(LEFT(RIGHT(B196,5),4),装备!B:CU,20,FALSE)</f>
        <v>ReplaceableTextures\\CommandButtons\\BTNIS12.blp</v>
      </c>
      <c r="N196" s="138" t="s">
        <v>83</v>
      </c>
      <c r="O196" s="121" t="s">
        <v>90</v>
      </c>
      <c r="P196" s="8">
        <v>1</v>
      </c>
      <c r="Q196" s="8">
        <v>0</v>
      </c>
      <c r="R196" s="138" t="s">
        <v>83</v>
      </c>
      <c r="S196" s="138" t="s">
        <v>83</v>
      </c>
      <c r="T196" s="138" t="s">
        <v>83</v>
      </c>
      <c r="U196" s="138" t="s">
        <v>83</v>
      </c>
      <c r="V196" s="8"/>
      <c r="W196" s="8" t="s">
        <v>87</v>
      </c>
      <c r="X196" s="8">
        <v>0</v>
      </c>
      <c r="Y196" s="138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38" t="s">
        <v>83</v>
      </c>
      <c r="AF196" s="138" t="s">
        <v>83</v>
      </c>
      <c r="AG196" s="138" t="s">
        <v>83</v>
      </c>
      <c r="AH196" s="138" t="s">
        <v>83</v>
      </c>
      <c r="AI196" s="8">
        <v>1</v>
      </c>
      <c r="AJ196" s="8"/>
      <c r="AK196" s="8">
        <v>1</v>
      </c>
      <c r="AL196" s="8">
        <v>1</v>
      </c>
      <c r="AM196" s="138" t="s">
        <v>83</v>
      </c>
      <c r="AN196" s="8">
        <v>1</v>
      </c>
      <c r="AO196" s="8">
        <v>1</v>
      </c>
      <c r="AP196" s="8">
        <v>1</v>
      </c>
    </row>
    <row r="197" spans="1:42">
      <c r="A197" s="118"/>
      <c r="B197" s="8" t="str">
        <f>装备!B197</f>
        <v>IS13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VLOOKUP(LEFT(RIGHT(B197,5),4),装备!B:CU,2,FALSE)</f>
        <v>项链升级</v>
      </c>
      <c r="I197" s="8" t="str">
        <f>VLOOKUP(B197,装备!B:CV,99,FALSE)</f>
        <v>项链升级</v>
      </c>
      <c r="J197" s="120" t="str">
        <f t="shared" si="68"/>
        <v>项链升级</v>
      </c>
      <c r="K197" s="120" t="str">
        <f t="shared" si="69"/>
        <v>项链升级</v>
      </c>
      <c r="L197" s="8"/>
      <c r="M197" s="121" t="str">
        <f>VLOOKUP(LEFT(RIGHT(B197,5),4),装备!B:CU,20,FALSE)</f>
        <v>ReplaceableTextures\\CommandButtons\\BTNIS13.blp</v>
      </c>
      <c r="N197" s="138" t="s">
        <v>83</v>
      </c>
      <c r="O197" s="121" t="s">
        <v>90</v>
      </c>
      <c r="P197" s="8">
        <v>2</v>
      </c>
      <c r="Q197" s="8">
        <v>0</v>
      </c>
      <c r="R197" s="138" t="s">
        <v>83</v>
      </c>
      <c r="S197" s="138" t="s">
        <v>83</v>
      </c>
      <c r="T197" s="138" t="s">
        <v>83</v>
      </c>
      <c r="U197" s="138" t="s">
        <v>83</v>
      </c>
      <c r="V197" s="8"/>
      <c r="W197" s="8" t="s">
        <v>87</v>
      </c>
      <c r="X197" s="8">
        <v>0</v>
      </c>
      <c r="Y197" s="138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38" t="s">
        <v>83</v>
      </c>
      <c r="AF197" s="138" t="s">
        <v>83</v>
      </c>
      <c r="AG197" s="138" t="s">
        <v>83</v>
      </c>
      <c r="AH197" s="138" t="s">
        <v>83</v>
      </c>
      <c r="AI197" s="8">
        <v>1</v>
      </c>
      <c r="AJ197" s="8"/>
      <c r="AK197" s="8">
        <v>1</v>
      </c>
      <c r="AL197" s="8">
        <v>1</v>
      </c>
      <c r="AM197" s="138" t="s">
        <v>83</v>
      </c>
      <c r="AN197" s="8">
        <v>1</v>
      </c>
      <c r="AO197" s="8">
        <v>1</v>
      </c>
      <c r="AP197" s="8">
        <v>1</v>
      </c>
    </row>
    <row r="198" spans="1:42">
      <c r="A198" s="118"/>
      <c r="B198" s="8" t="str">
        <f>装备!B198</f>
        <v>IS14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VLOOKUP(LEFT(RIGHT(B198,5),4),装备!B:CU,2,FALSE)</f>
        <v>升级C</v>
      </c>
      <c r="I198" s="8" t="str">
        <f>VLOOKUP(B198,装备!B:CV,99,FALSE)</f>
        <v>升级C</v>
      </c>
      <c r="J198" s="120" t="str">
        <f t="shared" ref="J198" si="78">H198</f>
        <v>升级C</v>
      </c>
      <c r="K198" s="120" t="str">
        <f t="shared" ref="K198" si="79">I198</f>
        <v>升级C</v>
      </c>
      <c r="L198" s="8"/>
      <c r="M198" s="121" t="str">
        <f>VLOOKUP(LEFT(RIGHT(B198,5),4),装备!B:CU,20,FALSE)</f>
        <v>ReplaceableTextures\\CommandButtons\\BTN001.blp</v>
      </c>
      <c r="N198" s="138" t="s">
        <v>83</v>
      </c>
      <c r="O198" s="121" t="s">
        <v>90</v>
      </c>
      <c r="P198" s="8">
        <v>0</v>
      </c>
      <c r="Q198" s="8">
        <v>1</v>
      </c>
      <c r="R198" s="138" t="s">
        <v>83</v>
      </c>
      <c r="S198" s="138" t="s">
        <v>83</v>
      </c>
      <c r="T198" s="138" t="s">
        <v>83</v>
      </c>
      <c r="U198" s="138" t="s">
        <v>83</v>
      </c>
      <c r="V198" s="8"/>
      <c r="W198" s="8" t="s">
        <v>87</v>
      </c>
      <c r="X198" s="8">
        <v>0</v>
      </c>
      <c r="Y198" s="138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38" t="s">
        <v>83</v>
      </c>
      <c r="AF198" s="138" t="s">
        <v>83</v>
      </c>
      <c r="AG198" s="138" t="s">
        <v>83</v>
      </c>
      <c r="AH198" s="138" t="s">
        <v>83</v>
      </c>
      <c r="AI198" s="8">
        <v>1</v>
      </c>
      <c r="AJ198" s="8"/>
      <c r="AK198" s="8">
        <v>1</v>
      </c>
      <c r="AL198" s="8">
        <v>1</v>
      </c>
      <c r="AM198" s="138" t="s">
        <v>83</v>
      </c>
      <c r="AN198" s="8">
        <v>1</v>
      </c>
      <c r="AO198" s="8">
        <v>1</v>
      </c>
      <c r="AP198" s="8">
        <v>1</v>
      </c>
    </row>
    <row r="199" spans="1:42">
      <c r="A199" s="118"/>
      <c r="B199" s="8" t="str">
        <f>装备!B199</f>
        <v>IB01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VLOOKUP(LEFT(RIGHT(B199,5),4),装备!B:CU,2,FALSE)</f>
        <v>公众号礼包</v>
      </c>
      <c r="I199" s="8" t="str">
        <f>VLOOKUP(B199,装备!B:CV,99,FALSE)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0" t="str">
        <f t="shared" si="68"/>
        <v>公众号礼包</v>
      </c>
      <c r="K199" s="120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1" t="str">
        <f>VLOOKUP(LEFT(RIGHT(B199,5),4),装备!B:CU,20,FALSE)</f>
        <v>ReplaceableTextures\\CommandButtons\\BTNIB01.blp</v>
      </c>
      <c r="N199" s="138" t="s">
        <v>83</v>
      </c>
      <c r="O199" s="121" t="s">
        <v>90</v>
      </c>
      <c r="P199" s="8">
        <v>0</v>
      </c>
      <c r="Q199" s="8">
        <v>0</v>
      </c>
      <c r="R199" s="138" t="s">
        <v>83</v>
      </c>
      <c r="S199" s="138" t="s">
        <v>83</v>
      </c>
      <c r="T199" s="138" t="s">
        <v>83</v>
      </c>
      <c r="U199" s="138" t="s">
        <v>83</v>
      </c>
      <c r="V199" s="8"/>
      <c r="W199" s="8" t="s">
        <v>87</v>
      </c>
      <c r="X199" s="8">
        <v>0</v>
      </c>
      <c r="Y199" s="138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38" t="s">
        <v>83</v>
      </c>
      <c r="AF199" s="138" t="s">
        <v>83</v>
      </c>
      <c r="AG199" s="138" t="s">
        <v>83</v>
      </c>
      <c r="AH199" s="138" t="s">
        <v>83</v>
      </c>
      <c r="AI199" s="8">
        <v>1</v>
      </c>
      <c r="AJ199" s="8"/>
      <c r="AK199" s="8">
        <v>1</v>
      </c>
      <c r="AL199" s="8">
        <v>1</v>
      </c>
      <c r="AM199" s="138" t="s">
        <v>83</v>
      </c>
      <c r="AN199" s="8">
        <v>1</v>
      </c>
      <c r="AO199" s="8">
        <v>1</v>
      </c>
      <c r="AP199" s="8">
        <v>1</v>
      </c>
    </row>
    <row r="200" spans="1:42">
      <c r="A200" s="118"/>
      <c r="B200" s="8" t="str">
        <f>装备!B200</f>
        <v>IB02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VLOOKUP(LEFT(RIGHT(B200,5),4),装备!B:CU,2,FALSE)</f>
        <v>入群礼包</v>
      </c>
      <c r="I200" s="8" t="str">
        <f>VLOOKUP(B200,装备!B:CV,99,FALSE)</f>
        <v>加入《|cff00ffcc全民封神|r》官方QQ群，即可获得入群礼包码！|n|n输入礼包码即可获得：|n|cffffcc33金币+2000|n每秒攻击+2|n每秒业力+1|r</v>
      </c>
      <c r="J200" s="120" t="str">
        <f t="shared" si="68"/>
        <v>入群礼包</v>
      </c>
      <c r="K200" s="120" t="str">
        <f t="shared" si="69"/>
        <v>加入《|cff00ffcc全民封神|r》官方QQ群，即可获得入群礼包码！|n|n输入礼包码即可获得：|n|cffffcc33金币+2000|n每秒攻击+2|n每秒业力+1|r</v>
      </c>
      <c r="L200" s="8"/>
      <c r="M200" s="121" t="str">
        <f>VLOOKUP(LEFT(RIGHT(B200,5),4),装备!B:CU,20,FALSE)</f>
        <v>ReplaceableTextures\\CommandButtons\\BTNIB02.blp</v>
      </c>
      <c r="N200" s="138" t="s">
        <v>83</v>
      </c>
      <c r="O200" s="121" t="s">
        <v>90</v>
      </c>
      <c r="P200" s="8">
        <v>1</v>
      </c>
      <c r="Q200" s="8">
        <v>0</v>
      </c>
      <c r="R200" s="138" t="s">
        <v>83</v>
      </c>
      <c r="S200" s="138" t="s">
        <v>83</v>
      </c>
      <c r="T200" s="138" t="s">
        <v>83</v>
      </c>
      <c r="U200" s="138" t="s">
        <v>83</v>
      </c>
      <c r="V200" s="8"/>
      <c r="W200" s="8" t="s">
        <v>87</v>
      </c>
      <c r="X200" s="8">
        <v>0</v>
      </c>
      <c r="Y200" s="138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38" t="s">
        <v>83</v>
      </c>
      <c r="AF200" s="138" t="s">
        <v>83</v>
      </c>
      <c r="AG200" s="138" t="s">
        <v>83</v>
      </c>
      <c r="AH200" s="138" t="s">
        <v>83</v>
      </c>
      <c r="AI200" s="8">
        <v>1</v>
      </c>
      <c r="AJ200" s="8"/>
      <c r="AK200" s="8">
        <v>1</v>
      </c>
      <c r="AL200" s="8">
        <v>1</v>
      </c>
      <c r="AM200" s="138" t="s">
        <v>83</v>
      </c>
      <c r="AN200" s="8">
        <v>1</v>
      </c>
      <c r="AO200" s="8">
        <v>1</v>
      </c>
      <c r="AP200" s="8">
        <v>1</v>
      </c>
    </row>
    <row r="201" spans="1:42">
      <c r="A201" s="118"/>
      <c r="B201" s="8" t="str">
        <f>装备!B201</f>
        <v>IB03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VLOOKUP(LEFT(RIGHT(B201,5),4),装备!B:CU,2,FALSE)</f>
        <v>拜年礼包</v>
      </c>
      <c r="I201" s="8" t="str">
        <f>VLOOKUP(B201,装备!B:CV,99,FALSE)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01" s="120" t="str">
        <f t="shared" si="68"/>
        <v>拜年礼包</v>
      </c>
      <c r="K201" s="120" t="str">
        <f t="shared" si="69"/>
        <v>|cff99ccff给与地图有效评论建议|r即可领取：|n|cffffff00杀敌生命+5|n杀敌业力+1|n|r|cffffcc33每级通行证永久增加3点杀敌生命奖励！|n|n|r|cff808080地图等级达到3级可领取|r</v>
      </c>
      <c r="L201" s="8"/>
      <c r="M201" s="121" t="str">
        <f>VLOOKUP(LEFT(RIGHT(B201,5),4),装备!B:CU,20,FALSE)</f>
        <v>ReplaceableTextures\\CommandButtons\\BTNIB03.blp</v>
      </c>
      <c r="N201" s="138" t="s">
        <v>83</v>
      </c>
      <c r="O201" s="121" t="s">
        <v>90</v>
      </c>
      <c r="P201" s="8">
        <v>2</v>
      </c>
      <c r="Q201" s="8">
        <v>0</v>
      </c>
      <c r="R201" s="138" t="s">
        <v>83</v>
      </c>
      <c r="S201" s="138" t="s">
        <v>83</v>
      </c>
      <c r="T201" s="138" t="s">
        <v>83</v>
      </c>
      <c r="U201" s="138" t="s">
        <v>83</v>
      </c>
      <c r="V201" s="8"/>
      <c r="W201" s="8" t="s">
        <v>87</v>
      </c>
      <c r="X201" s="8">
        <v>0</v>
      </c>
      <c r="Y201" s="138" t="s">
        <v>83</v>
      </c>
      <c r="Z201" s="8">
        <v>0</v>
      </c>
      <c r="AA201" s="8">
        <v>0</v>
      </c>
      <c r="AB201" s="8">
        <v>0</v>
      </c>
      <c r="AC201" s="8">
        <v>1</v>
      </c>
      <c r="AD201" s="8">
        <v>1</v>
      </c>
      <c r="AE201" s="138" t="s">
        <v>83</v>
      </c>
      <c r="AF201" s="138" t="s">
        <v>83</v>
      </c>
      <c r="AG201" s="138" t="s">
        <v>83</v>
      </c>
      <c r="AH201" s="138" t="s">
        <v>83</v>
      </c>
      <c r="AI201" s="8">
        <v>1</v>
      </c>
      <c r="AJ201" s="8"/>
      <c r="AK201" s="8">
        <v>1</v>
      </c>
      <c r="AL201" s="8">
        <v>1</v>
      </c>
      <c r="AM201" s="138" t="s">
        <v>83</v>
      </c>
      <c r="AN201" s="8">
        <v>1</v>
      </c>
      <c r="AO201" s="8">
        <v>1</v>
      </c>
      <c r="AP201" s="8">
        <v>1</v>
      </c>
    </row>
    <row r="202" spans="1:42">
      <c r="A202" s="118"/>
      <c r="B202" s="8" t="str">
        <f>装备!B202</f>
        <v>IB04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VLOOKUP(LEFT(RIGHT(B202,5),4),装备!B:CU,2,FALSE)</f>
        <v>收藏礼包</v>
      </c>
      <c r="I202" s="8" t="str">
        <f>VLOOKUP(B202,装备!B:CV,99,FALSE)</f>
        <v>|cff99ccff房间大厅界面点击右上角《|r|cffcc99ff收藏|r|cff99ccff》后可领取该礼包。|n|n|r属性：|n|cffffcc33物理伤害+5%|n法术伤害+5%|r</v>
      </c>
      <c r="J202" s="120" t="str">
        <f t="shared" si="68"/>
        <v>收藏礼包</v>
      </c>
      <c r="K202" s="120" t="str">
        <f t="shared" si="69"/>
        <v>|cff99ccff房间大厅界面点击右上角《|r|cffcc99ff收藏|r|cff99ccff》后可领取该礼包。|n|n|r属性：|n|cffffcc33物理伤害+5%|n法术伤害+5%|r</v>
      </c>
      <c r="L202" s="8"/>
      <c r="M202" s="121" t="str">
        <f>VLOOKUP(LEFT(RIGHT(B202,5),4),装备!B:CU,20,FALSE)</f>
        <v>ReplaceableTextures\\CommandButtons\\BTNIB04.blp</v>
      </c>
      <c r="N202" s="138" t="s">
        <v>83</v>
      </c>
      <c r="O202" s="121" t="s">
        <v>90</v>
      </c>
      <c r="P202" s="8">
        <v>3</v>
      </c>
      <c r="Q202" s="8">
        <v>0</v>
      </c>
      <c r="R202" s="138" t="s">
        <v>83</v>
      </c>
      <c r="S202" s="138" t="s">
        <v>83</v>
      </c>
      <c r="T202" s="138" t="s">
        <v>83</v>
      </c>
      <c r="U202" s="138" t="s">
        <v>83</v>
      </c>
      <c r="V202" s="8"/>
      <c r="W202" s="8" t="s">
        <v>87</v>
      </c>
      <c r="X202" s="8">
        <v>0</v>
      </c>
      <c r="Y202" s="138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38" t="s">
        <v>83</v>
      </c>
      <c r="AF202" s="138" t="s">
        <v>83</v>
      </c>
      <c r="AG202" s="138" t="s">
        <v>83</v>
      </c>
      <c r="AH202" s="138" t="s">
        <v>83</v>
      </c>
      <c r="AI202" s="8">
        <v>1</v>
      </c>
      <c r="AJ202" s="8"/>
      <c r="AK202" s="8">
        <v>1</v>
      </c>
      <c r="AL202" s="8">
        <v>1</v>
      </c>
      <c r="AM202" s="138" t="s">
        <v>83</v>
      </c>
      <c r="AN202" s="8">
        <v>1</v>
      </c>
      <c r="AO202" s="8">
        <v>1</v>
      </c>
      <c r="AP202" s="8">
        <v>1</v>
      </c>
    </row>
    <row r="203" spans="1:42">
      <c r="A203" s="118"/>
      <c r="B203" s="8" t="str">
        <f>装备!B203</f>
        <v>IB05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VLOOKUP(LEFT(RIGHT(B203,5),4),装备!B:CU,2,FALSE)</f>
        <v>重置版礼包</v>
      </c>
      <c r="I203" s="8" t="str">
        <f>VLOOKUP(B203,装备!B:CV,99,FALSE)</f>
        <v>|cff33ff00购买魔兽重制版可领取该礼包！|n|n|r属性：|n|cffffcc33高级聚宝盆|r</v>
      </c>
      <c r="J203" s="120" t="str">
        <f t="shared" si="68"/>
        <v>重置版礼包</v>
      </c>
      <c r="K203" s="120" t="str">
        <f t="shared" si="69"/>
        <v>|cff33ff00购买魔兽重制版可领取该礼包！|n|n|r属性：|n|cffffcc33高级聚宝盆|r</v>
      </c>
      <c r="L203" s="8"/>
      <c r="M203" s="121" t="str">
        <f>VLOOKUP(LEFT(RIGHT(B203,5),4),装备!B:CU,20,FALSE)</f>
        <v>ReplaceableTextures\\CommandButtons\\BTNIB05.blp</v>
      </c>
      <c r="N203" s="138" t="s">
        <v>83</v>
      </c>
      <c r="O203" s="121" t="s">
        <v>90</v>
      </c>
      <c r="P203" s="8">
        <v>0</v>
      </c>
      <c r="Q203" s="8">
        <v>1</v>
      </c>
      <c r="R203" s="138" t="s">
        <v>83</v>
      </c>
      <c r="S203" s="138" t="s">
        <v>83</v>
      </c>
      <c r="T203" s="138" t="s">
        <v>83</v>
      </c>
      <c r="U203" s="138" t="s">
        <v>83</v>
      </c>
      <c r="V203" s="8"/>
      <c r="W203" s="8" t="s">
        <v>87</v>
      </c>
      <c r="X203" s="8">
        <v>0</v>
      </c>
      <c r="Y203" s="138" t="s">
        <v>83</v>
      </c>
      <c r="Z203" s="8">
        <v>0</v>
      </c>
      <c r="AA203" s="8">
        <v>0</v>
      </c>
      <c r="AB203" s="8">
        <v>0</v>
      </c>
      <c r="AC203" s="8">
        <v>1</v>
      </c>
      <c r="AD203" s="8">
        <v>1</v>
      </c>
      <c r="AE203" s="138" t="s">
        <v>83</v>
      </c>
      <c r="AF203" s="138" t="s">
        <v>83</v>
      </c>
      <c r="AG203" s="138" t="s">
        <v>83</v>
      </c>
      <c r="AH203" s="138" t="s">
        <v>83</v>
      </c>
      <c r="AI203" s="8">
        <v>1</v>
      </c>
      <c r="AJ203" s="8"/>
      <c r="AK203" s="8">
        <v>1</v>
      </c>
      <c r="AL203" s="8">
        <v>1</v>
      </c>
      <c r="AM203" s="138" t="s">
        <v>83</v>
      </c>
      <c r="AN203" s="8">
        <v>1</v>
      </c>
      <c r="AO203" s="8">
        <v>1</v>
      </c>
      <c r="AP203" s="8">
        <v>1</v>
      </c>
    </row>
    <row r="204" spans="1:42">
      <c r="A204" s="118"/>
      <c r="B204" s="8" t="str">
        <f>装备!B204</f>
        <v>IB06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VLOOKUP(LEFT(RIGHT(B204,5),4),装备!B:CU,2,FALSE)</f>
        <v>公会福利</v>
      </c>
      <c r="I204" s="8" t="str">
        <f>VLOOKUP(B204,装备!B:CV,99,FALSE)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0" t="str">
        <f t="shared" ref="J204:J208" si="80">H204</f>
        <v>公会福利</v>
      </c>
      <c r="K204" s="120" t="str">
        <f t="shared" ref="K204:K208" si="81">I204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1" t="str">
        <f>VLOOKUP(LEFT(RIGHT(B204,5),4),装备!B:CU,20,FALSE)</f>
        <v>ReplaceableTextures\\CommandButtons\\BTNIB06.blp</v>
      </c>
      <c r="N204" s="138" t="s">
        <v>83</v>
      </c>
      <c r="O204" s="121" t="s">
        <v>90</v>
      </c>
      <c r="P204" s="8">
        <v>1</v>
      </c>
      <c r="Q204" s="8">
        <v>1</v>
      </c>
      <c r="R204" s="138" t="s">
        <v>83</v>
      </c>
      <c r="S204" s="138" t="s">
        <v>83</v>
      </c>
      <c r="T204" s="138" t="s">
        <v>83</v>
      </c>
      <c r="U204" s="138" t="s">
        <v>83</v>
      </c>
      <c r="V204" s="8"/>
      <c r="W204" s="8" t="s">
        <v>87</v>
      </c>
      <c r="X204" s="8">
        <v>0</v>
      </c>
      <c r="Y204" s="138" t="s">
        <v>83</v>
      </c>
      <c r="Z204" s="8">
        <v>0</v>
      </c>
      <c r="AA204" s="8">
        <v>0</v>
      </c>
      <c r="AB204" s="8">
        <v>0</v>
      </c>
      <c r="AC204" s="8">
        <v>1</v>
      </c>
      <c r="AD204" s="8">
        <v>1</v>
      </c>
      <c r="AE204" s="138" t="s">
        <v>83</v>
      </c>
      <c r="AF204" s="138" t="s">
        <v>83</v>
      </c>
      <c r="AG204" s="138" t="s">
        <v>83</v>
      </c>
      <c r="AH204" s="138" t="s">
        <v>83</v>
      </c>
      <c r="AI204" s="8">
        <v>1</v>
      </c>
      <c r="AJ204" s="8"/>
      <c r="AK204" s="8">
        <v>1</v>
      </c>
      <c r="AL204" s="8">
        <v>1</v>
      </c>
      <c r="AM204" s="138" t="s">
        <v>83</v>
      </c>
      <c r="AN204" s="8">
        <v>1</v>
      </c>
      <c r="AO204" s="8">
        <v>1</v>
      </c>
      <c r="AP204" s="8">
        <v>1</v>
      </c>
    </row>
    <row r="205" spans="1:42">
      <c r="A205" s="118"/>
      <c r="B205" s="8" t="str">
        <f>装备!B205</f>
        <v>IB07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VLOOKUP(LEFT(RIGHT(B205,5),4),装备!B:CU,2,FALSE)</f>
        <v>星耀礼包</v>
      </c>
      <c r="I205" s="8" t="str">
        <f>VLOOKUP(B205,装备!B:CV,99,FALSE)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0" t="str">
        <f t="shared" si="80"/>
        <v>星耀礼包</v>
      </c>
      <c r="K205" s="120" t="str">
        <f t="shared" si="8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1" t="str">
        <f>VLOOKUP(LEFT(RIGHT(B205,5),4),装备!B:CU,20,FALSE)</f>
        <v>ReplaceableTextures\\CommandButtons\\BTNIB07.blp</v>
      </c>
      <c r="N205" s="138" t="s">
        <v>83</v>
      </c>
      <c r="O205" s="121" t="s">
        <v>90</v>
      </c>
      <c r="P205" s="8">
        <v>2</v>
      </c>
      <c r="Q205" s="8">
        <v>1</v>
      </c>
      <c r="R205" s="138" t="s">
        <v>83</v>
      </c>
      <c r="S205" s="138" t="s">
        <v>83</v>
      </c>
      <c r="T205" s="138" t="s">
        <v>83</v>
      </c>
      <c r="U205" s="138" t="s">
        <v>83</v>
      </c>
      <c r="V205" s="8"/>
      <c r="W205" s="8" t="s">
        <v>87</v>
      </c>
      <c r="X205" s="8">
        <v>0</v>
      </c>
      <c r="Y205" s="138" t="s">
        <v>83</v>
      </c>
      <c r="Z205" s="8">
        <v>0</v>
      </c>
      <c r="AA205" s="8">
        <v>0</v>
      </c>
      <c r="AB205" s="8">
        <v>0</v>
      </c>
      <c r="AC205" s="8">
        <v>1</v>
      </c>
      <c r="AD205" s="8">
        <v>1</v>
      </c>
      <c r="AE205" s="138" t="s">
        <v>83</v>
      </c>
      <c r="AF205" s="138" t="s">
        <v>83</v>
      </c>
      <c r="AG205" s="138" t="s">
        <v>83</v>
      </c>
      <c r="AH205" s="138" t="s">
        <v>83</v>
      </c>
      <c r="AI205" s="8">
        <v>1</v>
      </c>
      <c r="AJ205" s="8"/>
      <c r="AK205" s="8">
        <v>1</v>
      </c>
      <c r="AL205" s="8">
        <v>1</v>
      </c>
      <c r="AM205" s="138" t="s">
        <v>83</v>
      </c>
      <c r="AN205" s="8">
        <v>1</v>
      </c>
      <c r="AO205" s="8">
        <v>1</v>
      </c>
      <c r="AP205" s="8">
        <v>1</v>
      </c>
    </row>
    <row r="206" spans="1:42">
      <c r="A206" s="118"/>
      <c r="B206" s="8" t="str">
        <f>装备!B206</f>
        <v>IB08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VLOOKUP(LEFT(RIGHT(B206,5),4),装备!B:CU,2,FALSE)</f>
        <v>魔芝RPG礼包</v>
      </c>
      <c r="I206" s="8" t="str">
        <f>VLOOKUP(B206,装备!B:CV,99,FALSE)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0" t="str">
        <f t="shared" si="80"/>
        <v>魔芝RPG礼包</v>
      </c>
      <c r="K206" s="120" t="str">
        <f t="shared" si="8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1" t="str">
        <f>VLOOKUP(LEFT(RIGHT(B206,5),4),装备!B:CU,20,FALSE)</f>
        <v>ReplaceableTextures\\CommandButtons\\BTNIB08.blp</v>
      </c>
      <c r="N206" s="138" t="s">
        <v>83</v>
      </c>
      <c r="O206" s="121" t="s">
        <v>90</v>
      </c>
      <c r="P206" s="8">
        <v>3</v>
      </c>
      <c r="Q206" s="8">
        <v>1</v>
      </c>
      <c r="R206" s="138" t="s">
        <v>83</v>
      </c>
      <c r="S206" s="138" t="s">
        <v>83</v>
      </c>
      <c r="T206" s="138" t="s">
        <v>83</v>
      </c>
      <c r="U206" s="138" t="s">
        <v>83</v>
      </c>
      <c r="V206" s="8"/>
      <c r="W206" s="8" t="s">
        <v>87</v>
      </c>
      <c r="X206" s="8">
        <v>0</v>
      </c>
      <c r="Y206" s="138" t="s">
        <v>83</v>
      </c>
      <c r="Z206" s="8">
        <v>0</v>
      </c>
      <c r="AA206" s="8">
        <v>0</v>
      </c>
      <c r="AB206" s="8">
        <v>0</v>
      </c>
      <c r="AC206" s="8">
        <v>1</v>
      </c>
      <c r="AD206" s="8">
        <v>1</v>
      </c>
      <c r="AE206" s="138" t="s">
        <v>83</v>
      </c>
      <c r="AF206" s="138" t="s">
        <v>83</v>
      </c>
      <c r="AG206" s="138" t="s">
        <v>83</v>
      </c>
      <c r="AH206" s="138" t="s">
        <v>83</v>
      </c>
      <c r="AI206" s="8">
        <v>1</v>
      </c>
      <c r="AJ206" s="8"/>
      <c r="AK206" s="8">
        <v>1</v>
      </c>
      <c r="AL206" s="8">
        <v>1</v>
      </c>
      <c r="AM206" s="138" t="s">
        <v>83</v>
      </c>
      <c r="AN206" s="8">
        <v>1</v>
      </c>
      <c r="AO206" s="8">
        <v>1</v>
      </c>
      <c r="AP206" s="8">
        <v>1</v>
      </c>
    </row>
    <row r="207" spans="1:42">
      <c r="A207" s="118"/>
      <c r="B207" s="8" t="str">
        <f>装备!B207</f>
        <v>IB09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VLOOKUP(LEFT(RIGHT(B207,5),4),装备!B:CU,2,FALSE)</f>
        <v>老铁礼包</v>
      </c>
      <c r="I207" s="8">
        <f>VLOOKUP(B207,装备!B:CV,99,FALSE)</f>
        <v>0</v>
      </c>
      <c r="J207" s="120" t="str">
        <f t="shared" si="80"/>
        <v>老铁礼包</v>
      </c>
      <c r="K207" s="120">
        <f t="shared" si="81"/>
        <v>0</v>
      </c>
      <c r="L207" s="8"/>
      <c r="M207" s="121" t="str">
        <f>VLOOKUP(LEFT(RIGHT(B207,5),4),装备!B:CU,20,FALSE)</f>
        <v>ReplaceableTextures\\CommandButtons\\BTNIB09.blp</v>
      </c>
      <c r="N207" s="138" t="s">
        <v>83</v>
      </c>
      <c r="O207" s="121" t="s">
        <v>90</v>
      </c>
      <c r="P207" s="8">
        <v>0</v>
      </c>
      <c r="Q207" s="8">
        <v>0</v>
      </c>
      <c r="R207" s="138" t="s">
        <v>83</v>
      </c>
      <c r="S207" s="138" t="s">
        <v>83</v>
      </c>
      <c r="T207" s="138" t="s">
        <v>83</v>
      </c>
      <c r="U207" s="138" t="s">
        <v>83</v>
      </c>
      <c r="V207" s="8"/>
      <c r="W207" s="8" t="s">
        <v>87</v>
      </c>
      <c r="X207" s="8">
        <v>0</v>
      </c>
      <c r="Y207" s="138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38" t="s">
        <v>83</v>
      </c>
      <c r="AF207" s="138" t="s">
        <v>83</v>
      </c>
      <c r="AG207" s="138" t="s">
        <v>83</v>
      </c>
      <c r="AH207" s="138" t="s">
        <v>83</v>
      </c>
      <c r="AI207" s="8">
        <v>1</v>
      </c>
      <c r="AJ207" s="8"/>
      <c r="AK207" s="8">
        <v>1</v>
      </c>
      <c r="AL207" s="8">
        <v>1</v>
      </c>
      <c r="AM207" s="138" t="s">
        <v>83</v>
      </c>
      <c r="AN207" s="8">
        <v>1</v>
      </c>
      <c r="AO207" s="8">
        <v>1</v>
      </c>
      <c r="AP207" s="8">
        <v>1</v>
      </c>
    </row>
    <row r="208" spans="1:42">
      <c r="A208" s="118"/>
      <c r="B208" s="8" t="str">
        <f>装备!B208</f>
        <v>IB51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VLOOKUP(LEFT(RIGHT(B208,5),4),装备!B:CU,2,FALSE)</f>
        <v>已领取公众号礼包</v>
      </c>
      <c r="I208" s="8" t="str">
        <f>VLOOKUP(B208,装备!B:CV,99,FALSE)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8" s="120" t="str">
        <f t="shared" si="80"/>
        <v>已领取公众号礼包</v>
      </c>
      <c r="K208" s="120" t="str">
        <f t="shared" si="8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8" s="8"/>
      <c r="M208" s="121" t="str">
        <f>VLOOKUP(LEFT(RIGHT(B208,5),4),装备!B:CU,20,FALSE)</f>
        <v>ReplaceableTextures\\commandButtons\\BTNLBUI01.blp</v>
      </c>
      <c r="N208" s="138" t="s">
        <v>83</v>
      </c>
      <c r="O208" s="121" t="s">
        <v>90</v>
      </c>
      <c r="P208" s="8">
        <v>0</v>
      </c>
      <c r="Q208" s="8">
        <v>0</v>
      </c>
      <c r="R208" s="138" t="s">
        <v>83</v>
      </c>
      <c r="S208" s="138" t="s">
        <v>83</v>
      </c>
      <c r="T208" s="138" t="s">
        <v>83</v>
      </c>
      <c r="U208" s="138" t="s">
        <v>83</v>
      </c>
      <c r="V208" s="8"/>
      <c r="W208" s="8" t="s">
        <v>87</v>
      </c>
      <c r="X208" s="8">
        <v>0</v>
      </c>
      <c r="Y208" s="138" t="s">
        <v>83</v>
      </c>
      <c r="Z208" s="8">
        <v>0</v>
      </c>
      <c r="AA208" s="8">
        <v>0</v>
      </c>
      <c r="AB208" s="8">
        <v>0</v>
      </c>
      <c r="AC208" s="8">
        <v>0</v>
      </c>
      <c r="AD208" s="8">
        <v>1</v>
      </c>
      <c r="AE208" s="138" t="s">
        <v>83</v>
      </c>
      <c r="AF208" s="138" t="s">
        <v>83</v>
      </c>
      <c r="AG208" s="138" t="s">
        <v>83</v>
      </c>
      <c r="AH208" s="138" t="s">
        <v>83</v>
      </c>
      <c r="AI208" s="8">
        <v>1</v>
      </c>
      <c r="AJ208" s="8"/>
      <c r="AK208" s="8">
        <v>1</v>
      </c>
      <c r="AL208" s="8">
        <v>1</v>
      </c>
      <c r="AM208" s="138" t="s">
        <v>83</v>
      </c>
      <c r="AN208" s="8">
        <v>1</v>
      </c>
      <c r="AO208" s="8">
        <v>1</v>
      </c>
      <c r="AP208" s="8">
        <v>1</v>
      </c>
    </row>
    <row r="209" spans="1:42">
      <c r="A209" s="118"/>
      <c r="B209" s="8" t="str">
        <f>装备!B209</f>
        <v>IB52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VLOOKUP(LEFT(RIGHT(B209,5),4),装备!B:CU,2,FALSE)</f>
        <v>已领取入群礼包</v>
      </c>
      <c r="I209" s="8" t="str">
        <f>VLOOKUP(B209,装备!B:CV,99,FALSE)</f>
        <v>加入《|cff00ffcc全民封神|r》官方QQ群，即可获得入群礼包码！|n|n输入礼包码即可获得：|n|cffffcc33金币+2000|n每秒攻击+2|n每秒业力+1|r</v>
      </c>
      <c r="J209" s="120" t="str">
        <f t="shared" ref="J209:J216" si="82">H209</f>
        <v>已领取入群礼包</v>
      </c>
      <c r="K209" s="120" t="str">
        <f t="shared" ref="K209:K216" si="83">I209</f>
        <v>加入《|cff00ffcc全民封神|r》官方QQ群，即可获得入群礼包码！|n|n输入礼包码即可获得：|n|cffffcc33金币+2000|n每秒攻击+2|n每秒业力+1|r</v>
      </c>
      <c r="L209" s="8"/>
      <c r="M209" s="121" t="str">
        <f>VLOOKUP(LEFT(RIGHT(B209,5),4),装备!B:CU,20,FALSE)</f>
        <v>ReplaceableTextures\\commandButtons\\BTNLBUI01.blp</v>
      </c>
      <c r="N209" s="138" t="s">
        <v>83</v>
      </c>
      <c r="O209" s="121" t="s">
        <v>90</v>
      </c>
      <c r="P209" s="8">
        <v>1</v>
      </c>
      <c r="Q209" s="8">
        <v>0</v>
      </c>
      <c r="R209" s="138" t="s">
        <v>83</v>
      </c>
      <c r="S209" s="138" t="s">
        <v>83</v>
      </c>
      <c r="T209" s="138" t="s">
        <v>83</v>
      </c>
      <c r="U209" s="138" t="s">
        <v>83</v>
      </c>
      <c r="V209" s="8"/>
      <c r="W209" s="8" t="s">
        <v>87</v>
      </c>
      <c r="X209" s="8">
        <v>0</v>
      </c>
      <c r="Y209" s="138" t="s">
        <v>83</v>
      </c>
      <c r="Z209" s="8">
        <v>0</v>
      </c>
      <c r="AA209" s="8">
        <v>0</v>
      </c>
      <c r="AB209" s="8">
        <v>0</v>
      </c>
      <c r="AC209" s="8">
        <v>0</v>
      </c>
      <c r="AD209" s="8">
        <v>1</v>
      </c>
      <c r="AE209" s="138" t="s">
        <v>83</v>
      </c>
      <c r="AF209" s="138" t="s">
        <v>83</v>
      </c>
      <c r="AG209" s="138" t="s">
        <v>83</v>
      </c>
      <c r="AH209" s="138" t="s">
        <v>83</v>
      </c>
      <c r="AI209" s="8">
        <v>1</v>
      </c>
      <c r="AJ209" s="8"/>
      <c r="AK209" s="8">
        <v>1</v>
      </c>
      <c r="AL209" s="8">
        <v>1</v>
      </c>
      <c r="AM209" s="138" t="s">
        <v>83</v>
      </c>
      <c r="AN209" s="8">
        <v>1</v>
      </c>
      <c r="AO209" s="8">
        <v>1</v>
      </c>
      <c r="AP209" s="8">
        <v>1</v>
      </c>
    </row>
    <row r="210" spans="1:42">
      <c r="A210" s="118"/>
      <c r="B210" s="8" t="str">
        <f>装备!B210</f>
        <v>IB53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VLOOKUP(LEFT(RIGHT(B210,5),4),装备!B:CU,2,FALSE)</f>
        <v>已领取拜年礼包</v>
      </c>
      <c r="I210" s="8" t="str">
        <f>VLOOKUP(B210,装备!B:CV,99,FALSE)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10" s="120" t="str">
        <f t="shared" si="82"/>
        <v>已领取拜年礼包</v>
      </c>
      <c r="K210" s="120" t="str">
        <f t="shared" si="83"/>
        <v>|cff99ccff给与地图有效评论建议|r即可领取：|n|cffffff00杀敌生命+5|n杀敌业力+1|n|r|cffffcc33每级通行证永久增加3点杀敌生命奖励！|n|n|r|cff808080地图等级达到3级可领取|r</v>
      </c>
      <c r="L210" s="8"/>
      <c r="M210" s="121" t="str">
        <f>VLOOKUP(LEFT(RIGHT(B210,5),4),装备!B:CU,20,FALSE)</f>
        <v>ReplaceableTextures\\commandButtons\\BTNLBUI01.blp</v>
      </c>
      <c r="N210" s="138" t="s">
        <v>83</v>
      </c>
      <c r="O210" s="121" t="s">
        <v>90</v>
      </c>
      <c r="P210" s="8">
        <v>2</v>
      </c>
      <c r="Q210" s="8">
        <v>0</v>
      </c>
      <c r="R210" s="138" t="s">
        <v>83</v>
      </c>
      <c r="S210" s="138" t="s">
        <v>83</v>
      </c>
      <c r="T210" s="138" t="s">
        <v>83</v>
      </c>
      <c r="U210" s="138" t="s">
        <v>83</v>
      </c>
      <c r="V210" s="8"/>
      <c r="W210" s="8" t="s">
        <v>87</v>
      </c>
      <c r="X210" s="8">
        <v>0</v>
      </c>
      <c r="Y210" s="138" t="s">
        <v>83</v>
      </c>
      <c r="Z210" s="8">
        <v>0</v>
      </c>
      <c r="AA210" s="8">
        <v>0</v>
      </c>
      <c r="AB210" s="8">
        <v>0</v>
      </c>
      <c r="AC210" s="8">
        <v>0</v>
      </c>
      <c r="AD210" s="8">
        <v>1</v>
      </c>
      <c r="AE210" s="138" t="s">
        <v>83</v>
      </c>
      <c r="AF210" s="138" t="s">
        <v>83</v>
      </c>
      <c r="AG210" s="138" t="s">
        <v>83</v>
      </c>
      <c r="AH210" s="138" t="s">
        <v>83</v>
      </c>
      <c r="AI210" s="8">
        <v>1</v>
      </c>
      <c r="AJ210" s="8"/>
      <c r="AK210" s="8">
        <v>1</v>
      </c>
      <c r="AL210" s="8">
        <v>1</v>
      </c>
      <c r="AM210" s="138" t="s">
        <v>83</v>
      </c>
      <c r="AN210" s="8">
        <v>1</v>
      </c>
      <c r="AO210" s="8">
        <v>1</v>
      </c>
      <c r="AP210" s="8">
        <v>1</v>
      </c>
    </row>
    <row r="211" spans="1:42">
      <c r="A211" s="118"/>
      <c r="B211" s="8" t="str">
        <f>装备!B211</f>
        <v>IB54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VLOOKUP(LEFT(RIGHT(B211,5),4),装备!B:CU,2,FALSE)</f>
        <v>已领取收藏礼包</v>
      </c>
      <c r="I211" s="8" t="str">
        <f>VLOOKUP(B211,装备!B:CV,99,FALSE)</f>
        <v>|cff99ccff房间大厅界面点击右上角《|r|cffcc99ff收藏|r|cff99ccff》后可领取该礼包。|n|n|r属性：|n|cffffcc33物理伤害+5%|n法术伤害+5%|r</v>
      </c>
      <c r="J211" s="120" t="str">
        <f t="shared" si="82"/>
        <v>已领取收藏礼包</v>
      </c>
      <c r="K211" s="120" t="str">
        <f t="shared" si="83"/>
        <v>|cff99ccff房间大厅界面点击右上角《|r|cffcc99ff收藏|r|cff99ccff》后可领取该礼包。|n|n|r属性：|n|cffffcc33物理伤害+5%|n法术伤害+5%|r</v>
      </c>
      <c r="L211" s="8"/>
      <c r="M211" s="121" t="str">
        <f>VLOOKUP(LEFT(RIGHT(B211,5),4),装备!B:CU,20,FALSE)</f>
        <v>ReplaceableTextures\\commandButtons\\BTNLBUI01.blp</v>
      </c>
      <c r="N211" s="138" t="s">
        <v>83</v>
      </c>
      <c r="O211" s="121" t="s">
        <v>90</v>
      </c>
      <c r="P211" s="8">
        <v>3</v>
      </c>
      <c r="Q211" s="8">
        <v>0</v>
      </c>
      <c r="R211" s="138" t="s">
        <v>83</v>
      </c>
      <c r="S211" s="138" t="s">
        <v>83</v>
      </c>
      <c r="T211" s="138" t="s">
        <v>83</v>
      </c>
      <c r="U211" s="138" t="s">
        <v>83</v>
      </c>
      <c r="V211" s="8"/>
      <c r="W211" s="8" t="s">
        <v>87</v>
      </c>
      <c r="X211" s="8">
        <v>0</v>
      </c>
      <c r="Y211" s="138" t="s">
        <v>83</v>
      </c>
      <c r="Z211" s="8">
        <v>0</v>
      </c>
      <c r="AA211" s="8">
        <v>0</v>
      </c>
      <c r="AB211" s="8">
        <v>0</v>
      </c>
      <c r="AC211" s="8">
        <v>0</v>
      </c>
      <c r="AD211" s="8">
        <v>1</v>
      </c>
      <c r="AE211" s="138" t="s">
        <v>83</v>
      </c>
      <c r="AF211" s="138" t="s">
        <v>83</v>
      </c>
      <c r="AG211" s="138" t="s">
        <v>83</v>
      </c>
      <c r="AH211" s="138" t="s">
        <v>83</v>
      </c>
      <c r="AI211" s="8">
        <v>1</v>
      </c>
      <c r="AJ211" s="8"/>
      <c r="AK211" s="8">
        <v>1</v>
      </c>
      <c r="AL211" s="8">
        <v>1</v>
      </c>
      <c r="AM211" s="138" t="s">
        <v>83</v>
      </c>
      <c r="AN211" s="8">
        <v>1</v>
      </c>
      <c r="AO211" s="8">
        <v>1</v>
      </c>
      <c r="AP211" s="8">
        <v>1</v>
      </c>
    </row>
    <row r="212" spans="1:42">
      <c r="A212" s="118"/>
      <c r="B212" s="8" t="str">
        <f>装备!B212</f>
        <v>IB55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VLOOKUP(LEFT(RIGHT(B212,5),4),装备!B:CU,2,FALSE)</f>
        <v>已领取重置版礼包</v>
      </c>
      <c r="I212" s="8" t="str">
        <f>VLOOKUP(B212,装备!B:CV,99,FALSE)</f>
        <v>|cff33ff00购买魔兽重制版可领取该礼包！|n|n|r属性：|n|cffffcc33高级聚宝盆|r</v>
      </c>
      <c r="J212" s="120" t="str">
        <f t="shared" si="82"/>
        <v>已领取重置版礼包</v>
      </c>
      <c r="K212" s="120" t="str">
        <f t="shared" si="83"/>
        <v>|cff33ff00购买魔兽重制版可领取该礼包！|n|n|r属性：|n|cffffcc33高级聚宝盆|r</v>
      </c>
      <c r="L212" s="8"/>
      <c r="M212" s="121" t="str">
        <f>VLOOKUP(LEFT(RIGHT(B212,5),4),装备!B:CU,20,FALSE)</f>
        <v>ReplaceableTextures\\commandButtons\\BTNLBUI01.blp</v>
      </c>
      <c r="N212" s="138" t="s">
        <v>83</v>
      </c>
      <c r="O212" s="121" t="s">
        <v>90</v>
      </c>
      <c r="P212" s="8">
        <v>0</v>
      </c>
      <c r="Q212" s="8">
        <v>1</v>
      </c>
      <c r="R212" s="138" t="s">
        <v>83</v>
      </c>
      <c r="S212" s="138" t="s">
        <v>83</v>
      </c>
      <c r="T212" s="138" t="s">
        <v>83</v>
      </c>
      <c r="U212" s="138" t="s">
        <v>83</v>
      </c>
      <c r="V212" s="8"/>
      <c r="W212" s="8" t="s">
        <v>87</v>
      </c>
      <c r="X212" s="8">
        <v>0</v>
      </c>
      <c r="Y212" s="138" t="s">
        <v>83</v>
      </c>
      <c r="Z212" s="8">
        <v>0</v>
      </c>
      <c r="AA212" s="8">
        <v>0</v>
      </c>
      <c r="AB212" s="8">
        <v>0</v>
      </c>
      <c r="AC212" s="8">
        <v>0</v>
      </c>
      <c r="AD212" s="8">
        <v>1</v>
      </c>
      <c r="AE212" s="138" t="s">
        <v>83</v>
      </c>
      <c r="AF212" s="138" t="s">
        <v>83</v>
      </c>
      <c r="AG212" s="138" t="s">
        <v>83</v>
      </c>
      <c r="AH212" s="138" t="s">
        <v>83</v>
      </c>
      <c r="AI212" s="8">
        <v>1</v>
      </c>
      <c r="AJ212" s="8"/>
      <c r="AK212" s="8">
        <v>1</v>
      </c>
      <c r="AL212" s="8">
        <v>1</v>
      </c>
      <c r="AM212" s="138" t="s">
        <v>83</v>
      </c>
      <c r="AN212" s="8">
        <v>1</v>
      </c>
      <c r="AO212" s="8">
        <v>1</v>
      </c>
      <c r="AP212" s="8">
        <v>1</v>
      </c>
    </row>
    <row r="213" spans="1:42">
      <c r="A213" s="118"/>
      <c r="B213" s="8" t="str">
        <f>装备!B213</f>
        <v>IB56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VLOOKUP(LEFT(RIGHT(B213,5),4),装备!B:CU,2,FALSE)</f>
        <v>已领取公会福利</v>
      </c>
      <c r="I213" s="8" t="str">
        <f>VLOOKUP(B213,装备!B:CV,99,FALSE)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3" s="120" t="str">
        <f t="shared" si="82"/>
        <v>已领取公会福利</v>
      </c>
      <c r="K213" s="120" t="str">
        <f t="shared" si="8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3" s="8"/>
      <c r="M213" s="121" t="str">
        <f>VLOOKUP(LEFT(RIGHT(B213,5),4),装备!B:CU,20,FALSE)</f>
        <v>ReplaceableTextures\\commandButtons\\BTNLBUI01.blp</v>
      </c>
      <c r="N213" s="138" t="s">
        <v>83</v>
      </c>
      <c r="O213" s="121" t="s">
        <v>90</v>
      </c>
      <c r="P213" s="8">
        <v>1</v>
      </c>
      <c r="Q213" s="8">
        <v>1</v>
      </c>
      <c r="R213" s="138" t="s">
        <v>83</v>
      </c>
      <c r="S213" s="138" t="s">
        <v>83</v>
      </c>
      <c r="T213" s="138" t="s">
        <v>83</v>
      </c>
      <c r="U213" s="138" t="s">
        <v>83</v>
      </c>
      <c r="V213" s="8"/>
      <c r="W213" s="8" t="s">
        <v>87</v>
      </c>
      <c r="X213" s="8">
        <v>0</v>
      </c>
      <c r="Y213" s="138" t="s">
        <v>83</v>
      </c>
      <c r="Z213" s="8">
        <v>0</v>
      </c>
      <c r="AA213" s="8">
        <v>0</v>
      </c>
      <c r="AB213" s="8">
        <v>0</v>
      </c>
      <c r="AC213" s="8">
        <v>0</v>
      </c>
      <c r="AD213" s="8">
        <v>1</v>
      </c>
      <c r="AE213" s="138" t="s">
        <v>83</v>
      </c>
      <c r="AF213" s="138" t="s">
        <v>83</v>
      </c>
      <c r="AG213" s="138" t="s">
        <v>83</v>
      </c>
      <c r="AH213" s="138" t="s">
        <v>83</v>
      </c>
      <c r="AI213" s="8">
        <v>1</v>
      </c>
      <c r="AJ213" s="8"/>
      <c r="AK213" s="8">
        <v>1</v>
      </c>
      <c r="AL213" s="8">
        <v>1</v>
      </c>
      <c r="AM213" s="138" t="s">
        <v>83</v>
      </c>
      <c r="AN213" s="8">
        <v>1</v>
      </c>
      <c r="AO213" s="8">
        <v>1</v>
      </c>
      <c r="AP213" s="8">
        <v>1</v>
      </c>
    </row>
    <row r="214" spans="1:42">
      <c r="A214" s="118"/>
      <c r="B214" s="8" t="str">
        <f>装备!B214</f>
        <v>IB57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VLOOKUP(LEFT(RIGHT(B214,5),4),装备!B:CU,2,FALSE)</f>
        <v>已领取星耀礼包</v>
      </c>
      <c r="I214" s="8" t="str">
        <f>VLOOKUP(B214,装备!B:CV,99,FALSE)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4" s="120" t="str">
        <f t="shared" si="82"/>
        <v>已领取星耀礼包</v>
      </c>
      <c r="K214" s="120" t="str">
        <f t="shared" si="8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4" s="8"/>
      <c r="M214" s="121" t="str">
        <f>VLOOKUP(LEFT(RIGHT(B214,5),4),装备!B:CU,20,FALSE)</f>
        <v>ReplaceableTextures\\commandButtons\\BTNLBUI01.blp</v>
      </c>
      <c r="N214" s="138" t="s">
        <v>83</v>
      </c>
      <c r="O214" s="121" t="s">
        <v>90</v>
      </c>
      <c r="P214" s="8">
        <v>2</v>
      </c>
      <c r="Q214" s="8">
        <v>1</v>
      </c>
      <c r="R214" s="138" t="s">
        <v>83</v>
      </c>
      <c r="S214" s="138" t="s">
        <v>83</v>
      </c>
      <c r="T214" s="138" t="s">
        <v>83</v>
      </c>
      <c r="U214" s="138" t="s">
        <v>83</v>
      </c>
      <c r="V214" s="8"/>
      <c r="W214" s="8" t="s">
        <v>87</v>
      </c>
      <c r="X214" s="8">
        <v>0</v>
      </c>
      <c r="Y214" s="138" t="s">
        <v>83</v>
      </c>
      <c r="Z214" s="8">
        <v>0</v>
      </c>
      <c r="AA214" s="8">
        <v>0</v>
      </c>
      <c r="AB214" s="8">
        <v>0</v>
      </c>
      <c r="AC214" s="8">
        <v>0</v>
      </c>
      <c r="AD214" s="8">
        <v>1</v>
      </c>
      <c r="AE214" s="138" t="s">
        <v>83</v>
      </c>
      <c r="AF214" s="138" t="s">
        <v>83</v>
      </c>
      <c r="AG214" s="138" t="s">
        <v>83</v>
      </c>
      <c r="AH214" s="138" t="s">
        <v>83</v>
      </c>
      <c r="AI214" s="8">
        <v>1</v>
      </c>
      <c r="AJ214" s="8"/>
      <c r="AK214" s="8">
        <v>1</v>
      </c>
      <c r="AL214" s="8">
        <v>1</v>
      </c>
      <c r="AM214" s="138" t="s">
        <v>83</v>
      </c>
      <c r="AN214" s="8">
        <v>1</v>
      </c>
      <c r="AO214" s="8">
        <v>1</v>
      </c>
      <c r="AP214" s="8">
        <v>1</v>
      </c>
    </row>
    <row r="215" spans="1:42">
      <c r="A215" s="118"/>
      <c r="B215" s="8" t="str">
        <f>装备!B215</f>
        <v>IB58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VLOOKUP(LEFT(RIGHT(B215,5),4),装备!B:CU,2,FALSE)</f>
        <v>已领取魔芝RPG礼包</v>
      </c>
      <c r="I215" s="8" t="str">
        <f>VLOOKUP(B215,装备!B:CV,99,FALSE)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5" s="120" t="str">
        <f t="shared" si="82"/>
        <v>已领取魔芝RPG礼包</v>
      </c>
      <c r="K215" s="120" t="str">
        <f t="shared" si="8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5" s="8"/>
      <c r="M215" s="121" t="str">
        <f>VLOOKUP(LEFT(RIGHT(B215,5),4),装备!B:CU,20,FALSE)</f>
        <v>ReplaceableTextures\\commandButtons\\BTNLBUI01.blp</v>
      </c>
      <c r="N215" s="138" t="s">
        <v>83</v>
      </c>
      <c r="O215" s="121" t="s">
        <v>90</v>
      </c>
      <c r="P215" s="8">
        <v>3</v>
      </c>
      <c r="Q215" s="8">
        <v>1</v>
      </c>
      <c r="R215" s="138" t="s">
        <v>83</v>
      </c>
      <c r="S215" s="138" t="s">
        <v>83</v>
      </c>
      <c r="T215" s="138" t="s">
        <v>83</v>
      </c>
      <c r="U215" s="138" t="s">
        <v>83</v>
      </c>
      <c r="V215" s="8"/>
      <c r="W215" s="8" t="s">
        <v>87</v>
      </c>
      <c r="X215" s="8">
        <v>0</v>
      </c>
      <c r="Y215" s="138" t="s">
        <v>83</v>
      </c>
      <c r="Z215" s="8">
        <v>0</v>
      </c>
      <c r="AA215" s="8">
        <v>0</v>
      </c>
      <c r="AB215" s="8">
        <v>0</v>
      </c>
      <c r="AC215" s="8">
        <v>0</v>
      </c>
      <c r="AD215" s="8">
        <v>1</v>
      </c>
      <c r="AE215" s="138" t="s">
        <v>83</v>
      </c>
      <c r="AF215" s="138" t="s">
        <v>83</v>
      </c>
      <c r="AG215" s="138" t="s">
        <v>83</v>
      </c>
      <c r="AH215" s="138" t="s">
        <v>83</v>
      </c>
      <c r="AI215" s="8">
        <v>1</v>
      </c>
      <c r="AJ215" s="8"/>
      <c r="AK215" s="8">
        <v>1</v>
      </c>
      <c r="AL215" s="8">
        <v>1</v>
      </c>
      <c r="AM215" s="138" t="s">
        <v>83</v>
      </c>
      <c r="AN215" s="8">
        <v>1</v>
      </c>
      <c r="AO215" s="8">
        <v>1</v>
      </c>
      <c r="AP215" s="8">
        <v>1</v>
      </c>
    </row>
    <row r="216" spans="1:42">
      <c r="A216" s="118"/>
      <c r="B216" s="8" t="str">
        <f>装备!B216</f>
        <v>IB59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VLOOKUP(LEFT(RIGHT(B216,5),4),装备!B:CU,2,FALSE)</f>
        <v>已领取老铁礼包</v>
      </c>
      <c r="I216" s="8" t="str">
        <f>VLOOKUP(B216,装备!B:CV,99,FALSE)</f>
        <v>已领取老铁礼包</v>
      </c>
      <c r="J216" s="120" t="str">
        <f t="shared" si="82"/>
        <v>已领取老铁礼包</v>
      </c>
      <c r="K216" s="120" t="str">
        <f t="shared" si="83"/>
        <v>已领取老铁礼包</v>
      </c>
      <c r="L216" s="8"/>
      <c r="M216" s="121" t="str">
        <f>VLOOKUP(LEFT(RIGHT(B216,5),4),装备!B:CU,20,FALSE)</f>
        <v>ReplaceableTextures\\commandButtons\\BTNLBUI01.blp</v>
      </c>
      <c r="N216" s="138" t="s">
        <v>83</v>
      </c>
      <c r="O216" s="121" t="s">
        <v>90</v>
      </c>
      <c r="P216" s="8">
        <v>0</v>
      </c>
      <c r="Q216" s="8">
        <v>0</v>
      </c>
      <c r="R216" s="138" t="s">
        <v>83</v>
      </c>
      <c r="S216" s="138" t="s">
        <v>83</v>
      </c>
      <c r="T216" s="138" t="s">
        <v>83</v>
      </c>
      <c r="U216" s="138" t="s">
        <v>83</v>
      </c>
      <c r="V216" s="8"/>
      <c r="W216" s="8" t="s">
        <v>87</v>
      </c>
      <c r="X216" s="8">
        <v>0</v>
      </c>
      <c r="Y216" s="138" t="s">
        <v>83</v>
      </c>
      <c r="Z216" s="8">
        <v>0</v>
      </c>
      <c r="AA216" s="8">
        <v>0</v>
      </c>
      <c r="AB216" s="8">
        <v>0</v>
      </c>
      <c r="AC216" s="8">
        <v>0</v>
      </c>
      <c r="AD216" s="8">
        <v>1</v>
      </c>
      <c r="AE216" s="138" t="s">
        <v>83</v>
      </c>
      <c r="AF216" s="138" t="s">
        <v>83</v>
      </c>
      <c r="AG216" s="138" t="s">
        <v>83</v>
      </c>
      <c r="AH216" s="138" t="s">
        <v>83</v>
      </c>
      <c r="AI216" s="8">
        <v>1</v>
      </c>
      <c r="AJ216" s="8"/>
      <c r="AK216" s="8">
        <v>1</v>
      </c>
      <c r="AL216" s="8">
        <v>1</v>
      </c>
      <c r="AM216" s="138" t="s">
        <v>83</v>
      </c>
      <c r="AN216" s="8">
        <v>1</v>
      </c>
      <c r="AO216" s="8">
        <v>1</v>
      </c>
      <c r="AP216" s="8">
        <v>1</v>
      </c>
    </row>
    <row r="217" spans="1:42">
      <c r="A217" s="118"/>
      <c r="B217" s="8" t="str">
        <f>装备!B217</f>
        <v>IF01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VLOOKUP(LEFT(RIGHT(B217,5),4),装备!B:CU,2,FALSE)</f>
        <v>攻击</v>
      </c>
      <c r="I217" s="8">
        <f>VLOOKUP(B217,装备!B:CV,99,FALSE)</f>
        <v>0</v>
      </c>
      <c r="J217" s="120" t="str">
        <f t="shared" ref="J217" si="84">H217</f>
        <v>攻击</v>
      </c>
      <c r="K217" s="120">
        <f t="shared" ref="K217" si="85">I217</f>
        <v>0</v>
      </c>
      <c r="L217" s="8"/>
      <c r="M217" s="121">
        <f>VLOOKUP(LEFT(RIGHT(B217,5),4),装备!B:CU,20,FALSE)</f>
        <v>0</v>
      </c>
      <c r="N217" s="138" t="s">
        <v>83</v>
      </c>
      <c r="O217" s="121" t="s">
        <v>90</v>
      </c>
      <c r="P217" s="8">
        <v>0</v>
      </c>
      <c r="Q217" s="8">
        <v>0</v>
      </c>
      <c r="R217" s="138" t="s">
        <v>83</v>
      </c>
      <c r="S217" s="138" t="s">
        <v>83</v>
      </c>
      <c r="T217" s="138" t="s">
        <v>83</v>
      </c>
      <c r="U217" s="138" t="s">
        <v>83</v>
      </c>
      <c r="V217" s="8"/>
      <c r="W217" s="8" t="s">
        <v>87</v>
      </c>
      <c r="X217" s="8">
        <v>0</v>
      </c>
      <c r="Y217" s="138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38" t="s">
        <v>83</v>
      </c>
      <c r="AF217" s="138" t="s">
        <v>83</v>
      </c>
      <c r="AG217" s="138" t="s">
        <v>83</v>
      </c>
      <c r="AH217" s="138" t="s">
        <v>83</v>
      </c>
      <c r="AI217" s="8">
        <v>1</v>
      </c>
      <c r="AJ217" s="8"/>
      <c r="AK217" s="8">
        <v>1</v>
      </c>
      <c r="AL217" s="8">
        <v>1</v>
      </c>
      <c r="AM217" s="138" t="s">
        <v>83</v>
      </c>
      <c r="AN217" s="8">
        <v>1</v>
      </c>
      <c r="AO217" s="8">
        <v>1</v>
      </c>
      <c r="AP217" s="8">
        <v>1</v>
      </c>
    </row>
    <row r="218" spans="1:42">
      <c r="A218" s="118"/>
      <c r="B218" s="8" t="str">
        <f>装备!B218</f>
        <v>IF02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VLOOKUP(LEFT(RIGHT(B218,5),4),装备!B:CU,2,FALSE)</f>
        <v>法强</v>
      </c>
      <c r="I218" s="8">
        <f>VLOOKUP(B218,装备!B:CV,99,FALSE)</f>
        <v>0</v>
      </c>
      <c r="J218" s="120" t="str">
        <f t="shared" ref="J218:J243" si="86">H218</f>
        <v>法强</v>
      </c>
      <c r="K218" s="120">
        <f t="shared" ref="K218:K243" si="87">I218</f>
        <v>0</v>
      </c>
      <c r="L218" s="8"/>
      <c r="M218" s="121">
        <f>VLOOKUP(LEFT(RIGHT(B218,5),4),装备!B:CU,20,FALSE)</f>
        <v>0</v>
      </c>
      <c r="N218" s="138" t="s">
        <v>83</v>
      </c>
      <c r="O218" s="121" t="s">
        <v>90</v>
      </c>
      <c r="P218" s="8">
        <v>0</v>
      </c>
      <c r="Q218" s="8">
        <v>0</v>
      </c>
      <c r="R218" s="138" t="s">
        <v>83</v>
      </c>
      <c r="S218" s="138" t="s">
        <v>83</v>
      </c>
      <c r="T218" s="138" t="s">
        <v>83</v>
      </c>
      <c r="U218" s="138" t="s">
        <v>83</v>
      </c>
      <c r="V218" s="8"/>
      <c r="W218" s="8" t="s">
        <v>87</v>
      </c>
      <c r="X218" s="8">
        <v>0</v>
      </c>
      <c r="Y218" s="138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38" t="s">
        <v>83</v>
      </c>
      <c r="AF218" s="138" t="s">
        <v>83</v>
      </c>
      <c r="AG218" s="138" t="s">
        <v>83</v>
      </c>
      <c r="AH218" s="138" t="s">
        <v>83</v>
      </c>
      <c r="AI218" s="8">
        <v>1</v>
      </c>
      <c r="AJ218" s="8"/>
      <c r="AK218" s="8">
        <v>1</v>
      </c>
      <c r="AL218" s="8">
        <v>1</v>
      </c>
      <c r="AM218" s="138" t="s">
        <v>83</v>
      </c>
      <c r="AN218" s="8">
        <v>1</v>
      </c>
      <c r="AO218" s="8">
        <v>1</v>
      </c>
      <c r="AP218" s="8">
        <v>1</v>
      </c>
    </row>
    <row r="219" spans="1:42">
      <c r="A219" s="118"/>
      <c r="B219" s="8" t="str">
        <f>装备!B219</f>
        <v>IF03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VLOOKUP(LEFT(RIGHT(B219,5),4),装备!B:CU,2,FALSE)</f>
        <v>攻击</v>
      </c>
      <c r="I219" s="8">
        <f>VLOOKUP(B219,装备!B:CV,99,FALSE)</f>
        <v>0</v>
      </c>
      <c r="J219" s="120" t="str">
        <f t="shared" si="86"/>
        <v>攻击</v>
      </c>
      <c r="K219" s="120">
        <f t="shared" si="87"/>
        <v>0</v>
      </c>
      <c r="L219" s="8"/>
      <c r="M219" s="121">
        <f>VLOOKUP(LEFT(RIGHT(B219,5),4),装备!B:CU,20,FALSE)</f>
        <v>0</v>
      </c>
      <c r="N219" s="138" t="s">
        <v>83</v>
      </c>
      <c r="O219" s="121" t="s">
        <v>90</v>
      </c>
      <c r="P219" s="8">
        <v>0</v>
      </c>
      <c r="Q219" s="8">
        <v>0</v>
      </c>
      <c r="R219" s="138" t="s">
        <v>83</v>
      </c>
      <c r="S219" s="138" t="s">
        <v>83</v>
      </c>
      <c r="T219" s="138" t="s">
        <v>83</v>
      </c>
      <c r="U219" s="138" t="s">
        <v>83</v>
      </c>
      <c r="V219" s="8"/>
      <c r="W219" s="8" t="s">
        <v>87</v>
      </c>
      <c r="X219" s="8">
        <v>0</v>
      </c>
      <c r="Y219" s="138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38" t="s">
        <v>83</v>
      </c>
      <c r="AF219" s="138" t="s">
        <v>83</v>
      </c>
      <c r="AG219" s="138" t="s">
        <v>83</v>
      </c>
      <c r="AH219" s="138" t="s">
        <v>83</v>
      </c>
      <c r="AI219" s="8">
        <v>1</v>
      </c>
      <c r="AJ219" s="8"/>
      <c r="AK219" s="8">
        <v>1</v>
      </c>
      <c r="AL219" s="8">
        <v>1</v>
      </c>
      <c r="AM219" s="138" t="s">
        <v>83</v>
      </c>
      <c r="AN219" s="8">
        <v>1</v>
      </c>
      <c r="AO219" s="8">
        <v>1</v>
      </c>
      <c r="AP219" s="8">
        <v>1</v>
      </c>
    </row>
    <row r="220" spans="1:42">
      <c r="A220" s="118"/>
      <c r="B220" s="8" t="str">
        <f>装备!B220</f>
        <v>IF04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VLOOKUP(LEFT(RIGHT(B220,5),4),装备!B:CU,2,FALSE)</f>
        <v>法强</v>
      </c>
      <c r="I220" s="8">
        <f>VLOOKUP(B220,装备!B:CV,99,FALSE)</f>
        <v>0</v>
      </c>
      <c r="J220" s="120" t="str">
        <f t="shared" si="86"/>
        <v>法强</v>
      </c>
      <c r="K220" s="120">
        <f t="shared" si="87"/>
        <v>0</v>
      </c>
      <c r="L220" s="8"/>
      <c r="M220" s="121">
        <f>VLOOKUP(LEFT(RIGHT(B220,5),4),装备!B:CU,20,FALSE)</f>
        <v>0</v>
      </c>
      <c r="N220" s="138" t="s">
        <v>83</v>
      </c>
      <c r="O220" s="121" t="s">
        <v>90</v>
      </c>
      <c r="P220" s="8">
        <v>0</v>
      </c>
      <c r="Q220" s="8">
        <v>0</v>
      </c>
      <c r="R220" s="138" t="s">
        <v>83</v>
      </c>
      <c r="S220" s="138" t="s">
        <v>83</v>
      </c>
      <c r="T220" s="138" t="s">
        <v>83</v>
      </c>
      <c r="U220" s="138" t="s">
        <v>83</v>
      </c>
      <c r="V220" s="8"/>
      <c r="W220" s="8" t="s">
        <v>87</v>
      </c>
      <c r="X220" s="8">
        <v>0</v>
      </c>
      <c r="Y220" s="138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38" t="s">
        <v>83</v>
      </c>
      <c r="AF220" s="138" t="s">
        <v>83</v>
      </c>
      <c r="AG220" s="138" t="s">
        <v>83</v>
      </c>
      <c r="AH220" s="138" t="s">
        <v>83</v>
      </c>
      <c r="AI220" s="8">
        <v>1</v>
      </c>
      <c r="AJ220" s="8"/>
      <c r="AK220" s="8">
        <v>1</v>
      </c>
      <c r="AL220" s="8">
        <v>1</v>
      </c>
      <c r="AM220" s="138" t="s">
        <v>83</v>
      </c>
      <c r="AN220" s="8">
        <v>1</v>
      </c>
      <c r="AO220" s="8">
        <v>1</v>
      </c>
      <c r="AP220" s="8">
        <v>1</v>
      </c>
    </row>
    <row r="221" spans="1:42">
      <c r="A221" s="118"/>
      <c r="B221" s="8" t="str">
        <f>装备!B221</f>
        <v>IF05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VLOOKUP(LEFT(RIGHT(B221,5),4),装备!B:CU,2,FALSE)</f>
        <v>攻击</v>
      </c>
      <c r="I221" s="8">
        <f>VLOOKUP(B221,装备!B:CV,99,FALSE)</f>
        <v>0</v>
      </c>
      <c r="J221" s="120" t="str">
        <f t="shared" si="86"/>
        <v>攻击</v>
      </c>
      <c r="K221" s="120">
        <f t="shared" si="87"/>
        <v>0</v>
      </c>
      <c r="L221" s="8"/>
      <c r="M221" s="121">
        <f>VLOOKUP(LEFT(RIGHT(B221,5),4),装备!B:CU,20,FALSE)</f>
        <v>0</v>
      </c>
      <c r="N221" s="138" t="s">
        <v>83</v>
      </c>
      <c r="O221" s="121" t="s">
        <v>90</v>
      </c>
      <c r="P221" s="8">
        <v>0</v>
      </c>
      <c r="Q221" s="8">
        <v>0</v>
      </c>
      <c r="R221" s="138" t="s">
        <v>83</v>
      </c>
      <c r="S221" s="138" t="s">
        <v>83</v>
      </c>
      <c r="T221" s="138" t="s">
        <v>83</v>
      </c>
      <c r="U221" s="138" t="s">
        <v>83</v>
      </c>
      <c r="V221" s="8"/>
      <c r="W221" s="8" t="s">
        <v>87</v>
      </c>
      <c r="X221" s="8">
        <v>0</v>
      </c>
      <c r="Y221" s="138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38" t="s">
        <v>83</v>
      </c>
      <c r="AF221" s="138" t="s">
        <v>83</v>
      </c>
      <c r="AG221" s="138" t="s">
        <v>83</v>
      </c>
      <c r="AH221" s="138" t="s">
        <v>83</v>
      </c>
      <c r="AI221" s="8">
        <v>1</v>
      </c>
      <c r="AJ221" s="8"/>
      <c r="AK221" s="8">
        <v>1</v>
      </c>
      <c r="AL221" s="8">
        <v>1</v>
      </c>
      <c r="AM221" s="138" t="s">
        <v>83</v>
      </c>
      <c r="AN221" s="8">
        <v>1</v>
      </c>
      <c r="AO221" s="8">
        <v>1</v>
      </c>
      <c r="AP221" s="8">
        <v>1</v>
      </c>
    </row>
    <row r="222" spans="1:42">
      <c r="A222" s="118"/>
      <c r="B222" s="8" t="str">
        <f>装备!B222</f>
        <v>IF06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VLOOKUP(LEFT(RIGHT(B222,5),4),装备!B:CU,2,FALSE)</f>
        <v>法强</v>
      </c>
      <c r="I222" s="8">
        <f>VLOOKUP(B222,装备!B:CV,99,FALSE)</f>
        <v>0</v>
      </c>
      <c r="J222" s="120" t="str">
        <f t="shared" si="86"/>
        <v>法强</v>
      </c>
      <c r="K222" s="120">
        <f t="shared" si="87"/>
        <v>0</v>
      </c>
      <c r="L222" s="8"/>
      <c r="M222" s="121">
        <f>VLOOKUP(LEFT(RIGHT(B222,5),4),装备!B:CU,20,FALSE)</f>
        <v>0</v>
      </c>
      <c r="N222" s="138" t="s">
        <v>83</v>
      </c>
      <c r="O222" s="121" t="s">
        <v>90</v>
      </c>
      <c r="P222" s="8">
        <v>0</v>
      </c>
      <c r="Q222" s="8">
        <v>0</v>
      </c>
      <c r="R222" s="138" t="s">
        <v>83</v>
      </c>
      <c r="S222" s="138" t="s">
        <v>83</v>
      </c>
      <c r="T222" s="138" t="s">
        <v>83</v>
      </c>
      <c r="U222" s="138" t="s">
        <v>83</v>
      </c>
      <c r="V222" s="8"/>
      <c r="W222" s="8" t="s">
        <v>87</v>
      </c>
      <c r="X222" s="8">
        <v>0</v>
      </c>
      <c r="Y222" s="138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38" t="s">
        <v>83</v>
      </c>
      <c r="AF222" s="138" t="s">
        <v>83</v>
      </c>
      <c r="AG222" s="138" t="s">
        <v>83</v>
      </c>
      <c r="AH222" s="138" t="s">
        <v>83</v>
      </c>
      <c r="AI222" s="8">
        <v>1</v>
      </c>
      <c r="AJ222" s="8"/>
      <c r="AK222" s="8">
        <v>1</v>
      </c>
      <c r="AL222" s="8">
        <v>1</v>
      </c>
      <c r="AM222" s="138" t="s">
        <v>83</v>
      </c>
      <c r="AN222" s="8">
        <v>1</v>
      </c>
      <c r="AO222" s="8">
        <v>1</v>
      </c>
      <c r="AP222" s="8">
        <v>1</v>
      </c>
    </row>
    <row r="223" spans="1:42">
      <c r="A223" s="118"/>
      <c r="B223" s="8" t="str">
        <f>装备!B223</f>
        <v>IF07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VLOOKUP(LEFT(RIGHT(B223,5),4),装备!B:CU,2,FALSE)</f>
        <v>攻击</v>
      </c>
      <c r="I223" s="8">
        <f>VLOOKUP(B223,装备!B:CV,99,FALSE)</f>
        <v>0</v>
      </c>
      <c r="J223" s="120" t="str">
        <f t="shared" si="86"/>
        <v>攻击</v>
      </c>
      <c r="K223" s="120">
        <f t="shared" si="87"/>
        <v>0</v>
      </c>
      <c r="L223" s="8"/>
      <c r="M223" s="121">
        <f>VLOOKUP(LEFT(RIGHT(B223,5),4),装备!B:CU,20,FALSE)</f>
        <v>0</v>
      </c>
      <c r="N223" s="138" t="s">
        <v>83</v>
      </c>
      <c r="O223" s="121" t="s">
        <v>90</v>
      </c>
      <c r="P223" s="8">
        <v>0</v>
      </c>
      <c r="Q223" s="8">
        <v>0</v>
      </c>
      <c r="R223" s="138" t="s">
        <v>83</v>
      </c>
      <c r="S223" s="138" t="s">
        <v>83</v>
      </c>
      <c r="T223" s="138" t="s">
        <v>83</v>
      </c>
      <c r="U223" s="138" t="s">
        <v>83</v>
      </c>
      <c r="V223" s="8"/>
      <c r="W223" s="8" t="s">
        <v>87</v>
      </c>
      <c r="X223" s="8">
        <v>0</v>
      </c>
      <c r="Y223" s="138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38" t="s">
        <v>83</v>
      </c>
      <c r="AF223" s="138" t="s">
        <v>83</v>
      </c>
      <c r="AG223" s="138" t="s">
        <v>83</v>
      </c>
      <c r="AH223" s="138" t="s">
        <v>83</v>
      </c>
      <c r="AI223" s="8">
        <v>1</v>
      </c>
      <c r="AJ223" s="8"/>
      <c r="AK223" s="8">
        <v>1</v>
      </c>
      <c r="AL223" s="8">
        <v>1</v>
      </c>
      <c r="AM223" s="138" t="s">
        <v>83</v>
      </c>
      <c r="AN223" s="8">
        <v>1</v>
      </c>
      <c r="AO223" s="8">
        <v>1</v>
      </c>
      <c r="AP223" s="8">
        <v>1</v>
      </c>
    </row>
    <row r="224" spans="1:42">
      <c r="A224" s="118"/>
      <c r="B224" s="8" t="str">
        <f>装备!B224</f>
        <v>IF08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VLOOKUP(LEFT(RIGHT(B224,5),4),装备!B:CU,2,FALSE)</f>
        <v>法强</v>
      </c>
      <c r="I224" s="8">
        <f>VLOOKUP(B224,装备!B:CV,99,FALSE)</f>
        <v>0</v>
      </c>
      <c r="J224" s="120" t="str">
        <f t="shared" si="86"/>
        <v>法强</v>
      </c>
      <c r="K224" s="120">
        <f t="shared" si="87"/>
        <v>0</v>
      </c>
      <c r="L224" s="8"/>
      <c r="M224" s="121">
        <f>VLOOKUP(LEFT(RIGHT(B224,5),4),装备!B:CU,20,FALSE)</f>
        <v>0</v>
      </c>
      <c r="N224" s="138" t="s">
        <v>83</v>
      </c>
      <c r="O224" s="121" t="s">
        <v>90</v>
      </c>
      <c r="P224" s="8">
        <v>0</v>
      </c>
      <c r="Q224" s="8">
        <v>0</v>
      </c>
      <c r="R224" s="138" t="s">
        <v>83</v>
      </c>
      <c r="S224" s="138" t="s">
        <v>83</v>
      </c>
      <c r="T224" s="138" t="s">
        <v>83</v>
      </c>
      <c r="U224" s="138" t="s">
        <v>83</v>
      </c>
      <c r="V224" s="8"/>
      <c r="W224" s="8" t="s">
        <v>87</v>
      </c>
      <c r="X224" s="8">
        <v>0</v>
      </c>
      <c r="Y224" s="138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38" t="s">
        <v>83</v>
      </c>
      <c r="AF224" s="138" t="s">
        <v>83</v>
      </c>
      <c r="AG224" s="138" t="s">
        <v>83</v>
      </c>
      <c r="AH224" s="138" t="s">
        <v>83</v>
      </c>
      <c r="AI224" s="8">
        <v>1</v>
      </c>
      <c r="AJ224" s="8"/>
      <c r="AK224" s="8">
        <v>1</v>
      </c>
      <c r="AL224" s="8">
        <v>1</v>
      </c>
      <c r="AM224" s="138" t="s">
        <v>83</v>
      </c>
      <c r="AN224" s="8">
        <v>1</v>
      </c>
      <c r="AO224" s="8">
        <v>1</v>
      </c>
      <c r="AP224" s="8">
        <v>1</v>
      </c>
    </row>
    <row r="225" spans="1:42">
      <c r="A225" s="118"/>
      <c r="B225" s="8" t="str">
        <f>装备!B225</f>
        <v>IF09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VLOOKUP(LEFT(RIGHT(B225,5),4),装备!B:CU,2,FALSE)</f>
        <v>攻击</v>
      </c>
      <c r="I225" s="8">
        <f>VLOOKUP(B225,装备!B:CV,99,FALSE)</f>
        <v>0</v>
      </c>
      <c r="J225" s="120" t="str">
        <f t="shared" si="86"/>
        <v>攻击</v>
      </c>
      <c r="K225" s="120">
        <f t="shared" si="87"/>
        <v>0</v>
      </c>
      <c r="L225" s="8"/>
      <c r="M225" s="121">
        <f>VLOOKUP(LEFT(RIGHT(B225,5),4),装备!B:CU,20,FALSE)</f>
        <v>0</v>
      </c>
      <c r="N225" s="138" t="s">
        <v>83</v>
      </c>
      <c r="O225" s="121" t="s">
        <v>90</v>
      </c>
      <c r="P225" s="8">
        <v>0</v>
      </c>
      <c r="Q225" s="8">
        <v>0</v>
      </c>
      <c r="R225" s="138" t="s">
        <v>83</v>
      </c>
      <c r="S225" s="138" t="s">
        <v>83</v>
      </c>
      <c r="T225" s="138" t="s">
        <v>83</v>
      </c>
      <c r="U225" s="138" t="s">
        <v>83</v>
      </c>
      <c r="V225" s="8"/>
      <c r="W225" s="8" t="s">
        <v>87</v>
      </c>
      <c r="X225" s="8">
        <v>0</v>
      </c>
      <c r="Y225" s="138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38" t="s">
        <v>83</v>
      </c>
      <c r="AF225" s="138" t="s">
        <v>83</v>
      </c>
      <c r="AG225" s="138" t="s">
        <v>83</v>
      </c>
      <c r="AH225" s="138" t="s">
        <v>83</v>
      </c>
      <c r="AI225" s="8">
        <v>1</v>
      </c>
      <c r="AJ225" s="8"/>
      <c r="AK225" s="8">
        <v>1</v>
      </c>
      <c r="AL225" s="8">
        <v>1</v>
      </c>
      <c r="AM225" s="138" t="s">
        <v>83</v>
      </c>
      <c r="AN225" s="8">
        <v>1</v>
      </c>
      <c r="AO225" s="8">
        <v>1</v>
      </c>
      <c r="AP225" s="8">
        <v>1</v>
      </c>
    </row>
    <row r="226" spans="1:42">
      <c r="A226" s="118"/>
      <c r="B226" s="8" t="str">
        <f>装备!B226</f>
        <v>IF10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VLOOKUP(LEFT(RIGHT(B226,5),4),装备!B:CU,2,FALSE)</f>
        <v>法强</v>
      </c>
      <c r="I226" s="8">
        <f>VLOOKUP(B226,装备!B:CV,99,FALSE)</f>
        <v>0</v>
      </c>
      <c r="J226" s="120" t="str">
        <f t="shared" si="86"/>
        <v>法强</v>
      </c>
      <c r="K226" s="120">
        <f t="shared" si="87"/>
        <v>0</v>
      </c>
      <c r="L226" s="8"/>
      <c r="M226" s="121">
        <f>VLOOKUP(LEFT(RIGHT(B226,5),4),装备!B:CU,20,FALSE)</f>
        <v>0</v>
      </c>
      <c r="N226" s="138" t="s">
        <v>83</v>
      </c>
      <c r="O226" s="121" t="s">
        <v>90</v>
      </c>
      <c r="P226" s="8">
        <v>0</v>
      </c>
      <c r="Q226" s="8">
        <v>0</v>
      </c>
      <c r="R226" s="138" t="s">
        <v>83</v>
      </c>
      <c r="S226" s="138" t="s">
        <v>83</v>
      </c>
      <c r="T226" s="138" t="s">
        <v>83</v>
      </c>
      <c r="U226" s="138" t="s">
        <v>83</v>
      </c>
      <c r="V226" s="8"/>
      <c r="W226" s="8" t="s">
        <v>87</v>
      </c>
      <c r="X226" s="8">
        <v>0</v>
      </c>
      <c r="Y226" s="138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38" t="s">
        <v>83</v>
      </c>
      <c r="AF226" s="138" t="s">
        <v>83</v>
      </c>
      <c r="AG226" s="138" t="s">
        <v>83</v>
      </c>
      <c r="AH226" s="138" t="s">
        <v>83</v>
      </c>
      <c r="AI226" s="8">
        <v>1</v>
      </c>
      <c r="AJ226" s="8"/>
      <c r="AK226" s="8">
        <v>1</v>
      </c>
      <c r="AL226" s="8">
        <v>1</v>
      </c>
      <c r="AM226" s="138" t="s">
        <v>83</v>
      </c>
      <c r="AN226" s="8">
        <v>1</v>
      </c>
      <c r="AO226" s="8">
        <v>1</v>
      </c>
      <c r="AP226" s="8">
        <v>1</v>
      </c>
    </row>
    <row r="227" spans="1:42">
      <c r="A227" s="118"/>
      <c r="B227" s="8" t="str">
        <f>装备!B227</f>
        <v>IF11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VLOOKUP(LEFT(RIGHT(B227,5),4),装备!B:CU,2,FALSE)</f>
        <v>攻击和法强</v>
      </c>
      <c r="I227" s="8">
        <f>VLOOKUP(B227,装备!B:CV,99,FALSE)</f>
        <v>0</v>
      </c>
      <c r="J227" s="120" t="str">
        <f t="shared" si="86"/>
        <v>攻击和法强</v>
      </c>
      <c r="K227" s="120">
        <f t="shared" si="87"/>
        <v>0</v>
      </c>
      <c r="L227" s="8"/>
      <c r="M227" s="121">
        <f>VLOOKUP(LEFT(RIGHT(B227,5),4),装备!B:CU,20,FALSE)</f>
        <v>0</v>
      </c>
      <c r="N227" s="138" t="s">
        <v>83</v>
      </c>
      <c r="O227" s="121" t="s">
        <v>90</v>
      </c>
      <c r="P227" s="8">
        <v>0</v>
      </c>
      <c r="Q227" s="8">
        <v>0</v>
      </c>
      <c r="R227" s="138" t="s">
        <v>83</v>
      </c>
      <c r="S227" s="138" t="s">
        <v>83</v>
      </c>
      <c r="T227" s="138" t="s">
        <v>83</v>
      </c>
      <c r="U227" s="138" t="s">
        <v>83</v>
      </c>
      <c r="V227" s="8"/>
      <c r="W227" s="8" t="s">
        <v>87</v>
      </c>
      <c r="X227" s="8">
        <v>0</v>
      </c>
      <c r="Y227" s="138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38" t="s">
        <v>83</v>
      </c>
      <c r="AF227" s="138" t="s">
        <v>83</v>
      </c>
      <c r="AG227" s="138" t="s">
        <v>83</v>
      </c>
      <c r="AH227" s="138" t="s">
        <v>83</v>
      </c>
      <c r="AI227" s="8">
        <v>1</v>
      </c>
      <c r="AJ227" s="8"/>
      <c r="AK227" s="8">
        <v>1</v>
      </c>
      <c r="AL227" s="8">
        <v>1</v>
      </c>
      <c r="AM227" s="138" t="s">
        <v>83</v>
      </c>
      <c r="AN227" s="8">
        <v>1</v>
      </c>
      <c r="AO227" s="8">
        <v>1</v>
      </c>
      <c r="AP227" s="8">
        <v>1</v>
      </c>
    </row>
    <row r="228" spans="1:42">
      <c r="A228" s="118"/>
      <c r="B228" s="8" t="str">
        <f>装备!B228</f>
        <v>IF12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VLOOKUP(LEFT(RIGHT(B228,5),4),装备!B:CU,2,FALSE)</f>
        <v>暴击</v>
      </c>
      <c r="I228" s="8">
        <f>VLOOKUP(B228,装备!B:CV,99,FALSE)</f>
        <v>0</v>
      </c>
      <c r="J228" s="120" t="str">
        <f t="shared" si="86"/>
        <v>暴击</v>
      </c>
      <c r="K228" s="120">
        <f t="shared" si="87"/>
        <v>0</v>
      </c>
      <c r="L228" s="8"/>
      <c r="M228" s="121">
        <f>VLOOKUP(LEFT(RIGHT(B228,5),4),装备!B:CU,20,FALSE)</f>
        <v>0</v>
      </c>
      <c r="N228" s="138" t="s">
        <v>83</v>
      </c>
      <c r="O228" s="121" t="s">
        <v>90</v>
      </c>
      <c r="P228" s="8">
        <v>0</v>
      </c>
      <c r="Q228" s="8">
        <v>0</v>
      </c>
      <c r="R228" s="138" t="s">
        <v>83</v>
      </c>
      <c r="S228" s="138" t="s">
        <v>83</v>
      </c>
      <c r="T228" s="138" t="s">
        <v>83</v>
      </c>
      <c r="U228" s="138" t="s">
        <v>83</v>
      </c>
      <c r="V228" s="8"/>
      <c r="W228" s="8" t="s">
        <v>87</v>
      </c>
      <c r="X228" s="8">
        <v>0</v>
      </c>
      <c r="Y228" s="138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38" t="s">
        <v>83</v>
      </c>
      <c r="AF228" s="138" t="s">
        <v>83</v>
      </c>
      <c r="AG228" s="138" t="s">
        <v>83</v>
      </c>
      <c r="AH228" s="138" t="s">
        <v>83</v>
      </c>
      <c r="AI228" s="8">
        <v>1</v>
      </c>
      <c r="AJ228" s="8"/>
      <c r="AK228" s="8">
        <v>1</v>
      </c>
      <c r="AL228" s="8">
        <v>1</v>
      </c>
      <c r="AM228" s="138" t="s">
        <v>83</v>
      </c>
      <c r="AN228" s="8">
        <v>1</v>
      </c>
      <c r="AO228" s="8">
        <v>1</v>
      </c>
      <c r="AP228" s="8">
        <v>1</v>
      </c>
    </row>
    <row r="229" spans="1:42">
      <c r="A229" s="118"/>
      <c r="B229" s="8" t="str">
        <f>装备!B229</f>
        <v>IF13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VLOOKUP(LEFT(RIGHT(B229,5),4),装备!B:CU,2,FALSE)</f>
        <v>爆伤</v>
      </c>
      <c r="I229" s="8">
        <f>VLOOKUP(B229,装备!B:CV,99,FALSE)</f>
        <v>0</v>
      </c>
      <c r="J229" s="120" t="str">
        <f t="shared" si="86"/>
        <v>爆伤</v>
      </c>
      <c r="K229" s="120">
        <f t="shared" si="87"/>
        <v>0</v>
      </c>
      <c r="L229" s="8"/>
      <c r="M229" s="121">
        <f>VLOOKUP(LEFT(RIGHT(B229,5),4),装备!B:CU,20,FALSE)</f>
        <v>0</v>
      </c>
      <c r="N229" s="138" t="s">
        <v>83</v>
      </c>
      <c r="O229" s="121" t="s">
        <v>90</v>
      </c>
      <c r="P229" s="8">
        <v>0</v>
      </c>
      <c r="Q229" s="8">
        <v>0</v>
      </c>
      <c r="R229" s="138" t="s">
        <v>83</v>
      </c>
      <c r="S229" s="138" t="s">
        <v>83</v>
      </c>
      <c r="T229" s="138" t="s">
        <v>83</v>
      </c>
      <c r="U229" s="138" t="s">
        <v>83</v>
      </c>
      <c r="V229" s="8"/>
      <c r="W229" s="8" t="s">
        <v>87</v>
      </c>
      <c r="X229" s="8">
        <v>0</v>
      </c>
      <c r="Y229" s="138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38" t="s">
        <v>83</v>
      </c>
      <c r="AF229" s="138" t="s">
        <v>83</v>
      </c>
      <c r="AG229" s="138" t="s">
        <v>83</v>
      </c>
      <c r="AH229" s="138" t="s">
        <v>83</v>
      </c>
      <c r="AI229" s="8">
        <v>1</v>
      </c>
      <c r="AJ229" s="8"/>
      <c r="AK229" s="8">
        <v>1</v>
      </c>
      <c r="AL229" s="8">
        <v>1</v>
      </c>
      <c r="AM229" s="138" t="s">
        <v>83</v>
      </c>
      <c r="AN229" s="8">
        <v>1</v>
      </c>
      <c r="AO229" s="8">
        <v>1</v>
      </c>
      <c r="AP229" s="8">
        <v>1</v>
      </c>
    </row>
    <row r="230" spans="1:42">
      <c r="A230" s="118"/>
      <c r="B230" s="8" t="str">
        <f>装备!B230</f>
        <v>IF14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VLOOKUP(LEFT(RIGHT(B230,5),4),装备!B:CU,2,FALSE)</f>
        <v>爆伤</v>
      </c>
      <c r="I230" s="8">
        <f>VLOOKUP(B230,装备!B:CV,99,FALSE)</f>
        <v>0</v>
      </c>
      <c r="J230" s="120" t="str">
        <f t="shared" si="86"/>
        <v>爆伤</v>
      </c>
      <c r="K230" s="120">
        <f t="shared" si="87"/>
        <v>0</v>
      </c>
      <c r="L230" s="8"/>
      <c r="M230" s="121">
        <f>VLOOKUP(LEFT(RIGHT(B230,5),4),装备!B:CU,20,FALSE)</f>
        <v>0</v>
      </c>
      <c r="N230" s="138" t="s">
        <v>83</v>
      </c>
      <c r="O230" s="121" t="s">
        <v>90</v>
      </c>
      <c r="P230" s="8">
        <v>0</v>
      </c>
      <c r="Q230" s="8">
        <v>0</v>
      </c>
      <c r="R230" s="138" t="s">
        <v>83</v>
      </c>
      <c r="S230" s="138" t="s">
        <v>83</v>
      </c>
      <c r="T230" s="138" t="s">
        <v>83</v>
      </c>
      <c r="U230" s="138" t="s">
        <v>83</v>
      </c>
      <c r="V230" s="8"/>
      <c r="W230" s="8" t="s">
        <v>87</v>
      </c>
      <c r="X230" s="8">
        <v>0</v>
      </c>
      <c r="Y230" s="138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38" t="s">
        <v>83</v>
      </c>
      <c r="AF230" s="138" t="s">
        <v>83</v>
      </c>
      <c r="AG230" s="138" t="s">
        <v>83</v>
      </c>
      <c r="AH230" s="138" t="s">
        <v>83</v>
      </c>
      <c r="AI230" s="8">
        <v>1</v>
      </c>
      <c r="AJ230" s="8"/>
      <c r="AK230" s="8">
        <v>1</v>
      </c>
      <c r="AL230" s="8">
        <v>1</v>
      </c>
      <c r="AM230" s="138" t="s">
        <v>83</v>
      </c>
      <c r="AN230" s="8">
        <v>1</v>
      </c>
      <c r="AO230" s="8">
        <v>1</v>
      </c>
      <c r="AP230" s="8">
        <v>1</v>
      </c>
    </row>
    <row r="231" spans="1:42">
      <c r="A231" s="118"/>
      <c r="B231" s="8" t="str">
        <f>装备!B231</f>
        <v>IF15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VLOOKUP(LEFT(RIGHT(B231,5),4),装备!B:CU,2,FALSE)</f>
        <v>爆伤</v>
      </c>
      <c r="I231" s="8">
        <f>VLOOKUP(B231,装备!B:CV,99,FALSE)</f>
        <v>0</v>
      </c>
      <c r="J231" s="120" t="str">
        <f t="shared" si="86"/>
        <v>爆伤</v>
      </c>
      <c r="K231" s="120">
        <f t="shared" si="87"/>
        <v>0</v>
      </c>
      <c r="L231" s="8"/>
      <c r="M231" s="121">
        <f>VLOOKUP(LEFT(RIGHT(B231,5),4),装备!B:CU,20,FALSE)</f>
        <v>0</v>
      </c>
      <c r="N231" s="138" t="s">
        <v>83</v>
      </c>
      <c r="O231" s="121" t="s">
        <v>90</v>
      </c>
      <c r="P231" s="8">
        <v>0</v>
      </c>
      <c r="Q231" s="8">
        <v>0</v>
      </c>
      <c r="R231" s="138" t="s">
        <v>83</v>
      </c>
      <c r="S231" s="138" t="s">
        <v>83</v>
      </c>
      <c r="T231" s="138" t="s">
        <v>83</v>
      </c>
      <c r="U231" s="138" t="s">
        <v>83</v>
      </c>
      <c r="V231" s="8"/>
      <c r="W231" s="8" t="s">
        <v>87</v>
      </c>
      <c r="X231" s="8">
        <v>0</v>
      </c>
      <c r="Y231" s="138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38" t="s">
        <v>83</v>
      </c>
      <c r="AF231" s="138" t="s">
        <v>83</v>
      </c>
      <c r="AG231" s="138" t="s">
        <v>83</v>
      </c>
      <c r="AH231" s="138" t="s">
        <v>83</v>
      </c>
      <c r="AI231" s="8">
        <v>1</v>
      </c>
      <c r="AJ231" s="8"/>
      <c r="AK231" s="8">
        <v>1</v>
      </c>
      <c r="AL231" s="8">
        <v>1</v>
      </c>
      <c r="AM231" s="138" t="s">
        <v>83</v>
      </c>
      <c r="AN231" s="8">
        <v>1</v>
      </c>
      <c r="AO231" s="8">
        <v>1</v>
      </c>
      <c r="AP231" s="8">
        <v>1</v>
      </c>
    </row>
    <row r="232" spans="1:42">
      <c r="A232" s="118"/>
      <c r="B232" s="8" t="str">
        <f>装备!B232</f>
        <v>IF16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VLOOKUP(LEFT(RIGHT(B232,5),4),装备!B:CU,2,FALSE)</f>
        <v>冷却缩减</v>
      </c>
      <c r="I232" s="8">
        <f>VLOOKUP(B232,装备!B:CV,99,FALSE)</f>
        <v>0</v>
      </c>
      <c r="J232" s="120" t="str">
        <f t="shared" si="86"/>
        <v>冷却缩减</v>
      </c>
      <c r="K232" s="120">
        <f t="shared" si="87"/>
        <v>0</v>
      </c>
      <c r="L232" s="8"/>
      <c r="M232" s="121">
        <f>VLOOKUP(LEFT(RIGHT(B232,5),4),装备!B:CU,20,FALSE)</f>
        <v>0</v>
      </c>
      <c r="N232" s="138" t="s">
        <v>83</v>
      </c>
      <c r="O232" s="121" t="s">
        <v>90</v>
      </c>
      <c r="P232" s="8">
        <v>0</v>
      </c>
      <c r="Q232" s="8">
        <v>0</v>
      </c>
      <c r="R232" s="138" t="s">
        <v>83</v>
      </c>
      <c r="S232" s="138" t="s">
        <v>83</v>
      </c>
      <c r="T232" s="138" t="s">
        <v>83</v>
      </c>
      <c r="U232" s="138" t="s">
        <v>83</v>
      </c>
      <c r="V232" s="8"/>
      <c r="W232" s="8" t="s">
        <v>87</v>
      </c>
      <c r="X232" s="8">
        <v>0</v>
      </c>
      <c r="Y232" s="138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38" t="s">
        <v>83</v>
      </c>
      <c r="AF232" s="138" t="s">
        <v>83</v>
      </c>
      <c r="AG232" s="138" t="s">
        <v>83</v>
      </c>
      <c r="AH232" s="138" t="s">
        <v>83</v>
      </c>
      <c r="AI232" s="8">
        <v>1</v>
      </c>
      <c r="AJ232" s="8"/>
      <c r="AK232" s="8">
        <v>1</v>
      </c>
      <c r="AL232" s="8">
        <v>1</v>
      </c>
      <c r="AM232" s="138" t="s">
        <v>83</v>
      </c>
      <c r="AN232" s="8">
        <v>1</v>
      </c>
      <c r="AO232" s="8">
        <v>1</v>
      </c>
      <c r="AP232" s="8">
        <v>1</v>
      </c>
    </row>
    <row r="233" spans="1:42">
      <c r="A233" s="118"/>
      <c r="B233" s="8" t="str">
        <f>装备!B233</f>
        <v>IF17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VLOOKUP(LEFT(RIGHT(B233,5),4),装备!B:CU,2,FALSE)</f>
        <v>冷却缩减</v>
      </c>
      <c r="I233" s="8">
        <f>VLOOKUP(B233,装备!B:CV,99,FALSE)</f>
        <v>0</v>
      </c>
      <c r="J233" s="120" t="str">
        <f t="shared" si="86"/>
        <v>冷却缩减</v>
      </c>
      <c r="K233" s="120">
        <f t="shared" si="87"/>
        <v>0</v>
      </c>
      <c r="L233" s="8"/>
      <c r="M233" s="121">
        <f>VLOOKUP(LEFT(RIGHT(B233,5),4),装备!B:CU,20,FALSE)</f>
        <v>0</v>
      </c>
      <c r="N233" s="138" t="s">
        <v>83</v>
      </c>
      <c r="O233" s="121" t="s">
        <v>90</v>
      </c>
      <c r="P233" s="8">
        <v>0</v>
      </c>
      <c r="Q233" s="8">
        <v>0</v>
      </c>
      <c r="R233" s="138" t="s">
        <v>83</v>
      </c>
      <c r="S233" s="138" t="s">
        <v>83</v>
      </c>
      <c r="T233" s="138" t="s">
        <v>83</v>
      </c>
      <c r="U233" s="138" t="s">
        <v>83</v>
      </c>
      <c r="V233" s="8"/>
      <c r="W233" s="8" t="s">
        <v>87</v>
      </c>
      <c r="X233" s="8">
        <v>0</v>
      </c>
      <c r="Y233" s="138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38" t="s">
        <v>83</v>
      </c>
      <c r="AF233" s="138" t="s">
        <v>83</v>
      </c>
      <c r="AG233" s="138" t="s">
        <v>83</v>
      </c>
      <c r="AH233" s="138" t="s">
        <v>83</v>
      </c>
      <c r="AI233" s="8">
        <v>1</v>
      </c>
      <c r="AJ233" s="8"/>
      <c r="AK233" s="8">
        <v>1</v>
      </c>
      <c r="AL233" s="8">
        <v>1</v>
      </c>
      <c r="AM233" s="138" t="s">
        <v>83</v>
      </c>
      <c r="AN233" s="8">
        <v>1</v>
      </c>
      <c r="AO233" s="8">
        <v>1</v>
      </c>
      <c r="AP233" s="8">
        <v>1</v>
      </c>
    </row>
    <row r="234" spans="1:42">
      <c r="A234" s="118"/>
      <c r="B234" s="8" t="str">
        <f>装备!B234</f>
        <v>IF18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VLOOKUP(LEFT(RIGHT(B234,5),4),装备!B:CU,2,FALSE)</f>
        <v>攻击速度</v>
      </c>
      <c r="I234" s="8">
        <f>VLOOKUP(B234,装备!B:CV,99,FALSE)</f>
        <v>0</v>
      </c>
      <c r="J234" s="120" t="str">
        <f t="shared" si="86"/>
        <v>攻击速度</v>
      </c>
      <c r="K234" s="120">
        <f t="shared" si="87"/>
        <v>0</v>
      </c>
      <c r="L234" s="8"/>
      <c r="M234" s="121">
        <f>VLOOKUP(LEFT(RIGHT(B234,5),4),装备!B:CU,20,FALSE)</f>
        <v>0</v>
      </c>
      <c r="N234" s="138" t="s">
        <v>83</v>
      </c>
      <c r="O234" s="121" t="s">
        <v>90</v>
      </c>
      <c r="P234" s="8">
        <v>0</v>
      </c>
      <c r="Q234" s="8">
        <v>0</v>
      </c>
      <c r="R234" s="138" t="s">
        <v>83</v>
      </c>
      <c r="S234" s="138" t="s">
        <v>83</v>
      </c>
      <c r="T234" s="138" t="s">
        <v>83</v>
      </c>
      <c r="U234" s="138" t="s">
        <v>83</v>
      </c>
      <c r="V234" s="8"/>
      <c r="W234" s="8" t="s">
        <v>87</v>
      </c>
      <c r="X234" s="8">
        <v>0</v>
      </c>
      <c r="Y234" s="138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38" t="s">
        <v>83</v>
      </c>
      <c r="AF234" s="138" t="s">
        <v>83</v>
      </c>
      <c r="AG234" s="138" t="s">
        <v>83</v>
      </c>
      <c r="AH234" s="138" t="s">
        <v>83</v>
      </c>
      <c r="AI234" s="8">
        <v>1</v>
      </c>
      <c r="AJ234" s="8"/>
      <c r="AK234" s="8">
        <v>1</v>
      </c>
      <c r="AL234" s="8">
        <v>1</v>
      </c>
      <c r="AM234" s="138" t="s">
        <v>83</v>
      </c>
      <c r="AN234" s="8">
        <v>1</v>
      </c>
      <c r="AO234" s="8">
        <v>1</v>
      </c>
      <c r="AP234" s="8">
        <v>1</v>
      </c>
    </row>
    <row r="235" spans="1:42">
      <c r="A235" s="118"/>
      <c r="B235" s="8" t="str">
        <f>装备!B235</f>
        <v>IF19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VLOOKUP(LEFT(RIGHT(B235,5),4),装备!B:CU,2,FALSE)</f>
        <v>攻击速度</v>
      </c>
      <c r="I235" s="8">
        <f>VLOOKUP(B235,装备!B:CV,99,FALSE)</f>
        <v>0</v>
      </c>
      <c r="J235" s="120" t="str">
        <f t="shared" si="86"/>
        <v>攻击速度</v>
      </c>
      <c r="K235" s="120">
        <f t="shared" si="87"/>
        <v>0</v>
      </c>
      <c r="L235" s="8"/>
      <c r="M235" s="121">
        <f>VLOOKUP(LEFT(RIGHT(B235,5),4),装备!B:CU,20,FALSE)</f>
        <v>0</v>
      </c>
      <c r="N235" s="138" t="s">
        <v>83</v>
      </c>
      <c r="O235" s="121" t="s">
        <v>90</v>
      </c>
      <c r="P235" s="8">
        <v>0</v>
      </c>
      <c r="Q235" s="8">
        <v>0</v>
      </c>
      <c r="R235" s="138" t="s">
        <v>83</v>
      </c>
      <c r="S235" s="138" t="s">
        <v>83</v>
      </c>
      <c r="T235" s="138" t="s">
        <v>83</v>
      </c>
      <c r="U235" s="138" t="s">
        <v>83</v>
      </c>
      <c r="V235" s="8"/>
      <c r="W235" s="8" t="s">
        <v>87</v>
      </c>
      <c r="X235" s="8">
        <v>0</v>
      </c>
      <c r="Y235" s="138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38" t="s">
        <v>83</v>
      </c>
      <c r="AF235" s="138" t="s">
        <v>83</v>
      </c>
      <c r="AG235" s="138" t="s">
        <v>83</v>
      </c>
      <c r="AH235" s="138" t="s">
        <v>83</v>
      </c>
      <c r="AI235" s="8">
        <v>1</v>
      </c>
      <c r="AJ235" s="8"/>
      <c r="AK235" s="8">
        <v>1</v>
      </c>
      <c r="AL235" s="8">
        <v>1</v>
      </c>
      <c r="AM235" s="138" t="s">
        <v>83</v>
      </c>
      <c r="AN235" s="8">
        <v>1</v>
      </c>
      <c r="AO235" s="8">
        <v>1</v>
      </c>
      <c r="AP235" s="8">
        <v>1</v>
      </c>
    </row>
    <row r="236" spans="1:42">
      <c r="A236" s="118"/>
      <c r="B236" s="8" t="str">
        <f>装备!B236</f>
        <v>IF20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VLOOKUP(LEFT(RIGHT(B236,5),4),装备!B:CU,2,FALSE)</f>
        <v>普攻伤害</v>
      </c>
      <c r="I236" s="8">
        <f>VLOOKUP(B236,装备!B:CV,99,FALSE)</f>
        <v>0</v>
      </c>
      <c r="J236" s="120" t="str">
        <f t="shared" si="86"/>
        <v>普攻伤害</v>
      </c>
      <c r="K236" s="120">
        <f t="shared" si="87"/>
        <v>0</v>
      </c>
      <c r="L236" s="8"/>
      <c r="M236" s="121">
        <f>VLOOKUP(LEFT(RIGHT(B236,5),4),装备!B:CU,20,FALSE)</f>
        <v>0</v>
      </c>
      <c r="N236" s="138" t="s">
        <v>83</v>
      </c>
      <c r="O236" s="121" t="s">
        <v>90</v>
      </c>
      <c r="P236" s="8">
        <v>0</v>
      </c>
      <c r="Q236" s="8">
        <v>0</v>
      </c>
      <c r="R236" s="138" t="s">
        <v>83</v>
      </c>
      <c r="S236" s="138" t="s">
        <v>83</v>
      </c>
      <c r="T236" s="138" t="s">
        <v>83</v>
      </c>
      <c r="U236" s="138" t="s">
        <v>83</v>
      </c>
      <c r="V236" s="8"/>
      <c r="W236" s="8" t="s">
        <v>87</v>
      </c>
      <c r="X236" s="8">
        <v>0</v>
      </c>
      <c r="Y236" s="138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38" t="s">
        <v>83</v>
      </c>
      <c r="AF236" s="138" t="s">
        <v>83</v>
      </c>
      <c r="AG236" s="138" t="s">
        <v>83</v>
      </c>
      <c r="AH236" s="138" t="s">
        <v>83</v>
      </c>
      <c r="AI236" s="8">
        <v>1</v>
      </c>
      <c r="AJ236" s="8"/>
      <c r="AK236" s="8">
        <v>1</v>
      </c>
      <c r="AL236" s="8">
        <v>1</v>
      </c>
      <c r="AM236" s="138" t="s">
        <v>83</v>
      </c>
      <c r="AN236" s="8">
        <v>1</v>
      </c>
      <c r="AO236" s="8">
        <v>1</v>
      </c>
      <c r="AP236" s="8">
        <v>1</v>
      </c>
    </row>
    <row r="237" spans="1:42">
      <c r="A237" s="118"/>
      <c r="B237" s="8" t="str">
        <f>装备!B237</f>
        <v>IF21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VLOOKUP(LEFT(RIGHT(B237,5),4),装备!B:CU,2,FALSE)</f>
        <v>普攻伤害</v>
      </c>
      <c r="I237" s="8">
        <f>VLOOKUP(B237,装备!B:CV,99,FALSE)</f>
        <v>0</v>
      </c>
      <c r="J237" s="120" t="str">
        <f t="shared" si="86"/>
        <v>普攻伤害</v>
      </c>
      <c r="K237" s="120">
        <f t="shared" si="87"/>
        <v>0</v>
      </c>
      <c r="L237" s="8"/>
      <c r="M237" s="121">
        <f>VLOOKUP(LEFT(RIGHT(B237,5),4),装备!B:CU,20,FALSE)</f>
        <v>0</v>
      </c>
      <c r="N237" s="138" t="s">
        <v>83</v>
      </c>
      <c r="O237" s="121" t="s">
        <v>90</v>
      </c>
      <c r="P237" s="8">
        <v>0</v>
      </c>
      <c r="Q237" s="8">
        <v>0</v>
      </c>
      <c r="R237" s="138" t="s">
        <v>83</v>
      </c>
      <c r="S237" s="138" t="s">
        <v>83</v>
      </c>
      <c r="T237" s="138" t="s">
        <v>83</v>
      </c>
      <c r="U237" s="138" t="s">
        <v>83</v>
      </c>
      <c r="V237" s="8"/>
      <c r="W237" s="8" t="s">
        <v>87</v>
      </c>
      <c r="X237" s="8">
        <v>0</v>
      </c>
      <c r="Y237" s="138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38" t="s">
        <v>83</v>
      </c>
      <c r="AF237" s="138" t="s">
        <v>83</v>
      </c>
      <c r="AG237" s="138" t="s">
        <v>83</v>
      </c>
      <c r="AH237" s="138" t="s">
        <v>83</v>
      </c>
      <c r="AI237" s="8">
        <v>1</v>
      </c>
      <c r="AJ237" s="8"/>
      <c r="AK237" s="8">
        <v>1</v>
      </c>
      <c r="AL237" s="8">
        <v>1</v>
      </c>
      <c r="AM237" s="138" t="s">
        <v>83</v>
      </c>
      <c r="AN237" s="8">
        <v>1</v>
      </c>
      <c r="AO237" s="8">
        <v>1</v>
      </c>
      <c r="AP237" s="8">
        <v>1</v>
      </c>
    </row>
    <row r="238" spans="1:42">
      <c r="A238" s="118"/>
      <c r="B238" s="8" t="str">
        <f>装备!B238</f>
        <v>IF22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VLOOKUP(LEFT(RIGHT(B238,5),4),装备!B:CU,2,FALSE)</f>
        <v>回蓝</v>
      </c>
      <c r="I238" s="8">
        <f>VLOOKUP(B238,装备!B:CV,99,FALSE)</f>
        <v>0</v>
      </c>
      <c r="J238" s="120" t="str">
        <f t="shared" si="86"/>
        <v>回蓝</v>
      </c>
      <c r="K238" s="120">
        <f t="shared" si="87"/>
        <v>0</v>
      </c>
      <c r="L238" s="8"/>
      <c r="M238" s="121">
        <f>VLOOKUP(LEFT(RIGHT(B238,5),4),装备!B:CU,20,FALSE)</f>
        <v>0</v>
      </c>
      <c r="N238" s="138" t="s">
        <v>83</v>
      </c>
      <c r="O238" s="121" t="s">
        <v>90</v>
      </c>
      <c r="P238" s="8">
        <v>0</v>
      </c>
      <c r="Q238" s="8">
        <v>0</v>
      </c>
      <c r="R238" s="138" t="s">
        <v>83</v>
      </c>
      <c r="S238" s="138" t="s">
        <v>83</v>
      </c>
      <c r="T238" s="138" t="s">
        <v>83</v>
      </c>
      <c r="U238" s="138" t="s">
        <v>83</v>
      </c>
      <c r="V238" s="8"/>
      <c r="W238" s="8" t="s">
        <v>87</v>
      </c>
      <c r="X238" s="8">
        <v>0</v>
      </c>
      <c r="Y238" s="138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38" t="s">
        <v>83</v>
      </c>
      <c r="AF238" s="138" t="s">
        <v>83</v>
      </c>
      <c r="AG238" s="138" t="s">
        <v>83</v>
      </c>
      <c r="AH238" s="138" t="s">
        <v>83</v>
      </c>
      <c r="AI238" s="8">
        <v>1</v>
      </c>
      <c r="AJ238" s="8"/>
      <c r="AK238" s="8">
        <v>1</v>
      </c>
      <c r="AL238" s="8">
        <v>1</v>
      </c>
      <c r="AM238" s="138" t="s">
        <v>83</v>
      </c>
      <c r="AN238" s="8">
        <v>1</v>
      </c>
      <c r="AO238" s="8">
        <v>1</v>
      </c>
      <c r="AP238" s="8">
        <v>1</v>
      </c>
    </row>
    <row r="239" spans="1:42">
      <c r="A239" s="118"/>
      <c r="B239" s="8" t="str">
        <f>装备!B239</f>
        <v>IF23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VLOOKUP(LEFT(RIGHT(B239,5),4),装备!B:CU,2,FALSE)</f>
        <v>回蓝</v>
      </c>
      <c r="I239" s="8">
        <f>VLOOKUP(B239,装备!B:CV,99,FALSE)</f>
        <v>0</v>
      </c>
      <c r="J239" s="120" t="str">
        <f t="shared" si="86"/>
        <v>回蓝</v>
      </c>
      <c r="K239" s="120">
        <f t="shared" si="87"/>
        <v>0</v>
      </c>
      <c r="L239" s="8"/>
      <c r="M239" s="121">
        <f>VLOOKUP(LEFT(RIGHT(B239,5),4),装备!B:CU,20,FALSE)</f>
        <v>0</v>
      </c>
      <c r="N239" s="138" t="s">
        <v>83</v>
      </c>
      <c r="O239" s="121" t="s">
        <v>90</v>
      </c>
      <c r="P239" s="8">
        <v>0</v>
      </c>
      <c r="Q239" s="8">
        <v>0</v>
      </c>
      <c r="R239" s="138" t="s">
        <v>83</v>
      </c>
      <c r="S239" s="138" t="s">
        <v>83</v>
      </c>
      <c r="T239" s="138" t="s">
        <v>83</v>
      </c>
      <c r="U239" s="138" t="s">
        <v>83</v>
      </c>
      <c r="V239" s="8"/>
      <c r="W239" s="8" t="s">
        <v>87</v>
      </c>
      <c r="X239" s="8">
        <v>0</v>
      </c>
      <c r="Y239" s="138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38" t="s">
        <v>83</v>
      </c>
      <c r="AF239" s="138" t="s">
        <v>83</v>
      </c>
      <c r="AG239" s="138" t="s">
        <v>83</v>
      </c>
      <c r="AH239" s="138" t="s">
        <v>83</v>
      </c>
      <c r="AI239" s="8">
        <v>1</v>
      </c>
      <c r="AJ239" s="8"/>
      <c r="AK239" s="8">
        <v>1</v>
      </c>
      <c r="AL239" s="8">
        <v>1</v>
      </c>
      <c r="AM239" s="138" t="s">
        <v>83</v>
      </c>
      <c r="AN239" s="8">
        <v>1</v>
      </c>
      <c r="AO239" s="8">
        <v>1</v>
      </c>
      <c r="AP239" s="8">
        <v>1</v>
      </c>
    </row>
    <row r="240" spans="1:42">
      <c r="A240" s="118"/>
      <c r="B240" s="8" t="str">
        <f>装备!B240</f>
        <v>IF24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VLOOKUP(LEFT(RIGHT(B240,5),4),装备!B:CU,2,FALSE)</f>
        <v>生命回复</v>
      </c>
      <c r="I240" s="8">
        <f>VLOOKUP(B240,装备!B:CV,99,FALSE)</f>
        <v>0</v>
      </c>
      <c r="J240" s="120" t="str">
        <f t="shared" si="86"/>
        <v>生命回复</v>
      </c>
      <c r="K240" s="120">
        <f t="shared" si="87"/>
        <v>0</v>
      </c>
      <c r="L240" s="8"/>
      <c r="M240" s="121">
        <f>VLOOKUP(LEFT(RIGHT(B240,5),4),装备!B:CU,20,FALSE)</f>
        <v>0</v>
      </c>
      <c r="N240" s="138" t="s">
        <v>83</v>
      </c>
      <c r="O240" s="121" t="s">
        <v>90</v>
      </c>
      <c r="P240" s="8">
        <v>0</v>
      </c>
      <c r="Q240" s="8">
        <v>0</v>
      </c>
      <c r="R240" s="138" t="s">
        <v>83</v>
      </c>
      <c r="S240" s="138" t="s">
        <v>83</v>
      </c>
      <c r="T240" s="138" t="s">
        <v>83</v>
      </c>
      <c r="U240" s="138" t="s">
        <v>83</v>
      </c>
      <c r="V240" s="8"/>
      <c r="W240" s="8" t="s">
        <v>87</v>
      </c>
      <c r="X240" s="8">
        <v>0</v>
      </c>
      <c r="Y240" s="138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38" t="s">
        <v>83</v>
      </c>
      <c r="AF240" s="138" t="s">
        <v>83</v>
      </c>
      <c r="AG240" s="138" t="s">
        <v>83</v>
      </c>
      <c r="AH240" s="138" t="s">
        <v>83</v>
      </c>
      <c r="AI240" s="8">
        <v>1</v>
      </c>
      <c r="AJ240" s="8"/>
      <c r="AK240" s="8">
        <v>1</v>
      </c>
      <c r="AL240" s="8">
        <v>1</v>
      </c>
      <c r="AM240" s="138" t="s">
        <v>83</v>
      </c>
      <c r="AN240" s="8">
        <v>1</v>
      </c>
      <c r="AO240" s="8">
        <v>1</v>
      </c>
      <c r="AP240" s="8">
        <v>1</v>
      </c>
    </row>
    <row r="241" spans="1:42">
      <c r="A241" s="118"/>
      <c r="B241" s="8" t="str">
        <f>装备!B241</f>
        <v>IF25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VLOOKUP(LEFT(RIGHT(B241,5),4),装备!B:CU,2,FALSE)</f>
        <v>伤害吸血</v>
      </c>
      <c r="I241" s="8">
        <f>VLOOKUP(B241,装备!B:CV,99,FALSE)</f>
        <v>0</v>
      </c>
      <c r="J241" s="120" t="str">
        <f t="shared" si="86"/>
        <v>伤害吸血</v>
      </c>
      <c r="K241" s="120">
        <f t="shared" si="87"/>
        <v>0</v>
      </c>
      <c r="L241" s="8"/>
      <c r="M241" s="121">
        <f>VLOOKUP(LEFT(RIGHT(B241,5),4),装备!B:CU,20,FALSE)</f>
        <v>0</v>
      </c>
      <c r="N241" s="138" t="s">
        <v>83</v>
      </c>
      <c r="O241" s="121" t="s">
        <v>90</v>
      </c>
      <c r="P241" s="8">
        <v>0</v>
      </c>
      <c r="Q241" s="8">
        <v>0</v>
      </c>
      <c r="R241" s="138" t="s">
        <v>83</v>
      </c>
      <c r="S241" s="138" t="s">
        <v>83</v>
      </c>
      <c r="T241" s="138" t="s">
        <v>83</v>
      </c>
      <c r="U241" s="138" t="s">
        <v>83</v>
      </c>
      <c r="V241" s="8"/>
      <c r="W241" s="8" t="s">
        <v>87</v>
      </c>
      <c r="X241" s="8">
        <v>0</v>
      </c>
      <c r="Y241" s="138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38" t="s">
        <v>83</v>
      </c>
      <c r="AF241" s="138" t="s">
        <v>83</v>
      </c>
      <c r="AG241" s="138" t="s">
        <v>83</v>
      </c>
      <c r="AH241" s="138" t="s">
        <v>83</v>
      </c>
      <c r="AI241" s="8">
        <v>1</v>
      </c>
      <c r="AJ241" s="8"/>
      <c r="AK241" s="8">
        <v>1</v>
      </c>
      <c r="AL241" s="8">
        <v>1</v>
      </c>
      <c r="AM241" s="138" t="s">
        <v>83</v>
      </c>
      <c r="AN241" s="8">
        <v>1</v>
      </c>
      <c r="AO241" s="8">
        <v>1</v>
      </c>
      <c r="AP241" s="8">
        <v>1</v>
      </c>
    </row>
    <row r="242" spans="1:42">
      <c r="A242" s="118"/>
      <c r="B242" s="8" t="str">
        <f>装备!B242</f>
        <v>IF26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VLOOKUP(LEFT(RIGHT(B242,5),4),装备!B:CU,2,FALSE)</f>
        <v>闪避</v>
      </c>
      <c r="I242" s="8">
        <f>VLOOKUP(B242,装备!B:CV,99,FALSE)</f>
        <v>0</v>
      </c>
      <c r="J242" s="120" t="str">
        <f t="shared" si="86"/>
        <v>闪避</v>
      </c>
      <c r="K242" s="120">
        <f t="shared" si="87"/>
        <v>0</v>
      </c>
      <c r="L242" s="8"/>
      <c r="M242" s="121">
        <f>VLOOKUP(LEFT(RIGHT(B242,5),4),装备!B:CU,20,FALSE)</f>
        <v>0</v>
      </c>
      <c r="N242" s="138" t="s">
        <v>83</v>
      </c>
      <c r="O242" s="121" t="s">
        <v>90</v>
      </c>
      <c r="P242" s="8">
        <v>0</v>
      </c>
      <c r="Q242" s="8">
        <v>0</v>
      </c>
      <c r="R242" s="138" t="s">
        <v>83</v>
      </c>
      <c r="S242" s="138" t="s">
        <v>83</v>
      </c>
      <c r="T242" s="138" t="s">
        <v>83</v>
      </c>
      <c r="U242" s="138" t="s">
        <v>83</v>
      </c>
      <c r="V242" s="8"/>
      <c r="W242" s="8" t="s">
        <v>87</v>
      </c>
      <c r="X242" s="8">
        <v>0</v>
      </c>
      <c r="Y242" s="138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38" t="s">
        <v>83</v>
      </c>
      <c r="AF242" s="138" t="s">
        <v>83</v>
      </c>
      <c r="AG242" s="138" t="s">
        <v>83</v>
      </c>
      <c r="AH242" s="138" t="s">
        <v>83</v>
      </c>
      <c r="AI242" s="8">
        <v>1</v>
      </c>
      <c r="AJ242" s="8"/>
      <c r="AK242" s="8">
        <v>1</v>
      </c>
      <c r="AL242" s="8">
        <v>1</v>
      </c>
      <c r="AM242" s="138" t="s">
        <v>83</v>
      </c>
      <c r="AN242" s="8">
        <v>1</v>
      </c>
      <c r="AO242" s="8">
        <v>1</v>
      </c>
      <c r="AP242" s="8">
        <v>1</v>
      </c>
    </row>
    <row r="243" spans="1:42">
      <c r="A243" s="118"/>
      <c r="B243" s="8" t="str">
        <f>装备!B243</f>
        <v>IF27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VLOOKUP(LEFT(RIGHT(B243,5),4),装备!B:CU,2,FALSE)</f>
        <v>伤害减免</v>
      </c>
      <c r="I243" s="8">
        <f>VLOOKUP(B243,装备!B:CV,99,FALSE)</f>
        <v>0</v>
      </c>
      <c r="J243" s="120" t="str">
        <f t="shared" si="86"/>
        <v>伤害减免</v>
      </c>
      <c r="K243" s="120">
        <f t="shared" si="87"/>
        <v>0</v>
      </c>
      <c r="L243" s="8"/>
      <c r="M243" s="121">
        <f>VLOOKUP(LEFT(RIGHT(B243,5),4),装备!B:CU,20,FALSE)</f>
        <v>0</v>
      </c>
      <c r="N243" s="138" t="s">
        <v>83</v>
      </c>
      <c r="O243" s="121" t="s">
        <v>90</v>
      </c>
      <c r="P243" s="8">
        <v>0</v>
      </c>
      <c r="Q243" s="8">
        <v>0</v>
      </c>
      <c r="R243" s="138" t="s">
        <v>83</v>
      </c>
      <c r="S243" s="138" t="s">
        <v>83</v>
      </c>
      <c r="T243" s="138" t="s">
        <v>83</v>
      </c>
      <c r="U243" s="138" t="s">
        <v>83</v>
      </c>
      <c r="V243" s="8"/>
      <c r="W243" s="8" t="s">
        <v>87</v>
      </c>
      <c r="X243" s="8">
        <v>0</v>
      </c>
      <c r="Y243" s="138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38" t="s">
        <v>83</v>
      </c>
      <c r="AF243" s="138" t="s">
        <v>83</v>
      </c>
      <c r="AG243" s="138" t="s">
        <v>83</v>
      </c>
      <c r="AH243" s="138" t="s">
        <v>83</v>
      </c>
      <c r="AI243" s="8">
        <v>1</v>
      </c>
      <c r="AJ243" s="8"/>
      <c r="AK243" s="8">
        <v>1</v>
      </c>
      <c r="AL243" s="8">
        <v>1</v>
      </c>
      <c r="AM243" s="138" t="s">
        <v>83</v>
      </c>
      <c r="AN243" s="8">
        <v>1</v>
      </c>
      <c r="AO243" s="8">
        <v>1</v>
      </c>
      <c r="AP243" s="8">
        <v>1</v>
      </c>
    </row>
    <row r="244" spans="1:42">
      <c r="A244" s="118"/>
      <c r="B244" s="8"/>
      <c r="C244" s="8"/>
      <c r="D244" s="8"/>
      <c r="E244" s="8"/>
      <c r="F244" s="8"/>
      <c r="G244" s="8"/>
      <c r="H244" s="8"/>
      <c r="I244" s="8"/>
      <c r="J244" s="120"/>
      <c r="K244" s="120"/>
      <c r="L244" s="8"/>
      <c r="M244" s="121"/>
      <c r="N244" s="8"/>
      <c r="O244" s="121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</row>
    <row r="245" spans="1:42">
      <c r="A245" s="118"/>
      <c r="B245" s="8"/>
      <c r="C245" s="8"/>
      <c r="D245" s="8"/>
      <c r="E245" s="8"/>
      <c r="F245" s="8"/>
      <c r="G245" s="8"/>
      <c r="H245" s="8"/>
      <c r="I245" s="8"/>
      <c r="J245" s="120"/>
      <c r="K245" s="120"/>
      <c r="L245" s="8"/>
      <c r="M245" s="121"/>
      <c r="N245" s="8"/>
      <c r="O245" s="121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</row>
    <row r="246" spans="1:42">
      <c r="A246" s="118"/>
      <c r="B246" s="8"/>
      <c r="C246" s="8"/>
      <c r="D246" s="8"/>
      <c r="E246" s="8"/>
      <c r="F246" s="8"/>
      <c r="G246" s="8"/>
      <c r="H246" s="8"/>
      <c r="I246" s="8"/>
      <c r="J246" s="120"/>
      <c r="K246" s="120"/>
      <c r="L246" s="8"/>
      <c r="M246" s="121"/>
      <c r="N246" s="8"/>
      <c r="O246" s="121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</row>
    <row r="247" spans="1:42">
      <c r="A247" s="118"/>
      <c r="B247" s="8"/>
      <c r="C247" s="8"/>
      <c r="D247" s="8"/>
      <c r="E247" s="8"/>
      <c r="F247" s="8"/>
      <c r="G247" s="8"/>
      <c r="H247" s="8"/>
      <c r="I247" s="8"/>
      <c r="J247" s="120"/>
      <c r="K247" s="120"/>
      <c r="L247" s="8"/>
      <c r="M247" s="121"/>
      <c r="N247" s="8"/>
      <c r="O247" s="121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</row>
    <row r="248" spans="1:42">
      <c r="A248" s="118"/>
      <c r="B248" s="8"/>
      <c r="C248" s="8"/>
      <c r="D248" s="8"/>
      <c r="E248" s="8"/>
      <c r="F248" s="8"/>
      <c r="G248" s="8"/>
      <c r="H248" s="8"/>
      <c r="I248" s="8"/>
      <c r="J248" s="120"/>
      <c r="K248" s="120"/>
      <c r="L248" s="8"/>
      <c r="M248" s="121"/>
      <c r="N248" s="8"/>
      <c r="O248" s="121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</row>
    <row r="249" spans="1:42">
      <c r="A249" s="118"/>
      <c r="B249" s="8"/>
      <c r="C249" s="8"/>
      <c r="D249" s="8"/>
      <c r="E249" s="8"/>
      <c r="F249" s="8"/>
      <c r="G249" s="8"/>
      <c r="H249" s="8"/>
      <c r="I249" s="8"/>
      <c r="J249" s="120"/>
      <c r="K249" s="120"/>
      <c r="L249" s="8"/>
      <c r="M249" s="121"/>
      <c r="N249" s="8"/>
      <c r="O249" s="121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</row>
    <row r="250" spans="1:42">
      <c r="A250" s="118"/>
      <c r="B250" s="8"/>
      <c r="C250" s="8"/>
      <c r="D250" s="8"/>
      <c r="E250" s="8"/>
      <c r="F250" s="8"/>
      <c r="G250" s="8"/>
      <c r="H250" s="8"/>
      <c r="I250" s="8"/>
      <c r="J250" s="120"/>
      <c r="K250" s="120"/>
      <c r="L250" s="8"/>
      <c r="M250" s="121"/>
      <c r="N250" s="8"/>
      <c r="O250" s="121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18"/>
      <c r="B251" s="8"/>
      <c r="C251" s="8"/>
      <c r="D251" s="8"/>
      <c r="E251" s="8"/>
      <c r="F251" s="8"/>
      <c r="G251" s="8"/>
      <c r="H251" s="8"/>
      <c r="I251" s="8"/>
      <c r="J251" s="120"/>
      <c r="K251" s="120"/>
      <c r="L251" s="8"/>
      <c r="M251" s="121"/>
      <c r="N251" s="8"/>
      <c r="O251" s="121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18"/>
      <c r="B252" s="8"/>
      <c r="C252" s="8"/>
      <c r="D252" s="8"/>
      <c r="E252" s="8"/>
      <c r="F252" s="8"/>
      <c r="G252" s="8"/>
      <c r="H252" s="8"/>
      <c r="I252" s="8"/>
      <c r="J252" s="120"/>
      <c r="K252" s="120"/>
      <c r="L252" s="8"/>
      <c r="M252" s="121"/>
      <c r="N252" s="8"/>
      <c r="O252" s="121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18"/>
      <c r="B253" s="8"/>
      <c r="C253" s="8"/>
      <c r="D253" s="8"/>
      <c r="E253" s="8"/>
      <c r="F253" s="8"/>
      <c r="G253" s="8"/>
      <c r="H253" s="8"/>
      <c r="I253" s="8"/>
      <c r="J253" s="120"/>
      <c r="K253" s="120"/>
      <c r="L253" s="8"/>
      <c r="M253" s="121"/>
      <c r="N253" s="8"/>
      <c r="O253" s="121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18"/>
      <c r="B254" s="8"/>
      <c r="C254" s="8"/>
      <c r="D254" s="8"/>
      <c r="E254" s="8"/>
      <c r="F254" s="8"/>
      <c r="G254" s="8"/>
      <c r="H254" s="8"/>
      <c r="I254" s="8"/>
      <c r="J254" s="120"/>
      <c r="K254" s="120"/>
      <c r="L254" s="8"/>
      <c r="M254" s="121"/>
      <c r="N254" s="8"/>
      <c r="O254" s="121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18"/>
      <c r="B255" s="8"/>
      <c r="C255" s="8"/>
      <c r="D255" s="8"/>
      <c r="E255" s="8"/>
      <c r="F255" s="8"/>
      <c r="G255" s="8"/>
      <c r="H255" s="8"/>
      <c r="I255" s="8"/>
      <c r="J255" s="120"/>
      <c r="K255" s="120"/>
      <c r="L255" s="8"/>
      <c r="M255" s="121"/>
      <c r="N255" s="8"/>
      <c r="O255" s="121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18"/>
      <c r="B256" s="8"/>
      <c r="C256" s="8"/>
      <c r="D256" s="8"/>
      <c r="E256" s="8"/>
      <c r="F256" s="8"/>
      <c r="G256" s="8"/>
      <c r="H256" s="8"/>
      <c r="I256" s="8"/>
      <c r="J256" s="120"/>
      <c r="K256" s="120"/>
      <c r="L256" s="8"/>
      <c r="M256" s="121"/>
      <c r="N256" s="8"/>
      <c r="O256" s="121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18"/>
      <c r="B257" s="8"/>
      <c r="C257" s="8"/>
      <c r="D257" s="8"/>
      <c r="E257" s="8"/>
      <c r="F257" s="8"/>
      <c r="G257" s="8"/>
      <c r="H257" s="8"/>
      <c r="I257" s="8"/>
      <c r="J257" s="120"/>
      <c r="K257" s="120"/>
      <c r="L257" s="8"/>
      <c r="M257" s="121"/>
      <c r="N257" s="8"/>
      <c r="O257" s="121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18"/>
      <c r="B258" s="8"/>
      <c r="C258" s="8"/>
      <c r="D258" s="8"/>
      <c r="E258" s="8"/>
      <c r="F258" s="8"/>
      <c r="G258" s="8"/>
      <c r="H258" s="8"/>
      <c r="I258" s="8"/>
      <c r="J258" s="120"/>
      <c r="K258" s="120"/>
      <c r="L258" s="8"/>
      <c r="M258" s="121"/>
      <c r="N258" s="8"/>
      <c r="O258" s="121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18"/>
      <c r="B259" s="8"/>
      <c r="C259" s="8"/>
      <c r="D259" s="8"/>
      <c r="E259" s="8"/>
      <c r="F259" s="8"/>
      <c r="G259" s="8"/>
      <c r="H259" s="8"/>
      <c r="I259" s="8"/>
      <c r="J259" s="120"/>
      <c r="K259" s="120"/>
      <c r="L259" s="8"/>
      <c r="M259" s="121"/>
      <c r="N259" s="8"/>
      <c r="O259" s="121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18"/>
      <c r="B260" s="8"/>
      <c r="C260" s="8"/>
      <c r="D260" s="8"/>
      <c r="E260" s="8"/>
      <c r="F260" s="8"/>
      <c r="G260" s="8"/>
      <c r="H260" s="8"/>
      <c r="I260" s="8"/>
      <c r="J260" s="120"/>
      <c r="K260" s="120"/>
      <c r="L260" s="8"/>
      <c r="M260" s="121"/>
      <c r="N260" s="8"/>
      <c r="O260" s="121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18"/>
      <c r="B261" s="8"/>
      <c r="C261" s="8"/>
      <c r="D261" s="8"/>
      <c r="E261" s="8"/>
      <c r="F261" s="8"/>
      <c r="G261" s="8"/>
      <c r="H261" s="8"/>
      <c r="I261" s="8"/>
      <c r="J261" s="120"/>
      <c r="K261" s="120"/>
      <c r="L261" s="8"/>
      <c r="M261" s="121"/>
      <c r="N261" s="8"/>
      <c r="O261" s="121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18"/>
      <c r="B262" s="8"/>
      <c r="C262" s="8"/>
      <c r="D262" s="8"/>
      <c r="E262" s="8"/>
      <c r="F262" s="8"/>
      <c r="G262" s="8"/>
      <c r="H262" s="8"/>
      <c r="I262" s="8"/>
      <c r="J262" s="120"/>
      <c r="K262" s="120"/>
      <c r="L262" s="8"/>
      <c r="M262" s="121"/>
      <c r="N262" s="8"/>
      <c r="O262" s="121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18"/>
      <c r="B263" s="8"/>
      <c r="C263" s="8"/>
      <c r="D263" s="8"/>
      <c r="E263" s="8"/>
      <c r="F263" s="8"/>
      <c r="G263" s="8"/>
      <c r="H263" s="8"/>
      <c r="I263" s="8"/>
      <c r="J263" s="120"/>
      <c r="K263" s="120"/>
      <c r="L263" s="8"/>
      <c r="M263" s="121"/>
      <c r="N263" s="8"/>
      <c r="O263" s="121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18"/>
      <c r="B264" s="8"/>
      <c r="C264" s="8"/>
      <c r="D264" s="8"/>
      <c r="E264" s="8"/>
      <c r="F264" s="8"/>
      <c r="G264" s="8"/>
      <c r="H264" s="8"/>
      <c r="I264" s="8"/>
      <c r="J264" s="120"/>
      <c r="K264" s="120"/>
      <c r="L264" s="8"/>
      <c r="M264" s="121"/>
      <c r="N264" s="8"/>
      <c r="O264" s="121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18"/>
      <c r="B265" s="8"/>
      <c r="C265" s="8"/>
      <c r="D265" s="8"/>
      <c r="E265" s="8"/>
      <c r="F265" s="8"/>
      <c r="G265" s="8"/>
      <c r="H265" s="8"/>
      <c r="I265" s="8"/>
      <c r="J265" s="120"/>
      <c r="K265" s="120"/>
      <c r="L265" s="8"/>
      <c r="M265" s="121"/>
      <c r="N265" s="8"/>
      <c r="O265" s="121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18"/>
      <c r="B266" s="8"/>
      <c r="C266" s="8"/>
      <c r="D266" s="8"/>
      <c r="E266" s="8"/>
      <c r="F266" s="8"/>
      <c r="G266" s="8"/>
      <c r="H266" s="8"/>
      <c r="I266" s="8"/>
      <c r="J266" s="120"/>
      <c r="K266" s="120"/>
      <c r="L266" s="8"/>
      <c r="M266" s="121"/>
      <c r="N266" s="8"/>
      <c r="O266" s="121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18"/>
      <c r="B267" s="8"/>
      <c r="C267" s="8"/>
      <c r="D267" s="8"/>
      <c r="E267" s="8"/>
      <c r="F267" s="8"/>
      <c r="G267" s="8"/>
      <c r="H267" s="8"/>
      <c r="I267" s="8"/>
      <c r="J267" s="120"/>
      <c r="K267" s="120"/>
      <c r="L267" s="8"/>
      <c r="M267" s="121"/>
      <c r="N267" s="8"/>
      <c r="O267" s="121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18"/>
      <c r="B268" s="8"/>
      <c r="C268" s="8"/>
      <c r="D268" s="8"/>
      <c r="E268" s="8"/>
      <c r="F268" s="8"/>
      <c r="G268" s="8"/>
      <c r="H268" s="8"/>
      <c r="I268" s="8"/>
      <c r="J268" s="120"/>
      <c r="K268" s="120"/>
      <c r="L268" s="8"/>
      <c r="M268" s="121"/>
      <c r="N268" s="8"/>
      <c r="O268" s="121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18"/>
      <c r="B269" s="8"/>
      <c r="C269" s="8"/>
      <c r="D269" s="8"/>
      <c r="E269" s="8"/>
      <c r="F269" s="8"/>
      <c r="G269" s="8"/>
      <c r="H269" s="8"/>
      <c r="I269" s="8"/>
      <c r="J269" s="120"/>
      <c r="K269" s="120"/>
      <c r="L269" s="8"/>
      <c r="M269" s="121"/>
      <c r="N269" s="8"/>
      <c r="O269" s="121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18"/>
      <c r="B270" s="8"/>
      <c r="C270" s="8"/>
      <c r="D270" s="8"/>
      <c r="E270" s="8"/>
      <c r="F270" s="8"/>
      <c r="G270" s="8"/>
      <c r="H270" s="8"/>
      <c r="I270" s="8"/>
      <c r="J270" s="120"/>
      <c r="K270" s="120"/>
      <c r="L270" s="8"/>
      <c r="M270" s="121"/>
      <c r="N270" s="8"/>
      <c r="O270" s="121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18"/>
      <c r="B271" s="8"/>
      <c r="C271" s="8"/>
      <c r="D271" s="8"/>
      <c r="E271" s="8"/>
      <c r="F271" s="8"/>
      <c r="G271" s="8"/>
      <c r="H271" s="8"/>
      <c r="I271" s="8"/>
      <c r="J271" s="120"/>
      <c r="K271" s="120"/>
      <c r="L271" s="8"/>
      <c r="M271" s="121"/>
      <c r="N271" s="8"/>
      <c r="O271" s="121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18"/>
      <c r="B272" s="8"/>
      <c r="C272" s="8"/>
      <c r="D272" s="8"/>
      <c r="E272" s="8"/>
      <c r="F272" s="8"/>
      <c r="G272" s="8"/>
      <c r="H272" s="8"/>
      <c r="I272" s="8"/>
      <c r="J272" s="120"/>
      <c r="K272" s="120"/>
      <c r="L272" s="8"/>
      <c r="M272" s="121"/>
      <c r="N272" s="8"/>
      <c r="O272" s="121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18"/>
      <c r="B273" s="8"/>
      <c r="C273" s="8"/>
      <c r="D273" s="8"/>
      <c r="E273" s="8"/>
      <c r="F273" s="8"/>
      <c r="G273" s="8"/>
      <c r="H273" s="8"/>
      <c r="I273" s="8"/>
      <c r="J273" s="120"/>
      <c r="K273" s="120"/>
      <c r="L273" s="8"/>
      <c r="M273" s="121"/>
      <c r="N273" s="8"/>
      <c r="O273" s="121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18"/>
      <c r="B274" s="8"/>
      <c r="C274" s="8"/>
      <c r="D274" s="8"/>
      <c r="E274" s="8"/>
      <c r="F274" s="8"/>
      <c r="G274" s="8"/>
      <c r="H274" s="8"/>
      <c r="I274" s="8"/>
      <c r="J274" s="120"/>
      <c r="K274" s="120"/>
      <c r="L274" s="8"/>
      <c r="M274" s="121"/>
      <c r="N274" s="8"/>
      <c r="O274" s="121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18"/>
      <c r="B275" s="8"/>
      <c r="C275" s="8"/>
      <c r="D275" s="8"/>
      <c r="E275" s="8"/>
      <c r="F275" s="8"/>
      <c r="G275" s="8"/>
      <c r="H275" s="8"/>
      <c r="I275" s="8"/>
      <c r="J275" s="120"/>
      <c r="K275" s="120"/>
      <c r="L275" s="8"/>
      <c r="M275" s="121"/>
      <c r="N275" s="8"/>
      <c r="O275" s="121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18"/>
      <c r="B276" s="8"/>
      <c r="C276" s="8"/>
      <c r="D276" s="8"/>
      <c r="E276" s="8"/>
      <c r="F276" s="8"/>
      <c r="G276" s="8"/>
      <c r="H276" s="8"/>
      <c r="I276" s="8"/>
      <c r="J276" s="120"/>
      <c r="K276" s="120"/>
      <c r="L276" s="8"/>
      <c r="M276" s="121"/>
      <c r="N276" s="8"/>
      <c r="O276" s="121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18"/>
      <c r="B277" s="8"/>
      <c r="C277" s="8"/>
      <c r="D277" s="8"/>
      <c r="E277" s="8"/>
      <c r="F277" s="8"/>
      <c r="G277" s="8"/>
      <c r="H277" s="8"/>
      <c r="I277" s="8"/>
      <c r="J277" s="120"/>
      <c r="K277" s="120"/>
      <c r="L277" s="8"/>
      <c r="M277" s="121"/>
      <c r="N277" s="8"/>
      <c r="O277" s="121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18"/>
      <c r="B278" s="8"/>
      <c r="C278" s="8"/>
      <c r="D278" s="8"/>
      <c r="E278" s="8"/>
      <c r="F278" s="8"/>
      <c r="G278" s="8"/>
      <c r="H278" s="8"/>
      <c r="I278" s="8"/>
      <c r="J278" s="120"/>
      <c r="K278" s="120"/>
      <c r="L278" s="8"/>
      <c r="M278" s="121"/>
      <c r="N278" s="8"/>
      <c r="O278" s="121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18"/>
      <c r="B279" s="8"/>
      <c r="C279" s="8"/>
      <c r="D279" s="8"/>
      <c r="E279" s="8"/>
      <c r="F279" s="8"/>
      <c r="G279" s="8"/>
      <c r="H279" s="8"/>
      <c r="I279" s="8"/>
      <c r="J279" s="120"/>
      <c r="K279" s="120"/>
      <c r="L279" s="8"/>
      <c r="M279" s="121"/>
      <c r="N279" s="8"/>
      <c r="O279" s="121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18"/>
      <c r="B280" s="8"/>
      <c r="C280" s="8"/>
      <c r="D280" s="8"/>
      <c r="E280" s="8"/>
      <c r="F280" s="8"/>
      <c r="G280" s="8"/>
      <c r="H280" s="8"/>
      <c r="I280" s="8"/>
      <c r="J280" s="120"/>
      <c r="K280" s="120"/>
      <c r="L280" s="8"/>
      <c r="M280" s="121"/>
      <c r="N280" s="8"/>
      <c r="O280" s="121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18"/>
      <c r="B281" s="8"/>
      <c r="C281" s="8"/>
      <c r="D281" s="8"/>
      <c r="E281" s="8"/>
      <c r="F281" s="8"/>
      <c r="G281" s="8"/>
      <c r="H281" s="8"/>
      <c r="I281" s="8"/>
      <c r="J281" s="120"/>
      <c r="K281" s="120"/>
      <c r="L281" s="8"/>
      <c r="M281" s="121"/>
      <c r="N281" s="8"/>
      <c r="O281" s="121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18"/>
      <c r="B282" s="8"/>
      <c r="C282" s="8"/>
      <c r="D282" s="8"/>
      <c r="E282" s="8"/>
      <c r="F282" s="8"/>
      <c r="G282" s="8"/>
      <c r="H282" s="8"/>
      <c r="I282" s="8"/>
      <c r="J282" s="120"/>
      <c r="K282" s="120"/>
      <c r="L282" s="8"/>
      <c r="M282" s="121"/>
      <c r="N282" s="8"/>
      <c r="O282" s="121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18"/>
      <c r="B283" s="8"/>
      <c r="C283" s="8"/>
      <c r="D283" s="8"/>
      <c r="E283" s="8"/>
      <c r="F283" s="8"/>
      <c r="G283" s="8"/>
      <c r="H283" s="8"/>
      <c r="I283" s="8"/>
      <c r="J283" s="120"/>
      <c r="K283" s="120"/>
      <c r="L283" s="8"/>
      <c r="M283" s="121"/>
      <c r="N283" s="8"/>
      <c r="O283" s="121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18"/>
      <c r="B284" s="8"/>
      <c r="C284" s="8"/>
      <c r="D284" s="8"/>
      <c r="E284" s="8"/>
      <c r="F284" s="8"/>
      <c r="G284" s="8"/>
      <c r="H284" s="8"/>
      <c r="I284" s="8"/>
      <c r="J284" s="120"/>
      <c r="K284" s="120"/>
      <c r="L284" s="8"/>
      <c r="M284" s="121"/>
      <c r="N284" s="8"/>
      <c r="O284" s="121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18"/>
      <c r="B285" s="8"/>
      <c r="C285" s="8"/>
      <c r="D285" s="8"/>
      <c r="E285" s="8"/>
      <c r="F285" s="8"/>
      <c r="G285" s="8"/>
      <c r="H285" s="8"/>
      <c r="I285" s="8"/>
      <c r="J285" s="120"/>
      <c r="K285" s="120"/>
      <c r="L285" s="8"/>
      <c r="M285" s="121"/>
      <c r="N285" s="8"/>
      <c r="O285" s="121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18"/>
      <c r="B286" s="8"/>
      <c r="C286" s="8"/>
      <c r="D286" s="8"/>
      <c r="E286" s="8"/>
      <c r="F286" s="8"/>
      <c r="G286" s="8"/>
      <c r="H286" s="8"/>
      <c r="I286" s="8"/>
      <c r="J286" s="120"/>
      <c r="K286" s="120"/>
      <c r="L286" s="8"/>
      <c r="M286" s="121"/>
      <c r="N286" s="8"/>
      <c r="O286" s="121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18"/>
      <c r="B287" s="8"/>
      <c r="C287" s="8"/>
      <c r="D287" s="8"/>
      <c r="E287" s="8"/>
      <c r="F287" s="8"/>
      <c r="G287" s="8"/>
      <c r="H287" s="8"/>
      <c r="I287" s="8"/>
      <c r="J287" s="120"/>
      <c r="K287" s="120"/>
      <c r="L287" s="8"/>
      <c r="M287" s="121"/>
      <c r="N287" s="8"/>
      <c r="O287" s="121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18"/>
      <c r="B288" s="8"/>
      <c r="C288" s="8"/>
      <c r="D288" s="8"/>
      <c r="E288" s="8"/>
      <c r="F288" s="8"/>
      <c r="G288" s="8"/>
      <c r="H288" s="8"/>
      <c r="I288" s="8"/>
      <c r="J288" s="120"/>
      <c r="K288" s="120"/>
      <c r="L288" s="8"/>
      <c r="M288" s="121"/>
      <c r="N288" s="8"/>
      <c r="O288" s="121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ht="14.4" spans="2:42">
      <c r="B289" s="122"/>
      <c r="C289" s="8"/>
      <c r="D289" s="8"/>
      <c r="E289" s="8"/>
      <c r="H289" s="8"/>
      <c r="J289" s="120"/>
      <c r="K289" s="8"/>
      <c r="L289" s="8"/>
      <c r="O289" s="121"/>
      <c r="P289" s="8"/>
      <c r="Q289" s="8"/>
      <c r="W289" s="114"/>
      <c r="X289" s="114"/>
      <c r="Z289" s="8"/>
      <c r="AA289" s="8"/>
      <c r="AC289" s="8"/>
      <c r="AD289" s="8"/>
      <c r="AI289" s="8"/>
      <c r="AJ289" s="8"/>
      <c r="AK289" s="8"/>
      <c r="AO289" s="8"/>
      <c r="AP289" s="8"/>
    </row>
    <row r="290" ht="14.4" spans="2:42">
      <c r="B290" s="122"/>
      <c r="C290" s="8"/>
      <c r="D290" s="8"/>
      <c r="E290" s="8"/>
      <c r="H290" s="8"/>
      <c r="J290" s="120"/>
      <c r="K290" s="8"/>
      <c r="L290" s="8"/>
      <c r="O290" s="121"/>
      <c r="P290" s="8"/>
      <c r="Q290" s="8"/>
      <c r="W290" s="114"/>
      <c r="X290" s="114"/>
      <c r="Z290" s="8"/>
      <c r="AA290" s="8"/>
      <c r="AC290" s="8"/>
      <c r="AD290" s="8"/>
      <c r="AI290" s="8"/>
      <c r="AJ290" s="8"/>
      <c r="AK290" s="8"/>
      <c r="AO290" s="8"/>
      <c r="AP290" s="8"/>
    </row>
    <row r="291" ht="14.4" spans="2:42">
      <c r="B291" s="122"/>
      <c r="C291" s="8"/>
      <c r="D291" s="8"/>
      <c r="E291" s="8"/>
      <c r="H291" s="8"/>
      <c r="J291" s="120"/>
      <c r="K291" s="8"/>
      <c r="L291" s="8"/>
      <c r="O291" s="121"/>
      <c r="P291" s="8"/>
      <c r="Q291" s="8"/>
      <c r="W291" s="114"/>
      <c r="X291" s="114"/>
      <c r="Z291" s="8"/>
      <c r="AA291" s="8"/>
      <c r="AC291" s="8"/>
      <c r="AD291" s="8"/>
      <c r="AI291" s="8"/>
      <c r="AJ291" s="8"/>
      <c r="AK291" s="8"/>
      <c r="AO291" s="8"/>
      <c r="AP291" s="8"/>
    </row>
    <row r="292" ht="14.4" spans="2:42">
      <c r="B292" s="122"/>
      <c r="C292" s="8"/>
      <c r="D292" s="8"/>
      <c r="E292" s="8"/>
      <c r="H292" s="8"/>
      <c r="J292" s="120"/>
      <c r="K292" s="8"/>
      <c r="L292" s="8"/>
      <c r="O292" s="121"/>
      <c r="P292" s="8"/>
      <c r="Q292" s="8"/>
      <c r="W292" s="114"/>
      <c r="X292" s="114"/>
      <c r="Z292" s="8"/>
      <c r="AA292" s="8"/>
      <c r="AC292" s="8"/>
      <c r="AD292" s="8"/>
      <c r="AI292" s="8"/>
      <c r="AJ292" s="8"/>
      <c r="AK292" s="8"/>
      <c r="AO292" s="8"/>
      <c r="AP292" s="8"/>
    </row>
    <row r="293" ht="14.4" spans="2:42">
      <c r="B293" s="122"/>
      <c r="C293" s="8"/>
      <c r="D293" s="8"/>
      <c r="E293" s="8"/>
      <c r="H293" s="8"/>
      <c r="J293" s="120"/>
      <c r="K293" s="8"/>
      <c r="L293" s="8"/>
      <c r="O293" s="121"/>
      <c r="P293" s="8"/>
      <c r="Q293" s="8"/>
      <c r="W293" s="114"/>
      <c r="X293" s="114"/>
      <c r="Z293" s="8"/>
      <c r="AA293" s="8"/>
      <c r="AC293" s="8"/>
      <c r="AD293" s="8"/>
      <c r="AI293" s="8"/>
      <c r="AJ293" s="8"/>
      <c r="AK293" s="8"/>
      <c r="AO293" s="8"/>
      <c r="AP293" s="8"/>
    </row>
    <row r="294" ht="14.4" spans="2:42">
      <c r="B294" s="122"/>
      <c r="C294" s="8"/>
      <c r="D294" s="8"/>
      <c r="E294" s="8"/>
      <c r="H294" s="8"/>
      <c r="J294" s="120"/>
      <c r="K294" s="8"/>
      <c r="L294" s="8"/>
      <c r="O294" s="121"/>
      <c r="P294" s="8"/>
      <c r="Q294" s="8"/>
      <c r="W294" s="114"/>
      <c r="X294" s="114"/>
      <c r="Z294" s="8"/>
      <c r="AA294" s="8"/>
      <c r="AC294" s="8"/>
      <c r="AD294" s="8"/>
      <c r="AI294" s="8"/>
      <c r="AJ294" s="8"/>
      <c r="AK294" s="8"/>
      <c r="AO294" s="8"/>
      <c r="AP294" s="8"/>
    </row>
    <row r="295" ht="14.4" spans="2:42">
      <c r="B295" s="122"/>
      <c r="C295" s="8"/>
      <c r="D295" s="8"/>
      <c r="E295" s="8"/>
      <c r="H295" s="8"/>
      <c r="J295" s="120"/>
      <c r="K295" s="8"/>
      <c r="L295" s="8"/>
      <c r="O295" s="121"/>
      <c r="P295" s="8"/>
      <c r="Q295" s="8"/>
      <c r="W295" s="114"/>
      <c r="X295" s="114"/>
      <c r="Z295" s="8"/>
      <c r="AA295" s="8"/>
      <c r="AC295" s="8"/>
      <c r="AD295" s="8"/>
      <c r="AI295" s="8"/>
      <c r="AJ295" s="8"/>
      <c r="AK295" s="8"/>
      <c r="AO295" s="8"/>
      <c r="AP295" s="8"/>
    </row>
    <row r="296" ht="14.4" spans="2:42">
      <c r="B296" s="122"/>
      <c r="C296" s="8"/>
      <c r="D296" s="8"/>
      <c r="E296" s="8"/>
      <c r="H296" s="8"/>
      <c r="J296" s="120"/>
      <c r="K296" s="8"/>
      <c r="L296" s="8"/>
      <c r="O296" s="121"/>
      <c r="P296" s="8"/>
      <c r="Q296" s="8"/>
      <c r="W296" s="114"/>
      <c r="X296" s="114"/>
      <c r="Z296" s="8"/>
      <c r="AA296" s="8"/>
      <c r="AC296" s="8"/>
      <c r="AD296" s="8"/>
      <c r="AI296" s="8"/>
      <c r="AJ296" s="8"/>
      <c r="AK296" s="8"/>
      <c r="AO296" s="8"/>
      <c r="AP296" s="8"/>
    </row>
    <row r="297" ht="14.4" spans="2:42">
      <c r="B297" s="122"/>
      <c r="C297" s="8"/>
      <c r="D297" s="8"/>
      <c r="E297" s="8"/>
      <c r="H297" s="8"/>
      <c r="J297" s="120"/>
      <c r="K297" s="8"/>
      <c r="L297" s="8"/>
      <c r="O297" s="121"/>
      <c r="P297" s="8"/>
      <c r="Q297" s="8"/>
      <c r="W297" s="114"/>
      <c r="X297" s="114"/>
      <c r="Z297" s="8"/>
      <c r="AA297" s="8"/>
      <c r="AC297" s="8"/>
      <c r="AD297" s="8"/>
      <c r="AI297" s="8"/>
      <c r="AJ297" s="8"/>
      <c r="AK297" s="8"/>
      <c r="AO297" s="8"/>
      <c r="AP297" s="8"/>
    </row>
    <row r="298" ht="14.4" spans="2:42">
      <c r="B298" s="122"/>
      <c r="C298" s="8"/>
      <c r="D298" s="8"/>
      <c r="E298" s="8"/>
      <c r="H298" s="8"/>
      <c r="J298" s="120"/>
      <c r="K298" s="8"/>
      <c r="L298" s="8"/>
      <c r="O298" s="121"/>
      <c r="P298" s="8"/>
      <c r="Q298" s="8"/>
      <c r="W298" s="114"/>
      <c r="X298" s="114"/>
      <c r="Z298" s="8"/>
      <c r="AA298" s="8"/>
      <c r="AC298" s="8"/>
      <c r="AD298" s="8"/>
      <c r="AI298" s="8"/>
      <c r="AJ298" s="8"/>
      <c r="AK298" s="8"/>
      <c r="AO298" s="8"/>
      <c r="AP298" s="8"/>
    </row>
    <row r="299" ht="14.4" spans="2:42">
      <c r="B299" s="122"/>
      <c r="C299" s="8"/>
      <c r="D299" s="8"/>
      <c r="E299" s="8"/>
      <c r="H299" s="8"/>
      <c r="J299" s="120"/>
      <c r="K299" s="8"/>
      <c r="L299" s="8"/>
      <c r="O299" s="121"/>
      <c r="P299" s="8"/>
      <c r="Q299" s="8"/>
      <c r="W299" s="114"/>
      <c r="X299" s="114"/>
      <c r="Z299" s="8"/>
      <c r="AA299" s="8"/>
      <c r="AC299" s="8"/>
      <c r="AD299" s="8"/>
      <c r="AI299" s="8"/>
      <c r="AJ299" s="8"/>
      <c r="AK299" s="8"/>
      <c r="AO299" s="8"/>
      <c r="AP299" s="8"/>
    </row>
    <row r="300" ht="14.4" spans="2:42">
      <c r="B300" s="122"/>
      <c r="C300" s="8"/>
      <c r="D300" s="8"/>
      <c r="E300" s="8"/>
      <c r="H300" s="8"/>
      <c r="J300" s="120"/>
      <c r="K300" s="8"/>
      <c r="L300" s="8"/>
      <c r="O300" s="121"/>
      <c r="P300" s="8"/>
      <c r="Q300" s="8"/>
      <c r="W300" s="114"/>
      <c r="X300" s="114"/>
      <c r="Z300" s="8"/>
      <c r="AA300" s="8"/>
      <c r="AC300" s="8"/>
      <c r="AD300" s="8"/>
      <c r="AI300" s="8"/>
      <c r="AJ300" s="8"/>
      <c r="AK300" s="8"/>
      <c r="AO300" s="8"/>
      <c r="AP300" s="8"/>
    </row>
    <row r="301" ht="14.4" spans="2:42">
      <c r="B301" s="122"/>
      <c r="C301" s="8"/>
      <c r="D301" s="8"/>
      <c r="E301" s="8"/>
      <c r="H301" s="8"/>
      <c r="J301" s="120"/>
      <c r="K301" s="8"/>
      <c r="L301" s="8"/>
      <c r="O301" s="121"/>
      <c r="P301" s="8"/>
      <c r="Q301" s="8"/>
      <c r="W301" s="114"/>
      <c r="X301" s="114"/>
      <c r="Z301" s="8"/>
      <c r="AA301" s="8"/>
      <c r="AC301" s="8"/>
      <c r="AD301" s="8"/>
      <c r="AI301" s="8"/>
      <c r="AJ301" s="8"/>
      <c r="AK301" s="8"/>
      <c r="AO301" s="8"/>
      <c r="AP301" s="8"/>
    </row>
    <row r="302" ht="14.4" spans="2:42">
      <c r="B302" s="122"/>
      <c r="C302" s="8"/>
      <c r="D302" s="8"/>
      <c r="E302" s="8"/>
      <c r="H302" s="8"/>
      <c r="J302" s="120"/>
      <c r="K302" s="8"/>
      <c r="L302" s="8"/>
      <c r="O302" s="121"/>
      <c r="P302" s="8"/>
      <c r="Q302" s="8"/>
      <c r="W302" s="114"/>
      <c r="X302" s="114"/>
      <c r="Z302" s="8"/>
      <c r="AA302" s="8"/>
      <c r="AC302" s="8"/>
      <c r="AD302" s="8"/>
      <c r="AI302" s="8"/>
      <c r="AJ302" s="8"/>
      <c r="AK302" s="8"/>
      <c r="AO302" s="8"/>
      <c r="AP302" s="8"/>
    </row>
    <row r="303" ht="14.4" spans="2:42">
      <c r="B303" s="122"/>
      <c r="C303" s="8"/>
      <c r="D303" s="8"/>
      <c r="E303" s="8"/>
      <c r="H303" s="8"/>
      <c r="J303" s="120"/>
      <c r="K303" s="8"/>
      <c r="L303" s="8"/>
      <c r="O303" s="121"/>
      <c r="P303" s="8"/>
      <c r="Q303" s="8"/>
      <c r="W303" s="114"/>
      <c r="X303" s="114"/>
      <c r="Z303" s="8"/>
      <c r="AA303" s="8"/>
      <c r="AC303" s="8"/>
      <c r="AD303" s="8"/>
      <c r="AI303" s="8"/>
      <c r="AJ303" s="8"/>
      <c r="AK303" s="8"/>
      <c r="AO303" s="8"/>
      <c r="AP303" s="8"/>
    </row>
    <row r="304" ht="14.4" spans="2:42">
      <c r="B304" s="122"/>
      <c r="C304" s="8"/>
      <c r="D304" s="8"/>
      <c r="E304" s="8"/>
      <c r="H304" s="8"/>
      <c r="J304" s="120"/>
      <c r="K304" s="8"/>
      <c r="L304" s="8"/>
      <c r="O304" s="121"/>
      <c r="P304" s="8"/>
      <c r="Q304" s="8"/>
      <c r="W304" s="114"/>
      <c r="X304" s="114"/>
      <c r="Z304" s="8"/>
      <c r="AA304" s="8"/>
      <c r="AC304" s="8"/>
      <c r="AD304" s="8"/>
      <c r="AI304" s="8"/>
      <c r="AJ304" s="8"/>
      <c r="AK304" s="8"/>
      <c r="AO304" s="8"/>
      <c r="AP304" s="8"/>
    </row>
    <row r="305" ht="14.4" spans="2:42">
      <c r="B305" s="122"/>
      <c r="C305" s="8"/>
      <c r="D305" s="8"/>
      <c r="E305" s="8"/>
      <c r="H305" s="8"/>
      <c r="J305" s="120"/>
      <c r="K305" s="8"/>
      <c r="L305" s="8"/>
      <c r="O305" s="121"/>
      <c r="P305" s="8"/>
      <c r="Q305" s="8"/>
      <c r="W305" s="114"/>
      <c r="X305" s="114"/>
      <c r="Z305" s="8"/>
      <c r="AA305" s="8"/>
      <c r="AC305" s="8"/>
      <c r="AD305" s="8"/>
      <c r="AI305" s="8"/>
      <c r="AJ305" s="8"/>
      <c r="AK305" s="8"/>
      <c r="AO305" s="8"/>
      <c r="AP305" s="8"/>
    </row>
    <row r="306" ht="14.4" spans="2:42">
      <c r="B306" s="122"/>
      <c r="C306" s="8"/>
      <c r="D306" s="8"/>
      <c r="E306" s="8"/>
      <c r="H306" s="8"/>
      <c r="J306" s="120"/>
      <c r="K306" s="8"/>
      <c r="L306" s="8"/>
      <c r="O306" s="121"/>
      <c r="P306" s="8"/>
      <c r="Q306" s="8"/>
      <c r="W306" s="114"/>
      <c r="X306" s="114"/>
      <c r="Z306" s="8"/>
      <c r="AA306" s="8"/>
      <c r="AC306" s="8"/>
      <c r="AD306" s="8"/>
      <c r="AI306" s="8"/>
      <c r="AJ306" s="8"/>
      <c r="AK306" s="8"/>
      <c r="AO306" s="8"/>
      <c r="AP306" s="8"/>
    </row>
    <row r="307" ht="14.4" spans="2:42">
      <c r="B307" s="122"/>
      <c r="C307" s="8"/>
      <c r="D307" s="8"/>
      <c r="E307" s="8"/>
      <c r="H307" s="8"/>
      <c r="J307" s="120"/>
      <c r="K307" s="8"/>
      <c r="L307" s="8"/>
      <c r="O307" s="121"/>
      <c r="P307" s="8"/>
      <c r="Q307" s="8"/>
      <c r="W307" s="114"/>
      <c r="X307" s="114"/>
      <c r="Z307" s="8"/>
      <c r="AA307" s="8"/>
      <c r="AC307" s="8"/>
      <c r="AD307" s="8"/>
      <c r="AI307" s="8"/>
      <c r="AJ307" s="8"/>
      <c r="AK307" s="8"/>
      <c r="AO307" s="8"/>
      <c r="AP307" s="8"/>
    </row>
    <row r="308" ht="14.4" spans="2:42">
      <c r="B308" s="122"/>
      <c r="C308" s="8"/>
      <c r="D308" s="8"/>
      <c r="E308" s="8"/>
      <c r="H308" s="8"/>
      <c r="J308" s="120"/>
      <c r="K308" s="8"/>
      <c r="L308" s="8"/>
      <c r="O308" s="121"/>
      <c r="P308" s="8"/>
      <c r="Q308" s="8"/>
      <c r="W308" s="114"/>
      <c r="X308" s="114"/>
      <c r="Z308" s="8"/>
      <c r="AA308" s="8"/>
      <c r="AC308" s="8"/>
      <c r="AD308" s="8"/>
      <c r="AI308" s="8"/>
      <c r="AJ308" s="8"/>
      <c r="AK308" s="8"/>
      <c r="AO308" s="8"/>
      <c r="AP308" s="8"/>
    </row>
    <row r="309" ht="14.4" spans="2:42">
      <c r="B309" s="122"/>
      <c r="C309" s="8"/>
      <c r="D309" s="8"/>
      <c r="E309" s="8"/>
      <c r="H309" s="8"/>
      <c r="J309" s="120"/>
      <c r="K309" s="8"/>
      <c r="L309" s="8"/>
      <c r="O309" s="121"/>
      <c r="P309" s="8"/>
      <c r="Q309" s="8"/>
      <c r="W309" s="114"/>
      <c r="X309" s="114"/>
      <c r="Z309" s="8"/>
      <c r="AA309" s="8"/>
      <c r="AC309" s="8"/>
      <c r="AD309" s="8"/>
      <c r="AI309" s="8"/>
      <c r="AJ309" s="8"/>
      <c r="AK309" s="8"/>
      <c r="AO309" s="8"/>
      <c r="AP309" s="8"/>
    </row>
    <row r="310" ht="14.4" spans="2:42">
      <c r="B310" s="122"/>
      <c r="C310" s="8"/>
      <c r="D310" s="8"/>
      <c r="E310" s="8"/>
      <c r="H310" s="8"/>
      <c r="J310" s="120"/>
      <c r="K310" s="8"/>
      <c r="L310" s="8"/>
      <c r="O310" s="121"/>
      <c r="P310" s="8"/>
      <c r="Q310" s="8"/>
      <c r="W310" s="114"/>
      <c r="X310" s="114"/>
      <c r="Z310" s="8"/>
      <c r="AA310" s="8"/>
      <c r="AC310" s="8"/>
      <c r="AD310" s="8"/>
      <c r="AI310" s="8"/>
      <c r="AJ310" s="8"/>
      <c r="AK310" s="8"/>
      <c r="AO310" s="8"/>
      <c r="AP310" s="8"/>
    </row>
    <row r="311" ht="14.4" spans="2:42">
      <c r="B311" s="122"/>
      <c r="C311" s="8"/>
      <c r="D311" s="8"/>
      <c r="E311" s="8"/>
      <c r="H311" s="8"/>
      <c r="J311" s="120"/>
      <c r="K311" s="8"/>
      <c r="L311" s="8"/>
      <c r="O311" s="121"/>
      <c r="P311" s="8"/>
      <c r="Q311" s="8"/>
      <c r="W311" s="114"/>
      <c r="X311" s="114"/>
      <c r="Z311" s="8"/>
      <c r="AA311" s="8"/>
      <c r="AC311" s="8"/>
      <c r="AD311" s="8"/>
      <c r="AI311" s="8"/>
      <c r="AJ311" s="8"/>
      <c r="AK311" s="8"/>
      <c r="AO311" s="8"/>
      <c r="AP311" s="8"/>
    </row>
    <row r="312" ht="14.4" spans="2:42">
      <c r="B312" s="122"/>
      <c r="C312" s="8"/>
      <c r="D312" s="8"/>
      <c r="E312" s="8"/>
      <c r="H312" s="8"/>
      <c r="J312" s="120"/>
      <c r="K312" s="8"/>
      <c r="L312" s="8"/>
      <c r="O312" s="121"/>
      <c r="P312" s="8"/>
      <c r="Q312" s="8"/>
      <c r="W312" s="114"/>
      <c r="X312" s="114"/>
      <c r="Z312" s="8"/>
      <c r="AA312" s="8"/>
      <c r="AC312" s="8"/>
      <c r="AD312" s="8"/>
      <c r="AI312" s="8"/>
      <c r="AJ312" s="8"/>
      <c r="AK312" s="8"/>
      <c r="AO312" s="8"/>
      <c r="AP312" s="8"/>
    </row>
    <row r="313" ht="14.4" spans="2:42">
      <c r="B313" s="122"/>
      <c r="C313" s="8"/>
      <c r="D313" s="8"/>
      <c r="E313" s="8"/>
      <c r="H313" s="8"/>
      <c r="J313" s="120"/>
      <c r="K313" s="8"/>
      <c r="L313" s="8"/>
      <c r="O313" s="121"/>
      <c r="P313" s="8"/>
      <c r="Q313" s="8"/>
      <c r="W313" s="114"/>
      <c r="X313" s="114"/>
      <c r="Z313" s="8"/>
      <c r="AA313" s="8"/>
      <c r="AC313" s="8"/>
      <c r="AD313" s="8"/>
      <c r="AI313" s="8"/>
      <c r="AJ313" s="8"/>
      <c r="AK313" s="8"/>
      <c r="AO313" s="8"/>
      <c r="AP313" s="8"/>
    </row>
    <row r="314" ht="14.4" spans="2:42">
      <c r="B314" s="122"/>
      <c r="C314" s="8"/>
      <c r="D314" s="8"/>
      <c r="E314" s="8"/>
      <c r="H314" s="8"/>
      <c r="J314" s="120"/>
      <c r="K314" s="8"/>
      <c r="L314" s="8"/>
      <c r="O314" s="121"/>
      <c r="P314" s="8"/>
      <c r="Q314" s="8"/>
      <c r="W314" s="114"/>
      <c r="X314" s="114"/>
      <c r="Z314" s="8"/>
      <c r="AA314" s="8"/>
      <c r="AC314" s="8"/>
      <c r="AD314" s="8"/>
      <c r="AI314" s="8"/>
      <c r="AJ314" s="8"/>
      <c r="AK314" s="8"/>
      <c r="AO314" s="8"/>
      <c r="AP314" s="8"/>
    </row>
    <row r="315" ht="14.4" spans="2:42">
      <c r="B315" s="122"/>
      <c r="C315" s="8"/>
      <c r="D315" s="8"/>
      <c r="E315" s="8"/>
      <c r="H315" s="8"/>
      <c r="J315" s="120"/>
      <c r="K315" s="8"/>
      <c r="L315" s="8"/>
      <c r="O315" s="121"/>
      <c r="P315" s="8"/>
      <c r="Q315" s="8"/>
      <c r="W315" s="114"/>
      <c r="X315" s="114"/>
      <c r="Z315" s="8"/>
      <c r="AA315" s="8"/>
      <c r="AC315" s="8"/>
      <c r="AD315" s="8"/>
      <c r="AI315" s="8"/>
      <c r="AJ315" s="8"/>
      <c r="AK315" s="8"/>
      <c r="AO315" s="8"/>
      <c r="AP315" s="8"/>
    </row>
    <row r="316" ht="14.4" spans="2:42">
      <c r="B316" s="122"/>
      <c r="C316" s="8"/>
      <c r="D316" s="8"/>
      <c r="E316" s="8"/>
      <c r="H316" s="8"/>
      <c r="J316" s="120"/>
      <c r="K316" s="8"/>
      <c r="L316" s="8"/>
      <c r="O316" s="121"/>
      <c r="P316" s="8"/>
      <c r="Q316" s="8"/>
      <c r="W316" s="114"/>
      <c r="X316" s="114"/>
      <c r="Z316" s="8"/>
      <c r="AA316" s="8"/>
      <c r="AC316" s="8"/>
      <c r="AD316" s="8"/>
      <c r="AI316" s="8"/>
      <c r="AJ316" s="8"/>
      <c r="AK316" s="8"/>
      <c r="AO316" s="8"/>
      <c r="AP316" s="8"/>
    </row>
    <row r="317" ht="14.4" spans="2:42">
      <c r="B317" s="122"/>
      <c r="C317" s="8"/>
      <c r="D317" s="8"/>
      <c r="E317" s="8"/>
      <c r="H317" s="8"/>
      <c r="J317" s="120"/>
      <c r="K317" s="8"/>
      <c r="L317" s="8"/>
      <c r="O317" s="121"/>
      <c r="P317" s="8"/>
      <c r="Q317" s="8"/>
      <c r="W317" s="114"/>
      <c r="X317" s="114"/>
      <c r="Z317" s="8"/>
      <c r="AA317" s="8"/>
      <c r="AC317" s="8"/>
      <c r="AD317" s="8"/>
      <c r="AI317" s="8"/>
      <c r="AJ317" s="8"/>
      <c r="AK317" s="8"/>
      <c r="AO317" s="8"/>
      <c r="AP317" s="8"/>
    </row>
    <row r="318" ht="14.4" spans="2:42">
      <c r="B318" s="122"/>
      <c r="C318" s="8"/>
      <c r="D318" s="8"/>
      <c r="E318" s="8"/>
      <c r="H318" s="8"/>
      <c r="J318" s="120"/>
      <c r="K318" s="8"/>
      <c r="L318" s="8"/>
      <c r="O318" s="121"/>
      <c r="P318" s="8"/>
      <c r="Q318" s="8"/>
      <c r="W318" s="114"/>
      <c r="X318" s="114"/>
      <c r="Z318" s="8"/>
      <c r="AA318" s="8"/>
      <c r="AC318" s="8"/>
      <c r="AD318" s="8"/>
      <c r="AI318" s="8"/>
      <c r="AJ318" s="8"/>
      <c r="AK318" s="8"/>
      <c r="AO318" s="8"/>
      <c r="AP318" s="8"/>
    </row>
    <row r="319" ht="14.4" spans="2:42">
      <c r="B319" s="122"/>
      <c r="C319" s="8"/>
      <c r="D319" s="8"/>
      <c r="E319" s="8"/>
      <c r="H319" s="8"/>
      <c r="J319" s="120"/>
      <c r="K319" s="8"/>
      <c r="L319" s="8"/>
      <c r="O319" s="121"/>
      <c r="P319" s="8"/>
      <c r="Q319" s="8"/>
      <c r="W319" s="114"/>
      <c r="X319" s="114"/>
      <c r="Z319" s="8"/>
      <c r="AA319" s="8"/>
      <c r="AC319" s="8"/>
      <c r="AD319" s="8"/>
      <c r="AI319" s="8"/>
      <c r="AJ319" s="8"/>
      <c r="AK319" s="8"/>
      <c r="AO319" s="8"/>
      <c r="AP319" s="8"/>
    </row>
    <row r="320" ht="14.4" spans="2:42">
      <c r="B320" s="122"/>
      <c r="C320" s="8"/>
      <c r="D320" s="8"/>
      <c r="E320" s="8"/>
      <c r="H320" s="8"/>
      <c r="J320" s="120"/>
      <c r="K320" s="8"/>
      <c r="L320" s="8"/>
      <c r="O320" s="121"/>
      <c r="P320" s="8"/>
      <c r="Q320" s="8"/>
      <c r="W320" s="114"/>
      <c r="X320" s="114"/>
      <c r="Z320" s="8"/>
      <c r="AA320" s="8"/>
      <c r="AC320" s="8"/>
      <c r="AD320" s="8"/>
      <c r="AI320" s="8"/>
      <c r="AJ320" s="8"/>
      <c r="AK320" s="8"/>
      <c r="AO320" s="8"/>
      <c r="AP320" s="8"/>
    </row>
    <row r="321" ht="14.4" spans="2:42">
      <c r="B321" s="122"/>
      <c r="C321" s="8"/>
      <c r="D321" s="8"/>
      <c r="E321" s="8"/>
      <c r="H321" s="8"/>
      <c r="J321" s="120"/>
      <c r="K321" s="8"/>
      <c r="L321" s="8"/>
      <c r="O321" s="121"/>
      <c r="P321" s="8"/>
      <c r="Q321" s="8"/>
      <c r="W321" s="114"/>
      <c r="X321" s="114"/>
      <c r="Z321" s="8"/>
      <c r="AA321" s="8"/>
      <c r="AC321" s="8"/>
      <c r="AD321" s="8"/>
      <c r="AI321" s="8"/>
      <c r="AJ321" s="8"/>
      <c r="AK321" s="8"/>
      <c r="AO321" s="8"/>
      <c r="AP321" s="8"/>
    </row>
    <row r="322" ht="14.4" spans="2:42">
      <c r="B322" s="122"/>
      <c r="C322" s="8"/>
      <c r="D322" s="8"/>
      <c r="E322" s="8"/>
      <c r="H322" s="8"/>
      <c r="J322" s="120"/>
      <c r="K322" s="8"/>
      <c r="L322" s="8"/>
      <c r="O322" s="121"/>
      <c r="P322" s="8"/>
      <c r="Q322" s="8"/>
      <c r="W322" s="114"/>
      <c r="X322" s="114"/>
      <c r="Z322" s="8"/>
      <c r="AA322" s="8"/>
      <c r="AC322" s="8"/>
      <c r="AD322" s="8"/>
      <c r="AI322" s="8"/>
      <c r="AJ322" s="8"/>
      <c r="AK322" s="8"/>
      <c r="AO322" s="8"/>
      <c r="AP322" s="8"/>
    </row>
    <row r="323" ht="14.4" spans="2:42">
      <c r="B323" s="122"/>
      <c r="C323" s="8"/>
      <c r="D323" s="8"/>
      <c r="E323" s="8"/>
      <c r="H323" s="8"/>
      <c r="J323" s="120"/>
      <c r="K323" s="8"/>
      <c r="L323" s="8"/>
      <c r="O323" s="121"/>
      <c r="P323" s="8"/>
      <c r="Q323" s="8"/>
      <c r="W323" s="114"/>
      <c r="X323" s="114"/>
      <c r="Z323" s="8"/>
      <c r="AA323" s="8"/>
      <c r="AC323" s="8"/>
      <c r="AD323" s="8"/>
      <c r="AI323" s="8"/>
      <c r="AJ323" s="8"/>
      <c r="AK323" s="8"/>
      <c r="AO323" s="8"/>
      <c r="AP323" s="8"/>
    </row>
    <row r="324" ht="14.4" spans="2:42">
      <c r="B324" s="122"/>
      <c r="C324" s="8"/>
      <c r="D324" s="8"/>
      <c r="E324" s="8"/>
      <c r="H324" s="8"/>
      <c r="J324" s="120"/>
      <c r="K324" s="8"/>
      <c r="L324" s="8"/>
      <c r="O324" s="121"/>
      <c r="P324" s="8"/>
      <c r="Q324" s="8"/>
      <c r="W324" s="114"/>
      <c r="X324" s="114"/>
      <c r="Z324" s="8"/>
      <c r="AA324" s="8"/>
      <c r="AC324" s="8"/>
      <c r="AD324" s="8"/>
      <c r="AI324" s="8"/>
      <c r="AJ324" s="8"/>
      <c r="AK324" s="8"/>
      <c r="AO324" s="8"/>
      <c r="AP324" s="8"/>
    </row>
    <row r="325" ht="14.4" spans="2:42">
      <c r="B325" s="122"/>
      <c r="C325" s="8"/>
      <c r="D325" s="8"/>
      <c r="E325" s="8"/>
      <c r="H325" s="8"/>
      <c r="J325" s="120"/>
      <c r="K325" s="8"/>
      <c r="L325" s="8"/>
      <c r="O325" s="121"/>
      <c r="P325" s="8"/>
      <c r="Q325" s="8"/>
      <c r="W325" s="114"/>
      <c r="X325" s="114"/>
      <c r="Z325" s="8"/>
      <c r="AA325" s="8"/>
      <c r="AC325" s="8"/>
      <c r="AD325" s="8"/>
      <c r="AI325" s="8"/>
      <c r="AJ325" s="8"/>
      <c r="AK325" s="8"/>
      <c r="AO325" s="8"/>
      <c r="AP325" s="8"/>
    </row>
    <row r="326" ht="14.4" spans="2:42">
      <c r="B326" s="122"/>
      <c r="C326" s="8"/>
      <c r="D326" s="8"/>
      <c r="E326" s="8"/>
      <c r="H326" s="8"/>
      <c r="J326" s="120"/>
      <c r="K326" s="8"/>
      <c r="L326" s="8"/>
      <c r="O326" s="121"/>
      <c r="P326" s="8"/>
      <c r="Q326" s="8"/>
      <c r="W326" s="114"/>
      <c r="X326" s="114"/>
      <c r="Z326" s="8"/>
      <c r="AA326" s="8"/>
      <c r="AC326" s="8"/>
      <c r="AD326" s="8"/>
      <c r="AI326" s="8"/>
      <c r="AJ326" s="8"/>
      <c r="AK326" s="8"/>
      <c r="AO326" s="8"/>
      <c r="AP326" s="8"/>
    </row>
    <row r="327" ht="14.4" spans="2:42">
      <c r="B327" s="122"/>
      <c r="C327" s="8"/>
      <c r="D327" s="8"/>
      <c r="E327" s="8"/>
      <c r="H327" s="8"/>
      <c r="J327" s="120"/>
      <c r="K327" s="8"/>
      <c r="L327" s="8"/>
      <c r="O327" s="121"/>
      <c r="P327" s="8"/>
      <c r="Q327" s="8"/>
      <c r="W327" s="114"/>
      <c r="X327" s="114"/>
      <c r="Z327" s="8"/>
      <c r="AA327" s="8"/>
      <c r="AC327" s="8"/>
      <c r="AD327" s="8"/>
      <c r="AI327" s="8"/>
      <c r="AJ327" s="8"/>
      <c r="AK327" s="8"/>
      <c r="AO327" s="8"/>
      <c r="AP327" s="8"/>
    </row>
    <row r="328" ht="14.4" spans="2:42">
      <c r="B328" s="122"/>
      <c r="C328" s="8"/>
      <c r="D328" s="8"/>
      <c r="E328" s="8"/>
      <c r="H328" s="8"/>
      <c r="J328" s="120"/>
      <c r="K328" s="8"/>
      <c r="L328" s="8"/>
      <c r="O328" s="121"/>
      <c r="P328" s="8"/>
      <c r="Q328" s="8"/>
      <c r="W328" s="114"/>
      <c r="X328" s="114"/>
      <c r="Z328" s="8"/>
      <c r="AA328" s="8"/>
      <c r="AC328" s="8"/>
      <c r="AD328" s="8"/>
      <c r="AI328" s="8"/>
      <c r="AJ328" s="8"/>
      <c r="AK328" s="8"/>
      <c r="AO328" s="8"/>
      <c r="AP328" s="8"/>
    </row>
    <row r="329" ht="14.4" spans="2:42">
      <c r="B329" s="122"/>
      <c r="C329" s="8"/>
      <c r="D329" s="8"/>
      <c r="E329" s="8"/>
      <c r="H329" s="8"/>
      <c r="J329" s="120"/>
      <c r="K329" s="8"/>
      <c r="L329" s="8"/>
      <c r="O329" s="121"/>
      <c r="P329" s="8"/>
      <c r="Q329" s="8"/>
      <c r="W329" s="114"/>
      <c r="X329" s="114"/>
      <c r="Z329" s="8"/>
      <c r="AA329" s="8"/>
      <c r="AC329" s="8"/>
      <c r="AD329" s="8"/>
      <c r="AI329" s="8"/>
      <c r="AJ329" s="8"/>
      <c r="AK329" s="8"/>
      <c r="AO329" s="8"/>
      <c r="AP329" s="8"/>
    </row>
    <row r="330" ht="14.4" spans="2:42">
      <c r="B330" s="122"/>
      <c r="C330" s="8"/>
      <c r="D330" s="8"/>
      <c r="E330" s="8"/>
      <c r="H330" s="8"/>
      <c r="J330" s="120"/>
      <c r="K330" s="8"/>
      <c r="L330" s="8"/>
      <c r="O330" s="121"/>
      <c r="P330" s="8"/>
      <c r="Q330" s="8"/>
      <c r="W330" s="114"/>
      <c r="X330" s="114"/>
      <c r="Z330" s="8"/>
      <c r="AA330" s="8"/>
      <c r="AC330" s="8"/>
      <c r="AD330" s="8"/>
      <c r="AI330" s="8"/>
      <c r="AJ330" s="8"/>
      <c r="AK330" s="8"/>
      <c r="AO330" s="8"/>
      <c r="AP330" s="8"/>
    </row>
    <row r="331" ht="14.4" spans="2:42">
      <c r="B331" s="122"/>
      <c r="C331" s="8"/>
      <c r="D331" s="8"/>
      <c r="E331" s="8"/>
      <c r="H331" s="8"/>
      <c r="J331" s="120"/>
      <c r="K331" s="8"/>
      <c r="L331" s="8"/>
      <c r="O331" s="121"/>
      <c r="P331" s="8"/>
      <c r="Q331" s="8"/>
      <c r="W331" s="114"/>
      <c r="X331" s="114"/>
      <c r="Z331" s="8"/>
      <c r="AA331" s="8"/>
      <c r="AC331" s="8"/>
      <c r="AD331" s="8"/>
      <c r="AI331" s="8"/>
      <c r="AJ331" s="8"/>
      <c r="AK331" s="8"/>
      <c r="AO331" s="8"/>
      <c r="AP331" s="8"/>
    </row>
    <row r="332" ht="14.4" spans="2:42">
      <c r="B332" s="122"/>
      <c r="C332" s="8"/>
      <c r="D332" s="8"/>
      <c r="E332" s="8"/>
      <c r="H332" s="8"/>
      <c r="J332" s="120"/>
      <c r="K332" s="8"/>
      <c r="L332" s="8"/>
      <c r="O332" s="121"/>
      <c r="P332" s="8"/>
      <c r="Q332" s="8"/>
      <c r="W332" s="114"/>
      <c r="X332" s="114"/>
      <c r="Z332" s="8"/>
      <c r="AA332" s="8"/>
      <c r="AC332" s="8"/>
      <c r="AD332" s="8"/>
      <c r="AI332" s="8"/>
      <c r="AJ332" s="8"/>
      <c r="AK332" s="8"/>
      <c r="AO332" s="8"/>
      <c r="AP332" s="8"/>
    </row>
    <row r="333" ht="14.4" spans="2:42">
      <c r="B333" s="122"/>
      <c r="C333" s="8"/>
      <c r="D333" s="8"/>
      <c r="E333" s="8"/>
      <c r="H333" s="8"/>
      <c r="J333" s="120"/>
      <c r="K333" s="8"/>
      <c r="L333" s="8"/>
      <c r="O333" s="121"/>
      <c r="P333" s="8"/>
      <c r="Q333" s="8"/>
      <c r="W333" s="114"/>
      <c r="X333" s="114"/>
      <c r="Z333" s="8"/>
      <c r="AA333" s="8"/>
      <c r="AC333" s="8"/>
      <c r="AD333" s="8"/>
      <c r="AI333" s="8"/>
      <c r="AJ333" s="8"/>
      <c r="AK333" s="8"/>
      <c r="AO333" s="8"/>
      <c r="AP333" s="8"/>
    </row>
    <row r="334" ht="14.4" spans="2:42">
      <c r="B334" s="122"/>
      <c r="C334" s="8"/>
      <c r="D334" s="8"/>
      <c r="E334" s="8"/>
      <c r="H334" s="8"/>
      <c r="J334" s="120"/>
      <c r="K334" s="8"/>
      <c r="L334" s="8"/>
      <c r="O334" s="121"/>
      <c r="P334" s="8"/>
      <c r="Q334" s="8"/>
      <c r="W334" s="114"/>
      <c r="X334" s="114"/>
      <c r="Z334" s="8"/>
      <c r="AA334" s="8"/>
      <c r="AC334" s="8"/>
      <c r="AD334" s="8"/>
      <c r="AI334" s="8"/>
      <c r="AJ334" s="8"/>
      <c r="AK334" s="8"/>
      <c r="AO334" s="8"/>
      <c r="AP334" s="8"/>
    </row>
    <row r="335" ht="14.4" spans="2:42">
      <c r="B335" s="122"/>
      <c r="C335" s="8"/>
      <c r="D335" s="8"/>
      <c r="E335" s="8"/>
      <c r="H335" s="8"/>
      <c r="J335" s="120"/>
      <c r="K335" s="8"/>
      <c r="L335" s="8"/>
      <c r="O335" s="121"/>
      <c r="P335" s="8"/>
      <c r="Q335" s="8"/>
      <c r="W335" s="114"/>
      <c r="X335" s="114"/>
      <c r="Z335" s="8"/>
      <c r="AA335" s="8"/>
      <c r="AC335" s="8"/>
      <c r="AD335" s="8"/>
      <c r="AI335" s="8"/>
      <c r="AJ335" s="8"/>
      <c r="AK335" s="8"/>
      <c r="AO335" s="8"/>
      <c r="AP335" s="8"/>
    </row>
    <row r="336" ht="14.4" spans="2:42">
      <c r="B336" s="122"/>
      <c r="C336" s="8"/>
      <c r="D336" s="8"/>
      <c r="E336" s="8"/>
      <c r="H336" s="8"/>
      <c r="J336" s="120"/>
      <c r="K336" s="8"/>
      <c r="L336" s="8"/>
      <c r="O336" s="121"/>
      <c r="P336" s="8"/>
      <c r="Q336" s="8"/>
      <c r="W336" s="114"/>
      <c r="X336" s="114"/>
      <c r="Z336" s="8"/>
      <c r="AA336" s="8"/>
      <c r="AC336" s="8"/>
      <c r="AD336" s="8"/>
      <c r="AI336" s="8"/>
      <c r="AJ336" s="8"/>
      <c r="AK336" s="8"/>
      <c r="AO336" s="8"/>
      <c r="AP336" s="8"/>
    </row>
    <row r="337" ht="14.4" spans="2:42">
      <c r="B337" s="122"/>
      <c r="C337" s="8"/>
      <c r="D337" s="8"/>
      <c r="E337" s="8"/>
      <c r="H337" s="8"/>
      <c r="J337" s="120"/>
      <c r="K337" s="8"/>
      <c r="L337" s="8"/>
      <c r="O337" s="121"/>
      <c r="P337" s="8"/>
      <c r="Q337" s="8"/>
      <c r="W337" s="114"/>
      <c r="X337" s="114"/>
      <c r="Z337" s="8"/>
      <c r="AA337" s="8"/>
      <c r="AC337" s="8"/>
      <c r="AD337" s="8"/>
      <c r="AI337" s="8"/>
      <c r="AJ337" s="8"/>
      <c r="AK337" s="8"/>
      <c r="AO337" s="8"/>
      <c r="AP337" s="8"/>
    </row>
    <row r="338" ht="14.4" spans="2:42">
      <c r="B338" s="122"/>
      <c r="C338" s="8"/>
      <c r="D338" s="8"/>
      <c r="E338" s="8"/>
      <c r="H338" s="8"/>
      <c r="J338" s="120"/>
      <c r="K338" s="8"/>
      <c r="L338" s="8"/>
      <c r="O338" s="121"/>
      <c r="P338" s="8"/>
      <c r="Q338" s="8"/>
      <c r="W338" s="114"/>
      <c r="X338" s="114"/>
      <c r="Z338" s="8"/>
      <c r="AA338" s="8"/>
      <c r="AC338" s="8"/>
      <c r="AD338" s="8"/>
      <c r="AI338" s="8"/>
      <c r="AJ338" s="8"/>
      <c r="AK338" s="8"/>
      <c r="AO338" s="8"/>
      <c r="AP338" s="8"/>
    </row>
    <row r="339" ht="14.4" spans="2:42">
      <c r="B339" s="122"/>
      <c r="C339" s="8"/>
      <c r="D339" s="8"/>
      <c r="E339" s="8"/>
      <c r="H339" s="8"/>
      <c r="J339" s="120"/>
      <c r="K339" s="8"/>
      <c r="L339" s="8"/>
      <c r="O339" s="121"/>
      <c r="P339" s="8"/>
      <c r="Q339" s="8"/>
      <c r="W339" s="114"/>
      <c r="X339" s="114"/>
      <c r="Z339" s="8"/>
      <c r="AA339" s="8"/>
      <c r="AC339" s="8"/>
      <c r="AD339" s="8"/>
      <c r="AI339" s="8"/>
      <c r="AJ339" s="8"/>
      <c r="AK339" s="8"/>
      <c r="AO339" s="8"/>
      <c r="AP339" s="8"/>
    </row>
    <row r="340" ht="14.4" spans="2:42">
      <c r="B340" s="122"/>
      <c r="C340" s="8"/>
      <c r="D340" s="8"/>
      <c r="E340" s="8"/>
      <c r="H340" s="8"/>
      <c r="J340" s="120"/>
      <c r="K340" s="8"/>
      <c r="L340" s="8"/>
      <c r="O340" s="121"/>
      <c r="P340" s="8"/>
      <c r="Q340" s="8"/>
      <c r="W340" s="114"/>
      <c r="X340" s="114"/>
      <c r="Z340" s="8"/>
      <c r="AA340" s="8"/>
      <c r="AC340" s="8"/>
      <c r="AD340" s="8"/>
      <c r="AI340" s="8"/>
      <c r="AJ340" s="8"/>
      <c r="AK340" s="8"/>
      <c r="AO340" s="8"/>
      <c r="AP340" s="8"/>
    </row>
    <row r="341" ht="14.4" spans="2:42">
      <c r="B341" s="122"/>
      <c r="C341" s="8"/>
      <c r="D341" s="8"/>
      <c r="E341" s="8"/>
      <c r="H341" s="8"/>
      <c r="J341" s="120"/>
      <c r="K341" s="8"/>
      <c r="L341" s="8"/>
      <c r="O341" s="121"/>
      <c r="P341" s="8"/>
      <c r="Q341" s="8"/>
      <c r="W341" s="114"/>
      <c r="X341" s="114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14"/>
      <c r="C342" s="8"/>
      <c r="D342" s="8"/>
      <c r="E342" s="8"/>
      <c r="H342" s="8"/>
      <c r="J342" s="120"/>
      <c r="K342" s="8"/>
      <c r="L342" s="8"/>
      <c r="M342" s="123"/>
      <c r="O342" s="121"/>
      <c r="P342" s="8"/>
      <c r="Q342" s="8"/>
      <c r="W342" s="8"/>
      <c r="X342" s="8"/>
      <c r="Z342" s="8"/>
      <c r="AA342" s="8"/>
      <c r="AC342" s="8"/>
      <c r="AD342" s="8"/>
      <c r="AJ342" s="8"/>
      <c r="AK342" s="8"/>
      <c r="AO342" s="8"/>
      <c r="AP342" s="8"/>
    </row>
    <row r="343" spans="2:42">
      <c r="B343" s="114"/>
      <c r="C343" s="8"/>
      <c r="D343" s="8"/>
      <c r="E343" s="8"/>
      <c r="H343" s="8"/>
      <c r="J343" s="120"/>
      <c r="K343" s="8"/>
      <c r="L343" s="8"/>
      <c r="M343" s="123"/>
      <c r="O343" s="121"/>
      <c r="P343" s="8"/>
      <c r="Q343" s="8"/>
      <c r="W343" s="8"/>
      <c r="X343" s="8"/>
      <c r="Z343" s="8"/>
      <c r="AA343" s="8"/>
      <c r="AC343" s="8"/>
      <c r="AD343" s="8"/>
      <c r="AJ343" s="8"/>
      <c r="AK343" s="8"/>
      <c r="AO343" s="8"/>
      <c r="AP343" s="8"/>
    </row>
    <row r="344" spans="2:42">
      <c r="B344" s="114"/>
      <c r="C344" s="8"/>
      <c r="D344" s="8"/>
      <c r="E344" s="8"/>
      <c r="H344" s="8"/>
      <c r="J344" s="120"/>
      <c r="K344" s="8"/>
      <c r="L344" s="8"/>
      <c r="M344" s="123"/>
      <c r="O344" s="121"/>
      <c r="P344" s="8"/>
      <c r="Q344" s="8"/>
      <c r="W344" s="8"/>
      <c r="X344" s="8"/>
      <c r="Z344" s="8"/>
      <c r="AA344" s="8"/>
      <c r="AC344" s="8"/>
      <c r="AD344" s="8"/>
      <c r="AJ344" s="8"/>
      <c r="AK344" s="8"/>
      <c r="AO344" s="8"/>
      <c r="AP344" s="8"/>
    </row>
    <row r="345" spans="2:42">
      <c r="B345" s="114"/>
      <c r="C345" s="8"/>
      <c r="D345" s="8"/>
      <c r="E345" s="8"/>
      <c r="H345" s="8"/>
      <c r="J345" s="120"/>
      <c r="K345" s="8"/>
      <c r="L345" s="8"/>
      <c r="M345" s="123"/>
      <c r="O345" s="121"/>
      <c r="P345" s="8"/>
      <c r="Q345" s="8"/>
      <c r="W345" s="8"/>
      <c r="X345" s="8"/>
      <c r="Z345" s="8"/>
      <c r="AA345" s="8"/>
      <c r="AC345" s="8"/>
      <c r="AD345" s="8"/>
      <c r="AJ345" s="8"/>
      <c r="AK345" s="8"/>
      <c r="AO345" s="8"/>
      <c r="AP345" s="8"/>
    </row>
    <row r="346" spans="2:42">
      <c r="B346" s="114"/>
      <c r="C346" s="8"/>
      <c r="D346" s="8"/>
      <c r="E346" s="8"/>
      <c r="H346" s="8"/>
      <c r="J346" s="120"/>
      <c r="K346" s="8"/>
      <c r="L346" s="8"/>
      <c r="M346" s="123"/>
      <c r="O346" s="121"/>
      <c r="P346" s="8"/>
      <c r="Q346" s="8"/>
      <c r="W346" s="8"/>
      <c r="X346" s="8"/>
      <c r="Z346" s="8"/>
      <c r="AA346" s="8"/>
      <c r="AC346" s="8"/>
      <c r="AD346" s="8"/>
      <c r="AJ346" s="8"/>
      <c r="AK346" s="8"/>
      <c r="AO346" s="8"/>
      <c r="AP346" s="8"/>
    </row>
    <row r="347" spans="2:42">
      <c r="B347" s="114"/>
      <c r="C347" s="8"/>
      <c r="D347" s="8"/>
      <c r="E347" s="8"/>
      <c r="H347" s="8"/>
      <c r="J347" s="120"/>
      <c r="K347" s="8"/>
      <c r="L347" s="8"/>
      <c r="M347" s="123"/>
      <c r="O347" s="121"/>
      <c r="P347" s="8"/>
      <c r="Q347" s="8"/>
      <c r="W347" s="8"/>
      <c r="X347" s="8"/>
      <c r="Z347" s="8"/>
      <c r="AA347" s="8"/>
      <c r="AC347" s="8"/>
      <c r="AD347" s="8"/>
      <c r="AJ347" s="8"/>
      <c r="AK347" s="8"/>
      <c r="AO347" s="8"/>
      <c r="AP347" s="8"/>
    </row>
    <row r="348" spans="2:42">
      <c r="B348" s="114"/>
      <c r="C348" s="8"/>
      <c r="D348" s="8"/>
      <c r="E348" s="8"/>
      <c r="H348" s="8"/>
      <c r="J348" s="120"/>
      <c r="K348" s="8"/>
      <c r="L348" s="8"/>
      <c r="M348" s="123"/>
      <c r="P348" s="8"/>
      <c r="Q348" s="8"/>
      <c r="W348" s="8"/>
      <c r="X348" s="8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14"/>
      <c r="C349" s="8"/>
      <c r="D349" s="8"/>
      <c r="E349" s="8"/>
      <c r="H349" s="8"/>
      <c r="J349" s="120"/>
      <c r="K349" s="8"/>
      <c r="L349" s="8"/>
      <c r="M349" s="123"/>
      <c r="P349" s="8"/>
      <c r="Q349" s="8"/>
      <c r="W349" s="8"/>
      <c r="X349" s="8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14"/>
      <c r="C350" s="8"/>
      <c r="D350" s="8"/>
      <c r="E350" s="8"/>
      <c r="H350" s="8"/>
      <c r="J350" s="120"/>
      <c r="K350" s="8"/>
      <c r="L350" s="8"/>
      <c r="M350" s="123"/>
      <c r="P350" s="8"/>
      <c r="Q350" s="8"/>
      <c r="W350" s="8"/>
      <c r="X350" s="8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14"/>
      <c r="C351" s="8"/>
      <c r="D351" s="8"/>
      <c r="E351" s="8"/>
      <c r="H351" s="8"/>
      <c r="J351" s="120"/>
      <c r="K351" s="8"/>
      <c r="L351" s="8"/>
      <c r="M351" s="123"/>
      <c r="P351" s="8"/>
      <c r="Q351" s="8"/>
      <c r="W351" s="8"/>
      <c r="X351" s="8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14"/>
      <c r="C352" s="8"/>
      <c r="D352" s="8"/>
      <c r="E352" s="8"/>
      <c r="H352" s="8"/>
      <c r="J352" s="120"/>
      <c r="K352" s="8"/>
      <c r="L352" s="8"/>
      <c r="M352" s="123"/>
      <c r="P352" s="8"/>
      <c r="Q352" s="8"/>
      <c r="W352" s="8"/>
      <c r="X352" s="8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14"/>
      <c r="C353" s="8"/>
      <c r="D353" s="8"/>
      <c r="E353" s="8"/>
      <c r="H353" s="8"/>
      <c r="J353" s="124"/>
      <c r="K353" s="114"/>
      <c r="L353" s="8"/>
      <c r="M353" s="123"/>
      <c r="O353" s="121"/>
      <c r="P353" s="8"/>
      <c r="Q353" s="8"/>
      <c r="W353" s="114"/>
      <c r="X353" s="8"/>
      <c r="Z353" s="8"/>
      <c r="AA353" s="8"/>
      <c r="AB353" s="8"/>
      <c r="AC353" s="8"/>
      <c r="AD353" s="8"/>
      <c r="AI353" s="8"/>
      <c r="AJ353" s="8"/>
      <c r="AK353" s="8"/>
      <c r="AO353" s="8"/>
      <c r="AP353" s="8"/>
    </row>
    <row r="354" spans="2:42">
      <c r="B354" s="114"/>
      <c r="C354" s="8"/>
      <c r="D354" s="8"/>
      <c r="E354" s="8"/>
      <c r="H354" s="8"/>
      <c r="J354" s="124"/>
      <c r="K354" s="114"/>
      <c r="L354" s="8"/>
      <c r="M354" s="123"/>
      <c r="O354" s="121"/>
      <c r="P354" s="8"/>
      <c r="Q354" s="8"/>
      <c r="W354" s="114"/>
      <c r="X354" s="8"/>
      <c r="Z354" s="8"/>
      <c r="AA354" s="8"/>
      <c r="AB354" s="8"/>
      <c r="AC354" s="8"/>
      <c r="AD354" s="8"/>
      <c r="AI354" s="8"/>
      <c r="AJ354" s="8"/>
      <c r="AK354" s="8"/>
      <c r="AO354" s="8"/>
      <c r="AP354" s="8"/>
    </row>
    <row r="355" spans="2:42">
      <c r="B355" s="114"/>
      <c r="C355" s="8"/>
      <c r="D355" s="8"/>
      <c r="E355" s="8"/>
      <c r="H355" s="8"/>
      <c r="J355" s="124"/>
      <c r="K355" s="114"/>
      <c r="L355" s="8"/>
      <c r="M355" s="123"/>
      <c r="O355" s="121"/>
      <c r="P355" s="8"/>
      <c r="Q355" s="8"/>
      <c r="W355" s="114"/>
      <c r="X355" s="8"/>
      <c r="Z355" s="8"/>
      <c r="AA355" s="8"/>
      <c r="AB355" s="8"/>
      <c r="AC355" s="8"/>
      <c r="AD355" s="8"/>
      <c r="AI355" s="8"/>
      <c r="AJ355" s="8"/>
      <c r="AK355" s="8"/>
      <c r="AO355" s="8"/>
      <c r="AP355" s="8"/>
    </row>
    <row r="356" spans="2:42">
      <c r="B356" s="114"/>
      <c r="C356" s="8"/>
      <c r="D356" s="8"/>
      <c r="E356" s="8"/>
      <c r="H356" s="8"/>
      <c r="J356" s="124"/>
      <c r="K356" s="114"/>
      <c r="L356" s="8"/>
      <c r="M356" s="123"/>
      <c r="O356" s="121"/>
      <c r="P356" s="8"/>
      <c r="Q356" s="8"/>
      <c r="W356" s="114"/>
      <c r="X356" s="8"/>
      <c r="Z356" s="8"/>
      <c r="AA356" s="8"/>
      <c r="AB356" s="8"/>
      <c r="AC356" s="8"/>
      <c r="AD356" s="8"/>
      <c r="AI356" s="8"/>
      <c r="AJ356" s="8"/>
      <c r="AK356" s="8"/>
      <c r="AO356" s="8"/>
      <c r="AP356" s="8"/>
    </row>
    <row r="357" spans="2:42">
      <c r="B357" s="114"/>
      <c r="C357" s="8"/>
      <c r="D357" s="8"/>
      <c r="E357" s="8"/>
      <c r="H357" s="8"/>
      <c r="J357" s="124"/>
      <c r="K357" s="114"/>
      <c r="L357" s="8"/>
      <c r="M357" s="123"/>
      <c r="O357" s="121"/>
      <c r="P357" s="8"/>
      <c r="Q357" s="8"/>
      <c r="R357" s="114"/>
      <c r="S357" s="114"/>
      <c r="T357" s="114"/>
      <c r="W357" s="114"/>
      <c r="X357" s="8"/>
      <c r="Z357" s="8"/>
      <c r="AA357" s="8"/>
      <c r="AB357" s="8"/>
      <c r="AC357" s="8"/>
      <c r="AD357" s="8"/>
      <c r="AI357" s="8"/>
      <c r="AJ357" s="8"/>
      <c r="AK357" s="8"/>
      <c r="AO357" s="8"/>
      <c r="AP357" s="8"/>
    </row>
    <row r="358" spans="2:42">
      <c r="B358" s="114"/>
      <c r="C358" s="8"/>
      <c r="D358" s="8"/>
      <c r="E358" s="8"/>
      <c r="H358" s="8"/>
      <c r="J358" s="124"/>
      <c r="K358" s="114"/>
      <c r="L358" s="8"/>
      <c r="M358" s="123"/>
      <c r="O358" s="121"/>
      <c r="P358" s="8"/>
      <c r="Q358" s="8"/>
      <c r="R358" s="114"/>
      <c r="S358" s="114"/>
      <c r="T358" s="114"/>
      <c r="W358" s="114"/>
      <c r="X358" s="8"/>
      <c r="Z358" s="8"/>
      <c r="AA358" s="8"/>
      <c r="AB358" s="8"/>
      <c r="AC358" s="8"/>
      <c r="AD358" s="8"/>
      <c r="AI358" s="8"/>
      <c r="AJ358" s="8"/>
      <c r="AK358" s="8"/>
      <c r="AO358" s="8"/>
      <c r="AP358" s="8"/>
    </row>
    <row r="359" spans="2:42">
      <c r="B359" s="114"/>
      <c r="C359" s="8"/>
      <c r="D359" s="8"/>
      <c r="E359" s="8"/>
      <c r="H359" s="8"/>
      <c r="J359" s="124"/>
      <c r="K359" s="114"/>
      <c r="L359" s="8"/>
      <c r="M359" s="123"/>
      <c r="O359" s="121"/>
      <c r="P359" s="8"/>
      <c r="Q359" s="8"/>
      <c r="R359" s="114"/>
      <c r="S359" s="114"/>
      <c r="T359" s="114"/>
      <c r="W359" s="114"/>
      <c r="X359" s="8"/>
      <c r="Z359" s="8"/>
      <c r="AA359" s="8"/>
      <c r="AB359" s="8"/>
      <c r="AC359" s="8"/>
      <c r="AD359" s="8"/>
      <c r="AI359" s="8"/>
      <c r="AJ359" s="8"/>
      <c r="AK359" s="8"/>
      <c r="AO359" s="8"/>
      <c r="AP359" s="8"/>
    </row>
    <row r="360" spans="2:42">
      <c r="B360" s="114"/>
      <c r="C360" s="8"/>
      <c r="D360" s="8"/>
      <c r="E360" s="8"/>
      <c r="H360" s="8"/>
      <c r="J360" s="124"/>
      <c r="K360" s="114"/>
      <c r="L360" s="8"/>
      <c r="M360" s="123"/>
      <c r="O360" s="121"/>
      <c r="P360" s="8"/>
      <c r="Q360" s="8"/>
      <c r="R360" s="114"/>
      <c r="S360" s="114"/>
      <c r="T360" s="114"/>
      <c r="W360" s="114"/>
      <c r="X360" s="8"/>
      <c r="Z360" s="8"/>
      <c r="AA360" s="8"/>
      <c r="AB360" s="8"/>
      <c r="AC360" s="8"/>
      <c r="AD360" s="8"/>
      <c r="AI360" s="8"/>
      <c r="AJ360" s="8"/>
      <c r="AK360" s="8"/>
      <c r="AO360" s="8"/>
      <c r="AP360" s="8"/>
    </row>
    <row r="361" spans="2:42">
      <c r="B361" s="114"/>
      <c r="C361" s="8"/>
      <c r="D361" s="8"/>
      <c r="E361" s="8"/>
      <c r="H361" s="8"/>
      <c r="J361" s="124"/>
      <c r="K361" s="114"/>
      <c r="L361" s="8"/>
      <c r="M361" s="123"/>
      <c r="O361" s="121"/>
      <c r="P361" s="8"/>
      <c r="Q361" s="8"/>
      <c r="R361" s="114"/>
      <c r="S361" s="114"/>
      <c r="T361" s="114"/>
      <c r="W361" s="114"/>
      <c r="X361" s="8"/>
      <c r="Z361" s="8"/>
      <c r="AA361" s="8"/>
      <c r="AB361" s="8"/>
      <c r="AC361" s="8"/>
      <c r="AD361" s="8"/>
      <c r="AI361" s="8"/>
      <c r="AJ361" s="8"/>
      <c r="AK361" s="8"/>
      <c r="AO361" s="8"/>
      <c r="AP361" s="8"/>
    </row>
    <row r="362" spans="2:42">
      <c r="B362" s="114"/>
      <c r="C362" s="8"/>
      <c r="D362" s="8"/>
      <c r="E362" s="8"/>
      <c r="H362" s="8"/>
      <c r="J362" s="124"/>
      <c r="K362" s="114"/>
      <c r="L362" s="8"/>
      <c r="M362" s="123"/>
      <c r="O362" s="121"/>
      <c r="P362" s="8"/>
      <c r="Q362" s="8"/>
      <c r="R362" s="114"/>
      <c r="S362" s="114"/>
      <c r="T362" s="114"/>
      <c r="W362" s="114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14"/>
      <c r="C363" s="8"/>
      <c r="D363" s="8"/>
      <c r="E363" s="8"/>
      <c r="H363" s="8"/>
      <c r="J363" s="124"/>
      <c r="K363" s="114"/>
      <c r="L363" s="8"/>
      <c r="M363" s="123"/>
      <c r="O363" s="121"/>
      <c r="P363" s="8"/>
      <c r="Q363" s="8"/>
      <c r="R363" s="114"/>
      <c r="S363" s="114"/>
      <c r="T363" s="114"/>
      <c r="W363" s="114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4"/>
      <c r="C364" s="8"/>
      <c r="D364" s="8"/>
      <c r="E364" s="8"/>
      <c r="H364" s="8"/>
      <c r="J364" s="124"/>
      <c r="K364" s="114"/>
      <c r="L364" s="8"/>
      <c r="M364" s="123"/>
      <c r="O364" s="121"/>
      <c r="P364" s="8"/>
      <c r="Q364" s="8"/>
      <c r="R364" s="114"/>
      <c r="S364" s="114"/>
      <c r="T364" s="114"/>
      <c r="W364" s="114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4"/>
      <c r="C365" s="8"/>
      <c r="D365" s="8"/>
      <c r="E365" s="8"/>
      <c r="H365" s="8"/>
      <c r="J365" s="124"/>
      <c r="K365" s="114"/>
      <c r="L365" s="8"/>
      <c r="M365" s="123"/>
      <c r="O365" s="121"/>
      <c r="P365" s="8"/>
      <c r="Q365" s="8"/>
      <c r="R365" s="114"/>
      <c r="S365" s="114"/>
      <c r="T365" s="114"/>
      <c r="W365" s="114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4"/>
      <c r="C366" s="8"/>
      <c r="D366" s="8"/>
      <c r="E366" s="8"/>
      <c r="H366" s="8"/>
      <c r="J366" s="124"/>
      <c r="K366" s="114"/>
      <c r="L366" s="8"/>
      <c r="M366" s="123"/>
      <c r="O366" s="121"/>
      <c r="P366" s="8"/>
      <c r="Q366" s="8"/>
      <c r="R366" s="114"/>
      <c r="S366" s="114"/>
      <c r="T366" s="114"/>
      <c r="W366" s="114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4"/>
      <c r="C367" s="8"/>
      <c r="D367" s="8"/>
      <c r="E367" s="8"/>
      <c r="H367" s="8"/>
      <c r="J367" s="124"/>
      <c r="K367" s="114"/>
      <c r="L367" s="8"/>
      <c r="M367" s="123"/>
      <c r="O367" s="121"/>
      <c r="P367" s="8"/>
      <c r="Q367" s="8"/>
      <c r="R367" s="114"/>
      <c r="S367" s="114"/>
      <c r="T367" s="114"/>
      <c r="W367" s="114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4"/>
      <c r="C368" s="8"/>
      <c r="D368" s="8"/>
      <c r="E368" s="8"/>
      <c r="H368" s="8"/>
      <c r="J368" s="124"/>
      <c r="K368" s="114"/>
      <c r="L368" s="8"/>
      <c r="M368" s="123"/>
      <c r="O368" s="121"/>
      <c r="P368" s="8"/>
      <c r="Q368" s="8"/>
      <c r="R368" s="114"/>
      <c r="S368" s="114"/>
      <c r="T368" s="114"/>
      <c r="W368" s="114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4"/>
      <c r="C369" s="8"/>
      <c r="D369" s="8"/>
      <c r="E369" s="8"/>
      <c r="H369" s="8"/>
      <c r="J369" s="124"/>
      <c r="K369" s="114"/>
      <c r="L369" s="8"/>
      <c r="M369" s="123"/>
      <c r="O369" s="121"/>
      <c r="P369" s="8"/>
      <c r="Q369" s="8"/>
      <c r="R369" s="8"/>
      <c r="S369" s="8"/>
      <c r="T369" s="8"/>
      <c r="W369" s="114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4"/>
      <c r="C370" s="8"/>
      <c r="D370" s="8"/>
      <c r="E370" s="8"/>
      <c r="H370" s="8"/>
      <c r="J370" s="124"/>
      <c r="K370" s="114"/>
      <c r="L370" s="8"/>
      <c r="M370" s="123"/>
      <c r="O370" s="121"/>
      <c r="P370" s="8"/>
      <c r="Q370" s="8"/>
      <c r="R370" s="8"/>
      <c r="S370" s="8"/>
      <c r="T370" s="8"/>
      <c r="W370" s="114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="115" customFormat="1" spans="5:28">
      <c r="E371" s="8"/>
      <c r="H371" s="8"/>
      <c r="J371" s="120"/>
      <c r="AB371" s="8"/>
    </row>
    <row r="372" s="115" customFormat="1" spans="5:28">
      <c r="E372" s="8"/>
      <c r="H372" s="8"/>
      <c r="J372" s="120"/>
      <c r="AB372" s="8"/>
    </row>
    <row r="373" s="115" customFormat="1" spans="5:28">
      <c r="E373" s="8"/>
      <c r="H373" s="8"/>
      <c r="J373" s="120"/>
      <c r="AB373" s="8"/>
    </row>
    <row r="374" s="115" customFormat="1" spans="5:28">
      <c r="E374" s="8"/>
      <c r="H374" s="8"/>
      <c r="J374" s="120"/>
      <c r="AB374" s="8"/>
    </row>
    <row r="375" s="115" customFormat="1" spans="5:28">
      <c r="E375" s="8"/>
      <c r="H375" s="8"/>
      <c r="J375" s="120"/>
      <c r="AB375" s="8"/>
    </row>
    <row r="376" s="115" customFormat="1" spans="5:28">
      <c r="E376" s="8"/>
      <c r="H376" s="8"/>
      <c r="J376" s="120"/>
      <c r="AB376" s="8"/>
    </row>
    <row r="377" s="115" customFormat="1" spans="5:28">
      <c r="E377" s="8"/>
      <c r="H377" s="8"/>
      <c r="J377" s="120"/>
      <c r="AB377" s="8"/>
    </row>
    <row r="378" s="115" customFormat="1" spans="5:28">
      <c r="E378" s="8"/>
      <c r="H378" s="8"/>
      <c r="J378" s="120"/>
      <c r="AB378" s="8"/>
    </row>
    <row r="379" s="115" customFormat="1" spans="5:28">
      <c r="E379" s="8"/>
      <c r="H379" s="8"/>
      <c r="J379" s="120"/>
      <c r="AB379" s="8"/>
    </row>
    <row r="380" s="115" customFormat="1" spans="5:28">
      <c r="E380" s="8"/>
      <c r="H380" s="8"/>
      <c r="J380" s="120"/>
      <c r="AB380" s="8"/>
    </row>
    <row r="381" s="115" customFormat="1" spans="5:28">
      <c r="E381" s="8"/>
      <c r="H381" s="8"/>
      <c r="J381" s="120"/>
      <c r="AB381" s="8"/>
    </row>
    <row r="382" s="115" customFormat="1" spans="5:28">
      <c r="E382" s="8"/>
      <c r="H382" s="8"/>
      <c r="J382" s="120"/>
      <c r="AB382" s="8"/>
    </row>
    <row r="383" s="115" customFormat="1" spans="5:28">
      <c r="E383" s="8"/>
      <c r="H383" s="8"/>
      <c r="J383" s="120"/>
      <c r="AB383" s="8"/>
    </row>
    <row r="384" s="115" customFormat="1" spans="5:28">
      <c r="E384" s="8"/>
      <c r="H384" s="8"/>
      <c r="J384" s="120"/>
      <c r="AB384" s="8"/>
    </row>
    <row r="385" s="115" customFormat="1" spans="5:28">
      <c r="E385" s="8"/>
      <c r="H385" s="8"/>
      <c r="J385" s="120"/>
      <c r="AB385" s="8"/>
    </row>
    <row r="386" s="115" customFormat="1" spans="5:28">
      <c r="E386" s="8"/>
      <c r="H386" s="8"/>
      <c r="J386" s="120"/>
      <c r="AB386" s="8"/>
    </row>
    <row r="387" s="115" customFormat="1" spans="5:28">
      <c r="E387" s="8"/>
      <c r="H387" s="8"/>
      <c r="J387" s="120"/>
      <c r="AB387" s="8"/>
    </row>
    <row r="388" s="115" customFormat="1" spans="5:28">
      <c r="E388" s="8"/>
      <c r="H388" s="8"/>
      <c r="J388" s="120"/>
      <c r="AB388" s="8"/>
    </row>
    <row r="389" spans="2:42">
      <c r="B389" s="114"/>
      <c r="C389" s="8"/>
      <c r="D389" s="8"/>
      <c r="E389" s="8"/>
      <c r="H389" s="8"/>
      <c r="J389" s="120"/>
      <c r="K389" s="8"/>
      <c r="L389" s="8"/>
      <c r="O389" s="121"/>
      <c r="P389" s="8"/>
      <c r="Q389" s="8"/>
      <c r="W389" s="8"/>
      <c r="X389" s="8"/>
      <c r="Z389" s="8"/>
      <c r="AA389" s="8"/>
      <c r="AC389" s="8"/>
      <c r="AD389" s="8"/>
      <c r="AI389" s="8"/>
      <c r="AJ389" s="8"/>
      <c r="AK389" s="8"/>
      <c r="AO389" s="8"/>
      <c r="AP389" s="8"/>
    </row>
    <row r="390" spans="2:42">
      <c r="B390" s="114"/>
      <c r="C390" s="8"/>
      <c r="D390" s="8"/>
      <c r="E390" s="8"/>
      <c r="H390" s="8"/>
      <c r="I390" s="115"/>
      <c r="J390" s="120"/>
      <c r="K390" s="8"/>
      <c r="L390" s="8"/>
      <c r="M390" s="115"/>
      <c r="O390" s="121"/>
      <c r="P390" s="8"/>
      <c r="Q390" s="8"/>
      <c r="W390" s="8"/>
      <c r="X390" s="8"/>
      <c r="Z390" s="8"/>
      <c r="AA390" s="8"/>
      <c r="AC390" s="8"/>
      <c r="AD390" s="8"/>
      <c r="AI390" s="8"/>
      <c r="AJ390" s="8"/>
      <c r="AK390" s="8"/>
      <c r="AO390" s="8"/>
      <c r="AP390" s="8"/>
    </row>
    <row r="391" spans="2:42">
      <c r="B391" s="114"/>
      <c r="C391" s="8"/>
      <c r="D391" s="8"/>
      <c r="E391" s="8"/>
      <c r="H391" s="8"/>
      <c r="I391" s="115"/>
      <c r="J391" s="120"/>
      <c r="K391" s="8"/>
      <c r="L391" s="8"/>
      <c r="M391" s="115"/>
      <c r="O391" s="121"/>
      <c r="P391" s="8"/>
      <c r="Q391" s="8"/>
      <c r="W391" s="8"/>
      <c r="X391" s="8"/>
      <c r="Z391" s="8"/>
      <c r="AA391" s="8"/>
      <c r="AC391" s="8"/>
      <c r="AD391" s="8"/>
      <c r="AI391" s="8"/>
      <c r="AJ391" s="8"/>
      <c r="AK391" s="8"/>
      <c r="AO391" s="8"/>
      <c r="AP391" s="8"/>
    </row>
    <row r="392" spans="2:42">
      <c r="B392" s="114"/>
      <c r="C392" s="8"/>
      <c r="D392" s="8"/>
      <c r="E392" s="8"/>
      <c r="H392" s="8"/>
      <c r="I392" s="115"/>
      <c r="J392" s="120"/>
      <c r="K392" s="8"/>
      <c r="L392" s="8"/>
      <c r="M392" s="115"/>
      <c r="O392" s="121"/>
      <c r="P392" s="8"/>
      <c r="Q392" s="8"/>
      <c r="W392" s="8"/>
      <c r="X392" s="8"/>
      <c r="Z392" s="8"/>
      <c r="AA392" s="8"/>
      <c r="AC392" s="8"/>
      <c r="AD392" s="8"/>
      <c r="AI392" s="8"/>
      <c r="AJ392" s="8"/>
      <c r="AK392" s="8"/>
      <c r="AO392" s="8"/>
      <c r="AP392" s="8"/>
    </row>
    <row r="393" spans="2:42">
      <c r="B393" s="114"/>
      <c r="C393" s="8"/>
      <c r="D393" s="8"/>
      <c r="E393" s="8"/>
      <c r="H393" s="8"/>
      <c r="I393" s="115"/>
      <c r="J393" s="115"/>
      <c r="K393" s="8"/>
      <c r="L393" s="8"/>
      <c r="M393" s="115"/>
      <c r="O393" s="121"/>
      <c r="P393" s="8"/>
      <c r="Q393" s="8"/>
      <c r="W393" s="8"/>
      <c r="X393" s="8"/>
      <c r="Z393" s="8"/>
      <c r="AA393" s="8"/>
      <c r="AC393" s="8"/>
      <c r="AD393" s="8"/>
      <c r="AI393" s="8"/>
      <c r="AJ393" s="8"/>
      <c r="AK393" s="8"/>
      <c r="AO393" s="8"/>
      <c r="AP393" s="8"/>
    </row>
    <row r="394" spans="2:42">
      <c r="B394" s="114"/>
      <c r="C394" s="8"/>
      <c r="D394" s="8"/>
      <c r="E394" s="8"/>
      <c r="H394" s="8"/>
      <c r="I394" s="115"/>
      <c r="J394" s="115"/>
      <c r="K394" s="8"/>
      <c r="L394" s="8"/>
      <c r="M394" s="115"/>
      <c r="O394" s="121"/>
      <c r="P394" s="8"/>
      <c r="Q394" s="8"/>
      <c r="W394" s="8"/>
      <c r="X394" s="8"/>
      <c r="Z394" s="8"/>
      <c r="AA394" s="8"/>
      <c r="AC394" s="8"/>
      <c r="AD394" s="8"/>
      <c r="AI394" s="8"/>
      <c r="AJ394" s="8"/>
      <c r="AK394" s="8"/>
      <c r="AO394" s="8"/>
      <c r="AP394" s="8"/>
    </row>
    <row r="395" spans="2:42">
      <c r="B395" s="114"/>
      <c r="C395" s="8"/>
      <c r="D395" s="8"/>
      <c r="E395" s="8"/>
      <c r="H395" s="8"/>
      <c r="I395" s="115"/>
      <c r="J395" s="115"/>
      <c r="K395" s="8"/>
      <c r="L395" s="8"/>
      <c r="M395" s="115"/>
      <c r="O395" s="121"/>
      <c r="P395" s="8"/>
      <c r="Q395" s="8"/>
      <c r="W395" s="8"/>
      <c r="X395" s="8"/>
      <c r="Z395" s="8"/>
      <c r="AA395" s="8"/>
      <c r="AC395" s="8"/>
      <c r="AD395" s="8"/>
      <c r="AI395" s="8"/>
      <c r="AJ395" s="8"/>
      <c r="AK395" s="8"/>
      <c r="AO395" s="8"/>
      <c r="AP395" s="8"/>
    </row>
    <row r="396" spans="2:42">
      <c r="B396" s="114"/>
      <c r="C396" s="8"/>
      <c r="D396" s="8"/>
      <c r="E396" s="8"/>
      <c r="H396" s="8"/>
      <c r="I396" s="115"/>
      <c r="J396" s="114"/>
      <c r="K396" s="8"/>
      <c r="L396" s="8"/>
      <c r="M396" s="115"/>
      <c r="O396" s="121"/>
      <c r="P396" s="8"/>
      <c r="Q396" s="8"/>
      <c r="W396" s="8"/>
      <c r="X396" s="8"/>
      <c r="Z396" s="8"/>
      <c r="AA396" s="8"/>
      <c r="AC396" s="8"/>
      <c r="AD396" s="8"/>
      <c r="AI396" s="8"/>
      <c r="AJ396" s="8"/>
      <c r="AK396" s="8"/>
      <c r="AO396" s="8"/>
      <c r="AP396" s="8"/>
    </row>
    <row r="397" spans="2:42">
      <c r="B397" s="114"/>
      <c r="C397" s="8"/>
      <c r="D397" s="8"/>
      <c r="E397" s="8"/>
      <c r="H397" s="8"/>
      <c r="I397" s="115"/>
      <c r="J397" s="114"/>
      <c r="K397" s="8"/>
      <c r="L397" s="8"/>
      <c r="M397" s="115"/>
      <c r="O397" s="121"/>
      <c r="P397" s="8"/>
      <c r="Q397" s="8"/>
      <c r="W397" s="8"/>
      <c r="X397" s="8"/>
      <c r="Z397" s="8"/>
      <c r="AA397" s="8"/>
      <c r="AC397" s="8"/>
      <c r="AD397" s="8"/>
      <c r="AI397" s="8"/>
      <c r="AJ397" s="8"/>
      <c r="AK397" s="8"/>
      <c r="AO397" s="8"/>
      <c r="AP397" s="8"/>
    </row>
    <row r="398" spans="2:42">
      <c r="B398" s="114"/>
      <c r="C398" s="8"/>
      <c r="D398" s="8"/>
      <c r="E398" s="8"/>
      <c r="H398" s="8"/>
      <c r="J398" s="120"/>
      <c r="K398" s="8"/>
      <c r="L398" s="8"/>
      <c r="M398" s="123"/>
      <c r="O398" s="121"/>
      <c r="P398" s="8"/>
      <c r="Q398" s="8"/>
      <c r="W398" s="114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14"/>
      <c r="C399" s="8"/>
      <c r="D399" s="8"/>
      <c r="E399" s="8"/>
      <c r="H399" s="8"/>
      <c r="J399" s="120"/>
      <c r="K399" s="8"/>
      <c r="L399" s="8"/>
      <c r="M399" s="123"/>
      <c r="O399" s="121"/>
      <c r="P399" s="8"/>
      <c r="Q399" s="8"/>
      <c r="W399" s="114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4"/>
      <c r="C400" s="8"/>
      <c r="D400" s="8"/>
      <c r="E400" s="8"/>
      <c r="H400" s="8"/>
      <c r="J400" s="120"/>
      <c r="K400" s="8"/>
      <c r="L400" s="8"/>
      <c r="M400" s="123"/>
      <c r="O400" s="121"/>
      <c r="P400" s="8"/>
      <c r="Q400" s="8"/>
      <c r="W400" s="114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4"/>
      <c r="C401" s="8"/>
      <c r="D401" s="8"/>
      <c r="E401" s="8"/>
      <c r="H401" s="8"/>
      <c r="J401" s="120"/>
      <c r="K401" s="8"/>
      <c r="L401" s="8"/>
      <c r="M401" s="123"/>
      <c r="O401" s="121"/>
      <c r="P401" s="8"/>
      <c r="Q401" s="8"/>
      <c r="W401" s="114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4"/>
      <c r="C402" s="8"/>
      <c r="D402" s="8"/>
      <c r="E402" s="8"/>
      <c r="H402" s="8"/>
      <c r="J402" s="120"/>
      <c r="K402" s="8"/>
      <c r="L402" s="8"/>
      <c r="M402" s="125"/>
      <c r="O402" s="121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4"/>
      <c r="C403" s="8"/>
      <c r="D403" s="8"/>
      <c r="E403" s="8"/>
      <c r="H403" s="8"/>
      <c r="J403" s="120"/>
      <c r="K403" s="8"/>
      <c r="L403" s="8"/>
      <c r="M403" s="125"/>
      <c r="O403" s="121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4"/>
      <c r="C404" s="8"/>
      <c r="D404" s="8"/>
      <c r="E404" s="8"/>
      <c r="H404" s="8"/>
      <c r="J404" s="120"/>
      <c r="K404" s="8"/>
      <c r="L404" s="8"/>
      <c r="M404" s="125"/>
      <c r="O404" s="121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4"/>
      <c r="C405" s="8"/>
      <c r="D405" s="8"/>
      <c r="E405" s="8"/>
      <c r="H405" s="8"/>
      <c r="J405" s="120"/>
      <c r="K405" s="8"/>
      <c r="L405" s="8"/>
      <c r="M405" s="125"/>
      <c r="O405" s="121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4"/>
      <c r="C406" s="8"/>
      <c r="D406" s="8"/>
      <c r="E406" s="8"/>
      <c r="H406" s="8"/>
      <c r="J406" s="120"/>
      <c r="K406" s="8"/>
      <c r="L406" s="8"/>
      <c r="M406" s="125"/>
      <c r="O406" s="121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4"/>
      <c r="C407" s="8"/>
      <c r="D407" s="8"/>
      <c r="E407" s="8"/>
      <c r="H407" s="8"/>
      <c r="J407" s="120"/>
      <c r="K407" s="8"/>
      <c r="L407" s="8"/>
      <c r="M407" s="125"/>
      <c r="O407" s="121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4"/>
      <c r="C408" s="8"/>
      <c r="D408" s="8"/>
      <c r="E408" s="8"/>
      <c r="H408" s="8"/>
      <c r="J408" s="120"/>
      <c r="K408" s="8"/>
      <c r="L408" s="8"/>
      <c r="M408" s="125"/>
      <c r="O408" s="121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4"/>
      <c r="C409" s="8"/>
      <c r="D409" s="8"/>
      <c r="E409" s="8"/>
      <c r="H409" s="8"/>
      <c r="J409" s="120"/>
      <c r="K409" s="8"/>
      <c r="L409" s="8"/>
      <c r="M409" s="125"/>
      <c r="O409" s="121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5"/>
      <c r="C410" s="8"/>
      <c r="D410" s="8"/>
      <c r="E410" s="8"/>
      <c r="H410" s="8"/>
      <c r="J410" s="120"/>
      <c r="K410" s="8"/>
      <c r="L410" s="8"/>
      <c r="M410" s="125"/>
      <c r="O410" s="121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5"/>
      <c r="C411" s="8"/>
      <c r="D411" s="8"/>
      <c r="E411" s="8"/>
      <c r="H411" s="8"/>
      <c r="J411" s="120"/>
      <c r="K411" s="8"/>
      <c r="L411" s="8"/>
      <c r="M411" s="125"/>
      <c r="O411" s="121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5"/>
      <c r="C412" s="8"/>
      <c r="D412" s="8"/>
      <c r="E412" s="8"/>
      <c r="H412" s="8"/>
      <c r="J412" s="120"/>
      <c r="K412" s="8"/>
      <c r="L412" s="8"/>
      <c r="M412" s="125"/>
      <c r="O412" s="121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37">
      <c r="B413" s="114"/>
      <c r="C413" s="8"/>
      <c r="D413" s="8"/>
      <c r="E413" s="8"/>
      <c r="H413" s="8"/>
      <c r="I413" s="115"/>
      <c r="J413" s="120"/>
      <c r="K413" s="8"/>
      <c r="L413" s="8"/>
      <c r="M413" s="123"/>
      <c r="O413" s="121"/>
      <c r="P413" s="8"/>
      <c r="Q413" s="8"/>
      <c r="W413" s="114"/>
      <c r="X413" s="8"/>
      <c r="Z413" s="8"/>
      <c r="AA413" s="8"/>
      <c r="AC413" s="8"/>
      <c r="AD413" s="8"/>
      <c r="AJ413" s="8"/>
      <c r="AK413" s="8"/>
    </row>
    <row r="414" spans="2:37">
      <c r="B414" s="114"/>
      <c r="C414" s="8"/>
      <c r="D414" s="8"/>
      <c r="E414" s="8"/>
      <c r="H414" s="8"/>
      <c r="J414" s="120"/>
      <c r="K414" s="8"/>
      <c r="L414" s="8"/>
      <c r="M414" s="123"/>
      <c r="O414" s="121"/>
      <c r="P414" s="8"/>
      <c r="Q414" s="8"/>
      <c r="W414" s="114"/>
      <c r="X414" s="8"/>
      <c r="Z414" s="8"/>
      <c r="AA414" s="8"/>
      <c r="AC414" s="8"/>
      <c r="AD414" s="8"/>
      <c r="AJ414" s="8"/>
      <c r="AK414" s="8"/>
    </row>
    <row r="415" spans="2:37">
      <c r="B415" s="114"/>
      <c r="C415" s="8"/>
      <c r="D415" s="8"/>
      <c r="E415" s="8"/>
      <c r="H415" s="8"/>
      <c r="J415" s="120"/>
      <c r="K415" s="8"/>
      <c r="L415" s="8"/>
      <c r="M415" s="123"/>
      <c r="O415" s="121"/>
      <c r="P415" s="8"/>
      <c r="Q415" s="8"/>
      <c r="W415" s="114"/>
      <c r="X415" s="8"/>
      <c r="Z415" s="8"/>
      <c r="AA415" s="8"/>
      <c r="AC415" s="8"/>
      <c r="AD415" s="8"/>
      <c r="AJ415" s="8"/>
      <c r="AK415" s="8"/>
    </row>
    <row r="416" spans="2:37">
      <c r="B416" s="114"/>
      <c r="C416" s="8"/>
      <c r="D416" s="8"/>
      <c r="E416" s="8"/>
      <c r="H416" s="8"/>
      <c r="J416" s="120"/>
      <c r="K416" s="8"/>
      <c r="L416" s="8"/>
      <c r="M416" s="123"/>
      <c r="O416" s="121"/>
      <c r="P416" s="8"/>
      <c r="Q416" s="8"/>
      <c r="W416" s="114"/>
      <c r="X416" s="8"/>
      <c r="Z416" s="8"/>
      <c r="AA416" s="8"/>
      <c r="AC416" s="8"/>
      <c r="AD416" s="8"/>
      <c r="AJ416" s="8"/>
      <c r="AK416" s="8"/>
    </row>
    <row r="417" spans="2:42">
      <c r="B417" s="114"/>
      <c r="C417" s="8"/>
      <c r="D417" s="8"/>
      <c r="E417" s="8"/>
      <c r="H417" s="8"/>
      <c r="J417" s="120"/>
      <c r="K417" s="8"/>
      <c r="L417" s="8"/>
      <c r="P417" s="8"/>
      <c r="Q417" s="8"/>
      <c r="W417" s="114"/>
      <c r="X417" s="8"/>
      <c r="Z417" s="8"/>
      <c r="AA417" s="8"/>
      <c r="AC417" s="8"/>
      <c r="AD417" s="8"/>
      <c r="AJ417" s="8"/>
      <c r="AK417" s="8"/>
      <c r="AO417" s="8"/>
      <c r="AP417" s="8"/>
    </row>
    <row r="418" spans="2:42">
      <c r="B418" s="114"/>
      <c r="C418" s="8"/>
      <c r="D418" s="8"/>
      <c r="E418" s="8"/>
      <c r="H418" s="8"/>
      <c r="J418" s="120"/>
      <c r="K418" s="8"/>
      <c r="L418" s="8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4"/>
      <c r="C419" s="8"/>
      <c r="D419" s="8"/>
      <c r="E419" s="8"/>
      <c r="H419" s="8"/>
      <c r="J419" s="120"/>
      <c r="K419" s="8"/>
      <c r="L419" s="8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4"/>
      <c r="C420" s="8"/>
      <c r="D420" s="8"/>
      <c r="E420" s="8"/>
      <c r="H420" s="8"/>
      <c r="J420" s="120"/>
      <c r="K420" s="8"/>
      <c r="L420" s="8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4"/>
      <c r="C421" s="8"/>
      <c r="D421" s="8"/>
      <c r="E421" s="8"/>
      <c r="H421" s="8"/>
      <c r="J421" s="120"/>
      <c r="K421" s="8"/>
      <c r="L421" s="8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4"/>
      <c r="C422" s="8"/>
      <c r="D422" s="8"/>
      <c r="E422" s="8"/>
      <c r="H422" s="8"/>
      <c r="J422" s="120"/>
      <c r="K422" s="8"/>
      <c r="L422" s="8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4"/>
      <c r="C423" s="8"/>
      <c r="D423" s="8"/>
      <c r="E423" s="8"/>
      <c r="H423" s="8"/>
      <c r="J423" s="120"/>
      <c r="K423" s="8"/>
      <c r="L423" s="8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14"/>
      <c r="C424" s="8"/>
      <c r="D424" s="8"/>
      <c r="E424" s="8"/>
      <c r="H424" s="8"/>
      <c r="J424" s="120"/>
      <c r="K424" s="8"/>
      <c r="L424" s="8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14"/>
      <c r="C425" s="8"/>
      <c r="D425" s="8"/>
      <c r="E425" s="8"/>
      <c r="H425" s="8"/>
      <c r="J425" s="120"/>
      <c r="K425" s="8"/>
      <c r="L425" s="8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14"/>
      <c r="C426" s="8"/>
      <c r="D426" s="8"/>
      <c r="E426" s="8"/>
      <c r="H426" s="8"/>
      <c r="J426" s="120"/>
      <c r="K426" s="8"/>
      <c r="L426" s="8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14"/>
      <c r="C427" s="8"/>
      <c r="D427" s="8"/>
      <c r="E427" s="8"/>
      <c r="H427" s="8"/>
      <c r="J427" s="120"/>
      <c r="K427" s="8"/>
      <c r="L427" s="8"/>
      <c r="O427" s="121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14"/>
      <c r="C428" s="8"/>
      <c r="D428" s="8"/>
      <c r="E428" s="8"/>
      <c r="H428" s="8"/>
      <c r="J428" s="120"/>
      <c r="K428" s="8"/>
      <c r="L428" s="8"/>
      <c r="O428" s="121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4"/>
      <c r="C429" s="8"/>
      <c r="D429" s="8"/>
      <c r="E429" s="8"/>
      <c r="H429" s="8"/>
      <c r="J429" s="120"/>
      <c r="K429" s="8"/>
      <c r="L429" s="8"/>
      <c r="O429" s="121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4"/>
      <c r="C430" s="8"/>
      <c r="D430" s="8"/>
      <c r="E430" s="8"/>
      <c r="H430" s="8"/>
      <c r="J430" s="120"/>
      <c r="K430" s="8"/>
      <c r="L430" s="8"/>
      <c r="M430"/>
      <c r="O430" s="121"/>
      <c r="P430" s="8"/>
      <c r="Q430" s="8"/>
      <c r="W430" s="8"/>
      <c r="X430" s="8"/>
      <c r="Z430" s="8"/>
      <c r="AA430" s="8"/>
      <c r="AB430" s="8"/>
      <c r="AC430" s="8"/>
      <c r="AD430" s="8"/>
      <c r="AI430" s="8"/>
      <c r="AJ430" s="8"/>
      <c r="AK430" s="8"/>
      <c r="AO430" s="8"/>
      <c r="AP430" s="8"/>
    </row>
    <row r="431" spans="2:42">
      <c r="B431" s="114"/>
      <c r="C431" s="8"/>
      <c r="D431" s="8"/>
      <c r="E431" s="8"/>
      <c r="H431" s="8"/>
      <c r="J431" s="120"/>
      <c r="K431" s="8"/>
      <c r="L431" s="8"/>
      <c r="M431"/>
      <c r="O431" s="121"/>
      <c r="P431" s="8"/>
      <c r="Q431" s="8"/>
      <c r="W431" s="8"/>
      <c r="X431" s="8"/>
      <c r="Z431" s="8"/>
      <c r="AA431" s="8"/>
      <c r="AB431" s="8"/>
      <c r="AC431" s="8"/>
      <c r="AD431" s="8"/>
      <c r="AI431" s="8"/>
      <c r="AJ431" s="8"/>
      <c r="AK431" s="8"/>
      <c r="AO431" s="8"/>
      <c r="AP431" s="8"/>
    </row>
    <row r="432" spans="2:42">
      <c r="B432" s="114"/>
      <c r="C432" s="8"/>
      <c r="D432" s="8"/>
      <c r="E432" s="8"/>
      <c r="H432" s="8"/>
      <c r="J432" s="120"/>
      <c r="K432" s="8"/>
      <c r="L432" s="8"/>
      <c r="M432"/>
      <c r="O432" s="121"/>
      <c r="P432" s="8"/>
      <c r="Q432" s="8"/>
      <c r="W432" s="8"/>
      <c r="X432" s="8"/>
      <c r="Z432" s="8"/>
      <c r="AA432" s="8"/>
      <c r="AB432" s="8"/>
      <c r="AC432" s="8"/>
      <c r="AD432" s="8"/>
      <c r="AI432" s="8"/>
      <c r="AJ432" s="8"/>
      <c r="AK432" s="8"/>
      <c r="AO432" s="8"/>
      <c r="AP432" s="8"/>
    </row>
    <row r="433" spans="2:42">
      <c r="B433" s="114"/>
      <c r="C433" s="8"/>
      <c r="D433" s="8"/>
      <c r="E433" s="8"/>
      <c r="H433" s="8"/>
      <c r="J433" s="120"/>
      <c r="K433" s="8"/>
      <c r="L433" s="8"/>
      <c r="M433"/>
      <c r="O433" s="121"/>
      <c r="P433" s="8"/>
      <c r="Q433" s="8"/>
      <c r="W433" s="8"/>
      <c r="X433" s="8"/>
      <c r="Z433" s="8"/>
      <c r="AA433" s="8"/>
      <c r="AB433" s="8"/>
      <c r="AC433" s="8"/>
      <c r="AD433" s="8"/>
      <c r="AI433" s="8"/>
      <c r="AJ433" s="8"/>
      <c r="AK433" s="8"/>
      <c r="AO433" s="8"/>
      <c r="AP433" s="8"/>
    </row>
    <row r="434" spans="2:42">
      <c r="B434" s="114"/>
      <c r="C434" s="8"/>
      <c r="D434" s="8"/>
      <c r="E434" s="8"/>
      <c r="H434" s="8"/>
      <c r="J434" s="120"/>
      <c r="K434" s="8"/>
      <c r="L434" s="8"/>
      <c r="M434"/>
      <c r="O434" s="121"/>
      <c r="P434" s="8"/>
      <c r="Q434" s="8"/>
      <c r="W434" s="8"/>
      <c r="X434" s="8"/>
      <c r="Z434" s="8"/>
      <c r="AA434" s="8"/>
      <c r="AB434" s="8"/>
      <c r="AC434" s="8"/>
      <c r="AD434" s="8"/>
      <c r="AI434" s="8"/>
      <c r="AJ434" s="8"/>
      <c r="AK434" s="8"/>
      <c r="AO434" s="8"/>
      <c r="AP434" s="8"/>
    </row>
    <row r="435" spans="2:42">
      <c r="B435" s="114"/>
      <c r="C435" s="8"/>
      <c r="D435" s="8"/>
      <c r="E435" s="8"/>
      <c r="H435" s="8"/>
      <c r="J435" s="120"/>
      <c r="K435" s="8"/>
      <c r="L435" s="8"/>
      <c r="M435"/>
      <c r="O435" s="121"/>
      <c r="P435" s="8"/>
      <c r="Q435" s="8"/>
      <c r="W435" s="8"/>
      <c r="X435" s="8"/>
      <c r="Z435" s="8"/>
      <c r="AA435" s="8"/>
      <c r="AB435" s="8"/>
      <c r="AC435" s="8"/>
      <c r="AD435" s="8"/>
      <c r="AI435" s="8"/>
      <c r="AJ435" s="8"/>
      <c r="AK435" s="8"/>
      <c r="AO435" s="8"/>
      <c r="AP435" s="8"/>
    </row>
    <row r="436" spans="2:42">
      <c r="B436" s="114"/>
      <c r="C436" s="8"/>
      <c r="D436" s="8"/>
      <c r="E436" s="8"/>
      <c r="H436" s="8"/>
      <c r="J436" s="120"/>
      <c r="K436" s="8"/>
      <c r="L436" s="8"/>
      <c r="M436"/>
      <c r="O436" s="121"/>
      <c r="P436" s="8"/>
      <c r="Q436" s="8"/>
      <c r="W436" s="8"/>
      <c r="X436" s="8"/>
      <c r="Z436" s="8"/>
      <c r="AA436" s="8"/>
      <c r="AB436" s="8"/>
      <c r="AC436" s="8"/>
      <c r="AD436" s="8"/>
      <c r="AI436" s="8"/>
      <c r="AJ436" s="8"/>
      <c r="AK436" s="8"/>
      <c r="AO436" s="8"/>
      <c r="AP436" s="8"/>
    </row>
    <row r="437" spans="2:42">
      <c r="B437" s="114"/>
      <c r="C437" s="8"/>
      <c r="D437" s="8"/>
      <c r="E437" s="8"/>
      <c r="H437" s="8"/>
      <c r="J437" s="120"/>
      <c r="K437" s="8"/>
      <c r="L437" s="8"/>
      <c r="M437"/>
      <c r="O437" s="121"/>
      <c r="P437" s="8"/>
      <c r="Q437" s="8"/>
      <c r="W437" s="8"/>
      <c r="X437" s="8"/>
      <c r="Z437" s="8"/>
      <c r="AA437" s="8"/>
      <c r="AB437" s="8"/>
      <c r="AC437" s="8"/>
      <c r="AD437" s="8"/>
      <c r="AI437" s="8"/>
      <c r="AJ437" s="8"/>
      <c r="AK437" s="8"/>
      <c r="AO437" s="8"/>
      <c r="AP437" s="8"/>
    </row>
    <row r="438" spans="2:42">
      <c r="B438" s="114"/>
      <c r="C438" s="8"/>
      <c r="D438" s="8"/>
      <c r="E438" s="8"/>
      <c r="H438" s="8"/>
      <c r="J438" s="120"/>
      <c r="K438" s="8"/>
      <c r="L438" s="8"/>
      <c r="M438"/>
      <c r="O438" s="121"/>
      <c r="P438" s="8"/>
      <c r="Q438" s="8"/>
      <c r="W438" s="8"/>
      <c r="X438" s="8"/>
      <c r="Z438" s="8"/>
      <c r="AA438" s="8"/>
      <c r="AB438" s="8"/>
      <c r="AC438" s="8"/>
      <c r="AD438" s="8"/>
      <c r="AI438" s="8"/>
      <c r="AJ438" s="8"/>
      <c r="AK438" s="8"/>
      <c r="AO438" s="8"/>
      <c r="AP438" s="8"/>
    </row>
    <row r="439" spans="2:42">
      <c r="B439" s="114"/>
      <c r="C439" s="8"/>
      <c r="D439" s="8"/>
      <c r="E439" s="8"/>
      <c r="H439" s="8"/>
      <c r="J439" s="120"/>
      <c r="K439" s="8"/>
      <c r="L439" s="8"/>
      <c r="M439"/>
      <c r="O439" s="121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14"/>
      <c r="C440" s="8"/>
      <c r="D440" s="8"/>
      <c r="E440" s="8"/>
      <c r="H440" s="8"/>
      <c r="J440" s="120"/>
      <c r="K440" s="8"/>
      <c r="L440" s="8"/>
      <c r="M440"/>
      <c r="O440" s="121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4"/>
      <c r="C441" s="8"/>
      <c r="D441" s="8"/>
      <c r="E441" s="8"/>
      <c r="H441" s="8"/>
      <c r="J441" s="120"/>
      <c r="K441" s="8"/>
      <c r="L441" s="8"/>
      <c r="M441"/>
      <c r="O441" s="121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4"/>
      <c r="C442" s="8"/>
      <c r="D442" s="8"/>
      <c r="E442" s="8"/>
      <c r="H442" s="8"/>
      <c r="J442" s="120"/>
      <c r="K442" s="8"/>
      <c r="L442" s="8"/>
      <c r="M442"/>
      <c r="O442" s="121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4"/>
      <c r="C443" s="8"/>
      <c r="D443" s="8"/>
      <c r="E443" s="8"/>
      <c r="H443" s="8"/>
      <c r="J443" s="120"/>
      <c r="K443" s="8"/>
      <c r="L443" s="8"/>
      <c r="M443"/>
      <c r="O443" s="121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4"/>
      <c r="C444" s="8"/>
      <c r="D444" s="8"/>
      <c r="E444" s="8"/>
      <c r="H444" s="8"/>
      <c r="J444" s="120"/>
      <c r="K444" s="8"/>
      <c r="L444" s="8"/>
      <c r="M444"/>
      <c r="O444" s="121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4"/>
      <c r="C445" s="8"/>
      <c r="D445" s="8"/>
      <c r="E445" s="8"/>
      <c r="H445" s="8"/>
      <c r="J445" s="120"/>
      <c r="K445" s="8"/>
      <c r="L445" s="8"/>
      <c r="M445"/>
      <c r="O445" s="121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4"/>
      <c r="C446" s="8"/>
      <c r="D446" s="8"/>
      <c r="E446" s="8"/>
      <c r="H446" s="8"/>
      <c r="J446" s="120"/>
      <c r="K446" s="8"/>
      <c r="L446" s="8"/>
      <c r="M446"/>
      <c r="O446" s="121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4"/>
      <c r="C447" s="8"/>
      <c r="D447" s="8"/>
      <c r="E447" s="8"/>
      <c r="H447" s="8"/>
      <c r="J447" s="120"/>
      <c r="K447" s="8"/>
      <c r="L447" s="8"/>
      <c r="M447"/>
      <c r="O447" s="121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4"/>
      <c r="C448" s="8"/>
      <c r="D448" s="8"/>
      <c r="E448" s="8"/>
      <c r="H448" s="8"/>
      <c r="J448" s="120"/>
      <c r="K448" s="8"/>
      <c r="L448" s="8"/>
      <c r="M448"/>
      <c r="O448" s="121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4"/>
      <c r="C449" s="8"/>
      <c r="D449" s="8"/>
      <c r="E449" s="8"/>
      <c r="H449" s="8"/>
      <c r="J449" s="120"/>
      <c r="K449" s="8"/>
      <c r="L449" s="8"/>
      <c r="M449"/>
      <c r="O449" s="121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4"/>
      <c r="C450" s="8"/>
      <c r="D450" s="8"/>
      <c r="E450" s="8"/>
      <c r="H450" s="8"/>
      <c r="J450" s="120"/>
      <c r="K450" s="8"/>
      <c r="L450" s="8"/>
      <c r="M450"/>
      <c r="O450" s="121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4"/>
      <c r="C451" s="8"/>
      <c r="D451" s="8"/>
      <c r="E451" s="8"/>
      <c r="H451" s="8"/>
      <c r="J451" s="120"/>
      <c r="K451" s="8"/>
      <c r="L451" s="8"/>
      <c r="M451"/>
      <c r="O451" s="121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4"/>
      <c r="C452" s="8"/>
      <c r="D452" s="8"/>
      <c r="E452" s="8"/>
      <c r="H452" s="8"/>
      <c r="J452" s="120"/>
      <c r="K452" s="8"/>
      <c r="L452" s="8"/>
      <c r="M452"/>
      <c r="O452" s="121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4"/>
      <c r="C453" s="8"/>
      <c r="D453" s="8"/>
      <c r="E453" s="8"/>
      <c r="H453" s="8"/>
      <c r="J453" s="120"/>
      <c r="K453" s="8"/>
      <c r="L453" s="8"/>
      <c r="M453"/>
      <c r="O453" s="121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4"/>
      <c r="C454" s="8"/>
      <c r="D454" s="8"/>
      <c r="E454" s="8"/>
      <c r="H454" s="8"/>
      <c r="J454" s="120"/>
      <c r="K454" s="8"/>
      <c r="M454" s="128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4"/>
      <c r="C455" s="8"/>
      <c r="D455" s="8"/>
      <c r="E455" s="8"/>
      <c r="H455" s="8"/>
      <c r="J455" s="120"/>
      <c r="K455" s="8"/>
      <c r="M455" s="128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4"/>
      <c r="C456" s="8"/>
      <c r="D456" s="8"/>
      <c r="E456" s="8"/>
      <c r="H456" s="8"/>
      <c r="J456" s="120"/>
      <c r="K456" s="8"/>
      <c r="M456" s="128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4"/>
      <c r="C457" s="8"/>
      <c r="D457" s="8"/>
      <c r="E457" s="8"/>
      <c r="H457" s="8"/>
      <c r="J457" s="120"/>
      <c r="K457" s="8"/>
      <c r="M457" s="128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4"/>
      <c r="C458" s="8"/>
      <c r="D458" s="8"/>
      <c r="E458" s="8"/>
      <c r="H458" s="8"/>
      <c r="J458" s="120"/>
      <c r="K458" s="8"/>
      <c r="M458" s="128"/>
      <c r="P458" s="8"/>
      <c r="Q458" s="8"/>
      <c r="W458" s="114"/>
      <c r="X458" s="8"/>
      <c r="Z458" s="8"/>
      <c r="AA458" s="8"/>
      <c r="AC458" s="8"/>
      <c r="AD458" s="8"/>
      <c r="AI458" s="8"/>
      <c r="AJ458" s="8"/>
      <c r="AK458" s="8"/>
      <c r="AO458" s="8"/>
      <c r="AP458" s="8"/>
    </row>
    <row r="459" spans="2:42">
      <c r="B459" s="114"/>
      <c r="C459" s="8"/>
      <c r="D459" s="8"/>
      <c r="E459" s="8"/>
      <c r="H459" s="8"/>
      <c r="J459" s="120"/>
      <c r="K459" s="8"/>
      <c r="M459" s="128"/>
      <c r="P459" s="8"/>
      <c r="Q459" s="8"/>
      <c r="W459" s="114"/>
      <c r="X459" s="8"/>
      <c r="Z459" s="8"/>
      <c r="AA459" s="8"/>
      <c r="AC459" s="8"/>
      <c r="AD459" s="8"/>
      <c r="AI459" s="8"/>
      <c r="AJ459" s="8"/>
      <c r="AK459" s="8"/>
      <c r="AO459" s="8"/>
      <c r="AP459" s="8"/>
    </row>
    <row r="460" spans="2:42">
      <c r="B460" s="114"/>
      <c r="C460" s="8"/>
      <c r="D460" s="8"/>
      <c r="E460" s="8"/>
      <c r="H460" s="8"/>
      <c r="J460" s="120"/>
      <c r="K460" s="8"/>
      <c r="M460" s="128"/>
      <c r="P460" s="8"/>
      <c r="Q460" s="8"/>
      <c r="W460" s="114"/>
      <c r="X460" s="8"/>
      <c r="Z460" s="8"/>
      <c r="AA460" s="8"/>
      <c r="AC460" s="8"/>
      <c r="AD460" s="8"/>
      <c r="AI460" s="8"/>
      <c r="AJ460" s="8"/>
      <c r="AK460" s="8"/>
      <c r="AO460" s="8"/>
      <c r="AP460" s="8"/>
    </row>
    <row r="461" spans="2:42">
      <c r="B461" s="114"/>
      <c r="C461" s="8"/>
      <c r="D461" s="8"/>
      <c r="E461" s="8"/>
      <c r="H461" s="8"/>
      <c r="J461" s="120"/>
      <c r="K461" s="8"/>
      <c r="M461" s="128"/>
      <c r="P461" s="8"/>
      <c r="Q461" s="8"/>
      <c r="W461" s="8"/>
      <c r="X461" s="8"/>
      <c r="Z461" s="8"/>
      <c r="AA461" s="8"/>
      <c r="AC461" s="8"/>
      <c r="AD461" s="8"/>
      <c r="AI461" s="8"/>
      <c r="AJ461" s="8"/>
      <c r="AK461" s="8"/>
      <c r="AO461" s="8"/>
      <c r="AP461" s="8"/>
    </row>
    <row r="462" spans="2:42">
      <c r="B462" s="114"/>
      <c r="C462" s="8"/>
      <c r="D462" s="8"/>
      <c r="E462" s="8"/>
      <c r="H462" s="8"/>
      <c r="J462" s="120"/>
      <c r="K462" s="8"/>
      <c r="M462" s="128"/>
      <c r="P462" s="8"/>
      <c r="Q462" s="8"/>
      <c r="W462" s="8"/>
      <c r="X462" s="8"/>
      <c r="Z462" s="8"/>
      <c r="AA462" s="8"/>
      <c r="AC462" s="8"/>
      <c r="AD462" s="8"/>
      <c r="AI462" s="8"/>
      <c r="AJ462" s="8"/>
      <c r="AK462" s="8"/>
      <c r="AO462" s="8"/>
      <c r="AP462" s="8"/>
    </row>
    <row r="463" spans="2:42">
      <c r="B463" s="114"/>
      <c r="C463" s="8"/>
      <c r="D463" s="8"/>
      <c r="E463" s="8"/>
      <c r="H463" s="8"/>
      <c r="J463" s="120"/>
      <c r="K463" s="8"/>
      <c r="M463" s="128"/>
      <c r="P463" s="8"/>
      <c r="Q463" s="8"/>
      <c r="W463" s="8"/>
      <c r="X463" s="8"/>
      <c r="Z463" s="8"/>
      <c r="AA463" s="8"/>
      <c r="AC463" s="8"/>
      <c r="AD463" s="8"/>
      <c r="AI463" s="8"/>
      <c r="AJ463" s="8"/>
      <c r="AK463" s="8"/>
      <c r="AO463" s="8"/>
      <c r="AP463" s="8"/>
    </row>
    <row r="464" spans="2:42">
      <c r="B464" s="114"/>
      <c r="C464" s="8"/>
      <c r="D464" s="8"/>
      <c r="E464" s="8"/>
      <c r="H464" s="8"/>
      <c r="J464" s="120"/>
      <c r="K464" s="8"/>
      <c r="M464" s="128"/>
      <c r="P464" s="8"/>
      <c r="Q464" s="8"/>
      <c r="W464" s="8"/>
      <c r="X464" s="8"/>
      <c r="Z464" s="8"/>
      <c r="AA464" s="8"/>
      <c r="AC464" s="8"/>
      <c r="AD464" s="8"/>
      <c r="AI464" s="8"/>
      <c r="AJ464" s="8"/>
      <c r="AK464" s="8"/>
      <c r="AO464" s="8"/>
      <c r="AP464" s="8"/>
    </row>
    <row r="465" spans="2:42">
      <c r="B465" s="114"/>
      <c r="C465" s="8"/>
      <c r="D465" s="8"/>
      <c r="E465" s="8"/>
      <c r="H465" s="8"/>
      <c r="J465" s="120"/>
      <c r="K465" s="8"/>
      <c r="M465" s="128"/>
      <c r="P465" s="8"/>
      <c r="Q465" s="8"/>
      <c r="W465" s="8"/>
      <c r="X465" s="8"/>
      <c r="Z465" s="8"/>
      <c r="AA465" s="8"/>
      <c r="AC465" s="8"/>
      <c r="AD465" s="8"/>
      <c r="AI465" s="8"/>
      <c r="AJ465" s="8"/>
      <c r="AK465" s="8"/>
      <c r="AO465" s="8"/>
      <c r="AP465" s="8"/>
    </row>
    <row r="466" spans="2:42">
      <c r="B466" s="114"/>
      <c r="C466" s="8"/>
      <c r="D466" s="8"/>
      <c r="E466" s="8"/>
      <c r="H466" s="8"/>
      <c r="J466" s="120"/>
      <c r="K466" s="8"/>
      <c r="M466" s="128"/>
      <c r="P466" s="8"/>
      <c r="Q466" s="8"/>
      <c r="W466" s="8"/>
      <c r="X466" s="8"/>
      <c r="Z466" s="8"/>
      <c r="AA466" s="8"/>
      <c r="AC466" s="8"/>
      <c r="AD466" s="8"/>
      <c r="AI466" s="8"/>
      <c r="AJ466" s="8"/>
      <c r="AK466" s="8"/>
      <c r="AO466" s="8"/>
      <c r="AP466" s="8"/>
    </row>
    <row r="467" spans="2:42">
      <c r="B467" s="114"/>
      <c r="C467" s="8"/>
      <c r="D467" s="8"/>
      <c r="E467" s="8"/>
      <c r="H467" s="8"/>
      <c r="J467" s="120"/>
      <c r="K467" s="8"/>
      <c r="M467" s="128"/>
      <c r="P467" s="8"/>
      <c r="Q467" s="8"/>
      <c r="W467" s="8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14"/>
      <c r="C468" s="8"/>
      <c r="D468" s="8"/>
      <c r="E468" s="8"/>
      <c r="H468" s="8"/>
      <c r="J468" s="120"/>
      <c r="K468" s="8"/>
      <c r="M468" s="128"/>
      <c r="P468" s="8"/>
      <c r="Q468" s="8"/>
      <c r="W468" s="8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4"/>
      <c r="C469" s="8"/>
      <c r="D469" s="8"/>
      <c r="E469" s="8"/>
      <c r="H469" s="8"/>
      <c r="J469" s="120"/>
      <c r="K469" s="8"/>
      <c r="M469" s="128"/>
      <c r="P469" s="8"/>
      <c r="Q469" s="8"/>
      <c r="W469" s="8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4"/>
      <c r="C470" s="8"/>
      <c r="D470" s="8"/>
      <c r="E470" s="8"/>
      <c r="H470" s="8"/>
      <c r="J470" s="120"/>
      <c r="K470" s="8"/>
      <c r="M470" s="128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4"/>
      <c r="C471" s="8"/>
      <c r="D471" s="8"/>
      <c r="E471" s="8"/>
      <c r="H471" s="8"/>
      <c r="J471" s="120"/>
      <c r="K471" s="8"/>
      <c r="M471" s="128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4"/>
      <c r="C472" s="8"/>
      <c r="D472" s="8"/>
      <c r="E472" s="8"/>
      <c r="H472" s="8"/>
      <c r="J472" s="120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4"/>
      <c r="C473" s="8"/>
      <c r="D473" s="8"/>
      <c r="E473" s="8"/>
      <c r="H473" s="8"/>
      <c r="J473" s="120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5"/>
      <c r="C474" s="8"/>
      <c r="D474" s="8"/>
      <c r="E474" s="8"/>
      <c r="H474" s="8"/>
      <c r="I474" s="115"/>
      <c r="J474" s="120"/>
      <c r="K474" s="8"/>
      <c r="L474" s="8"/>
      <c r="M474" s="128"/>
      <c r="O474" s="121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5"/>
      <c r="C475" s="8"/>
      <c r="D475" s="8"/>
      <c r="E475" s="8"/>
      <c r="H475" s="8"/>
      <c r="I475" s="115"/>
      <c r="J475" s="120"/>
      <c r="K475" s="8"/>
      <c r="L475" s="8"/>
      <c r="M475" s="128"/>
      <c r="O475" s="121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5"/>
      <c r="C476" s="8"/>
      <c r="D476" s="8"/>
      <c r="E476" s="8"/>
      <c r="H476" s="8"/>
      <c r="I476" s="115"/>
      <c r="J476" s="120"/>
      <c r="K476" s="8"/>
      <c r="L476" s="8"/>
      <c r="M476" s="128"/>
      <c r="O476" s="121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5"/>
      <c r="C477" s="8"/>
      <c r="D477" s="8"/>
      <c r="E477" s="8"/>
      <c r="H477" s="8"/>
      <c r="I477" s="115"/>
      <c r="J477" s="120"/>
      <c r="K477" s="8"/>
      <c r="L477" s="8"/>
      <c r="M477" s="128"/>
      <c r="O477" s="121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5"/>
      <c r="C478" s="8"/>
      <c r="D478" s="8"/>
      <c r="E478" s="8"/>
      <c r="H478" s="8"/>
      <c r="I478" s="115"/>
      <c r="J478" s="120"/>
      <c r="K478" s="8"/>
      <c r="L478" s="8"/>
      <c r="M478" s="128"/>
      <c r="O478" s="121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5"/>
      <c r="C479" s="8"/>
      <c r="D479" s="8"/>
      <c r="E479" s="8"/>
      <c r="H479" s="8"/>
      <c r="I479" s="115"/>
      <c r="J479" s="120"/>
      <c r="K479" s="8"/>
      <c r="L479" s="8"/>
      <c r="M479" s="128"/>
      <c r="O479" s="121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5"/>
      <c r="C480" s="8"/>
      <c r="D480" s="8"/>
      <c r="E480" s="8"/>
      <c r="H480" s="8"/>
      <c r="I480" s="115"/>
      <c r="J480" s="120"/>
      <c r="K480" s="8"/>
      <c r="L480" s="8"/>
      <c r="M480" s="128"/>
      <c r="O480" s="121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5"/>
      <c r="C481" s="8"/>
      <c r="D481" s="8"/>
      <c r="E481" s="8"/>
      <c r="H481" s="8"/>
      <c r="I481" s="115"/>
      <c r="J481" s="120"/>
      <c r="K481" s="8"/>
      <c r="L481" s="8"/>
      <c r="M481" s="128"/>
      <c r="O481" s="121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5"/>
      <c r="C482" s="8"/>
      <c r="D482" s="8"/>
      <c r="E482" s="8"/>
      <c r="H482" s="8"/>
      <c r="I482" s="115"/>
      <c r="J482" s="120"/>
      <c r="K482" s="8"/>
      <c r="L482" s="8"/>
      <c r="M482" s="128"/>
      <c r="O482" s="121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5"/>
      <c r="C483" s="8"/>
      <c r="D483" s="8"/>
      <c r="E483" s="8"/>
      <c r="H483" s="8"/>
      <c r="I483" s="115"/>
      <c r="J483" s="120"/>
      <c r="K483" s="8"/>
      <c r="L483" s="8"/>
      <c r="M483" s="128"/>
      <c r="O483" s="121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5"/>
      <c r="C484" s="8"/>
      <c r="D484" s="8"/>
      <c r="E484" s="8"/>
      <c r="H484" s="8"/>
      <c r="I484" s="115"/>
      <c r="J484" s="120"/>
      <c r="K484" s="8"/>
      <c r="L484" s="8"/>
      <c r="M484" s="128"/>
      <c r="O484" s="121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5"/>
      <c r="C485" s="8"/>
      <c r="D485" s="8"/>
      <c r="E485" s="8"/>
      <c r="H485" s="8"/>
      <c r="I485" s="115"/>
      <c r="J485" s="120"/>
      <c r="K485" s="8"/>
      <c r="L485" s="8"/>
      <c r="M485" s="128"/>
      <c r="O485" s="121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5"/>
      <c r="C486" s="8"/>
      <c r="D486" s="8"/>
      <c r="E486" s="8"/>
      <c r="H486" s="8"/>
      <c r="I486" s="115"/>
      <c r="J486" s="120"/>
      <c r="K486" s="8"/>
      <c r="L486" s="8"/>
      <c r="M486" s="128"/>
      <c r="O486" s="121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5"/>
      <c r="C487" s="8"/>
      <c r="D487" s="8"/>
      <c r="E487" s="8"/>
      <c r="H487" s="8"/>
      <c r="I487" s="115"/>
      <c r="J487" s="120"/>
      <c r="K487" s="8"/>
      <c r="L487" s="8"/>
      <c r="M487" s="128"/>
      <c r="O487" s="121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5"/>
      <c r="C488" s="8"/>
      <c r="D488" s="8"/>
      <c r="E488" s="8"/>
      <c r="H488" s="8"/>
      <c r="I488" s="115"/>
      <c r="J488" s="120"/>
      <c r="K488" s="8"/>
      <c r="L488" s="8"/>
      <c r="M488" s="128"/>
      <c r="O488" s="121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5"/>
      <c r="C489" s="8"/>
      <c r="D489" s="8"/>
      <c r="E489" s="8"/>
      <c r="H489" s="8"/>
      <c r="I489" s="115"/>
      <c r="J489" s="120"/>
      <c r="K489" s="8"/>
      <c r="L489" s="8"/>
      <c r="M489" s="128"/>
      <c r="O489" s="121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5"/>
      <c r="C490" s="8"/>
      <c r="D490" s="8"/>
      <c r="E490" s="8"/>
      <c r="H490" s="8"/>
      <c r="I490" s="115"/>
      <c r="J490" s="120"/>
      <c r="K490" s="8"/>
      <c r="L490" s="8"/>
      <c r="M490" s="128"/>
      <c r="O490" s="121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5"/>
      <c r="C491" s="8"/>
      <c r="D491" s="8"/>
      <c r="E491" s="8"/>
      <c r="H491" s="8"/>
      <c r="I491" s="115"/>
      <c r="J491" s="120"/>
      <c r="K491" s="8"/>
      <c r="L491" s="8"/>
      <c r="M491" s="128"/>
      <c r="O491" s="121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5"/>
      <c r="C492" s="8"/>
      <c r="D492" s="8"/>
      <c r="E492" s="8"/>
      <c r="H492" s="8"/>
      <c r="I492" s="115"/>
      <c r="J492" s="120"/>
      <c r="K492" s="8"/>
      <c r="L492" s="8"/>
      <c r="M492" s="128"/>
      <c r="O492" s="121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4"/>
      <c r="C493" s="8"/>
      <c r="D493" s="8"/>
      <c r="E493" s="8"/>
      <c r="H493" s="8"/>
      <c r="J493" s="120"/>
      <c r="K493" s="8"/>
      <c r="L493" s="8"/>
      <c r="O493" s="121"/>
      <c r="P493" s="8"/>
      <c r="Q493" s="8"/>
      <c r="W493" s="114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4"/>
      <c r="C494" s="8"/>
      <c r="D494" s="8"/>
      <c r="E494" s="8"/>
      <c r="H494" s="8"/>
      <c r="J494" s="120"/>
      <c r="K494" s="8"/>
      <c r="L494" s="8"/>
      <c r="O494" s="121"/>
      <c r="P494" s="8"/>
      <c r="Q494" s="8"/>
      <c r="W494" s="114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4"/>
      <c r="C495" s="8"/>
      <c r="D495" s="8"/>
      <c r="E495" s="8"/>
      <c r="H495" s="8"/>
      <c r="J495" s="120"/>
      <c r="K495" s="8"/>
      <c r="L495" s="8"/>
      <c r="O495" s="121"/>
      <c r="P495" s="8"/>
      <c r="Q495" s="8"/>
      <c r="W495" s="114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4"/>
      <c r="C496" s="8"/>
      <c r="D496" s="8"/>
      <c r="E496" s="8"/>
      <c r="H496" s="8"/>
      <c r="J496" s="120"/>
      <c r="K496" s="8"/>
      <c r="L496" s="8"/>
      <c r="O496" s="121"/>
      <c r="P496" s="8"/>
      <c r="Q496" s="8"/>
      <c r="W496" s="114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4"/>
      <c r="C497" s="8"/>
      <c r="D497" s="8"/>
      <c r="E497" s="8"/>
      <c r="H497" s="8"/>
      <c r="J497" s="120"/>
      <c r="K497" s="8"/>
      <c r="L497" s="8"/>
      <c r="O497" s="121"/>
      <c r="P497" s="8"/>
      <c r="Q497" s="8"/>
      <c r="W497" s="114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4"/>
      <c r="C498" s="8"/>
      <c r="D498" s="8"/>
      <c r="E498" s="8"/>
      <c r="H498" s="8"/>
      <c r="J498" s="120"/>
      <c r="K498" s="8"/>
      <c r="L498" s="8"/>
      <c r="O498" s="121"/>
      <c r="P498" s="8"/>
      <c r="Q498" s="8"/>
      <c r="W498" s="114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4"/>
      <c r="C499" s="8"/>
      <c r="D499" s="8"/>
      <c r="E499" s="8"/>
      <c r="H499" s="8"/>
      <c r="J499" s="120"/>
      <c r="K499" s="8"/>
      <c r="L499" s="8"/>
      <c r="O499" s="121"/>
      <c r="P499" s="8"/>
      <c r="Q499" s="8"/>
      <c r="W499" s="114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4"/>
      <c r="C500" s="8"/>
      <c r="D500" s="8"/>
      <c r="E500" s="8"/>
      <c r="H500" s="8"/>
      <c r="J500" s="120"/>
      <c r="K500" s="8"/>
      <c r="L500" s="8"/>
      <c r="O500" s="121"/>
      <c r="P500" s="8"/>
      <c r="Q500" s="8"/>
      <c r="W500" s="114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4"/>
      <c r="C501" s="8"/>
      <c r="D501" s="8"/>
      <c r="E501" s="8"/>
      <c r="H501" s="8"/>
      <c r="J501" s="120"/>
      <c r="K501" s="8"/>
      <c r="L501" s="8"/>
      <c r="O501" s="121"/>
      <c r="P501" s="8"/>
      <c r="Q501" s="8"/>
      <c r="W501" s="114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4"/>
      <c r="C502" s="8"/>
      <c r="D502" s="8"/>
      <c r="E502" s="8"/>
      <c r="H502" s="8"/>
      <c r="J502" s="120"/>
      <c r="K502" s="8"/>
      <c r="L502" s="8"/>
      <c r="O502" s="121"/>
      <c r="P502" s="8"/>
      <c r="Q502" s="8"/>
      <c r="W502" s="114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4"/>
      <c r="C503" s="8"/>
      <c r="D503" s="8"/>
      <c r="E503" s="8"/>
      <c r="H503" s="8"/>
      <c r="J503" s="120"/>
      <c r="K503" s="8"/>
      <c r="L503" s="8"/>
      <c r="O503" s="121"/>
      <c r="P503" s="8"/>
      <c r="Q503" s="8"/>
      <c r="W503" s="114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4"/>
      <c r="C504" s="8"/>
      <c r="D504" s="8"/>
      <c r="E504" s="8"/>
      <c r="H504" s="8"/>
      <c r="I504" s="8"/>
      <c r="J504" s="120"/>
      <c r="K504" s="8"/>
      <c r="L504" s="8"/>
      <c r="N504" s="114"/>
      <c r="O504" s="121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4"/>
      <c r="C505" s="8"/>
      <c r="D505" s="8"/>
      <c r="E505" s="8"/>
      <c r="H505" s="8"/>
      <c r="I505" s="8"/>
      <c r="J505" s="120"/>
      <c r="K505" s="8"/>
      <c r="L505" s="8"/>
      <c r="N505" s="114"/>
      <c r="O505" s="121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4"/>
      <c r="C506" s="8"/>
      <c r="D506" s="8"/>
      <c r="E506" s="8"/>
      <c r="H506" s="8"/>
      <c r="I506" s="8"/>
      <c r="J506" s="120"/>
      <c r="K506" s="8"/>
      <c r="L506" s="8"/>
      <c r="N506" s="114"/>
      <c r="O506" s="121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4"/>
      <c r="C507" s="8"/>
      <c r="D507" s="8"/>
      <c r="E507" s="8"/>
      <c r="H507" s="8"/>
      <c r="I507" s="8"/>
      <c r="J507" s="120"/>
      <c r="K507" s="8"/>
      <c r="L507" s="8"/>
      <c r="N507" s="114"/>
      <c r="O507" s="121"/>
      <c r="P507" s="8"/>
      <c r="Q507" s="8"/>
      <c r="W507" s="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="116" customFormat="1" spans="2:42">
      <c r="B508" s="126"/>
      <c r="C508" s="127"/>
      <c r="D508" s="127"/>
      <c r="E508" s="8"/>
      <c r="H508" s="8"/>
      <c r="I508" s="127"/>
      <c r="J508" s="129"/>
      <c r="K508" s="127"/>
      <c r="L508" s="127"/>
      <c r="M508" s="123"/>
      <c r="P508" s="127"/>
      <c r="Q508" s="127"/>
      <c r="W508" s="127"/>
      <c r="X508" s="127"/>
      <c r="Z508" s="127"/>
      <c r="AA508" s="8"/>
      <c r="AB508" s="126"/>
      <c r="AC508" s="127"/>
      <c r="AD508" s="127"/>
      <c r="AI508" s="127"/>
      <c r="AJ508" s="127"/>
      <c r="AK508" s="127"/>
      <c r="AN508" s="126"/>
      <c r="AO508" s="127"/>
      <c r="AP508" s="127"/>
    </row>
    <row r="509" s="116" customFormat="1" spans="2:42">
      <c r="B509" s="126"/>
      <c r="C509" s="127"/>
      <c r="D509" s="127"/>
      <c r="E509" s="8"/>
      <c r="H509" s="8"/>
      <c r="I509" s="127"/>
      <c r="J509" s="129"/>
      <c r="K509" s="127"/>
      <c r="L509" s="127"/>
      <c r="M509" s="123"/>
      <c r="P509" s="127"/>
      <c r="Q509" s="127"/>
      <c r="W509" s="127"/>
      <c r="X509" s="127"/>
      <c r="Z509" s="127"/>
      <c r="AA509" s="8"/>
      <c r="AB509" s="126"/>
      <c r="AC509" s="127"/>
      <c r="AD509" s="127"/>
      <c r="AI509" s="127"/>
      <c r="AJ509" s="127"/>
      <c r="AK509" s="127"/>
      <c r="AN509" s="126"/>
      <c r="AO509" s="127"/>
      <c r="AP509" s="127"/>
    </row>
    <row r="510" spans="2:42">
      <c r="B510" s="114"/>
      <c r="C510" s="8"/>
      <c r="D510" s="8"/>
      <c r="E510" s="8"/>
      <c r="H510" s="8"/>
      <c r="I510" s="8"/>
      <c r="J510" s="120"/>
      <c r="K510" s="8"/>
      <c r="L510" s="8"/>
      <c r="P510" s="8"/>
      <c r="Q510" s="8"/>
      <c r="W510" s="8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4"/>
      <c r="C511" s="8"/>
      <c r="D511" s="8"/>
      <c r="E511" s="8"/>
      <c r="H511" s="8"/>
      <c r="I511" s="8"/>
      <c r="J511" s="120"/>
      <c r="K511" s="8"/>
      <c r="L511" s="8"/>
      <c r="P511" s="8"/>
      <c r="Q511" s="8"/>
      <c r="W511" s="8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4"/>
      <c r="C512" s="8"/>
      <c r="D512" s="8"/>
      <c r="E512" s="8"/>
      <c r="H512" s="8"/>
      <c r="I512" s="8"/>
      <c r="J512" s="120"/>
      <c r="K512" s="8"/>
      <c r="L512" s="8"/>
      <c r="P512" s="8"/>
      <c r="Q512" s="8"/>
      <c r="W512" s="8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4"/>
      <c r="C513" s="8"/>
      <c r="D513" s="8"/>
      <c r="E513" s="8"/>
      <c r="H513" s="8"/>
      <c r="I513" s="8"/>
      <c r="J513" s="120"/>
      <c r="K513" s="8"/>
      <c r="L513" s="8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4"/>
      <c r="C514" s="8"/>
      <c r="D514" s="8"/>
      <c r="E514" s="8"/>
      <c r="H514" s="8"/>
      <c r="I514" s="8"/>
      <c r="J514" s="120"/>
      <c r="K514" s="8"/>
      <c r="L514" s="8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4"/>
      <c r="C515" s="8"/>
      <c r="D515" s="8"/>
      <c r="E515" s="8"/>
      <c r="H515" s="8"/>
      <c r="I515" s="8"/>
      <c r="J515" s="120"/>
      <c r="K515" s="8"/>
      <c r="L515" s="8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4"/>
      <c r="C516" s="8"/>
      <c r="D516" s="8"/>
      <c r="E516" s="8"/>
      <c r="H516" s="8"/>
      <c r="I516" s="8"/>
      <c r="J516" s="120"/>
      <c r="K516" s="8"/>
      <c r="L516" s="8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4"/>
      <c r="C517" s="8"/>
      <c r="D517" s="8"/>
      <c r="E517" s="8"/>
      <c r="H517" s="8"/>
      <c r="I517" s="8"/>
      <c r="J517" s="120"/>
      <c r="K517" s="8"/>
      <c r="L517" s="8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14"/>
      <c r="C518" s="8"/>
      <c r="D518" s="8"/>
      <c r="E518" s="8"/>
      <c r="H518" s="8"/>
      <c r="I518" s="8"/>
      <c r="J518" s="120"/>
      <c r="K518" s="8"/>
      <c r="L518" s="8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14"/>
      <c r="C519" s="8"/>
      <c r="D519" s="8"/>
      <c r="E519" s="8"/>
      <c r="H519" s="8"/>
      <c r="I519" s="8"/>
      <c r="J519" s="120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14"/>
      <c r="C520" s="8"/>
      <c r="D520" s="8"/>
      <c r="E520" s="8"/>
      <c r="H520" s="8"/>
      <c r="I520" s="8"/>
      <c r="J520" s="120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4"/>
      <c r="C521" s="8"/>
      <c r="D521" s="8"/>
      <c r="E521" s="8"/>
      <c r="H521" s="8"/>
      <c r="I521" s="8"/>
      <c r="J521" s="120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4"/>
      <c r="C522" s="8"/>
      <c r="D522" s="8"/>
      <c r="E522" s="8"/>
      <c r="H522" s="8"/>
      <c r="I522" s="8"/>
      <c r="J522" s="120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4"/>
      <c r="C523" s="8"/>
      <c r="D523" s="8"/>
      <c r="E523" s="8"/>
      <c r="H523" s="8"/>
      <c r="I523" s="8"/>
      <c r="J523" s="120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4"/>
      <c r="C524" s="8"/>
      <c r="D524" s="8"/>
      <c r="E524" s="8"/>
      <c r="H524" s="8"/>
      <c r="I524" s="8"/>
      <c r="J524" s="120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4"/>
      <c r="C525" s="8"/>
      <c r="D525" s="8"/>
      <c r="E525" s="8"/>
      <c r="H525" s="8"/>
      <c r="I525" s="8"/>
      <c r="J525" s="120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4"/>
      <c r="C526" s="8"/>
      <c r="D526" s="8"/>
      <c r="E526" s="8"/>
      <c r="H526" s="8"/>
      <c r="I526" s="8"/>
      <c r="J526" s="120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4"/>
      <c r="C527" s="8"/>
      <c r="D527" s="8"/>
      <c r="E527" s="8"/>
      <c r="H527" s="8"/>
      <c r="I527" s="8"/>
      <c r="J527" s="120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4"/>
      <c r="C528" s="8"/>
      <c r="D528" s="8"/>
      <c r="E528" s="8"/>
      <c r="H528" s="8"/>
      <c r="I528" s="8"/>
      <c r="J528" s="120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4"/>
      <c r="C529" s="8"/>
      <c r="D529" s="8"/>
      <c r="E529" s="8"/>
      <c r="H529" s="8"/>
      <c r="I529" s="115"/>
      <c r="J529" s="120"/>
      <c r="K529" s="8"/>
      <c r="L529" s="8"/>
      <c r="P529" s="8"/>
      <c r="Q529" s="8"/>
      <c r="V529" s="8"/>
      <c r="W529" s="114"/>
      <c r="X529" s="8"/>
      <c r="Z529" s="8"/>
      <c r="AA529" s="8"/>
      <c r="AB529" s="8"/>
      <c r="AC529" s="8"/>
      <c r="AD529" s="8"/>
      <c r="AI529" s="8"/>
      <c r="AJ529" s="8"/>
      <c r="AK529" s="8"/>
      <c r="AO529" s="8"/>
      <c r="AP529" s="8"/>
    </row>
    <row r="530" spans="2:42">
      <c r="B530" s="114"/>
      <c r="C530" s="8"/>
      <c r="D530" s="8"/>
      <c r="E530" s="8"/>
      <c r="H530" s="8"/>
      <c r="I530" s="120"/>
      <c r="J530" s="120"/>
      <c r="K530" s="8"/>
      <c r="L530" s="8"/>
      <c r="P530" s="8"/>
      <c r="Q530" s="8"/>
      <c r="V530" s="8"/>
      <c r="W530" s="114"/>
      <c r="X530" s="8"/>
      <c r="Z530" s="8"/>
      <c r="AA530" s="8"/>
      <c r="AB530" s="8"/>
      <c r="AC530" s="8"/>
      <c r="AD530" s="8"/>
      <c r="AI530" s="8"/>
      <c r="AJ530" s="8"/>
      <c r="AK530" s="8"/>
      <c r="AO530" s="8"/>
      <c r="AP530" s="8"/>
    </row>
    <row r="531" spans="2:42">
      <c r="B531" s="114"/>
      <c r="C531" s="8"/>
      <c r="D531" s="8"/>
      <c r="E531" s="8"/>
      <c r="H531" s="8"/>
      <c r="I531" s="120"/>
      <c r="J531" s="120"/>
      <c r="K531" s="8"/>
      <c r="L531" s="8"/>
      <c r="P531" s="8"/>
      <c r="Q531" s="8"/>
      <c r="V531" s="8"/>
      <c r="W531" s="114"/>
      <c r="X531" s="8"/>
      <c r="Z531" s="8"/>
      <c r="AA531" s="8"/>
      <c r="AB531" s="8"/>
      <c r="AC531" s="8"/>
      <c r="AD531" s="8"/>
      <c r="AI531" s="8"/>
      <c r="AJ531" s="8"/>
      <c r="AK531" s="8"/>
      <c r="AO531" s="8"/>
      <c r="AP531" s="8"/>
    </row>
    <row r="532" spans="2:42">
      <c r="B532" s="114"/>
      <c r="C532" s="8"/>
      <c r="D532" s="8"/>
      <c r="E532" s="8"/>
      <c r="H532" s="8"/>
      <c r="I532" s="120"/>
      <c r="J532" s="120"/>
      <c r="K532" s="8"/>
      <c r="L532" s="8"/>
      <c r="P532" s="8"/>
      <c r="Q532" s="8"/>
      <c r="V532" s="8"/>
      <c r="W532" s="114"/>
      <c r="X532" s="8"/>
      <c r="Z532" s="8"/>
      <c r="AA532" s="8"/>
      <c r="AB532" s="8"/>
      <c r="AC532" s="8"/>
      <c r="AD532" s="8"/>
      <c r="AI532" s="8"/>
      <c r="AJ532" s="8"/>
      <c r="AK532" s="8"/>
      <c r="AO532" s="8"/>
      <c r="AP532" s="8"/>
    </row>
    <row r="533" spans="2:42">
      <c r="B533" s="114"/>
      <c r="C533" s="8"/>
      <c r="D533" s="8"/>
      <c r="E533" s="8"/>
      <c r="H533" s="8"/>
      <c r="I533" s="120"/>
      <c r="J533" s="120"/>
      <c r="K533" s="8"/>
      <c r="L533" s="8"/>
      <c r="P533" s="8"/>
      <c r="Q533" s="8"/>
      <c r="V533" s="8"/>
      <c r="W533" s="114"/>
      <c r="X533" s="8"/>
      <c r="Z533" s="8"/>
      <c r="AA533" s="8"/>
      <c r="AB533" s="8"/>
      <c r="AC533" s="8"/>
      <c r="AD533" s="8"/>
      <c r="AI533" s="8"/>
      <c r="AJ533" s="8"/>
      <c r="AK533" s="8"/>
      <c r="AO533" s="8"/>
      <c r="AP533" s="8"/>
    </row>
    <row r="534" spans="2:42">
      <c r="B534" s="114"/>
      <c r="C534" s="8"/>
      <c r="D534" s="8"/>
      <c r="E534" s="8"/>
      <c r="H534" s="8"/>
      <c r="I534" s="120"/>
      <c r="J534" s="120"/>
      <c r="K534" s="8"/>
      <c r="L534" s="8"/>
      <c r="P534" s="8"/>
      <c r="Q534" s="8"/>
      <c r="V534" s="8"/>
      <c r="W534" s="114"/>
      <c r="X534" s="8"/>
      <c r="Z534" s="8"/>
      <c r="AA534" s="8"/>
      <c r="AB534" s="8"/>
      <c r="AC534" s="8"/>
      <c r="AD534" s="8"/>
      <c r="AI534" s="8"/>
      <c r="AJ534" s="8"/>
      <c r="AK534" s="8"/>
      <c r="AO534" s="8"/>
      <c r="AP534" s="8"/>
    </row>
    <row r="535" spans="2:42">
      <c r="B535" s="114"/>
      <c r="C535" s="8"/>
      <c r="D535" s="8"/>
      <c r="E535" s="8"/>
      <c r="H535" s="8"/>
      <c r="I535" s="120"/>
      <c r="J535" s="120"/>
      <c r="K535" s="8"/>
      <c r="L535" s="8"/>
      <c r="P535" s="8"/>
      <c r="Q535" s="8"/>
      <c r="V535" s="8"/>
      <c r="W535" s="114"/>
      <c r="X535" s="8"/>
      <c r="Z535" s="8"/>
      <c r="AA535" s="8"/>
      <c r="AB535" s="8"/>
      <c r="AC535" s="8"/>
      <c r="AD535" s="8"/>
      <c r="AI535" s="8"/>
      <c r="AJ535" s="8"/>
      <c r="AK535" s="8"/>
      <c r="AO535" s="8"/>
      <c r="AP535" s="8"/>
    </row>
    <row r="536" spans="2:42">
      <c r="B536" s="114"/>
      <c r="C536" s="8"/>
      <c r="D536" s="8"/>
      <c r="E536" s="8"/>
      <c r="H536" s="8"/>
      <c r="I536" s="120"/>
      <c r="J536" s="120"/>
      <c r="K536" s="8"/>
      <c r="L536" s="8"/>
      <c r="P536" s="8"/>
      <c r="Q536" s="8"/>
      <c r="V536" s="8"/>
      <c r="W536" s="114"/>
      <c r="X536" s="8"/>
      <c r="Z536" s="8"/>
      <c r="AA536" s="8"/>
      <c r="AB536" s="8"/>
      <c r="AC536" s="8"/>
      <c r="AD536" s="8"/>
      <c r="AI536" s="8"/>
      <c r="AJ536" s="8"/>
      <c r="AK536" s="8"/>
      <c r="AO536" s="8"/>
      <c r="AP536" s="8"/>
    </row>
    <row r="537" spans="2:42">
      <c r="B537" s="114"/>
      <c r="C537" s="8"/>
      <c r="D537" s="8"/>
      <c r="E537" s="8"/>
      <c r="H537" s="8"/>
      <c r="I537" s="120"/>
      <c r="J537" s="120"/>
      <c r="K537" s="8"/>
      <c r="L537" s="8"/>
      <c r="P537" s="8"/>
      <c r="Q537" s="8"/>
      <c r="V537" s="8"/>
      <c r="W537" s="114"/>
      <c r="X537" s="8"/>
      <c r="Z537" s="8"/>
      <c r="AA537" s="8"/>
      <c r="AB537" s="8"/>
      <c r="AC537" s="8"/>
      <c r="AD537" s="8"/>
      <c r="AI537" s="8"/>
      <c r="AJ537" s="8"/>
      <c r="AK537" s="8"/>
      <c r="AO537" s="8"/>
      <c r="AP537" s="8"/>
    </row>
    <row r="538" spans="2:42">
      <c r="B538" s="8"/>
      <c r="C538" s="8"/>
      <c r="D538" s="8"/>
      <c r="E538" s="8"/>
      <c r="F538" s="8"/>
      <c r="G538" s="8"/>
      <c r="H538" s="8"/>
      <c r="I538" s="8"/>
      <c r="J538" s="120"/>
      <c r="K538" s="120"/>
      <c r="L538" s="8"/>
      <c r="M538" s="121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</row>
    <row r="539" spans="2:42">
      <c r="B539" s="8"/>
      <c r="C539" s="8"/>
      <c r="D539" s="8"/>
      <c r="E539" s="8"/>
      <c r="F539" s="8"/>
      <c r="G539" s="8"/>
      <c r="H539" s="8"/>
      <c r="I539" s="8"/>
      <c r="J539" s="120"/>
      <c r="K539" s="120"/>
      <c r="L539" s="8"/>
      <c r="M539" s="121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</row>
    <row r="540" spans="2:42">
      <c r="B540" s="8"/>
      <c r="C540" s="8"/>
      <c r="D540" s="8"/>
      <c r="E540" s="8"/>
      <c r="F540" s="8"/>
      <c r="G540" s="8"/>
      <c r="H540" s="8"/>
      <c r="I540" s="8"/>
      <c r="J540" s="120"/>
      <c r="K540" s="120"/>
      <c r="L540" s="8"/>
      <c r="M540" s="121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</row>
    <row r="541" spans="2:42">
      <c r="B541" s="8"/>
      <c r="C541" s="8"/>
      <c r="D541" s="8"/>
      <c r="E541" s="8"/>
      <c r="F541" s="8"/>
      <c r="G541" s="8"/>
      <c r="H541" s="8"/>
      <c r="I541" s="8"/>
      <c r="J541" s="120"/>
      <c r="K541" s="120"/>
      <c r="L541" s="8"/>
      <c r="M541" s="121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</row>
    <row r="542" spans="2:42">
      <c r="B542" s="8"/>
      <c r="C542" s="8"/>
      <c r="D542" s="8"/>
      <c r="E542" s="8"/>
      <c r="F542" s="8"/>
      <c r="G542" s="8"/>
      <c r="H542" s="8"/>
      <c r="I542" s="8"/>
      <c r="J542" s="120"/>
      <c r="K542" s="120"/>
      <c r="L542" s="8"/>
      <c r="M542" s="121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</row>
    <row r="543" spans="2:42">
      <c r="B543" s="8"/>
      <c r="C543" s="8"/>
      <c r="D543" s="8"/>
      <c r="E543" s="8"/>
      <c r="F543" s="8"/>
      <c r="G543" s="8"/>
      <c r="H543" s="8"/>
      <c r="I543" s="8"/>
      <c r="J543" s="120"/>
      <c r="K543" s="120"/>
      <c r="L543" s="8"/>
      <c r="M543" s="121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</row>
    <row r="544" spans="2:42">
      <c r="B544" s="8"/>
      <c r="C544" s="8"/>
      <c r="D544" s="8"/>
      <c r="E544" s="8"/>
      <c r="F544" s="8"/>
      <c r="G544" s="8"/>
      <c r="H544" s="8"/>
      <c r="I544" s="8"/>
      <c r="J544" s="120"/>
      <c r="K544" s="120"/>
      <c r="L544" s="8"/>
      <c r="M544" s="121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</row>
    <row r="545" spans="2:42">
      <c r="B545" s="8"/>
      <c r="C545" s="8"/>
      <c r="D545" s="8"/>
      <c r="E545" s="8"/>
      <c r="H545" s="8"/>
      <c r="I545" s="120"/>
      <c r="J545" s="120"/>
      <c r="K545" s="8"/>
      <c r="L545" s="8"/>
      <c r="M545" s="130"/>
      <c r="O545" s="8"/>
      <c r="P545" s="8"/>
      <c r="Q545" s="8"/>
      <c r="W545" s="8"/>
      <c r="X545" s="8"/>
      <c r="Z545" s="8"/>
      <c r="AA545" s="8"/>
      <c r="AC545" s="8"/>
      <c r="AD545" s="8"/>
      <c r="AI545" s="8"/>
      <c r="AJ545" s="8"/>
      <c r="AK545" s="8"/>
      <c r="AO545" s="8"/>
      <c r="AP545" s="8"/>
    </row>
    <row r="546" spans="2:42">
      <c r="B546" s="8"/>
      <c r="C546" s="8"/>
      <c r="D546" s="8"/>
      <c r="E546" s="8"/>
      <c r="H546" s="8"/>
      <c r="I546" s="120"/>
      <c r="J546" s="120"/>
      <c r="K546" s="8"/>
      <c r="L546" s="8"/>
      <c r="M546" s="130"/>
      <c r="O546" s="8"/>
      <c r="P546" s="8"/>
      <c r="Q546" s="8"/>
      <c r="W546" s="8"/>
      <c r="X546" s="8"/>
      <c r="Z546" s="8"/>
      <c r="AA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H547" s="8"/>
      <c r="I547" s="120"/>
      <c r="J547" s="120"/>
      <c r="K547" s="8"/>
      <c r="L547" s="8"/>
      <c r="M547" s="131"/>
      <c r="O547" s="8"/>
      <c r="P547" s="8"/>
      <c r="Q547" s="8"/>
      <c r="W547" s="8"/>
      <c r="X547" s="8"/>
      <c r="Z547" s="8"/>
      <c r="AA547" s="8"/>
      <c r="AC547" s="8"/>
      <c r="AD547" s="8"/>
      <c r="AI547" s="114"/>
      <c r="AJ547" s="8"/>
      <c r="AK547" s="8"/>
      <c r="AO547" s="8"/>
      <c r="AP547" s="8"/>
    </row>
    <row r="548" spans="2:42">
      <c r="B548" s="8"/>
      <c r="C548" s="8"/>
      <c r="D548" s="8"/>
      <c r="E548" s="8"/>
      <c r="H548" s="8"/>
      <c r="I548" s="120"/>
      <c r="J548" s="120"/>
      <c r="K548" s="8"/>
      <c r="L548" s="8"/>
      <c r="M548" s="130"/>
      <c r="O548" s="8"/>
      <c r="P548" s="8"/>
      <c r="Q548" s="8"/>
      <c r="W548" s="8"/>
      <c r="X548" s="8"/>
      <c r="Z548" s="8"/>
      <c r="AA548" s="8"/>
      <c r="AC548" s="8"/>
      <c r="AD548" s="8"/>
      <c r="AI548" s="114"/>
      <c r="AJ548" s="8"/>
      <c r="AK548" s="8"/>
      <c r="AO548" s="8"/>
      <c r="AP548" s="8"/>
    </row>
    <row r="549" spans="2:42">
      <c r="B549" s="8"/>
      <c r="C549" s="8"/>
      <c r="D549" s="8"/>
      <c r="E549" s="8"/>
      <c r="H549" s="8"/>
      <c r="I549" s="120"/>
      <c r="J549" s="120"/>
      <c r="K549" s="8"/>
      <c r="L549" s="8"/>
      <c r="M549" s="130"/>
      <c r="O549" s="8"/>
      <c r="P549" s="8"/>
      <c r="Q549" s="8"/>
      <c r="W549" s="8"/>
      <c r="X549" s="8"/>
      <c r="Z549" s="8"/>
      <c r="AA549" s="8"/>
      <c r="AC549" s="8"/>
      <c r="AD549" s="8"/>
      <c r="AI549" s="8"/>
      <c r="AJ549" s="8"/>
      <c r="AK549" s="8"/>
      <c r="AO549" s="8"/>
      <c r="AP549" s="8"/>
    </row>
    <row r="550" spans="2:42">
      <c r="B550" s="8"/>
      <c r="C550" s="8"/>
      <c r="D550" s="8"/>
      <c r="E550" s="8"/>
      <c r="H550" s="8"/>
      <c r="I550" s="8"/>
      <c r="J550" s="120"/>
      <c r="K550" s="8"/>
      <c r="L550" s="8"/>
      <c r="M550" s="130"/>
      <c r="N550" s="114"/>
      <c r="O550" s="132"/>
      <c r="P550" s="8"/>
      <c r="Q550" s="8"/>
      <c r="W550" s="8"/>
      <c r="X550" s="8"/>
      <c r="Z550" s="8"/>
      <c r="AA550" s="8"/>
      <c r="AB550" s="8"/>
      <c r="AC550" s="8"/>
      <c r="AD550" s="8"/>
      <c r="AJ550" s="8"/>
      <c r="AK550" s="8"/>
      <c r="AO550" s="8"/>
      <c r="AP550" s="8"/>
    </row>
    <row r="551" spans="2:42">
      <c r="B551" s="8"/>
      <c r="C551" s="8"/>
      <c r="D551" s="8"/>
      <c r="E551" s="8"/>
      <c r="H551" s="8"/>
      <c r="I551" s="8"/>
      <c r="J551" s="120"/>
      <c r="K551" s="8"/>
      <c r="L551" s="8"/>
      <c r="M551" s="130"/>
      <c r="N551" s="114"/>
      <c r="O551" s="132"/>
      <c r="P551" s="8"/>
      <c r="Q551" s="8"/>
      <c r="W551" s="8"/>
      <c r="X551" s="8"/>
      <c r="Z551" s="8"/>
      <c r="AA551" s="8"/>
      <c r="AB551" s="8"/>
      <c r="AC551" s="8"/>
      <c r="AD551" s="8"/>
      <c r="AJ551" s="8"/>
      <c r="AK551" s="8"/>
      <c r="AO551" s="8"/>
      <c r="AP551" s="8"/>
    </row>
    <row r="552" spans="2:42">
      <c r="B552" s="8"/>
      <c r="C552" s="8"/>
      <c r="D552" s="8"/>
      <c r="E552" s="8"/>
      <c r="H552" s="8"/>
      <c r="I552" s="8"/>
      <c r="J552" s="120"/>
      <c r="K552" s="8"/>
      <c r="L552" s="8"/>
      <c r="M552" s="130"/>
      <c r="N552" s="114"/>
      <c r="O552" s="132"/>
      <c r="P552" s="8"/>
      <c r="Q552" s="8"/>
      <c r="W552" s="8"/>
      <c r="X552" s="8"/>
      <c r="Z552" s="8"/>
      <c r="AA552" s="8"/>
      <c r="AB552" s="8"/>
      <c r="AC552" s="8"/>
      <c r="AD552" s="8"/>
      <c r="AJ552" s="8"/>
      <c r="AK552" s="8"/>
      <c r="AO552" s="8"/>
      <c r="AP552" s="8"/>
    </row>
    <row r="553" spans="2:42">
      <c r="B553" s="8"/>
      <c r="C553" s="8"/>
      <c r="D553" s="8"/>
      <c r="E553" s="8"/>
      <c r="H553" s="8"/>
      <c r="I553" s="8"/>
      <c r="J553" s="120"/>
      <c r="K553" s="8"/>
      <c r="L553" s="8"/>
      <c r="M553" s="130"/>
      <c r="N553" s="114"/>
      <c r="O553" s="132"/>
      <c r="P553" s="8"/>
      <c r="Q553" s="8"/>
      <c r="W553" s="8"/>
      <c r="X553" s="8"/>
      <c r="Z553" s="8"/>
      <c r="AA553" s="8"/>
      <c r="AB553" s="8"/>
      <c r="AC553" s="8"/>
      <c r="AD553" s="8"/>
      <c r="AJ553" s="8"/>
      <c r="AK553" s="8"/>
      <c r="AO553" s="8"/>
      <c r="AP553" s="8"/>
    </row>
    <row r="554" spans="2:42">
      <c r="B554" s="8"/>
      <c r="C554" s="8"/>
      <c r="D554" s="8"/>
      <c r="E554" s="8"/>
      <c r="H554" s="8"/>
      <c r="I554" s="8"/>
      <c r="J554" s="120"/>
      <c r="K554" s="8"/>
      <c r="L554" s="8"/>
      <c r="M554" s="130"/>
      <c r="N554" s="114"/>
      <c r="O554" s="132"/>
      <c r="P554" s="8"/>
      <c r="Q554" s="8"/>
      <c r="W554" s="8"/>
      <c r="X554" s="8"/>
      <c r="Z554" s="8"/>
      <c r="AA554" s="8"/>
      <c r="AB554" s="8"/>
      <c r="AC554" s="8"/>
      <c r="AD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8"/>
      <c r="J555" s="120"/>
      <c r="K555" s="8"/>
      <c r="L555" s="8"/>
      <c r="M555" s="130"/>
      <c r="N555" s="114"/>
      <c r="O555" s="132"/>
      <c r="P555" s="8"/>
      <c r="Q555" s="8"/>
      <c r="W555" s="8"/>
      <c r="X555" s="8"/>
      <c r="Z555" s="8"/>
      <c r="AA555" s="8"/>
      <c r="AB555" s="8"/>
      <c r="AC555" s="8"/>
      <c r="AD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8"/>
      <c r="J556" s="120"/>
      <c r="K556" s="8"/>
      <c r="L556" s="8"/>
      <c r="M556" s="130"/>
      <c r="N556" s="114"/>
      <c r="O556" s="132"/>
      <c r="P556" s="8"/>
      <c r="Q556" s="8"/>
      <c r="W556" s="8"/>
      <c r="X556" s="8"/>
      <c r="Z556" s="8"/>
      <c r="AA556" s="8"/>
      <c r="AB556" s="8"/>
      <c r="AC556" s="8"/>
      <c r="AD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8"/>
      <c r="J557" s="120"/>
      <c r="K557" s="8"/>
      <c r="L557" s="8"/>
      <c r="M557" s="130"/>
      <c r="N557" s="114"/>
      <c r="O557" s="132"/>
      <c r="P557" s="8"/>
      <c r="Q557" s="8"/>
      <c r="W557" s="8"/>
      <c r="X557" s="8"/>
      <c r="Z557" s="8"/>
      <c r="AA557" s="8"/>
      <c r="AB557" s="8"/>
      <c r="AC557" s="8"/>
      <c r="AD557" s="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8"/>
      <c r="J558" s="120"/>
      <c r="K558" s="8"/>
      <c r="L558" s="8"/>
      <c r="M558" s="130"/>
      <c r="N558" s="114"/>
      <c r="O558" s="132"/>
      <c r="P558" s="8"/>
      <c r="Q558" s="8"/>
      <c r="W558" s="8"/>
      <c r="X558" s="8"/>
      <c r="Z558" s="8"/>
      <c r="AA558" s="8"/>
      <c r="AB558" s="8"/>
      <c r="AC558" s="8"/>
      <c r="AD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0"/>
      <c r="K559" s="8"/>
      <c r="L559" s="8"/>
      <c r="M559" s="130"/>
      <c r="N559" s="114"/>
      <c r="O559" s="132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0"/>
      <c r="K560" s="8"/>
      <c r="L560" s="8"/>
      <c r="M560" s="130"/>
      <c r="N560" s="114"/>
      <c r="O560" s="132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0"/>
      <c r="K561" s="8"/>
      <c r="L561" s="8"/>
      <c r="M561" s="130"/>
      <c r="N561" s="114"/>
      <c r="O561" s="132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0"/>
      <c r="K562" s="8"/>
      <c r="L562" s="8"/>
      <c r="M562" s="130"/>
      <c r="N562" s="114"/>
      <c r="O562" s="132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0"/>
      <c r="K563" s="8"/>
      <c r="L563" s="8"/>
      <c r="M563" s="130"/>
      <c r="N563" s="114"/>
      <c r="O563" s="132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0"/>
      <c r="K564" s="8"/>
      <c r="L564" s="8"/>
      <c r="M564" s="130"/>
      <c r="N564" s="114"/>
      <c r="O564" s="132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0"/>
      <c r="K565" s="8"/>
      <c r="L565" s="8"/>
      <c r="M565" s="130"/>
      <c r="N565" s="114"/>
      <c r="O565" s="132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0"/>
      <c r="K566" s="8"/>
      <c r="L566" s="8"/>
      <c r="M566" s="130"/>
      <c r="N566" s="114"/>
      <c r="O566" s="132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0"/>
      <c r="K567" s="8"/>
      <c r="L567" s="8"/>
      <c r="M567" s="130"/>
      <c r="N567" s="114"/>
      <c r="O567" s="132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0"/>
      <c r="K568" s="8"/>
      <c r="L568" s="8"/>
      <c r="M568" s="130"/>
      <c r="N568" s="114"/>
      <c r="O568" s="132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0"/>
      <c r="K569" s="8"/>
      <c r="L569" s="8"/>
      <c r="M569" s="130"/>
      <c r="N569" s="114"/>
      <c r="O569" s="132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0"/>
      <c r="K570" s="8"/>
      <c r="L570" s="8"/>
      <c r="M570" s="131"/>
      <c r="N570" s="114"/>
      <c r="O570" s="132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0"/>
      <c r="K571" s="8"/>
      <c r="L571" s="8"/>
      <c r="M571" s="131"/>
      <c r="N571" s="114"/>
      <c r="O571" s="132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0"/>
      <c r="K572" s="8"/>
      <c r="L572" s="8"/>
      <c r="M572" s="131"/>
      <c r="N572" s="114"/>
      <c r="O572" s="132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0"/>
      <c r="K573" s="8"/>
      <c r="L573" s="8"/>
      <c r="M573" s="131"/>
      <c r="N573" s="114"/>
      <c r="O573" s="132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0"/>
      <c r="K574" s="8"/>
      <c r="L574" s="8"/>
      <c r="M574" s="131"/>
      <c r="N574" s="114"/>
      <c r="O574" s="132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0"/>
      <c r="K575" s="8"/>
      <c r="L575" s="8"/>
      <c r="M575" s="131"/>
      <c r="N575" s="114"/>
      <c r="O575" s="132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0"/>
      <c r="K576" s="8"/>
      <c r="L576" s="8"/>
      <c r="M576" s="131"/>
      <c r="N576" s="114"/>
      <c r="O576" s="132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0"/>
      <c r="K577" s="8"/>
      <c r="L577" s="8"/>
      <c r="M577" s="131"/>
      <c r="N577" s="114"/>
      <c r="O577" s="132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0"/>
      <c r="K578" s="8"/>
      <c r="L578" s="8"/>
      <c r="M578" s="131"/>
      <c r="N578" s="114"/>
      <c r="O578" s="132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0"/>
      <c r="K579" s="8"/>
      <c r="L579" s="8"/>
      <c r="M579" s="131"/>
      <c r="N579" s="114"/>
      <c r="O579" s="132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0"/>
      <c r="K580" s="8"/>
      <c r="L580" s="8"/>
      <c r="M580" s="130"/>
      <c r="N580" s="114"/>
      <c r="O580" s="132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0"/>
      <c r="K581" s="8"/>
      <c r="L581" s="8"/>
      <c r="M581" s="130"/>
      <c r="N581" s="114"/>
      <c r="O581" s="132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0"/>
      <c r="K582" s="8"/>
      <c r="L582" s="8"/>
      <c r="M582" s="130"/>
      <c r="N582" s="114"/>
      <c r="O582" s="132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0"/>
      <c r="K583" s="8"/>
      <c r="L583" s="8"/>
      <c r="M583" s="130"/>
      <c r="N583" s="114"/>
      <c r="O583" s="132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0"/>
      <c r="K584" s="8"/>
      <c r="L584" s="8"/>
      <c r="M584" s="130"/>
      <c r="N584" s="114"/>
      <c r="O584" s="132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0"/>
      <c r="K585" s="8"/>
      <c r="L585" s="8"/>
      <c r="M585" s="130"/>
      <c r="N585" s="114"/>
      <c r="O585" s="132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0"/>
      <c r="K586" s="8"/>
      <c r="L586" s="8"/>
      <c r="M586" s="130"/>
      <c r="N586" s="114"/>
      <c r="O586" s="132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0"/>
      <c r="K587" s="8"/>
      <c r="L587" s="8"/>
      <c r="M587" s="130"/>
      <c r="N587" s="114"/>
      <c r="O587" s="132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0"/>
      <c r="K588" s="8"/>
      <c r="L588" s="8"/>
      <c r="M588" s="130"/>
      <c r="N588" s="114"/>
      <c r="O588" s="132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0"/>
      <c r="K589" s="8"/>
      <c r="L589" s="8"/>
      <c r="M589" s="130"/>
      <c r="N589" s="114"/>
      <c r="O589" s="132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0"/>
      <c r="K590" s="8"/>
      <c r="M590" s="130"/>
      <c r="N590" s="114"/>
      <c r="O590" s="132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0"/>
      <c r="K591" s="8"/>
      <c r="M591" s="130"/>
      <c r="N591" s="114"/>
      <c r="O591" s="132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0"/>
      <c r="K592" s="8"/>
      <c r="M592" s="130"/>
      <c r="N592" s="114"/>
      <c r="O592" s="132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0"/>
      <c r="K593" s="8"/>
      <c r="M593" s="130"/>
      <c r="N593" s="114"/>
      <c r="O593" s="132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0"/>
      <c r="K594" s="8"/>
      <c r="M594" s="130"/>
      <c r="N594" s="114"/>
      <c r="O594" s="132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0"/>
      <c r="K595" s="8"/>
      <c r="M595" s="130"/>
      <c r="N595" s="114"/>
      <c r="O595" s="132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0"/>
      <c r="K596" s="8"/>
      <c r="M596" s="130"/>
      <c r="N596" s="114"/>
      <c r="O596" s="132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0"/>
      <c r="K597" s="8"/>
      <c r="M597" s="130"/>
      <c r="N597" s="114"/>
      <c r="O597" s="132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0"/>
      <c r="K598" s="8"/>
      <c r="M598" s="130"/>
      <c r="N598" s="114"/>
      <c r="O598" s="132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0"/>
      <c r="K599" s="8"/>
      <c r="M599" s="130"/>
      <c r="N599" s="114"/>
      <c r="O599" s="132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37">
      <c r="B600" s="8"/>
      <c r="C600" s="8"/>
      <c r="D600" s="8"/>
      <c r="E600" s="8"/>
      <c r="H600" s="8"/>
      <c r="I600" s="8"/>
      <c r="J600" s="120"/>
      <c r="K600" s="8"/>
      <c r="L600" s="8"/>
      <c r="M600" s="132"/>
      <c r="O600" s="118"/>
      <c r="P600" s="8"/>
      <c r="Q600" s="8"/>
      <c r="V600" s="8"/>
      <c r="W600" s="114"/>
      <c r="X600" s="8"/>
      <c r="Z600" s="8"/>
      <c r="AA600" s="8"/>
      <c r="AC600" s="8"/>
      <c r="AD600" s="8"/>
      <c r="AJ600" s="8"/>
      <c r="AK600" s="8"/>
    </row>
    <row r="601" spans="2:37">
      <c r="B601" s="8"/>
      <c r="C601" s="8"/>
      <c r="D601" s="8"/>
      <c r="E601" s="8"/>
      <c r="H601" s="8"/>
      <c r="I601" s="8"/>
      <c r="J601" s="120"/>
      <c r="K601" s="8"/>
      <c r="L601" s="8"/>
      <c r="M601" s="132"/>
      <c r="O601" s="118"/>
      <c r="P601" s="8"/>
      <c r="Q601" s="8"/>
      <c r="V601" s="8"/>
      <c r="W601" s="114"/>
      <c r="X601" s="8"/>
      <c r="Z601" s="8"/>
      <c r="AA601" s="8"/>
      <c r="AB601" s="8"/>
      <c r="AC601" s="8"/>
      <c r="AD601" s="8"/>
      <c r="AJ601" s="8"/>
      <c r="AK601" s="8"/>
    </row>
    <row r="602" spans="2:37">
      <c r="B602" s="8"/>
      <c r="C602" s="8"/>
      <c r="D602" s="8"/>
      <c r="E602" s="8"/>
      <c r="H602" s="8"/>
      <c r="I602" s="8"/>
      <c r="J602" s="120"/>
      <c r="K602" s="8"/>
      <c r="L602" s="8"/>
      <c r="M602" s="132"/>
      <c r="O602" s="118"/>
      <c r="P602" s="8"/>
      <c r="Q602" s="8"/>
      <c r="V602" s="8"/>
      <c r="W602" s="114"/>
      <c r="X602" s="8"/>
      <c r="Z602" s="8"/>
      <c r="AA602" s="8"/>
      <c r="AB602" s="8"/>
      <c r="AC602" s="8"/>
      <c r="AD602" s="8"/>
      <c r="AJ602" s="8"/>
      <c r="AK602" s="8"/>
    </row>
    <row r="603" spans="2:37">
      <c r="B603" s="8"/>
      <c r="C603" s="8"/>
      <c r="D603" s="8"/>
      <c r="E603" s="8"/>
      <c r="H603" s="8"/>
      <c r="I603" s="8"/>
      <c r="J603" s="120"/>
      <c r="K603" s="8"/>
      <c r="L603" s="8"/>
      <c r="M603" s="132"/>
      <c r="O603" s="118"/>
      <c r="P603" s="8"/>
      <c r="Q603" s="8"/>
      <c r="V603" s="8"/>
      <c r="W603" s="114"/>
      <c r="X603" s="8"/>
      <c r="Z603" s="8"/>
      <c r="AA603" s="8"/>
      <c r="AB603" s="8"/>
      <c r="AC603" s="8"/>
      <c r="AD603" s="8"/>
      <c r="AJ603" s="8"/>
      <c r="AK603" s="8"/>
    </row>
    <row r="604" s="117" customFormat="1" spans="2:40">
      <c r="B604" s="133"/>
      <c r="C604" s="133"/>
      <c r="D604" s="133"/>
      <c r="E604" s="8"/>
      <c r="H604" s="8"/>
      <c r="I604" s="133"/>
      <c r="J604" s="134"/>
      <c r="K604" s="133"/>
      <c r="L604" s="133"/>
      <c r="M604" s="135"/>
      <c r="O604" s="136"/>
      <c r="P604" s="133"/>
      <c r="Q604" s="133"/>
      <c r="V604" s="133"/>
      <c r="W604" s="137"/>
      <c r="X604" s="133"/>
      <c r="Z604" s="133"/>
      <c r="AA604" s="133"/>
      <c r="AB604" s="137"/>
      <c r="AC604" s="133"/>
      <c r="AD604" s="133"/>
      <c r="AJ604" s="133"/>
      <c r="AK604" s="133"/>
      <c r="AN604" s="137"/>
    </row>
    <row r="605" s="117" customFormat="1" spans="2:40">
      <c r="B605" s="133"/>
      <c r="C605" s="133"/>
      <c r="D605" s="133"/>
      <c r="E605" s="8"/>
      <c r="H605" s="8"/>
      <c r="I605" s="133"/>
      <c r="J605" s="134"/>
      <c r="K605" s="133"/>
      <c r="L605" s="133"/>
      <c r="M605" s="135"/>
      <c r="O605" s="136"/>
      <c r="P605" s="133"/>
      <c r="Q605" s="133"/>
      <c r="V605" s="133"/>
      <c r="W605" s="137"/>
      <c r="X605" s="133"/>
      <c r="Z605" s="133"/>
      <c r="AA605" s="133"/>
      <c r="AB605" s="137"/>
      <c r="AC605" s="133"/>
      <c r="AD605" s="133"/>
      <c r="AJ605" s="133"/>
      <c r="AK605" s="133"/>
      <c r="AN605" s="137"/>
    </row>
    <row r="606" s="117" customFormat="1" spans="2:40">
      <c r="B606" s="133"/>
      <c r="C606" s="133"/>
      <c r="D606" s="133"/>
      <c r="E606" s="8"/>
      <c r="H606" s="8"/>
      <c r="I606" s="133"/>
      <c r="J606" s="134"/>
      <c r="K606" s="133"/>
      <c r="L606" s="133"/>
      <c r="M606" s="135"/>
      <c r="O606" s="136"/>
      <c r="P606" s="133"/>
      <c r="Q606" s="133"/>
      <c r="V606" s="133"/>
      <c r="W606" s="137"/>
      <c r="X606" s="133"/>
      <c r="Z606" s="133"/>
      <c r="AA606" s="133"/>
      <c r="AB606" s="137"/>
      <c r="AC606" s="133"/>
      <c r="AD606" s="133"/>
      <c r="AJ606" s="133"/>
      <c r="AK606" s="133"/>
      <c r="AN606" s="137"/>
    </row>
    <row r="607" s="117" customFormat="1" spans="2:40">
      <c r="B607" s="133"/>
      <c r="C607" s="133"/>
      <c r="D607" s="133"/>
      <c r="E607" s="8"/>
      <c r="H607" s="8"/>
      <c r="I607" s="133"/>
      <c r="J607" s="134"/>
      <c r="K607" s="133"/>
      <c r="L607" s="133"/>
      <c r="M607" s="135"/>
      <c r="O607" s="136"/>
      <c r="P607" s="133"/>
      <c r="Q607" s="133"/>
      <c r="V607" s="133"/>
      <c r="W607" s="137"/>
      <c r="X607" s="133"/>
      <c r="Z607" s="133"/>
      <c r="AA607" s="133"/>
      <c r="AB607" s="137"/>
      <c r="AC607" s="133"/>
      <c r="AD607" s="133"/>
      <c r="AJ607" s="133"/>
      <c r="AK607" s="133"/>
      <c r="AN607" s="137"/>
    </row>
    <row r="608" spans="2:42">
      <c r="B608" s="8"/>
      <c r="C608" s="8"/>
      <c r="D608" s="8"/>
      <c r="E608" s="8"/>
      <c r="H608" s="8"/>
      <c r="I608" s="8"/>
      <c r="J608" s="120"/>
      <c r="K608" s="8"/>
      <c r="L608" s="8"/>
      <c r="M608" s="132"/>
      <c r="O608" s="118"/>
      <c r="P608" s="8"/>
      <c r="Q608" s="8"/>
      <c r="W608" s="8"/>
      <c r="X608" s="8"/>
      <c r="Z608" s="8"/>
      <c r="AA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0"/>
      <c r="K609" s="8"/>
      <c r="L609" s="8"/>
      <c r="M609" s="132"/>
      <c r="O609" s="118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0"/>
      <c r="K610" s="8"/>
      <c r="L610" s="8"/>
      <c r="M610" s="132"/>
      <c r="O610" s="118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20"/>
      <c r="K611" s="8"/>
      <c r="L611" s="8"/>
      <c r="M611" s="132"/>
      <c r="O611" s="118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="117" customFormat="1" spans="2:42">
      <c r="B612" s="133"/>
      <c r="C612" s="133"/>
      <c r="D612" s="133"/>
      <c r="E612" s="8"/>
      <c r="H612" s="8"/>
      <c r="I612" s="133"/>
      <c r="J612" s="134"/>
      <c r="K612" s="133"/>
      <c r="L612" s="133"/>
      <c r="M612" s="135"/>
      <c r="O612" s="136"/>
      <c r="P612" s="133"/>
      <c r="Q612" s="133"/>
      <c r="W612" s="133"/>
      <c r="X612" s="133"/>
      <c r="Z612" s="133"/>
      <c r="AA612" s="133"/>
      <c r="AB612" s="137"/>
      <c r="AC612" s="133"/>
      <c r="AD612" s="133"/>
      <c r="AJ612" s="133"/>
      <c r="AK612" s="133"/>
      <c r="AN612" s="137"/>
      <c r="AO612" s="133"/>
      <c r="AP612" s="133"/>
    </row>
    <row r="613" s="117" customFormat="1" spans="2:42">
      <c r="B613" s="133"/>
      <c r="C613" s="133"/>
      <c r="D613" s="133"/>
      <c r="E613" s="8"/>
      <c r="H613" s="8"/>
      <c r="I613" s="133"/>
      <c r="J613" s="134"/>
      <c r="K613" s="133"/>
      <c r="L613" s="133"/>
      <c r="M613" s="135"/>
      <c r="O613" s="136"/>
      <c r="P613" s="133"/>
      <c r="Q613" s="133"/>
      <c r="W613" s="133"/>
      <c r="X613" s="133"/>
      <c r="Z613" s="133"/>
      <c r="AA613" s="133"/>
      <c r="AB613" s="137"/>
      <c r="AC613" s="133"/>
      <c r="AD613" s="133"/>
      <c r="AJ613" s="133"/>
      <c r="AK613" s="133"/>
      <c r="AN613" s="137"/>
      <c r="AO613" s="133"/>
      <c r="AP613" s="133"/>
    </row>
    <row r="614" s="117" customFormat="1" spans="2:42">
      <c r="B614" s="133"/>
      <c r="C614" s="133"/>
      <c r="D614" s="133"/>
      <c r="E614" s="8"/>
      <c r="H614" s="8"/>
      <c r="I614" s="133"/>
      <c r="J614" s="134"/>
      <c r="K614" s="133"/>
      <c r="L614" s="133"/>
      <c r="M614" s="135"/>
      <c r="O614" s="136"/>
      <c r="P614" s="133"/>
      <c r="Q614" s="133"/>
      <c r="W614" s="133"/>
      <c r="X614" s="133"/>
      <c r="Z614" s="133"/>
      <c r="AA614" s="133"/>
      <c r="AB614" s="137"/>
      <c r="AC614" s="133"/>
      <c r="AD614" s="133"/>
      <c r="AJ614" s="133"/>
      <c r="AK614" s="133"/>
      <c r="AN614" s="137"/>
      <c r="AO614" s="133"/>
      <c r="AP614" s="133"/>
    </row>
    <row r="615" s="117" customFormat="1" spans="2:42">
      <c r="B615" s="133"/>
      <c r="C615" s="133"/>
      <c r="D615" s="133"/>
      <c r="E615" s="8"/>
      <c r="H615" s="8"/>
      <c r="I615" s="133"/>
      <c r="J615" s="134"/>
      <c r="K615" s="133"/>
      <c r="L615" s="133"/>
      <c r="M615" s="135"/>
      <c r="O615" s="136"/>
      <c r="P615" s="133"/>
      <c r="Q615" s="133"/>
      <c r="W615" s="133"/>
      <c r="X615" s="133"/>
      <c r="Z615" s="133"/>
      <c r="AA615" s="133"/>
      <c r="AB615" s="137"/>
      <c r="AC615" s="133"/>
      <c r="AD615" s="133"/>
      <c r="AJ615" s="133"/>
      <c r="AK615" s="133"/>
      <c r="AN615" s="137"/>
      <c r="AO615" s="133"/>
      <c r="AP615" s="133"/>
    </row>
    <row r="616" spans="2:42">
      <c r="B616" s="8"/>
      <c r="C616" s="8"/>
      <c r="D616" s="8"/>
      <c r="E616" s="8"/>
      <c r="H616" s="8"/>
      <c r="I616" s="8"/>
      <c r="J616" s="120"/>
      <c r="K616" s="8"/>
      <c r="L616" s="8"/>
      <c r="M616" s="121"/>
      <c r="O616" s="8"/>
      <c r="P616" s="8"/>
      <c r="Q616" s="8"/>
      <c r="W616" s="8"/>
      <c r="X616" s="8"/>
      <c r="Z616" s="8"/>
      <c r="AA616" s="8"/>
      <c r="AC616" s="8"/>
      <c r="AD616" s="8"/>
      <c r="AI616" s="8"/>
      <c r="AJ616" s="8"/>
      <c r="AK616" s="8"/>
      <c r="AO616" s="8"/>
      <c r="AP616" s="8"/>
    </row>
    <row r="617" spans="2:42">
      <c r="B617" s="8"/>
      <c r="C617" s="8"/>
      <c r="D617" s="8"/>
      <c r="E617" s="8"/>
      <c r="H617" s="8"/>
      <c r="I617" s="8"/>
      <c r="J617" s="120"/>
      <c r="K617" s="8"/>
      <c r="L617" s="8"/>
      <c r="M617" s="121"/>
      <c r="O617" s="8"/>
      <c r="P617" s="8"/>
      <c r="Q617" s="8"/>
      <c r="W617" s="8"/>
      <c r="X617" s="8"/>
      <c r="Z617" s="8"/>
      <c r="AA617" s="8"/>
      <c r="AC617" s="8"/>
      <c r="AD617" s="8"/>
      <c r="AI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0"/>
      <c r="K618" s="8"/>
      <c r="L618" s="8"/>
      <c r="M618" s="121"/>
      <c r="O618" s="8"/>
      <c r="P618" s="8"/>
      <c r="Q618" s="8"/>
      <c r="W618" s="8"/>
      <c r="X618" s="8"/>
      <c r="Z618" s="8"/>
      <c r="AA618" s="8"/>
      <c r="AC618" s="8"/>
      <c r="AD618" s="8"/>
      <c r="AI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0"/>
      <c r="K619" s="8"/>
      <c r="L619" s="8"/>
      <c r="M619" s="121"/>
      <c r="O619" s="8"/>
      <c r="P619" s="8"/>
      <c r="Q619" s="8"/>
      <c r="W619" s="8"/>
      <c r="X619" s="8"/>
      <c r="Z619" s="8"/>
      <c r="AA619" s="8"/>
      <c r="AC619" s="8"/>
      <c r="AD619" s="8"/>
      <c r="AI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0"/>
      <c r="K620" s="8"/>
      <c r="L620" s="8"/>
      <c r="M620" s="121"/>
      <c r="O620" s="8"/>
      <c r="P620" s="8"/>
      <c r="Q620" s="8"/>
      <c r="W620" s="8"/>
      <c r="X620" s="8"/>
      <c r="Z620" s="8"/>
      <c r="AA620" s="8"/>
      <c r="AC620" s="8"/>
      <c r="AD620" s="8"/>
      <c r="AI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0"/>
      <c r="K621" s="8"/>
      <c r="L621" s="8"/>
      <c r="M621" s="121"/>
      <c r="O621" s="8"/>
      <c r="P621" s="8"/>
      <c r="Q621" s="8"/>
      <c r="W621" s="8"/>
      <c r="X621" s="8"/>
      <c r="Z621" s="8"/>
      <c r="AA621" s="8"/>
      <c r="AC621" s="8"/>
      <c r="AD621" s="8"/>
      <c r="AI621" s="8"/>
      <c r="AJ621" s="8"/>
      <c r="AK621" s="8"/>
      <c r="AO621" s="8"/>
      <c r="AP621" s="8"/>
    </row>
    <row r="622" spans="2:42">
      <c r="B622" s="8"/>
      <c r="C622" s="8"/>
      <c r="D622" s="8"/>
      <c r="E622" s="8"/>
      <c r="H622" s="8"/>
      <c r="I622" s="8"/>
      <c r="J622" s="120"/>
      <c r="K622" s="8"/>
      <c r="L622" s="8"/>
      <c r="M622" s="121"/>
      <c r="O622" s="8"/>
      <c r="P622" s="8"/>
      <c r="Q622" s="8"/>
      <c r="W622" s="8"/>
      <c r="X622" s="8"/>
      <c r="Z622" s="8"/>
      <c r="AA622" s="8"/>
      <c r="AC622" s="8"/>
      <c r="AD622" s="8"/>
      <c r="AI622" s="8"/>
      <c r="AJ622" s="8"/>
      <c r="AK622" s="8"/>
      <c r="AO622" s="8"/>
      <c r="AP622" s="8"/>
    </row>
    <row r="623" spans="2:42">
      <c r="B623" s="8"/>
      <c r="C623" s="8"/>
      <c r="D623" s="8"/>
      <c r="E623" s="8"/>
      <c r="H623" s="8"/>
      <c r="I623" s="8"/>
      <c r="J623" s="120"/>
      <c r="K623" s="8"/>
      <c r="L623" s="8"/>
      <c r="M623" s="121"/>
      <c r="O623" s="8"/>
      <c r="P623" s="8"/>
      <c r="Q623" s="8"/>
      <c r="W623" s="8"/>
      <c r="X623" s="8"/>
      <c r="Z623" s="8"/>
      <c r="AA623" s="8"/>
      <c r="AC623" s="8"/>
      <c r="AD623" s="8"/>
      <c r="AI623" s="8"/>
      <c r="AJ623" s="8"/>
      <c r="AK623" s="8"/>
      <c r="AO623" s="8"/>
      <c r="AP623" s="8"/>
    </row>
    <row r="624" spans="2:42">
      <c r="B624" s="8"/>
      <c r="C624" s="8"/>
      <c r="D624" s="8"/>
      <c r="E624" s="8"/>
      <c r="H624" s="8"/>
      <c r="I624" s="8"/>
      <c r="J624" s="120"/>
      <c r="K624" s="8"/>
      <c r="L624" s="8"/>
      <c r="M624" s="121"/>
      <c r="O624" s="8"/>
      <c r="P624" s="8"/>
      <c r="Q624" s="8"/>
      <c r="W624" s="8"/>
      <c r="X624" s="8"/>
      <c r="Z624" s="8"/>
      <c r="AA624" s="8"/>
      <c r="AC624" s="8"/>
      <c r="AD624" s="8"/>
      <c r="AI624" s="8"/>
      <c r="AJ624" s="8"/>
      <c r="AK624" s="8"/>
      <c r="AO624" s="8"/>
      <c r="AP624" s="8"/>
    </row>
    <row r="625" spans="2:42">
      <c r="B625" s="8"/>
      <c r="C625" s="8"/>
      <c r="D625" s="8"/>
      <c r="E625" s="8"/>
      <c r="H625" s="8"/>
      <c r="I625" s="8"/>
      <c r="J625" s="120"/>
      <c r="K625" s="8"/>
      <c r="L625" s="8"/>
      <c r="M625" s="121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0"/>
      <c r="K626" s="8"/>
      <c r="L626" s="8"/>
      <c r="M626" s="121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0"/>
      <c r="K627" s="8"/>
      <c r="L627" s="8"/>
      <c r="M627" s="121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0"/>
      <c r="K628" s="8"/>
      <c r="L628" s="8"/>
      <c r="M628" s="121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0"/>
      <c r="K629" s="8"/>
      <c r="L629" s="8"/>
      <c r="M629" s="121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120"/>
      <c r="C630" s="8"/>
      <c r="D630" s="8"/>
      <c r="E630" s="8"/>
      <c r="H630" s="8"/>
      <c r="I630" s="120"/>
      <c r="J630" s="120"/>
      <c r="K630" s="8"/>
      <c r="L630" s="8"/>
      <c r="M630" s="121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0"/>
      <c r="K631" s="8"/>
      <c r="L631" s="8"/>
      <c r="O631" s="118"/>
      <c r="P631" s="8"/>
      <c r="Q631" s="8"/>
      <c r="V631" s="8"/>
      <c r="W631" s="114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0"/>
      <c r="K632" s="8"/>
      <c r="L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0"/>
      <c r="K633" s="8"/>
      <c r="L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0"/>
      <c r="K634" s="8"/>
      <c r="L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0"/>
      <c r="K635" s="8"/>
      <c r="L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0"/>
      <c r="K636" s="8"/>
      <c r="L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0"/>
      <c r="K637" s="8"/>
      <c r="L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0"/>
      <c r="K638" s="8"/>
      <c r="L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0"/>
      <c r="K639" s="8"/>
      <c r="L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37">
      <c r="B640" s="8"/>
      <c r="C640" s="8"/>
      <c r="D640" s="8"/>
      <c r="E640" s="8"/>
      <c r="H640" s="8"/>
      <c r="I640" s="8"/>
      <c r="J640" s="120"/>
      <c r="K640" s="8"/>
      <c r="L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</row>
    <row r="641" spans="2:42">
      <c r="B641" s="8"/>
      <c r="C641" s="8"/>
      <c r="D641" s="8"/>
      <c r="E641" s="8"/>
      <c r="H641" s="8"/>
      <c r="I641" s="8"/>
      <c r="J641" s="120"/>
      <c r="K641" s="8"/>
      <c r="L641" s="8"/>
      <c r="P641" s="8"/>
      <c r="Q641" s="8"/>
      <c r="R641" s="114"/>
      <c r="S641" s="114"/>
      <c r="T641" s="114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0"/>
      <c r="K642" s="8"/>
      <c r="L642" s="8"/>
      <c r="P642" s="8"/>
      <c r="Q642" s="8"/>
      <c r="R642" s="114"/>
      <c r="S642" s="114"/>
      <c r="T642" s="114"/>
      <c r="W642" s="8"/>
      <c r="X642" s="8"/>
      <c r="Z642" s="8"/>
      <c r="AA642" s="8"/>
      <c r="AC642" s="8"/>
      <c r="AD642" s="8"/>
      <c r="AJ642" s="8"/>
      <c r="AK642" s="8"/>
      <c r="AO642" s="8"/>
      <c r="AP642" s="8"/>
    </row>
    <row r="643" spans="2:37">
      <c r="B643" s="8"/>
      <c r="C643" s="8"/>
      <c r="D643" s="8"/>
      <c r="E643" s="8"/>
      <c r="H643" s="8"/>
      <c r="I643" s="8"/>
      <c r="J643" s="120"/>
      <c r="K643" s="8"/>
      <c r="L643" s="8"/>
      <c r="P643" s="8"/>
      <c r="Q643" s="8"/>
      <c r="R643" s="114"/>
      <c r="S643" s="114"/>
      <c r="T643" s="114"/>
      <c r="W643" s="8"/>
      <c r="X643" s="8"/>
      <c r="Z643" s="8"/>
      <c r="AA643" s="8"/>
      <c r="AC643" s="8"/>
      <c r="AD643" s="8"/>
      <c r="AJ643" s="8"/>
      <c r="AK643" s="8"/>
    </row>
    <row r="644" spans="2:37">
      <c r="B644" s="8"/>
      <c r="C644" s="8"/>
      <c r="D644" s="8"/>
      <c r="E644" s="8"/>
      <c r="H644" s="8"/>
      <c r="I644" s="8"/>
      <c r="J644" s="120"/>
      <c r="K644" s="8"/>
      <c r="L644" s="8"/>
      <c r="P644" s="8"/>
      <c r="Q644" s="8"/>
      <c r="R644" s="114"/>
      <c r="S644" s="114"/>
      <c r="T644" s="114"/>
      <c r="W644" s="8"/>
      <c r="X644" s="8"/>
      <c r="Z644" s="8"/>
      <c r="AA644" s="8"/>
      <c r="AC644" s="8"/>
      <c r="AD644" s="8"/>
      <c r="AJ644" s="8"/>
      <c r="AK644" s="8"/>
    </row>
    <row r="645" spans="2:37">
      <c r="B645" s="8"/>
      <c r="C645" s="8"/>
      <c r="D645" s="8"/>
      <c r="E645" s="8"/>
      <c r="H645" s="8"/>
      <c r="I645" s="8"/>
      <c r="J645" s="120"/>
      <c r="K645" s="8"/>
      <c r="L645" s="8"/>
      <c r="P645" s="8"/>
      <c r="Q645" s="8"/>
      <c r="R645" s="114"/>
      <c r="S645" s="114"/>
      <c r="T645" s="114"/>
      <c r="W645" s="8"/>
      <c r="X645" s="8"/>
      <c r="Z645" s="8"/>
      <c r="AA645" s="8"/>
      <c r="AC645" s="8"/>
      <c r="AD645" s="8"/>
      <c r="AJ645" s="8"/>
      <c r="AK645" s="8"/>
    </row>
    <row r="646" spans="2:37">
      <c r="B646" s="8"/>
      <c r="C646" s="8"/>
      <c r="D646" s="8"/>
      <c r="E646" s="8"/>
      <c r="H646" s="8"/>
      <c r="I646" s="8"/>
      <c r="J646" s="120"/>
      <c r="K646" s="8"/>
      <c r="L646" s="8"/>
      <c r="P646" s="8"/>
      <c r="Q646" s="8"/>
      <c r="R646" s="114"/>
      <c r="S646" s="114"/>
      <c r="T646" s="114"/>
      <c r="W646" s="8"/>
      <c r="X646" s="8"/>
      <c r="Z646" s="8"/>
      <c r="AA646" s="8"/>
      <c r="AC646" s="8"/>
      <c r="AD646" s="8"/>
      <c r="AJ646" s="8"/>
      <c r="AK646" s="8"/>
    </row>
    <row r="647" spans="2:37">
      <c r="B647" s="8"/>
      <c r="C647" s="8"/>
      <c r="D647" s="8"/>
      <c r="E647" s="8"/>
      <c r="H647" s="8"/>
      <c r="I647" s="8"/>
      <c r="J647" s="120"/>
      <c r="K647" s="8"/>
      <c r="L647" s="8"/>
      <c r="P647" s="8"/>
      <c r="Q647" s="8"/>
      <c r="R647" s="114"/>
      <c r="S647" s="114"/>
      <c r="T647" s="114"/>
      <c r="W647" s="8"/>
      <c r="X647" s="8"/>
      <c r="Z647" s="8"/>
      <c r="AA647" s="8"/>
      <c r="AC647" s="8"/>
      <c r="AD647" s="8"/>
      <c r="AJ647" s="8"/>
      <c r="AK647" s="8"/>
    </row>
    <row r="648" spans="2:37">
      <c r="B648" s="8"/>
      <c r="C648" s="8"/>
      <c r="D648" s="8"/>
      <c r="E648" s="8"/>
      <c r="H648" s="8"/>
      <c r="I648" s="8"/>
      <c r="J648" s="120"/>
      <c r="K648" s="8"/>
      <c r="L648" s="8"/>
      <c r="P648" s="8"/>
      <c r="Q648" s="8"/>
      <c r="R648" s="114"/>
      <c r="S648" s="114"/>
      <c r="T648" s="114"/>
      <c r="W648" s="8"/>
      <c r="X648" s="8"/>
      <c r="Z648" s="8"/>
      <c r="AA648" s="8"/>
      <c r="AC648" s="8"/>
      <c r="AD648" s="8"/>
      <c r="AJ648" s="8"/>
      <c r="AK648" s="8"/>
    </row>
    <row r="649" spans="2:37">
      <c r="B649" s="8"/>
      <c r="C649" s="8"/>
      <c r="D649" s="8"/>
      <c r="E649" s="8"/>
      <c r="H649" s="8"/>
      <c r="I649" s="8"/>
      <c r="J649" s="120"/>
      <c r="K649" s="8"/>
      <c r="L649" s="8"/>
      <c r="P649" s="8"/>
      <c r="Q649" s="8"/>
      <c r="R649" s="114"/>
      <c r="S649" s="114"/>
      <c r="T649" s="114"/>
      <c r="W649" s="8"/>
      <c r="X649" s="8"/>
      <c r="Z649" s="8"/>
      <c r="AA649" s="8"/>
      <c r="AC649" s="8"/>
      <c r="AD649" s="8"/>
      <c r="AJ649" s="8"/>
      <c r="AK649" s="8"/>
    </row>
    <row r="650" spans="2:41">
      <c r="B650" s="8"/>
      <c r="C650" s="8"/>
      <c r="D650" s="8"/>
      <c r="E650" s="8"/>
      <c r="H650" s="8"/>
      <c r="I650" s="118"/>
      <c r="J650" s="120"/>
      <c r="K650" s="8"/>
      <c r="M650" s="128"/>
      <c r="W650" s="8"/>
      <c r="Z650" s="8"/>
      <c r="AA650" s="8"/>
      <c r="AC650" s="8"/>
      <c r="AD650" s="8"/>
      <c r="AI650" s="8"/>
      <c r="AO650" s="8"/>
    </row>
    <row r="651" spans="2:41">
      <c r="B651" s="8"/>
      <c r="C651" s="8"/>
      <c r="D651" s="8"/>
      <c r="E651" s="8"/>
      <c r="H651" s="8"/>
      <c r="I651" s="118"/>
      <c r="J651" s="120"/>
      <c r="K651" s="8"/>
      <c r="M651" s="128"/>
      <c r="W651" s="8"/>
      <c r="Z651" s="8"/>
      <c r="AA651" s="8"/>
      <c r="AC651" s="8"/>
      <c r="AD651" s="8"/>
      <c r="AI651" s="8"/>
      <c r="AO651" s="8"/>
    </row>
    <row r="652" spans="2:41">
      <c r="B652" s="8"/>
      <c r="C652" s="8"/>
      <c r="D652" s="8"/>
      <c r="E652" s="8"/>
      <c r="H652" s="8"/>
      <c r="I652" s="118"/>
      <c r="J652" s="120"/>
      <c r="K652" s="8"/>
      <c r="M652" s="128"/>
      <c r="W652" s="8"/>
      <c r="Z652" s="8"/>
      <c r="AA652" s="8"/>
      <c r="AC652" s="8"/>
      <c r="AD652" s="8"/>
      <c r="AI652" s="8"/>
      <c r="AO652" s="8"/>
    </row>
    <row r="653" spans="2:41">
      <c r="B653" s="8"/>
      <c r="C653" s="8"/>
      <c r="D653" s="8"/>
      <c r="E653" s="8"/>
      <c r="H653" s="8"/>
      <c r="I653" s="118"/>
      <c r="J653" s="120"/>
      <c r="K653" s="8"/>
      <c r="M653" s="128"/>
      <c r="W653" s="8"/>
      <c r="Z653" s="8"/>
      <c r="AA653" s="8"/>
      <c r="AC653" s="8"/>
      <c r="AD653" s="8"/>
      <c r="AI653" s="8"/>
      <c r="AO653" s="8"/>
    </row>
    <row r="654" spans="2:41">
      <c r="B654" s="8"/>
      <c r="C654" s="8"/>
      <c r="D654" s="8"/>
      <c r="E654" s="8"/>
      <c r="H654" s="8"/>
      <c r="I654" s="118"/>
      <c r="J654" s="120"/>
      <c r="K654" s="8"/>
      <c r="M654" s="128"/>
      <c r="W654" s="8"/>
      <c r="Z654" s="8"/>
      <c r="AA654" s="8"/>
      <c r="AC654" s="8"/>
      <c r="AD654" s="8"/>
      <c r="AI654" s="8"/>
      <c r="AO654" s="8"/>
    </row>
    <row r="655" spans="2:41">
      <c r="B655" s="8"/>
      <c r="C655" s="8"/>
      <c r="D655" s="8"/>
      <c r="E655" s="8"/>
      <c r="H655" s="8"/>
      <c r="I655" s="118"/>
      <c r="J655" s="120"/>
      <c r="K655" s="8"/>
      <c r="M655" s="128"/>
      <c r="W655" s="8"/>
      <c r="Z655" s="8"/>
      <c r="AA655" s="8"/>
      <c r="AC655" s="8"/>
      <c r="AD655" s="8"/>
      <c r="AI655" s="8"/>
      <c r="AO655" s="8"/>
    </row>
    <row r="656" spans="2:41">
      <c r="B656" s="8"/>
      <c r="C656" s="8"/>
      <c r="D656" s="8"/>
      <c r="E656" s="8"/>
      <c r="H656" s="8"/>
      <c r="I656" s="118"/>
      <c r="J656" s="120"/>
      <c r="K656" s="8"/>
      <c r="M656" s="128"/>
      <c r="W656" s="8"/>
      <c r="Z656" s="8"/>
      <c r="AA656" s="8"/>
      <c r="AC656" s="8"/>
      <c r="AD656" s="8"/>
      <c r="AI656" s="8"/>
      <c r="AO656" s="8"/>
    </row>
    <row r="657" spans="2:41">
      <c r="B657" s="8"/>
      <c r="C657" s="8"/>
      <c r="D657" s="8"/>
      <c r="E657" s="8"/>
      <c r="H657" s="8"/>
      <c r="I657" s="118"/>
      <c r="J657" s="120"/>
      <c r="K657" s="8"/>
      <c r="M657" s="128"/>
      <c r="W657" s="8"/>
      <c r="Z657" s="8"/>
      <c r="AA657" s="8"/>
      <c r="AC657" s="8"/>
      <c r="AD657" s="8"/>
      <c r="AI657" s="8"/>
      <c r="AO657" s="8"/>
    </row>
    <row r="658" spans="2:11">
      <c r="B658" s="8"/>
      <c r="C658" s="8"/>
      <c r="D658" s="8"/>
      <c r="E658" s="8"/>
      <c r="H658" s="8"/>
      <c r="J658" s="120"/>
      <c r="K658" s="8"/>
    </row>
    <row r="659" spans="2:11">
      <c r="B659" s="8"/>
      <c r="C659" s="8"/>
      <c r="D659" s="8"/>
      <c r="E659" s="8"/>
      <c r="H659" s="8"/>
      <c r="J659" s="120"/>
      <c r="K659" s="114"/>
    </row>
    <row r="660" spans="5:10">
      <c r="E660" s="8"/>
      <c r="J660" s="120"/>
    </row>
    <row r="661" spans="5:10">
      <c r="E661" s="8"/>
      <c r="J661" s="120"/>
    </row>
    <row r="662" spans="5:10">
      <c r="E662" s="8"/>
      <c r="J662" s="120"/>
    </row>
    <row r="663" spans="5:10">
      <c r="E663" s="8"/>
      <c r="J663" s="120"/>
    </row>
    <row r="664" spans="5:10">
      <c r="E664" s="8"/>
      <c r="J664" s="120"/>
    </row>
    <row r="665" spans="5:10">
      <c r="E665" s="8"/>
      <c r="J665" s="120"/>
    </row>
    <row r="666" spans="5:10">
      <c r="E666" s="8"/>
      <c r="J666" s="120"/>
    </row>
    <row r="667" spans="5:10">
      <c r="E667" s="8"/>
      <c r="J667" s="120"/>
    </row>
    <row r="668" spans="5:10">
      <c r="E668" s="8"/>
      <c r="J668" s="120"/>
    </row>
    <row r="669" spans="5:10">
      <c r="E669" s="8"/>
      <c r="J669" s="120"/>
    </row>
    <row r="670" spans="5:10">
      <c r="E670" s="8"/>
      <c r="J670" s="120"/>
    </row>
    <row r="671" spans="5:10">
      <c r="E671" s="8"/>
      <c r="J671" s="120"/>
    </row>
    <row r="672" spans="5:10">
      <c r="E672" s="8"/>
      <c r="J672" s="120"/>
    </row>
    <row r="673" spans="5:10">
      <c r="E673" s="8"/>
      <c r="J673" s="120"/>
    </row>
    <row r="674" spans="5:10">
      <c r="E674" s="8"/>
      <c r="J674" s="120"/>
    </row>
    <row r="675" spans="5:10">
      <c r="E675" s="8"/>
      <c r="J675" s="120"/>
    </row>
    <row r="676" spans="5:10">
      <c r="E676" s="8"/>
      <c r="J676" s="120"/>
    </row>
    <row r="677" spans="5:10">
      <c r="E677" s="8"/>
      <c r="J677" s="120"/>
    </row>
    <row r="678" spans="5:10">
      <c r="E678" s="8"/>
      <c r="J678" s="120"/>
    </row>
    <row r="679" spans="5:10">
      <c r="E679" s="8"/>
      <c r="J679" s="120"/>
    </row>
    <row r="680" spans="5:10">
      <c r="E680" s="8"/>
      <c r="J680" s="120"/>
    </row>
    <row r="681" spans="5:10">
      <c r="E681" s="8"/>
      <c r="J681" s="120"/>
    </row>
    <row r="682" spans="5:10">
      <c r="E682" s="8"/>
      <c r="J682" s="120"/>
    </row>
    <row r="683" spans="5:10">
      <c r="E683" s="8"/>
      <c r="J683" s="120"/>
    </row>
    <row r="684" spans="5:10">
      <c r="E684" s="8"/>
      <c r="J684" s="120"/>
    </row>
    <row r="685" spans="5:10">
      <c r="E685" s="8"/>
      <c r="J685" s="120"/>
    </row>
    <row r="686" spans="5:10">
      <c r="E686" s="8"/>
      <c r="J686" s="120"/>
    </row>
    <row r="687" spans="5:10">
      <c r="E687" s="8"/>
      <c r="J687" s="120"/>
    </row>
    <row r="688" spans="5:10">
      <c r="E688" s="8"/>
      <c r="J688" s="120"/>
    </row>
    <row r="689" spans="5:10">
      <c r="E689" s="8"/>
      <c r="J689" s="120"/>
    </row>
    <row r="690" spans="5:10">
      <c r="E690" s="8"/>
      <c r="J690" s="120"/>
    </row>
    <row r="691" spans="5:10">
      <c r="E691" s="8"/>
      <c r="J691" s="120"/>
    </row>
    <row r="692" spans="5:10">
      <c r="E692" s="8"/>
      <c r="J692" s="120"/>
    </row>
    <row r="693" spans="5:10">
      <c r="E693" s="8"/>
      <c r="J693" s="120"/>
    </row>
    <row r="694" spans="5:10">
      <c r="E694" s="8"/>
      <c r="J694" s="120"/>
    </row>
    <row r="695" spans="5:10">
      <c r="E695" s="8"/>
      <c r="J695" s="120"/>
    </row>
    <row r="696" spans="5:10">
      <c r="E696" s="8"/>
      <c r="J696" s="120"/>
    </row>
    <row r="697" spans="5:10">
      <c r="E697" s="8"/>
      <c r="J697" s="120"/>
    </row>
    <row r="698" spans="5:5">
      <c r="E698" s="8"/>
    </row>
    <row r="699" spans="5:5">
      <c r="E699" s="8"/>
    </row>
  </sheetData>
  <autoFilter ref="A1:AP69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F177" activePane="bottomRight" state="frozen"/>
      <selection/>
      <selection pane="topRight"/>
      <selection pane="bottomLeft"/>
      <selection pane="bottomRight" activeCell="C196" sqref="C196"/>
    </sheetView>
  </sheetViews>
  <sheetFormatPr defaultColWidth="9" defaultRowHeight="13.8"/>
  <cols>
    <col min="1" max="1" width="2.12962962962963" style="14" customWidth="1"/>
    <col min="2" max="2" width="5.12962962962963" style="14" customWidth="1"/>
    <col min="3" max="3" width="27.1296296296296" style="14" customWidth="1"/>
    <col min="4" max="5" width="4.25" style="14" customWidth="1"/>
    <col min="6" max="6" width="8.12962962962963" style="15" customWidth="1"/>
    <col min="7" max="8" width="6.12962962962963" style="15" customWidth="1"/>
    <col min="9" max="9" width="6.62962962962963" style="15" customWidth="1"/>
    <col min="10" max="10" width="4.87962962962963" style="15" customWidth="1"/>
    <col min="11" max="11" width="5.12962962962963" style="15" customWidth="1"/>
    <col min="12" max="12" width="4.62962962962963" style="15" customWidth="1"/>
    <col min="13" max="13" width="5.25" style="15" customWidth="1"/>
    <col min="14" max="15" width="4.37962962962963" style="15" customWidth="1"/>
    <col min="16" max="19" width="5" style="38" customWidth="1"/>
    <col min="20" max="20" width="37.6296296296296" style="39" customWidth="1"/>
    <col min="21" max="21" width="50.3796296296296" style="40" customWidth="1"/>
    <col min="22" max="22" width="8.62962962962963" style="41" customWidth="1"/>
    <col min="23" max="43" width="8.62962962962963" style="42" customWidth="1"/>
    <col min="44" max="45" width="8.62962962962963" style="43" customWidth="1"/>
    <col min="46" max="91" width="8.62962962962963" style="42" customWidth="1"/>
    <col min="92" max="92" width="9.62962962962963" style="13" hidden="1" customWidth="1"/>
    <col min="93" max="93" width="14.5" style="13" hidden="1" customWidth="1"/>
    <col min="94" max="94" width="12" style="13" hidden="1" customWidth="1"/>
    <col min="95" max="95" width="13.1296296296296" style="13" hidden="1" customWidth="1"/>
    <col min="96" max="98" width="15.3796296296296" style="13" hidden="1" customWidth="1"/>
    <col min="99" max="99" width="46" style="6" customWidth="1"/>
    <col min="100" max="104" width="9" style="6"/>
    <col min="105" max="105" width="63" style="6" customWidth="1"/>
    <col min="106" max="119" width="3.62962962962963" style="44" customWidth="1"/>
    <col min="120" max="120" width="14.8796296296296" style="44" customWidth="1"/>
    <col min="121" max="131" width="3.62962962962963" style="44" customWidth="1"/>
    <col min="132" max="132" width="19.8796296296296" style="44" customWidth="1"/>
    <col min="133" max="133" width="9" style="44" customWidth="1"/>
    <col min="134" max="146" width="3.62962962962963" style="44" customWidth="1"/>
    <col min="147" max="147" width="4" style="6" customWidth="1"/>
    <col min="148" max="175" width="3.62962962962963" style="6" customWidth="1"/>
    <col min="176" max="16384" width="9" style="6"/>
  </cols>
  <sheetData>
    <row r="1" spans="6:174">
      <c r="F1" s="45" t="s">
        <v>94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95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96</v>
      </c>
      <c r="CR1" s="69" t="s">
        <v>96</v>
      </c>
      <c r="CS1" s="71"/>
      <c r="CT1" s="71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7" t="s">
        <v>97</v>
      </c>
      <c r="FK1" s="37" t="s">
        <v>97</v>
      </c>
      <c r="FL1" s="37" t="s">
        <v>97</v>
      </c>
      <c r="FM1" s="37" t="s">
        <v>97</v>
      </c>
      <c r="FN1" s="37" t="s">
        <v>97</v>
      </c>
      <c r="FO1" s="37" t="s">
        <v>97</v>
      </c>
      <c r="FP1" s="37" t="s">
        <v>97</v>
      </c>
      <c r="FQ1" s="37" t="s">
        <v>97</v>
      </c>
      <c r="FR1" s="37" t="s">
        <v>97</v>
      </c>
    </row>
    <row r="2" ht="14.4" spans="2:175">
      <c r="B2" s="14" t="s">
        <v>98</v>
      </c>
      <c r="D2" s="14" t="s">
        <v>99</v>
      </c>
      <c r="E2" s="14" t="s">
        <v>100</v>
      </c>
      <c r="F2" s="15" t="s">
        <v>101</v>
      </c>
      <c r="G2" s="15" t="s">
        <v>102</v>
      </c>
      <c r="H2" s="15" t="s">
        <v>103</v>
      </c>
      <c r="I2" s="15" t="s">
        <v>104</v>
      </c>
      <c r="J2" s="15" t="s">
        <v>105</v>
      </c>
      <c r="K2" s="15" t="s">
        <v>106</v>
      </c>
      <c r="L2" s="15" t="s">
        <v>107</v>
      </c>
      <c r="M2" s="15" t="s">
        <v>108</v>
      </c>
      <c r="N2" s="15" t="s">
        <v>109</v>
      </c>
      <c r="O2" s="15" t="s">
        <v>110</v>
      </c>
      <c r="P2" s="53" t="s">
        <v>101</v>
      </c>
      <c r="Q2" s="53" t="s">
        <v>111</v>
      </c>
      <c r="R2" s="53" t="s">
        <v>112</v>
      </c>
      <c r="S2" s="53" t="s">
        <v>113</v>
      </c>
      <c r="T2" s="58" t="s">
        <v>114</v>
      </c>
      <c r="U2" s="40" t="s">
        <v>115</v>
      </c>
      <c r="V2" t="s">
        <v>116</v>
      </c>
      <c r="W2" s="3" t="s">
        <v>117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66" t="s">
        <v>137</v>
      </c>
      <c r="AS2" s="66" t="s">
        <v>138</v>
      </c>
      <c r="AT2" t="s">
        <v>139</v>
      </c>
      <c r="AU2" t="s">
        <v>140</v>
      </c>
      <c r="AV2" s="3" t="s">
        <v>141</v>
      </c>
      <c r="AW2" s="3" t="s">
        <v>142</v>
      </c>
      <c r="AX2" s="3" t="s">
        <v>143</v>
      </c>
      <c r="AY2"/>
      <c r="AZ2" s="3" t="s">
        <v>144</v>
      </c>
      <c r="BA2" s="3" t="s">
        <v>145</v>
      </c>
      <c r="BB2" s="3" t="s">
        <v>146</v>
      </c>
      <c r="BC2" s="3" t="s">
        <v>147</v>
      </c>
      <c r="BD2" s="3" t="s">
        <v>148</v>
      </c>
      <c r="BE2" s="3"/>
      <c r="BF2" s="3"/>
      <c r="BG2" s="3"/>
      <c r="BH2" s="3"/>
      <c r="BI2" s="3" t="s">
        <v>149</v>
      </c>
      <c r="BJ2" s="3" t="s">
        <v>150</v>
      </c>
      <c r="BK2"/>
      <c r="BL2" s="68" t="s">
        <v>151</v>
      </c>
      <c r="BM2" s="68" t="s">
        <v>152</v>
      </c>
      <c r="BN2" s="68" t="s">
        <v>153</v>
      </c>
      <c r="BO2" s="68" t="s">
        <v>154</v>
      </c>
      <c r="BP2" s="68" t="s">
        <v>155</v>
      </c>
      <c r="BQ2" s="68" t="s">
        <v>156</v>
      </c>
      <c r="BR2" s="68" t="s">
        <v>157</v>
      </c>
      <c r="BS2" s="68" t="s">
        <v>158</v>
      </c>
      <c r="BT2" s="3" t="s">
        <v>159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160</v>
      </c>
      <c r="CO2" s="13" t="s">
        <v>161</v>
      </c>
      <c r="CP2" s="13" t="s">
        <v>162</v>
      </c>
      <c r="CQ2" s="13" t="s">
        <v>163</v>
      </c>
      <c r="CR2" s="13" t="s">
        <v>164</v>
      </c>
      <c r="CS2" s="13" t="s">
        <v>165</v>
      </c>
      <c r="CT2" s="13" t="s">
        <v>166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5" spans="1:175">
      <c r="A3" s="11"/>
      <c r="B3" s="46" t="s">
        <v>167</v>
      </c>
      <c r="C3" s="11" t="s">
        <v>168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169</v>
      </c>
      <c r="U3" s="60" t="s">
        <v>170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5" spans="1:175">
      <c r="A4" s="11"/>
      <c r="B4" s="46" t="s">
        <v>171</v>
      </c>
      <c r="C4" s="11" t="s">
        <v>172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169</v>
      </c>
      <c r="U4" s="60" t="s">
        <v>170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5" spans="1:175">
      <c r="A5" s="11"/>
      <c r="B5" s="46" t="s">
        <v>173</v>
      </c>
      <c r="C5" s="11" t="s">
        <v>174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169</v>
      </c>
      <c r="U5" s="60" t="s">
        <v>170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5" spans="1:175">
      <c r="A6" s="11"/>
      <c r="B6" s="46" t="s">
        <v>175</v>
      </c>
      <c r="C6" s="11" t="s">
        <v>176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169</v>
      </c>
      <c r="U6" s="60" t="s">
        <v>170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5" spans="1:175">
      <c r="A7" s="11"/>
      <c r="B7" s="46" t="s">
        <v>177</v>
      </c>
      <c r="C7" s="11" t="s">
        <v>178</v>
      </c>
      <c r="D7" s="47"/>
      <c r="E7" s="48"/>
      <c r="F7" s="49">
        <v>2500</v>
      </c>
      <c r="G7" s="50">
        <v>100</v>
      </c>
      <c r="H7" s="51" t="s">
        <v>179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169</v>
      </c>
      <c r="U7" s="60" t="s">
        <v>170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5" spans="1:175">
      <c r="A8" s="11"/>
      <c r="B8" s="46" t="s">
        <v>180</v>
      </c>
      <c r="C8" s="11" t="s">
        <v>181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169</v>
      </c>
      <c r="U8" s="60" t="s">
        <v>182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5" spans="1:175">
      <c r="A9" s="11"/>
      <c r="B9" s="46" t="s">
        <v>183</v>
      </c>
      <c r="C9" s="11" t="s">
        <v>184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169</v>
      </c>
      <c r="U9" s="60" t="s">
        <v>182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5" spans="1:175">
      <c r="A10" s="11"/>
      <c r="B10" s="46" t="s">
        <v>185</v>
      </c>
      <c r="C10" s="11" t="s">
        <v>186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169</v>
      </c>
      <c r="U10" s="60" t="s">
        <v>182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5" spans="1:175">
      <c r="A11" s="11"/>
      <c r="B11" s="46" t="s">
        <v>187</v>
      </c>
      <c r="C11" s="11" t="s">
        <v>188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169</v>
      </c>
      <c r="U11" s="60" t="s">
        <v>182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5" spans="1:175">
      <c r="A12" s="11"/>
      <c r="B12" s="46" t="s">
        <v>189</v>
      </c>
      <c r="C12" s="11" t="s">
        <v>190</v>
      </c>
      <c r="D12" s="47"/>
      <c r="E12" s="48"/>
      <c r="F12" s="49">
        <v>10000</v>
      </c>
      <c r="G12" s="50">
        <v>100</v>
      </c>
      <c r="H12" s="51" t="s">
        <v>191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169</v>
      </c>
      <c r="U12" s="60" t="s">
        <v>182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5" spans="1:175">
      <c r="A13" s="11"/>
      <c r="B13" s="46" t="s">
        <v>192</v>
      </c>
      <c r="C13" s="11" t="s">
        <v>193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169</v>
      </c>
      <c r="U13" s="60" t="s">
        <v>194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5" spans="1:175">
      <c r="A14" s="11"/>
      <c r="B14" s="46" t="s">
        <v>195</v>
      </c>
      <c r="C14" s="11" t="s">
        <v>196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169</v>
      </c>
      <c r="U14" s="60" t="s">
        <v>194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5" spans="1:175">
      <c r="A15" s="11"/>
      <c r="B15" s="46" t="s">
        <v>197</v>
      </c>
      <c r="C15" s="11" t="s">
        <v>198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169</v>
      </c>
      <c r="U15" s="60" t="s">
        <v>194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5" spans="1:175">
      <c r="A16" s="11"/>
      <c r="B16" s="46" t="s">
        <v>199</v>
      </c>
      <c r="C16" s="11" t="s">
        <v>200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169</v>
      </c>
      <c r="U16" s="60" t="s">
        <v>194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5" spans="1:175">
      <c r="A17" s="11"/>
      <c r="B17" s="46" t="s">
        <v>201</v>
      </c>
      <c r="C17" s="11" t="s">
        <v>202</v>
      </c>
      <c r="D17" s="47"/>
      <c r="E17" s="48"/>
      <c r="F17" s="49">
        <v>30000</v>
      </c>
      <c r="G17" s="50">
        <v>100</v>
      </c>
      <c r="H17" s="51" t="s">
        <v>203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169</v>
      </c>
      <c r="U17" s="60" t="s">
        <v>194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5" spans="1:175">
      <c r="A18" s="11"/>
      <c r="B18" s="46" t="s">
        <v>204</v>
      </c>
      <c r="C18" s="11" t="s">
        <v>205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169</v>
      </c>
      <c r="U18" s="60" t="s">
        <v>206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5" spans="1:175">
      <c r="A19" s="11"/>
      <c r="B19" s="46" t="s">
        <v>207</v>
      </c>
      <c r="C19" s="11" t="s">
        <v>208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169</v>
      </c>
      <c r="U19" s="60" t="s">
        <v>206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5" spans="1:175">
      <c r="A20" s="11"/>
      <c r="B20" s="46" t="s">
        <v>209</v>
      </c>
      <c r="C20" s="11" t="s">
        <v>210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169</v>
      </c>
      <c r="U20" s="60" t="s">
        <v>206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5" spans="1:175">
      <c r="A21" s="11"/>
      <c r="B21" s="46" t="s">
        <v>211</v>
      </c>
      <c r="C21" s="11" t="s">
        <v>212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169</v>
      </c>
      <c r="U21" s="60" t="s">
        <v>206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5" spans="1:175">
      <c r="A22" s="11"/>
      <c r="B22" s="46" t="s">
        <v>213</v>
      </c>
      <c r="C22" s="11" t="s">
        <v>214</v>
      </c>
      <c r="D22" s="47"/>
      <c r="E22" s="48"/>
      <c r="F22" s="49">
        <v>35000</v>
      </c>
      <c r="G22" s="50">
        <v>100</v>
      </c>
      <c r="H22" s="51" t="s">
        <v>215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169</v>
      </c>
      <c r="U22" s="60" t="s">
        <v>206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5" spans="1:175">
      <c r="A23" s="11"/>
      <c r="B23" s="46" t="s">
        <v>216</v>
      </c>
      <c r="C23" s="11" t="s">
        <v>217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169</v>
      </c>
      <c r="U23" s="60" t="s">
        <v>218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5" spans="1:175">
      <c r="A24" s="11"/>
      <c r="B24" s="46" t="s">
        <v>219</v>
      </c>
      <c r="C24" s="11" t="s">
        <v>220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169</v>
      </c>
      <c r="U24" s="60" t="s">
        <v>218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5" spans="1:175">
      <c r="A25" s="11"/>
      <c r="B25" s="46" t="s">
        <v>221</v>
      </c>
      <c r="C25" s="11" t="s">
        <v>222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169</v>
      </c>
      <c r="U25" s="60" t="s">
        <v>218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5" spans="1:175">
      <c r="A26" s="11"/>
      <c r="B26" s="46" t="s">
        <v>223</v>
      </c>
      <c r="C26" s="11" t="s">
        <v>224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169</v>
      </c>
      <c r="U26" s="60" t="s">
        <v>218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5" spans="1:175">
      <c r="A27" s="11"/>
      <c r="B27" s="46" t="s">
        <v>225</v>
      </c>
      <c r="C27" s="11" t="s">
        <v>226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227</v>
      </c>
      <c r="U27" s="60" t="s">
        <v>218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5" spans="1:175">
      <c r="A28" s="11"/>
      <c r="B28" s="46" t="s">
        <v>228</v>
      </c>
      <c r="C28" s="3" t="s">
        <v>229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230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5" spans="1:175">
      <c r="A29" s="11"/>
      <c r="B29" s="46" t="s">
        <v>231</v>
      </c>
      <c r="C29" s="3" t="s">
        <v>232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230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5" spans="1:175">
      <c r="A30" s="11"/>
      <c r="B30" s="46" t="s">
        <v>233</v>
      </c>
      <c r="C30" s="3" t="s">
        <v>234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230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5" spans="1:175">
      <c r="A31" s="11"/>
      <c r="B31" s="46" t="s">
        <v>235</v>
      </c>
      <c r="C31" s="3" t="s">
        <v>236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230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5" spans="1:175">
      <c r="A32" s="11"/>
      <c r="B32" s="46" t="s">
        <v>237</v>
      </c>
      <c r="C32" s="3" t="s">
        <v>238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230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5" spans="1:175">
      <c r="A33" s="11"/>
      <c r="B33" s="46" t="s">
        <v>239</v>
      </c>
      <c r="C33" s="3" t="s">
        <v>240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241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5" spans="1:175">
      <c r="A34" s="11"/>
      <c r="B34" s="46" t="s">
        <v>242</v>
      </c>
      <c r="C34" s="3" t="s">
        <v>243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241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5" spans="1:175">
      <c r="A35" s="11"/>
      <c r="B35" s="46" t="s">
        <v>244</v>
      </c>
      <c r="C35" s="3" t="s">
        <v>245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241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5" spans="1:175">
      <c r="A36" s="11"/>
      <c r="B36" s="46" t="s">
        <v>246</v>
      </c>
      <c r="C36" s="3" t="s">
        <v>247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241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5" spans="1:175">
      <c r="A37" s="11"/>
      <c r="B37" s="46" t="s">
        <v>248</v>
      </c>
      <c r="C37" s="3" t="s">
        <v>249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241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5" spans="1:175">
      <c r="A38" s="11"/>
      <c r="B38" s="46" t="s">
        <v>250</v>
      </c>
      <c r="C38" s="3" t="s">
        <v>251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252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5" spans="1:175">
      <c r="A39" s="11"/>
      <c r="B39" s="46" t="s">
        <v>253</v>
      </c>
      <c r="C39" s="3" t="s">
        <v>254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252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5" spans="1:175">
      <c r="A40" s="11"/>
      <c r="B40" s="46" t="s">
        <v>255</v>
      </c>
      <c r="C40" s="3" t="s">
        <v>256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252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5" spans="1:175">
      <c r="A41" s="11"/>
      <c r="B41" s="46" t="s">
        <v>257</v>
      </c>
      <c r="C41" s="3" t="s">
        <v>258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252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5" spans="1:175">
      <c r="A42" s="11"/>
      <c r="B42" s="46" t="s">
        <v>259</v>
      </c>
      <c r="C42" s="3" t="s">
        <v>260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252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5" spans="1:175">
      <c r="A43" s="11"/>
      <c r="B43" s="46" t="s">
        <v>261</v>
      </c>
      <c r="C43" s="3" t="s">
        <v>262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263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5" spans="1:175">
      <c r="A44" s="11"/>
      <c r="B44" s="46" t="s">
        <v>264</v>
      </c>
      <c r="C44" s="3" t="s">
        <v>265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263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5" spans="1:175">
      <c r="A45" s="11"/>
      <c r="B45" s="46" t="s">
        <v>266</v>
      </c>
      <c r="C45" s="3" t="s">
        <v>267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263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5" spans="1:175">
      <c r="A46" s="11"/>
      <c r="B46" s="46" t="s">
        <v>268</v>
      </c>
      <c r="C46" s="3" t="s">
        <v>269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263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5" spans="1:175">
      <c r="A47" s="11"/>
      <c r="B47" s="46" t="s">
        <v>270</v>
      </c>
      <c r="C47" s="3" t="s">
        <v>271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263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5" spans="1:175">
      <c r="A48" s="11"/>
      <c r="B48" s="46" t="s">
        <v>272</v>
      </c>
      <c r="C48" s="3" t="s">
        <v>273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274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5" spans="1:175">
      <c r="A49" s="11"/>
      <c r="B49" s="46" t="s">
        <v>275</v>
      </c>
      <c r="C49" s="3" t="s">
        <v>276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274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5" spans="1:175">
      <c r="A50" s="11"/>
      <c r="B50" s="46" t="s">
        <v>277</v>
      </c>
      <c r="C50" s="3" t="s">
        <v>278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274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5" spans="1:175">
      <c r="A51" s="11"/>
      <c r="B51" s="46" t="s">
        <v>279</v>
      </c>
      <c r="C51" s="3" t="s">
        <v>280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274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5" spans="1:175">
      <c r="A52" s="11"/>
      <c r="B52" s="46" t="s">
        <v>281</v>
      </c>
      <c r="C52" s="3" t="s">
        <v>282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 t="shared" si="292"/>
        <v>|n攻击6%概率范围|cffff4646业力*15|r魔法伤害|n|n|Cff00ff7f击杀只怪有50%概率升级|r</v>
      </c>
      <c r="U52" s="60" t="s">
        <v>274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5" spans="1:175">
      <c r="A53" s="11"/>
      <c r="B53" s="46" t="s">
        <v>283</v>
      </c>
      <c r="C53" s="11" t="s">
        <v>284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285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5" spans="1:175">
      <c r="A54" s="11"/>
      <c r="B54" s="46" t="s">
        <v>286</v>
      </c>
      <c r="C54" s="11" t="s">
        <v>287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285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5" spans="1:175">
      <c r="A55" s="11"/>
      <c r="B55" s="46" t="s">
        <v>288</v>
      </c>
      <c r="C55" s="11" t="s">
        <v>289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285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5" spans="1:175">
      <c r="A56" s="11"/>
      <c r="B56" s="46" t="s">
        <v>290</v>
      </c>
      <c r="C56" s="11" t="s">
        <v>291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285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5" spans="1:175">
      <c r="A57" s="11"/>
      <c r="B57" s="46" t="s">
        <v>292</v>
      </c>
      <c r="C57" s="11" t="s">
        <v>293</v>
      </c>
      <c r="D57" s="47"/>
      <c r="E57" s="48"/>
      <c r="F57" s="49">
        <v>2500</v>
      </c>
      <c r="G57" s="50">
        <v>100</v>
      </c>
      <c r="H57" s="51" t="s">
        <v>294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285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5" spans="1:175">
      <c r="A58" s="11"/>
      <c r="B58" s="46" t="s">
        <v>295</v>
      </c>
      <c r="C58" s="11" t="s">
        <v>296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297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5" spans="1:175">
      <c r="A59" s="11"/>
      <c r="B59" s="46" t="s">
        <v>298</v>
      </c>
      <c r="C59" s="11" t="s">
        <v>299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297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5" spans="1:175">
      <c r="A60" s="11"/>
      <c r="B60" s="46" t="s">
        <v>300</v>
      </c>
      <c r="C60" s="11" t="s">
        <v>301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297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5" spans="1:175">
      <c r="A61" s="11"/>
      <c r="B61" s="46" t="s">
        <v>302</v>
      </c>
      <c r="C61" s="11" t="s">
        <v>303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297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5" spans="1:175">
      <c r="A62" s="11"/>
      <c r="B62" s="46" t="s">
        <v>304</v>
      </c>
      <c r="C62" s="11" t="s">
        <v>305</v>
      </c>
      <c r="D62" s="47"/>
      <c r="E62" s="48"/>
      <c r="F62" s="49">
        <v>10000</v>
      </c>
      <c r="G62" s="50">
        <v>100</v>
      </c>
      <c r="H62" s="51" t="s">
        <v>306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297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5" spans="1:175">
      <c r="A63" s="11"/>
      <c r="B63" s="46" t="s">
        <v>307</v>
      </c>
      <c r="C63" s="11" t="s">
        <v>308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309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5" spans="1:175">
      <c r="A64" s="11"/>
      <c r="B64" s="46" t="s">
        <v>310</v>
      </c>
      <c r="C64" s="11" t="s">
        <v>311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309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5" spans="1:175">
      <c r="A65" s="11"/>
      <c r="B65" s="46" t="s">
        <v>312</v>
      </c>
      <c r="C65" s="11" t="s">
        <v>313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309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5" spans="1:175">
      <c r="A66" s="11"/>
      <c r="B66" s="46" t="s">
        <v>314</v>
      </c>
      <c r="C66" s="11" t="s">
        <v>315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309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5" spans="1:175">
      <c r="A67" s="11"/>
      <c r="B67" s="46" t="s">
        <v>316</v>
      </c>
      <c r="C67" s="11" t="s">
        <v>317</v>
      </c>
      <c r="D67" s="47"/>
      <c r="E67" s="48"/>
      <c r="F67" s="49">
        <v>30000</v>
      </c>
      <c r="G67" s="50">
        <v>100</v>
      </c>
      <c r="H67" s="51" t="s">
        <v>318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309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5" spans="1:175">
      <c r="A68" s="11"/>
      <c r="B68" s="46" t="s">
        <v>319</v>
      </c>
      <c r="C68" s="11" t="s">
        <v>320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321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5" spans="1:175">
      <c r="A69" s="11"/>
      <c r="B69" s="46" t="s">
        <v>322</v>
      </c>
      <c r="C69" s="11" t="s">
        <v>323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321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5" spans="1:175">
      <c r="A70" s="11"/>
      <c r="B70" s="46" t="s">
        <v>324</v>
      </c>
      <c r="C70" s="11" t="s">
        <v>325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321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5" spans="1:175">
      <c r="A71" s="11"/>
      <c r="B71" s="46" t="s">
        <v>326</v>
      </c>
      <c r="C71" s="11" t="s">
        <v>327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321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5" spans="1:175">
      <c r="A72" s="11"/>
      <c r="B72" s="46" t="s">
        <v>328</v>
      </c>
      <c r="C72" s="11" t="s">
        <v>329</v>
      </c>
      <c r="D72" s="47"/>
      <c r="E72" s="48"/>
      <c r="F72" s="49">
        <v>35000</v>
      </c>
      <c r="G72" s="50">
        <v>100</v>
      </c>
      <c r="H72" s="51" t="s">
        <v>330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321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5" spans="1:175">
      <c r="A73" s="11"/>
      <c r="B73" s="46" t="s">
        <v>331</v>
      </c>
      <c r="C73" s="11" t="s">
        <v>332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333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5" spans="1:175">
      <c r="A74" s="11"/>
      <c r="B74" s="46" t="s">
        <v>334</v>
      </c>
      <c r="C74" s="11" t="s">
        <v>335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333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5" spans="1:175">
      <c r="A75" s="11"/>
      <c r="B75" s="46" t="s">
        <v>336</v>
      </c>
      <c r="C75" s="11" t="s">
        <v>337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333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5" spans="1:175">
      <c r="A76" s="11"/>
      <c r="B76" s="46" t="s">
        <v>338</v>
      </c>
      <c r="C76" s="11" t="s">
        <v>339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333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5" spans="1:175">
      <c r="A77" s="11"/>
      <c r="B77" s="46" t="s">
        <v>340</v>
      </c>
      <c r="C77" s="11" t="s">
        <v>341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342</v>
      </c>
      <c r="U77" s="60" t="s">
        <v>333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5" spans="1:175">
      <c r="A78" s="74"/>
      <c r="B78" s="46" t="s">
        <v>343</v>
      </c>
      <c r="C78" s="74" t="s">
        <v>344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0"/>
      <c r="Q78" s="80"/>
      <c r="R78" s="80"/>
      <c r="S78" s="80"/>
      <c r="T78" s="81"/>
      <c r="U78" s="82" t="s">
        <v>345</v>
      </c>
      <c r="V78" s="42">
        <v>7500</v>
      </c>
      <c r="Z78" s="42">
        <v>30000</v>
      </c>
      <c r="AG78" s="87"/>
      <c r="AJ78" s="42">
        <v>15</v>
      </c>
      <c r="AK78" s="42">
        <v>15</v>
      </c>
      <c r="AL78" s="87"/>
      <c r="BC78" s="88"/>
      <c r="BD78" s="88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5" spans="1:175">
      <c r="A79" s="74"/>
      <c r="B79" s="46" t="s">
        <v>346</v>
      </c>
      <c r="C79" s="74" t="s">
        <v>347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0"/>
      <c r="Q79" s="80"/>
      <c r="R79" s="80"/>
      <c r="S79" s="80"/>
      <c r="T79" s="81"/>
      <c r="U79" s="82" t="s">
        <v>348</v>
      </c>
      <c r="V79" s="42">
        <v>18000</v>
      </c>
      <c r="Z79" s="42">
        <v>72000</v>
      </c>
      <c r="AG79" s="87"/>
      <c r="AJ79" s="42">
        <v>15</v>
      </c>
      <c r="AK79" s="42">
        <v>15</v>
      </c>
      <c r="AL79" s="87"/>
      <c r="BC79" s="88"/>
      <c r="BD79" s="88"/>
      <c r="BL79" s="42">
        <v>8</v>
      </c>
      <c r="BM79" s="42">
        <v>1</v>
      </c>
      <c r="BN79" s="42">
        <v>30</v>
      </c>
      <c r="CU79" s="72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5" spans="1:175">
      <c r="A80" s="10"/>
      <c r="B80" s="46" t="s">
        <v>349</v>
      </c>
      <c r="C80" s="10" t="s">
        <v>350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0"/>
      <c r="Q80" s="80"/>
      <c r="R80" s="80"/>
      <c r="S80" s="83"/>
      <c r="T80" s="81"/>
      <c r="U80" s="82" t="s">
        <v>351</v>
      </c>
      <c r="V80" s="42">
        <v>37500</v>
      </c>
      <c r="Z80" s="42">
        <v>150000</v>
      </c>
      <c r="AG80" s="87"/>
      <c r="AJ80" s="42">
        <v>15</v>
      </c>
      <c r="AK80" s="42">
        <v>15</v>
      </c>
      <c r="AL80" s="87"/>
      <c r="BC80" s="88"/>
      <c r="BD80" s="88"/>
      <c r="BL80" s="42">
        <v>8</v>
      </c>
      <c r="BM80" s="42">
        <v>1</v>
      </c>
      <c r="BN80" s="42">
        <v>30</v>
      </c>
      <c r="CU80" s="72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5" spans="1:175">
      <c r="A81" s="10"/>
      <c r="B81" s="46" t="s">
        <v>352</v>
      </c>
      <c r="C81" s="10" t="s">
        <v>353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0"/>
      <c r="Q81" s="80"/>
      <c r="R81" s="80"/>
      <c r="S81" s="83"/>
      <c r="T81" s="81"/>
      <c r="U81" s="82" t="s">
        <v>354</v>
      </c>
      <c r="V81" s="42">
        <v>60000</v>
      </c>
      <c r="Z81" s="42">
        <v>240000</v>
      </c>
      <c r="AG81" s="87"/>
      <c r="AJ81" s="42">
        <v>20</v>
      </c>
      <c r="AK81" s="42">
        <v>20</v>
      </c>
      <c r="AL81" s="87"/>
      <c r="BC81" s="88"/>
      <c r="BD81" s="88"/>
      <c r="BL81" s="42">
        <v>8</v>
      </c>
      <c r="BM81" s="42">
        <v>1</v>
      </c>
      <c r="BN81" s="42">
        <v>30</v>
      </c>
      <c r="CU81" s="72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5" spans="1:175">
      <c r="A82" s="10"/>
      <c r="B82" s="46" t="s">
        <v>355</v>
      </c>
      <c r="C82" s="10" t="s">
        <v>356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0"/>
      <c r="Q82" s="80"/>
      <c r="R82" s="80"/>
      <c r="S82" s="83"/>
      <c r="T82" s="81"/>
      <c r="U82" s="82" t="s">
        <v>357</v>
      </c>
      <c r="V82" s="42">
        <v>82500</v>
      </c>
      <c r="Z82" s="42">
        <v>330000</v>
      </c>
      <c r="AG82" s="87"/>
      <c r="AJ82" s="42">
        <v>20</v>
      </c>
      <c r="AK82" s="42">
        <v>20</v>
      </c>
      <c r="AL82" s="87"/>
      <c r="BC82" s="88"/>
      <c r="BD82" s="88"/>
      <c r="BL82" s="42">
        <v>8</v>
      </c>
      <c r="BM82" s="42">
        <v>1</v>
      </c>
      <c r="BN82" s="42">
        <v>30</v>
      </c>
      <c r="CU82" s="72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5" spans="1:175">
      <c r="A83" s="11"/>
      <c r="B83" s="46" t="s">
        <v>358</v>
      </c>
      <c r="C83" s="11" t="s">
        <v>359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0"/>
      <c r="Q83" s="80"/>
      <c r="R83" s="80"/>
      <c r="S83" s="83"/>
      <c r="T83" s="81"/>
      <c r="U83" s="82" t="s">
        <v>360</v>
      </c>
      <c r="V83" s="42">
        <v>120000</v>
      </c>
      <c r="Z83" s="42">
        <v>480000</v>
      </c>
      <c r="AG83" s="87"/>
      <c r="AJ83" s="42">
        <v>20</v>
      </c>
      <c r="AK83" s="42">
        <v>20</v>
      </c>
      <c r="AL83" s="87"/>
      <c r="BC83" s="88"/>
      <c r="BD83" s="88"/>
      <c r="BL83" s="42">
        <v>8</v>
      </c>
      <c r="BM83" s="42">
        <v>1</v>
      </c>
      <c r="BN83" s="42">
        <v>30</v>
      </c>
      <c r="CU83" s="72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5" spans="1:175">
      <c r="A84" s="11"/>
      <c r="B84" s="46" t="s">
        <v>361</v>
      </c>
      <c r="C84" s="11" t="s">
        <v>362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0"/>
      <c r="Q84" s="80"/>
      <c r="R84" s="80"/>
      <c r="S84" s="83"/>
      <c r="T84" s="81"/>
      <c r="U84" s="82" t="s">
        <v>363</v>
      </c>
      <c r="V84" s="42">
        <v>180000</v>
      </c>
      <c r="Z84" s="42">
        <v>720000</v>
      </c>
      <c r="AG84" s="87"/>
      <c r="AJ84" s="42">
        <v>25</v>
      </c>
      <c r="AK84" s="42">
        <v>25</v>
      </c>
      <c r="AL84" s="87"/>
      <c r="BC84" s="88"/>
      <c r="BD84" s="88"/>
      <c r="BL84" s="42">
        <v>8</v>
      </c>
      <c r="BM84" s="42">
        <v>1</v>
      </c>
      <c r="BN84" s="42">
        <v>30</v>
      </c>
      <c r="CU84" s="72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5" spans="1:175">
      <c r="A85" s="11"/>
      <c r="B85" s="46" t="s">
        <v>364</v>
      </c>
      <c r="C85" s="11" t="s">
        <v>365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0"/>
      <c r="Q85" s="80"/>
      <c r="R85" s="80"/>
      <c r="S85" s="83"/>
      <c r="T85" s="81"/>
      <c r="U85" s="82" t="s">
        <v>366</v>
      </c>
      <c r="V85" s="42">
        <v>300000</v>
      </c>
      <c r="Z85" s="42">
        <v>1200000</v>
      </c>
      <c r="AG85" s="87"/>
      <c r="AJ85" s="42">
        <v>25</v>
      </c>
      <c r="AK85" s="42">
        <v>25</v>
      </c>
      <c r="AL85" s="87"/>
      <c r="BC85" s="88"/>
      <c r="BD85" s="88"/>
      <c r="BL85" s="42">
        <v>8</v>
      </c>
      <c r="BM85" s="42">
        <v>1</v>
      </c>
      <c r="BN85" s="42">
        <v>30</v>
      </c>
      <c r="CU85" s="72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5" spans="1:175">
      <c r="A86" s="11"/>
      <c r="B86" s="46" t="s">
        <v>367</v>
      </c>
      <c r="C86" s="11" t="s">
        <v>368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0"/>
      <c r="Q86" s="80"/>
      <c r="R86" s="80"/>
      <c r="S86" s="83"/>
      <c r="T86" s="81"/>
      <c r="U86" s="82" t="s">
        <v>369</v>
      </c>
      <c r="V86" s="42">
        <v>450000</v>
      </c>
      <c r="Z86" s="42">
        <v>1800000</v>
      </c>
      <c r="AG86" s="87"/>
      <c r="AJ86" s="42">
        <v>25</v>
      </c>
      <c r="AK86" s="42">
        <v>25</v>
      </c>
      <c r="AL86" s="87"/>
      <c r="BC86" s="88"/>
      <c r="BD86" s="88"/>
      <c r="BL86" s="42">
        <v>8</v>
      </c>
      <c r="BM86" s="42">
        <v>1</v>
      </c>
      <c r="BN86" s="42">
        <v>30</v>
      </c>
      <c r="CU86" s="72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5" spans="1:175">
      <c r="A87" s="11"/>
      <c r="B87" s="46" t="s">
        <v>370</v>
      </c>
      <c r="C87" s="11" t="s">
        <v>371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0"/>
      <c r="Q87" s="80"/>
      <c r="R87" s="80"/>
      <c r="S87" s="83"/>
      <c r="T87" s="81"/>
      <c r="U87" s="82" t="s">
        <v>372</v>
      </c>
      <c r="V87" s="42">
        <v>750000</v>
      </c>
      <c r="Z87" s="42">
        <v>3000000</v>
      </c>
      <c r="AG87" s="87"/>
      <c r="AJ87" s="42">
        <v>30</v>
      </c>
      <c r="AK87" s="42">
        <v>30</v>
      </c>
      <c r="AL87" s="87"/>
      <c r="BC87" s="88"/>
      <c r="BD87" s="88"/>
      <c r="BL87" s="42">
        <v>8</v>
      </c>
      <c r="BM87" s="42">
        <v>1</v>
      </c>
      <c r="BN87" s="42">
        <v>30</v>
      </c>
      <c r="CU87" s="72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5" spans="1:175">
      <c r="A88" s="5"/>
      <c r="B88" s="5" t="s">
        <v>373</v>
      </c>
      <c r="C88" s="74" t="s">
        <v>374</v>
      </c>
      <c r="T88" s="5" t="str">
        <f>"强行突破境界"&amp;CU78</f>
        <v>强行突破境界|n攻击+7500|n生命值+30000|n物理伤害+15%|n法术伤害+15%|n杀敌攻击+8|n杀敌业力+1|n杀敌生命+30|n</v>
      </c>
      <c r="U88" s="60" t="s">
        <v>375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5" spans="1:175">
      <c r="A89" s="5"/>
      <c r="B89" s="5" t="s">
        <v>376</v>
      </c>
      <c r="C89" s="74" t="s">
        <v>377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60" t="s">
        <v>378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5" spans="1:175">
      <c r="A90" s="5"/>
      <c r="B90" s="5" t="s">
        <v>379</v>
      </c>
      <c r="C90" s="10" t="s">
        <v>380</v>
      </c>
      <c r="T90" s="5" t="str">
        <f t="shared" si="1015"/>
        <v>强行突破境界|n攻击+37500|n生命值+150000|n物理伤害+15%|n法术伤害+15%|n杀敌攻击+8|n杀敌业力+1|n杀敌生命+30|n</v>
      </c>
      <c r="U90" s="60" t="s">
        <v>381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5" spans="1:175">
      <c r="A91" s="5"/>
      <c r="B91" s="5" t="s">
        <v>382</v>
      </c>
      <c r="C91" s="10" t="s">
        <v>383</v>
      </c>
      <c r="T91" s="5" t="str">
        <f t="shared" si="1015"/>
        <v>强行突破境界|n攻击+60000|n生命值+240000|n物理伤害+20%|n法术伤害+20%|n杀敌攻击+8|n杀敌业力+1|n杀敌生命+30|n</v>
      </c>
      <c r="U91" s="60" t="s">
        <v>384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5" spans="1:175">
      <c r="A92" s="5"/>
      <c r="B92" s="5" t="s">
        <v>385</v>
      </c>
      <c r="C92" s="10" t="s">
        <v>386</v>
      </c>
      <c r="T92" s="5" t="str">
        <f t="shared" si="1015"/>
        <v>强行突破境界|n攻击+82500|n生命值+330000|n物理伤害+20%|n法术伤害+20%|n杀敌攻击+8|n杀敌业力+1|n杀敌生命+30|n</v>
      </c>
      <c r="U92" s="60" t="s">
        <v>387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5" spans="1:175">
      <c r="A93" s="5"/>
      <c r="B93" s="5" t="s">
        <v>388</v>
      </c>
      <c r="C93" s="11" t="s">
        <v>389</v>
      </c>
      <c r="T93" s="5" t="str">
        <f t="shared" si="1015"/>
        <v>强行突破境界|n攻击+120000|n生命值+480000|n物理伤害+20%|n法术伤害+20%|n杀敌攻击+8|n杀敌业力+1|n杀敌生命+30|n</v>
      </c>
      <c r="U93" s="60" t="s">
        <v>390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5" spans="1:175">
      <c r="A94" s="5"/>
      <c r="B94" s="5" t="s">
        <v>391</v>
      </c>
      <c r="C94" s="11" t="s">
        <v>392</v>
      </c>
      <c r="T94" s="5" t="str">
        <f t="shared" si="1015"/>
        <v>强行突破境界|n攻击+180000|n生命值+720000|n物理伤害+25%|n法术伤害+25%|n杀敌攻击+8|n杀敌业力+1|n杀敌生命+30|n</v>
      </c>
      <c r="U94" s="60" t="s">
        <v>393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5" spans="1:175">
      <c r="A95" s="5"/>
      <c r="B95" s="5" t="s">
        <v>394</v>
      </c>
      <c r="C95" s="11" t="s">
        <v>395</v>
      </c>
      <c r="T95" s="5" t="str">
        <f t="shared" si="1015"/>
        <v>强行突破境界|n攻击+300000|n生命值+1200000|n物理伤害+25%|n法术伤害+25%|n杀敌攻击+8|n杀敌业力+1|n杀敌生命+30|n</v>
      </c>
      <c r="U95" s="60" t="s">
        <v>396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5" spans="1:175">
      <c r="A96" s="5"/>
      <c r="B96" s="5" t="s">
        <v>397</v>
      </c>
      <c r="C96" s="11" t="s">
        <v>398</v>
      </c>
      <c r="T96" s="5" t="str">
        <f t="shared" si="1015"/>
        <v>强行突破境界|n攻击+450000|n生命值+1800000|n物理伤害+25%|n法术伤害+25%|n杀敌攻击+8|n杀敌业力+1|n杀敌生命+30|n</v>
      </c>
      <c r="U96" s="60" t="s">
        <v>399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5" spans="1:175">
      <c r="A97" s="5"/>
      <c r="B97" s="5" t="s">
        <v>400</v>
      </c>
      <c r="C97" s="11" t="s">
        <v>401</v>
      </c>
      <c r="T97" s="5" t="str">
        <f t="shared" si="1015"/>
        <v>强行突破境界|n攻击+750000|n生命值+3000000|n物理伤害+30%|n法术伤害+30%|n杀敌攻击+8|n杀敌业力+1|n杀敌生命+30|n</v>
      </c>
      <c r="U97" s="60" t="s">
        <v>402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5" spans="1:175">
      <c r="A98" s="5"/>
      <c r="B98" s="5" t="s">
        <v>403</v>
      </c>
      <c r="C98" s="74" t="s">
        <v>404</v>
      </c>
      <c r="T98" s="5" t="str">
        <f>"突破境界"&amp;CU78</f>
        <v>突破境界|n攻击+7500|n生命值+30000|n物理伤害+15%|n法术伤害+15%|n杀敌攻击+8|n杀敌业力+1|n杀敌生命+30|n</v>
      </c>
      <c r="U98" s="60" t="s">
        <v>405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5" spans="1:175">
      <c r="A99" s="5"/>
      <c r="B99" s="5" t="s">
        <v>406</v>
      </c>
      <c r="C99" s="74" t="s">
        <v>407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60" t="s">
        <v>408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5" spans="1:175">
      <c r="A100" s="5"/>
      <c r="B100" s="5" t="s">
        <v>409</v>
      </c>
      <c r="C100" s="10" t="s">
        <v>410</v>
      </c>
      <c r="T100" s="5" t="str">
        <f t="shared" si="1244"/>
        <v>突破境界|n攻击+37500|n生命值+150000|n物理伤害+15%|n法术伤害+15%|n杀敌攻击+8|n杀敌业力+1|n杀敌生命+30|n</v>
      </c>
      <c r="U100" s="60" t="s">
        <v>411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5" spans="1:175">
      <c r="A101" s="5"/>
      <c r="B101" s="5" t="s">
        <v>412</v>
      </c>
      <c r="C101" s="10" t="s">
        <v>413</v>
      </c>
      <c r="T101" s="5" t="str">
        <f t="shared" si="1244"/>
        <v>突破境界|n攻击+60000|n生命值+240000|n物理伤害+20%|n法术伤害+20%|n杀敌攻击+8|n杀敌业力+1|n杀敌生命+30|n</v>
      </c>
      <c r="U101" s="60" t="s">
        <v>414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5" spans="1:175">
      <c r="A102" s="5"/>
      <c r="B102" s="5" t="s">
        <v>415</v>
      </c>
      <c r="C102" s="10" t="s">
        <v>416</v>
      </c>
      <c r="T102" s="5" t="str">
        <f t="shared" si="1244"/>
        <v>突破境界|n攻击+82500|n生命值+330000|n物理伤害+20%|n法术伤害+20%|n杀敌攻击+8|n杀敌业力+1|n杀敌生命+30|n</v>
      </c>
      <c r="U102" s="60" t="s">
        <v>417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5" spans="1:175">
      <c r="A103" s="5"/>
      <c r="B103" s="5" t="s">
        <v>418</v>
      </c>
      <c r="C103" s="11" t="s">
        <v>419</v>
      </c>
      <c r="T103" s="5" t="str">
        <f t="shared" si="1244"/>
        <v>突破境界|n攻击+120000|n生命值+480000|n物理伤害+20%|n法术伤害+20%|n杀敌攻击+8|n杀敌业力+1|n杀敌生命+30|n</v>
      </c>
      <c r="U103" s="60" t="s">
        <v>420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5" spans="1:175">
      <c r="A104" s="5"/>
      <c r="B104" s="5" t="s">
        <v>421</v>
      </c>
      <c r="C104" s="11" t="s">
        <v>422</v>
      </c>
      <c r="T104" s="5" t="str">
        <f t="shared" si="1244"/>
        <v>突破境界|n攻击+180000|n生命值+720000|n物理伤害+25%|n法术伤害+25%|n杀敌攻击+8|n杀敌业力+1|n杀敌生命+30|n</v>
      </c>
      <c r="U104" s="60" t="s">
        <v>423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5" spans="1:175">
      <c r="A105" s="5"/>
      <c r="B105" s="5" t="s">
        <v>424</v>
      </c>
      <c r="C105" s="11" t="s">
        <v>425</v>
      </c>
      <c r="T105" s="5" t="str">
        <f t="shared" si="1244"/>
        <v>突破境界|n攻击+300000|n生命值+1200000|n物理伤害+25%|n法术伤害+25%|n杀敌攻击+8|n杀敌业力+1|n杀敌生命+30|n</v>
      </c>
      <c r="U105" s="60" t="s">
        <v>426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5" spans="1:175">
      <c r="A106" s="5"/>
      <c r="B106" s="5" t="s">
        <v>427</v>
      </c>
      <c r="C106" s="11" t="s">
        <v>428</v>
      </c>
      <c r="T106" s="5" t="str">
        <f t="shared" si="1244"/>
        <v>突破境界|n攻击+450000|n生命值+1800000|n物理伤害+25%|n法术伤害+25%|n杀敌攻击+8|n杀敌业力+1|n杀敌生命+30|n</v>
      </c>
      <c r="U106" s="60" t="s">
        <v>429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5" spans="1:175">
      <c r="A107" s="5"/>
      <c r="B107" s="5" t="s">
        <v>430</v>
      </c>
      <c r="C107" s="11" t="s">
        <v>431</v>
      </c>
      <c r="T107" s="5" t="str">
        <f t="shared" si="1244"/>
        <v>突破境界|n攻击+750000|n生命值+3000000|n物理伤害+30%|n法术伤害+30%|n杀敌攻击+8|n杀敌业力+1|n杀敌生命+30|n</v>
      </c>
      <c r="U107" s="60" t="s">
        <v>432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5" spans="1:175">
      <c r="A108" s="5"/>
      <c r="B108" s="5" t="s">
        <v>433</v>
      </c>
      <c r="C108" s="5" t="s">
        <v>434</v>
      </c>
      <c r="T108" s="5" t="s">
        <v>434</v>
      </c>
      <c r="U108" s="60" t="s">
        <v>435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72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5" spans="1:175">
      <c r="A109" s="5"/>
      <c r="B109" s="5" t="s">
        <v>436</v>
      </c>
      <c r="C109" s="5" t="s">
        <v>437</v>
      </c>
      <c r="T109" s="5" t="s">
        <v>437</v>
      </c>
      <c r="U109" s="60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5" spans="1:175">
      <c r="A110" s="5"/>
      <c r="B110" s="5" t="s">
        <v>439</v>
      </c>
      <c r="C110" s="5" t="s">
        <v>440</v>
      </c>
      <c r="T110" s="5" t="s">
        <v>440</v>
      </c>
      <c r="U110" s="60" t="s">
        <v>441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5" spans="1:175">
      <c r="A111" s="5"/>
      <c r="B111" s="5" t="s">
        <v>442</v>
      </c>
      <c r="C111" s="5" t="s">
        <v>443</v>
      </c>
      <c r="T111" s="5" t="s">
        <v>443</v>
      </c>
      <c r="U111" s="60" t="s">
        <v>438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5" spans="1:175">
      <c r="A112" s="5"/>
      <c r="B112" s="5" t="s">
        <v>444</v>
      </c>
      <c r="C112" s="5" t="s">
        <v>445</v>
      </c>
      <c r="T112" s="5" t="s">
        <v>445</v>
      </c>
      <c r="U112" s="60" t="s">
        <v>438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43.2" spans="1:175">
      <c r="A113" s="77"/>
      <c r="B113" s="5" t="s">
        <v>446</v>
      </c>
      <c r="C113" s="77" t="s">
        <v>447</v>
      </c>
      <c r="T113" s="84" t="s">
        <v>448</v>
      </c>
      <c r="U113" s="60" t="str">
        <f t="shared" ref="U113:U188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5" spans="1:175">
      <c r="A114" s="5"/>
      <c r="B114" s="5" t="s">
        <v>449</v>
      </c>
      <c r="C114" s="5" t="s">
        <v>450</v>
      </c>
      <c r="T114" s="85" t="s">
        <v>451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168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5" spans="1:175">
      <c r="A115" s="5"/>
      <c r="B115" s="5" t="s">
        <v>452</v>
      </c>
      <c r="C115" s="5" t="s">
        <v>453</v>
      </c>
      <c r="T115" s="85" t="s">
        <v>454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169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5" spans="1:175">
      <c r="A116" s="5"/>
      <c r="B116" s="5" t="s">
        <v>455</v>
      </c>
      <c r="C116" s="5" t="s">
        <v>456</v>
      </c>
      <c r="T116" s="85" t="s">
        <v>457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170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5" spans="1:175">
      <c r="A117" s="5"/>
      <c r="B117" s="5" t="s">
        <v>458</v>
      </c>
      <c r="C117" s="5" t="s">
        <v>459</v>
      </c>
      <c r="T117" s="85" t="s">
        <v>460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173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5" spans="1:175">
      <c r="A118" s="5"/>
      <c r="B118" s="5" t="s">
        <v>461</v>
      </c>
      <c r="C118" s="5" t="s">
        <v>462</v>
      </c>
      <c r="T118" s="85" t="s">
        <v>463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174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5" spans="1:175">
      <c r="A119" s="5"/>
      <c r="B119" s="5" t="s">
        <v>464</v>
      </c>
      <c r="C119" s="78" t="s">
        <v>465</v>
      </c>
      <c r="T119" s="86" t="s">
        <v>466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174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护甲|cFF99CC66+10|r|n金币加成|cFF99CC66+10%|r|n击杀1000个敌人后奖励|n|cffffff7000~12000|r金币|n|cFFCC99FF2000-5000|r业力|n|cff99ccff同时只能携带一个招魂幡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5" spans="1:175">
      <c r="A120" s="5"/>
      <c r="B120" s="5" t="s">
        <v>467</v>
      </c>
      <c r="C120" s="78" t="s">
        <v>468</v>
      </c>
      <c r="T120" s="86" t="s">
        <v>469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175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护甲|cFF99CC66+80|r|n金币加成|cFF99CC66+15%|r|n击杀1000个敌人后奖励|n|cffffff008000~13000|r金币|n|cFFCC99FF3000-6000|r业力|n|cff99ccff同时只能携带一个招魂幡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5" spans="1:175">
      <c r="A121" s="5"/>
      <c r="B121" s="5" t="s">
        <v>470</v>
      </c>
      <c r="C121" s="78" t="s">
        <v>471</v>
      </c>
      <c r="T121" s="86" t="s">
        <v>472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176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护甲|cFF99CC66+200|r|n金币加成|cFF99CC66+20%|r|n击杀1000个敌人后奖励|n|cffffff9000~14000|r金币|n|cFFCC99FF4000-7000|r业力|n|cff99ccff同时只能携带一个招魂幡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5" spans="1:175">
      <c r="A122" s="5"/>
      <c r="B122" s="5" t="s">
        <v>473</v>
      </c>
      <c r="C122" s="78" t="s">
        <v>474</v>
      </c>
      <c r="T122" s="86" t="s">
        <v>475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177&amp;CR$1&amp;")"</f>
        <v>InitEquipData('I014',,"",,,,,'','','','','','',"ReplaceableTextures\\CommandButtons\\BTNIT05.blp")</v>
      </c>
      <c r="CU122" s="72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护甲|cFF99CC66+500|r|n金币加成|cFF99CC66+25%|r|n击杀1000个敌人后奖励|n|cffffff10000~15000|r金币|n|cFFCC99FF5000-8000|r业力|n|cff99ccff同时只能携带一个招魂幡</v>
      </c>
      <c r="CW122" s="7"/>
      <c r="CX122" s="7"/>
      <c r="CY122" s="7"/>
      <c r="CZ122" s="7"/>
      <c r="DA122" s="7"/>
      <c r="DB122" s="44" t="str">
        <f t="shared" ref="DB122:DB162" si="1916">IF(V122="","","|n"&amp;DB$2&amp;"+"&amp;V122&amp;DB$1)</f>
        <v/>
      </c>
      <c r="DC122" s="44" t="str">
        <f t="shared" ref="DC122:DC162" si="1917">IF(W122="","","|n"&amp;DC$2&amp;"+"&amp;W122&amp;DC$1)</f>
        <v/>
      </c>
      <c r="DD122" s="44" t="str">
        <f t="shared" ref="DD122:DD162" si="1918">IF(X122="","","|n"&amp;DD$2&amp;"+"&amp;X122&amp;DD$1)</f>
        <v/>
      </c>
      <c r="DE122" s="44" t="str">
        <f t="shared" ref="DE122:DE162" si="1919">IF(Y122="","","|n"&amp;DE$2&amp;"+"&amp;Y122&amp;DE$1)</f>
        <v/>
      </c>
      <c r="DF122" s="44" t="str">
        <f t="shared" ref="DF122:DF162" si="1920">IF(Z122="","","|n"&amp;DF$2&amp;"+"&amp;Z122&amp;DF$1)</f>
        <v/>
      </c>
      <c r="DG122" s="44" t="str">
        <f t="shared" ref="DG122:DG162" si="1921">IF(AA122="","","|n"&amp;DG$2&amp;"+"&amp;AA122&amp;DG$1)</f>
        <v/>
      </c>
      <c r="DH122" s="44" t="str">
        <f t="shared" ref="DH122:DH162" si="1922">IF(AB122="","","|n"&amp;DH$2&amp;"+"&amp;AB122&amp;DH$1)</f>
        <v/>
      </c>
      <c r="DI122" s="44" t="str">
        <f t="shared" ref="DI122:DI162" si="1923">IF(AC122="","","|n"&amp;DI$2&amp;"+"&amp;AC122&amp;DI$1)</f>
        <v/>
      </c>
      <c r="DJ122" s="44" t="str">
        <f t="shared" ref="DJ122:DJ162" si="1924">IF(AD122="","","|n"&amp;DJ$2&amp;"+"&amp;AD122&amp;DJ$1)</f>
        <v/>
      </c>
      <c r="DK122" s="44" t="str">
        <f t="shared" ref="DK122:DK162" si="1925">IF(AE122="","","|n"&amp;DK$2&amp;"+"&amp;AE122&amp;DK$1)</f>
        <v/>
      </c>
      <c r="DL122" s="44" t="str">
        <f t="shared" ref="DL122:DL162" si="1926">IF(AF122="","","|n"&amp;DL$2&amp;"+"&amp;AF122&amp;DL$1)</f>
        <v/>
      </c>
      <c r="DM122" s="44" t="str">
        <f t="shared" ref="DM122:DM162" si="1927">IF(AG122="","","|n"&amp;DM$2&amp;"+"&amp;AG122&amp;DM$1)</f>
        <v/>
      </c>
      <c r="DN122" s="44" t="str">
        <f t="shared" ref="DN122:DN162" si="1928">IF(AH122="","","|n"&amp;DN$2&amp;"+"&amp;AH122&amp;DN$1)</f>
        <v/>
      </c>
      <c r="DO122" s="44" t="str">
        <f t="shared" ref="DO122:DO162" si="1929">IF(AI122="","","|n"&amp;DO$2&amp;"+"&amp;AI122&amp;DO$1)</f>
        <v/>
      </c>
      <c r="DP122" s="44" t="str">
        <f t="shared" ref="DP122:DP162" si="1930">IF(AJ122="","","|n"&amp;DP$2&amp;"+"&amp;AJ122&amp;DP$1)</f>
        <v/>
      </c>
      <c r="DQ122" s="44" t="str">
        <f t="shared" ref="DQ122:DQ162" si="1931">IF(AK122="","","|n"&amp;DQ$2&amp;"+"&amp;AK122&amp;DQ$1)</f>
        <v/>
      </c>
      <c r="DR122" s="44" t="str">
        <f t="shared" ref="DR122:DR162" si="1932">IF(AL122="","","|n"&amp;DR$2&amp;"+"&amp;AL122&amp;DR$1)</f>
        <v/>
      </c>
      <c r="DS122" s="44" t="str">
        <f t="shared" ref="DS122:DS162" si="1933">IF(AM122="","","|n"&amp;DS$2&amp;"+"&amp;AM122&amp;DS$1)</f>
        <v/>
      </c>
      <c r="DT122" s="44" t="str">
        <f t="shared" ref="DT122:DT162" si="1934">IF(AN122="","","|n"&amp;DT$2&amp;"+"&amp;AN122&amp;DT$1)</f>
        <v/>
      </c>
      <c r="DU122" s="44" t="str">
        <f t="shared" ref="DU122:DU162" si="1935">IF(AO122="","","|n"&amp;DU$2&amp;"+"&amp;AO122&amp;DU$1)</f>
        <v/>
      </c>
      <c r="DV122" s="44" t="str">
        <f t="shared" ref="DV122:DV162" si="1936">IF(AP122="","","|n"&amp;DV$2&amp;"+"&amp;AP122&amp;DV$1)</f>
        <v/>
      </c>
      <c r="DW122" s="44" t="str">
        <f t="shared" ref="DW122:DW162" si="1937">IF(AQ122="","","|n"&amp;DW$2&amp;"+"&amp;AQ122&amp;DW$1)</f>
        <v/>
      </c>
      <c r="DX122" s="44" t="str">
        <f t="shared" ref="DX122:DX162" si="1938">IF(AR122="","","|n"&amp;DX$2&amp;"+"&amp;AR122&amp;DX$1)</f>
        <v/>
      </c>
      <c r="DY122" s="44" t="str">
        <f t="shared" ref="DY122:DY162" si="1939">IF(AS122="","","|n"&amp;DY$2&amp;"+"&amp;AS122&amp;DY$1)</f>
        <v/>
      </c>
      <c r="DZ122" s="44" t="str">
        <f t="shared" ref="DZ122:DZ162" si="1940">IF(AT122="","","|n"&amp;DZ$2&amp;"+"&amp;AT122&amp;DZ$1)</f>
        <v/>
      </c>
      <c r="EA122" s="44" t="str">
        <f t="shared" ref="EA122:EA162" si="1941">IF(AU122="","","|n"&amp;EA$2&amp;"+"&amp;AU122&amp;EA$1)</f>
        <v/>
      </c>
      <c r="EB122" s="44" t="str">
        <f t="shared" ref="EB122:EB162" si="1942">IF(AV122="","","|n"&amp;EB$2&amp;"+"&amp;AV122&amp;EB$1)</f>
        <v/>
      </c>
      <c r="EC122" s="44" t="str">
        <f t="shared" ref="EC122:EC162" si="1943">IF(AW122="","","|n"&amp;EC$2&amp;"+"&amp;AW122&amp;EC$1)</f>
        <v/>
      </c>
      <c r="ED122" s="44" t="str">
        <f t="shared" ref="ED122:ED162" si="1944">IF(AX122="","","|n"&amp;ED$2&amp;"+"&amp;AX122&amp;ED$1)</f>
        <v/>
      </c>
      <c r="EE122" s="44" t="str">
        <f t="shared" ref="EE122:EE162" si="1945">IF(AY122="","","|n"&amp;EE$2&amp;"+"&amp;AY122&amp;EE$1)</f>
        <v/>
      </c>
      <c r="EF122" s="44" t="str">
        <f t="shared" ref="EF122:EF162" si="1946">IF(AZ122="","","|n"&amp;EF$2&amp;"+"&amp;AZ122&amp;EF$1)</f>
        <v/>
      </c>
      <c r="EG122" s="44" t="str">
        <f t="shared" ref="EG122:EG162" si="1947">IF(BA122="","","|n"&amp;EG$2&amp;"+"&amp;BA122&amp;EG$1)</f>
        <v/>
      </c>
      <c r="EH122" s="44" t="str">
        <f t="shared" ref="EH122:EH162" si="1948">IF(BB122="","","|n"&amp;EH$2&amp;"+"&amp;BB122&amp;EH$1)</f>
        <v/>
      </c>
      <c r="EI122" s="44" t="str">
        <f t="shared" ref="EI122:EI162" si="1949">IF(BC122="","","|n"&amp;EI$2&amp;"+"&amp;BC122&amp;EI$1)</f>
        <v/>
      </c>
      <c r="EJ122" s="44" t="str">
        <f t="shared" ref="EJ122:EJ162" si="1950">IF(BD122="","","|n"&amp;EJ$2&amp;"+"&amp;BD122&amp;EJ$1)</f>
        <v/>
      </c>
      <c r="EK122" s="44" t="str">
        <f t="shared" ref="EK122:EK162" si="1951">IF(BE122="","","|n"&amp;EK$2&amp;"+"&amp;BE122&amp;EK$1)</f>
        <v/>
      </c>
      <c r="EL122" s="44" t="str">
        <f t="shared" ref="EL122:EL162" si="1952">IF(BF122="","","|n"&amp;EL$2&amp;"+"&amp;BF122&amp;EL$1)</f>
        <v/>
      </c>
      <c r="EM122" s="44" t="str">
        <f t="shared" ref="EM122:EM162" si="1953">IF(BG122="","","|n"&amp;EM$2&amp;"+"&amp;BG122&amp;EM$1)</f>
        <v/>
      </c>
      <c r="EN122" s="44" t="str">
        <f t="shared" ref="EN122:EN162" si="1954">IF(BH122="","","|n"&amp;EN$2&amp;"+"&amp;BH122&amp;EN$1)</f>
        <v/>
      </c>
      <c r="EO122" s="44" t="str">
        <f t="shared" ref="EO122:EO162" si="1955">IF(BI122="","","|n"&amp;EO$2&amp;"+"&amp;BI122&amp;EO$1)</f>
        <v/>
      </c>
      <c r="EP122" s="44" t="str">
        <f t="shared" ref="EP122:EP162" si="1956">IF(BJ122="","","|n"&amp;EP$2&amp;"+"&amp;BJ122&amp;EP$1)</f>
        <v/>
      </c>
      <c r="EQ122" s="44" t="str">
        <f t="shared" ref="EQ122:EQ162" si="1957">IF(BK122="","","|n"&amp;EQ$2&amp;"+"&amp;BK122&amp;EQ$1)</f>
        <v/>
      </c>
      <c r="ER122" s="44" t="str">
        <f t="shared" ref="ER122:ER162" si="1958">IF(BL122="","","|n"&amp;ER$2&amp;"+"&amp;BL122&amp;ER$1)</f>
        <v/>
      </c>
      <c r="ES122" s="44" t="str">
        <f t="shared" ref="ES122:ES162" si="1959">IF(BM122="","","|n"&amp;ES$2&amp;"+"&amp;BM122&amp;ES$1)</f>
        <v/>
      </c>
      <c r="ET122" s="44" t="str">
        <f t="shared" ref="ET122:ET162" si="1960">IF(BN122="","","|n"&amp;ET$2&amp;"+"&amp;BN122&amp;ET$1)</f>
        <v/>
      </c>
      <c r="EU122" s="44" t="str">
        <f t="shared" ref="EU122:EU162" si="1961">IF(BO122="","","|n"&amp;EU$2&amp;"+"&amp;BO122&amp;EU$1)</f>
        <v/>
      </c>
      <c r="EV122" s="44" t="str">
        <f t="shared" ref="EV122:EV162" si="1962">IF(BP122="","","|n"&amp;EV$2&amp;"+"&amp;BP122&amp;EV$1)</f>
        <v/>
      </c>
      <c r="EW122" s="44" t="str">
        <f t="shared" ref="EW122:EW162" si="1963">IF(BQ122="","","|n"&amp;EW$2&amp;"+"&amp;BQ122&amp;EW$1)</f>
        <v/>
      </c>
      <c r="EX122" s="44" t="str">
        <f t="shared" ref="EX122:EX162" si="1964">IF(BR122="","","|n"&amp;EX$2&amp;"+"&amp;BR122&amp;EX$1)</f>
        <v/>
      </c>
      <c r="EY122" s="44" t="str">
        <f t="shared" ref="EY122:EY162" si="1965">IF(BS122="","","|n"&amp;EY$2&amp;"+"&amp;BS122&amp;EY$1)</f>
        <v/>
      </c>
      <c r="EZ122" s="44" t="str">
        <f t="shared" ref="EZ122:EZ162" si="1966">IF(BT122="","","|n"&amp;EZ$2&amp;"+"&amp;BT122&amp;EZ$1)</f>
        <v/>
      </c>
      <c r="FA122" s="44" t="str">
        <f t="shared" ref="FA122:FA162" si="1967">IF(BU122="","","|n"&amp;FA$2&amp;"+"&amp;BU122&amp;FA$1)</f>
        <v/>
      </c>
      <c r="FB122" s="44" t="str">
        <f t="shared" ref="FB122:FB162" si="1968">IF(BV122="","","|n"&amp;FB$2&amp;"+"&amp;BV122&amp;FB$1)</f>
        <v/>
      </c>
      <c r="FC122" s="44" t="str">
        <f t="shared" ref="FC122:FC162" si="1969">IF(BW122="","","|n"&amp;FC$2&amp;"+"&amp;BW122&amp;FC$1)</f>
        <v/>
      </c>
      <c r="FD122" s="44" t="str">
        <f t="shared" ref="FD122:FD162" si="1970">IF(BX122="","","|n"&amp;FD$2&amp;"+"&amp;BX122&amp;FD$1)</f>
        <v/>
      </c>
      <c r="FE122" s="44" t="str">
        <f t="shared" ref="FE122:FE162" si="1971">IF(BY122="","","|n"&amp;FE$2&amp;"+"&amp;BY122&amp;FE$1)</f>
        <v/>
      </c>
      <c r="FF122" s="44" t="str">
        <f t="shared" ref="FF122:FF162" si="1972">IF(BZ122="","","|n"&amp;FF$2&amp;"+"&amp;BZ122&amp;FF$1)</f>
        <v/>
      </c>
      <c r="FG122" s="44" t="str">
        <f t="shared" ref="FG122:FG162" si="1973">IF(CA122="","","|n"&amp;FG$2&amp;"+"&amp;CA122&amp;FG$1)</f>
        <v/>
      </c>
      <c r="FH122" s="44" t="str">
        <f t="shared" ref="FH122:FH162" si="1974">IF(CB122="","","|n"&amp;FH$2&amp;"+"&amp;CB122&amp;FH$1)</f>
        <v/>
      </c>
      <c r="FI122" s="44" t="str">
        <f t="shared" ref="FI122:FI162" si="1975">IF(CC122="","","|n"&amp;FI$2&amp;"+"&amp;CC122&amp;FI$1)</f>
        <v/>
      </c>
      <c r="FJ122" s="44" t="str">
        <f t="shared" ref="FJ122:FJ162" si="1976">IF(CD122="","","|n"&amp;FJ$2&amp;"+"&amp;CD122&amp;FJ$1)</f>
        <v/>
      </c>
      <c r="FK122" s="44" t="str">
        <f t="shared" ref="FK122:FK162" si="1977">IF(CE122="","","|n"&amp;FK$2&amp;"+"&amp;CE122&amp;FK$1)</f>
        <v/>
      </c>
      <c r="FL122" s="44" t="str">
        <f t="shared" ref="FL122:FL162" si="1978">IF(CF122="","","|n"&amp;FL$2&amp;"+"&amp;CF122&amp;FL$1)</f>
        <v/>
      </c>
      <c r="FM122" s="44" t="str">
        <f t="shared" ref="FM122:FM162" si="1979">IF(CG122="","","|n"&amp;FM$2&amp;"+"&amp;CG122&amp;FM$1)</f>
        <v/>
      </c>
      <c r="FN122" s="44" t="str">
        <f t="shared" ref="FN122:FN162" si="1980">IF(CH122="","","|n"&amp;FN$2&amp;"+"&amp;CH122&amp;FN$1)</f>
        <v/>
      </c>
      <c r="FO122" s="44" t="str">
        <f t="shared" ref="FO122:FO162" si="1981">IF(CI122="","","|n"&amp;FO$2&amp;"+"&amp;CI122&amp;FO$1)</f>
        <v/>
      </c>
      <c r="FP122" s="44" t="str">
        <f t="shared" ref="FP122:FP162" si="1982">IF(CJ122="","","|n"&amp;FP$2&amp;"+"&amp;CJ122&amp;FP$1)</f>
        <v/>
      </c>
      <c r="FQ122" s="44" t="str">
        <f t="shared" ref="FQ122:FQ162" si="1983">IF(CK122="","","|n"&amp;FQ$2&amp;"+"&amp;CK122&amp;FQ$1)</f>
        <v/>
      </c>
      <c r="FR122" s="44" t="str">
        <f t="shared" ref="FR122:FR162" si="1984">IF(CL122="","","|n"&amp;FR$2&amp;"+"&amp;CL122&amp;FR$1)</f>
        <v/>
      </c>
      <c r="FS122" s="44" t="str">
        <f t="shared" ref="FS122:FS162" si="1985">IF(CM122="","","|n"&amp;FS$2&amp;"+"&amp;CM122&amp;FS$1)</f>
        <v/>
      </c>
    </row>
    <row r="123" ht="15" spans="1:175">
      <c r="A123" s="5"/>
      <c r="B123" s="5" t="s">
        <v>476</v>
      </c>
      <c r="C123" s="78" t="s">
        <v>477</v>
      </c>
      <c r="T123" s="86" t="s">
        <v>478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178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护甲|cFF99CC66+500|r|n金币加成|cFF99CC66+30%|r|n击杀1000个敌人后奖励|n|cffffff12000~17000|r金币|n|cFFCC99FF6000-9000|r业力|n|cff99ccff同时只能携带一个招魂幡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57.6" spans="1:175">
      <c r="A124" s="5"/>
      <c r="B124" s="7" t="s">
        <v>479</v>
      </c>
      <c r="C124" s="79" t="s">
        <v>480</v>
      </c>
      <c r="T124" s="84" t="s">
        <v>481</v>
      </c>
      <c r="U124" s="60" t="s">
        <v>482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72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     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57.6" spans="1:175">
      <c r="A125" s="5"/>
      <c r="B125" s="7" t="s">
        <v>483</v>
      </c>
      <c r="C125" s="79" t="s">
        <v>480</v>
      </c>
      <c r="T125" s="84" t="s">
        <v>481</v>
      </c>
      <c r="U125" s="60" t="s">
        <v>482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72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     </v>
      </c>
      <c r="CW125" s="7"/>
      <c r="CX125" s="7"/>
      <c r="CY125" s="7"/>
      <c r="CZ125" s="7"/>
      <c r="DA125" s="7"/>
      <c r="DB125" s="44" t="str">
        <f t="shared" si="1916"/>
        <v/>
      </c>
      <c r="DC125" s="44" t="str">
        <f t="shared" si="1917"/>
        <v/>
      </c>
      <c r="DD125" s="44" t="str">
        <f t="shared" si="1918"/>
        <v/>
      </c>
      <c r="DE125" s="44" t="str">
        <f t="shared" si="1919"/>
        <v/>
      </c>
      <c r="DF125" s="44" t="str">
        <f t="shared" si="1920"/>
        <v/>
      </c>
      <c r="DG125" s="44" t="str">
        <f t="shared" si="1921"/>
        <v/>
      </c>
      <c r="DH125" s="44" t="str">
        <f t="shared" si="1922"/>
        <v/>
      </c>
      <c r="DI125" s="44" t="str">
        <f t="shared" si="1923"/>
        <v/>
      </c>
      <c r="DJ125" s="44" t="str">
        <f t="shared" si="1924"/>
        <v/>
      </c>
      <c r="DK125" s="44" t="str">
        <f t="shared" si="1925"/>
        <v/>
      </c>
      <c r="DL125" s="44" t="str">
        <f t="shared" si="1926"/>
        <v/>
      </c>
      <c r="DM125" s="44" t="str">
        <f t="shared" si="1927"/>
        <v/>
      </c>
      <c r="DN125" s="44" t="str">
        <f t="shared" si="1928"/>
        <v/>
      </c>
      <c r="DO125" s="44" t="str">
        <f t="shared" si="1929"/>
        <v/>
      </c>
      <c r="DP125" s="44" t="str">
        <f t="shared" si="1930"/>
        <v/>
      </c>
      <c r="DQ125" s="44" t="str">
        <f t="shared" si="1931"/>
        <v/>
      </c>
      <c r="DR125" s="44" t="str">
        <f t="shared" si="1932"/>
        <v/>
      </c>
      <c r="DS125" s="44" t="str">
        <f t="shared" si="1933"/>
        <v/>
      </c>
      <c r="DT125" s="44" t="str">
        <f t="shared" si="1934"/>
        <v/>
      </c>
      <c r="DU125" s="44" t="str">
        <f t="shared" si="1935"/>
        <v/>
      </c>
      <c r="DV125" s="44" t="str">
        <f t="shared" si="1936"/>
        <v/>
      </c>
      <c r="DW125" s="44" t="str">
        <f t="shared" si="1937"/>
        <v/>
      </c>
      <c r="DX125" s="44" t="str">
        <f t="shared" si="1938"/>
        <v/>
      </c>
      <c r="DY125" s="44" t="str">
        <f t="shared" si="1939"/>
        <v/>
      </c>
      <c r="DZ125" s="44" t="str">
        <f t="shared" si="1940"/>
        <v/>
      </c>
      <c r="EA125" s="44" t="str">
        <f t="shared" si="1941"/>
        <v/>
      </c>
      <c r="EB125" s="44" t="str">
        <f t="shared" si="1942"/>
        <v/>
      </c>
      <c r="EC125" s="44" t="str">
        <f t="shared" si="1943"/>
        <v/>
      </c>
      <c r="ED125" s="44" t="str">
        <f t="shared" si="1944"/>
        <v/>
      </c>
      <c r="EE125" s="44" t="str">
        <f t="shared" si="1945"/>
        <v/>
      </c>
      <c r="EF125" s="44" t="str">
        <f t="shared" si="1946"/>
        <v/>
      </c>
      <c r="EG125" s="44" t="str">
        <f t="shared" si="1947"/>
        <v/>
      </c>
      <c r="EH125" s="44" t="str">
        <f t="shared" si="1948"/>
        <v/>
      </c>
      <c r="EI125" s="44" t="str">
        <f t="shared" si="1949"/>
        <v/>
      </c>
      <c r="EJ125" s="44" t="str">
        <f t="shared" si="1950"/>
        <v/>
      </c>
      <c r="EK125" s="44" t="str">
        <f t="shared" si="1951"/>
        <v/>
      </c>
      <c r="EL125" s="44" t="str">
        <f t="shared" si="1952"/>
        <v/>
      </c>
      <c r="EM125" s="44" t="str">
        <f t="shared" si="1953"/>
        <v/>
      </c>
      <c r="EN125" s="44" t="str">
        <f t="shared" si="1954"/>
        <v/>
      </c>
      <c r="EO125" s="44" t="str">
        <f t="shared" si="1955"/>
        <v/>
      </c>
      <c r="EP125" s="44" t="str">
        <f t="shared" si="1956"/>
        <v/>
      </c>
      <c r="EQ125" s="44" t="str">
        <f t="shared" si="1957"/>
        <v/>
      </c>
      <c r="ER125" s="44" t="str">
        <f t="shared" si="1958"/>
        <v/>
      </c>
      <c r="ES125" s="44" t="str">
        <f t="shared" si="1959"/>
        <v/>
      </c>
      <c r="ET125" s="44" t="str">
        <f t="shared" si="1960"/>
        <v/>
      </c>
      <c r="EU125" s="44" t="str">
        <f t="shared" si="1961"/>
        <v/>
      </c>
      <c r="EV125" s="44" t="str">
        <f t="shared" si="1962"/>
        <v/>
      </c>
      <c r="EW125" s="44" t="str">
        <f t="shared" si="1963"/>
        <v/>
      </c>
      <c r="EX125" s="44" t="str">
        <f t="shared" si="1964"/>
        <v/>
      </c>
      <c r="EY125" s="44" t="str">
        <f t="shared" si="1965"/>
        <v/>
      </c>
      <c r="EZ125" s="44" t="str">
        <f t="shared" si="1966"/>
        <v/>
      </c>
      <c r="FA125" s="44" t="str">
        <f t="shared" si="1967"/>
        <v/>
      </c>
      <c r="FB125" s="44" t="str">
        <f t="shared" si="1968"/>
        <v/>
      </c>
      <c r="FC125" s="44" t="str">
        <f t="shared" si="1969"/>
        <v/>
      </c>
      <c r="FD125" s="44" t="str">
        <f t="shared" si="1970"/>
        <v/>
      </c>
      <c r="FE125" s="44" t="str">
        <f t="shared" si="1971"/>
        <v/>
      </c>
      <c r="FF125" s="44" t="str">
        <f t="shared" si="1972"/>
        <v/>
      </c>
      <c r="FG125" s="44" t="str">
        <f t="shared" si="1973"/>
        <v/>
      </c>
      <c r="FH125" s="44" t="str">
        <f t="shared" si="1974"/>
        <v/>
      </c>
      <c r="FI125" s="44" t="str">
        <f t="shared" si="1975"/>
        <v/>
      </c>
      <c r="FJ125" s="44" t="str">
        <f t="shared" si="1976"/>
        <v/>
      </c>
      <c r="FK125" s="44" t="str">
        <f t="shared" si="1977"/>
        <v/>
      </c>
      <c r="FL125" s="44" t="str">
        <f t="shared" si="1978"/>
        <v/>
      </c>
      <c r="FM125" s="44" t="str">
        <f t="shared" si="1979"/>
        <v/>
      </c>
      <c r="FN125" s="44" t="str">
        <f t="shared" si="1980"/>
        <v/>
      </c>
      <c r="FO125" s="44" t="str">
        <f t="shared" si="1981"/>
        <v/>
      </c>
      <c r="FP125" s="44" t="str">
        <f t="shared" si="1982"/>
        <v/>
      </c>
      <c r="FQ125" s="44" t="str">
        <f t="shared" si="1983"/>
        <v/>
      </c>
      <c r="FR125" s="44" t="str">
        <f t="shared" si="1984"/>
        <v/>
      </c>
      <c r="FS125" s="44" t="str">
        <f t="shared" si="1985"/>
        <v/>
      </c>
    </row>
    <row r="126" ht="57.6" spans="1:175">
      <c r="A126" s="5"/>
      <c r="B126" s="7" t="s">
        <v>484</v>
      </c>
      <c r="C126" s="79" t="s">
        <v>480</v>
      </c>
      <c r="T126" s="84" t="s">
        <v>481</v>
      </c>
      <c r="U126" s="60" t="s">
        <v>482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72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     </v>
      </c>
      <c r="CW126" s="7"/>
      <c r="CX126" s="7"/>
      <c r="CY126" s="7"/>
      <c r="CZ126" s="7"/>
      <c r="DA126" s="7"/>
      <c r="DB126" s="44" t="str">
        <f t="shared" si="1916"/>
        <v/>
      </c>
      <c r="DC126" s="44" t="str">
        <f t="shared" si="1917"/>
        <v/>
      </c>
      <c r="DD126" s="44" t="str">
        <f t="shared" si="1918"/>
        <v/>
      </c>
      <c r="DE126" s="44" t="str">
        <f t="shared" si="1919"/>
        <v/>
      </c>
      <c r="DF126" s="44" t="str">
        <f t="shared" si="1920"/>
        <v/>
      </c>
      <c r="DG126" s="44" t="str">
        <f t="shared" si="1921"/>
        <v/>
      </c>
      <c r="DH126" s="44" t="str">
        <f t="shared" si="1922"/>
        <v/>
      </c>
      <c r="DI126" s="44" t="str">
        <f t="shared" si="1923"/>
        <v/>
      </c>
      <c r="DJ126" s="44" t="str">
        <f t="shared" si="1924"/>
        <v/>
      </c>
      <c r="DK126" s="44" t="str">
        <f t="shared" si="1925"/>
        <v/>
      </c>
      <c r="DL126" s="44" t="str">
        <f t="shared" si="1926"/>
        <v/>
      </c>
      <c r="DM126" s="44" t="str">
        <f t="shared" si="1927"/>
        <v/>
      </c>
      <c r="DN126" s="44" t="str">
        <f t="shared" si="1928"/>
        <v/>
      </c>
      <c r="DO126" s="44" t="str">
        <f t="shared" si="1929"/>
        <v/>
      </c>
      <c r="DP126" s="44" t="str">
        <f t="shared" si="1930"/>
        <v/>
      </c>
      <c r="DQ126" s="44" t="str">
        <f t="shared" si="1931"/>
        <v/>
      </c>
      <c r="DR126" s="44" t="str">
        <f t="shared" si="1932"/>
        <v/>
      </c>
      <c r="DS126" s="44" t="str">
        <f t="shared" si="1933"/>
        <v/>
      </c>
      <c r="DT126" s="44" t="str">
        <f t="shared" si="1934"/>
        <v/>
      </c>
      <c r="DU126" s="44" t="str">
        <f t="shared" si="1935"/>
        <v/>
      </c>
      <c r="DV126" s="44" t="str">
        <f t="shared" si="1936"/>
        <v/>
      </c>
      <c r="DW126" s="44" t="str">
        <f t="shared" si="1937"/>
        <v/>
      </c>
      <c r="DX126" s="44" t="str">
        <f t="shared" si="1938"/>
        <v/>
      </c>
      <c r="DY126" s="44" t="str">
        <f t="shared" si="1939"/>
        <v/>
      </c>
      <c r="DZ126" s="44" t="str">
        <f t="shared" si="1940"/>
        <v/>
      </c>
      <c r="EA126" s="44" t="str">
        <f t="shared" si="1941"/>
        <v/>
      </c>
      <c r="EB126" s="44" t="str">
        <f t="shared" si="1942"/>
        <v/>
      </c>
      <c r="EC126" s="44" t="str">
        <f t="shared" si="1943"/>
        <v/>
      </c>
      <c r="ED126" s="44" t="str">
        <f t="shared" si="1944"/>
        <v/>
      </c>
      <c r="EE126" s="44" t="str">
        <f t="shared" si="1945"/>
        <v/>
      </c>
      <c r="EF126" s="44" t="str">
        <f t="shared" si="1946"/>
        <v/>
      </c>
      <c r="EG126" s="44" t="str">
        <f t="shared" si="1947"/>
        <v/>
      </c>
      <c r="EH126" s="44" t="str">
        <f t="shared" si="1948"/>
        <v/>
      </c>
      <c r="EI126" s="44" t="str">
        <f t="shared" si="1949"/>
        <v/>
      </c>
      <c r="EJ126" s="44" t="str">
        <f t="shared" si="1950"/>
        <v/>
      </c>
      <c r="EK126" s="44" t="str">
        <f t="shared" si="1951"/>
        <v/>
      </c>
      <c r="EL126" s="44" t="str">
        <f t="shared" si="1952"/>
        <v/>
      </c>
      <c r="EM126" s="44" t="str">
        <f t="shared" si="1953"/>
        <v/>
      </c>
      <c r="EN126" s="44" t="str">
        <f t="shared" si="1954"/>
        <v/>
      </c>
      <c r="EO126" s="44" t="str">
        <f t="shared" si="1955"/>
        <v/>
      </c>
      <c r="EP126" s="44" t="str">
        <f t="shared" si="1956"/>
        <v/>
      </c>
      <c r="EQ126" s="44" t="str">
        <f t="shared" si="1957"/>
        <v/>
      </c>
      <c r="ER126" s="44" t="str">
        <f t="shared" si="1958"/>
        <v/>
      </c>
      <c r="ES126" s="44" t="str">
        <f t="shared" si="1959"/>
        <v/>
      </c>
      <c r="ET126" s="44" t="str">
        <f t="shared" si="1960"/>
        <v/>
      </c>
      <c r="EU126" s="44" t="str">
        <f t="shared" si="1961"/>
        <v/>
      </c>
      <c r="EV126" s="44" t="str">
        <f t="shared" si="1962"/>
        <v/>
      </c>
      <c r="EW126" s="44" t="str">
        <f t="shared" si="1963"/>
        <v/>
      </c>
      <c r="EX126" s="44" t="str">
        <f t="shared" si="1964"/>
        <v/>
      </c>
      <c r="EY126" s="44" t="str">
        <f t="shared" si="1965"/>
        <v/>
      </c>
      <c r="EZ126" s="44" t="str">
        <f t="shared" si="1966"/>
        <v/>
      </c>
      <c r="FA126" s="44" t="str">
        <f t="shared" si="1967"/>
        <v/>
      </c>
      <c r="FB126" s="44" t="str">
        <f t="shared" si="1968"/>
        <v/>
      </c>
      <c r="FC126" s="44" t="str">
        <f t="shared" si="1969"/>
        <v/>
      </c>
      <c r="FD126" s="44" t="str">
        <f t="shared" si="1970"/>
        <v/>
      </c>
      <c r="FE126" s="44" t="str">
        <f t="shared" si="1971"/>
        <v/>
      </c>
      <c r="FF126" s="44" t="str">
        <f t="shared" si="1972"/>
        <v/>
      </c>
      <c r="FG126" s="44" t="str">
        <f t="shared" si="1973"/>
        <v/>
      </c>
      <c r="FH126" s="44" t="str">
        <f t="shared" si="1974"/>
        <v/>
      </c>
      <c r="FI126" s="44" t="str">
        <f t="shared" si="1975"/>
        <v/>
      </c>
      <c r="FJ126" s="44" t="str">
        <f t="shared" si="1976"/>
        <v/>
      </c>
      <c r="FK126" s="44" t="str">
        <f t="shared" si="1977"/>
        <v/>
      </c>
      <c r="FL126" s="44" t="str">
        <f t="shared" si="1978"/>
        <v/>
      </c>
      <c r="FM126" s="44" t="str">
        <f t="shared" si="1979"/>
        <v/>
      </c>
      <c r="FN126" s="44" t="str">
        <f t="shared" si="1980"/>
        <v/>
      </c>
      <c r="FO126" s="44" t="str">
        <f t="shared" si="1981"/>
        <v/>
      </c>
      <c r="FP126" s="44" t="str">
        <f t="shared" si="1982"/>
        <v/>
      </c>
      <c r="FQ126" s="44" t="str">
        <f t="shared" si="1983"/>
        <v/>
      </c>
      <c r="FR126" s="44" t="str">
        <f t="shared" si="1984"/>
        <v/>
      </c>
      <c r="FS126" s="44" t="str">
        <f t="shared" si="1985"/>
        <v/>
      </c>
    </row>
    <row r="127" ht="57.6" spans="1:175">
      <c r="A127" s="5"/>
      <c r="B127" s="7" t="s">
        <v>485</v>
      </c>
      <c r="C127" s="79" t="s">
        <v>480</v>
      </c>
      <c r="T127" s="84" t="s">
        <v>481</v>
      </c>
      <c r="U127" s="60" t="s">
        <v>482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72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     </v>
      </c>
      <c r="CW127" s="7"/>
      <c r="CX127" s="7"/>
      <c r="CY127" s="7"/>
      <c r="CZ127" s="7"/>
      <c r="DA127" s="7"/>
      <c r="DB127" s="44" t="str">
        <f t="shared" si="1916"/>
        <v/>
      </c>
      <c r="DC127" s="44" t="str">
        <f t="shared" si="1917"/>
        <v/>
      </c>
      <c r="DD127" s="44" t="str">
        <f t="shared" si="1918"/>
        <v/>
      </c>
      <c r="DE127" s="44" t="str">
        <f t="shared" si="1919"/>
        <v/>
      </c>
      <c r="DF127" s="44" t="str">
        <f t="shared" si="1920"/>
        <v/>
      </c>
      <c r="DG127" s="44" t="str">
        <f t="shared" si="1921"/>
        <v/>
      </c>
      <c r="DH127" s="44" t="str">
        <f t="shared" si="1922"/>
        <v/>
      </c>
      <c r="DI127" s="44" t="str">
        <f t="shared" si="1923"/>
        <v/>
      </c>
      <c r="DJ127" s="44" t="str">
        <f t="shared" si="1924"/>
        <v/>
      </c>
      <c r="DK127" s="44" t="str">
        <f t="shared" si="1925"/>
        <v/>
      </c>
      <c r="DL127" s="44" t="str">
        <f t="shared" si="1926"/>
        <v/>
      </c>
      <c r="DM127" s="44" t="str">
        <f t="shared" si="1927"/>
        <v/>
      </c>
      <c r="DN127" s="44" t="str">
        <f t="shared" si="1928"/>
        <v/>
      </c>
      <c r="DO127" s="44" t="str">
        <f t="shared" si="1929"/>
        <v/>
      </c>
      <c r="DP127" s="44" t="str">
        <f t="shared" si="1930"/>
        <v/>
      </c>
      <c r="DQ127" s="44" t="str">
        <f t="shared" si="1931"/>
        <v/>
      </c>
      <c r="DR127" s="44" t="str">
        <f t="shared" si="1932"/>
        <v/>
      </c>
      <c r="DS127" s="44" t="str">
        <f t="shared" si="1933"/>
        <v/>
      </c>
      <c r="DT127" s="44" t="str">
        <f t="shared" si="1934"/>
        <v/>
      </c>
      <c r="DU127" s="44" t="str">
        <f t="shared" si="1935"/>
        <v/>
      </c>
      <c r="DV127" s="44" t="str">
        <f t="shared" si="1936"/>
        <v/>
      </c>
      <c r="DW127" s="44" t="str">
        <f t="shared" si="1937"/>
        <v/>
      </c>
      <c r="DX127" s="44" t="str">
        <f t="shared" si="1938"/>
        <v/>
      </c>
      <c r="DY127" s="44" t="str">
        <f t="shared" si="1939"/>
        <v/>
      </c>
      <c r="DZ127" s="44" t="str">
        <f t="shared" si="1940"/>
        <v/>
      </c>
      <c r="EA127" s="44" t="str">
        <f t="shared" si="1941"/>
        <v/>
      </c>
      <c r="EB127" s="44" t="str">
        <f t="shared" si="1942"/>
        <v/>
      </c>
      <c r="EC127" s="44" t="str">
        <f t="shared" si="1943"/>
        <v/>
      </c>
      <c r="ED127" s="44" t="str">
        <f t="shared" si="1944"/>
        <v/>
      </c>
      <c r="EE127" s="44" t="str">
        <f t="shared" si="1945"/>
        <v/>
      </c>
      <c r="EF127" s="44" t="str">
        <f t="shared" si="1946"/>
        <v/>
      </c>
      <c r="EG127" s="44" t="str">
        <f t="shared" si="1947"/>
        <v/>
      </c>
      <c r="EH127" s="44" t="str">
        <f t="shared" si="1948"/>
        <v/>
      </c>
      <c r="EI127" s="44" t="str">
        <f t="shared" si="1949"/>
        <v/>
      </c>
      <c r="EJ127" s="44" t="str">
        <f t="shared" si="1950"/>
        <v/>
      </c>
      <c r="EK127" s="44" t="str">
        <f t="shared" si="1951"/>
        <v/>
      </c>
      <c r="EL127" s="44" t="str">
        <f t="shared" si="1952"/>
        <v/>
      </c>
      <c r="EM127" s="44" t="str">
        <f t="shared" si="1953"/>
        <v/>
      </c>
      <c r="EN127" s="44" t="str">
        <f t="shared" si="1954"/>
        <v/>
      </c>
      <c r="EO127" s="44" t="str">
        <f t="shared" si="1955"/>
        <v/>
      </c>
      <c r="EP127" s="44" t="str">
        <f t="shared" si="1956"/>
        <v/>
      </c>
      <c r="EQ127" s="44" t="str">
        <f t="shared" si="1957"/>
        <v/>
      </c>
      <c r="ER127" s="44" t="str">
        <f t="shared" si="1958"/>
        <v/>
      </c>
      <c r="ES127" s="44" t="str">
        <f t="shared" si="1959"/>
        <v/>
      </c>
      <c r="ET127" s="44" t="str">
        <f t="shared" si="1960"/>
        <v/>
      </c>
      <c r="EU127" s="44" t="str">
        <f t="shared" si="1961"/>
        <v/>
      </c>
      <c r="EV127" s="44" t="str">
        <f t="shared" si="1962"/>
        <v/>
      </c>
      <c r="EW127" s="44" t="str">
        <f t="shared" si="1963"/>
        <v/>
      </c>
      <c r="EX127" s="44" t="str">
        <f t="shared" si="1964"/>
        <v/>
      </c>
      <c r="EY127" s="44" t="str">
        <f t="shared" si="1965"/>
        <v/>
      </c>
      <c r="EZ127" s="44" t="str">
        <f t="shared" si="1966"/>
        <v/>
      </c>
      <c r="FA127" s="44" t="str">
        <f t="shared" si="1967"/>
        <v/>
      </c>
      <c r="FB127" s="44" t="str">
        <f t="shared" si="1968"/>
        <v/>
      </c>
      <c r="FC127" s="44" t="str">
        <f t="shared" si="1969"/>
        <v/>
      </c>
      <c r="FD127" s="44" t="str">
        <f t="shared" si="1970"/>
        <v/>
      </c>
      <c r="FE127" s="44" t="str">
        <f t="shared" si="1971"/>
        <v/>
      </c>
      <c r="FF127" s="44" t="str">
        <f t="shared" si="1972"/>
        <v/>
      </c>
      <c r="FG127" s="44" t="str">
        <f t="shared" si="1973"/>
        <v/>
      </c>
      <c r="FH127" s="44" t="str">
        <f t="shared" si="1974"/>
        <v/>
      </c>
      <c r="FI127" s="44" t="str">
        <f t="shared" si="1975"/>
        <v/>
      </c>
      <c r="FJ127" s="44" t="str">
        <f t="shared" si="1976"/>
        <v/>
      </c>
      <c r="FK127" s="44" t="str">
        <f t="shared" si="1977"/>
        <v/>
      </c>
      <c r="FL127" s="44" t="str">
        <f t="shared" si="1978"/>
        <v/>
      </c>
      <c r="FM127" s="44" t="str">
        <f t="shared" si="1979"/>
        <v/>
      </c>
      <c r="FN127" s="44" t="str">
        <f t="shared" si="1980"/>
        <v/>
      </c>
      <c r="FO127" s="44" t="str">
        <f t="shared" si="1981"/>
        <v/>
      </c>
      <c r="FP127" s="44" t="str">
        <f t="shared" si="1982"/>
        <v/>
      </c>
      <c r="FQ127" s="44" t="str">
        <f t="shared" si="1983"/>
        <v/>
      </c>
      <c r="FR127" s="44" t="str">
        <f t="shared" si="1984"/>
        <v/>
      </c>
      <c r="FS127" s="44" t="str">
        <f t="shared" si="1985"/>
        <v/>
      </c>
    </row>
    <row r="128" ht="57.6" spans="1:175">
      <c r="A128" s="5"/>
      <c r="B128" s="7" t="s">
        <v>486</v>
      </c>
      <c r="C128" s="79" t="s">
        <v>480</v>
      </c>
      <c r="T128" s="84" t="s">
        <v>481</v>
      </c>
      <c r="U128" s="60" t="s">
        <v>482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72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     </v>
      </c>
      <c r="CW128" s="7"/>
      <c r="CX128" s="7"/>
      <c r="CY128" s="7"/>
      <c r="CZ128" s="7"/>
      <c r="DA128" s="7"/>
      <c r="DB128" s="44" t="str">
        <f t="shared" si="1916"/>
        <v/>
      </c>
      <c r="DC128" s="44" t="str">
        <f t="shared" si="1917"/>
        <v/>
      </c>
      <c r="DD128" s="44" t="str">
        <f t="shared" si="1918"/>
        <v/>
      </c>
      <c r="DE128" s="44" t="str">
        <f t="shared" si="1919"/>
        <v/>
      </c>
      <c r="DF128" s="44" t="str">
        <f t="shared" si="1920"/>
        <v/>
      </c>
      <c r="DG128" s="44" t="str">
        <f t="shared" si="1921"/>
        <v/>
      </c>
      <c r="DH128" s="44" t="str">
        <f t="shared" si="1922"/>
        <v/>
      </c>
      <c r="DI128" s="44" t="str">
        <f t="shared" si="1923"/>
        <v/>
      </c>
      <c r="DJ128" s="44" t="str">
        <f t="shared" si="1924"/>
        <v/>
      </c>
      <c r="DK128" s="44" t="str">
        <f t="shared" si="1925"/>
        <v/>
      </c>
      <c r="DL128" s="44" t="str">
        <f t="shared" si="1926"/>
        <v/>
      </c>
      <c r="DM128" s="44" t="str">
        <f t="shared" si="1927"/>
        <v/>
      </c>
      <c r="DN128" s="44" t="str">
        <f t="shared" si="1928"/>
        <v/>
      </c>
      <c r="DO128" s="44" t="str">
        <f t="shared" si="1929"/>
        <v/>
      </c>
      <c r="DP128" s="44" t="str">
        <f t="shared" si="1930"/>
        <v/>
      </c>
      <c r="DQ128" s="44" t="str">
        <f t="shared" si="1931"/>
        <v/>
      </c>
      <c r="DR128" s="44" t="str">
        <f t="shared" si="1932"/>
        <v/>
      </c>
      <c r="DS128" s="44" t="str">
        <f t="shared" si="1933"/>
        <v/>
      </c>
      <c r="DT128" s="44" t="str">
        <f t="shared" si="1934"/>
        <v/>
      </c>
      <c r="DU128" s="44" t="str">
        <f t="shared" si="1935"/>
        <v/>
      </c>
      <c r="DV128" s="44" t="str">
        <f t="shared" si="1936"/>
        <v/>
      </c>
      <c r="DW128" s="44" t="str">
        <f t="shared" si="1937"/>
        <v/>
      </c>
      <c r="DX128" s="44" t="str">
        <f t="shared" si="1938"/>
        <v/>
      </c>
      <c r="DY128" s="44" t="str">
        <f t="shared" si="1939"/>
        <v/>
      </c>
      <c r="DZ128" s="44" t="str">
        <f t="shared" si="1940"/>
        <v/>
      </c>
      <c r="EA128" s="44" t="str">
        <f t="shared" si="1941"/>
        <v/>
      </c>
      <c r="EB128" s="44" t="str">
        <f t="shared" si="1942"/>
        <v/>
      </c>
      <c r="EC128" s="44" t="str">
        <f t="shared" si="1943"/>
        <v/>
      </c>
      <c r="ED128" s="44" t="str">
        <f t="shared" si="1944"/>
        <v/>
      </c>
      <c r="EE128" s="44" t="str">
        <f t="shared" si="1945"/>
        <v/>
      </c>
      <c r="EF128" s="44" t="str">
        <f t="shared" si="1946"/>
        <v/>
      </c>
      <c r="EG128" s="44" t="str">
        <f t="shared" si="1947"/>
        <v/>
      </c>
      <c r="EH128" s="44" t="str">
        <f t="shared" si="1948"/>
        <v/>
      </c>
      <c r="EI128" s="44" t="str">
        <f t="shared" si="1949"/>
        <v/>
      </c>
      <c r="EJ128" s="44" t="str">
        <f t="shared" si="1950"/>
        <v/>
      </c>
      <c r="EK128" s="44" t="str">
        <f t="shared" si="1951"/>
        <v/>
      </c>
      <c r="EL128" s="44" t="str">
        <f t="shared" si="1952"/>
        <v/>
      </c>
      <c r="EM128" s="44" t="str">
        <f t="shared" si="1953"/>
        <v/>
      </c>
      <c r="EN128" s="44" t="str">
        <f t="shared" si="1954"/>
        <v/>
      </c>
      <c r="EO128" s="44" t="str">
        <f t="shared" si="1955"/>
        <v/>
      </c>
      <c r="EP128" s="44" t="str">
        <f t="shared" si="1956"/>
        <v/>
      </c>
      <c r="EQ128" s="44" t="str">
        <f t="shared" si="1957"/>
        <v/>
      </c>
      <c r="ER128" s="44" t="str">
        <f t="shared" si="1958"/>
        <v/>
      </c>
      <c r="ES128" s="44" t="str">
        <f t="shared" si="1959"/>
        <v/>
      </c>
      <c r="ET128" s="44" t="str">
        <f t="shared" si="1960"/>
        <v/>
      </c>
      <c r="EU128" s="44" t="str">
        <f t="shared" si="1961"/>
        <v/>
      </c>
      <c r="EV128" s="44" t="str">
        <f t="shared" si="1962"/>
        <v/>
      </c>
      <c r="EW128" s="44" t="str">
        <f t="shared" si="1963"/>
        <v/>
      </c>
      <c r="EX128" s="44" t="str">
        <f t="shared" si="1964"/>
        <v/>
      </c>
      <c r="EY128" s="44" t="str">
        <f t="shared" si="1965"/>
        <v/>
      </c>
      <c r="EZ128" s="44" t="str">
        <f t="shared" si="1966"/>
        <v/>
      </c>
      <c r="FA128" s="44" t="str">
        <f t="shared" si="1967"/>
        <v/>
      </c>
      <c r="FB128" s="44" t="str">
        <f t="shared" si="1968"/>
        <v/>
      </c>
      <c r="FC128" s="44" t="str">
        <f t="shared" si="1969"/>
        <v/>
      </c>
      <c r="FD128" s="44" t="str">
        <f t="shared" si="1970"/>
        <v/>
      </c>
      <c r="FE128" s="44" t="str">
        <f t="shared" si="1971"/>
        <v/>
      </c>
      <c r="FF128" s="44" t="str">
        <f t="shared" si="1972"/>
        <v/>
      </c>
      <c r="FG128" s="44" t="str">
        <f t="shared" si="1973"/>
        <v/>
      </c>
      <c r="FH128" s="44" t="str">
        <f t="shared" si="1974"/>
        <v/>
      </c>
      <c r="FI128" s="44" t="str">
        <f t="shared" si="1975"/>
        <v/>
      </c>
      <c r="FJ128" s="44" t="str">
        <f t="shared" si="1976"/>
        <v/>
      </c>
      <c r="FK128" s="44" t="str">
        <f t="shared" si="1977"/>
        <v/>
      </c>
      <c r="FL128" s="44" t="str">
        <f t="shared" si="1978"/>
        <v/>
      </c>
      <c r="FM128" s="44" t="str">
        <f t="shared" si="1979"/>
        <v/>
      </c>
      <c r="FN128" s="44" t="str">
        <f t="shared" si="1980"/>
        <v/>
      </c>
      <c r="FO128" s="44" t="str">
        <f t="shared" si="1981"/>
        <v/>
      </c>
      <c r="FP128" s="44" t="str">
        <f t="shared" si="1982"/>
        <v/>
      </c>
      <c r="FQ128" s="44" t="str">
        <f t="shared" si="1983"/>
        <v/>
      </c>
      <c r="FR128" s="44" t="str">
        <f t="shared" si="1984"/>
        <v/>
      </c>
      <c r="FS128" s="44" t="str">
        <f t="shared" si="1985"/>
        <v/>
      </c>
    </row>
    <row r="129" ht="15" spans="1:175">
      <c r="A129" s="5"/>
      <c r="B129" s="7" t="s">
        <v>487</v>
      </c>
      <c r="C129" s="79" t="s">
        <v>488</v>
      </c>
      <c r="T129" s="84" t="s">
        <v>489</v>
      </c>
      <c r="U129" s="60" t="s">
        <v>490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72" t="str">
        <f t="shared" si="1914"/>
        <v>|n</v>
      </c>
      <c r="CV129" s="6" t="str">
        <f t="shared" si="1915"/>
        <v>开启后随机获得一张|Cffffd24d锦囊卡|r</v>
      </c>
      <c r="CW129" s="7"/>
      <c r="CX129" s="7"/>
      <c r="CY129" s="7"/>
      <c r="CZ129" s="7"/>
      <c r="DA129" s="7"/>
      <c r="DB129" s="44" t="str">
        <f t="shared" si="1916"/>
        <v/>
      </c>
      <c r="DC129" s="44" t="str">
        <f t="shared" si="1917"/>
        <v/>
      </c>
      <c r="DD129" s="44" t="str">
        <f t="shared" si="1918"/>
        <v/>
      </c>
      <c r="DE129" s="44" t="str">
        <f t="shared" si="1919"/>
        <v/>
      </c>
      <c r="DF129" s="44" t="str">
        <f t="shared" si="1920"/>
        <v/>
      </c>
      <c r="DG129" s="44" t="str">
        <f t="shared" si="1921"/>
        <v/>
      </c>
      <c r="DH129" s="44" t="str">
        <f t="shared" si="1922"/>
        <v/>
      </c>
      <c r="DI129" s="44" t="str">
        <f t="shared" si="1923"/>
        <v/>
      </c>
      <c r="DJ129" s="44" t="str">
        <f t="shared" si="1924"/>
        <v/>
      </c>
      <c r="DK129" s="44" t="str">
        <f t="shared" si="1925"/>
        <v/>
      </c>
      <c r="DL129" s="44" t="str">
        <f t="shared" si="1926"/>
        <v/>
      </c>
      <c r="DM129" s="44" t="str">
        <f t="shared" si="1927"/>
        <v/>
      </c>
      <c r="DN129" s="44" t="str">
        <f t="shared" si="1928"/>
        <v/>
      </c>
      <c r="DO129" s="44" t="str">
        <f t="shared" si="1929"/>
        <v/>
      </c>
      <c r="DP129" s="44" t="str">
        <f t="shared" si="1930"/>
        <v/>
      </c>
      <c r="DQ129" s="44" t="str">
        <f t="shared" si="1931"/>
        <v/>
      </c>
      <c r="DR129" s="44" t="str">
        <f t="shared" si="1932"/>
        <v/>
      </c>
      <c r="DS129" s="44" t="str">
        <f t="shared" si="1933"/>
        <v/>
      </c>
      <c r="DT129" s="44" t="str">
        <f t="shared" si="1934"/>
        <v/>
      </c>
      <c r="DU129" s="44" t="str">
        <f t="shared" si="1935"/>
        <v/>
      </c>
      <c r="DV129" s="44" t="str">
        <f t="shared" si="1936"/>
        <v/>
      </c>
      <c r="DW129" s="44" t="str">
        <f t="shared" si="1937"/>
        <v/>
      </c>
      <c r="DX129" s="44" t="str">
        <f t="shared" si="1938"/>
        <v/>
      </c>
      <c r="DY129" s="44" t="str">
        <f t="shared" si="1939"/>
        <v/>
      </c>
      <c r="DZ129" s="44" t="str">
        <f t="shared" si="1940"/>
        <v/>
      </c>
      <c r="EA129" s="44" t="str">
        <f t="shared" si="1941"/>
        <v/>
      </c>
      <c r="EB129" s="44" t="str">
        <f t="shared" si="1942"/>
        <v/>
      </c>
      <c r="EC129" s="44" t="str">
        <f t="shared" si="1943"/>
        <v/>
      </c>
      <c r="ED129" s="44" t="str">
        <f t="shared" si="1944"/>
        <v/>
      </c>
      <c r="EE129" s="44" t="str">
        <f t="shared" si="1945"/>
        <v/>
      </c>
      <c r="EF129" s="44" t="str">
        <f t="shared" si="1946"/>
        <v/>
      </c>
      <c r="EG129" s="44" t="str">
        <f t="shared" si="1947"/>
        <v/>
      </c>
      <c r="EH129" s="44" t="str">
        <f t="shared" si="1948"/>
        <v/>
      </c>
      <c r="EI129" s="44" t="str">
        <f t="shared" si="1949"/>
        <v/>
      </c>
      <c r="EJ129" s="44" t="str">
        <f t="shared" si="1950"/>
        <v/>
      </c>
      <c r="EK129" s="44" t="str">
        <f t="shared" si="1951"/>
        <v/>
      </c>
      <c r="EL129" s="44" t="str">
        <f t="shared" si="1952"/>
        <v/>
      </c>
      <c r="EM129" s="44" t="str">
        <f t="shared" si="1953"/>
        <v/>
      </c>
      <c r="EN129" s="44" t="str">
        <f t="shared" si="1954"/>
        <v/>
      </c>
      <c r="EO129" s="44" t="str">
        <f t="shared" si="1955"/>
        <v/>
      </c>
      <c r="EP129" s="44" t="str">
        <f t="shared" si="1956"/>
        <v/>
      </c>
      <c r="EQ129" s="44" t="str">
        <f t="shared" si="1957"/>
        <v/>
      </c>
      <c r="ER129" s="44" t="str">
        <f t="shared" si="1958"/>
        <v/>
      </c>
      <c r="ES129" s="44" t="str">
        <f t="shared" si="1959"/>
        <v/>
      </c>
      <c r="ET129" s="44" t="str">
        <f t="shared" si="1960"/>
        <v/>
      </c>
      <c r="EU129" s="44" t="str">
        <f t="shared" si="1961"/>
        <v/>
      </c>
      <c r="EV129" s="44" t="str">
        <f t="shared" si="1962"/>
        <v/>
      </c>
      <c r="EW129" s="44" t="str">
        <f t="shared" si="1963"/>
        <v/>
      </c>
      <c r="EX129" s="44" t="str">
        <f t="shared" si="1964"/>
        <v/>
      </c>
      <c r="EY129" s="44" t="str">
        <f t="shared" si="1965"/>
        <v/>
      </c>
      <c r="EZ129" s="44" t="str">
        <f t="shared" si="1966"/>
        <v/>
      </c>
      <c r="FA129" s="44" t="str">
        <f t="shared" si="1967"/>
        <v/>
      </c>
      <c r="FB129" s="44" t="str">
        <f t="shared" si="1968"/>
        <v/>
      </c>
      <c r="FC129" s="44" t="str">
        <f t="shared" si="1969"/>
        <v/>
      </c>
      <c r="FD129" s="44" t="str">
        <f t="shared" si="1970"/>
        <v/>
      </c>
      <c r="FE129" s="44" t="str">
        <f t="shared" si="1971"/>
        <v/>
      </c>
      <c r="FF129" s="44" t="str">
        <f t="shared" si="1972"/>
        <v/>
      </c>
      <c r="FG129" s="44" t="str">
        <f t="shared" si="1973"/>
        <v/>
      </c>
      <c r="FH129" s="44" t="str">
        <f t="shared" si="1974"/>
        <v/>
      </c>
      <c r="FI129" s="44" t="str">
        <f t="shared" si="1975"/>
        <v/>
      </c>
      <c r="FJ129" s="44" t="str">
        <f t="shared" si="1976"/>
        <v/>
      </c>
      <c r="FK129" s="44" t="str">
        <f t="shared" si="1977"/>
        <v/>
      </c>
      <c r="FL129" s="44" t="str">
        <f t="shared" si="1978"/>
        <v/>
      </c>
      <c r="FM129" s="44" t="str">
        <f t="shared" si="1979"/>
        <v/>
      </c>
      <c r="FN129" s="44" t="str">
        <f t="shared" si="1980"/>
        <v/>
      </c>
      <c r="FO129" s="44" t="str">
        <f t="shared" si="1981"/>
        <v/>
      </c>
      <c r="FP129" s="44" t="str">
        <f t="shared" si="1982"/>
        <v/>
      </c>
      <c r="FQ129" s="44" t="str">
        <f t="shared" si="1983"/>
        <v/>
      </c>
      <c r="FR129" s="44" t="str">
        <f t="shared" si="1984"/>
        <v/>
      </c>
      <c r="FS129" s="44" t="str">
        <f t="shared" si="1985"/>
        <v/>
      </c>
    </row>
    <row r="130" ht="57.6" spans="1:175">
      <c r="A130" s="5"/>
      <c r="B130" s="7" t="s">
        <v>491</v>
      </c>
      <c r="C130" s="79" t="s">
        <v>480</v>
      </c>
      <c r="T130" s="84" t="s">
        <v>481</v>
      </c>
      <c r="U130" s="60" t="s">
        <v>482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72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     </v>
      </c>
      <c r="CW130" s="7"/>
      <c r="CX130" s="7"/>
      <c r="CY130" s="7"/>
      <c r="CZ130" s="7"/>
      <c r="DA130" s="7"/>
      <c r="DB130" s="44" t="str">
        <f t="shared" si="1916"/>
        <v/>
      </c>
      <c r="DC130" s="44" t="str">
        <f t="shared" si="1917"/>
        <v/>
      </c>
      <c r="DD130" s="44" t="str">
        <f t="shared" si="1918"/>
        <v/>
      </c>
      <c r="DE130" s="44" t="str">
        <f t="shared" si="1919"/>
        <v/>
      </c>
      <c r="DF130" s="44" t="str">
        <f t="shared" si="1920"/>
        <v/>
      </c>
      <c r="DG130" s="44" t="str">
        <f t="shared" si="1921"/>
        <v/>
      </c>
      <c r="DH130" s="44" t="str">
        <f t="shared" si="1922"/>
        <v/>
      </c>
      <c r="DI130" s="44" t="str">
        <f t="shared" si="1923"/>
        <v/>
      </c>
      <c r="DJ130" s="44" t="str">
        <f t="shared" si="1924"/>
        <v/>
      </c>
      <c r="DK130" s="44" t="str">
        <f t="shared" si="1925"/>
        <v/>
      </c>
      <c r="DL130" s="44" t="str">
        <f t="shared" si="1926"/>
        <v/>
      </c>
      <c r="DM130" s="44" t="str">
        <f t="shared" si="1927"/>
        <v/>
      </c>
      <c r="DN130" s="44" t="str">
        <f t="shared" si="1928"/>
        <v/>
      </c>
      <c r="DO130" s="44" t="str">
        <f t="shared" si="1929"/>
        <v/>
      </c>
      <c r="DP130" s="44" t="str">
        <f t="shared" si="1930"/>
        <v/>
      </c>
      <c r="DQ130" s="44" t="str">
        <f t="shared" si="1931"/>
        <v/>
      </c>
      <c r="DR130" s="44" t="str">
        <f t="shared" si="1932"/>
        <v/>
      </c>
      <c r="DS130" s="44" t="str">
        <f t="shared" si="1933"/>
        <v/>
      </c>
      <c r="DT130" s="44" t="str">
        <f t="shared" si="1934"/>
        <v/>
      </c>
      <c r="DU130" s="44" t="str">
        <f t="shared" si="1935"/>
        <v/>
      </c>
      <c r="DV130" s="44" t="str">
        <f t="shared" si="1936"/>
        <v/>
      </c>
      <c r="DW130" s="44" t="str">
        <f t="shared" si="1937"/>
        <v/>
      </c>
      <c r="DX130" s="44" t="str">
        <f t="shared" si="1938"/>
        <v/>
      </c>
      <c r="DY130" s="44" t="str">
        <f t="shared" si="1939"/>
        <v/>
      </c>
      <c r="DZ130" s="44" t="str">
        <f t="shared" si="1940"/>
        <v/>
      </c>
      <c r="EA130" s="44" t="str">
        <f t="shared" si="1941"/>
        <v/>
      </c>
      <c r="EB130" s="44" t="str">
        <f t="shared" si="1942"/>
        <v/>
      </c>
      <c r="EC130" s="44" t="str">
        <f t="shared" si="1943"/>
        <v/>
      </c>
      <c r="ED130" s="44" t="str">
        <f t="shared" si="1944"/>
        <v/>
      </c>
      <c r="EE130" s="44" t="str">
        <f t="shared" si="1945"/>
        <v/>
      </c>
      <c r="EF130" s="44" t="str">
        <f t="shared" si="1946"/>
        <v/>
      </c>
      <c r="EG130" s="44" t="str">
        <f t="shared" si="1947"/>
        <v/>
      </c>
      <c r="EH130" s="44" t="str">
        <f t="shared" si="1948"/>
        <v/>
      </c>
      <c r="EI130" s="44" t="str">
        <f t="shared" si="1949"/>
        <v/>
      </c>
      <c r="EJ130" s="44" t="str">
        <f t="shared" si="1950"/>
        <v/>
      </c>
      <c r="EK130" s="44" t="str">
        <f t="shared" si="1951"/>
        <v/>
      </c>
      <c r="EL130" s="44" t="str">
        <f t="shared" si="1952"/>
        <v/>
      </c>
      <c r="EM130" s="44" t="str">
        <f t="shared" si="1953"/>
        <v/>
      </c>
      <c r="EN130" s="44" t="str">
        <f t="shared" si="1954"/>
        <v/>
      </c>
      <c r="EO130" s="44" t="str">
        <f t="shared" si="1955"/>
        <v/>
      </c>
      <c r="EP130" s="44" t="str">
        <f t="shared" si="1956"/>
        <v/>
      </c>
      <c r="EQ130" s="44" t="str">
        <f t="shared" si="1957"/>
        <v/>
      </c>
      <c r="ER130" s="44" t="str">
        <f t="shared" si="1958"/>
        <v/>
      </c>
      <c r="ES130" s="44" t="str">
        <f t="shared" si="1959"/>
        <v/>
      </c>
      <c r="ET130" s="44" t="str">
        <f t="shared" si="1960"/>
        <v/>
      </c>
      <c r="EU130" s="44" t="str">
        <f t="shared" si="1961"/>
        <v/>
      </c>
      <c r="EV130" s="44" t="str">
        <f t="shared" si="1962"/>
        <v/>
      </c>
      <c r="EW130" s="44" t="str">
        <f t="shared" si="1963"/>
        <v/>
      </c>
      <c r="EX130" s="44" t="str">
        <f t="shared" si="1964"/>
        <v/>
      </c>
      <c r="EY130" s="44" t="str">
        <f t="shared" si="1965"/>
        <v/>
      </c>
      <c r="EZ130" s="44" t="str">
        <f t="shared" si="1966"/>
        <v/>
      </c>
      <c r="FA130" s="44" t="str">
        <f t="shared" si="1967"/>
        <v/>
      </c>
      <c r="FB130" s="44" t="str">
        <f t="shared" si="1968"/>
        <v/>
      </c>
      <c r="FC130" s="44" t="str">
        <f t="shared" si="1969"/>
        <v/>
      </c>
      <c r="FD130" s="44" t="str">
        <f t="shared" si="1970"/>
        <v/>
      </c>
      <c r="FE130" s="44" t="str">
        <f t="shared" si="1971"/>
        <v/>
      </c>
      <c r="FF130" s="44" t="str">
        <f t="shared" si="1972"/>
        <v/>
      </c>
      <c r="FG130" s="44" t="str">
        <f t="shared" si="1973"/>
        <v/>
      </c>
      <c r="FH130" s="44" t="str">
        <f t="shared" si="1974"/>
        <v/>
      </c>
      <c r="FI130" s="44" t="str">
        <f t="shared" si="1975"/>
        <v/>
      </c>
      <c r="FJ130" s="44" t="str">
        <f t="shared" si="1976"/>
        <v/>
      </c>
      <c r="FK130" s="44" t="str">
        <f t="shared" si="1977"/>
        <v/>
      </c>
      <c r="FL130" s="44" t="str">
        <f t="shared" si="1978"/>
        <v/>
      </c>
      <c r="FM130" s="44" t="str">
        <f t="shared" si="1979"/>
        <v/>
      </c>
      <c r="FN130" s="44" t="str">
        <f t="shared" si="1980"/>
        <v/>
      </c>
      <c r="FO130" s="44" t="str">
        <f t="shared" si="1981"/>
        <v/>
      </c>
      <c r="FP130" s="44" t="str">
        <f t="shared" si="1982"/>
        <v/>
      </c>
      <c r="FQ130" s="44" t="str">
        <f t="shared" si="1983"/>
        <v/>
      </c>
      <c r="FR130" s="44" t="str">
        <f t="shared" si="1984"/>
        <v/>
      </c>
      <c r="FS130" s="44" t="str">
        <f t="shared" si="1985"/>
        <v/>
      </c>
    </row>
    <row r="131" ht="57.6" spans="1:175">
      <c r="A131" s="5"/>
      <c r="B131" s="7" t="s">
        <v>492</v>
      </c>
      <c r="C131" s="79" t="s">
        <v>480</v>
      </c>
      <c r="T131" s="84" t="s">
        <v>481</v>
      </c>
      <c r="U131" s="60" t="s">
        <v>482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72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     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57.6" spans="1:175">
      <c r="A132" s="5"/>
      <c r="B132" s="7" t="s">
        <v>493</v>
      </c>
      <c r="C132" s="79" t="s">
        <v>480</v>
      </c>
      <c r="T132" s="84" t="s">
        <v>481</v>
      </c>
      <c r="U132" s="60" t="s">
        <v>482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72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     </v>
      </c>
      <c r="CW132" s="7"/>
      <c r="CX132" s="7"/>
      <c r="CY132" s="7"/>
      <c r="CZ132" s="7"/>
      <c r="DA132" s="7"/>
      <c r="DB132" s="44" t="str">
        <f t="shared" ref="DB132:DB139" si="2066">IF(V132="","","|n"&amp;DB$2&amp;"+"&amp;V132&amp;DB$1)</f>
        <v/>
      </c>
      <c r="DC132" s="44" t="str">
        <f t="shared" ref="DC132:DC139" si="2067">IF(W132="","","|n"&amp;DC$2&amp;"+"&amp;W132&amp;DC$1)</f>
        <v/>
      </c>
      <c r="DD132" s="44" t="str">
        <f t="shared" ref="DD132:DD139" si="2068">IF(X132="","","|n"&amp;DD$2&amp;"+"&amp;X132&amp;DD$1)</f>
        <v/>
      </c>
      <c r="DE132" s="44" t="str">
        <f t="shared" ref="DE132:DE139" si="2069">IF(Y132="","","|n"&amp;DE$2&amp;"+"&amp;Y132&amp;DE$1)</f>
        <v/>
      </c>
      <c r="DF132" s="44" t="str">
        <f t="shared" ref="DF132:DF139" si="2070">IF(Z132="","","|n"&amp;DF$2&amp;"+"&amp;Z132&amp;DF$1)</f>
        <v/>
      </c>
      <c r="DG132" s="44" t="str">
        <f t="shared" ref="DG132:DG139" si="2071">IF(AA132="","","|n"&amp;DG$2&amp;"+"&amp;AA132&amp;DG$1)</f>
        <v/>
      </c>
      <c r="DH132" s="44" t="str">
        <f t="shared" ref="DH132:DH139" si="2072">IF(AB132="","","|n"&amp;DH$2&amp;"+"&amp;AB132&amp;DH$1)</f>
        <v/>
      </c>
      <c r="DI132" s="44" t="str">
        <f t="shared" ref="DI132:DI139" si="2073">IF(AC132="","","|n"&amp;DI$2&amp;"+"&amp;AC132&amp;DI$1)</f>
        <v/>
      </c>
      <c r="DJ132" s="44" t="str">
        <f t="shared" ref="DJ132:DJ139" si="2074">IF(AD132="","","|n"&amp;DJ$2&amp;"+"&amp;AD132&amp;DJ$1)</f>
        <v/>
      </c>
      <c r="DK132" s="44" t="str">
        <f t="shared" ref="DK132:DK139" si="2075">IF(AE132="","","|n"&amp;DK$2&amp;"+"&amp;AE132&amp;DK$1)</f>
        <v/>
      </c>
      <c r="DL132" s="44" t="str">
        <f t="shared" ref="DL132:DL139" si="2076">IF(AF132="","","|n"&amp;DL$2&amp;"+"&amp;AF132&amp;DL$1)</f>
        <v/>
      </c>
      <c r="DM132" s="44" t="str">
        <f t="shared" ref="DM132:DM139" si="2077">IF(AG132="","","|n"&amp;DM$2&amp;"+"&amp;AG132&amp;DM$1)</f>
        <v/>
      </c>
      <c r="DN132" s="44" t="str">
        <f t="shared" ref="DN132:DN139" si="2078">IF(AH132="","","|n"&amp;DN$2&amp;"+"&amp;AH132&amp;DN$1)</f>
        <v/>
      </c>
      <c r="DO132" s="44" t="str">
        <f t="shared" ref="DO132:DO139" si="2079">IF(AI132="","","|n"&amp;DO$2&amp;"+"&amp;AI132&amp;DO$1)</f>
        <v/>
      </c>
      <c r="DP132" s="44" t="str">
        <f t="shared" ref="DP132:DP139" si="2080">IF(AJ132="","","|n"&amp;DP$2&amp;"+"&amp;AJ132&amp;DP$1)</f>
        <v/>
      </c>
      <c r="DQ132" s="44" t="str">
        <f t="shared" ref="DQ132:DQ139" si="2081">IF(AK132="","","|n"&amp;DQ$2&amp;"+"&amp;AK132&amp;DQ$1)</f>
        <v/>
      </c>
      <c r="DR132" s="44" t="str">
        <f t="shared" ref="DR132:DR139" si="2082">IF(AL132="","","|n"&amp;DR$2&amp;"+"&amp;AL132&amp;DR$1)</f>
        <v/>
      </c>
      <c r="DS132" s="44" t="str">
        <f t="shared" ref="DS132:DS139" si="2083">IF(AM132="","","|n"&amp;DS$2&amp;"+"&amp;AM132&amp;DS$1)</f>
        <v/>
      </c>
      <c r="DT132" s="44" t="str">
        <f t="shared" ref="DT132:DT139" si="2084">IF(AN132="","","|n"&amp;DT$2&amp;"+"&amp;AN132&amp;DT$1)</f>
        <v/>
      </c>
      <c r="DU132" s="44" t="str">
        <f t="shared" ref="DU132:DU139" si="2085">IF(AO132="","","|n"&amp;DU$2&amp;"+"&amp;AO132&amp;DU$1)</f>
        <v/>
      </c>
      <c r="DV132" s="44" t="str">
        <f t="shared" ref="DV132:DV139" si="2086">IF(AP132="","","|n"&amp;DV$2&amp;"+"&amp;AP132&amp;DV$1)</f>
        <v/>
      </c>
      <c r="DW132" s="44" t="str">
        <f t="shared" ref="DW132:DW139" si="2087">IF(AQ132="","","|n"&amp;DW$2&amp;"+"&amp;AQ132&amp;DW$1)</f>
        <v/>
      </c>
      <c r="DX132" s="44" t="str">
        <f t="shared" ref="DX132:DX139" si="2088">IF(AR132="","","|n"&amp;DX$2&amp;"+"&amp;AR132&amp;DX$1)</f>
        <v/>
      </c>
      <c r="DY132" s="44" t="str">
        <f t="shared" ref="DY132:DY139" si="2089">IF(AS132="","","|n"&amp;DY$2&amp;"+"&amp;AS132&amp;DY$1)</f>
        <v/>
      </c>
      <c r="DZ132" s="44" t="str">
        <f t="shared" ref="DZ132:DZ139" si="2090">IF(AT132="","","|n"&amp;DZ$2&amp;"+"&amp;AT132&amp;DZ$1)</f>
        <v/>
      </c>
      <c r="EA132" s="44" t="str">
        <f t="shared" ref="EA132:EA139" si="2091">IF(AU132="","","|n"&amp;EA$2&amp;"+"&amp;AU132&amp;EA$1)</f>
        <v/>
      </c>
      <c r="EB132" s="44" t="str">
        <f t="shared" ref="EB132:EB139" si="2092">IF(AV132="","","|n"&amp;EB$2&amp;"+"&amp;AV132&amp;EB$1)</f>
        <v/>
      </c>
      <c r="EC132" s="44" t="str">
        <f t="shared" ref="EC132:EC139" si="2093">IF(AW132="","","|n"&amp;EC$2&amp;"+"&amp;AW132&amp;EC$1)</f>
        <v/>
      </c>
      <c r="ED132" s="44" t="str">
        <f t="shared" ref="ED132:ED139" si="2094">IF(AX132="","","|n"&amp;ED$2&amp;"+"&amp;AX132&amp;ED$1)</f>
        <v/>
      </c>
      <c r="EE132" s="44" t="str">
        <f t="shared" ref="EE132:EE139" si="2095">IF(AY132="","","|n"&amp;EE$2&amp;"+"&amp;AY132&amp;EE$1)</f>
        <v/>
      </c>
      <c r="EF132" s="44" t="str">
        <f t="shared" ref="EF132:EF139" si="2096">IF(AZ132="","","|n"&amp;EF$2&amp;"+"&amp;AZ132&amp;EF$1)</f>
        <v/>
      </c>
      <c r="EG132" s="44" t="str">
        <f t="shared" ref="EG132:EG139" si="2097">IF(BA132="","","|n"&amp;EG$2&amp;"+"&amp;BA132&amp;EG$1)</f>
        <v/>
      </c>
      <c r="EH132" s="44" t="str">
        <f t="shared" ref="EH132:EH139" si="2098">IF(BB132="","","|n"&amp;EH$2&amp;"+"&amp;BB132&amp;EH$1)</f>
        <v/>
      </c>
      <c r="EI132" s="44" t="str">
        <f t="shared" ref="EI132:EI139" si="2099">IF(BC132="","","|n"&amp;EI$2&amp;"+"&amp;BC132&amp;EI$1)</f>
        <v/>
      </c>
      <c r="EJ132" s="44" t="str">
        <f t="shared" ref="EJ132:EJ139" si="2100">IF(BD132="","","|n"&amp;EJ$2&amp;"+"&amp;BD132&amp;EJ$1)</f>
        <v/>
      </c>
      <c r="EK132" s="44" t="str">
        <f t="shared" ref="EK132:EK139" si="2101">IF(BE132="","","|n"&amp;EK$2&amp;"+"&amp;BE132&amp;EK$1)</f>
        <v/>
      </c>
      <c r="EL132" s="44" t="str">
        <f t="shared" ref="EL132:EL139" si="2102">IF(BF132="","","|n"&amp;EL$2&amp;"+"&amp;BF132&amp;EL$1)</f>
        <v/>
      </c>
      <c r="EM132" s="44" t="str">
        <f t="shared" ref="EM132:EM139" si="2103">IF(BG132="","","|n"&amp;EM$2&amp;"+"&amp;BG132&amp;EM$1)</f>
        <v/>
      </c>
      <c r="EN132" s="44" t="str">
        <f t="shared" ref="EN132:EN139" si="2104">IF(BH132="","","|n"&amp;EN$2&amp;"+"&amp;BH132&amp;EN$1)</f>
        <v/>
      </c>
      <c r="EO132" s="44" t="str">
        <f t="shared" ref="EO132:EO139" si="2105">IF(BI132="","","|n"&amp;EO$2&amp;"+"&amp;BI132&amp;EO$1)</f>
        <v/>
      </c>
      <c r="EP132" s="44" t="str">
        <f t="shared" ref="EP132:EP139" si="2106">IF(BJ132="","","|n"&amp;EP$2&amp;"+"&amp;BJ132&amp;EP$1)</f>
        <v/>
      </c>
      <c r="EQ132" s="44" t="str">
        <f t="shared" ref="EQ132:EQ139" si="2107">IF(BK132="","","|n"&amp;EQ$2&amp;"+"&amp;BK132&amp;EQ$1)</f>
        <v/>
      </c>
      <c r="ER132" s="44" t="str">
        <f t="shared" ref="ER132:ER139" si="2108">IF(BL132="","","|n"&amp;ER$2&amp;"+"&amp;BL132&amp;ER$1)</f>
        <v/>
      </c>
      <c r="ES132" s="44" t="str">
        <f t="shared" ref="ES132:ES139" si="2109">IF(BM132="","","|n"&amp;ES$2&amp;"+"&amp;BM132&amp;ES$1)</f>
        <v/>
      </c>
      <c r="ET132" s="44" t="str">
        <f t="shared" ref="ET132:ET139" si="2110">IF(BN132="","","|n"&amp;ET$2&amp;"+"&amp;BN132&amp;ET$1)</f>
        <v/>
      </c>
      <c r="EU132" s="44" t="str">
        <f t="shared" ref="EU132:EU139" si="2111">IF(BO132="","","|n"&amp;EU$2&amp;"+"&amp;BO132&amp;EU$1)</f>
        <v/>
      </c>
      <c r="EV132" s="44" t="str">
        <f t="shared" ref="EV132:EV139" si="2112">IF(BP132="","","|n"&amp;EV$2&amp;"+"&amp;BP132&amp;EV$1)</f>
        <v/>
      </c>
      <c r="EW132" s="44" t="str">
        <f t="shared" ref="EW132:EW139" si="2113">IF(BQ132="","","|n"&amp;EW$2&amp;"+"&amp;BQ132&amp;EW$1)</f>
        <v/>
      </c>
      <c r="EX132" s="44" t="str">
        <f t="shared" ref="EX132:EX139" si="2114">IF(BR132="","","|n"&amp;EX$2&amp;"+"&amp;BR132&amp;EX$1)</f>
        <v/>
      </c>
      <c r="EY132" s="44" t="str">
        <f t="shared" ref="EY132:EY139" si="2115">IF(BS132="","","|n"&amp;EY$2&amp;"+"&amp;BS132&amp;EY$1)</f>
        <v/>
      </c>
      <c r="EZ132" s="44" t="str">
        <f t="shared" ref="EZ132:EZ139" si="2116">IF(BT132="","","|n"&amp;EZ$2&amp;"+"&amp;BT132&amp;EZ$1)</f>
        <v/>
      </c>
      <c r="FA132" s="44" t="str">
        <f t="shared" ref="FA132:FA139" si="2117">IF(BU132="","","|n"&amp;FA$2&amp;"+"&amp;BU132&amp;FA$1)</f>
        <v/>
      </c>
      <c r="FB132" s="44" t="str">
        <f t="shared" ref="FB132:FB139" si="2118">IF(BV132="","","|n"&amp;FB$2&amp;"+"&amp;BV132&amp;FB$1)</f>
        <v/>
      </c>
      <c r="FC132" s="44" t="str">
        <f t="shared" ref="FC132:FC139" si="2119">IF(BW132="","","|n"&amp;FC$2&amp;"+"&amp;BW132&amp;FC$1)</f>
        <v/>
      </c>
      <c r="FD132" s="44" t="str">
        <f t="shared" ref="FD132:FD139" si="2120">IF(BX132="","","|n"&amp;FD$2&amp;"+"&amp;BX132&amp;FD$1)</f>
        <v/>
      </c>
      <c r="FE132" s="44" t="str">
        <f t="shared" ref="FE132:FE139" si="2121">IF(BY132="","","|n"&amp;FE$2&amp;"+"&amp;BY132&amp;FE$1)</f>
        <v/>
      </c>
      <c r="FF132" s="44" t="str">
        <f t="shared" ref="FF132:FF139" si="2122">IF(BZ132="","","|n"&amp;FF$2&amp;"+"&amp;BZ132&amp;FF$1)</f>
        <v/>
      </c>
      <c r="FG132" s="44" t="str">
        <f t="shared" ref="FG132:FG139" si="2123">IF(CA132="","","|n"&amp;FG$2&amp;"+"&amp;CA132&amp;FG$1)</f>
        <v/>
      </c>
      <c r="FH132" s="44" t="str">
        <f t="shared" ref="FH132:FH139" si="2124">IF(CB132="","","|n"&amp;FH$2&amp;"+"&amp;CB132&amp;FH$1)</f>
        <v/>
      </c>
      <c r="FI132" s="44" t="str">
        <f t="shared" ref="FI132:FI139" si="2125">IF(CC132="","","|n"&amp;FI$2&amp;"+"&amp;CC132&amp;FI$1)</f>
        <v/>
      </c>
      <c r="FJ132" s="44" t="str">
        <f t="shared" ref="FJ132:FJ139" si="2126">IF(CD132="","","|n"&amp;FJ$2&amp;"+"&amp;CD132&amp;FJ$1)</f>
        <v/>
      </c>
      <c r="FK132" s="44" t="str">
        <f t="shared" ref="FK132:FK139" si="2127">IF(CE132="","","|n"&amp;FK$2&amp;"+"&amp;CE132&amp;FK$1)</f>
        <v/>
      </c>
      <c r="FL132" s="44" t="str">
        <f t="shared" ref="FL132:FL139" si="2128">IF(CF132="","","|n"&amp;FL$2&amp;"+"&amp;CF132&amp;FL$1)</f>
        <v/>
      </c>
      <c r="FM132" s="44" t="str">
        <f t="shared" ref="FM132:FM139" si="2129">IF(CG132="","","|n"&amp;FM$2&amp;"+"&amp;CG132&amp;FM$1)</f>
        <v/>
      </c>
      <c r="FN132" s="44" t="str">
        <f t="shared" ref="FN132:FN139" si="2130">IF(CH132="","","|n"&amp;FN$2&amp;"+"&amp;CH132&amp;FN$1)</f>
        <v/>
      </c>
      <c r="FO132" s="44" t="str">
        <f t="shared" ref="FO132:FO139" si="2131">IF(CI132="","","|n"&amp;FO$2&amp;"+"&amp;CI132&amp;FO$1)</f>
        <v/>
      </c>
      <c r="FP132" s="44" t="str">
        <f t="shared" ref="FP132:FP139" si="2132">IF(CJ132="","","|n"&amp;FP$2&amp;"+"&amp;CJ132&amp;FP$1)</f>
        <v/>
      </c>
      <c r="FQ132" s="44" t="str">
        <f t="shared" ref="FQ132:FQ139" si="2133">IF(CK132="","","|n"&amp;FQ$2&amp;"+"&amp;CK132&amp;FQ$1)</f>
        <v/>
      </c>
      <c r="FR132" s="44" t="str">
        <f t="shared" ref="FR132:FR139" si="2134">IF(CL132="","","|n"&amp;FR$2&amp;"+"&amp;CL132&amp;FR$1)</f>
        <v/>
      </c>
      <c r="FS132" s="44" t="str">
        <f t="shared" ref="FS132:FS139" si="2135">IF(CM132="","","|n"&amp;FS$2&amp;"+"&amp;CM132&amp;FS$1)</f>
        <v/>
      </c>
    </row>
    <row r="133" ht="57.6" spans="1:175">
      <c r="A133" s="5"/>
      <c r="B133" s="7" t="s">
        <v>494</v>
      </c>
      <c r="C133" s="79" t="s">
        <v>480</v>
      </c>
      <c r="T133" s="84" t="s">
        <v>481</v>
      </c>
      <c r="U133" s="60" t="s">
        <v>482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72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     </v>
      </c>
      <c r="CW133" s="7"/>
      <c r="CX133" s="7"/>
      <c r="CY133" s="7"/>
      <c r="CZ133" s="7"/>
      <c r="DA133" s="7"/>
      <c r="DB133" s="44" t="str">
        <f t="shared" si="2066"/>
        <v/>
      </c>
      <c r="DC133" s="44" t="str">
        <f t="shared" si="2067"/>
        <v/>
      </c>
      <c r="DD133" s="44" t="str">
        <f t="shared" si="2068"/>
        <v/>
      </c>
      <c r="DE133" s="44" t="str">
        <f t="shared" si="2069"/>
        <v/>
      </c>
      <c r="DF133" s="44" t="str">
        <f t="shared" si="2070"/>
        <v/>
      </c>
      <c r="DG133" s="44" t="str">
        <f t="shared" si="2071"/>
        <v/>
      </c>
      <c r="DH133" s="44" t="str">
        <f t="shared" si="2072"/>
        <v/>
      </c>
      <c r="DI133" s="44" t="str">
        <f t="shared" si="2073"/>
        <v/>
      </c>
      <c r="DJ133" s="44" t="str">
        <f t="shared" si="2074"/>
        <v/>
      </c>
      <c r="DK133" s="44" t="str">
        <f t="shared" si="2075"/>
        <v/>
      </c>
      <c r="DL133" s="44" t="str">
        <f t="shared" si="2076"/>
        <v/>
      </c>
      <c r="DM133" s="44" t="str">
        <f t="shared" si="2077"/>
        <v/>
      </c>
      <c r="DN133" s="44" t="str">
        <f t="shared" si="2078"/>
        <v/>
      </c>
      <c r="DO133" s="44" t="str">
        <f t="shared" si="2079"/>
        <v/>
      </c>
      <c r="DP133" s="44" t="str">
        <f t="shared" si="2080"/>
        <v/>
      </c>
      <c r="DQ133" s="44" t="str">
        <f t="shared" si="2081"/>
        <v/>
      </c>
      <c r="DR133" s="44" t="str">
        <f t="shared" si="2082"/>
        <v/>
      </c>
      <c r="DS133" s="44" t="str">
        <f t="shared" si="2083"/>
        <v/>
      </c>
      <c r="DT133" s="44" t="str">
        <f t="shared" si="2084"/>
        <v/>
      </c>
      <c r="DU133" s="44" t="str">
        <f t="shared" si="2085"/>
        <v/>
      </c>
      <c r="DV133" s="44" t="str">
        <f t="shared" si="2086"/>
        <v/>
      </c>
      <c r="DW133" s="44" t="str">
        <f t="shared" si="2087"/>
        <v/>
      </c>
      <c r="DX133" s="44" t="str">
        <f t="shared" si="2088"/>
        <v/>
      </c>
      <c r="DY133" s="44" t="str">
        <f t="shared" si="2089"/>
        <v/>
      </c>
      <c r="DZ133" s="44" t="str">
        <f t="shared" si="2090"/>
        <v/>
      </c>
      <c r="EA133" s="44" t="str">
        <f t="shared" si="2091"/>
        <v/>
      </c>
      <c r="EB133" s="44" t="str">
        <f t="shared" si="2092"/>
        <v/>
      </c>
      <c r="EC133" s="44" t="str">
        <f t="shared" si="2093"/>
        <v/>
      </c>
      <c r="ED133" s="44" t="str">
        <f t="shared" si="2094"/>
        <v/>
      </c>
      <c r="EE133" s="44" t="str">
        <f t="shared" si="2095"/>
        <v/>
      </c>
      <c r="EF133" s="44" t="str">
        <f t="shared" si="2096"/>
        <v/>
      </c>
      <c r="EG133" s="44" t="str">
        <f t="shared" si="2097"/>
        <v/>
      </c>
      <c r="EH133" s="44" t="str">
        <f t="shared" si="2098"/>
        <v/>
      </c>
      <c r="EI133" s="44" t="str">
        <f t="shared" si="2099"/>
        <v/>
      </c>
      <c r="EJ133" s="44" t="str">
        <f t="shared" si="2100"/>
        <v/>
      </c>
      <c r="EK133" s="44" t="str">
        <f t="shared" si="2101"/>
        <v/>
      </c>
      <c r="EL133" s="44" t="str">
        <f t="shared" si="2102"/>
        <v/>
      </c>
      <c r="EM133" s="44" t="str">
        <f t="shared" si="2103"/>
        <v/>
      </c>
      <c r="EN133" s="44" t="str">
        <f t="shared" si="2104"/>
        <v/>
      </c>
      <c r="EO133" s="44" t="str">
        <f t="shared" si="2105"/>
        <v/>
      </c>
      <c r="EP133" s="44" t="str">
        <f t="shared" si="2106"/>
        <v/>
      </c>
      <c r="EQ133" s="44" t="str">
        <f t="shared" si="2107"/>
        <v/>
      </c>
      <c r="ER133" s="44" t="str">
        <f t="shared" si="2108"/>
        <v/>
      </c>
      <c r="ES133" s="44" t="str">
        <f t="shared" si="2109"/>
        <v/>
      </c>
      <c r="ET133" s="44" t="str">
        <f t="shared" si="2110"/>
        <v/>
      </c>
      <c r="EU133" s="44" t="str">
        <f t="shared" si="2111"/>
        <v/>
      </c>
      <c r="EV133" s="44" t="str">
        <f t="shared" si="2112"/>
        <v/>
      </c>
      <c r="EW133" s="44" t="str">
        <f t="shared" si="2113"/>
        <v/>
      </c>
      <c r="EX133" s="44" t="str">
        <f t="shared" si="2114"/>
        <v/>
      </c>
      <c r="EY133" s="44" t="str">
        <f t="shared" si="2115"/>
        <v/>
      </c>
      <c r="EZ133" s="44" t="str">
        <f t="shared" si="2116"/>
        <v/>
      </c>
      <c r="FA133" s="44" t="str">
        <f t="shared" si="2117"/>
        <v/>
      </c>
      <c r="FB133" s="44" t="str">
        <f t="shared" si="2118"/>
        <v/>
      </c>
      <c r="FC133" s="44" t="str">
        <f t="shared" si="2119"/>
        <v/>
      </c>
      <c r="FD133" s="44" t="str">
        <f t="shared" si="2120"/>
        <v/>
      </c>
      <c r="FE133" s="44" t="str">
        <f t="shared" si="2121"/>
        <v/>
      </c>
      <c r="FF133" s="44" t="str">
        <f t="shared" si="2122"/>
        <v/>
      </c>
      <c r="FG133" s="44" t="str">
        <f t="shared" si="2123"/>
        <v/>
      </c>
      <c r="FH133" s="44" t="str">
        <f t="shared" si="2124"/>
        <v/>
      </c>
      <c r="FI133" s="44" t="str">
        <f t="shared" si="2125"/>
        <v/>
      </c>
      <c r="FJ133" s="44" t="str">
        <f t="shared" si="2126"/>
        <v/>
      </c>
      <c r="FK133" s="44" t="str">
        <f t="shared" si="2127"/>
        <v/>
      </c>
      <c r="FL133" s="44" t="str">
        <f t="shared" si="2128"/>
        <v/>
      </c>
      <c r="FM133" s="44" t="str">
        <f t="shared" si="2129"/>
        <v/>
      </c>
      <c r="FN133" s="44" t="str">
        <f t="shared" si="2130"/>
        <v/>
      </c>
      <c r="FO133" s="44" t="str">
        <f t="shared" si="2131"/>
        <v/>
      </c>
      <c r="FP133" s="44" t="str">
        <f t="shared" si="2132"/>
        <v/>
      </c>
      <c r="FQ133" s="44" t="str">
        <f t="shared" si="2133"/>
        <v/>
      </c>
      <c r="FR133" s="44" t="str">
        <f t="shared" si="2134"/>
        <v/>
      </c>
      <c r="FS133" s="44" t="str">
        <f t="shared" si="2135"/>
        <v/>
      </c>
    </row>
    <row r="134" ht="57.6" spans="1:175">
      <c r="A134" s="5"/>
      <c r="B134" s="7" t="s">
        <v>495</v>
      </c>
      <c r="C134" s="79" t="s">
        <v>480</v>
      </c>
      <c r="T134" s="84" t="s">
        <v>481</v>
      </c>
      <c r="U134" s="60" t="s">
        <v>482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72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     </v>
      </c>
      <c r="CW134" s="7"/>
      <c r="CX134" s="7"/>
      <c r="CY134" s="7"/>
      <c r="CZ134" s="7"/>
      <c r="DA134" s="7"/>
      <c r="DB134" s="44" t="str">
        <f t="shared" si="2066"/>
        <v/>
      </c>
      <c r="DC134" s="44" t="str">
        <f t="shared" si="2067"/>
        <v/>
      </c>
      <c r="DD134" s="44" t="str">
        <f t="shared" si="2068"/>
        <v/>
      </c>
      <c r="DE134" s="44" t="str">
        <f t="shared" si="2069"/>
        <v/>
      </c>
      <c r="DF134" s="44" t="str">
        <f t="shared" si="2070"/>
        <v/>
      </c>
      <c r="DG134" s="44" t="str">
        <f t="shared" si="2071"/>
        <v/>
      </c>
      <c r="DH134" s="44" t="str">
        <f t="shared" si="2072"/>
        <v/>
      </c>
      <c r="DI134" s="44" t="str">
        <f t="shared" si="2073"/>
        <v/>
      </c>
      <c r="DJ134" s="44" t="str">
        <f t="shared" si="2074"/>
        <v/>
      </c>
      <c r="DK134" s="44" t="str">
        <f t="shared" si="2075"/>
        <v/>
      </c>
      <c r="DL134" s="44" t="str">
        <f t="shared" si="2076"/>
        <v/>
      </c>
      <c r="DM134" s="44" t="str">
        <f t="shared" si="2077"/>
        <v/>
      </c>
      <c r="DN134" s="44" t="str">
        <f t="shared" si="2078"/>
        <v/>
      </c>
      <c r="DO134" s="44" t="str">
        <f t="shared" si="2079"/>
        <v/>
      </c>
      <c r="DP134" s="44" t="str">
        <f t="shared" si="2080"/>
        <v/>
      </c>
      <c r="DQ134" s="44" t="str">
        <f t="shared" si="2081"/>
        <v/>
      </c>
      <c r="DR134" s="44" t="str">
        <f t="shared" si="2082"/>
        <v/>
      </c>
      <c r="DS134" s="44" t="str">
        <f t="shared" si="2083"/>
        <v/>
      </c>
      <c r="DT134" s="44" t="str">
        <f t="shared" si="2084"/>
        <v/>
      </c>
      <c r="DU134" s="44" t="str">
        <f t="shared" si="2085"/>
        <v/>
      </c>
      <c r="DV134" s="44" t="str">
        <f t="shared" si="2086"/>
        <v/>
      </c>
      <c r="DW134" s="44" t="str">
        <f t="shared" si="2087"/>
        <v/>
      </c>
      <c r="DX134" s="44" t="str">
        <f t="shared" si="2088"/>
        <v/>
      </c>
      <c r="DY134" s="44" t="str">
        <f t="shared" si="2089"/>
        <v/>
      </c>
      <c r="DZ134" s="44" t="str">
        <f t="shared" si="2090"/>
        <v/>
      </c>
      <c r="EA134" s="44" t="str">
        <f t="shared" si="2091"/>
        <v/>
      </c>
      <c r="EB134" s="44" t="str">
        <f t="shared" si="2092"/>
        <v/>
      </c>
      <c r="EC134" s="44" t="str">
        <f t="shared" si="2093"/>
        <v/>
      </c>
      <c r="ED134" s="44" t="str">
        <f t="shared" si="2094"/>
        <v/>
      </c>
      <c r="EE134" s="44" t="str">
        <f t="shared" si="2095"/>
        <v/>
      </c>
      <c r="EF134" s="44" t="str">
        <f t="shared" si="2096"/>
        <v/>
      </c>
      <c r="EG134" s="44" t="str">
        <f t="shared" si="2097"/>
        <v/>
      </c>
      <c r="EH134" s="44" t="str">
        <f t="shared" si="2098"/>
        <v/>
      </c>
      <c r="EI134" s="44" t="str">
        <f t="shared" si="2099"/>
        <v/>
      </c>
      <c r="EJ134" s="44" t="str">
        <f t="shared" si="2100"/>
        <v/>
      </c>
      <c r="EK134" s="44" t="str">
        <f t="shared" si="2101"/>
        <v/>
      </c>
      <c r="EL134" s="44" t="str">
        <f t="shared" si="2102"/>
        <v/>
      </c>
      <c r="EM134" s="44" t="str">
        <f t="shared" si="2103"/>
        <v/>
      </c>
      <c r="EN134" s="44" t="str">
        <f t="shared" si="2104"/>
        <v/>
      </c>
      <c r="EO134" s="44" t="str">
        <f t="shared" si="2105"/>
        <v/>
      </c>
      <c r="EP134" s="44" t="str">
        <f t="shared" si="2106"/>
        <v/>
      </c>
      <c r="EQ134" s="44" t="str">
        <f t="shared" si="2107"/>
        <v/>
      </c>
      <c r="ER134" s="44" t="str">
        <f t="shared" si="2108"/>
        <v/>
      </c>
      <c r="ES134" s="44" t="str">
        <f t="shared" si="2109"/>
        <v/>
      </c>
      <c r="ET134" s="44" t="str">
        <f t="shared" si="2110"/>
        <v/>
      </c>
      <c r="EU134" s="44" t="str">
        <f t="shared" si="2111"/>
        <v/>
      </c>
      <c r="EV134" s="44" t="str">
        <f t="shared" si="2112"/>
        <v/>
      </c>
      <c r="EW134" s="44" t="str">
        <f t="shared" si="2113"/>
        <v/>
      </c>
      <c r="EX134" s="44" t="str">
        <f t="shared" si="2114"/>
        <v/>
      </c>
      <c r="EY134" s="44" t="str">
        <f t="shared" si="2115"/>
        <v/>
      </c>
      <c r="EZ134" s="44" t="str">
        <f t="shared" si="2116"/>
        <v/>
      </c>
      <c r="FA134" s="44" t="str">
        <f t="shared" si="2117"/>
        <v/>
      </c>
      <c r="FB134" s="44" t="str">
        <f t="shared" si="2118"/>
        <v/>
      </c>
      <c r="FC134" s="44" t="str">
        <f t="shared" si="2119"/>
        <v/>
      </c>
      <c r="FD134" s="44" t="str">
        <f t="shared" si="2120"/>
        <v/>
      </c>
      <c r="FE134" s="44" t="str">
        <f t="shared" si="2121"/>
        <v/>
      </c>
      <c r="FF134" s="44" t="str">
        <f t="shared" si="2122"/>
        <v/>
      </c>
      <c r="FG134" s="44" t="str">
        <f t="shared" si="2123"/>
        <v/>
      </c>
      <c r="FH134" s="44" t="str">
        <f t="shared" si="2124"/>
        <v/>
      </c>
      <c r="FI134" s="44" t="str">
        <f t="shared" si="2125"/>
        <v/>
      </c>
      <c r="FJ134" s="44" t="str">
        <f t="shared" si="2126"/>
        <v/>
      </c>
      <c r="FK134" s="44" t="str">
        <f t="shared" si="2127"/>
        <v/>
      </c>
      <c r="FL134" s="44" t="str">
        <f t="shared" si="2128"/>
        <v/>
      </c>
      <c r="FM134" s="44" t="str">
        <f t="shared" si="2129"/>
        <v/>
      </c>
      <c r="FN134" s="44" t="str">
        <f t="shared" si="2130"/>
        <v/>
      </c>
      <c r="FO134" s="44" t="str">
        <f t="shared" si="2131"/>
        <v/>
      </c>
      <c r="FP134" s="44" t="str">
        <f t="shared" si="2132"/>
        <v/>
      </c>
      <c r="FQ134" s="44" t="str">
        <f t="shared" si="2133"/>
        <v/>
      </c>
      <c r="FR134" s="44" t="str">
        <f t="shared" si="2134"/>
        <v/>
      </c>
      <c r="FS134" s="44" t="str">
        <f t="shared" si="2135"/>
        <v/>
      </c>
    </row>
    <row r="135" ht="15" spans="1:175">
      <c r="A135" s="5"/>
      <c r="B135" s="7" t="s">
        <v>496</v>
      </c>
      <c r="C135" s="79" t="s">
        <v>488</v>
      </c>
      <c r="T135" s="84" t="s">
        <v>489</v>
      </c>
      <c r="U135" s="60" t="s">
        <v>490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72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4" t="str">
        <f t="shared" si="2066"/>
        <v/>
      </c>
      <c r="DC135" s="44" t="str">
        <f t="shared" si="2067"/>
        <v/>
      </c>
      <c r="DD135" s="44" t="str">
        <f t="shared" si="2068"/>
        <v/>
      </c>
      <c r="DE135" s="44" t="str">
        <f t="shared" si="2069"/>
        <v/>
      </c>
      <c r="DF135" s="44" t="str">
        <f t="shared" si="2070"/>
        <v/>
      </c>
      <c r="DG135" s="44" t="str">
        <f t="shared" si="2071"/>
        <v/>
      </c>
      <c r="DH135" s="44" t="str">
        <f t="shared" si="2072"/>
        <v/>
      </c>
      <c r="DI135" s="44" t="str">
        <f t="shared" si="2073"/>
        <v/>
      </c>
      <c r="DJ135" s="44" t="str">
        <f t="shared" si="2074"/>
        <v/>
      </c>
      <c r="DK135" s="44" t="str">
        <f t="shared" si="2075"/>
        <v/>
      </c>
      <c r="DL135" s="44" t="str">
        <f t="shared" si="2076"/>
        <v/>
      </c>
      <c r="DM135" s="44" t="str">
        <f t="shared" si="2077"/>
        <v/>
      </c>
      <c r="DN135" s="44" t="str">
        <f t="shared" si="2078"/>
        <v/>
      </c>
      <c r="DO135" s="44" t="str">
        <f t="shared" si="2079"/>
        <v/>
      </c>
      <c r="DP135" s="44" t="str">
        <f t="shared" si="2080"/>
        <v/>
      </c>
      <c r="DQ135" s="44" t="str">
        <f t="shared" si="2081"/>
        <v/>
      </c>
      <c r="DR135" s="44" t="str">
        <f t="shared" si="2082"/>
        <v/>
      </c>
      <c r="DS135" s="44" t="str">
        <f t="shared" si="2083"/>
        <v/>
      </c>
      <c r="DT135" s="44" t="str">
        <f t="shared" si="2084"/>
        <v/>
      </c>
      <c r="DU135" s="44" t="str">
        <f t="shared" si="2085"/>
        <v/>
      </c>
      <c r="DV135" s="44" t="str">
        <f t="shared" si="2086"/>
        <v/>
      </c>
      <c r="DW135" s="44" t="str">
        <f t="shared" si="2087"/>
        <v/>
      </c>
      <c r="DX135" s="44" t="str">
        <f t="shared" si="2088"/>
        <v/>
      </c>
      <c r="DY135" s="44" t="str">
        <f t="shared" si="2089"/>
        <v/>
      </c>
      <c r="DZ135" s="44" t="str">
        <f t="shared" si="2090"/>
        <v/>
      </c>
      <c r="EA135" s="44" t="str">
        <f t="shared" si="2091"/>
        <v/>
      </c>
      <c r="EB135" s="44" t="str">
        <f t="shared" si="2092"/>
        <v/>
      </c>
      <c r="EC135" s="44" t="str">
        <f t="shared" si="2093"/>
        <v/>
      </c>
      <c r="ED135" s="44" t="str">
        <f t="shared" si="2094"/>
        <v/>
      </c>
      <c r="EE135" s="44" t="str">
        <f t="shared" si="2095"/>
        <v/>
      </c>
      <c r="EF135" s="44" t="str">
        <f t="shared" si="2096"/>
        <v/>
      </c>
      <c r="EG135" s="44" t="str">
        <f t="shared" si="2097"/>
        <v/>
      </c>
      <c r="EH135" s="44" t="str">
        <f t="shared" si="2098"/>
        <v/>
      </c>
      <c r="EI135" s="44" t="str">
        <f t="shared" si="2099"/>
        <v/>
      </c>
      <c r="EJ135" s="44" t="str">
        <f t="shared" si="2100"/>
        <v/>
      </c>
      <c r="EK135" s="44" t="str">
        <f t="shared" si="2101"/>
        <v/>
      </c>
      <c r="EL135" s="44" t="str">
        <f t="shared" si="2102"/>
        <v/>
      </c>
      <c r="EM135" s="44" t="str">
        <f t="shared" si="2103"/>
        <v/>
      </c>
      <c r="EN135" s="44" t="str">
        <f t="shared" si="2104"/>
        <v/>
      </c>
      <c r="EO135" s="44" t="str">
        <f t="shared" si="2105"/>
        <v/>
      </c>
      <c r="EP135" s="44" t="str">
        <f t="shared" si="2106"/>
        <v/>
      </c>
      <c r="EQ135" s="44" t="str">
        <f t="shared" si="2107"/>
        <v/>
      </c>
      <c r="ER135" s="44" t="str">
        <f t="shared" si="2108"/>
        <v/>
      </c>
      <c r="ES135" s="44" t="str">
        <f t="shared" si="2109"/>
        <v/>
      </c>
      <c r="ET135" s="44" t="str">
        <f t="shared" si="2110"/>
        <v/>
      </c>
      <c r="EU135" s="44" t="str">
        <f t="shared" si="2111"/>
        <v/>
      </c>
      <c r="EV135" s="44" t="str">
        <f t="shared" si="2112"/>
        <v/>
      </c>
      <c r="EW135" s="44" t="str">
        <f t="shared" si="2113"/>
        <v/>
      </c>
      <c r="EX135" s="44" t="str">
        <f t="shared" si="2114"/>
        <v/>
      </c>
      <c r="EY135" s="44" t="str">
        <f t="shared" si="2115"/>
        <v/>
      </c>
      <c r="EZ135" s="44" t="str">
        <f t="shared" si="2116"/>
        <v/>
      </c>
      <c r="FA135" s="44" t="str">
        <f t="shared" si="2117"/>
        <v/>
      </c>
      <c r="FB135" s="44" t="str">
        <f t="shared" si="2118"/>
        <v/>
      </c>
      <c r="FC135" s="44" t="str">
        <f t="shared" si="2119"/>
        <v/>
      </c>
      <c r="FD135" s="44" t="str">
        <f t="shared" si="2120"/>
        <v/>
      </c>
      <c r="FE135" s="44" t="str">
        <f t="shared" si="2121"/>
        <v/>
      </c>
      <c r="FF135" s="44" t="str">
        <f t="shared" si="2122"/>
        <v/>
      </c>
      <c r="FG135" s="44" t="str">
        <f t="shared" si="2123"/>
        <v/>
      </c>
      <c r="FH135" s="44" t="str">
        <f t="shared" si="2124"/>
        <v/>
      </c>
      <c r="FI135" s="44" t="str">
        <f t="shared" si="2125"/>
        <v/>
      </c>
      <c r="FJ135" s="44" t="str">
        <f t="shared" si="2126"/>
        <v/>
      </c>
      <c r="FK135" s="44" t="str">
        <f t="shared" si="2127"/>
        <v/>
      </c>
      <c r="FL135" s="44" t="str">
        <f t="shared" si="2128"/>
        <v/>
      </c>
      <c r="FM135" s="44" t="str">
        <f t="shared" si="2129"/>
        <v/>
      </c>
      <c r="FN135" s="44" t="str">
        <f t="shared" si="2130"/>
        <v/>
      </c>
      <c r="FO135" s="44" t="str">
        <f t="shared" si="2131"/>
        <v/>
      </c>
      <c r="FP135" s="44" t="str">
        <f t="shared" si="2132"/>
        <v/>
      </c>
      <c r="FQ135" s="44" t="str">
        <f t="shared" si="2133"/>
        <v/>
      </c>
      <c r="FR135" s="44" t="str">
        <f t="shared" si="2134"/>
        <v/>
      </c>
      <c r="FS135" s="44" t="str">
        <f t="shared" si="2135"/>
        <v/>
      </c>
    </row>
    <row r="136" ht="57.6" spans="1:175">
      <c r="A136" s="5"/>
      <c r="B136" s="7" t="s">
        <v>497</v>
      </c>
      <c r="C136" s="79" t="s">
        <v>480</v>
      </c>
      <c r="T136" s="84" t="s">
        <v>481</v>
      </c>
      <c r="U136" s="60" t="s">
        <v>482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72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     </v>
      </c>
      <c r="CW136" s="7"/>
      <c r="CX136" s="7"/>
      <c r="CY136" s="7"/>
      <c r="CZ136" s="7"/>
      <c r="DA136" s="7"/>
      <c r="DB136" s="44" t="str">
        <f t="shared" si="2066"/>
        <v/>
      </c>
      <c r="DC136" s="44" t="str">
        <f t="shared" si="2067"/>
        <v/>
      </c>
      <c r="DD136" s="44" t="str">
        <f t="shared" si="2068"/>
        <v/>
      </c>
      <c r="DE136" s="44" t="str">
        <f t="shared" si="2069"/>
        <v/>
      </c>
      <c r="DF136" s="44" t="str">
        <f t="shared" si="2070"/>
        <v/>
      </c>
      <c r="DG136" s="44" t="str">
        <f t="shared" si="2071"/>
        <v/>
      </c>
      <c r="DH136" s="44" t="str">
        <f t="shared" si="2072"/>
        <v/>
      </c>
      <c r="DI136" s="44" t="str">
        <f t="shared" si="2073"/>
        <v/>
      </c>
      <c r="DJ136" s="44" t="str">
        <f t="shared" si="2074"/>
        <v/>
      </c>
      <c r="DK136" s="44" t="str">
        <f t="shared" si="2075"/>
        <v/>
      </c>
      <c r="DL136" s="44" t="str">
        <f t="shared" si="2076"/>
        <v/>
      </c>
      <c r="DM136" s="44" t="str">
        <f t="shared" si="2077"/>
        <v/>
      </c>
      <c r="DN136" s="44" t="str">
        <f t="shared" si="2078"/>
        <v/>
      </c>
      <c r="DO136" s="44" t="str">
        <f t="shared" si="2079"/>
        <v/>
      </c>
      <c r="DP136" s="44" t="str">
        <f t="shared" si="2080"/>
        <v/>
      </c>
      <c r="DQ136" s="44" t="str">
        <f t="shared" si="2081"/>
        <v/>
      </c>
      <c r="DR136" s="44" t="str">
        <f t="shared" si="2082"/>
        <v/>
      </c>
      <c r="DS136" s="44" t="str">
        <f t="shared" si="2083"/>
        <v/>
      </c>
      <c r="DT136" s="44" t="str">
        <f t="shared" si="2084"/>
        <v/>
      </c>
      <c r="DU136" s="44" t="str">
        <f t="shared" si="2085"/>
        <v/>
      </c>
      <c r="DV136" s="44" t="str">
        <f t="shared" si="2086"/>
        <v/>
      </c>
      <c r="DW136" s="44" t="str">
        <f t="shared" si="2087"/>
        <v/>
      </c>
      <c r="DX136" s="44" t="str">
        <f t="shared" si="2088"/>
        <v/>
      </c>
      <c r="DY136" s="44" t="str">
        <f t="shared" si="2089"/>
        <v/>
      </c>
      <c r="DZ136" s="44" t="str">
        <f t="shared" si="2090"/>
        <v/>
      </c>
      <c r="EA136" s="44" t="str">
        <f t="shared" si="2091"/>
        <v/>
      </c>
      <c r="EB136" s="44" t="str">
        <f t="shared" si="2092"/>
        <v/>
      </c>
      <c r="EC136" s="44" t="str">
        <f t="shared" si="2093"/>
        <v/>
      </c>
      <c r="ED136" s="44" t="str">
        <f t="shared" si="2094"/>
        <v/>
      </c>
      <c r="EE136" s="44" t="str">
        <f t="shared" si="2095"/>
        <v/>
      </c>
      <c r="EF136" s="44" t="str">
        <f t="shared" si="2096"/>
        <v/>
      </c>
      <c r="EG136" s="44" t="str">
        <f t="shared" si="2097"/>
        <v/>
      </c>
      <c r="EH136" s="44" t="str">
        <f t="shared" si="2098"/>
        <v/>
      </c>
      <c r="EI136" s="44" t="str">
        <f t="shared" si="2099"/>
        <v/>
      </c>
      <c r="EJ136" s="44" t="str">
        <f t="shared" si="2100"/>
        <v/>
      </c>
      <c r="EK136" s="44" t="str">
        <f t="shared" si="2101"/>
        <v/>
      </c>
      <c r="EL136" s="44" t="str">
        <f t="shared" si="2102"/>
        <v/>
      </c>
      <c r="EM136" s="44" t="str">
        <f t="shared" si="2103"/>
        <v/>
      </c>
      <c r="EN136" s="44" t="str">
        <f t="shared" si="2104"/>
        <v/>
      </c>
      <c r="EO136" s="44" t="str">
        <f t="shared" si="2105"/>
        <v/>
      </c>
      <c r="EP136" s="44" t="str">
        <f t="shared" si="2106"/>
        <v/>
      </c>
      <c r="EQ136" s="44" t="str">
        <f t="shared" si="2107"/>
        <v/>
      </c>
      <c r="ER136" s="44" t="str">
        <f t="shared" si="2108"/>
        <v/>
      </c>
      <c r="ES136" s="44" t="str">
        <f t="shared" si="2109"/>
        <v/>
      </c>
      <c r="ET136" s="44" t="str">
        <f t="shared" si="2110"/>
        <v/>
      </c>
      <c r="EU136" s="44" t="str">
        <f t="shared" si="2111"/>
        <v/>
      </c>
      <c r="EV136" s="44" t="str">
        <f t="shared" si="2112"/>
        <v/>
      </c>
      <c r="EW136" s="44" t="str">
        <f t="shared" si="2113"/>
        <v/>
      </c>
      <c r="EX136" s="44" t="str">
        <f t="shared" si="2114"/>
        <v/>
      </c>
      <c r="EY136" s="44" t="str">
        <f t="shared" si="2115"/>
        <v/>
      </c>
      <c r="EZ136" s="44" t="str">
        <f t="shared" si="2116"/>
        <v/>
      </c>
      <c r="FA136" s="44" t="str">
        <f t="shared" si="2117"/>
        <v/>
      </c>
      <c r="FB136" s="44" t="str">
        <f t="shared" si="2118"/>
        <v/>
      </c>
      <c r="FC136" s="44" t="str">
        <f t="shared" si="2119"/>
        <v/>
      </c>
      <c r="FD136" s="44" t="str">
        <f t="shared" si="2120"/>
        <v/>
      </c>
      <c r="FE136" s="44" t="str">
        <f t="shared" si="2121"/>
        <v/>
      </c>
      <c r="FF136" s="44" t="str">
        <f t="shared" si="2122"/>
        <v/>
      </c>
      <c r="FG136" s="44" t="str">
        <f t="shared" si="2123"/>
        <v/>
      </c>
      <c r="FH136" s="44" t="str">
        <f t="shared" si="2124"/>
        <v/>
      </c>
      <c r="FI136" s="44" t="str">
        <f t="shared" si="2125"/>
        <v/>
      </c>
      <c r="FJ136" s="44" t="str">
        <f t="shared" si="2126"/>
        <v/>
      </c>
      <c r="FK136" s="44" t="str">
        <f t="shared" si="2127"/>
        <v/>
      </c>
      <c r="FL136" s="44" t="str">
        <f t="shared" si="2128"/>
        <v/>
      </c>
      <c r="FM136" s="44" t="str">
        <f t="shared" si="2129"/>
        <v/>
      </c>
      <c r="FN136" s="44" t="str">
        <f t="shared" si="2130"/>
        <v/>
      </c>
      <c r="FO136" s="44" t="str">
        <f t="shared" si="2131"/>
        <v/>
      </c>
      <c r="FP136" s="44" t="str">
        <f t="shared" si="2132"/>
        <v/>
      </c>
      <c r="FQ136" s="44" t="str">
        <f t="shared" si="2133"/>
        <v/>
      </c>
      <c r="FR136" s="44" t="str">
        <f t="shared" si="2134"/>
        <v/>
      </c>
      <c r="FS136" s="44" t="str">
        <f t="shared" si="2135"/>
        <v/>
      </c>
    </row>
    <row r="137" ht="57.6" spans="1:175">
      <c r="A137" s="5"/>
      <c r="B137" s="7" t="s">
        <v>498</v>
      </c>
      <c r="C137" s="79" t="s">
        <v>480</v>
      </c>
      <c r="T137" s="84" t="s">
        <v>481</v>
      </c>
      <c r="U137" s="60" t="s">
        <v>482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72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     </v>
      </c>
      <c r="CW137" s="7"/>
      <c r="CX137" s="7"/>
      <c r="CY137" s="7"/>
      <c r="CZ137" s="7"/>
      <c r="DA137" s="7"/>
      <c r="DB137" s="44" t="str">
        <f t="shared" si="2066"/>
        <v/>
      </c>
      <c r="DC137" s="44" t="str">
        <f t="shared" si="2067"/>
        <v/>
      </c>
      <c r="DD137" s="44" t="str">
        <f t="shared" si="2068"/>
        <v/>
      </c>
      <c r="DE137" s="44" t="str">
        <f t="shared" si="2069"/>
        <v/>
      </c>
      <c r="DF137" s="44" t="str">
        <f t="shared" si="2070"/>
        <v/>
      </c>
      <c r="DG137" s="44" t="str">
        <f t="shared" si="2071"/>
        <v/>
      </c>
      <c r="DH137" s="44" t="str">
        <f t="shared" si="2072"/>
        <v/>
      </c>
      <c r="DI137" s="44" t="str">
        <f t="shared" si="2073"/>
        <v/>
      </c>
      <c r="DJ137" s="44" t="str">
        <f t="shared" si="2074"/>
        <v/>
      </c>
      <c r="DK137" s="44" t="str">
        <f t="shared" si="2075"/>
        <v/>
      </c>
      <c r="DL137" s="44" t="str">
        <f t="shared" si="2076"/>
        <v/>
      </c>
      <c r="DM137" s="44" t="str">
        <f t="shared" si="2077"/>
        <v/>
      </c>
      <c r="DN137" s="44" t="str">
        <f t="shared" si="2078"/>
        <v/>
      </c>
      <c r="DO137" s="44" t="str">
        <f t="shared" si="2079"/>
        <v/>
      </c>
      <c r="DP137" s="44" t="str">
        <f t="shared" si="2080"/>
        <v/>
      </c>
      <c r="DQ137" s="44" t="str">
        <f t="shared" si="2081"/>
        <v/>
      </c>
      <c r="DR137" s="44" t="str">
        <f t="shared" si="2082"/>
        <v/>
      </c>
      <c r="DS137" s="44" t="str">
        <f t="shared" si="2083"/>
        <v/>
      </c>
      <c r="DT137" s="44" t="str">
        <f t="shared" si="2084"/>
        <v/>
      </c>
      <c r="DU137" s="44" t="str">
        <f t="shared" si="2085"/>
        <v/>
      </c>
      <c r="DV137" s="44" t="str">
        <f t="shared" si="2086"/>
        <v/>
      </c>
      <c r="DW137" s="44" t="str">
        <f t="shared" si="2087"/>
        <v/>
      </c>
      <c r="DX137" s="44" t="str">
        <f t="shared" si="2088"/>
        <v/>
      </c>
      <c r="DY137" s="44" t="str">
        <f t="shared" si="2089"/>
        <v/>
      </c>
      <c r="DZ137" s="44" t="str">
        <f t="shared" si="2090"/>
        <v/>
      </c>
      <c r="EA137" s="44" t="str">
        <f t="shared" si="2091"/>
        <v/>
      </c>
      <c r="EB137" s="44" t="str">
        <f t="shared" si="2092"/>
        <v/>
      </c>
      <c r="EC137" s="44" t="str">
        <f t="shared" si="2093"/>
        <v/>
      </c>
      <c r="ED137" s="44" t="str">
        <f t="shared" si="2094"/>
        <v/>
      </c>
      <c r="EE137" s="44" t="str">
        <f t="shared" si="2095"/>
        <v/>
      </c>
      <c r="EF137" s="44" t="str">
        <f t="shared" si="2096"/>
        <v/>
      </c>
      <c r="EG137" s="44" t="str">
        <f t="shared" si="2097"/>
        <v/>
      </c>
      <c r="EH137" s="44" t="str">
        <f t="shared" si="2098"/>
        <v/>
      </c>
      <c r="EI137" s="44" t="str">
        <f t="shared" si="2099"/>
        <v/>
      </c>
      <c r="EJ137" s="44" t="str">
        <f t="shared" si="2100"/>
        <v/>
      </c>
      <c r="EK137" s="44" t="str">
        <f t="shared" si="2101"/>
        <v/>
      </c>
      <c r="EL137" s="44" t="str">
        <f t="shared" si="2102"/>
        <v/>
      </c>
      <c r="EM137" s="44" t="str">
        <f t="shared" si="2103"/>
        <v/>
      </c>
      <c r="EN137" s="44" t="str">
        <f t="shared" si="2104"/>
        <v/>
      </c>
      <c r="EO137" s="44" t="str">
        <f t="shared" si="2105"/>
        <v/>
      </c>
      <c r="EP137" s="44" t="str">
        <f t="shared" si="2106"/>
        <v/>
      </c>
      <c r="EQ137" s="44" t="str">
        <f t="shared" si="2107"/>
        <v/>
      </c>
      <c r="ER137" s="44" t="str">
        <f t="shared" si="2108"/>
        <v/>
      </c>
      <c r="ES137" s="44" t="str">
        <f t="shared" si="2109"/>
        <v/>
      </c>
      <c r="ET137" s="44" t="str">
        <f t="shared" si="2110"/>
        <v/>
      </c>
      <c r="EU137" s="44" t="str">
        <f t="shared" si="2111"/>
        <v/>
      </c>
      <c r="EV137" s="44" t="str">
        <f t="shared" si="2112"/>
        <v/>
      </c>
      <c r="EW137" s="44" t="str">
        <f t="shared" si="2113"/>
        <v/>
      </c>
      <c r="EX137" s="44" t="str">
        <f t="shared" si="2114"/>
        <v/>
      </c>
      <c r="EY137" s="44" t="str">
        <f t="shared" si="2115"/>
        <v/>
      </c>
      <c r="EZ137" s="44" t="str">
        <f t="shared" si="2116"/>
        <v/>
      </c>
      <c r="FA137" s="44" t="str">
        <f t="shared" si="2117"/>
        <v/>
      </c>
      <c r="FB137" s="44" t="str">
        <f t="shared" si="2118"/>
        <v/>
      </c>
      <c r="FC137" s="44" t="str">
        <f t="shared" si="2119"/>
        <v/>
      </c>
      <c r="FD137" s="44" t="str">
        <f t="shared" si="2120"/>
        <v/>
      </c>
      <c r="FE137" s="44" t="str">
        <f t="shared" si="2121"/>
        <v/>
      </c>
      <c r="FF137" s="44" t="str">
        <f t="shared" si="2122"/>
        <v/>
      </c>
      <c r="FG137" s="44" t="str">
        <f t="shared" si="2123"/>
        <v/>
      </c>
      <c r="FH137" s="44" t="str">
        <f t="shared" si="2124"/>
        <v/>
      </c>
      <c r="FI137" s="44" t="str">
        <f t="shared" si="2125"/>
        <v/>
      </c>
      <c r="FJ137" s="44" t="str">
        <f t="shared" si="2126"/>
        <v/>
      </c>
      <c r="FK137" s="44" t="str">
        <f t="shared" si="2127"/>
        <v/>
      </c>
      <c r="FL137" s="44" t="str">
        <f t="shared" si="2128"/>
        <v/>
      </c>
      <c r="FM137" s="44" t="str">
        <f t="shared" si="2129"/>
        <v/>
      </c>
      <c r="FN137" s="44" t="str">
        <f t="shared" si="2130"/>
        <v/>
      </c>
      <c r="FO137" s="44" t="str">
        <f t="shared" si="2131"/>
        <v/>
      </c>
      <c r="FP137" s="44" t="str">
        <f t="shared" si="2132"/>
        <v/>
      </c>
      <c r="FQ137" s="44" t="str">
        <f t="shared" si="2133"/>
        <v/>
      </c>
      <c r="FR137" s="44" t="str">
        <f t="shared" si="2134"/>
        <v/>
      </c>
      <c r="FS137" s="44" t="str">
        <f t="shared" si="2135"/>
        <v/>
      </c>
    </row>
    <row r="138" ht="57.6" spans="1:175">
      <c r="A138" s="5"/>
      <c r="B138" s="7" t="s">
        <v>499</v>
      </c>
      <c r="C138" s="79" t="s">
        <v>480</v>
      </c>
      <c r="T138" s="84" t="s">
        <v>481</v>
      </c>
      <c r="U138" s="60" t="s">
        <v>482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72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     </v>
      </c>
      <c r="CW138" s="7"/>
      <c r="CX138" s="7"/>
      <c r="CY138" s="7"/>
      <c r="CZ138" s="7"/>
      <c r="DA138" s="7"/>
      <c r="DB138" s="44" t="str">
        <f t="shared" si="2066"/>
        <v/>
      </c>
      <c r="DC138" s="44" t="str">
        <f t="shared" si="2067"/>
        <v/>
      </c>
      <c r="DD138" s="44" t="str">
        <f t="shared" si="2068"/>
        <v/>
      </c>
      <c r="DE138" s="44" t="str">
        <f t="shared" si="2069"/>
        <v/>
      </c>
      <c r="DF138" s="44" t="str">
        <f t="shared" si="2070"/>
        <v/>
      </c>
      <c r="DG138" s="44" t="str">
        <f t="shared" si="2071"/>
        <v/>
      </c>
      <c r="DH138" s="44" t="str">
        <f t="shared" si="2072"/>
        <v/>
      </c>
      <c r="DI138" s="44" t="str">
        <f t="shared" si="2073"/>
        <v/>
      </c>
      <c r="DJ138" s="44" t="str">
        <f t="shared" si="2074"/>
        <v/>
      </c>
      <c r="DK138" s="44" t="str">
        <f t="shared" si="2075"/>
        <v/>
      </c>
      <c r="DL138" s="44" t="str">
        <f t="shared" si="2076"/>
        <v/>
      </c>
      <c r="DM138" s="44" t="str">
        <f t="shared" si="2077"/>
        <v/>
      </c>
      <c r="DN138" s="44" t="str">
        <f t="shared" si="2078"/>
        <v/>
      </c>
      <c r="DO138" s="44" t="str">
        <f t="shared" si="2079"/>
        <v/>
      </c>
      <c r="DP138" s="44" t="str">
        <f t="shared" si="2080"/>
        <v/>
      </c>
      <c r="DQ138" s="44" t="str">
        <f t="shared" si="2081"/>
        <v/>
      </c>
      <c r="DR138" s="44" t="str">
        <f t="shared" si="2082"/>
        <v/>
      </c>
      <c r="DS138" s="44" t="str">
        <f t="shared" si="2083"/>
        <v/>
      </c>
      <c r="DT138" s="44" t="str">
        <f t="shared" si="2084"/>
        <v/>
      </c>
      <c r="DU138" s="44" t="str">
        <f t="shared" si="2085"/>
        <v/>
      </c>
      <c r="DV138" s="44" t="str">
        <f t="shared" si="2086"/>
        <v/>
      </c>
      <c r="DW138" s="44" t="str">
        <f t="shared" si="2087"/>
        <v/>
      </c>
      <c r="DX138" s="44" t="str">
        <f t="shared" si="2088"/>
        <v/>
      </c>
      <c r="DY138" s="44" t="str">
        <f t="shared" si="2089"/>
        <v/>
      </c>
      <c r="DZ138" s="44" t="str">
        <f t="shared" si="2090"/>
        <v/>
      </c>
      <c r="EA138" s="44" t="str">
        <f t="shared" si="2091"/>
        <v/>
      </c>
      <c r="EB138" s="44" t="str">
        <f t="shared" si="2092"/>
        <v/>
      </c>
      <c r="EC138" s="44" t="str">
        <f t="shared" si="2093"/>
        <v/>
      </c>
      <c r="ED138" s="44" t="str">
        <f t="shared" si="2094"/>
        <v/>
      </c>
      <c r="EE138" s="44" t="str">
        <f t="shared" si="2095"/>
        <v/>
      </c>
      <c r="EF138" s="44" t="str">
        <f t="shared" si="2096"/>
        <v/>
      </c>
      <c r="EG138" s="44" t="str">
        <f t="shared" si="2097"/>
        <v/>
      </c>
      <c r="EH138" s="44" t="str">
        <f t="shared" si="2098"/>
        <v/>
      </c>
      <c r="EI138" s="44" t="str">
        <f t="shared" si="2099"/>
        <v/>
      </c>
      <c r="EJ138" s="44" t="str">
        <f t="shared" si="2100"/>
        <v/>
      </c>
      <c r="EK138" s="44" t="str">
        <f t="shared" si="2101"/>
        <v/>
      </c>
      <c r="EL138" s="44" t="str">
        <f t="shared" si="2102"/>
        <v/>
      </c>
      <c r="EM138" s="44" t="str">
        <f t="shared" si="2103"/>
        <v/>
      </c>
      <c r="EN138" s="44" t="str">
        <f t="shared" si="2104"/>
        <v/>
      </c>
      <c r="EO138" s="44" t="str">
        <f t="shared" si="2105"/>
        <v/>
      </c>
      <c r="EP138" s="44" t="str">
        <f t="shared" si="2106"/>
        <v/>
      </c>
      <c r="EQ138" s="44" t="str">
        <f t="shared" si="2107"/>
        <v/>
      </c>
      <c r="ER138" s="44" t="str">
        <f t="shared" si="2108"/>
        <v/>
      </c>
      <c r="ES138" s="44" t="str">
        <f t="shared" si="2109"/>
        <v/>
      </c>
      <c r="ET138" s="44" t="str">
        <f t="shared" si="2110"/>
        <v/>
      </c>
      <c r="EU138" s="44" t="str">
        <f t="shared" si="2111"/>
        <v/>
      </c>
      <c r="EV138" s="44" t="str">
        <f t="shared" si="2112"/>
        <v/>
      </c>
      <c r="EW138" s="44" t="str">
        <f t="shared" si="2113"/>
        <v/>
      </c>
      <c r="EX138" s="44" t="str">
        <f t="shared" si="2114"/>
        <v/>
      </c>
      <c r="EY138" s="44" t="str">
        <f t="shared" si="2115"/>
        <v/>
      </c>
      <c r="EZ138" s="44" t="str">
        <f t="shared" si="2116"/>
        <v/>
      </c>
      <c r="FA138" s="44" t="str">
        <f t="shared" si="2117"/>
        <v/>
      </c>
      <c r="FB138" s="44" t="str">
        <f t="shared" si="2118"/>
        <v/>
      </c>
      <c r="FC138" s="44" t="str">
        <f t="shared" si="2119"/>
        <v/>
      </c>
      <c r="FD138" s="44" t="str">
        <f t="shared" si="2120"/>
        <v/>
      </c>
      <c r="FE138" s="44" t="str">
        <f t="shared" si="2121"/>
        <v/>
      </c>
      <c r="FF138" s="44" t="str">
        <f t="shared" si="2122"/>
        <v/>
      </c>
      <c r="FG138" s="44" t="str">
        <f t="shared" si="2123"/>
        <v/>
      </c>
      <c r="FH138" s="44" t="str">
        <f t="shared" si="2124"/>
        <v/>
      </c>
      <c r="FI138" s="44" t="str">
        <f t="shared" si="2125"/>
        <v/>
      </c>
      <c r="FJ138" s="44" t="str">
        <f t="shared" si="2126"/>
        <v/>
      </c>
      <c r="FK138" s="44" t="str">
        <f t="shared" si="2127"/>
        <v/>
      </c>
      <c r="FL138" s="44" t="str">
        <f t="shared" si="2128"/>
        <v/>
      </c>
      <c r="FM138" s="44" t="str">
        <f t="shared" si="2129"/>
        <v/>
      </c>
      <c r="FN138" s="44" t="str">
        <f t="shared" si="2130"/>
        <v/>
      </c>
      <c r="FO138" s="44" t="str">
        <f t="shared" si="2131"/>
        <v/>
      </c>
      <c r="FP138" s="44" t="str">
        <f t="shared" si="2132"/>
        <v/>
      </c>
      <c r="FQ138" s="44" t="str">
        <f t="shared" si="2133"/>
        <v/>
      </c>
      <c r="FR138" s="44" t="str">
        <f t="shared" si="2134"/>
        <v/>
      </c>
      <c r="FS138" s="44" t="str">
        <f t="shared" si="2135"/>
        <v/>
      </c>
    </row>
    <row r="139" ht="57.6" spans="1:175">
      <c r="A139" s="5"/>
      <c r="B139" s="7" t="s">
        <v>500</v>
      </c>
      <c r="C139" s="79" t="s">
        <v>480</v>
      </c>
      <c r="T139" s="84" t="s">
        <v>481</v>
      </c>
      <c r="U139" s="60" t="s">
        <v>482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72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     </v>
      </c>
      <c r="CW139" s="7"/>
      <c r="CX139" s="7"/>
      <c r="CY139" s="7"/>
      <c r="CZ139" s="7"/>
      <c r="DA139" s="7"/>
      <c r="DB139" s="44" t="str">
        <f t="shared" si="2066"/>
        <v/>
      </c>
      <c r="DC139" s="44" t="str">
        <f t="shared" si="2067"/>
        <v/>
      </c>
      <c r="DD139" s="44" t="str">
        <f t="shared" si="2068"/>
        <v/>
      </c>
      <c r="DE139" s="44" t="str">
        <f t="shared" si="2069"/>
        <v/>
      </c>
      <c r="DF139" s="44" t="str">
        <f t="shared" si="2070"/>
        <v/>
      </c>
      <c r="DG139" s="44" t="str">
        <f t="shared" si="2071"/>
        <v/>
      </c>
      <c r="DH139" s="44" t="str">
        <f t="shared" si="2072"/>
        <v/>
      </c>
      <c r="DI139" s="44" t="str">
        <f t="shared" si="2073"/>
        <v/>
      </c>
      <c r="DJ139" s="44" t="str">
        <f t="shared" si="2074"/>
        <v/>
      </c>
      <c r="DK139" s="44" t="str">
        <f t="shared" si="2075"/>
        <v/>
      </c>
      <c r="DL139" s="44" t="str">
        <f t="shared" si="2076"/>
        <v/>
      </c>
      <c r="DM139" s="44" t="str">
        <f t="shared" si="2077"/>
        <v/>
      </c>
      <c r="DN139" s="44" t="str">
        <f t="shared" si="2078"/>
        <v/>
      </c>
      <c r="DO139" s="44" t="str">
        <f t="shared" si="2079"/>
        <v/>
      </c>
      <c r="DP139" s="44" t="str">
        <f t="shared" si="2080"/>
        <v/>
      </c>
      <c r="DQ139" s="44" t="str">
        <f t="shared" si="2081"/>
        <v/>
      </c>
      <c r="DR139" s="44" t="str">
        <f t="shared" si="2082"/>
        <v/>
      </c>
      <c r="DS139" s="44" t="str">
        <f t="shared" si="2083"/>
        <v/>
      </c>
      <c r="DT139" s="44" t="str">
        <f t="shared" si="2084"/>
        <v/>
      </c>
      <c r="DU139" s="44" t="str">
        <f t="shared" si="2085"/>
        <v/>
      </c>
      <c r="DV139" s="44" t="str">
        <f t="shared" si="2086"/>
        <v/>
      </c>
      <c r="DW139" s="44" t="str">
        <f t="shared" si="2087"/>
        <v/>
      </c>
      <c r="DX139" s="44" t="str">
        <f t="shared" si="2088"/>
        <v/>
      </c>
      <c r="DY139" s="44" t="str">
        <f t="shared" si="2089"/>
        <v/>
      </c>
      <c r="DZ139" s="44" t="str">
        <f t="shared" si="2090"/>
        <v/>
      </c>
      <c r="EA139" s="44" t="str">
        <f t="shared" si="2091"/>
        <v/>
      </c>
      <c r="EB139" s="44" t="str">
        <f t="shared" si="2092"/>
        <v/>
      </c>
      <c r="EC139" s="44" t="str">
        <f t="shared" si="2093"/>
        <v/>
      </c>
      <c r="ED139" s="44" t="str">
        <f t="shared" si="2094"/>
        <v/>
      </c>
      <c r="EE139" s="44" t="str">
        <f t="shared" si="2095"/>
        <v/>
      </c>
      <c r="EF139" s="44" t="str">
        <f t="shared" si="2096"/>
        <v/>
      </c>
      <c r="EG139" s="44" t="str">
        <f t="shared" si="2097"/>
        <v/>
      </c>
      <c r="EH139" s="44" t="str">
        <f t="shared" si="2098"/>
        <v/>
      </c>
      <c r="EI139" s="44" t="str">
        <f t="shared" si="2099"/>
        <v/>
      </c>
      <c r="EJ139" s="44" t="str">
        <f t="shared" si="2100"/>
        <v/>
      </c>
      <c r="EK139" s="44" t="str">
        <f t="shared" si="2101"/>
        <v/>
      </c>
      <c r="EL139" s="44" t="str">
        <f t="shared" si="2102"/>
        <v/>
      </c>
      <c r="EM139" s="44" t="str">
        <f t="shared" si="2103"/>
        <v/>
      </c>
      <c r="EN139" s="44" t="str">
        <f t="shared" si="2104"/>
        <v/>
      </c>
      <c r="EO139" s="44" t="str">
        <f t="shared" si="2105"/>
        <v/>
      </c>
      <c r="EP139" s="44" t="str">
        <f t="shared" si="2106"/>
        <v/>
      </c>
      <c r="EQ139" s="44" t="str">
        <f t="shared" si="2107"/>
        <v/>
      </c>
      <c r="ER139" s="44" t="str">
        <f t="shared" si="2108"/>
        <v/>
      </c>
      <c r="ES139" s="44" t="str">
        <f t="shared" si="2109"/>
        <v/>
      </c>
      <c r="ET139" s="44" t="str">
        <f t="shared" si="2110"/>
        <v/>
      </c>
      <c r="EU139" s="44" t="str">
        <f t="shared" si="2111"/>
        <v/>
      </c>
      <c r="EV139" s="44" t="str">
        <f t="shared" si="2112"/>
        <v/>
      </c>
      <c r="EW139" s="44" t="str">
        <f t="shared" si="2113"/>
        <v/>
      </c>
      <c r="EX139" s="44" t="str">
        <f t="shared" si="2114"/>
        <v/>
      </c>
      <c r="EY139" s="44" t="str">
        <f t="shared" si="2115"/>
        <v/>
      </c>
      <c r="EZ139" s="44" t="str">
        <f t="shared" si="2116"/>
        <v/>
      </c>
      <c r="FA139" s="44" t="str">
        <f t="shared" si="2117"/>
        <v/>
      </c>
      <c r="FB139" s="44" t="str">
        <f t="shared" si="2118"/>
        <v/>
      </c>
      <c r="FC139" s="44" t="str">
        <f t="shared" si="2119"/>
        <v/>
      </c>
      <c r="FD139" s="44" t="str">
        <f t="shared" si="2120"/>
        <v/>
      </c>
      <c r="FE139" s="44" t="str">
        <f t="shared" si="2121"/>
        <v/>
      </c>
      <c r="FF139" s="44" t="str">
        <f t="shared" si="2122"/>
        <v/>
      </c>
      <c r="FG139" s="44" t="str">
        <f t="shared" si="2123"/>
        <v/>
      </c>
      <c r="FH139" s="44" t="str">
        <f t="shared" si="2124"/>
        <v/>
      </c>
      <c r="FI139" s="44" t="str">
        <f t="shared" si="2125"/>
        <v/>
      </c>
      <c r="FJ139" s="44" t="str">
        <f t="shared" si="2126"/>
        <v/>
      </c>
      <c r="FK139" s="44" t="str">
        <f t="shared" si="2127"/>
        <v/>
      </c>
      <c r="FL139" s="44" t="str">
        <f t="shared" si="2128"/>
        <v/>
      </c>
      <c r="FM139" s="44" t="str">
        <f t="shared" si="2129"/>
        <v/>
      </c>
      <c r="FN139" s="44" t="str">
        <f t="shared" si="2130"/>
        <v/>
      </c>
      <c r="FO139" s="44" t="str">
        <f t="shared" si="2131"/>
        <v/>
      </c>
      <c r="FP139" s="44" t="str">
        <f t="shared" si="2132"/>
        <v/>
      </c>
      <c r="FQ139" s="44" t="str">
        <f t="shared" si="2133"/>
        <v/>
      </c>
      <c r="FR139" s="44" t="str">
        <f t="shared" si="2134"/>
        <v/>
      </c>
      <c r="FS139" s="44" t="str">
        <f t="shared" si="2135"/>
        <v/>
      </c>
    </row>
    <row r="140" ht="57.6" spans="1:175">
      <c r="A140" s="5"/>
      <c r="B140" s="7" t="s">
        <v>501</v>
      </c>
      <c r="C140" s="79" t="s">
        <v>480</v>
      </c>
      <c r="T140" s="84" t="s">
        <v>481</v>
      </c>
      <c r="U140" s="60" t="s">
        <v>482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InitEquipData('INDQ',,"",,,,,'','','','','','',"ReplaceableTextures\\CommandButtons\\BTNIP01.blp")</v>
      </c>
      <c r="CU140" s="72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     </v>
      </c>
      <c r="CW140" s="7"/>
      <c r="CX140" s="7"/>
      <c r="CY140" s="7"/>
      <c r="CZ140" s="7"/>
      <c r="DA140" s="7"/>
      <c r="DB140" s="44" t="str">
        <f t="shared" si="1916"/>
        <v/>
      </c>
      <c r="DC140" s="44" t="str">
        <f t="shared" si="1917"/>
        <v/>
      </c>
      <c r="DD140" s="44" t="str">
        <f t="shared" si="1918"/>
        <v/>
      </c>
      <c r="DE140" s="44" t="str">
        <f t="shared" si="1919"/>
        <v/>
      </c>
      <c r="DF140" s="44" t="str">
        <f t="shared" si="1920"/>
        <v/>
      </c>
      <c r="DG140" s="44" t="str">
        <f t="shared" si="1921"/>
        <v/>
      </c>
      <c r="DH140" s="44" t="str">
        <f t="shared" si="1922"/>
        <v/>
      </c>
      <c r="DI140" s="44" t="str">
        <f t="shared" si="1923"/>
        <v/>
      </c>
      <c r="DJ140" s="44" t="str">
        <f t="shared" si="1924"/>
        <v/>
      </c>
      <c r="DK140" s="44" t="str">
        <f t="shared" si="1925"/>
        <v/>
      </c>
      <c r="DL140" s="44" t="str">
        <f t="shared" si="1926"/>
        <v/>
      </c>
      <c r="DM140" s="44" t="str">
        <f t="shared" si="1927"/>
        <v/>
      </c>
      <c r="DN140" s="44" t="str">
        <f t="shared" si="1928"/>
        <v/>
      </c>
      <c r="DO140" s="44" t="str">
        <f t="shared" si="1929"/>
        <v/>
      </c>
      <c r="DP140" s="44" t="str">
        <f t="shared" si="1930"/>
        <v/>
      </c>
      <c r="DQ140" s="44" t="str">
        <f t="shared" si="1931"/>
        <v/>
      </c>
      <c r="DR140" s="44" t="str">
        <f t="shared" si="1932"/>
        <v/>
      </c>
      <c r="DS140" s="44" t="str">
        <f t="shared" si="1933"/>
        <v/>
      </c>
      <c r="DT140" s="44" t="str">
        <f t="shared" si="1934"/>
        <v/>
      </c>
      <c r="DU140" s="44" t="str">
        <f t="shared" si="1935"/>
        <v/>
      </c>
      <c r="DV140" s="44" t="str">
        <f t="shared" si="1936"/>
        <v/>
      </c>
      <c r="DW140" s="44" t="str">
        <f t="shared" si="1937"/>
        <v/>
      </c>
      <c r="DX140" s="44" t="str">
        <f t="shared" si="1938"/>
        <v/>
      </c>
      <c r="DY140" s="44" t="str">
        <f t="shared" si="1939"/>
        <v/>
      </c>
      <c r="DZ140" s="44" t="str">
        <f t="shared" si="1940"/>
        <v/>
      </c>
      <c r="EA140" s="44" t="str">
        <f t="shared" si="1941"/>
        <v/>
      </c>
      <c r="EB140" s="44" t="str">
        <f t="shared" si="1942"/>
        <v/>
      </c>
      <c r="EC140" s="44" t="str">
        <f t="shared" si="1943"/>
        <v/>
      </c>
      <c r="ED140" s="44" t="str">
        <f t="shared" si="1944"/>
        <v/>
      </c>
      <c r="EE140" s="44" t="str">
        <f t="shared" si="1945"/>
        <v/>
      </c>
      <c r="EF140" s="44" t="str">
        <f t="shared" si="1946"/>
        <v/>
      </c>
      <c r="EG140" s="44" t="str">
        <f t="shared" si="1947"/>
        <v/>
      </c>
      <c r="EH140" s="44" t="str">
        <f t="shared" si="1948"/>
        <v/>
      </c>
      <c r="EI140" s="44" t="str">
        <f t="shared" si="1949"/>
        <v/>
      </c>
      <c r="EJ140" s="44" t="str">
        <f t="shared" si="1950"/>
        <v/>
      </c>
      <c r="EK140" s="44" t="str">
        <f t="shared" si="1951"/>
        <v/>
      </c>
      <c r="EL140" s="44" t="str">
        <f t="shared" si="1952"/>
        <v/>
      </c>
      <c r="EM140" s="44" t="str">
        <f t="shared" si="1953"/>
        <v/>
      </c>
      <c r="EN140" s="44" t="str">
        <f t="shared" si="1954"/>
        <v/>
      </c>
      <c r="EO140" s="44" t="str">
        <f t="shared" si="1955"/>
        <v/>
      </c>
      <c r="EP140" s="44" t="str">
        <f t="shared" si="1956"/>
        <v/>
      </c>
      <c r="EQ140" s="44" t="str">
        <f t="shared" si="1957"/>
        <v/>
      </c>
      <c r="ER140" s="44" t="str">
        <f t="shared" si="1958"/>
        <v/>
      </c>
      <c r="ES140" s="44" t="str">
        <f t="shared" si="1959"/>
        <v/>
      </c>
      <c r="ET140" s="44" t="str">
        <f t="shared" si="1960"/>
        <v/>
      </c>
      <c r="EU140" s="44" t="str">
        <f t="shared" si="1961"/>
        <v/>
      </c>
      <c r="EV140" s="44" t="str">
        <f t="shared" si="1962"/>
        <v/>
      </c>
      <c r="EW140" s="44" t="str">
        <f t="shared" si="1963"/>
        <v/>
      </c>
      <c r="EX140" s="44" t="str">
        <f t="shared" si="1964"/>
        <v/>
      </c>
      <c r="EY140" s="44" t="str">
        <f t="shared" si="1965"/>
        <v/>
      </c>
      <c r="EZ140" s="44" t="str">
        <f t="shared" si="1966"/>
        <v/>
      </c>
      <c r="FA140" s="44" t="str">
        <f t="shared" si="1967"/>
        <v/>
      </c>
      <c r="FB140" s="44" t="str">
        <f t="shared" si="1968"/>
        <v/>
      </c>
      <c r="FC140" s="44" t="str">
        <f t="shared" si="1969"/>
        <v/>
      </c>
      <c r="FD140" s="44" t="str">
        <f t="shared" si="1970"/>
        <v/>
      </c>
      <c r="FE140" s="44" t="str">
        <f t="shared" si="1971"/>
        <v/>
      </c>
      <c r="FF140" s="44" t="str">
        <f t="shared" si="1972"/>
        <v/>
      </c>
      <c r="FG140" s="44" t="str">
        <f t="shared" si="1973"/>
        <v/>
      </c>
      <c r="FH140" s="44" t="str">
        <f t="shared" si="1974"/>
        <v/>
      </c>
      <c r="FI140" s="44" t="str">
        <f t="shared" si="1975"/>
        <v/>
      </c>
      <c r="FJ140" s="44" t="str">
        <f t="shared" si="1976"/>
        <v/>
      </c>
      <c r="FK140" s="44" t="str">
        <f t="shared" si="1977"/>
        <v/>
      </c>
      <c r="FL140" s="44" t="str">
        <f t="shared" si="1978"/>
        <v/>
      </c>
      <c r="FM140" s="44" t="str">
        <f t="shared" si="1979"/>
        <v/>
      </c>
      <c r="FN140" s="44" t="str">
        <f t="shared" si="1980"/>
        <v/>
      </c>
      <c r="FO140" s="44" t="str">
        <f t="shared" si="1981"/>
        <v/>
      </c>
      <c r="FP140" s="44" t="str">
        <f t="shared" si="1982"/>
        <v/>
      </c>
      <c r="FQ140" s="44" t="str">
        <f t="shared" si="1983"/>
        <v/>
      </c>
      <c r="FR140" s="44" t="str">
        <f t="shared" si="1984"/>
        <v/>
      </c>
      <c r="FS140" s="44" t="str">
        <f t="shared" si="1985"/>
        <v/>
      </c>
    </row>
    <row r="141" ht="15" spans="1:175">
      <c r="A141" s="5"/>
      <c r="B141" s="7" t="s">
        <v>502</v>
      </c>
      <c r="C141" s="79" t="s">
        <v>488</v>
      </c>
      <c r="T141" s="84" t="s">
        <v>489</v>
      </c>
      <c r="U141" s="60" t="s">
        <v>490</v>
      </c>
      <c r="CN141" s="13" t="str">
        <f t="shared" ref="CN141:CN172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2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2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2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169&amp;CR$1&amp;")"</f>
        <v>InitEquipData('INDR',,"",,,,,'','','','','','',"ReplaceableTextures\\CommandButtons\\BTNIP02.blp")</v>
      </c>
      <c r="CU141" s="72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4" t="str">
        <f t="shared" si="1916"/>
        <v/>
      </c>
      <c r="DC141" s="44" t="str">
        <f t="shared" si="1917"/>
        <v/>
      </c>
      <c r="DD141" s="44" t="str">
        <f t="shared" si="1918"/>
        <v/>
      </c>
      <c r="DE141" s="44" t="str">
        <f t="shared" si="1919"/>
        <v/>
      </c>
      <c r="DF141" s="44" t="str">
        <f t="shared" si="1920"/>
        <v/>
      </c>
      <c r="DG141" s="44" t="str">
        <f t="shared" si="1921"/>
        <v/>
      </c>
      <c r="DH141" s="44" t="str">
        <f t="shared" si="1922"/>
        <v/>
      </c>
      <c r="DI141" s="44" t="str">
        <f t="shared" si="1923"/>
        <v/>
      </c>
      <c r="DJ141" s="44" t="str">
        <f t="shared" si="1924"/>
        <v/>
      </c>
      <c r="DK141" s="44" t="str">
        <f t="shared" si="1925"/>
        <v/>
      </c>
      <c r="DL141" s="44" t="str">
        <f t="shared" si="1926"/>
        <v/>
      </c>
      <c r="DM141" s="44" t="str">
        <f t="shared" si="1927"/>
        <v/>
      </c>
      <c r="DN141" s="44" t="str">
        <f t="shared" si="1928"/>
        <v/>
      </c>
      <c r="DO141" s="44" t="str">
        <f t="shared" si="1929"/>
        <v/>
      </c>
      <c r="DP141" s="44" t="str">
        <f t="shared" si="1930"/>
        <v/>
      </c>
      <c r="DQ141" s="44" t="str">
        <f t="shared" si="1931"/>
        <v/>
      </c>
      <c r="DR141" s="44" t="str">
        <f t="shared" si="1932"/>
        <v/>
      </c>
      <c r="DS141" s="44" t="str">
        <f t="shared" si="1933"/>
        <v/>
      </c>
      <c r="DT141" s="44" t="str">
        <f t="shared" si="1934"/>
        <v/>
      </c>
      <c r="DU141" s="44" t="str">
        <f t="shared" si="1935"/>
        <v/>
      </c>
      <c r="DV141" s="44" t="str">
        <f t="shared" si="1936"/>
        <v/>
      </c>
      <c r="DW141" s="44" t="str">
        <f t="shared" si="1937"/>
        <v/>
      </c>
      <c r="DX141" s="44" t="str">
        <f t="shared" si="1938"/>
        <v/>
      </c>
      <c r="DY141" s="44" t="str">
        <f t="shared" si="1939"/>
        <v/>
      </c>
      <c r="DZ141" s="44" t="str">
        <f t="shared" si="1940"/>
        <v/>
      </c>
      <c r="EA141" s="44" t="str">
        <f t="shared" si="1941"/>
        <v/>
      </c>
      <c r="EB141" s="44" t="str">
        <f t="shared" si="1942"/>
        <v/>
      </c>
      <c r="EC141" s="44" t="str">
        <f t="shared" si="1943"/>
        <v/>
      </c>
      <c r="ED141" s="44" t="str">
        <f t="shared" si="1944"/>
        <v/>
      </c>
      <c r="EE141" s="44" t="str">
        <f t="shared" si="1945"/>
        <v/>
      </c>
      <c r="EF141" s="44" t="str">
        <f t="shared" si="1946"/>
        <v/>
      </c>
      <c r="EG141" s="44" t="str">
        <f t="shared" si="1947"/>
        <v/>
      </c>
      <c r="EH141" s="44" t="str">
        <f t="shared" si="1948"/>
        <v/>
      </c>
      <c r="EI141" s="44" t="str">
        <f t="shared" si="1949"/>
        <v/>
      </c>
      <c r="EJ141" s="44" t="str">
        <f t="shared" si="1950"/>
        <v/>
      </c>
      <c r="EK141" s="44" t="str">
        <f t="shared" si="1951"/>
        <v/>
      </c>
      <c r="EL141" s="44" t="str">
        <f t="shared" si="1952"/>
        <v/>
      </c>
      <c r="EM141" s="44" t="str">
        <f t="shared" si="1953"/>
        <v/>
      </c>
      <c r="EN141" s="44" t="str">
        <f t="shared" si="1954"/>
        <v/>
      </c>
      <c r="EO141" s="44" t="str">
        <f t="shared" si="1955"/>
        <v/>
      </c>
      <c r="EP141" s="44" t="str">
        <f t="shared" si="1956"/>
        <v/>
      </c>
      <c r="EQ141" s="44" t="str">
        <f t="shared" si="1957"/>
        <v/>
      </c>
      <c r="ER141" s="44" t="str">
        <f t="shared" si="1958"/>
        <v/>
      </c>
      <c r="ES141" s="44" t="str">
        <f t="shared" si="1959"/>
        <v/>
      </c>
      <c r="ET141" s="44" t="str">
        <f t="shared" si="1960"/>
        <v/>
      </c>
      <c r="EU141" s="44" t="str">
        <f t="shared" si="1961"/>
        <v/>
      </c>
      <c r="EV141" s="44" t="str">
        <f t="shared" si="1962"/>
        <v/>
      </c>
      <c r="EW141" s="44" t="str">
        <f t="shared" si="1963"/>
        <v/>
      </c>
      <c r="EX141" s="44" t="str">
        <f t="shared" si="1964"/>
        <v/>
      </c>
      <c r="EY141" s="44" t="str">
        <f t="shared" si="1965"/>
        <v/>
      </c>
      <c r="EZ141" s="44" t="str">
        <f t="shared" si="1966"/>
        <v/>
      </c>
      <c r="FA141" s="44" t="str">
        <f t="shared" si="1967"/>
        <v/>
      </c>
      <c r="FB141" s="44" t="str">
        <f t="shared" si="1968"/>
        <v/>
      </c>
      <c r="FC141" s="44" t="str">
        <f t="shared" si="1969"/>
        <v/>
      </c>
      <c r="FD141" s="44" t="str">
        <f t="shared" si="1970"/>
        <v/>
      </c>
      <c r="FE141" s="44" t="str">
        <f t="shared" si="1971"/>
        <v/>
      </c>
      <c r="FF141" s="44" t="str">
        <f t="shared" si="1972"/>
        <v/>
      </c>
      <c r="FG141" s="44" t="str">
        <f t="shared" si="1973"/>
        <v/>
      </c>
      <c r="FH141" s="44" t="str">
        <f t="shared" si="1974"/>
        <v/>
      </c>
      <c r="FI141" s="44" t="str">
        <f t="shared" si="1975"/>
        <v/>
      </c>
      <c r="FJ141" s="44" t="str">
        <f t="shared" si="1976"/>
        <v/>
      </c>
      <c r="FK141" s="44" t="str">
        <f t="shared" si="1977"/>
        <v/>
      </c>
      <c r="FL141" s="44" t="str">
        <f t="shared" si="1978"/>
        <v/>
      </c>
      <c r="FM141" s="44" t="str">
        <f t="shared" si="1979"/>
        <v/>
      </c>
      <c r="FN141" s="44" t="str">
        <f t="shared" si="1980"/>
        <v/>
      </c>
      <c r="FO141" s="44" t="str">
        <f t="shared" si="1981"/>
        <v/>
      </c>
      <c r="FP141" s="44" t="str">
        <f t="shared" si="1982"/>
        <v/>
      </c>
      <c r="FQ141" s="44" t="str">
        <f t="shared" si="1983"/>
        <v/>
      </c>
      <c r="FR141" s="44" t="str">
        <f t="shared" si="1984"/>
        <v/>
      </c>
      <c r="FS141" s="44" t="str">
        <f t="shared" si="1985"/>
        <v/>
      </c>
    </row>
    <row r="142" ht="57.6" spans="1:175">
      <c r="A142" s="5"/>
      <c r="B142" s="7" t="s">
        <v>503</v>
      </c>
      <c r="C142" s="79" t="s">
        <v>480</v>
      </c>
      <c r="T142" s="84" t="s">
        <v>481</v>
      </c>
      <c r="U142" s="60" t="s">
        <v>482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170&amp;CR$1&amp;")"</f>
        <v>InitEquipData('INDS',,"",,,,,'','','','','','',"ReplaceableTextures\\CommandButtons\\BTNIP03.blp")</v>
      </c>
      <c r="CU142" s="72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     </v>
      </c>
      <c r="CW142" s="7"/>
      <c r="CX142" s="7"/>
      <c r="CY142" s="7"/>
      <c r="CZ142" s="7"/>
      <c r="DA142" s="7"/>
      <c r="DB142" s="44" t="str">
        <f t="shared" ref="DB142:DB143" si="2142">IF(V142="","","|n"&amp;DB$2&amp;"+"&amp;V142&amp;DB$1)</f>
        <v/>
      </c>
      <c r="DC142" s="44" t="str">
        <f t="shared" ref="DC142:DC143" si="2143">IF(W142="","","|n"&amp;DC$2&amp;"+"&amp;W142&amp;DC$1)</f>
        <v/>
      </c>
      <c r="DD142" s="44" t="str">
        <f t="shared" ref="DD142:DD143" si="2144">IF(X142="","","|n"&amp;DD$2&amp;"+"&amp;X142&amp;DD$1)</f>
        <v/>
      </c>
      <c r="DE142" s="44" t="str">
        <f t="shared" ref="DE142:DE143" si="2145">IF(Y142="","","|n"&amp;DE$2&amp;"+"&amp;Y142&amp;DE$1)</f>
        <v/>
      </c>
      <c r="DF142" s="44" t="str">
        <f t="shared" ref="DF142:DF143" si="2146">IF(Z142="","","|n"&amp;DF$2&amp;"+"&amp;Z142&amp;DF$1)</f>
        <v/>
      </c>
      <c r="DG142" s="44" t="str">
        <f t="shared" ref="DG142:DG143" si="2147">IF(AA142="","","|n"&amp;DG$2&amp;"+"&amp;AA142&amp;DG$1)</f>
        <v/>
      </c>
      <c r="DH142" s="44" t="str">
        <f t="shared" ref="DH142:DH143" si="2148">IF(AB142="","","|n"&amp;DH$2&amp;"+"&amp;AB142&amp;DH$1)</f>
        <v/>
      </c>
      <c r="DI142" s="44" t="str">
        <f t="shared" ref="DI142:DI143" si="2149">IF(AC142="","","|n"&amp;DI$2&amp;"+"&amp;AC142&amp;DI$1)</f>
        <v/>
      </c>
      <c r="DJ142" s="44" t="str">
        <f t="shared" ref="DJ142:DJ143" si="2150">IF(AD142="","","|n"&amp;DJ$2&amp;"+"&amp;AD142&amp;DJ$1)</f>
        <v/>
      </c>
      <c r="DK142" s="44" t="str">
        <f t="shared" ref="DK142:DK143" si="2151">IF(AE142="","","|n"&amp;DK$2&amp;"+"&amp;AE142&amp;DK$1)</f>
        <v/>
      </c>
      <c r="DL142" s="44" t="str">
        <f t="shared" ref="DL142:DL143" si="2152">IF(AF142="","","|n"&amp;DL$2&amp;"+"&amp;AF142&amp;DL$1)</f>
        <v/>
      </c>
      <c r="DM142" s="44" t="str">
        <f t="shared" ref="DM142:DM143" si="2153">IF(AG142="","","|n"&amp;DM$2&amp;"+"&amp;AG142&amp;DM$1)</f>
        <v/>
      </c>
      <c r="DN142" s="44" t="str">
        <f t="shared" ref="DN142:DN143" si="2154">IF(AH142="","","|n"&amp;DN$2&amp;"+"&amp;AH142&amp;DN$1)</f>
        <v/>
      </c>
      <c r="DO142" s="44" t="str">
        <f t="shared" ref="DO142:DO143" si="2155">IF(AI142="","","|n"&amp;DO$2&amp;"+"&amp;AI142&amp;DO$1)</f>
        <v/>
      </c>
      <c r="DP142" s="44" t="str">
        <f t="shared" ref="DP142:DP143" si="2156">IF(AJ142="","","|n"&amp;DP$2&amp;"+"&amp;AJ142&amp;DP$1)</f>
        <v/>
      </c>
      <c r="DQ142" s="44" t="str">
        <f t="shared" ref="DQ142:DQ143" si="2157">IF(AK142="","","|n"&amp;DQ$2&amp;"+"&amp;AK142&amp;DQ$1)</f>
        <v/>
      </c>
      <c r="DR142" s="44" t="str">
        <f t="shared" ref="DR142:DR143" si="2158">IF(AL142="","","|n"&amp;DR$2&amp;"+"&amp;AL142&amp;DR$1)</f>
        <v/>
      </c>
      <c r="DS142" s="44" t="str">
        <f t="shared" ref="DS142:DS143" si="2159">IF(AM142="","","|n"&amp;DS$2&amp;"+"&amp;AM142&amp;DS$1)</f>
        <v/>
      </c>
      <c r="DT142" s="44" t="str">
        <f t="shared" ref="DT142:DT143" si="2160">IF(AN142="","","|n"&amp;DT$2&amp;"+"&amp;AN142&amp;DT$1)</f>
        <v/>
      </c>
      <c r="DU142" s="44" t="str">
        <f t="shared" ref="DU142:DU143" si="2161">IF(AO142="","","|n"&amp;DU$2&amp;"+"&amp;AO142&amp;DU$1)</f>
        <v/>
      </c>
      <c r="DV142" s="44" t="str">
        <f t="shared" ref="DV142:DV143" si="2162">IF(AP142="","","|n"&amp;DV$2&amp;"+"&amp;AP142&amp;DV$1)</f>
        <v/>
      </c>
      <c r="DW142" s="44" t="str">
        <f t="shared" ref="DW142:DW143" si="2163">IF(AQ142="","","|n"&amp;DW$2&amp;"+"&amp;AQ142&amp;DW$1)</f>
        <v/>
      </c>
      <c r="DX142" s="44" t="str">
        <f t="shared" ref="DX142:DX143" si="2164">IF(AR142="","","|n"&amp;DX$2&amp;"+"&amp;AR142&amp;DX$1)</f>
        <v/>
      </c>
      <c r="DY142" s="44" t="str">
        <f t="shared" ref="DY142:DY143" si="2165">IF(AS142="","","|n"&amp;DY$2&amp;"+"&amp;AS142&amp;DY$1)</f>
        <v/>
      </c>
      <c r="DZ142" s="44" t="str">
        <f t="shared" ref="DZ142:DZ143" si="2166">IF(AT142="","","|n"&amp;DZ$2&amp;"+"&amp;AT142&amp;DZ$1)</f>
        <v/>
      </c>
      <c r="EA142" s="44" t="str">
        <f t="shared" ref="EA142:EA143" si="2167">IF(AU142="","","|n"&amp;EA$2&amp;"+"&amp;AU142&amp;EA$1)</f>
        <v/>
      </c>
      <c r="EB142" s="44" t="str">
        <f t="shared" ref="EB142:EB143" si="2168">IF(AV142="","","|n"&amp;EB$2&amp;"+"&amp;AV142&amp;EB$1)</f>
        <v/>
      </c>
      <c r="EC142" s="44" t="str">
        <f t="shared" ref="EC142:EC143" si="2169">IF(AW142="","","|n"&amp;EC$2&amp;"+"&amp;AW142&amp;EC$1)</f>
        <v/>
      </c>
      <c r="ED142" s="44" t="str">
        <f t="shared" ref="ED142:ED143" si="2170">IF(AX142="","","|n"&amp;ED$2&amp;"+"&amp;AX142&amp;ED$1)</f>
        <v/>
      </c>
      <c r="EE142" s="44" t="str">
        <f t="shared" ref="EE142:EE143" si="2171">IF(AY142="","","|n"&amp;EE$2&amp;"+"&amp;AY142&amp;EE$1)</f>
        <v/>
      </c>
      <c r="EF142" s="44" t="str">
        <f t="shared" ref="EF142:EF143" si="2172">IF(AZ142="","","|n"&amp;EF$2&amp;"+"&amp;AZ142&amp;EF$1)</f>
        <v/>
      </c>
      <c r="EG142" s="44" t="str">
        <f t="shared" ref="EG142:EG143" si="2173">IF(BA142="","","|n"&amp;EG$2&amp;"+"&amp;BA142&amp;EG$1)</f>
        <v/>
      </c>
      <c r="EH142" s="44" t="str">
        <f t="shared" ref="EH142:EH143" si="2174">IF(BB142="","","|n"&amp;EH$2&amp;"+"&amp;BB142&amp;EH$1)</f>
        <v/>
      </c>
      <c r="EI142" s="44" t="str">
        <f t="shared" ref="EI142:EI143" si="2175">IF(BC142="","","|n"&amp;EI$2&amp;"+"&amp;BC142&amp;EI$1)</f>
        <v/>
      </c>
      <c r="EJ142" s="44" t="str">
        <f t="shared" ref="EJ142:EJ143" si="2176">IF(BD142="","","|n"&amp;EJ$2&amp;"+"&amp;BD142&amp;EJ$1)</f>
        <v/>
      </c>
      <c r="EK142" s="44" t="str">
        <f t="shared" ref="EK142:EK143" si="2177">IF(BE142="","","|n"&amp;EK$2&amp;"+"&amp;BE142&amp;EK$1)</f>
        <v/>
      </c>
      <c r="EL142" s="44" t="str">
        <f t="shared" ref="EL142:EL143" si="2178">IF(BF142="","","|n"&amp;EL$2&amp;"+"&amp;BF142&amp;EL$1)</f>
        <v/>
      </c>
      <c r="EM142" s="44" t="str">
        <f t="shared" ref="EM142:EM143" si="2179">IF(BG142="","","|n"&amp;EM$2&amp;"+"&amp;BG142&amp;EM$1)</f>
        <v/>
      </c>
      <c r="EN142" s="44" t="str">
        <f t="shared" ref="EN142:EN143" si="2180">IF(BH142="","","|n"&amp;EN$2&amp;"+"&amp;BH142&amp;EN$1)</f>
        <v/>
      </c>
      <c r="EO142" s="44" t="str">
        <f t="shared" ref="EO142:EO143" si="2181">IF(BI142="","","|n"&amp;EO$2&amp;"+"&amp;BI142&amp;EO$1)</f>
        <v/>
      </c>
      <c r="EP142" s="44" t="str">
        <f t="shared" ref="EP142:EP143" si="2182">IF(BJ142="","","|n"&amp;EP$2&amp;"+"&amp;BJ142&amp;EP$1)</f>
        <v/>
      </c>
      <c r="EQ142" s="44" t="str">
        <f t="shared" ref="EQ142:EQ143" si="2183">IF(BK142="","","|n"&amp;EQ$2&amp;"+"&amp;BK142&amp;EQ$1)</f>
        <v/>
      </c>
      <c r="ER142" s="44" t="str">
        <f t="shared" ref="ER142:ER143" si="2184">IF(BL142="","","|n"&amp;ER$2&amp;"+"&amp;BL142&amp;ER$1)</f>
        <v/>
      </c>
      <c r="ES142" s="44" t="str">
        <f t="shared" ref="ES142:ES143" si="2185">IF(BM142="","","|n"&amp;ES$2&amp;"+"&amp;BM142&amp;ES$1)</f>
        <v/>
      </c>
      <c r="ET142" s="44" t="str">
        <f t="shared" ref="ET142:ET143" si="2186">IF(BN142="","","|n"&amp;ET$2&amp;"+"&amp;BN142&amp;ET$1)</f>
        <v/>
      </c>
      <c r="EU142" s="44" t="str">
        <f t="shared" ref="EU142:EU143" si="2187">IF(BO142="","","|n"&amp;EU$2&amp;"+"&amp;BO142&amp;EU$1)</f>
        <v/>
      </c>
      <c r="EV142" s="44" t="str">
        <f t="shared" ref="EV142:EV143" si="2188">IF(BP142="","","|n"&amp;EV$2&amp;"+"&amp;BP142&amp;EV$1)</f>
        <v/>
      </c>
      <c r="EW142" s="44" t="str">
        <f t="shared" ref="EW142:EW143" si="2189">IF(BQ142="","","|n"&amp;EW$2&amp;"+"&amp;BQ142&amp;EW$1)</f>
        <v/>
      </c>
      <c r="EX142" s="44" t="str">
        <f t="shared" ref="EX142:EX143" si="2190">IF(BR142="","","|n"&amp;EX$2&amp;"+"&amp;BR142&amp;EX$1)</f>
        <v/>
      </c>
      <c r="EY142" s="44" t="str">
        <f t="shared" ref="EY142:EY143" si="2191">IF(BS142="","","|n"&amp;EY$2&amp;"+"&amp;BS142&amp;EY$1)</f>
        <v/>
      </c>
      <c r="EZ142" s="44" t="str">
        <f t="shared" ref="EZ142:EZ143" si="2192">IF(BT142="","","|n"&amp;EZ$2&amp;"+"&amp;BT142&amp;EZ$1)</f>
        <v/>
      </c>
      <c r="FA142" s="44" t="str">
        <f t="shared" ref="FA142:FA143" si="2193">IF(BU142="","","|n"&amp;FA$2&amp;"+"&amp;BU142&amp;FA$1)</f>
        <v/>
      </c>
      <c r="FB142" s="44" t="str">
        <f t="shared" ref="FB142:FB143" si="2194">IF(BV142="","","|n"&amp;FB$2&amp;"+"&amp;BV142&amp;FB$1)</f>
        <v/>
      </c>
      <c r="FC142" s="44" t="str">
        <f t="shared" ref="FC142:FC143" si="2195">IF(BW142="","","|n"&amp;FC$2&amp;"+"&amp;BW142&amp;FC$1)</f>
        <v/>
      </c>
      <c r="FD142" s="44" t="str">
        <f t="shared" ref="FD142:FD143" si="2196">IF(BX142="","","|n"&amp;FD$2&amp;"+"&amp;BX142&amp;FD$1)</f>
        <v/>
      </c>
      <c r="FE142" s="44" t="str">
        <f t="shared" ref="FE142:FE143" si="2197">IF(BY142="","","|n"&amp;FE$2&amp;"+"&amp;BY142&amp;FE$1)</f>
        <v/>
      </c>
      <c r="FF142" s="44" t="str">
        <f t="shared" ref="FF142:FF143" si="2198">IF(BZ142="","","|n"&amp;FF$2&amp;"+"&amp;BZ142&amp;FF$1)</f>
        <v/>
      </c>
      <c r="FG142" s="44" t="str">
        <f t="shared" ref="FG142:FG143" si="2199">IF(CA142="","","|n"&amp;FG$2&amp;"+"&amp;CA142&amp;FG$1)</f>
        <v/>
      </c>
      <c r="FH142" s="44" t="str">
        <f t="shared" ref="FH142:FH143" si="2200">IF(CB142="","","|n"&amp;FH$2&amp;"+"&amp;CB142&amp;FH$1)</f>
        <v/>
      </c>
      <c r="FI142" s="44" t="str">
        <f t="shared" ref="FI142:FI143" si="2201">IF(CC142="","","|n"&amp;FI$2&amp;"+"&amp;CC142&amp;FI$1)</f>
        <v/>
      </c>
      <c r="FJ142" s="44" t="str">
        <f t="shared" ref="FJ142:FJ143" si="2202">IF(CD142="","","|n"&amp;FJ$2&amp;"+"&amp;CD142&amp;FJ$1)</f>
        <v/>
      </c>
      <c r="FK142" s="44" t="str">
        <f t="shared" ref="FK142:FK143" si="2203">IF(CE142="","","|n"&amp;FK$2&amp;"+"&amp;CE142&amp;FK$1)</f>
        <v/>
      </c>
      <c r="FL142" s="44" t="str">
        <f t="shared" ref="FL142:FL143" si="2204">IF(CF142="","","|n"&amp;FL$2&amp;"+"&amp;CF142&amp;FL$1)</f>
        <v/>
      </c>
      <c r="FM142" s="44" t="str">
        <f t="shared" ref="FM142:FM143" si="2205">IF(CG142="","","|n"&amp;FM$2&amp;"+"&amp;CG142&amp;FM$1)</f>
        <v/>
      </c>
      <c r="FN142" s="44" t="str">
        <f t="shared" ref="FN142:FN143" si="2206">IF(CH142="","","|n"&amp;FN$2&amp;"+"&amp;CH142&amp;FN$1)</f>
        <v/>
      </c>
      <c r="FO142" s="44" t="str">
        <f t="shared" ref="FO142:FO143" si="2207">IF(CI142="","","|n"&amp;FO$2&amp;"+"&amp;CI142&amp;FO$1)</f>
        <v/>
      </c>
      <c r="FP142" s="44" t="str">
        <f t="shared" ref="FP142:FP143" si="2208">IF(CJ142="","","|n"&amp;FP$2&amp;"+"&amp;CJ142&amp;FP$1)</f>
        <v/>
      </c>
      <c r="FQ142" s="44" t="str">
        <f t="shared" ref="FQ142:FQ143" si="2209">IF(CK142="","","|n"&amp;FQ$2&amp;"+"&amp;CK142&amp;FQ$1)</f>
        <v/>
      </c>
      <c r="FR142" s="44" t="str">
        <f t="shared" ref="FR142:FR143" si="2210">IF(CL142="","","|n"&amp;FR$2&amp;"+"&amp;CL142&amp;FR$1)</f>
        <v/>
      </c>
      <c r="FS142" s="44" t="str">
        <f t="shared" ref="FS142:FS143" si="2211">IF(CM142="","","|n"&amp;FS$2&amp;"+"&amp;CM142&amp;FS$1)</f>
        <v/>
      </c>
    </row>
    <row r="143" ht="57.6" spans="1:175">
      <c r="A143" s="5"/>
      <c r="B143" s="7" t="s">
        <v>504</v>
      </c>
      <c r="C143" s="79" t="s">
        <v>480</v>
      </c>
      <c r="T143" s="84" t="s">
        <v>481</v>
      </c>
      <c r="U143" s="60" t="s">
        <v>482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173&amp;CR$1&amp;")"</f>
        <v>InitEquipData('INDT',,"",,,,,'','','','','','',"ReplaceableTextures\\CommandButtons\\BTNIT01.blp")</v>
      </c>
      <c r="CU143" s="72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     </v>
      </c>
      <c r="CW143" s="7"/>
      <c r="CX143" s="7"/>
      <c r="CY143" s="7"/>
      <c r="CZ143" s="7"/>
      <c r="DA143" s="7"/>
      <c r="DB143" s="44" t="str">
        <f t="shared" si="2142"/>
        <v/>
      </c>
      <c r="DC143" s="44" t="str">
        <f t="shared" si="2143"/>
        <v/>
      </c>
      <c r="DD143" s="44" t="str">
        <f t="shared" si="2144"/>
        <v/>
      </c>
      <c r="DE143" s="44" t="str">
        <f t="shared" si="2145"/>
        <v/>
      </c>
      <c r="DF143" s="44" t="str">
        <f t="shared" si="2146"/>
        <v/>
      </c>
      <c r="DG143" s="44" t="str">
        <f t="shared" si="2147"/>
        <v/>
      </c>
      <c r="DH143" s="44" t="str">
        <f t="shared" si="2148"/>
        <v/>
      </c>
      <c r="DI143" s="44" t="str">
        <f t="shared" si="2149"/>
        <v/>
      </c>
      <c r="DJ143" s="44" t="str">
        <f t="shared" si="2150"/>
        <v/>
      </c>
      <c r="DK143" s="44" t="str">
        <f t="shared" si="2151"/>
        <v/>
      </c>
      <c r="DL143" s="44" t="str">
        <f t="shared" si="2152"/>
        <v/>
      </c>
      <c r="DM143" s="44" t="str">
        <f t="shared" si="2153"/>
        <v/>
      </c>
      <c r="DN143" s="44" t="str">
        <f t="shared" si="2154"/>
        <v/>
      </c>
      <c r="DO143" s="44" t="str">
        <f t="shared" si="2155"/>
        <v/>
      </c>
      <c r="DP143" s="44" t="str">
        <f t="shared" si="2156"/>
        <v/>
      </c>
      <c r="DQ143" s="44" t="str">
        <f t="shared" si="2157"/>
        <v/>
      </c>
      <c r="DR143" s="44" t="str">
        <f t="shared" si="2158"/>
        <v/>
      </c>
      <c r="DS143" s="44" t="str">
        <f t="shared" si="2159"/>
        <v/>
      </c>
      <c r="DT143" s="44" t="str">
        <f t="shared" si="2160"/>
        <v/>
      </c>
      <c r="DU143" s="44" t="str">
        <f t="shared" si="2161"/>
        <v/>
      </c>
      <c r="DV143" s="44" t="str">
        <f t="shared" si="2162"/>
        <v/>
      </c>
      <c r="DW143" s="44" t="str">
        <f t="shared" si="2163"/>
        <v/>
      </c>
      <c r="DX143" s="44" t="str">
        <f t="shared" si="2164"/>
        <v/>
      </c>
      <c r="DY143" s="44" t="str">
        <f t="shared" si="2165"/>
        <v/>
      </c>
      <c r="DZ143" s="44" t="str">
        <f t="shared" si="2166"/>
        <v/>
      </c>
      <c r="EA143" s="44" t="str">
        <f t="shared" si="2167"/>
        <v/>
      </c>
      <c r="EB143" s="44" t="str">
        <f t="shared" si="2168"/>
        <v/>
      </c>
      <c r="EC143" s="44" t="str">
        <f t="shared" si="2169"/>
        <v/>
      </c>
      <c r="ED143" s="44" t="str">
        <f t="shared" si="2170"/>
        <v/>
      </c>
      <c r="EE143" s="44" t="str">
        <f t="shared" si="2171"/>
        <v/>
      </c>
      <c r="EF143" s="44" t="str">
        <f t="shared" si="2172"/>
        <v/>
      </c>
      <c r="EG143" s="44" t="str">
        <f t="shared" si="2173"/>
        <v/>
      </c>
      <c r="EH143" s="44" t="str">
        <f t="shared" si="2174"/>
        <v/>
      </c>
      <c r="EI143" s="44" t="str">
        <f t="shared" si="2175"/>
        <v/>
      </c>
      <c r="EJ143" s="44" t="str">
        <f t="shared" si="2176"/>
        <v/>
      </c>
      <c r="EK143" s="44" t="str">
        <f t="shared" si="2177"/>
        <v/>
      </c>
      <c r="EL143" s="44" t="str">
        <f t="shared" si="2178"/>
        <v/>
      </c>
      <c r="EM143" s="44" t="str">
        <f t="shared" si="2179"/>
        <v/>
      </c>
      <c r="EN143" s="44" t="str">
        <f t="shared" si="2180"/>
        <v/>
      </c>
      <c r="EO143" s="44" t="str">
        <f t="shared" si="2181"/>
        <v/>
      </c>
      <c r="EP143" s="44" t="str">
        <f t="shared" si="2182"/>
        <v/>
      </c>
      <c r="EQ143" s="44" t="str">
        <f t="shared" si="2183"/>
        <v/>
      </c>
      <c r="ER143" s="44" t="str">
        <f t="shared" si="2184"/>
        <v/>
      </c>
      <c r="ES143" s="44" t="str">
        <f t="shared" si="2185"/>
        <v/>
      </c>
      <c r="ET143" s="44" t="str">
        <f t="shared" si="2186"/>
        <v/>
      </c>
      <c r="EU143" s="44" t="str">
        <f t="shared" si="2187"/>
        <v/>
      </c>
      <c r="EV143" s="44" t="str">
        <f t="shared" si="2188"/>
        <v/>
      </c>
      <c r="EW143" s="44" t="str">
        <f t="shared" si="2189"/>
        <v/>
      </c>
      <c r="EX143" s="44" t="str">
        <f t="shared" si="2190"/>
        <v/>
      </c>
      <c r="EY143" s="44" t="str">
        <f t="shared" si="2191"/>
        <v/>
      </c>
      <c r="EZ143" s="44" t="str">
        <f t="shared" si="2192"/>
        <v/>
      </c>
      <c r="FA143" s="44" t="str">
        <f t="shared" si="2193"/>
        <v/>
      </c>
      <c r="FB143" s="44" t="str">
        <f t="shared" si="2194"/>
        <v/>
      </c>
      <c r="FC143" s="44" t="str">
        <f t="shared" si="2195"/>
        <v/>
      </c>
      <c r="FD143" s="44" t="str">
        <f t="shared" si="2196"/>
        <v/>
      </c>
      <c r="FE143" s="44" t="str">
        <f t="shared" si="2197"/>
        <v/>
      </c>
      <c r="FF143" s="44" t="str">
        <f t="shared" si="2198"/>
        <v/>
      </c>
      <c r="FG143" s="44" t="str">
        <f t="shared" si="2199"/>
        <v/>
      </c>
      <c r="FH143" s="44" t="str">
        <f t="shared" si="2200"/>
        <v/>
      </c>
      <c r="FI143" s="44" t="str">
        <f t="shared" si="2201"/>
        <v/>
      </c>
      <c r="FJ143" s="44" t="str">
        <f t="shared" si="2202"/>
        <v/>
      </c>
      <c r="FK143" s="44" t="str">
        <f t="shared" si="2203"/>
        <v/>
      </c>
      <c r="FL143" s="44" t="str">
        <f t="shared" si="2204"/>
        <v/>
      </c>
      <c r="FM143" s="44" t="str">
        <f t="shared" si="2205"/>
        <v/>
      </c>
      <c r="FN143" s="44" t="str">
        <f t="shared" si="2206"/>
        <v/>
      </c>
      <c r="FO143" s="44" t="str">
        <f t="shared" si="2207"/>
        <v/>
      </c>
      <c r="FP143" s="44" t="str">
        <f t="shared" si="2208"/>
        <v/>
      </c>
      <c r="FQ143" s="44" t="str">
        <f t="shared" si="2209"/>
        <v/>
      </c>
      <c r="FR143" s="44" t="str">
        <f t="shared" si="2210"/>
        <v/>
      </c>
      <c r="FS143" s="44" t="str">
        <f t="shared" si="2211"/>
        <v/>
      </c>
    </row>
    <row r="144" ht="57.6" spans="1:175">
      <c r="A144" s="5"/>
      <c r="B144" s="7" t="s">
        <v>505</v>
      </c>
      <c r="C144" s="79" t="s">
        <v>480</v>
      </c>
      <c r="T144" s="84" t="s">
        <v>481</v>
      </c>
      <c r="U144" s="60" t="s">
        <v>482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72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     </v>
      </c>
      <c r="CW144" s="7"/>
      <c r="CX144" s="7"/>
      <c r="CY144" s="7"/>
      <c r="CZ144" s="7"/>
      <c r="DA144" s="7"/>
      <c r="DB144" s="44" t="str">
        <f t="shared" ref="DB144:DB145" si="2215">IF(V144="","","|n"&amp;DB$2&amp;"+"&amp;V144&amp;DB$1)</f>
        <v/>
      </c>
      <c r="DC144" s="44" t="str">
        <f t="shared" ref="DC144:DC145" si="2216">IF(W144="","","|n"&amp;DC$2&amp;"+"&amp;W144&amp;DC$1)</f>
        <v/>
      </c>
      <c r="DD144" s="44" t="str">
        <f t="shared" ref="DD144:DD145" si="2217">IF(X144="","","|n"&amp;DD$2&amp;"+"&amp;X144&amp;DD$1)</f>
        <v/>
      </c>
      <c r="DE144" s="44" t="str">
        <f t="shared" ref="DE144:DE145" si="2218">IF(Y144="","","|n"&amp;DE$2&amp;"+"&amp;Y144&amp;DE$1)</f>
        <v/>
      </c>
      <c r="DF144" s="44" t="str">
        <f t="shared" ref="DF144:DF145" si="2219">IF(Z144="","","|n"&amp;DF$2&amp;"+"&amp;Z144&amp;DF$1)</f>
        <v/>
      </c>
      <c r="DG144" s="44" t="str">
        <f t="shared" ref="DG144:DG145" si="2220">IF(AA144="","","|n"&amp;DG$2&amp;"+"&amp;AA144&amp;DG$1)</f>
        <v/>
      </c>
      <c r="DH144" s="44" t="str">
        <f t="shared" ref="DH144:DH145" si="2221">IF(AB144="","","|n"&amp;DH$2&amp;"+"&amp;AB144&amp;DH$1)</f>
        <v/>
      </c>
      <c r="DI144" s="44" t="str">
        <f t="shared" ref="DI144:DI145" si="2222">IF(AC144="","","|n"&amp;DI$2&amp;"+"&amp;AC144&amp;DI$1)</f>
        <v/>
      </c>
      <c r="DJ144" s="44" t="str">
        <f t="shared" ref="DJ144:DJ145" si="2223">IF(AD144="","","|n"&amp;DJ$2&amp;"+"&amp;AD144&amp;DJ$1)</f>
        <v/>
      </c>
      <c r="DK144" s="44" t="str">
        <f t="shared" ref="DK144:DK145" si="2224">IF(AE144="","","|n"&amp;DK$2&amp;"+"&amp;AE144&amp;DK$1)</f>
        <v/>
      </c>
      <c r="DL144" s="44" t="str">
        <f t="shared" ref="DL144:DL145" si="2225">IF(AF144="","","|n"&amp;DL$2&amp;"+"&amp;AF144&amp;DL$1)</f>
        <v/>
      </c>
      <c r="DM144" s="44" t="str">
        <f t="shared" ref="DM144:DM145" si="2226">IF(AG144="","","|n"&amp;DM$2&amp;"+"&amp;AG144&amp;DM$1)</f>
        <v/>
      </c>
      <c r="DN144" s="44" t="str">
        <f t="shared" ref="DN144:DN145" si="2227">IF(AH144="","","|n"&amp;DN$2&amp;"+"&amp;AH144&amp;DN$1)</f>
        <v/>
      </c>
      <c r="DO144" s="44" t="str">
        <f t="shared" ref="DO144:DO145" si="2228">IF(AI144="","","|n"&amp;DO$2&amp;"+"&amp;AI144&amp;DO$1)</f>
        <v/>
      </c>
      <c r="DP144" s="44" t="str">
        <f t="shared" ref="DP144:DP145" si="2229">IF(AJ144="","","|n"&amp;DP$2&amp;"+"&amp;AJ144&amp;DP$1)</f>
        <v/>
      </c>
      <c r="DQ144" s="44" t="str">
        <f t="shared" ref="DQ144:DQ145" si="2230">IF(AK144="","","|n"&amp;DQ$2&amp;"+"&amp;AK144&amp;DQ$1)</f>
        <v/>
      </c>
      <c r="DR144" s="44" t="str">
        <f t="shared" ref="DR144:DR145" si="2231">IF(AL144="","","|n"&amp;DR$2&amp;"+"&amp;AL144&amp;DR$1)</f>
        <v/>
      </c>
      <c r="DS144" s="44" t="str">
        <f t="shared" ref="DS144:DS145" si="2232">IF(AM144="","","|n"&amp;DS$2&amp;"+"&amp;AM144&amp;DS$1)</f>
        <v/>
      </c>
      <c r="DT144" s="44" t="str">
        <f t="shared" ref="DT144:DT145" si="2233">IF(AN144="","","|n"&amp;DT$2&amp;"+"&amp;AN144&amp;DT$1)</f>
        <v/>
      </c>
      <c r="DU144" s="44" t="str">
        <f t="shared" ref="DU144:DU145" si="2234">IF(AO144="","","|n"&amp;DU$2&amp;"+"&amp;AO144&amp;DU$1)</f>
        <v/>
      </c>
      <c r="DV144" s="44" t="str">
        <f t="shared" ref="DV144:DV145" si="2235">IF(AP144="","","|n"&amp;DV$2&amp;"+"&amp;AP144&amp;DV$1)</f>
        <v/>
      </c>
      <c r="DW144" s="44" t="str">
        <f t="shared" ref="DW144:DW145" si="2236">IF(AQ144="","","|n"&amp;DW$2&amp;"+"&amp;AQ144&amp;DW$1)</f>
        <v/>
      </c>
      <c r="DX144" s="44" t="str">
        <f t="shared" ref="DX144:DX145" si="2237">IF(AR144="","","|n"&amp;DX$2&amp;"+"&amp;AR144&amp;DX$1)</f>
        <v/>
      </c>
      <c r="DY144" s="44" t="str">
        <f t="shared" ref="DY144:DY145" si="2238">IF(AS144="","","|n"&amp;DY$2&amp;"+"&amp;AS144&amp;DY$1)</f>
        <v/>
      </c>
      <c r="DZ144" s="44" t="str">
        <f t="shared" ref="DZ144:DZ145" si="2239">IF(AT144="","","|n"&amp;DZ$2&amp;"+"&amp;AT144&amp;DZ$1)</f>
        <v/>
      </c>
      <c r="EA144" s="44" t="str">
        <f t="shared" ref="EA144:EA145" si="2240">IF(AU144="","","|n"&amp;EA$2&amp;"+"&amp;AU144&amp;EA$1)</f>
        <v/>
      </c>
      <c r="EB144" s="44" t="str">
        <f t="shared" ref="EB144:EB145" si="2241">IF(AV144="","","|n"&amp;EB$2&amp;"+"&amp;AV144&amp;EB$1)</f>
        <v/>
      </c>
      <c r="EC144" s="44" t="str">
        <f t="shared" ref="EC144:EC145" si="2242">IF(AW144="","","|n"&amp;EC$2&amp;"+"&amp;AW144&amp;EC$1)</f>
        <v/>
      </c>
      <c r="ED144" s="44" t="str">
        <f t="shared" ref="ED144:ED145" si="2243">IF(AX144="","","|n"&amp;ED$2&amp;"+"&amp;AX144&amp;ED$1)</f>
        <v/>
      </c>
      <c r="EE144" s="44" t="str">
        <f t="shared" ref="EE144:EE145" si="2244">IF(AY144="","","|n"&amp;EE$2&amp;"+"&amp;AY144&amp;EE$1)</f>
        <v/>
      </c>
      <c r="EF144" s="44" t="str">
        <f t="shared" ref="EF144:EF145" si="2245">IF(AZ144="","","|n"&amp;EF$2&amp;"+"&amp;AZ144&amp;EF$1)</f>
        <v/>
      </c>
      <c r="EG144" s="44" t="str">
        <f t="shared" ref="EG144:EG145" si="2246">IF(BA144="","","|n"&amp;EG$2&amp;"+"&amp;BA144&amp;EG$1)</f>
        <v/>
      </c>
      <c r="EH144" s="44" t="str">
        <f t="shared" ref="EH144:EH145" si="2247">IF(BB144="","","|n"&amp;EH$2&amp;"+"&amp;BB144&amp;EH$1)</f>
        <v/>
      </c>
      <c r="EI144" s="44" t="str">
        <f t="shared" ref="EI144:EI145" si="2248">IF(BC144="","","|n"&amp;EI$2&amp;"+"&amp;BC144&amp;EI$1)</f>
        <v/>
      </c>
      <c r="EJ144" s="44" t="str">
        <f t="shared" ref="EJ144:EJ145" si="2249">IF(BD144="","","|n"&amp;EJ$2&amp;"+"&amp;BD144&amp;EJ$1)</f>
        <v/>
      </c>
      <c r="EK144" s="44" t="str">
        <f t="shared" ref="EK144:EK145" si="2250">IF(BE144="","","|n"&amp;EK$2&amp;"+"&amp;BE144&amp;EK$1)</f>
        <v/>
      </c>
      <c r="EL144" s="44" t="str">
        <f t="shared" ref="EL144:EL145" si="2251">IF(BF144="","","|n"&amp;EL$2&amp;"+"&amp;BF144&amp;EL$1)</f>
        <v/>
      </c>
      <c r="EM144" s="44" t="str">
        <f t="shared" ref="EM144:EM145" si="2252">IF(BG144="","","|n"&amp;EM$2&amp;"+"&amp;BG144&amp;EM$1)</f>
        <v/>
      </c>
      <c r="EN144" s="44" t="str">
        <f t="shared" ref="EN144:EN145" si="2253">IF(BH144="","","|n"&amp;EN$2&amp;"+"&amp;BH144&amp;EN$1)</f>
        <v/>
      </c>
      <c r="EO144" s="44" t="str">
        <f t="shared" ref="EO144:EO145" si="2254">IF(BI144="","","|n"&amp;EO$2&amp;"+"&amp;BI144&amp;EO$1)</f>
        <v/>
      </c>
      <c r="EP144" s="44" t="str">
        <f t="shared" ref="EP144:EP145" si="2255">IF(BJ144="","","|n"&amp;EP$2&amp;"+"&amp;BJ144&amp;EP$1)</f>
        <v/>
      </c>
      <c r="EQ144" s="44" t="str">
        <f t="shared" ref="EQ144:EQ145" si="2256">IF(BK144="","","|n"&amp;EQ$2&amp;"+"&amp;BK144&amp;EQ$1)</f>
        <v/>
      </c>
      <c r="ER144" s="44" t="str">
        <f t="shared" ref="ER144:ER145" si="2257">IF(BL144="","","|n"&amp;ER$2&amp;"+"&amp;BL144&amp;ER$1)</f>
        <v/>
      </c>
      <c r="ES144" s="44" t="str">
        <f t="shared" ref="ES144:ES145" si="2258">IF(BM144="","","|n"&amp;ES$2&amp;"+"&amp;BM144&amp;ES$1)</f>
        <v/>
      </c>
      <c r="ET144" s="44" t="str">
        <f t="shared" ref="ET144:ET145" si="2259">IF(BN144="","","|n"&amp;ET$2&amp;"+"&amp;BN144&amp;ET$1)</f>
        <v/>
      </c>
      <c r="EU144" s="44" t="str">
        <f t="shared" ref="EU144:EU145" si="2260">IF(BO144="","","|n"&amp;EU$2&amp;"+"&amp;BO144&amp;EU$1)</f>
        <v/>
      </c>
      <c r="EV144" s="44" t="str">
        <f t="shared" ref="EV144:EV145" si="2261">IF(BP144="","","|n"&amp;EV$2&amp;"+"&amp;BP144&amp;EV$1)</f>
        <v/>
      </c>
      <c r="EW144" s="44" t="str">
        <f t="shared" ref="EW144:EW145" si="2262">IF(BQ144="","","|n"&amp;EW$2&amp;"+"&amp;BQ144&amp;EW$1)</f>
        <v/>
      </c>
      <c r="EX144" s="44" t="str">
        <f t="shared" ref="EX144:EX145" si="2263">IF(BR144="","","|n"&amp;EX$2&amp;"+"&amp;BR144&amp;EX$1)</f>
        <v/>
      </c>
      <c r="EY144" s="44" t="str">
        <f t="shared" ref="EY144:EY145" si="2264">IF(BS144="","","|n"&amp;EY$2&amp;"+"&amp;BS144&amp;EY$1)</f>
        <v/>
      </c>
      <c r="EZ144" s="44" t="str">
        <f t="shared" ref="EZ144:EZ145" si="2265">IF(BT144="","","|n"&amp;EZ$2&amp;"+"&amp;BT144&amp;EZ$1)</f>
        <v/>
      </c>
      <c r="FA144" s="44" t="str">
        <f t="shared" ref="FA144:FA145" si="2266">IF(BU144="","","|n"&amp;FA$2&amp;"+"&amp;BU144&amp;FA$1)</f>
        <v/>
      </c>
      <c r="FB144" s="44" t="str">
        <f t="shared" ref="FB144:FB145" si="2267">IF(BV144="","","|n"&amp;FB$2&amp;"+"&amp;BV144&amp;FB$1)</f>
        <v/>
      </c>
      <c r="FC144" s="44" t="str">
        <f t="shared" ref="FC144:FC145" si="2268">IF(BW144="","","|n"&amp;FC$2&amp;"+"&amp;BW144&amp;FC$1)</f>
        <v/>
      </c>
      <c r="FD144" s="44" t="str">
        <f t="shared" ref="FD144:FD145" si="2269">IF(BX144="","","|n"&amp;FD$2&amp;"+"&amp;BX144&amp;FD$1)</f>
        <v/>
      </c>
      <c r="FE144" s="44" t="str">
        <f t="shared" ref="FE144:FE145" si="2270">IF(BY144="","","|n"&amp;FE$2&amp;"+"&amp;BY144&amp;FE$1)</f>
        <v/>
      </c>
      <c r="FF144" s="44" t="str">
        <f t="shared" ref="FF144:FF145" si="2271">IF(BZ144="","","|n"&amp;FF$2&amp;"+"&amp;BZ144&amp;FF$1)</f>
        <v/>
      </c>
      <c r="FG144" s="44" t="str">
        <f t="shared" ref="FG144:FG145" si="2272">IF(CA144="","","|n"&amp;FG$2&amp;"+"&amp;CA144&amp;FG$1)</f>
        <v/>
      </c>
      <c r="FH144" s="44" t="str">
        <f t="shared" ref="FH144:FH145" si="2273">IF(CB144="","","|n"&amp;FH$2&amp;"+"&amp;CB144&amp;FH$1)</f>
        <v/>
      </c>
      <c r="FI144" s="44" t="str">
        <f t="shared" ref="FI144:FI145" si="2274">IF(CC144="","","|n"&amp;FI$2&amp;"+"&amp;CC144&amp;FI$1)</f>
        <v/>
      </c>
      <c r="FJ144" s="44" t="str">
        <f t="shared" ref="FJ144:FJ145" si="2275">IF(CD144="","","|n"&amp;FJ$2&amp;"+"&amp;CD144&amp;FJ$1)</f>
        <v/>
      </c>
      <c r="FK144" s="44" t="str">
        <f t="shared" ref="FK144:FK145" si="2276">IF(CE144="","","|n"&amp;FK$2&amp;"+"&amp;CE144&amp;FK$1)</f>
        <v/>
      </c>
      <c r="FL144" s="44" t="str">
        <f t="shared" ref="FL144:FL145" si="2277">IF(CF144="","","|n"&amp;FL$2&amp;"+"&amp;CF144&amp;FL$1)</f>
        <v/>
      </c>
      <c r="FM144" s="44" t="str">
        <f t="shared" ref="FM144:FM145" si="2278">IF(CG144="","","|n"&amp;FM$2&amp;"+"&amp;CG144&amp;FM$1)</f>
        <v/>
      </c>
      <c r="FN144" s="44" t="str">
        <f t="shared" ref="FN144:FN145" si="2279">IF(CH144="","","|n"&amp;FN$2&amp;"+"&amp;CH144&amp;FN$1)</f>
        <v/>
      </c>
      <c r="FO144" s="44" t="str">
        <f t="shared" ref="FO144:FO145" si="2280">IF(CI144="","","|n"&amp;FO$2&amp;"+"&amp;CI144&amp;FO$1)</f>
        <v/>
      </c>
      <c r="FP144" s="44" t="str">
        <f t="shared" ref="FP144:FP145" si="2281">IF(CJ144="","","|n"&amp;FP$2&amp;"+"&amp;CJ144&amp;FP$1)</f>
        <v/>
      </c>
      <c r="FQ144" s="44" t="str">
        <f t="shared" ref="FQ144:FQ145" si="2282">IF(CK144="","","|n"&amp;FQ$2&amp;"+"&amp;CK144&amp;FQ$1)</f>
        <v/>
      </c>
      <c r="FR144" s="44" t="str">
        <f t="shared" ref="FR144:FR145" si="2283">IF(CL144="","","|n"&amp;FR$2&amp;"+"&amp;CL144&amp;FR$1)</f>
        <v/>
      </c>
      <c r="FS144" s="44" t="str">
        <f t="shared" ref="FS144:FS145" si="2284">IF(CM144="","","|n"&amp;FS$2&amp;"+"&amp;CM144&amp;FS$1)</f>
        <v/>
      </c>
    </row>
    <row r="145" ht="57.6" spans="1:175">
      <c r="A145" s="5"/>
      <c r="B145" s="7" t="s">
        <v>506</v>
      </c>
      <c r="C145" s="79" t="s">
        <v>480</v>
      </c>
      <c r="T145" s="84" t="s">
        <v>481</v>
      </c>
      <c r="U145" s="60" t="s">
        <v>482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72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     </v>
      </c>
      <c r="CW145" s="7"/>
      <c r="CX145" s="7"/>
      <c r="CY145" s="7"/>
      <c r="CZ145" s="7"/>
      <c r="DA145" s="7"/>
      <c r="DB145" s="44" t="str">
        <f t="shared" si="2215"/>
        <v/>
      </c>
      <c r="DC145" s="44" t="str">
        <f t="shared" si="2216"/>
        <v/>
      </c>
      <c r="DD145" s="44" t="str">
        <f t="shared" si="2217"/>
        <v/>
      </c>
      <c r="DE145" s="44" t="str">
        <f t="shared" si="2218"/>
        <v/>
      </c>
      <c r="DF145" s="44" t="str">
        <f t="shared" si="2219"/>
        <v/>
      </c>
      <c r="DG145" s="44" t="str">
        <f t="shared" si="2220"/>
        <v/>
      </c>
      <c r="DH145" s="44" t="str">
        <f t="shared" si="2221"/>
        <v/>
      </c>
      <c r="DI145" s="44" t="str">
        <f t="shared" si="2222"/>
        <v/>
      </c>
      <c r="DJ145" s="44" t="str">
        <f t="shared" si="2223"/>
        <v/>
      </c>
      <c r="DK145" s="44" t="str">
        <f t="shared" si="2224"/>
        <v/>
      </c>
      <c r="DL145" s="44" t="str">
        <f t="shared" si="2225"/>
        <v/>
      </c>
      <c r="DM145" s="44" t="str">
        <f t="shared" si="2226"/>
        <v/>
      </c>
      <c r="DN145" s="44" t="str">
        <f t="shared" si="2227"/>
        <v/>
      </c>
      <c r="DO145" s="44" t="str">
        <f t="shared" si="2228"/>
        <v/>
      </c>
      <c r="DP145" s="44" t="str">
        <f t="shared" si="2229"/>
        <v/>
      </c>
      <c r="DQ145" s="44" t="str">
        <f t="shared" si="2230"/>
        <v/>
      </c>
      <c r="DR145" s="44" t="str">
        <f t="shared" si="2231"/>
        <v/>
      </c>
      <c r="DS145" s="44" t="str">
        <f t="shared" si="2232"/>
        <v/>
      </c>
      <c r="DT145" s="44" t="str">
        <f t="shared" si="2233"/>
        <v/>
      </c>
      <c r="DU145" s="44" t="str">
        <f t="shared" si="2234"/>
        <v/>
      </c>
      <c r="DV145" s="44" t="str">
        <f t="shared" si="2235"/>
        <v/>
      </c>
      <c r="DW145" s="44" t="str">
        <f t="shared" si="2236"/>
        <v/>
      </c>
      <c r="DX145" s="44" t="str">
        <f t="shared" si="2237"/>
        <v/>
      </c>
      <c r="DY145" s="44" t="str">
        <f t="shared" si="2238"/>
        <v/>
      </c>
      <c r="DZ145" s="44" t="str">
        <f t="shared" si="2239"/>
        <v/>
      </c>
      <c r="EA145" s="44" t="str">
        <f t="shared" si="2240"/>
        <v/>
      </c>
      <c r="EB145" s="44" t="str">
        <f t="shared" si="2241"/>
        <v/>
      </c>
      <c r="EC145" s="44" t="str">
        <f t="shared" si="2242"/>
        <v/>
      </c>
      <c r="ED145" s="44" t="str">
        <f t="shared" si="2243"/>
        <v/>
      </c>
      <c r="EE145" s="44" t="str">
        <f t="shared" si="2244"/>
        <v/>
      </c>
      <c r="EF145" s="44" t="str">
        <f t="shared" si="2245"/>
        <v/>
      </c>
      <c r="EG145" s="44" t="str">
        <f t="shared" si="2246"/>
        <v/>
      </c>
      <c r="EH145" s="44" t="str">
        <f t="shared" si="2247"/>
        <v/>
      </c>
      <c r="EI145" s="44" t="str">
        <f t="shared" si="2248"/>
        <v/>
      </c>
      <c r="EJ145" s="44" t="str">
        <f t="shared" si="2249"/>
        <v/>
      </c>
      <c r="EK145" s="44" t="str">
        <f t="shared" si="2250"/>
        <v/>
      </c>
      <c r="EL145" s="44" t="str">
        <f t="shared" si="2251"/>
        <v/>
      </c>
      <c r="EM145" s="44" t="str">
        <f t="shared" si="2252"/>
        <v/>
      </c>
      <c r="EN145" s="44" t="str">
        <f t="shared" si="2253"/>
        <v/>
      </c>
      <c r="EO145" s="44" t="str">
        <f t="shared" si="2254"/>
        <v/>
      </c>
      <c r="EP145" s="44" t="str">
        <f t="shared" si="2255"/>
        <v/>
      </c>
      <c r="EQ145" s="44" t="str">
        <f t="shared" si="2256"/>
        <v/>
      </c>
      <c r="ER145" s="44" t="str">
        <f t="shared" si="2257"/>
        <v/>
      </c>
      <c r="ES145" s="44" t="str">
        <f t="shared" si="2258"/>
        <v/>
      </c>
      <c r="ET145" s="44" t="str">
        <f t="shared" si="2259"/>
        <v/>
      </c>
      <c r="EU145" s="44" t="str">
        <f t="shared" si="2260"/>
        <v/>
      </c>
      <c r="EV145" s="44" t="str">
        <f t="shared" si="2261"/>
        <v/>
      </c>
      <c r="EW145" s="44" t="str">
        <f t="shared" si="2262"/>
        <v/>
      </c>
      <c r="EX145" s="44" t="str">
        <f t="shared" si="2263"/>
        <v/>
      </c>
      <c r="EY145" s="44" t="str">
        <f t="shared" si="2264"/>
        <v/>
      </c>
      <c r="EZ145" s="44" t="str">
        <f t="shared" si="2265"/>
        <v/>
      </c>
      <c r="FA145" s="44" t="str">
        <f t="shared" si="2266"/>
        <v/>
      </c>
      <c r="FB145" s="44" t="str">
        <f t="shared" si="2267"/>
        <v/>
      </c>
      <c r="FC145" s="44" t="str">
        <f t="shared" si="2268"/>
        <v/>
      </c>
      <c r="FD145" s="44" t="str">
        <f t="shared" si="2269"/>
        <v/>
      </c>
      <c r="FE145" s="44" t="str">
        <f t="shared" si="2270"/>
        <v/>
      </c>
      <c r="FF145" s="44" t="str">
        <f t="shared" si="2271"/>
        <v/>
      </c>
      <c r="FG145" s="44" t="str">
        <f t="shared" si="2272"/>
        <v/>
      </c>
      <c r="FH145" s="44" t="str">
        <f t="shared" si="2273"/>
        <v/>
      </c>
      <c r="FI145" s="44" t="str">
        <f t="shared" si="2274"/>
        <v/>
      </c>
      <c r="FJ145" s="44" t="str">
        <f t="shared" si="2275"/>
        <v/>
      </c>
      <c r="FK145" s="44" t="str">
        <f t="shared" si="2276"/>
        <v/>
      </c>
      <c r="FL145" s="44" t="str">
        <f t="shared" si="2277"/>
        <v/>
      </c>
      <c r="FM145" s="44" t="str">
        <f t="shared" si="2278"/>
        <v/>
      </c>
      <c r="FN145" s="44" t="str">
        <f t="shared" si="2279"/>
        <v/>
      </c>
      <c r="FO145" s="44" t="str">
        <f t="shared" si="2280"/>
        <v/>
      </c>
      <c r="FP145" s="44" t="str">
        <f t="shared" si="2281"/>
        <v/>
      </c>
      <c r="FQ145" s="44" t="str">
        <f t="shared" si="2282"/>
        <v/>
      </c>
      <c r="FR145" s="44" t="str">
        <f t="shared" si="2283"/>
        <v/>
      </c>
      <c r="FS145" s="44" t="str">
        <f t="shared" si="2284"/>
        <v/>
      </c>
    </row>
    <row r="146" ht="57.6" spans="1:175">
      <c r="A146" s="5"/>
      <c r="B146" s="7" t="s">
        <v>507</v>
      </c>
      <c r="C146" s="79" t="s">
        <v>480</v>
      </c>
      <c r="T146" s="84" t="s">
        <v>481</v>
      </c>
      <c r="U146" s="60" t="s">
        <v>482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72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     </v>
      </c>
      <c r="CW146" s="7"/>
      <c r="CX146" s="7"/>
      <c r="CY146" s="7"/>
      <c r="CZ146" s="7"/>
      <c r="DA146" s="7"/>
      <c r="DB146" s="44" t="str">
        <f t="shared" si="1916"/>
        <v/>
      </c>
      <c r="DC146" s="44" t="str">
        <f t="shared" si="1917"/>
        <v/>
      </c>
      <c r="DD146" s="44" t="str">
        <f t="shared" si="1918"/>
        <v/>
      </c>
      <c r="DE146" s="44" t="str">
        <f t="shared" si="1919"/>
        <v/>
      </c>
      <c r="DF146" s="44" t="str">
        <f t="shared" si="1920"/>
        <v/>
      </c>
      <c r="DG146" s="44" t="str">
        <f t="shared" si="1921"/>
        <v/>
      </c>
      <c r="DH146" s="44" t="str">
        <f t="shared" si="1922"/>
        <v/>
      </c>
      <c r="DI146" s="44" t="str">
        <f t="shared" si="1923"/>
        <v/>
      </c>
      <c r="DJ146" s="44" t="str">
        <f t="shared" si="1924"/>
        <v/>
      </c>
      <c r="DK146" s="44" t="str">
        <f t="shared" si="1925"/>
        <v/>
      </c>
      <c r="DL146" s="44" t="str">
        <f t="shared" si="1926"/>
        <v/>
      </c>
      <c r="DM146" s="44" t="str">
        <f t="shared" si="1927"/>
        <v/>
      </c>
      <c r="DN146" s="44" t="str">
        <f t="shared" si="1928"/>
        <v/>
      </c>
      <c r="DO146" s="44" t="str">
        <f t="shared" si="1929"/>
        <v/>
      </c>
      <c r="DP146" s="44" t="str">
        <f t="shared" si="1930"/>
        <v/>
      </c>
      <c r="DQ146" s="44" t="str">
        <f t="shared" si="1931"/>
        <v/>
      </c>
      <c r="DR146" s="44" t="str">
        <f t="shared" si="1932"/>
        <v/>
      </c>
      <c r="DS146" s="44" t="str">
        <f t="shared" si="1933"/>
        <v/>
      </c>
      <c r="DT146" s="44" t="str">
        <f t="shared" si="1934"/>
        <v/>
      </c>
      <c r="DU146" s="44" t="str">
        <f t="shared" si="1935"/>
        <v/>
      </c>
      <c r="DV146" s="44" t="str">
        <f t="shared" si="1936"/>
        <v/>
      </c>
      <c r="DW146" s="44" t="str">
        <f t="shared" si="1937"/>
        <v/>
      </c>
      <c r="DX146" s="44" t="str">
        <f t="shared" si="1938"/>
        <v/>
      </c>
      <c r="DY146" s="44" t="str">
        <f t="shared" si="1939"/>
        <v/>
      </c>
      <c r="DZ146" s="44" t="str">
        <f t="shared" si="1940"/>
        <v/>
      </c>
      <c r="EA146" s="44" t="str">
        <f t="shared" si="1941"/>
        <v/>
      </c>
      <c r="EB146" s="44" t="str">
        <f t="shared" si="1942"/>
        <v/>
      </c>
      <c r="EC146" s="44" t="str">
        <f t="shared" si="1943"/>
        <v/>
      </c>
      <c r="ED146" s="44" t="str">
        <f t="shared" si="1944"/>
        <v/>
      </c>
      <c r="EE146" s="44" t="str">
        <f t="shared" si="1945"/>
        <v/>
      </c>
      <c r="EF146" s="44" t="str">
        <f t="shared" si="1946"/>
        <v/>
      </c>
      <c r="EG146" s="44" t="str">
        <f t="shared" si="1947"/>
        <v/>
      </c>
      <c r="EH146" s="44" t="str">
        <f t="shared" si="1948"/>
        <v/>
      </c>
      <c r="EI146" s="44" t="str">
        <f t="shared" si="1949"/>
        <v/>
      </c>
      <c r="EJ146" s="44" t="str">
        <f t="shared" si="1950"/>
        <v/>
      </c>
      <c r="EK146" s="44" t="str">
        <f t="shared" si="1951"/>
        <v/>
      </c>
      <c r="EL146" s="44" t="str">
        <f t="shared" si="1952"/>
        <v/>
      </c>
      <c r="EM146" s="44" t="str">
        <f t="shared" si="1953"/>
        <v/>
      </c>
      <c r="EN146" s="44" t="str">
        <f t="shared" si="1954"/>
        <v/>
      </c>
      <c r="EO146" s="44" t="str">
        <f t="shared" si="1955"/>
        <v/>
      </c>
      <c r="EP146" s="44" t="str">
        <f t="shared" si="1956"/>
        <v/>
      </c>
      <c r="EQ146" s="44" t="str">
        <f t="shared" si="1957"/>
        <v/>
      </c>
      <c r="ER146" s="44" t="str">
        <f t="shared" si="1958"/>
        <v/>
      </c>
      <c r="ES146" s="44" t="str">
        <f t="shared" si="1959"/>
        <v/>
      </c>
      <c r="ET146" s="44" t="str">
        <f t="shared" si="1960"/>
        <v/>
      </c>
      <c r="EU146" s="44" t="str">
        <f t="shared" si="1961"/>
        <v/>
      </c>
      <c r="EV146" s="44" t="str">
        <f t="shared" si="1962"/>
        <v/>
      </c>
      <c r="EW146" s="44" t="str">
        <f t="shared" si="1963"/>
        <v/>
      </c>
      <c r="EX146" s="44" t="str">
        <f t="shared" si="1964"/>
        <v/>
      </c>
      <c r="EY146" s="44" t="str">
        <f t="shared" si="1965"/>
        <v/>
      </c>
      <c r="EZ146" s="44" t="str">
        <f t="shared" si="1966"/>
        <v/>
      </c>
      <c r="FA146" s="44" t="str">
        <f t="shared" si="1967"/>
        <v/>
      </c>
      <c r="FB146" s="44" t="str">
        <f t="shared" si="1968"/>
        <v/>
      </c>
      <c r="FC146" s="44" t="str">
        <f t="shared" si="1969"/>
        <v/>
      </c>
      <c r="FD146" s="44" t="str">
        <f t="shared" si="1970"/>
        <v/>
      </c>
      <c r="FE146" s="44" t="str">
        <f t="shared" si="1971"/>
        <v/>
      </c>
      <c r="FF146" s="44" t="str">
        <f t="shared" si="1972"/>
        <v/>
      </c>
      <c r="FG146" s="44" t="str">
        <f t="shared" si="1973"/>
        <v/>
      </c>
      <c r="FH146" s="44" t="str">
        <f t="shared" si="1974"/>
        <v/>
      </c>
      <c r="FI146" s="44" t="str">
        <f t="shared" si="1975"/>
        <v/>
      </c>
      <c r="FJ146" s="44" t="str">
        <f t="shared" si="1976"/>
        <v/>
      </c>
      <c r="FK146" s="44" t="str">
        <f t="shared" si="1977"/>
        <v/>
      </c>
      <c r="FL146" s="44" t="str">
        <f t="shared" si="1978"/>
        <v/>
      </c>
      <c r="FM146" s="44" t="str">
        <f t="shared" si="1979"/>
        <v/>
      </c>
      <c r="FN146" s="44" t="str">
        <f t="shared" si="1980"/>
        <v/>
      </c>
      <c r="FO146" s="44" t="str">
        <f t="shared" si="1981"/>
        <v/>
      </c>
      <c r="FP146" s="44" t="str">
        <f t="shared" si="1982"/>
        <v/>
      </c>
      <c r="FQ146" s="44" t="str">
        <f t="shared" si="1983"/>
        <v/>
      </c>
      <c r="FR146" s="44" t="str">
        <f t="shared" si="1984"/>
        <v/>
      </c>
      <c r="FS146" s="44" t="str">
        <f t="shared" si="1985"/>
        <v/>
      </c>
    </row>
    <row r="147" ht="15" spans="1:175">
      <c r="A147" s="5"/>
      <c r="B147" s="7" t="s">
        <v>508</v>
      </c>
      <c r="C147" s="79" t="s">
        <v>488</v>
      </c>
      <c r="T147" s="84" t="s">
        <v>489</v>
      </c>
      <c r="U147" s="60" t="s">
        <v>490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72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4" t="str">
        <f t="shared" ref="DB147" si="2287">IF(V147="","","|n"&amp;DB$2&amp;"+"&amp;V147&amp;DB$1)</f>
        <v/>
      </c>
      <c r="DC147" s="44" t="str">
        <f t="shared" ref="DC147" si="2288">IF(W147="","","|n"&amp;DC$2&amp;"+"&amp;W147&amp;DC$1)</f>
        <v/>
      </c>
      <c r="DD147" s="44" t="str">
        <f t="shared" ref="DD147" si="2289">IF(X147="","","|n"&amp;DD$2&amp;"+"&amp;X147&amp;DD$1)</f>
        <v/>
      </c>
      <c r="DE147" s="44" t="str">
        <f t="shared" ref="DE147" si="2290">IF(Y147="","","|n"&amp;DE$2&amp;"+"&amp;Y147&amp;DE$1)</f>
        <v/>
      </c>
      <c r="DF147" s="44" t="str">
        <f t="shared" ref="DF147" si="2291">IF(Z147="","","|n"&amp;DF$2&amp;"+"&amp;Z147&amp;DF$1)</f>
        <v/>
      </c>
      <c r="DG147" s="44" t="str">
        <f t="shared" ref="DG147" si="2292">IF(AA147="","","|n"&amp;DG$2&amp;"+"&amp;AA147&amp;DG$1)</f>
        <v/>
      </c>
      <c r="DH147" s="44" t="str">
        <f t="shared" ref="DH147" si="2293">IF(AB147="","","|n"&amp;DH$2&amp;"+"&amp;AB147&amp;DH$1)</f>
        <v/>
      </c>
      <c r="DI147" s="44" t="str">
        <f t="shared" ref="DI147" si="2294">IF(AC147="","","|n"&amp;DI$2&amp;"+"&amp;AC147&amp;DI$1)</f>
        <v/>
      </c>
      <c r="DJ147" s="44" t="str">
        <f t="shared" ref="DJ147" si="2295">IF(AD147="","","|n"&amp;DJ$2&amp;"+"&amp;AD147&amp;DJ$1)</f>
        <v/>
      </c>
      <c r="DK147" s="44" t="str">
        <f t="shared" ref="DK147" si="2296">IF(AE147="","","|n"&amp;DK$2&amp;"+"&amp;AE147&amp;DK$1)</f>
        <v/>
      </c>
      <c r="DL147" s="44" t="str">
        <f t="shared" ref="DL147" si="2297">IF(AF147="","","|n"&amp;DL$2&amp;"+"&amp;AF147&amp;DL$1)</f>
        <v/>
      </c>
      <c r="DM147" s="44" t="str">
        <f t="shared" ref="DM147" si="2298">IF(AG147="","","|n"&amp;DM$2&amp;"+"&amp;AG147&amp;DM$1)</f>
        <v/>
      </c>
      <c r="DN147" s="44" t="str">
        <f t="shared" ref="DN147" si="2299">IF(AH147="","","|n"&amp;DN$2&amp;"+"&amp;AH147&amp;DN$1)</f>
        <v/>
      </c>
      <c r="DO147" s="44" t="str">
        <f t="shared" ref="DO147" si="2300">IF(AI147="","","|n"&amp;DO$2&amp;"+"&amp;AI147&amp;DO$1)</f>
        <v/>
      </c>
      <c r="DP147" s="44" t="str">
        <f t="shared" ref="DP147" si="2301">IF(AJ147="","","|n"&amp;DP$2&amp;"+"&amp;AJ147&amp;DP$1)</f>
        <v/>
      </c>
      <c r="DQ147" s="44" t="str">
        <f t="shared" ref="DQ147" si="2302">IF(AK147="","","|n"&amp;DQ$2&amp;"+"&amp;AK147&amp;DQ$1)</f>
        <v/>
      </c>
      <c r="DR147" s="44" t="str">
        <f t="shared" ref="DR147" si="2303">IF(AL147="","","|n"&amp;DR$2&amp;"+"&amp;AL147&amp;DR$1)</f>
        <v/>
      </c>
      <c r="DS147" s="44" t="str">
        <f t="shared" ref="DS147" si="2304">IF(AM147="","","|n"&amp;DS$2&amp;"+"&amp;AM147&amp;DS$1)</f>
        <v/>
      </c>
      <c r="DT147" s="44" t="str">
        <f t="shared" ref="DT147" si="2305">IF(AN147="","","|n"&amp;DT$2&amp;"+"&amp;AN147&amp;DT$1)</f>
        <v/>
      </c>
      <c r="DU147" s="44" t="str">
        <f t="shared" ref="DU147" si="2306">IF(AO147="","","|n"&amp;DU$2&amp;"+"&amp;AO147&amp;DU$1)</f>
        <v/>
      </c>
      <c r="DV147" s="44" t="str">
        <f t="shared" ref="DV147" si="2307">IF(AP147="","","|n"&amp;DV$2&amp;"+"&amp;AP147&amp;DV$1)</f>
        <v/>
      </c>
      <c r="DW147" s="44" t="str">
        <f t="shared" ref="DW147" si="2308">IF(AQ147="","","|n"&amp;DW$2&amp;"+"&amp;AQ147&amp;DW$1)</f>
        <v/>
      </c>
      <c r="DX147" s="44" t="str">
        <f t="shared" ref="DX147" si="2309">IF(AR147="","","|n"&amp;DX$2&amp;"+"&amp;AR147&amp;DX$1)</f>
        <v/>
      </c>
      <c r="DY147" s="44" t="str">
        <f t="shared" ref="DY147" si="2310">IF(AS147="","","|n"&amp;DY$2&amp;"+"&amp;AS147&amp;DY$1)</f>
        <v/>
      </c>
      <c r="DZ147" s="44" t="str">
        <f t="shared" ref="DZ147" si="2311">IF(AT147="","","|n"&amp;DZ$2&amp;"+"&amp;AT147&amp;DZ$1)</f>
        <v/>
      </c>
      <c r="EA147" s="44" t="str">
        <f t="shared" ref="EA147" si="2312">IF(AU147="","","|n"&amp;EA$2&amp;"+"&amp;AU147&amp;EA$1)</f>
        <v/>
      </c>
      <c r="EB147" s="44" t="str">
        <f t="shared" ref="EB147" si="2313">IF(AV147="","","|n"&amp;EB$2&amp;"+"&amp;AV147&amp;EB$1)</f>
        <v/>
      </c>
      <c r="EC147" s="44" t="str">
        <f t="shared" ref="EC147" si="2314">IF(AW147="","","|n"&amp;EC$2&amp;"+"&amp;AW147&amp;EC$1)</f>
        <v/>
      </c>
      <c r="ED147" s="44" t="str">
        <f t="shared" ref="ED147" si="2315">IF(AX147="","","|n"&amp;ED$2&amp;"+"&amp;AX147&amp;ED$1)</f>
        <v/>
      </c>
      <c r="EE147" s="44" t="str">
        <f t="shared" ref="EE147" si="2316">IF(AY147="","","|n"&amp;EE$2&amp;"+"&amp;AY147&amp;EE$1)</f>
        <v/>
      </c>
      <c r="EF147" s="44" t="str">
        <f t="shared" ref="EF147" si="2317">IF(AZ147="","","|n"&amp;EF$2&amp;"+"&amp;AZ147&amp;EF$1)</f>
        <v/>
      </c>
      <c r="EG147" s="44" t="str">
        <f t="shared" ref="EG147" si="2318">IF(BA147="","","|n"&amp;EG$2&amp;"+"&amp;BA147&amp;EG$1)</f>
        <v/>
      </c>
      <c r="EH147" s="44" t="str">
        <f t="shared" ref="EH147" si="2319">IF(BB147="","","|n"&amp;EH$2&amp;"+"&amp;BB147&amp;EH$1)</f>
        <v/>
      </c>
      <c r="EI147" s="44" t="str">
        <f t="shared" ref="EI147" si="2320">IF(BC147="","","|n"&amp;EI$2&amp;"+"&amp;BC147&amp;EI$1)</f>
        <v/>
      </c>
      <c r="EJ147" s="44" t="str">
        <f t="shared" ref="EJ147" si="2321">IF(BD147="","","|n"&amp;EJ$2&amp;"+"&amp;BD147&amp;EJ$1)</f>
        <v/>
      </c>
      <c r="EK147" s="44" t="str">
        <f t="shared" ref="EK147" si="2322">IF(BE147="","","|n"&amp;EK$2&amp;"+"&amp;BE147&amp;EK$1)</f>
        <v/>
      </c>
      <c r="EL147" s="44" t="str">
        <f t="shared" ref="EL147" si="2323">IF(BF147="","","|n"&amp;EL$2&amp;"+"&amp;BF147&amp;EL$1)</f>
        <v/>
      </c>
      <c r="EM147" s="44" t="str">
        <f t="shared" ref="EM147" si="2324">IF(BG147="","","|n"&amp;EM$2&amp;"+"&amp;BG147&amp;EM$1)</f>
        <v/>
      </c>
      <c r="EN147" s="44" t="str">
        <f t="shared" ref="EN147" si="2325">IF(BH147="","","|n"&amp;EN$2&amp;"+"&amp;BH147&amp;EN$1)</f>
        <v/>
      </c>
      <c r="EO147" s="44" t="str">
        <f t="shared" ref="EO147" si="2326">IF(BI147="","","|n"&amp;EO$2&amp;"+"&amp;BI147&amp;EO$1)</f>
        <v/>
      </c>
      <c r="EP147" s="44" t="str">
        <f t="shared" ref="EP147" si="2327">IF(BJ147="","","|n"&amp;EP$2&amp;"+"&amp;BJ147&amp;EP$1)</f>
        <v/>
      </c>
      <c r="EQ147" s="44" t="str">
        <f t="shared" ref="EQ147" si="2328">IF(BK147="","","|n"&amp;EQ$2&amp;"+"&amp;BK147&amp;EQ$1)</f>
        <v/>
      </c>
      <c r="ER147" s="44" t="str">
        <f t="shared" ref="ER147" si="2329">IF(BL147="","","|n"&amp;ER$2&amp;"+"&amp;BL147&amp;ER$1)</f>
        <v/>
      </c>
      <c r="ES147" s="44" t="str">
        <f t="shared" ref="ES147" si="2330">IF(BM147="","","|n"&amp;ES$2&amp;"+"&amp;BM147&amp;ES$1)</f>
        <v/>
      </c>
      <c r="ET147" s="44" t="str">
        <f t="shared" ref="ET147" si="2331">IF(BN147="","","|n"&amp;ET$2&amp;"+"&amp;BN147&amp;ET$1)</f>
        <v/>
      </c>
      <c r="EU147" s="44" t="str">
        <f t="shared" ref="EU147" si="2332">IF(BO147="","","|n"&amp;EU$2&amp;"+"&amp;BO147&amp;EU$1)</f>
        <v/>
      </c>
      <c r="EV147" s="44" t="str">
        <f t="shared" ref="EV147" si="2333">IF(BP147="","","|n"&amp;EV$2&amp;"+"&amp;BP147&amp;EV$1)</f>
        <v/>
      </c>
      <c r="EW147" s="44" t="str">
        <f t="shared" ref="EW147" si="2334">IF(BQ147="","","|n"&amp;EW$2&amp;"+"&amp;BQ147&amp;EW$1)</f>
        <v/>
      </c>
      <c r="EX147" s="44" t="str">
        <f t="shared" ref="EX147" si="2335">IF(BR147="","","|n"&amp;EX$2&amp;"+"&amp;BR147&amp;EX$1)</f>
        <v/>
      </c>
      <c r="EY147" s="44" t="str">
        <f t="shared" ref="EY147" si="2336">IF(BS147="","","|n"&amp;EY$2&amp;"+"&amp;BS147&amp;EY$1)</f>
        <v/>
      </c>
      <c r="EZ147" s="44" t="str">
        <f t="shared" ref="EZ147" si="2337">IF(BT147="","","|n"&amp;EZ$2&amp;"+"&amp;BT147&amp;EZ$1)</f>
        <v/>
      </c>
      <c r="FA147" s="44" t="str">
        <f t="shared" ref="FA147" si="2338">IF(BU147="","","|n"&amp;FA$2&amp;"+"&amp;BU147&amp;FA$1)</f>
        <v/>
      </c>
      <c r="FB147" s="44" t="str">
        <f t="shared" ref="FB147" si="2339">IF(BV147="","","|n"&amp;FB$2&amp;"+"&amp;BV147&amp;FB$1)</f>
        <v/>
      </c>
      <c r="FC147" s="44" t="str">
        <f t="shared" ref="FC147" si="2340">IF(BW147="","","|n"&amp;FC$2&amp;"+"&amp;BW147&amp;FC$1)</f>
        <v/>
      </c>
      <c r="FD147" s="44" t="str">
        <f t="shared" ref="FD147" si="2341">IF(BX147="","","|n"&amp;FD$2&amp;"+"&amp;BX147&amp;FD$1)</f>
        <v/>
      </c>
      <c r="FE147" s="44" t="str">
        <f t="shared" ref="FE147" si="2342">IF(BY147="","","|n"&amp;FE$2&amp;"+"&amp;BY147&amp;FE$1)</f>
        <v/>
      </c>
      <c r="FF147" s="44" t="str">
        <f t="shared" ref="FF147" si="2343">IF(BZ147="","","|n"&amp;FF$2&amp;"+"&amp;BZ147&amp;FF$1)</f>
        <v/>
      </c>
      <c r="FG147" s="44" t="str">
        <f t="shared" ref="FG147" si="2344">IF(CA147="","","|n"&amp;FG$2&amp;"+"&amp;CA147&amp;FG$1)</f>
        <v/>
      </c>
      <c r="FH147" s="44" t="str">
        <f t="shared" ref="FH147" si="2345">IF(CB147="","","|n"&amp;FH$2&amp;"+"&amp;CB147&amp;FH$1)</f>
        <v/>
      </c>
      <c r="FI147" s="44" t="str">
        <f t="shared" ref="FI147" si="2346">IF(CC147="","","|n"&amp;FI$2&amp;"+"&amp;CC147&amp;FI$1)</f>
        <v/>
      </c>
      <c r="FJ147" s="44" t="str">
        <f t="shared" ref="FJ147" si="2347">IF(CD147="","","|n"&amp;FJ$2&amp;"+"&amp;CD147&amp;FJ$1)</f>
        <v/>
      </c>
      <c r="FK147" s="44" t="str">
        <f t="shared" ref="FK147" si="2348">IF(CE147="","","|n"&amp;FK$2&amp;"+"&amp;CE147&amp;FK$1)</f>
        <v/>
      </c>
      <c r="FL147" s="44" t="str">
        <f t="shared" ref="FL147" si="2349">IF(CF147="","","|n"&amp;FL$2&amp;"+"&amp;CF147&amp;FL$1)</f>
        <v/>
      </c>
      <c r="FM147" s="44" t="str">
        <f t="shared" ref="FM147" si="2350">IF(CG147="","","|n"&amp;FM$2&amp;"+"&amp;CG147&amp;FM$1)</f>
        <v/>
      </c>
      <c r="FN147" s="44" t="str">
        <f t="shared" ref="FN147" si="2351">IF(CH147="","","|n"&amp;FN$2&amp;"+"&amp;CH147&amp;FN$1)</f>
        <v/>
      </c>
      <c r="FO147" s="44" t="str">
        <f t="shared" ref="FO147" si="2352">IF(CI147="","","|n"&amp;FO$2&amp;"+"&amp;CI147&amp;FO$1)</f>
        <v/>
      </c>
      <c r="FP147" s="44" t="str">
        <f t="shared" ref="FP147" si="2353">IF(CJ147="","","|n"&amp;FP$2&amp;"+"&amp;CJ147&amp;FP$1)</f>
        <v/>
      </c>
      <c r="FQ147" s="44" t="str">
        <f t="shared" ref="FQ147" si="2354">IF(CK147="","","|n"&amp;FQ$2&amp;"+"&amp;CK147&amp;FQ$1)</f>
        <v/>
      </c>
      <c r="FR147" s="44" t="str">
        <f t="shared" ref="FR147" si="2355">IF(CL147="","","|n"&amp;FR$2&amp;"+"&amp;CL147&amp;FR$1)</f>
        <v/>
      </c>
      <c r="FS147" s="44" t="str">
        <f t="shared" ref="FS147" si="2356">IF(CM147="","","|n"&amp;FS$2&amp;"+"&amp;CM147&amp;FS$1)</f>
        <v/>
      </c>
    </row>
    <row r="148" ht="15" spans="1:175">
      <c r="A148" s="5"/>
      <c r="B148" s="5" t="s">
        <v>509</v>
      </c>
      <c r="C148" s="5" t="s">
        <v>510</v>
      </c>
      <c r="T148" s="84" t="s">
        <v>511</v>
      </c>
      <c r="U148" s="60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72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4" t="str">
        <f t="shared" si="1916"/>
        <v/>
      </c>
      <c r="DC148" s="44" t="str">
        <f t="shared" si="1917"/>
        <v/>
      </c>
      <c r="DD148" s="44" t="str">
        <f t="shared" si="1918"/>
        <v/>
      </c>
      <c r="DE148" s="44" t="str">
        <f t="shared" si="1919"/>
        <v/>
      </c>
      <c r="DF148" s="44" t="str">
        <f t="shared" si="1920"/>
        <v/>
      </c>
      <c r="DG148" s="44" t="str">
        <f t="shared" si="1921"/>
        <v/>
      </c>
      <c r="DH148" s="44" t="str">
        <f t="shared" si="1922"/>
        <v/>
      </c>
      <c r="DI148" s="44" t="str">
        <f t="shared" si="1923"/>
        <v/>
      </c>
      <c r="DJ148" s="44" t="str">
        <f t="shared" si="1924"/>
        <v/>
      </c>
      <c r="DK148" s="44" t="str">
        <f t="shared" si="1925"/>
        <v/>
      </c>
      <c r="DL148" s="44" t="str">
        <f t="shared" si="1926"/>
        <v/>
      </c>
      <c r="DM148" s="44" t="str">
        <f t="shared" si="1927"/>
        <v/>
      </c>
      <c r="DN148" s="44" t="str">
        <f t="shared" si="1928"/>
        <v/>
      </c>
      <c r="DO148" s="44" t="str">
        <f t="shared" si="1929"/>
        <v/>
      </c>
      <c r="DP148" s="44" t="str">
        <f t="shared" si="1930"/>
        <v/>
      </c>
      <c r="DQ148" s="44" t="str">
        <f t="shared" si="1931"/>
        <v/>
      </c>
      <c r="DR148" s="44" t="str">
        <f t="shared" si="1932"/>
        <v/>
      </c>
      <c r="DS148" s="44" t="str">
        <f t="shared" si="1933"/>
        <v/>
      </c>
      <c r="DT148" s="44" t="str">
        <f t="shared" si="1934"/>
        <v/>
      </c>
      <c r="DU148" s="44" t="str">
        <f t="shared" si="1935"/>
        <v/>
      </c>
      <c r="DV148" s="44" t="str">
        <f t="shared" si="1936"/>
        <v/>
      </c>
      <c r="DW148" s="44" t="str">
        <f t="shared" si="1937"/>
        <v/>
      </c>
      <c r="DX148" s="44" t="str">
        <f t="shared" si="1938"/>
        <v/>
      </c>
      <c r="DY148" s="44" t="str">
        <f t="shared" si="1939"/>
        <v/>
      </c>
      <c r="DZ148" s="44" t="str">
        <f t="shared" si="1940"/>
        <v/>
      </c>
      <c r="EA148" s="44" t="str">
        <f t="shared" si="1941"/>
        <v/>
      </c>
      <c r="EB148" s="44" t="str">
        <f t="shared" si="1942"/>
        <v/>
      </c>
      <c r="EC148" s="44" t="str">
        <f t="shared" si="1943"/>
        <v/>
      </c>
      <c r="ED148" s="44" t="str">
        <f t="shared" si="1944"/>
        <v/>
      </c>
      <c r="EE148" s="44" t="str">
        <f t="shared" si="1945"/>
        <v/>
      </c>
      <c r="EF148" s="44" t="str">
        <f t="shared" si="1946"/>
        <v/>
      </c>
      <c r="EG148" s="44" t="str">
        <f t="shared" si="1947"/>
        <v/>
      </c>
      <c r="EH148" s="44" t="str">
        <f t="shared" si="1948"/>
        <v/>
      </c>
      <c r="EI148" s="44" t="str">
        <f t="shared" si="1949"/>
        <v/>
      </c>
      <c r="EJ148" s="44" t="str">
        <f t="shared" si="1950"/>
        <v/>
      </c>
      <c r="EK148" s="44" t="str">
        <f t="shared" si="1951"/>
        <v/>
      </c>
      <c r="EL148" s="44" t="str">
        <f t="shared" si="1952"/>
        <v/>
      </c>
      <c r="EM148" s="44" t="str">
        <f t="shared" si="1953"/>
        <v/>
      </c>
      <c r="EN148" s="44" t="str">
        <f t="shared" si="1954"/>
        <v/>
      </c>
      <c r="EO148" s="44" t="str">
        <f t="shared" si="1955"/>
        <v/>
      </c>
      <c r="EP148" s="44" t="str">
        <f t="shared" si="1956"/>
        <v/>
      </c>
      <c r="EQ148" s="44" t="str">
        <f t="shared" si="1957"/>
        <v/>
      </c>
      <c r="ER148" s="44" t="str">
        <f t="shared" si="1958"/>
        <v/>
      </c>
      <c r="ES148" s="44" t="str">
        <f t="shared" si="1959"/>
        <v/>
      </c>
      <c r="ET148" s="44" t="str">
        <f t="shared" si="1960"/>
        <v/>
      </c>
      <c r="EU148" s="44" t="str">
        <f t="shared" si="1961"/>
        <v/>
      </c>
      <c r="EV148" s="44" t="str">
        <f t="shared" si="1962"/>
        <v/>
      </c>
      <c r="EW148" s="44" t="str">
        <f t="shared" si="1963"/>
        <v/>
      </c>
      <c r="EX148" s="44" t="str">
        <f t="shared" si="1964"/>
        <v/>
      </c>
      <c r="EY148" s="44" t="str">
        <f t="shared" si="1965"/>
        <v/>
      </c>
      <c r="EZ148" s="44" t="str">
        <f t="shared" si="1966"/>
        <v/>
      </c>
      <c r="FA148" s="44" t="str">
        <f t="shared" si="1967"/>
        <v/>
      </c>
      <c r="FB148" s="44" t="str">
        <f t="shared" si="1968"/>
        <v/>
      </c>
      <c r="FC148" s="44" t="str">
        <f t="shared" si="1969"/>
        <v/>
      </c>
      <c r="FD148" s="44" t="str">
        <f t="shared" si="1970"/>
        <v/>
      </c>
      <c r="FE148" s="44" t="str">
        <f t="shared" si="1971"/>
        <v/>
      </c>
      <c r="FF148" s="44" t="str">
        <f t="shared" si="1972"/>
        <v/>
      </c>
      <c r="FG148" s="44" t="str">
        <f t="shared" si="1973"/>
        <v/>
      </c>
      <c r="FH148" s="44" t="str">
        <f t="shared" si="1974"/>
        <v/>
      </c>
      <c r="FI148" s="44" t="str">
        <f t="shared" si="1975"/>
        <v/>
      </c>
      <c r="FJ148" s="44" t="str">
        <f t="shared" si="1976"/>
        <v/>
      </c>
      <c r="FK148" s="44" t="str">
        <f t="shared" si="1977"/>
        <v/>
      </c>
      <c r="FL148" s="44" t="str">
        <f t="shared" si="1978"/>
        <v/>
      </c>
      <c r="FM148" s="44" t="str">
        <f t="shared" si="1979"/>
        <v/>
      </c>
      <c r="FN148" s="44" t="str">
        <f t="shared" si="1980"/>
        <v/>
      </c>
      <c r="FO148" s="44" t="str">
        <f t="shared" si="1981"/>
        <v/>
      </c>
      <c r="FP148" s="44" t="str">
        <f t="shared" si="1982"/>
        <v/>
      </c>
      <c r="FQ148" s="44" t="str">
        <f t="shared" si="1983"/>
        <v/>
      </c>
      <c r="FR148" s="44" t="str">
        <f t="shared" si="1984"/>
        <v/>
      </c>
      <c r="FS148" s="44" t="str">
        <f t="shared" si="1985"/>
        <v/>
      </c>
    </row>
    <row r="149" ht="41.4" spans="1:175">
      <c r="A149" s="5"/>
      <c r="B149" s="5" t="s">
        <v>512</v>
      </c>
      <c r="C149" s="6" t="s">
        <v>513</v>
      </c>
      <c r="T149" s="91" t="s">
        <v>514</v>
      </c>
      <c r="U149" s="60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72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4" t="str">
        <f t="shared" si="1916"/>
        <v/>
      </c>
      <c r="DC149" s="44" t="str">
        <f t="shared" si="1917"/>
        <v/>
      </c>
      <c r="DD149" s="44" t="str">
        <f t="shared" si="1918"/>
        <v/>
      </c>
      <c r="DE149" s="44" t="str">
        <f t="shared" si="1919"/>
        <v/>
      </c>
      <c r="DF149" s="44" t="str">
        <f t="shared" si="1920"/>
        <v/>
      </c>
      <c r="DG149" s="44" t="str">
        <f t="shared" si="1921"/>
        <v/>
      </c>
      <c r="DH149" s="44" t="str">
        <f t="shared" si="1922"/>
        <v/>
      </c>
      <c r="DI149" s="44" t="str">
        <f t="shared" si="1923"/>
        <v/>
      </c>
      <c r="DJ149" s="44" t="str">
        <f t="shared" si="1924"/>
        <v/>
      </c>
      <c r="DK149" s="44" t="str">
        <f t="shared" si="1925"/>
        <v/>
      </c>
      <c r="DL149" s="44" t="str">
        <f t="shared" si="1926"/>
        <v/>
      </c>
      <c r="DM149" s="44" t="str">
        <f t="shared" si="1927"/>
        <v/>
      </c>
      <c r="DN149" s="44" t="str">
        <f t="shared" si="1928"/>
        <v/>
      </c>
      <c r="DO149" s="44" t="str">
        <f t="shared" si="1929"/>
        <v/>
      </c>
      <c r="DP149" s="44" t="str">
        <f t="shared" si="1930"/>
        <v/>
      </c>
      <c r="DQ149" s="44" t="str">
        <f t="shared" si="1931"/>
        <v/>
      </c>
      <c r="DR149" s="44" t="str">
        <f t="shared" si="1932"/>
        <v/>
      </c>
      <c r="DS149" s="44" t="str">
        <f t="shared" si="1933"/>
        <v/>
      </c>
      <c r="DT149" s="44" t="str">
        <f t="shared" si="1934"/>
        <v/>
      </c>
      <c r="DU149" s="44" t="str">
        <f t="shared" si="1935"/>
        <v/>
      </c>
      <c r="DV149" s="44" t="str">
        <f t="shared" si="1936"/>
        <v/>
      </c>
      <c r="DW149" s="44" t="str">
        <f t="shared" si="1937"/>
        <v/>
      </c>
      <c r="DX149" s="44" t="str">
        <f t="shared" si="1938"/>
        <v/>
      </c>
      <c r="DY149" s="44" t="str">
        <f t="shared" si="1939"/>
        <v/>
      </c>
      <c r="DZ149" s="44" t="str">
        <f t="shared" si="1940"/>
        <v/>
      </c>
      <c r="EA149" s="44" t="str">
        <f t="shared" si="1941"/>
        <v/>
      </c>
      <c r="EB149" s="44" t="str">
        <f t="shared" si="1942"/>
        <v/>
      </c>
      <c r="EC149" s="44" t="str">
        <f t="shared" si="1943"/>
        <v/>
      </c>
      <c r="ED149" s="44" t="str">
        <f t="shared" si="1944"/>
        <v/>
      </c>
      <c r="EE149" s="44" t="str">
        <f t="shared" si="1945"/>
        <v/>
      </c>
      <c r="EF149" s="44" t="str">
        <f t="shared" si="1946"/>
        <v/>
      </c>
      <c r="EG149" s="44" t="str">
        <f t="shared" si="1947"/>
        <v/>
      </c>
      <c r="EH149" s="44" t="str">
        <f t="shared" si="1948"/>
        <v/>
      </c>
      <c r="EI149" s="44" t="str">
        <f t="shared" si="1949"/>
        <v/>
      </c>
      <c r="EJ149" s="44" t="str">
        <f t="shared" si="1950"/>
        <v/>
      </c>
      <c r="EK149" s="44" t="str">
        <f t="shared" si="1951"/>
        <v/>
      </c>
      <c r="EL149" s="44" t="str">
        <f t="shared" si="1952"/>
        <v/>
      </c>
      <c r="EM149" s="44" t="str">
        <f t="shared" si="1953"/>
        <v/>
      </c>
      <c r="EN149" s="44" t="str">
        <f t="shared" si="1954"/>
        <v/>
      </c>
      <c r="EO149" s="44" t="str">
        <f t="shared" si="1955"/>
        <v/>
      </c>
      <c r="EP149" s="44" t="str">
        <f t="shared" si="1956"/>
        <v/>
      </c>
      <c r="EQ149" s="44" t="str">
        <f t="shared" si="1957"/>
        <v/>
      </c>
      <c r="ER149" s="44" t="str">
        <f t="shared" si="1958"/>
        <v/>
      </c>
      <c r="ES149" s="44" t="str">
        <f t="shared" si="1959"/>
        <v/>
      </c>
      <c r="ET149" s="44" t="str">
        <f t="shared" si="1960"/>
        <v/>
      </c>
      <c r="EU149" s="44" t="str">
        <f t="shared" si="1961"/>
        <v/>
      </c>
      <c r="EV149" s="44" t="str">
        <f t="shared" si="1962"/>
        <v/>
      </c>
      <c r="EW149" s="44" t="str">
        <f t="shared" si="1963"/>
        <v/>
      </c>
      <c r="EX149" s="44" t="str">
        <f t="shared" si="1964"/>
        <v/>
      </c>
      <c r="EY149" s="44" t="str">
        <f t="shared" si="1965"/>
        <v/>
      </c>
      <c r="EZ149" s="44" t="str">
        <f t="shared" si="1966"/>
        <v/>
      </c>
      <c r="FA149" s="44" t="str">
        <f t="shared" si="1967"/>
        <v/>
      </c>
      <c r="FB149" s="44" t="str">
        <f t="shared" si="1968"/>
        <v/>
      </c>
      <c r="FC149" s="44" t="str">
        <f t="shared" si="1969"/>
        <v/>
      </c>
      <c r="FD149" s="44" t="str">
        <f t="shared" si="1970"/>
        <v/>
      </c>
      <c r="FE149" s="44" t="str">
        <f t="shared" si="1971"/>
        <v/>
      </c>
      <c r="FF149" s="44" t="str">
        <f t="shared" si="1972"/>
        <v/>
      </c>
      <c r="FG149" s="44" t="str">
        <f t="shared" si="1973"/>
        <v/>
      </c>
      <c r="FH149" s="44" t="str">
        <f t="shared" si="1974"/>
        <v/>
      </c>
      <c r="FI149" s="44" t="str">
        <f t="shared" si="1975"/>
        <v/>
      </c>
      <c r="FJ149" s="44" t="str">
        <f t="shared" si="1976"/>
        <v/>
      </c>
      <c r="FK149" s="44" t="str">
        <f t="shared" si="1977"/>
        <v/>
      </c>
      <c r="FL149" s="44" t="str">
        <f t="shared" si="1978"/>
        <v/>
      </c>
      <c r="FM149" s="44" t="str">
        <f t="shared" si="1979"/>
        <v/>
      </c>
      <c r="FN149" s="44" t="str">
        <f t="shared" si="1980"/>
        <v/>
      </c>
      <c r="FO149" s="44" t="str">
        <f t="shared" si="1981"/>
        <v/>
      </c>
      <c r="FP149" s="44" t="str">
        <f t="shared" si="1982"/>
        <v/>
      </c>
      <c r="FQ149" s="44" t="str">
        <f t="shared" si="1983"/>
        <v/>
      </c>
      <c r="FR149" s="44" t="str">
        <f t="shared" si="1984"/>
        <v/>
      </c>
      <c r="FS149" s="44" t="str">
        <f t="shared" si="1985"/>
        <v/>
      </c>
    </row>
    <row r="150" ht="41.4" spans="1:175">
      <c r="A150" s="5"/>
      <c r="B150" s="5" t="s">
        <v>515</v>
      </c>
      <c r="C150" s="6" t="s">
        <v>516</v>
      </c>
      <c r="T150" s="91" t="s">
        <v>517</v>
      </c>
      <c r="U150" s="60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72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4" t="str">
        <f t="shared" si="1916"/>
        <v/>
      </c>
      <c r="DC150" s="44" t="str">
        <f t="shared" si="1917"/>
        <v/>
      </c>
      <c r="DD150" s="44" t="str">
        <f t="shared" si="1918"/>
        <v/>
      </c>
      <c r="DE150" s="44" t="str">
        <f t="shared" si="1919"/>
        <v/>
      </c>
      <c r="DF150" s="44" t="str">
        <f t="shared" si="1920"/>
        <v/>
      </c>
      <c r="DG150" s="44" t="str">
        <f t="shared" si="1921"/>
        <v/>
      </c>
      <c r="DH150" s="44" t="str">
        <f t="shared" si="1922"/>
        <v/>
      </c>
      <c r="DI150" s="44" t="str">
        <f t="shared" si="1923"/>
        <v/>
      </c>
      <c r="DJ150" s="44" t="str">
        <f t="shared" si="1924"/>
        <v/>
      </c>
      <c r="DK150" s="44" t="str">
        <f t="shared" si="1925"/>
        <v/>
      </c>
      <c r="DL150" s="44" t="str">
        <f t="shared" si="1926"/>
        <v/>
      </c>
      <c r="DM150" s="44" t="str">
        <f t="shared" si="1927"/>
        <v/>
      </c>
      <c r="DN150" s="44" t="str">
        <f t="shared" si="1928"/>
        <v/>
      </c>
      <c r="DO150" s="44" t="str">
        <f t="shared" si="1929"/>
        <v/>
      </c>
      <c r="DP150" s="44" t="str">
        <f t="shared" si="1930"/>
        <v/>
      </c>
      <c r="DQ150" s="44" t="str">
        <f t="shared" si="1931"/>
        <v/>
      </c>
      <c r="DR150" s="44" t="str">
        <f t="shared" si="1932"/>
        <v/>
      </c>
      <c r="DS150" s="44" t="str">
        <f t="shared" si="1933"/>
        <v/>
      </c>
      <c r="DT150" s="44" t="str">
        <f t="shared" si="1934"/>
        <v/>
      </c>
      <c r="DU150" s="44" t="str">
        <f t="shared" si="1935"/>
        <v/>
      </c>
      <c r="DV150" s="44" t="str">
        <f t="shared" si="1936"/>
        <v/>
      </c>
      <c r="DW150" s="44" t="str">
        <f t="shared" si="1937"/>
        <v/>
      </c>
      <c r="DX150" s="44" t="str">
        <f t="shared" si="1938"/>
        <v/>
      </c>
      <c r="DY150" s="44" t="str">
        <f t="shared" si="1939"/>
        <v/>
      </c>
      <c r="DZ150" s="44" t="str">
        <f t="shared" si="1940"/>
        <v/>
      </c>
      <c r="EA150" s="44" t="str">
        <f t="shared" si="1941"/>
        <v/>
      </c>
      <c r="EB150" s="44" t="str">
        <f t="shared" si="1942"/>
        <v/>
      </c>
      <c r="EC150" s="44" t="str">
        <f t="shared" si="1943"/>
        <v/>
      </c>
      <c r="ED150" s="44" t="str">
        <f t="shared" si="1944"/>
        <v/>
      </c>
      <c r="EE150" s="44" t="str">
        <f t="shared" si="1945"/>
        <v/>
      </c>
      <c r="EF150" s="44" t="str">
        <f t="shared" si="1946"/>
        <v/>
      </c>
      <c r="EG150" s="44" t="str">
        <f t="shared" si="1947"/>
        <v/>
      </c>
      <c r="EH150" s="44" t="str">
        <f t="shared" si="1948"/>
        <v/>
      </c>
      <c r="EI150" s="44" t="str">
        <f t="shared" si="1949"/>
        <v/>
      </c>
      <c r="EJ150" s="44" t="str">
        <f t="shared" si="1950"/>
        <v/>
      </c>
      <c r="EK150" s="44" t="str">
        <f t="shared" si="1951"/>
        <v/>
      </c>
      <c r="EL150" s="44" t="str">
        <f t="shared" si="1952"/>
        <v/>
      </c>
      <c r="EM150" s="44" t="str">
        <f t="shared" si="1953"/>
        <v/>
      </c>
      <c r="EN150" s="44" t="str">
        <f t="shared" si="1954"/>
        <v/>
      </c>
      <c r="EO150" s="44" t="str">
        <f t="shared" si="1955"/>
        <v/>
      </c>
      <c r="EP150" s="44" t="str">
        <f t="shared" si="1956"/>
        <v/>
      </c>
      <c r="EQ150" s="44" t="str">
        <f t="shared" si="1957"/>
        <v/>
      </c>
      <c r="ER150" s="44" t="str">
        <f t="shared" si="1958"/>
        <v/>
      </c>
      <c r="ES150" s="44" t="str">
        <f t="shared" si="1959"/>
        <v/>
      </c>
      <c r="ET150" s="44" t="str">
        <f t="shared" si="1960"/>
        <v/>
      </c>
      <c r="EU150" s="44" t="str">
        <f t="shared" si="1961"/>
        <v/>
      </c>
      <c r="EV150" s="44" t="str">
        <f t="shared" si="1962"/>
        <v/>
      </c>
      <c r="EW150" s="44" t="str">
        <f t="shared" si="1963"/>
        <v/>
      </c>
      <c r="EX150" s="44" t="str">
        <f t="shared" si="1964"/>
        <v/>
      </c>
      <c r="EY150" s="44" t="str">
        <f t="shared" si="1965"/>
        <v/>
      </c>
      <c r="EZ150" s="44" t="str">
        <f t="shared" si="1966"/>
        <v/>
      </c>
      <c r="FA150" s="44" t="str">
        <f t="shared" si="1967"/>
        <v/>
      </c>
      <c r="FB150" s="44" t="str">
        <f t="shared" si="1968"/>
        <v/>
      </c>
      <c r="FC150" s="44" t="str">
        <f t="shared" si="1969"/>
        <v/>
      </c>
      <c r="FD150" s="44" t="str">
        <f t="shared" si="1970"/>
        <v/>
      </c>
      <c r="FE150" s="44" t="str">
        <f t="shared" si="1971"/>
        <v/>
      </c>
      <c r="FF150" s="44" t="str">
        <f t="shared" si="1972"/>
        <v/>
      </c>
      <c r="FG150" s="44" t="str">
        <f t="shared" si="1973"/>
        <v/>
      </c>
      <c r="FH150" s="44" t="str">
        <f t="shared" si="1974"/>
        <v/>
      </c>
      <c r="FI150" s="44" t="str">
        <f t="shared" si="1975"/>
        <v/>
      </c>
      <c r="FJ150" s="44" t="str">
        <f t="shared" si="1976"/>
        <v/>
      </c>
      <c r="FK150" s="44" t="str">
        <f t="shared" si="1977"/>
        <v/>
      </c>
      <c r="FL150" s="44" t="str">
        <f t="shared" si="1978"/>
        <v/>
      </c>
      <c r="FM150" s="44" t="str">
        <f t="shared" si="1979"/>
        <v/>
      </c>
      <c r="FN150" s="44" t="str">
        <f t="shared" si="1980"/>
        <v/>
      </c>
      <c r="FO150" s="44" t="str">
        <f t="shared" si="1981"/>
        <v/>
      </c>
      <c r="FP150" s="44" t="str">
        <f t="shared" si="1982"/>
        <v/>
      </c>
      <c r="FQ150" s="44" t="str">
        <f t="shared" si="1983"/>
        <v/>
      </c>
      <c r="FR150" s="44" t="str">
        <f t="shared" si="1984"/>
        <v/>
      </c>
      <c r="FS150" s="44" t="str">
        <f t="shared" si="1985"/>
        <v/>
      </c>
    </row>
    <row r="151" ht="41.4" spans="1:175">
      <c r="A151" s="5"/>
      <c r="B151" s="5" t="s">
        <v>518</v>
      </c>
      <c r="C151" s="6" t="s">
        <v>519</v>
      </c>
      <c r="T151" s="91" t="s">
        <v>520</v>
      </c>
      <c r="U151" s="60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72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4" t="str">
        <f t="shared" si="1916"/>
        <v/>
      </c>
      <c r="DC151" s="44" t="str">
        <f t="shared" si="1917"/>
        <v/>
      </c>
      <c r="DD151" s="44" t="str">
        <f t="shared" si="1918"/>
        <v/>
      </c>
      <c r="DE151" s="44" t="str">
        <f t="shared" si="1919"/>
        <v/>
      </c>
      <c r="DF151" s="44" t="str">
        <f t="shared" si="1920"/>
        <v/>
      </c>
      <c r="DG151" s="44" t="str">
        <f t="shared" si="1921"/>
        <v/>
      </c>
      <c r="DH151" s="44" t="str">
        <f t="shared" si="1922"/>
        <v/>
      </c>
      <c r="DI151" s="44" t="str">
        <f t="shared" si="1923"/>
        <v/>
      </c>
      <c r="DJ151" s="44" t="str">
        <f t="shared" si="1924"/>
        <v/>
      </c>
      <c r="DK151" s="44" t="str">
        <f t="shared" si="1925"/>
        <v/>
      </c>
      <c r="DL151" s="44" t="str">
        <f t="shared" si="1926"/>
        <v/>
      </c>
      <c r="DM151" s="44" t="str">
        <f t="shared" si="1927"/>
        <v/>
      </c>
      <c r="DN151" s="44" t="str">
        <f t="shared" si="1928"/>
        <v/>
      </c>
      <c r="DO151" s="44" t="str">
        <f t="shared" si="1929"/>
        <v/>
      </c>
      <c r="DP151" s="44" t="str">
        <f t="shared" si="1930"/>
        <v/>
      </c>
      <c r="DQ151" s="44" t="str">
        <f t="shared" si="1931"/>
        <v/>
      </c>
      <c r="DR151" s="44" t="str">
        <f t="shared" si="1932"/>
        <v/>
      </c>
      <c r="DS151" s="44" t="str">
        <f t="shared" si="1933"/>
        <v/>
      </c>
      <c r="DT151" s="44" t="str">
        <f t="shared" si="1934"/>
        <v/>
      </c>
      <c r="DU151" s="44" t="str">
        <f t="shared" si="1935"/>
        <v/>
      </c>
      <c r="DV151" s="44" t="str">
        <f t="shared" si="1936"/>
        <v/>
      </c>
      <c r="DW151" s="44" t="str">
        <f t="shared" si="1937"/>
        <v/>
      </c>
      <c r="DX151" s="44" t="str">
        <f t="shared" si="1938"/>
        <v/>
      </c>
      <c r="DY151" s="44" t="str">
        <f t="shared" si="1939"/>
        <v/>
      </c>
      <c r="DZ151" s="44" t="str">
        <f t="shared" si="1940"/>
        <v/>
      </c>
      <c r="EA151" s="44" t="str">
        <f t="shared" si="1941"/>
        <v/>
      </c>
      <c r="EB151" s="44" t="str">
        <f t="shared" si="1942"/>
        <v/>
      </c>
      <c r="EC151" s="44" t="str">
        <f t="shared" si="1943"/>
        <v/>
      </c>
      <c r="ED151" s="44" t="str">
        <f t="shared" si="1944"/>
        <v/>
      </c>
      <c r="EE151" s="44" t="str">
        <f t="shared" si="1945"/>
        <v/>
      </c>
      <c r="EF151" s="44" t="str">
        <f t="shared" si="1946"/>
        <v/>
      </c>
      <c r="EG151" s="44" t="str">
        <f t="shared" si="1947"/>
        <v/>
      </c>
      <c r="EH151" s="44" t="str">
        <f t="shared" si="1948"/>
        <v/>
      </c>
      <c r="EI151" s="44" t="str">
        <f t="shared" si="1949"/>
        <v/>
      </c>
      <c r="EJ151" s="44" t="str">
        <f t="shared" si="1950"/>
        <v/>
      </c>
      <c r="EK151" s="44" t="str">
        <f t="shared" si="1951"/>
        <v/>
      </c>
      <c r="EL151" s="44" t="str">
        <f t="shared" si="1952"/>
        <v/>
      </c>
      <c r="EM151" s="44" t="str">
        <f t="shared" si="1953"/>
        <v/>
      </c>
      <c r="EN151" s="44" t="str">
        <f t="shared" si="1954"/>
        <v/>
      </c>
      <c r="EO151" s="44" t="str">
        <f t="shared" si="1955"/>
        <v/>
      </c>
      <c r="EP151" s="44" t="str">
        <f t="shared" si="1956"/>
        <v/>
      </c>
      <c r="EQ151" s="44" t="str">
        <f t="shared" si="1957"/>
        <v/>
      </c>
      <c r="ER151" s="44" t="str">
        <f t="shared" si="1958"/>
        <v/>
      </c>
      <c r="ES151" s="44" t="str">
        <f t="shared" si="1959"/>
        <v/>
      </c>
      <c r="ET151" s="44" t="str">
        <f t="shared" si="1960"/>
        <v/>
      </c>
      <c r="EU151" s="44" t="str">
        <f t="shared" si="1961"/>
        <v/>
      </c>
      <c r="EV151" s="44" t="str">
        <f t="shared" si="1962"/>
        <v/>
      </c>
      <c r="EW151" s="44" t="str">
        <f t="shared" si="1963"/>
        <v/>
      </c>
      <c r="EX151" s="44" t="str">
        <f t="shared" si="1964"/>
        <v/>
      </c>
      <c r="EY151" s="44" t="str">
        <f t="shared" si="1965"/>
        <v/>
      </c>
      <c r="EZ151" s="44" t="str">
        <f t="shared" si="1966"/>
        <v/>
      </c>
      <c r="FA151" s="44" t="str">
        <f t="shared" si="1967"/>
        <v/>
      </c>
      <c r="FB151" s="44" t="str">
        <f t="shared" si="1968"/>
        <v/>
      </c>
      <c r="FC151" s="44" t="str">
        <f t="shared" si="1969"/>
        <v/>
      </c>
      <c r="FD151" s="44" t="str">
        <f t="shared" si="1970"/>
        <v/>
      </c>
      <c r="FE151" s="44" t="str">
        <f t="shared" si="1971"/>
        <v/>
      </c>
      <c r="FF151" s="44" t="str">
        <f t="shared" si="1972"/>
        <v/>
      </c>
      <c r="FG151" s="44" t="str">
        <f t="shared" si="1973"/>
        <v/>
      </c>
      <c r="FH151" s="44" t="str">
        <f t="shared" si="1974"/>
        <v/>
      </c>
      <c r="FI151" s="44" t="str">
        <f t="shared" si="1975"/>
        <v/>
      </c>
      <c r="FJ151" s="44" t="str">
        <f t="shared" si="1976"/>
        <v/>
      </c>
      <c r="FK151" s="44" t="str">
        <f t="shared" si="1977"/>
        <v/>
      </c>
      <c r="FL151" s="44" t="str">
        <f t="shared" si="1978"/>
        <v/>
      </c>
      <c r="FM151" s="44" t="str">
        <f t="shared" si="1979"/>
        <v/>
      </c>
      <c r="FN151" s="44" t="str">
        <f t="shared" si="1980"/>
        <v/>
      </c>
      <c r="FO151" s="44" t="str">
        <f t="shared" si="1981"/>
        <v/>
      </c>
      <c r="FP151" s="44" t="str">
        <f t="shared" si="1982"/>
        <v/>
      </c>
      <c r="FQ151" s="44" t="str">
        <f t="shared" si="1983"/>
        <v/>
      </c>
      <c r="FR151" s="44" t="str">
        <f t="shared" si="1984"/>
        <v/>
      </c>
      <c r="FS151" s="44" t="str">
        <f t="shared" si="1985"/>
        <v/>
      </c>
    </row>
    <row r="152" ht="15" spans="1:175">
      <c r="A152" s="5"/>
      <c r="B152" s="5" t="s">
        <v>521</v>
      </c>
      <c r="C152" s="6" t="s">
        <v>522</v>
      </c>
      <c r="T152" s="6" t="s">
        <v>523</v>
      </c>
      <c r="U152" s="60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InitEquipData('IN04',,"",,,,,'','','','','','',"ReplaceableTextures\\CommandButtons\\BTNIP01.blp")</v>
      </c>
      <c r="CU152" s="72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4" t="str">
        <f t="shared" si="1916"/>
        <v/>
      </c>
      <c r="DC152" s="44" t="str">
        <f t="shared" si="1917"/>
        <v/>
      </c>
      <c r="DD152" s="44" t="str">
        <f t="shared" si="1918"/>
        <v/>
      </c>
      <c r="DE152" s="44" t="str">
        <f t="shared" si="1919"/>
        <v/>
      </c>
      <c r="DF152" s="44" t="str">
        <f t="shared" si="1920"/>
        <v/>
      </c>
      <c r="DG152" s="44" t="str">
        <f t="shared" si="1921"/>
        <v/>
      </c>
      <c r="DH152" s="44" t="str">
        <f t="shared" si="1922"/>
        <v/>
      </c>
      <c r="DI152" s="44" t="str">
        <f t="shared" si="1923"/>
        <v/>
      </c>
      <c r="DJ152" s="44" t="str">
        <f t="shared" si="1924"/>
        <v/>
      </c>
      <c r="DK152" s="44" t="str">
        <f t="shared" si="1925"/>
        <v/>
      </c>
      <c r="DL152" s="44" t="str">
        <f t="shared" si="1926"/>
        <v/>
      </c>
      <c r="DM152" s="44" t="str">
        <f t="shared" si="1927"/>
        <v/>
      </c>
      <c r="DN152" s="44" t="str">
        <f t="shared" si="1928"/>
        <v/>
      </c>
      <c r="DO152" s="44" t="str">
        <f t="shared" si="1929"/>
        <v/>
      </c>
      <c r="DP152" s="44" t="str">
        <f t="shared" si="1930"/>
        <v/>
      </c>
      <c r="DQ152" s="44" t="str">
        <f t="shared" si="1931"/>
        <v/>
      </c>
      <c r="DR152" s="44" t="str">
        <f t="shared" si="1932"/>
        <v/>
      </c>
      <c r="DS152" s="44" t="str">
        <f t="shared" si="1933"/>
        <v/>
      </c>
      <c r="DT152" s="44" t="str">
        <f t="shared" si="1934"/>
        <v/>
      </c>
      <c r="DU152" s="44" t="str">
        <f t="shared" si="1935"/>
        <v/>
      </c>
      <c r="DV152" s="44" t="str">
        <f t="shared" si="1936"/>
        <v/>
      </c>
      <c r="DW152" s="44" t="str">
        <f t="shared" si="1937"/>
        <v/>
      </c>
      <c r="DX152" s="44" t="str">
        <f t="shared" si="1938"/>
        <v/>
      </c>
      <c r="DY152" s="44" t="str">
        <f t="shared" si="1939"/>
        <v/>
      </c>
      <c r="DZ152" s="44" t="str">
        <f t="shared" si="1940"/>
        <v/>
      </c>
      <c r="EA152" s="44" t="str">
        <f t="shared" si="1941"/>
        <v/>
      </c>
      <c r="EB152" s="44" t="str">
        <f t="shared" si="1942"/>
        <v/>
      </c>
      <c r="EC152" s="44" t="str">
        <f t="shared" si="1943"/>
        <v/>
      </c>
      <c r="ED152" s="44" t="str">
        <f t="shared" si="1944"/>
        <v/>
      </c>
      <c r="EE152" s="44" t="str">
        <f t="shared" si="1945"/>
        <v/>
      </c>
      <c r="EF152" s="44" t="str">
        <f t="shared" si="1946"/>
        <v/>
      </c>
      <c r="EG152" s="44" t="str">
        <f t="shared" si="1947"/>
        <v/>
      </c>
      <c r="EH152" s="44" t="str">
        <f t="shared" si="1948"/>
        <v/>
      </c>
      <c r="EI152" s="44" t="str">
        <f t="shared" si="1949"/>
        <v/>
      </c>
      <c r="EJ152" s="44" t="str">
        <f t="shared" si="1950"/>
        <v/>
      </c>
      <c r="EK152" s="44" t="str">
        <f t="shared" si="1951"/>
        <v/>
      </c>
      <c r="EL152" s="44" t="str">
        <f t="shared" si="1952"/>
        <v/>
      </c>
      <c r="EM152" s="44" t="str">
        <f t="shared" si="1953"/>
        <v/>
      </c>
      <c r="EN152" s="44" t="str">
        <f t="shared" si="1954"/>
        <v/>
      </c>
      <c r="EO152" s="44" t="str">
        <f t="shared" si="1955"/>
        <v/>
      </c>
      <c r="EP152" s="44" t="str">
        <f t="shared" si="1956"/>
        <v/>
      </c>
      <c r="EQ152" s="44" t="str">
        <f t="shared" si="1957"/>
        <v/>
      </c>
      <c r="ER152" s="44" t="str">
        <f t="shared" si="1958"/>
        <v/>
      </c>
      <c r="ES152" s="44" t="str">
        <f t="shared" si="1959"/>
        <v/>
      </c>
      <c r="ET152" s="44" t="str">
        <f t="shared" si="1960"/>
        <v/>
      </c>
      <c r="EU152" s="44" t="str">
        <f t="shared" si="1961"/>
        <v/>
      </c>
      <c r="EV152" s="44" t="str">
        <f t="shared" si="1962"/>
        <v/>
      </c>
      <c r="EW152" s="44" t="str">
        <f t="shared" si="1963"/>
        <v/>
      </c>
      <c r="EX152" s="44" t="str">
        <f t="shared" si="1964"/>
        <v/>
      </c>
      <c r="EY152" s="44" t="str">
        <f t="shared" si="1965"/>
        <v/>
      </c>
      <c r="EZ152" s="44" t="str">
        <f t="shared" si="1966"/>
        <v/>
      </c>
      <c r="FA152" s="44" t="str">
        <f t="shared" si="1967"/>
        <v/>
      </c>
      <c r="FB152" s="44" t="str">
        <f t="shared" si="1968"/>
        <v/>
      </c>
      <c r="FC152" s="44" t="str">
        <f t="shared" si="1969"/>
        <v/>
      </c>
      <c r="FD152" s="44" t="str">
        <f t="shared" si="1970"/>
        <v/>
      </c>
      <c r="FE152" s="44" t="str">
        <f t="shared" si="1971"/>
        <v/>
      </c>
      <c r="FF152" s="44" t="str">
        <f t="shared" si="1972"/>
        <v/>
      </c>
      <c r="FG152" s="44" t="str">
        <f t="shared" si="1973"/>
        <v/>
      </c>
      <c r="FH152" s="44" t="str">
        <f t="shared" si="1974"/>
        <v/>
      </c>
      <c r="FI152" s="44" t="str">
        <f t="shared" si="1975"/>
        <v/>
      </c>
      <c r="FJ152" s="44" t="str">
        <f t="shared" si="1976"/>
        <v/>
      </c>
      <c r="FK152" s="44" t="str">
        <f t="shared" si="1977"/>
        <v/>
      </c>
      <c r="FL152" s="44" t="str">
        <f t="shared" si="1978"/>
        <v/>
      </c>
      <c r="FM152" s="44" t="str">
        <f t="shared" si="1979"/>
        <v/>
      </c>
      <c r="FN152" s="44" t="str">
        <f t="shared" si="1980"/>
        <v/>
      </c>
      <c r="FO152" s="44" t="str">
        <f t="shared" si="1981"/>
        <v/>
      </c>
      <c r="FP152" s="44" t="str">
        <f t="shared" si="1982"/>
        <v/>
      </c>
      <c r="FQ152" s="44" t="str">
        <f t="shared" si="1983"/>
        <v/>
      </c>
      <c r="FR152" s="44" t="str">
        <f t="shared" si="1984"/>
        <v/>
      </c>
      <c r="FS152" s="44" t="str">
        <f t="shared" si="1985"/>
        <v/>
      </c>
    </row>
    <row r="153" ht="15" spans="1:175">
      <c r="A153" s="5"/>
      <c r="B153" s="5" t="s">
        <v>524</v>
      </c>
      <c r="C153" s="6" t="s">
        <v>525</v>
      </c>
      <c r="T153" s="6" t="s">
        <v>526</v>
      </c>
      <c r="U153" s="60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169&amp;CR$1&amp;")"</f>
        <v>InitEquipData('IN05',,"",,,,,'','','','','','',"ReplaceableTextures\\CommandButtons\\BTNIP02.blp")</v>
      </c>
      <c r="CU153" s="72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4" t="str">
        <f t="shared" si="1916"/>
        <v/>
      </c>
      <c r="DC153" s="44" t="str">
        <f t="shared" si="1917"/>
        <v/>
      </c>
      <c r="DD153" s="44" t="str">
        <f t="shared" si="1918"/>
        <v/>
      </c>
      <c r="DE153" s="44" t="str">
        <f t="shared" si="1919"/>
        <v/>
      </c>
      <c r="DF153" s="44" t="str">
        <f t="shared" si="1920"/>
        <v/>
      </c>
      <c r="DG153" s="44" t="str">
        <f t="shared" si="1921"/>
        <v/>
      </c>
      <c r="DH153" s="44" t="str">
        <f t="shared" si="1922"/>
        <v/>
      </c>
      <c r="DI153" s="44" t="str">
        <f t="shared" si="1923"/>
        <v/>
      </c>
      <c r="DJ153" s="44" t="str">
        <f t="shared" si="1924"/>
        <v/>
      </c>
      <c r="DK153" s="44" t="str">
        <f t="shared" si="1925"/>
        <v/>
      </c>
      <c r="DL153" s="44" t="str">
        <f t="shared" si="1926"/>
        <v/>
      </c>
      <c r="DM153" s="44" t="str">
        <f t="shared" si="1927"/>
        <v/>
      </c>
      <c r="DN153" s="44" t="str">
        <f t="shared" si="1928"/>
        <v/>
      </c>
      <c r="DO153" s="44" t="str">
        <f t="shared" si="1929"/>
        <v/>
      </c>
      <c r="DP153" s="44" t="str">
        <f t="shared" si="1930"/>
        <v/>
      </c>
      <c r="DQ153" s="44" t="str">
        <f t="shared" si="1931"/>
        <v/>
      </c>
      <c r="DR153" s="44" t="str">
        <f t="shared" si="1932"/>
        <v/>
      </c>
      <c r="DS153" s="44" t="str">
        <f t="shared" si="1933"/>
        <v/>
      </c>
      <c r="DT153" s="44" t="str">
        <f t="shared" si="1934"/>
        <v/>
      </c>
      <c r="DU153" s="44" t="str">
        <f t="shared" si="1935"/>
        <v/>
      </c>
      <c r="DV153" s="44" t="str">
        <f t="shared" si="1936"/>
        <v/>
      </c>
      <c r="DW153" s="44" t="str">
        <f t="shared" si="1937"/>
        <v/>
      </c>
      <c r="DX153" s="44" t="str">
        <f t="shared" si="1938"/>
        <v/>
      </c>
      <c r="DY153" s="44" t="str">
        <f t="shared" si="1939"/>
        <v/>
      </c>
      <c r="DZ153" s="44" t="str">
        <f t="shared" si="1940"/>
        <v/>
      </c>
      <c r="EA153" s="44" t="str">
        <f t="shared" si="1941"/>
        <v/>
      </c>
      <c r="EB153" s="44" t="str">
        <f t="shared" si="1942"/>
        <v/>
      </c>
      <c r="EC153" s="44" t="str">
        <f t="shared" si="1943"/>
        <v/>
      </c>
      <c r="ED153" s="44" t="str">
        <f t="shared" si="1944"/>
        <v/>
      </c>
      <c r="EE153" s="44" t="str">
        <f t="shared" si="1945"/>
        <v/>
      </c>
      <c r="EF153" s="44" t="str">
        <f t="shared" si="1946"/>
        <v/>
      </c>
      <c r="EG153" s="44" t="str">
        <f t="shared" si="1947"/>
        <v/>
      </c>
      <c r="EH153" s="44" t="str">
        <f t="shared" si="1948"/>
        <v/>
      </c>
      <c r="EI153" s="44" t="str">
        <f t="shared" si="1949"/>
        <v/>
      </c>
      <c r="EJ153" s="44" t="str">
        <f t="shared" si="1950"/>
        <v/>
      </c>
      <c r="EK153" s="44" t="str">
        <f t="shared" si="1951"/>
        <v/>
      </c>
      <c r="EL153" s="44" t="str">
        <f t="shared" si="1952"/>
        <v/>
      </c>
      <c r="EM153" s="44" t="str">
        <f t="shared" si="1953"/>
        <v/>
      </c>
      <c r="EN153" s="44" t="str">
        <f t="shared" si="1954"/>
        <v/>
      </c>
      <c r="EO153" s="44" t="str">
        <f t="shared" si="1955"/>
        <v/>
      </c>
      <c r="EP153" s="44" t="str">
        <f t="shared" si="1956"/>
        <v/>
      </c>
      <c r="EQ153" s="44" t="str">
        <f t="shared" si="1957"/>
        <v/>
      </c>
      <c r="ER153" s="44" t="str">
        <f t="shared" si="1958"/>
        <v/>
      </c>
      <c r="ES153" s="44" t="str">
        <f t="shared" si="1959"/>
        <v/>
      </c>
      <c r="ET153" s="44" t="str">
        <f t="shared" si="1960"/>
        <v/>
      </c>
      <c r="EU153" s="44" t="str">
        <f t="shared" si="1961"/>
        <v/>
      </c>
      <c r="EV153" s="44" t="str">
        <f t="shared" si="1962"/>
        <v/>
      </c>
      <c r="EW153" s="44" t="str">
        <f t="shared" si="1963"/>
        <v/>
      </c>
      <c r="EX153" s="44" t="str">
        <f t="shared" si="1964"/>
        <v/>
      </c>
      <c r="EY153" s="44" t="str">
        <f t="shared" si="1965"/>
        <v/>
      </c>
      <c r="EZ153" s="44" t="str">
        <f t="shared" si="1966"/>
        <v/>
      </c>
      <c r="FA153" s="44" t="str">
        <f t="shared" si="1967"/>
        <v/>
      </c>
      <c r="FB153" s="44" t="str">
        <f t="shared" si="1968"/>
        <v/>
      </c>
      <c r="FC153" s="44" t="str">
        <f t="shared" si="1969"/>
        <v/>
      </c>
      <c r="FD153" s="44" t="str">
        <f t="shared" si="1970"/>
        <v/>
      </c>
      <c r="FE153" s="44" t="str">
        <f t="shared" si="1971"/>
        <v/>
      </c>
      <c r="FF153" s="44" t="str">
        <f t="shared" si="1972"/>
        <v/>
      </c>
      <c r="FG153" s="44" t="str">
        <f t="shared" si="1973"/>
        <v/>
      </c>
      <c r="FH153" s="44" t="str">
        <f t="shared" si="1974"/>
        <v/>
      </c>
      <c r="FI153" s="44" t="str">
        <f t="shared" si="1975"/>
        <v/>
      </c>
      <c r="FJ153" s="44" t="str">
        <f t="shared" si="1976"/>
        <v/>
      </c>
      <c r="FK153" s="44" t="str">
        <f t="shared" si="1977"/>
        <v/>
      </c>
      <c r="FL153" s="44" t="str">
        <f t="shared" si="1978"/>
        <v/>
      </c>
      <c r="FM153" s="44" t="str">
        <f t="shared" si="1979"/>
        <v/>
      </c>
      <c r="FN153" s="44" t="str">
        <f t="shared" si="1980"/>
        <v/>
      </c>
      <c r="FO153" s="44" t="str">
        <f t="shared" si="1981"/>
        <v/>
      </c>
      <c r="FP153" s="44" t="str">
        <f t="shared" si="1982"/>
        <v/>
      </c>
      <c r="FQ153" s="44" t="str">
        <f t="shared" si="1983"/>
        <v/>
      </c>
      <c r="FR153" s="44" t="str">
        <f t="shared" si="1984"/>
        <v/>
      </c>
      <c r="FS153" s="44" t="str">
        <f t="shared" si="1985"/>
        <v/>
      </c>
    </row>
    <row r="154" ht="15" spans="1:175">
      <c r="A154" s="5"/>
      <c r="B154" s="5" t="s">
        <v>527</v>
      </c>
      <c r="C154" s="6" t="s">
        <v>528</v>
      </c>
      <c r="T154" s="6" t="s">
        <v>529</v>
      </c>
      <c r="U154" s="60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170&amp;CR$1&amp;")"</f>
        <v>InitEquipData('IN06',,"",,,,,'','','','','','',"ReplaceableTextures\\CommandButtons\\BTNIP03.blp")</v>
      </c>
      <c r="CU154" s="72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4" t="str">
        <f t="shared" si="1916"/>
        <v/>
      </c>
      <c r="DC154" s="44" t="str">
        <f t="shared" si="1917"/>
        <v/>
      </c>
      <c r="DD154" s="44" t="str">
        <f t="shared" si="1918"/>
        <v/>
      </c>
      <c r="DE154" s="44" t="str">
        <f t="shared" si="1919"/>
        <v/>
      </c>
      <c r="DF154" s="44" t="str">
        <f t="shared" si="1920"/>
        <v/>
      </c>
      <c r="DG154" s="44" t="str">
        <f t="shared" si="1921"/>
        <v/>
      </c>
      <c r="DH154" s="44" t="str">
        <f t="shared" si="1922"/>
        <v/>
      </c>
      <c r="DI154" s="44" t="str">
        <f t="shared" si="1923"/>
        <v/>
      </c>
      <c r="DJ154" s="44" t="str">
        <f t="shared" si="1924"/>
        <v/>
      </c>
      <c r="DK154" s="44" t="str">
        <f t="shared" si="1925"/>
        <v/>
      </c>
      <c r="DL154" s="44" t="str">
        <f t="shared" si="1926"/>
        <v/>
      </c>
      <c r="DM154" s="44" t="str">
        <f t="shared" si="1927"/>
        <v/>
      </c>
      <c r="DN154" s="44" t="str">
        <f t="shared" si="1928"/>
        <v/>
      </c>
      <c r="DO154" s="44" t="str">
        <f t="shared" si="1929"/>
        <v/>
      </c>
      <c r="DP154" s="44" t="str">
        <f t="shared" si="1930"/>
        <v/>
      </c>
      <c r="DQ154" s="44" t="str">
        <f t="shared" si="1931"/>
        <v/>
      </c>
      <c r="DR154" s="44" t="str">
        <f t="shared" si="1932"/>
        <v/>
      </c>
      <c r="DS154" s="44" t="str">
        <f t="shared" si="1933"/>
        <v/>
      </c>
      <c r="DT154" s="44" t="str">
        <f t="shared" si="1934"/>
        <v/>
      </c>
      <c r="DU154" s="44" t="str">
        <f t="shared" si="1935"/>
        <v/>
      </c>
      <c r="DV154" s="44" t="str">
        <f t="shared" si="1936"/>
        <v/>
      </c>
      <c r="DW154" s="44" t="str">
        <f t="shared" si="1937"/>
        <v/>
      </c>
      <c r="DX154" s="44" t="str">
        <f t="shared" si="1938"/>
        <v/>
      </c>
      <c r="DY154" s="44" t="str">
        <f t="shared" si="1939"/>
        <v/>
      </c>
      <c r="DZ154" s="44" t="str">
        <f t="shared" si="1940"/>
        <v/>
      </c>
      <c r="EA154" s="44" t="str">
        <f t="shared" si="1941"/>
        <v/>
      </c>
      <c r="EB154" s="44" t="str">
        <f t="shared" si="1942"/>
        <v/>
      </c>
      <c r="EC154" s="44" t="str">
        <f t="shared" si="1943"/>
        <v/>
      </c>
      <c r="ED154" s="44" t="str">
        <f t="shared" si="1944"/>
        <v/>
      </c>
      <c r="EE154" s="44" t="str">
        <f t="shared" si="1945"/>
        <v/>
      </c>
      <c r="EF154" s="44" t="str">
        <f t="shared" si="1946"/>
        <v/>
      </c>
      <c r="EG154" s="44" t="str">
        <f t="shared" si="1947"/>
        <v/>
      </c>
      <c r="EH154" s="44" t="str">
        <f t="shared" si="1948"/>
        <v/>
      </c>
      <c r="EI154" s="44" t="str">
        <f t="shared" si="1949"/>
        <v/>
      </c>
      <c r="EJ154" s="44" t="str">
        <f t="shared" si="1950"/>
        <v/>
      </c>
      <c r="EK154" s="44" t="str">
        <f t="shared" si="1951"/>
        <v/>
      </c>
      <c r="EL154" s="44" t="str">
        <f t="shared" si="1952"/>
        <v/>
      </c>
      <c r="EM154" s="44" t="str">
        <f t="shared" si="1953"/>
        <v/>
      </c>
      <c r="EN154" s="44" t="str">
        <f t="shared" si="1954"/>
        <v/>
      </c>
      <c r="EO154" s="44" t="str">
        <f t="shared" si="1955"/>
        <v/>
      </c>
      <c r="EP154" s="44" t="str">
        <f t="shared" si="1956"/>
        <v/>
      </c>
      <c r="EQ154" s="44" t="str">
        <f t="shared" si="1957"/>
        <v/>
      </c>
      <c r="ER154" s="44" t="str">
        <f t="shared" si="1958"/>
        <v/>
      </c>
      <c r="ES154" s="44" t="str">
        <f t="shared" si="1959"/>
        <v/>
      </c>
      <c r="ET154" s="44" t="str">
        <f t="shared" si="1960"/>
        <v/>
      </c>
      <c r="EU154" s="44" t="str">
        <f t="shared" si="1961"/>
        <v/>
      </c>
      <c r="EV154" s="44" t="str">
        <f t="shared" si="1962"/>
        <v/>
      </c>
      <c r="EW154" s="44" t="str">
        <f t="shared" si="1963"/>
        <v/>
      </c>
      <c r="EX154" s="44" t="str">
        <f t="shared" si="1964"/>
        <v/>
      </c>
      <c r="EY154" s="44" t="str">
        <f t="shared" si="1965"/>
        <v/>
      </c>
      <c r="EZ154" s="44" t="str">
        <f t="shared" si="1966"/>
        <v/>
      </c>
      <c r="FA154" s="44" t="str">
        <f t="shared" si="1967"/>
        <v/>
      </c>
      <c r="FB154" s="44" t="str">
        <f t="shared" si="1968"/>
        <v/>
      </c>
      <c r="FC154" s="44" t="str">
        <f t="shared" si="1969"/>
        <v/>
      </c>
      <c r="FD154" s="44" t="str">
        <f t="shared" si="1970"/>
        <v/>
      </c>
      <c r="FE154" s="44" t="str">
        <f t="shared" si="1971"/>
        <v/>
      </c>
      <c r="FF154" s="44" t="str">
        <f t="shared" si="1972"/>
        <v/>
      </c>
      <c r="FG154" s="44" t="str">
        <f t="shared" si="1973"/>
        <v/>
      </c>
      <c r="FH154" s="44" t="str">
        <f t="shared" si="1974"/>
        <v/>
      </c>
      <c r="FI154" s="44" t="str">
        <f t="shared" si="1975"/>
        <v/>
      </c>
      <c r="FJ154" s="44" t="str">
        <f t="shared" si="1976"/>
        <v/>
      </c>
      <c r="FK154" s="44" t="str">
        <f t="shared" si="1977"/>
        <v/>
      </c>
      <c r="FL154" s="44" t="str">
        <f t="shared" si="1978"/>
        <v/>
      </c>
      <c r="FM154" s="44" t="str">
        <f t="shared" si="1979"/>
        <v/>
      </c>
      <c r="FN154" s="44" t="str">
        <f t="shared" si="1980"/>
        <v/>
      </c>
      <c r="FO154" s="44" t="str">
        <f t="shared" si="1981"/>
        <v/>
      </c>
      <c r="FP154" s="44" t="str">
        <f t="shared" si="1982"/>
        <v/>
      </c>
      <c r="FQ154" s="44" t="str">
        <f t="shared" si="1983"/>
        <v/>
      </c>
      <c r="FR154" s="44" t="str">
        <f t="shared" si="1984"/>
        <v/>
      </c>
      <c r="FS154" s="44" t="str">
        <f t="shared" si="1985"/>
        <v/>
      </c>
    </row>
    <row r="155" ht="15" spans="1:175">
      <c r="A155" s="5"/>
      <c r="B155" s="5" t="s">
        <v>530</v>
      </c>
      <c r="C155" s="6" t="s">
        <v>531</v>
      </c>
      <c r="T155" s="6" t="s">
        <v>532</v>
      </c>
      <c r="U155" s="60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173&amp;CR$1&amp;")"</f>
        <v>InitEquipData('IN07',,"",,,,,'','','','','','',"ReplaceableTextures\\CommandButtons\\BTNIT01.blp")</v>
      </c>
      <c r="CU155" s="72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每秒回复|Cffffc92630%|r生命值，持续|Cffffc9266|r秒</v>
      </c>
      <c r="CW155" s="7"/>
      <c r="CX155" s="7"/>
      <c r="CY155" s="7"/>
      <c r="CZ155" s="7"/>
      <c r="DA155" s="7"/>
      <c r="DB155" s="44" t="str">
        <f t="shared" ref="DB155:DB160" si="2360">IF(V155="","","|n"&amp;DB$2&amp;"+"&amp;V155&amp;DB$1)</f>
        <v/>
      </c>
      <c r="DC155" s="44" t="str">
        <f t="shared" ref="DC155:DC160" si="2361">IF(W155="","","|n"&amp;DC$2&amp;"+"&amp;W155&amp;DC$1)</f>
        <v/>
      </c>
      <c r="DD155" s="44" t="str">
        <f t="shared" ref="DD155:DD160" si="2362">IF(X155="","","|n"&amp;DD$2&amp;"+"&amp;X155&amp;DD$1)</f>
        <v/>
      </c>
      <c r="DE155" s="44" t="str">
        <f t="shared" ref="DE155:DE160" si="2363">IF(Y155="","","|n"&amp;DE$2&amp;"+"&amp;Y155&amp;DE$1)</f>
        <v/>
      </c>
      <c r="DF155" s="44" t="str">
        <f t="shared" ref="DF155:DF160" si="2364">IF(Z155="","","|n"&amp;DF$2&amp;"+"&amp;Z155&amp;DF$1)</f>
        <v/>
      </c>
      <c r="DG155" s="44" t="str">
        <f t="shared" ref="DG155:DG160" si="2365">IF(AA155="","","|n"&amp;DG$2&amp;"+"&amp;AA155&amp;DG$1)</f>
        <v/>
      </c>
      <c r="DH155" s="44" t="str">
        <f t="shared" ref="DH155:DH160" si="2366">IF(AB155="","","|n"&amp;DH$2&amp;"+"&amp;AB155&amp;DH$1)</f>
        <v/>
      </c>
      <c r="DI155" s="44" t="str">
        <f t="shared" ref="DI155:DI160" si="2367">IF(AC155="","","|n"&amp;DI$2&amp;"+"&amp;AC155&amp;DI$1)</f>
        <v/>
      </c>
      <c r="DJ155" s="44" t="str">
        <f t="shared" ref="DJ155:DJ160" si="2368">IF(AD155="","","|n"&amp;DJ$2&amp;"+"&amp;AD155&amp;DJ$1)</f>
        <v/>
      </c>
      <c r="DK155" s="44" t="str">
        <f t="shared" ref="DK155:DK160" si="2369">IF(AE155="","","|n"&amp;DK$2&amp;"+"&amp;AE155&amp;DK$1)</f>
        <v/>
      </c>
      <c r="DL155" s="44" t="str">
        <f t="shared" ref="DL155:DL160" si="2370">IF(AF155="","","|n"&amp;DL$2&amp;"+"&amp;AF155&amp;DL$1)</f>
        <v/>
      </c>
      <c r="DM155" s="44" t="str">
        <f t="shared" ref="DM155:DM160" si="2371">IF(AG155="","","|n"&amp;DM$2&amp;"+"&amp;AG155&amp;DM$1)</f>
        <v/>
      </c>
      <c r="DN155" s="44" t="str">
        <f t="shared" ref="DN155:DN160" si="2372">IF(AH155="","","|n"&amp;DN$2&amp;"+"&amp;AH155&amp;DN$1)</f>
        <v/>
      </c>
      <c r="DO155" s="44" t="str">
        <f t="shared" ref="DO155:DO160" si="2373">IF(AI155="","","|n"&amp;DO$2&amp;"+"&amp;AI155&amp;DO$1)</f>
        <v/>
      </c>
      <c r="DP155" s="44" t="str">
        <f t="shared" ref="DP155:DP160" si="2374">IF(AJ155="","","|n"&amp;DP$2&amp;"+"&amp;AJ155&amp;DP$1)</f>
        <v/>
      </c>
      <c r="DQ155" s="44" t="str">
        <f t="shared" ref="DQ155:DQ160" si="2375">IF(AK155="","","|n"&amp;DQ$2&amp;"+"&amp;AK155&amp;DQ$1)</f>
        <v/>
      </c>
      <c r="DR155" s="44" t="str">
        <f t="shared" ref="DR155:DR160" si="2376">IF(AL155="","","|n"&amp;DR$2&amp;"+"&amp;AL155&amp;DR$1)</f>
        <v/>
      </c>
      <c r="DS155" s="44" t="str">
        <f t="shared" ref="DS155:DS160" si="2377">IF(AM155="","","|n"&amp;DS$2&amp;"+"&amp;AM155&amp;DS$1)</f>
        <v/>
      </c>
      <c r="DT155" s="44" t="str">
        <f t="shared" ref="DT155:DT160" si="2378">IF(AN155="","","|n"&amp;DT$2&amp;"+"&amp;AN155&amp;DT$1)</f>
        <v/>
      </c>
      <c r="DU155" s="44" t="str">
        <f t="shared" ref="DU155:DU160" si="2379">IF(AO155="","","|n"&amp;DU$2&amp;"+"&amp;AO155&amp;DU$1)</f>
        <v/>
      </c>
      <c r="DV155" s="44" t="str">
        <f t="shared" ref="DV155:DV160" si="2380">IF(AP155="","","|n"&amp;DV$2&amp;"+"&amp;AP155&amp;DV$1)</f>
        <v/>
      </c>
      <c r="DW155" s="44" t="str">
        <f t="shared" ref="DW155:DW160" si="2381">IF(AQ155="","","|n"&amp;DW$2&amp;"+"&amp;AQ155&amp;DW$1)</f>
        <v/>
      </c>
      <c r="DX155" s="44" t="str">
        <f t="shared" ref="DX155:DX160" si="2382">IF(AR155="","","|n"&amp;DX$2&amp;"+"&amp;AR155&amp;DX$1)</f>
        <v/>
      </c>
      <c r="DY155" s="44" t="str">
        <f t="shared" ref="DY155:DY160" si="2383">IF(AS155="","","|n"&amp;DY$2&amp;"+"&amp;AS155&amp;DY$1)</f>
        <v/>
      </c>
      <c r="DZ155" s="44" t="str">
        <f t="shared" ref="DZ155:DZ160" si="2384">IF(AT155="","","|n"&amp;DZ$2&amp;"+"&amp;AT155&amp;DZ$1)</f>
        <v/>
      </c>
      <c r="EA155" s="44" t="str">
        <f t="shared" ref="EA155:EA160" si="2385">IF(AU155="","","|n"&amp;EA$2&amp;"+"&amp;AU155&amp;EA$1)</f>
        <v/>
      </c>
      <c r="EB155" s="44" t="str">
        <f t="shared" ref="EB155:EB160" si="2386">IF(AV155="","","|n"&amp;EB$2&amp;"+"&amp;AV155&amp;EB$1)</f>
        <v/>
      </c>
      <c r="EC155" s="44" t="str">
        <f t="shared" ref="EC155:EC160" si="2387">IF(AW155="","","|n"&amp;EC$2&amp;"+"&amp;AW155&amp;EC$1)</f>
        <v/>
      </c>
      <c r="ED155" s="44" t="str">
        <f t="shared" ref="ED155:ED160" si="2388">IF(AX155="","","|n"&amp;ED$2&amp;"+"&amp;AX155&amp;ED$1)</f>
        <v/>
      </c>
      <c r="EE155" s="44" t="str">
        <f t="shared" ref="EE155:EE160" si="2389">IF(AY155="","","|n"&amp;EE$2&amp;"+"&amp;AY155&amp;EE$1)</f>
        <v/>
      </c>
      <c r="EF155" s="44" t="str">
        <f t="shared" ref="EF155:EF160" si="2390">IF(AZ155="","","|n"&amp;EF$2&amp;"+"&amp;AZ155&amp;EF$1)</f>
        <v/>
      </c>
      <c r="EG155" s="44" t="str">
        <f t="shared" ref="EG155:EG160" si="2391">IF(BA155="","","|n"&amp;EG$2&amp;"+"&amp;BA155&amp;EG$1)</f>
        <v/>
      </c>
      <c r="EH155" s="44" t="str">
        <f t="shared" ref="EH155:EH160" si="2392">IF(BB155="","","|n"&amp;EH$2&amp;"+"&amp;BB155&amp;EH$1)</f>
        <v/>
      </c>
      <c r="EI155" s="44" t="str">
        <f t="shared" ref="EI155:EI160" si="2393">IF(BC155="","","|n"&amp;EI$2&amp;"+"&amp;BC155&amp;EI$1)</f>
        <v/>
      </c>
      <c r="EJ155" s="44" t="str">
        <f t="shared" ref="EJ155:EJ160" si="2394">IF(BD155="","","|n"&amp;EJ$2&amp;"+"&amp;BD155&amp;EJ$1)</f>
        <v/>
      </c>
      <c r="EK155" s="44" t="str">
        <f t="shared" ref="EK155:EK160" si="2395">IF(BE155="","","|n"&amp;EK$2&amp;"+"&amp;BE155&amp;EK$1)</f>
        <v/>
      </c>
      <c r="EL155" s="44" t="str">
        <f t="shared" ref="EL155:EL160" si="2396">IF(BF155="","","|n"&amp;EL$2&amp;"+"&amp;BF155&amp;EL$1)</f>
        <v/>
      </c>
      <c r="EM155" s="44" t="str">
        <f t="shared" ref="EM155:EM160" si="2397">IF(BG155="","","|n"&amp;EM$2&amp;"+"&amp;BG155&amp;EM$1)</f>
        <v/>
      </c>
      <c r="EN155" s="44" t="str">
        <f t="shared" ref="EN155:EN160" si="2398">IF(BH155="","","|n"&amp;EN$2&amp;"+"&amp;BH155&amp;EN$1)</f>
        <v/>
      </c>
      <c r="EO155" s="44" t="str">
        <f t="shared" ref="EO155:EO160" si="2399">IF(BI155="","","|n"&amp;EO$2&amp;"+"&amp;BI155&amp;EO$1)</f>
        <v/>
      </c>
      <c r="EP155" s="44" t="str">
        <f t="shared" ref="EP155:EP160" si="2400">IF(BJ155="","","|n"&amp;EP$2&amp;"+"&amp;BJ155&amp;EP$1)</f>
        <v/>
      </c>
      <c r="EQ155" s="44" t="str">
        <f t="shared" ref="EQ155:EQ160" si="2401">IF(BK155="","","|n"&amp;EQ$2&amp;"+"&amp;BK155&amp;EQ$1)</f>
        <v/>
      </c>
      <c r="ER155" s="44" t="str">
        <f t="shared" ref="ER155:ER160" si="2402">IF(BL155="","","|n"&amp;ER$2&amp;"+"&amp;BL155&amp;ER$1)</f>
        <v/>
      </c>
      <c r="ES155" s="44" t="str">
        <f t="shared" ref="ES155:ES160" si="2403">IF(BM155="","","|n"&amp;ES$2&amp;"+"&amp;BM155&amp;ES$1)</f>
        <v/>
      </c>
      <c r="ET155" s="44" t="str">
        <f t="shared" ref="ET155:ET160" si="2404">IF(BN155="","","|n"&amp;ET$2&amp;"+"&amp;BN155&amp;ET$1)</f>
        <v/>
      </c>
      <c r="EU155" s="44" t="str">
        <f t="shared" ref="EU155:EU160" si="2405">IF(BO155="","","|n"&amp;EU$2&amp;"+"&amp;BO155&amp;EU$1)</f>
        <v/>
      </c>
      <c r="EV155" s="44" t="str">
        <f t="shared" ref="EV155:EV160" si="2406">IF(BP155="","","|n"&amp;EV$2&amp;"+"&amp;BP155&amp;EV$1)</f>
        <v/>
      </c>
      <c r="EW155" s="44" t="str">
        <f t="shared" ref="EW155:EW160" si="2407">IF(BQ155="","","|n"&amp;EW$2&amp;"+"&amp;BQ155&amp;EW$1)</f>
        <v/>
      </c>
      <c r="EX155" s="44" t="str">
        <f t="shared" ref="EX155:EX160" si="2408">IF(BR155="","","|n"&amp;EX$2&amp;"+"&amp;BR155&amp;EX$1)</f>
        <v/>
      </c>
      <c r="EY155" s="44" t="str">
        <f t="shared" ref="EY155:EY160" si="2409">IF(BS155="","","|n"&amp;EY$2&amp;"+"&amp;BS155&amp;EY$1)</f>
        <v/>
      </c>
      <c r="EZ155" s="44" t="str">
        <f t="shared" ref="EZ155:EZ160" si="2410">IF(BT155="","","|n"&amp;EZ$2&amp;"+"&amp;BT155&amp;EZ$1)</f>
        <v/>
      </c>
      <c r="FA155" s="44" t="str">
        <f t="shared" ref="FA155:FA160" si="2411">IF(BU155="","","|n"&amp;FA$2&amp;"+"&amp;BU155&amp;FA$1)</f>
        <v/>
      </c>
      <c r="FB155" s="44" t="str">
        <f t="shared" ref="FB155:FB160" si="2412">IF(BV155="","","|n"&amp;FB$2&amp;"+"&amp;BV155&amp;FB$1)</f>
        <v/>
      </c>
      <c r="FC155" s="44" t="str">
        <f t="shared" ref="FC155:FC160" si="2413">IF(BW155="","","|n"&amp;FC$2&amp;"+"&amp;BW155&amp;FC$1)</f>
        <v/>
      </c>
      <c r="FD155" s="44" t="str">
        <f t="shared" ref="FD155:FD160" si="2414">IF(BX155="","","|n"&amp;FD$2&amp;"+"&amp;BX155&amp;FD$1)</f>
        <v/>
      </c>
      <c r="FE155" s="44" t="str">
        <f t="shared" ref="FE155:FE160" si="2415">IF(BY155="","","|n"&amp;FE$2&amp;"+"&amp;BY155&amp;FE$1)</f>
        <v/>
      </c>
      <c r="FF155" s="44" t="str">
        <f t="shared" ref="FF155:FF160" si="2416">IF(BZ155="","","|n"&amp;FF$2&amp;"+"&amp;BZ155&amp;FF$1)</f>
        <v/>
      </c>
      <c r="FG155" s="44" t="str">
        <f t="shared" ref="FG155:FG160" si="2417">IF(CA155="","","|n"&amp;FG$2&amp;"+"&amp;CA155&amp;FG$1)</f>
        <v/>
      </c>
      <c r="FH155" s="44" t="str">
        <f t="shared" ref="FH155:FH160" si="2418">IF(CB155="","","|n"&amp;FH$2&amp;"+"&amp;CB155&amp;FH$1)</f>
        <v/>
      </c>
      <c r="FI155" s="44" t="str">
        <f t="shared" ref="FI155:FI160" si="2419">IF(CC155="","","|n"&amp;FI$2&amp;"+"&amp;CC155&amp;FI$1)</f>
        <v/>
      </c>
      <c r="FJ155" s="44" t="str">
        <f t="shared" ref="FJ155:FJ160" si="2420">IF(CD155="","","|n"&amp;FJ$2&amp;"+"&amp;CD155&amp;FJ$1)</f>
        <v/>
      </c>
      <c r="FK155" s="44" t="str">
        <f t="shared" ref="FK155:FK160" si="2421">IF(CE155="","","|n"&amp;FK$2&amp;"+"&amp;CE155&amp;FK$1)</f>
        <v/>
      </c>
      <c r="FL155" s="44" t="str">
        <f t="shared" ref="FL155:FL160" si="2422">IF(CF155="","","|n"&amp;FL$2&amp;"+"&amp;CF155&amp;FL$1)</f>
        <v/>
      </c>
      <c r="FM155" s="44" t="str">
        <f t="shared" ref="FM155:FM160" si="2423">IF(CG155="","","|n"&amp;FM$2&amp;"+"&amp;CG155&amp;FM$1)</f>
        <v/>
      </c>
      <c r="FN155" s="44" t="str">
        <f t="shared" ref="FN155:FN160" si="2424">IF(CH155="","","|n"&amp;FN$2&amp;"+"&amp;CH155&amp;FN$1)</f>
        <v/>
      </c>
      <c r="FO155" s="44" t="str">
        <f t="shared" ref="FO155:FO160" si="2425">IF(CI155="","","|n"&amp;FO$2&amp;"+"&amp;CI155&amp;FO$1)</f>
        <v/>
      </c>
      <c r="FP155" s="44" t="str">
        <f t="shared" ref="FP155:FP160" si="2426">IF(CJ155="","","|n"&amp;FP$2&amp;"+"&amp;CJ155&amp;FP$1)</f>
        <v/>
      </c>
      <c r="FQ155" s="44" t="str">
        <f t="shared" ref="FQ155:FQ160" si="2427">IF(CK155="","","|n"&amp;FQ$2&amp;"+"&amp;CK155&amp;FQ$1)</f>
        <v/>
      </c>
      <c r="FR155" s="44" t="str">
        <f t="shared" ref="FR155:FR160" si="2428">IF(CL155="","","|n"&amp;FR$2&amp;"+"&amp;CL155&amp;FR$1)</f>
        <v/>
      </c>
      <c r="FS155" s="44" t="str">
        <f t="shared" ref="FS155:FS160" si="2429">IF(CM155="","","|n"&amp;FS$2&amp;"+"&amp;CM155&amp;FS$1)</f>
        <v/>
      </c>
    </row>
    <row r="156" ht="15" spans="1:175">
      <c r="A156" s="5"/>
      <c r="B156" s="5" t="s">
        <v>533</v>
      </c>
      <c r="C156" s="6" t="s">
        <v>534</v>
      </c>
      <c r="T156" s="6" t="s">
        <v>535</v>
      </c>
      <c r="U156" s="60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72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4" t="str">
        <f t="shared" si="2360"/>
        <v/>
      </c>
      <c r="DC156" s="44" t="str">
        <f t="shared" si="2361"/>
        <v/>
      </c>
      <c r="DD156" s="44" t="str">
        <f t="shared" si="2362"/>
        <v/>
      </c>
      <c r="DE156" s="44" t="str">
        <f t="shared" si="2363"/>
        <v/>
      </c>
      <c r="DF156" s="44" t="str">
        <f t="shared" si="2364"/>
        <v/>
      </c>
      <c r="DG156" s="44" t="str">
        <f t="shared" si="2365"/>
        <v/>
      </c>
      <c r="DH156" s="44" t="str">
        <f t="shared" si="2366"/>
        <v/>
      </c>
      <c r="DI156" s="44" t="str">
        <f t="shared" si="2367"/>
        <v/>
      </c>
      <c r="DJ156" s="44" t="str">
        <f t="shared" si="2368"/>
        <v/>
      </c>
      <c r="DK156" s="44" t="str">
        <f t="shared" si="2369"/>
        <v/>
      </c>
      <c r="DL156" s="44" t="str">
        <f t="shared" si="2370"/>
        <v/>
      </c>
      <c r="DM156" s="44" t="str">
        <f t="shared" si="2371"/>
        <v/>
      </c>
      <c r="DN156" s="44" t="str">
        <f t="shared" si="2372"/>
        <v/>
      </c>
      <c r="DO156" s="44" t="str">
        <f t="shared" si="2373"/>
        <v/>
      </c>
      <c r="DP156" s="44" t="str">
        <f t="shared" si="2374"/>
        <v/>
      </c>
      <c r="DQ156" s="44" t="str">
        <f t="shared" si="2375"/>
        <v/>
      </c>
      <c r="DR156" s="44" t="str">
        <f t="shared" si="2376"/>
        <v/>
      </c>
      <c r="DS156" s="44" t="str">
        <f t="shared" si="2377"/>
        <v/>
      </c>
      <c r="DT156" s="44" t="str">
        <f t="shared" si="2378"/>
        <v/>
      </c>
      <c r="DU156" s="44" t="str">
        <f t="shared" si="2379"/>
        <v/>
      </c>
      <c r="DV156" s="44" t="str">
        <f t="shared" si="2380"/>
        <v/>
      </c>
      <c r="DW156" s="44" t="str">
        <f t="shared" si="2381"/>
        <v/>
      </c>
      <c r="DX156" s="44" t="str">
        <f t="shared" si="2382"/>
        <v/>
      </c>
      <c r="DY156" s="44" t="str">
        <f t="shared" si="2383"/>
        <v/>
      </c>
      <c r="DZ156" s="44" t="str">
        <f t="shared" si="2384"/>
        <v/>
      </c>
      <c r="EA156" s="44" t="str">
        <f t="shared" si="2385"/>
        <v/>
      </c>
      <c r="EB156" s="44" t="str">
        <f t="shared" si="2386"/>
        <v/>
      </c>
      <c r="EC156" s="44" t="str">
        <f t="shared" si="2387"/>
        <v/>
      </c>
      <c r="ED156" s="44" t="str">
        <f t="shared" si="2388"/>
        <v/>
      </c>
      <c r="EE156" s="44" t="str">
        <f t="shared" si="2389"/>
        <v/>
      </c>
      <c r="EF156" s="44" t="str">
        <f t="shared" si="2390"/>
        <v/>
      </c>
      <c r="EG156" s="44" t="str">
        <f t="shared" si="2391"/>
        <v/>
      </c>
      <c r="EH156" s="44" t="str">
        <f t="shared" si="2392"/>
        <v/>
      </c>
      <c r="EI156" s="44" t="str">
        <f t="shared" si="2393"/>
        <v/>
      </c>
      <c r="EJ156" s="44" t="str">
        <f t="shared" si="2394"/>
        <v/>
      </c>
      <c r="EK156" s="44" t="str">
        <f t="shared" si="2395"/>
        <v/>
      </c>
      <c r="EL156" s="44" t="str">
        <f t="shared" si="2396"/>
        <v/>
      </c>
      <c r="EM156" s="44" t="str">
        <f t="shared" si="2397"/>
        <v/>
      </c>
      <c r="EN156" s="44" t="str">
        <f t="shared" si="2398"/>
        <v/>
      </c>
      <c r="EO156" s="44" t="str">
        <f t="shared" si="2399"/>
        <v/>
      </c>
      <c r="EP156" s="44" t="str">
        <f t="shared" si="2400"/>
        <v/>
      </c>
      <c r="EQ156" s="44" t="str">
        <f t="shared" si="2401"/>
        <v/>
      </c>
      <c r="ER156" s="44" t="str">
        <f t="shared" si="2402"/>
        <v/>
      </c>
      <c r="ES156" s="44" t="str">
        <f t="shared" si="2403"/>
        <v/>
      </c>
      <c r="ET156" s="44" t="str">
        <f t="shared" si="2404"/>
        <v/>
      </c>
      <c r="EU156" s="44" t="str">
        <f t="shared" si="2405"/>
        <v/>
      </c>
      <c r="EV156" s="44" t="str">
        <f t="shared" si="2406"/>
        <v/>
      </c>
      <c r="EW156" s="44" t="str">
        <f t="shared" si="2407"/>
        <v/>
      </c>
      <c r="EX156" s="44" t="str">
        <f t="shared" si="2408"/>
        <v/>
      </c>
      <c r="EY156" s="44" t="str">
        <f t="shared" si="2409"/>
        <v/>
      </c>
      <c r="EZ156" s="44" t="str">
        <f t="shared" si="2410"/>
        <v/>
      </c>
      <c r="FA156" s="44" t="str">
        <f t="shared" si="2411"/>
        <v/>
      </c>
      <c r="FB156" s="44" t="str">
        <f t="shared" si="2412"/>
        <v/>
      </c>
      <c r="FC156" s="44" t="str">
        <f t="shared" si="2413"/>
        <v/>
      </c>
      <c r="FD156" s="44" t="str">
        <f t="shared" si="2414"/>
        <v/>
      </c>
      <c r="FE156" s="44" t="str">
        <f t="shared" si="2415"/>
        <v/>
      </c>
      <c r="FF156" s="44" t="str">
        <f t="shared" si="2416"/>
        <v/>
      </c>
      <c r="FG156" s="44" t="str">
        <f t="shared" si="2417"/>
        <v/>
      </c>
      <c r="FH156" s="44" t="str">
        <f t="shared" si="2418"/>
        <v/>
      </c>
      <c r="FI156" s="44" t="str">
        <f t="shared" si="2419"/>
        <v/>
      </c>
      <c r="FJ156" s="44" t="str">
        <f t="shared" si="2420"/>
        <v/>
      </c>
      <c r="FK156" s="44" t="str">
        <f t="shared" si="2421"/>
        <v/>
      </c>
      <c r="FL156" s="44" t="str">
        <f t="shared" si="2422"/>
        <v/>
      </c>
      <c r="FM156" s="44" t="str">
        <f t="shared" si="2423"/>
        <v/>
      </c>
      <c r="FN156" s="44" t="str">
        <f t="shared" si="2424"/>
        <v/>
      </c>
      <c r="FO156" s="44" t="str">
        <f t="shared" si="2425"/>
        <v/>
      </c>
      <c r="FP156" s="44" t="str">
        <f t="shared" si="2426"/>
        <v/>
      </c>
      <c r="FQ156" s="44" t="str">
        <f t="shared" si="2427"/>
        <v/>
      </c>
      <c r="FR156" s="44" t="str">
        <f t="shared" si="2428"/>
        <v/>
      </c>
      <c r="FS156" s="44" t="str">
        <f t="shared" si="2429"/>
        <v/>
      </c>
    </row>
    <row r="157" ht="15" spans="1:175">
      <c r="A157" s="5"/>
      <c r="B157" s="5" t="s">
        <v>536</v>
      </c>
      <c r="C157" s="6" t="s">
        <v>537</v>
      </c>
      <c r="T157" s="6" t="s">
        <v>538</v>
      </c>
      <c r="U157" s="60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72" t="str">
        <f t="shared" si="2358"/>
        <v>|n</v>
      </c>
      <c r="CV157" s="6" t="str">
        <f t="shared" si="2359"/>
        <v>暂停|Cffffc926场上已存在的进攻怪|r10秒</v>
      </c>
      <c r="CW157" s="7"/>
      <c r="CX157" s="7"/>
      <c r="CY157" s="7"/>
      <c r="CZ157" s="7"/>
      <c r="DA157" s="7"/>
      <c r="DB157" s="44" t="str">
        <f t="shared" si="2360"/>
        <v/>
      </c>
      <c r="DC157" s="44" t="str">
        <f t="shared" si="2361"/>
        <v/>
      </c>
      <c r="DD157" s="44" t="str">
        <f t="shared" si="2362"/>
        <v/>
      </c>
      <c r="DE157" s="44" t="str">
        <f t="shared" si="2363"/>
        <v/>
      </c>
      <c r="DF157" s="44" t="str">
        <f t="shared" si="2364"/>
        <v/>
      </c>
      <c r="DG157" s="44" t="str">
        <f t="shared" si="2365"/>
        <v/>
      </c>
      <c r="DH157" s="44" t="str">
        <f t="shared" si="2366"/>
        <v/>
      </c>
      <c r="DI157" s="44" t="str">
        <f t="shared" si="2367"/>
        <v/>
      </c>
      <c r="DJ157" s="44" t="str">
        <f t="shared" si="2368"/>
        <v/>
      </c>
      <c r="DK157" s="44" t="str">
        <f t="shared" si="2369"/>
        <v/>
      </c>
      <c r="DL157" s="44" t="str">
        <f t="shared" si="2370"/>
        <v/>
      </c>
      <c r="DM157" s="44" t="str">
        <f t="shared" si="2371"/>
        <v/>
      </c>
      <c r="DN157" s="44" t="str">
        <f t="shared" si="2372"/>
        <v/>
      </c>
      <c r="DO157" s="44" t="str">
        <f t="shared" si="2373"/>
        <v/>
      </c>
      <c r="DP157" s="44" t="str">
        <f t="shared" si="2374"/>
        <v/>
      </c>
      <c r="DQ157" s="44" t="str">
        <f t="shared" si="2375"/>
        <v/>
      </c>
      <c r="DR157" s="44" t="str">
        <f t="shared" si="2376"/>
        <v/>
      </c>
      <c r="DS157" s="44" t="str">
        <f t="shared" si="2377"/>
        <v/>
      </c>
      <c r="DT157" s="44" t="str">
        <f t="shared" si="2378"/>
        <v/>
      </c>
      <c r="DU157" s="44" t="str">
        <f t="shared" si="2379"/>
        <v/>
      </c>
      <c r="DV157" s="44" t="str">
        <f t="shared" si="2380"/>
        <v/>
      </c>
      <c r="DW157" s="44" t="str">
        <f t="shared" si="2381"/>
        <v/>
      </c>
      <c r="DX157" s="44" t="str">
        <f t="shared" si="2382"/>
        <v/>
      </c>
      <c r="DY157" s="44" t="str">
        <f t="shared" si="2383"/>
        <v/>
      </c>
      <c r="DZ157" s="44" t="str">
        <f t="shared" si="2384"/>
        <v/>
      </c>
      <c r="EA157" s="44" t="str">
        <f t="shared" si="2385"/>
        <v/>
      </c>
      <c r="EB157" s="44" t="str">
        <f t="shared" si="2386"/>
        <v/>
      </c>
      <c r="EC157" s="44" t="str">
        <f t="shared" si="2387"/>
        <v/>
      </c>
      <c r="ED157" s="44" t="str">
        <f t="shared" si="2388"/>
        <v/>
      </c>
      <c r="EE157" s="44" t="str">
        <f t="shared" si="2389"/>
        <v/>
      </c>
      <c r="EF157" s="44" t="str">
        <f t="shared" si="2390"/>
        <v/>
      </c>
      <c r="EG157" s="44" t="str">
        <f t="shared" si="2391"/>
        <v/>
      </c>
      <c r="EH157" s="44" t="str">
        <f t="shared" si="2392"/>
        <v/>
      </c>
      <c r="EI157" s="44" t="str">
        <f t="shared" si="2393"/>
        <v/>
      </c>
      <c r="EJ157" s="44" t="str">
        <f t="shared" si="2394"/>
        <v/>
      </c>
      <c r="EK157" s="44" t="str">
        <f t="shared" si="2395"/>
        <v/>
      </c>
      <c r="EL157" s="44" t="str">
        <f t="shared" si="2396"/>
        <v/>
      </c>
      <c r="EM157" s="44" t="str">
        <f t="shared" si="2397"/>
        <v/>
      </c>
      <c r="EN157" s="44" t="str">
        <f t="shared" si="2398"/>
        <v/>
      </c>
      <c r="EO157" s="44" t="str">
        <f t="shared" si="2399"/>
        <v/>
      </c>
      <c r="EP157" s="44" t="str">
        <f t="shared" si="2400"/>
        <v/>
      </c>
      <c r="EQ157" s="44" t="str">
        <f t="shared" si="2401"/>
        <v/>
      </c>
      <c r="ER157" s="44" t="str">
        <f t="shared" si="2402"/>
        <v/>
      </c>
      <c r="ES157" s="44" t="str">
        <f t="shared" si="2403"/>
        <v/>
      </c>
      <c r="ET157" s="44" t="str">
        <f t="shared" si="2404"/>
        <v/>
      </c>
      <c r="EU157" s="44" t="str">
        <f t="shared" si="2405"/>
        <v/>
      </c>
      <c r="EV157" s="44" t="str">
        <f t="shared" si="2406"/>
        <v/>
      </c>
      <c r="EW157" s="44" t="str">
        <f t="shared" si="2407"/>
        <v/>
      </c>
      <c r="EX157" s="44" t="str">
        <f t="shared" si="2408"/>
        <v/>
      </c>
      <c r="EY157" s="44" t="str">
        <f t="shared" si="2409"/>
        <v/>
      </c>
      <c r="EZ157" s="44" t="str">
        <f t="shared" si="2410"/>
        <v/>
      </c>
      <c r="FA157" s="44" t="str">
        <f t="shared" si="2411"/>
        <v/>
      </c>
      <c r="FB157" s="44" t="str">
        <f t="shared" si="2412"/>
        <v/>
      </c>
      <c r="FC157" s="44" t="str">
        <f t="shared" si="2413"/>
        <v/>
      </c>
      <c r="FD157" s="44" t="str">
        <f t="shared" si="2414"/>
        <v/>
      </c>
      <c r="FE157" s="44" t="str">
        <f t="shared" si="2415"/>
        <v/>
      </c>
      <c r="FF157" s="44" t="str">
        <f t="shared" si="2416"/>
        <v/>
      </c>
      <c r="FG157" s="44" t="str">
        <f t="shared" si="2417"/>
        <v/>
      </c>
      <c r="FH157" s="44" t="str">
        <f t="shared" si="2418"/>
        <v/>
      </c>
      <c r="FI157" s="44" t="str">
        <f t="shared" si="2419"/>
        <v/>
      </c>
      <c r="FJ157" s="44" t="str">
        <f t="shared" si="2420"/>
        <v/>
      </c>
      <c r="FK157" s="44" t="str">
        <f t="shared" si="2421"/>
        <v/>
      </c>
      <c r="FL157" s="44" t="str">
        <f t="shared" si="2422"/>
        <v/>
      </c>
      <c r="FM157" s="44" t="str">
        <f t="shared" si="2423"/>
        <v/>
      </c>
      <c r="FN157" s="44" t="str">
        <f t="shared" si="2424"/>
        <v/>
      </c>
      <c r="FO157" s="44" t="str">
        <f t="shared" si="2425"/>
        <v/>
      </c>
      <c r="FP157" s="44" t="str">
        <f t="shared" si="2426"/>
        <v/>
      </c>
      <c r="FQ157" s="44" t="str">
        <f t="shared" si="2427"/>
        <v/>
      </c>
      <c r="FR157" s="44" t="str">
        <f t="shared" si="2428"/>
        <v/>
      </c>
      <c r="FS157" s="44" t="str">
        <f t="shared" si="2429"/>
        <v/>
      </c>
    </row>
    <row r="158" ht="15" spans="1:175">
      <c r="A158" s="5"/>
      <c r="B158" s="5" t="s">
        <v>539</v>
      </c>
      <c r="C158" s="6" t="s">
        <v>540</v>
      </c>
      <c r="T158" s="6" t="s">
        <v>541</v>
      </c>
      <c r="U158" s="60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72" t="str">
        <f t="shared" si="2358"/>
        <v>|n</v>
      </c>
      <c r="CV158" s="6" t="str">
        <f t="shared" si="2359"/>
        <v>暂停场上|Cffffc926已存在的进攻怪|r20秒</v>
      </c>
      <c r="CW158" s="7"/>
      <c r="CX158" s="7"/>
      <c r="CY158" s="7"/>
      <c r="CZ158" s="7"/>
      <c r="DA158" s="7"/>
      <c r="DB158" s="44" t="str">
        <f t="shared" si="2360"/>
        <v/>
      </c>
      <c r="DC158" s="44" t="str">
        <f t="shared" si="2361"/>
        <v/>
      </c>
      <c r="DD158" s="44" t="str">
        <f t="shared" si="2362"/>
        <v/>
      </c>
      <c r="DE158" s="44" t="str">
        <f t="shared" si="2363"/>
        <v/>
      </c>
      <c r="DF158" s="44" t="str">
        <f t="shared" si="2364"/>
        <v/>
      </c>
      <c r="DG158" s="44" t="str">
        <f t="shared" si="2365"/>
        <v/>
      </c>
      <c r="DH158" s="44" t="str">
        <f t="shared" si="2366"/>
        <v/>
      </c>
      <c r="DI158" s="44" t="str">
        <f t="shared" si="2367"/>
        <v/>
      </c>
      <c r="DJ158" s="44" t="str">
        <f t="shared" si="2368"/>
        <v/>
      </c>
      <c r="DK158" s="44" t="str">
        <f t="shared" si="2369"/>
        <v/>
      </c>
      <c r="DL158" s="44" t="str">
        <f t="shared" si="2370"/>
        <v/>
      </c>
      <c r="DM158" s="44" t="str">
        <f t="shared" si="2371"/>
        <v/>
      </c>
      <c r="DN158" s="44" t="str">
        <f t="shared" si="2372"/>
        <v/>
      </c>
      <c r="DO158" s="44" t="str">
        <f t="shared" si="2373"/>
        <v/>
      </c>
      <c r="DP158" s="44" t="str">
        <f t="shared" si="2374"/>
        <v/>
      </c>
      <c r="DQ158" s="44" t="str">
        <f t="shared" si="2375"/>
        <v/>
      </c>
      <c r="DR158" s="44" t="str">
        <f t="shared" si="2376"/>
        <v/>
      </c>
      <c r="DS158" s="44" t="str">
        <f t="shared" si="2377"/>
        <v/>
      </c>
      <c r="DT158" s="44" t="str">
        <f t="shared" si="2378"/>
        <v/>
      </c>
      <c r="DU158" s="44" t="str">
        <f t="shared" si="2379"/>
        <v/>
      </c>
      <c r="DV158" s="44" t="str">
        <f t="shared" si="2380"/>
        <v/>
      </c>
      <c r="DW158" s="44" t="str">
        <f t="shared" si="2381"/>
        <v/>
      </c>
      <c r="DX158" s="44" t="str">
        <f t="shared" si="2382"/>
        <v/>
      </c>
      <c r="DY158" s="44" t="str">
        <f t="shared" si="2383"/>
        <v/>
      </c>
      <c r="DZ158" s="44" t="str">
        <f t="shared" si="2384"/>
        <v/>
      </c>
      <c r="EA158" s="44" t="str">
        <f t="shared" si="2385"/>
        <v/>
      </c>
      <c r="EB158" s="44" t="str">
        <f t="shared" si="2386"/>
        <v/>
      </c>
      <c r="EC158" s="44" t="str">
        <f t="shared" si="2387"/>
        <v/>
      </c>
      <c r="ED158" s="44" t="str">
        <f t="shared" si="2388"/>
        <v/>
      </c>
      <c r="EE158" s="44" t="str">
        <f t="shared" si="2389"/>
        <v/>
      </c>
      <c r="EF158" s="44" t="str">
        <f t="shared" si="2390"/>
        <v/>
      </c>
      <c r="EG158" s="44" t="str">
        <f t="shared" si="2391"/>
        <v/>
      </c>
      <c r="EH158" s="44" t="str">
        <f t="shared" si="2392"/>
        <v/>
      </c>
      <c r="EI158" s="44" t="str">
        <f t="shared" si="2393"/>
        <v/>
      </c>
      <c r="EJ158" s="44" t="str">
        <f t="shared" si="2394"/>
        <v/>
      </c>
      <c r="EK158" s="44" t="str">
        <f t="shared" si="2395"/>
        <v/>
      </c>
      <c r="EL158" s="44" t="str">
        <f t="shared" si="2396"/>
        <v/>
      </c>
      <c r="EM158" s="44" t="str">
        <f t="shared" si="2397"/>
        <v/>
      </c>
      <c r="EN158" s="44" t="str">
        <f t="shared" si="2398"/>
        <v/>
      </c>
      <c r="EO158" s="44" t="str">
        <f t="shared" si="2399"/>
        <v/>
      </c>
      <c r="EP158" s="44" t="str">
        <f t="shared" si="2400"/>
        <v/>
      </c>
      <c r="EQ158" s="44" t="str">
        <f t="shared" si="2401"/>
        <v/>
      </c>
      <c r="ER158" s="44" t="str">
        <f t="shared" si="2402"/>
        <v/>
      </c>
      <c r="ES158" s="44" t="str">
        <f t="shared" si="2403"/>
        <v/>
      </c>
      <c r="ET158" s="44" t="str">
        <f t="shared" si="2404"/>
        <v/>
      </c>
      <c r="EU158" s="44" t="str">
        <f t="shared" si="2405"/>
        <v/>
      </c>
      <c r="EV158" s="44" t="str">
        <f t="shared" si="2406"/>
        <v/>
      </c>
      <c r="EW158" s="44" t="str">
        <f t="shared" si="2407"/>
        <v/>
      </c>
      <c r="EX158" s="44" t="str">
        <f t="shared" si="2408"/>
        <v/>
      </c>
      <c r="EY158" s="44" t="str">
        <f t="shared" si="2409"/>
        <v/>
      </c>
      <c r="EZ158" s="44" t="str">
        <f t="shared" si="2410"/>
        <v/>
      </c>
      <c r="FA158" s="44" t="str">
        <f t="shared" si="2411"/>
        <v/>
      </c>
      <c r="FB158" s="44" t="str">
        <f t="shared" si="2412"/>
        <v/>
      </c>
      <c r="FC158" s="44" t="str">
        <f t="shared" si="2413"/>
        <v/>
      </c>
      <c r="FD158" s="44" t="str">
        <f t="shared" si="2414"/>
        <v/>
      </c>
      <c r="FE158" s="44" t="str">
        <f t="shared" si="2415"/>
        <v/>
      </c>
      <c r="FF158" s="44" t="str">
        <f t="shared" si="2416"/>
        <v/>
      </c>
      <c r="FG158" s="44" t="str">
        <f t="shared" si="2417"/>
        <v/>
      </c>
      <c r="FH158" s="44" t="str">
        <f t="shared" si="2418"/>
        <v/>
      </c>
      <c r="FI158" s="44" t="str">
        <f t="shared" si="2419"/>
        <v/>
      </c>
      <c r="FJ158" s="44" t="str">
        <f t="shared" si="2420"/>
        <v/>
      </c>
      <c r="FK158" s="44" t="str">
        <f t="shared" si="2421"/>
        <v/>
      </c>
      <c r="FL158" s="44" t="str">
        <f t="shared" si="2422"/>
        <v/>
      </c>
      <c r="FM158" s="44" t="str">
        <f t="shared" si="2423"/>
        <v/>
      </c>
      <c r="FN158" s="44" t="str">
        <f t="shared" si="2424"/>
        <v/>
      </c>
      <c r="FO158" s="44" t="str">
        <f t="shared" si="2425"/>
        <v/>
      </c>
      <c r="FP158" s="44" t="str">
        <f t="shared" si="2426"/>
        <v/>
      </c>
      <c r="FQ158" s="44" t="str">
        <f t="shared" si="2427"/>
        <v/>
      </c>
      <c r="FR158" s="44" t="str">
        <f t="shared" si="2428"/>
        <v/>
      </c>
      <c r="FS158" s="44" t="str">
        <f t="shared" si="2429"/>
        <v/>
      </c>
    </row>
    <row r="159" ht="15" spans="1:175">
      <c r="A159" s="5"/>
      <c r="B159" s="5" t="s">
        <v>542</v>
      </c>
      <c r="C159" s="6" t="s">
        <v>543</v>
      </c>
      <c r="T159" s="6" t="s">
        <v>544</v>
      </c>
      <c r="U159" s="60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72" t="str">
        <f t="shared" si="2358"/>
        <v>|n</v>
      </c>
      <c r="CV159" s="6" t="str">
        <f t="shared" si="2359"/>
        <v>|CffFFC9265|r秒内提高|Cffffc926300%|r伤害加成</v>
      </c>
      <c r="CW159" s="7"/>
      <c r="CX159" s="7"/>
      <c r="CY159" s="7"/>
      <c r="CZ159" s="7"/>
      <c r="DA159" s="7"/>
      <c r="DB159" s="44" t="str">
        <f t="shared" si="2360"/>
        <v/>
      </c>
      <c r="DC159" s="44" t="str">
        <f t="shared" si="2361"/>
        <v/>
      </c>
      <c r="DD159" s="44" t="str">
        <f t="shared" si="2362"/>
        <v/>
      </c>
      <c r="DE159" s="44" t="str">
        <f t="shared" si="2363"/>
        <v/>
      </c>
      <c r="DF159" s="44" t="str">
        <f t="shared" si="2364"/>
        <v/>
      </c>
      <c r="DG159" s="44" t="str">
        <f t="shared" si="2365"/>
        <v/>
      </c>
      <c r="DH159" s="44" t="str">
        <f t="shared" si="2366"/>
        <v/>
      </c>
      <c r="DI159" s="44" t="str">
        <f t="shared" si="2367"/>
        <v/>
      </c>
      <c r="DJ159" s="44" t="str">
        <f t="shared" si="2368"/>
        <v/>
      </c>
      <c r="DK159" s="44" t="str">
        <f t="shared" si="2369"/>
        <v/>
      </c>
      <c r="DL159" s="44" t="str">
        <f t="shared" si="2370"/>
        <v/>
      </c>
      <c r="DM159" s="44" t="str">
        <f t="shared" si="2371"/>
        <v/>
      </c>
      <c r="DN159" s="44" t="str">
        <f t="shared" si="2372"/>
        <v/>
      </c>
      <c r="DO159" s="44" t="str">
        <f t="shared" si="2373"/>
        <v/>
      </c>
      <c r="DP159" s="44" t="str">
        <f t="shared" si="2374"/>
        <v/>
      </c>
      <c r="DQ159" s="44" t="str">
        <f t="shared" si="2375"/>
        <v/>
      </c>
      <c r="DR159" s="44" t="str">
        <f t="shared" si="2376"/>
        <v/>
      </c>
      <c r="DS159" s="44" t="str">
        <f t="shared" si="2377"/>
        <v/>
      </c>
      <c r="DT159" s="44" t="str">
        <f t="shared" si="2378"/>
        <v/>
      </c>
      <c r="DU159" s="44" t="str">
        <f t="shared" si="2379"/>
        <v/>
      </c>
      <c r="DV159" s="44" t="str">
        <f t="shared" si="2380"/>
        <v/>
      </c>
      <c r="DW159" s="44" t="str">
        <f t="shared" si="2381"/>
        <v/>
      </c>
      <c r="DX159" s="44" t="str">
        <f t="shared" si="2382"/>
        <v/>
      </c>
      <c r="DY159" s="44" t="str">
        <f t="shared" si="2383"/>
        <v/>
      </c>
      <c r="DZ159" s="44" t="str">
        <f t="shared" si="2384"/>
        <v/>
      </c>
      <c r="EA159" s="44" t="str">
        <f t="shared" si="2385"/>
        <v/>
      </c>
      <c r="EB159" s="44" t="str">
        <f t="shared" si="2386"/>
        <v/>
      </c>
      <c r="EC159" s="44" t="str">
        <f t="shared" si="2387"/>
        <v/>
      </c>
      <c r="ED159" s="44" t="str">
        <f t="shared" si="2388"/>
        <v/>
      </c>
      <c r="EE159" s="44" t="str">
        <f t="shared" si="2389"/>
        <v/>
      </c>
      <c r="EF159" s="44" t="str">
        <f t="shared" si="2390"/>
        <v/>
      </c>
      <c r="EG159" s="44" t="str">
        <f t="shared" si="2391"/>
        <v/>
      </c>
      <c r="EH159" s="44" t="str">
        <f t="shared" si="2392"/>
        <v/>
      </c>
      <c r="EI159" s="44" t="str">
        <f t="shared" si="2393"/>
        <v/>
      </c>
      <c r="EJ159" s="44" t="str">
        <f t="shared" si="2394"/>
        <v/>
      </c>
      <c r="EK159" s="44" t="str">
        <f t="shared" si="2395"/>
        <v/>
      </c>
      <c r="EL159" s="44" t="str">
        <f t="shared" si="2396"/>
        <v/>
      </c>
      <c r="EM159" s="44" t="str">
        <f t="shared" si="2397"/>
        <v/>
      </c>
      <c r="EN159" s="44" t="str">
        <f t="shared" si="2398"/>
        <v/>
      </c>
      <c r="EO159" s="44" t="str">
        <f t="shared" si="2399"/>
        <v/>
      </c>
      <c r="EP159" s="44" t="str">
        <f t="shared" si="2400"/>
        <v/>
      </c>
      <c r="EQ159" s="44" t="str">
        <f t="shared" si="2401"/>
        <v/>
      </c>
      <c r="ER159" s="44" t="str">
        <f t="shared" si="2402"/>
        <v/>
      </c>
      <c r="ES159" s="44" t="str">
        <f t="shared" si="2403"/>
        <v/>
      </c>
      <c r="ET159" s="44" t="str">
        <f t="shared" si="2404"/>
        <v/>
      </c>
      <c r="EU159" s="44" t="str">
        <f t="shared" si="2405"/>
        <v/>
      </c>
      <c r="EV159" s="44" t="str">
        <f t="shared" si="2406"/>
        <v/>
      </c>
      <c r="EW159" s="44" t="str">
        <f t="shared" si="2407"/>
        <v/>
      </c>
      <c r="EX159" s="44" t="str">
        <f t="shared" si="2408"/>
        <v/>
      </c>
      <c r="EY159" s="44" t="str">
        <f t="shared" si="2409"/>
        <v/>
      </c>
      <c r="EZ159" s="44" t="str">
        <f t="shared" si="2410"/>
        <v/>
      </c>
      <c r="FA159" s="44" t="str">
        <f t="shared" si="2411"/>
        <v/>
      </c>
      <c r="FB159" s="44" t="str">
        <f t="shared" si="2412"/>
        <v/>
      </c>
      <c r="FC159" s="44" t="str">
        <f t="shared" si="2413"/>
        <v/>
      </c>
      <c r="FD159" s="44" t="str">
        <f t="shared" si="2414"/>
        <v/>
      </c>
      <c r="FE159" s="44" t="str">
        <f t="shared" si="2415"/>
        <v/>
      </c>
      <c r="FF159" s="44" t="str">
        <f t="shared" si="2416"/>
        <v/>
      </c>
      <c r="FG159" s="44" t="str">
        <f t="shared" si="2417"/>
        <v/>
      </c>
      <c r="FH159" s="44" t="str">
        <f t="shared" si="2418"/>
        <v/>
      </c>
      <c r="FI159" s="44" t="str">
        <f t="shared" si="2419"/>
        <v/>
      </c>
      <c r="FJ159" s="44" t="str">
        <f t="shared" si="2420"/>
        <v/>
      </c>
      <c r="FK159" s="44" t="str">
        <f t="shared" si="2421"/>
        <v/>
      </c>
      <c r="FL159" s="44" t="str">
        <f t="shared" si="2422"/>
        <v/>
      </c>
      <c r="FM159" s="44" t="str">
        <f t="shared" si="2423"/>
        <v/>
      </c>
      <c r="FN159" s="44" t="str">
        <f t="shared" si="2424"/>
        <v/>
      </c>
      <c r="FO159" s="44" t="str">
        <f t="shared" si="2425"/>
        <v/>
      </c>
      <c r="FP159" s="44" t="str">
        <f t="shared" si="2426"/>
        <v/>
      </c>
      <c r="FQ159" s="44" t="str">
        <f t="shared" si="2427"/>
        <v/>
      </c>
      <c r="FR159" s="44" t="str">
        <f t="shared" si="2428"/>
        <v/>
      </c>
      <c r="FS159" s="44" t="str">
        <f t="shared" si="2429"/>
        <v/>
      </c>
    </row>
    <row r="160" ht="15" spans="1:175">
      <c r="A160" s="5"/>
      <c r="B160" s="5" t="s">
        <v>545</v>
      </c>
      <c r="C160" s="6" t="s">
        <v>546</v>
      </c>
      <c r="T160" s="6" t="s">
        <v>547</v>
      </c>
      <c r="U160" s="60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72" t="str">
        <f t="shared" si="2358"/>
        <v>|n</v>
      </c>
      <c r="CV160" s="6" t="str">
        <f t="shared" si="2359"/>
        <v>获得|Cffffc92620000|r金币</v>
      </c>
      <c r="CW160" s="7"/>
      <c r="CX160" s="7"/>
      <c r="CY160" s="7"/>
      <c r="CZ160" s="7"/>
      <c r="DA160" s="7"/>
      <c r="DB160" s="44" t="str">
        <f t="shared" si="2360"/>
        <v/>
      </c>
      <c r="DC160" s="44" t="str">
        <f t="shared" si="2361"/>
        <v/>
      </c>
      <c r="DD160" s="44" t="str">
        <f t="shared" si="2362"/>
        <v/>
      </c>
      <c r="DE160" s="44" t="str">
        <f t="shared" si="2363"/>
        <v/>
      </c>
      <c r="DF160" s="44" t="str">
        <f t="shared" si="2364"/>
        <v/>
      </c>
      <c r="DG160" s="44" t="str">
        <f t="shared" si="2365"/>
        <v/>
      </c>
      <c r="DH160" s="44" t="str">
        <f t="shared" si="2366"/>
        <v/>
      </c>
      <c r="DI160" s="44" t="str">
        <f t="shared" si="2367"/>
        <v/>
      </c>
      <c r="DJ160" s="44" t="str">
        <f t="shared" si="2368"/>
        <v/>
      </c>
      <c r="DK160" s="44" t="str">
        <f t="shared" si="2369"/>
        <v/>
      </c>
      <c r="DL160" s="44" t="str">
        <f t="shared" si="2370"/>
        <v/>
      </c>
      <c r="DM160" s="44" t="str">
        <f t="shared" si="2371"/>
        <v/>
      </c>
      <c r="DN160" s="44" t="str">
        <f t="shared" si="2372"/>
        <v/>
      </c>
      <c r="DO160" s="44" t="str">
        <f t="shared" si="2373"/>
        <v/>
      </c>
      <c r="DP160" s="44" t="str">
        <f t="shared" si="2374"/>
        <v/>
      </c>
      <c r="DQ160" s="44" t="str">
        <f t="shared" si="2375"/>
        <v/>
      </c>
      <c r="DR160" s="44" t="str">
        <f t="shared" si="2376"/>
        <v/>
      </c>
      <c r="DS160" s="44" t="str">
        <f t="shared" si="2377"/>
        <v/>
      </c>
      <c r="DT160" s="44" t="str">
        <f t="shared" si="2378"/>
        <v/>
      </c>
      <c r="DU160" s="44" t="str">
        <f t="shared" si="2379"/>
        <v/>
      </c>
      <c r="DV160" s="44" t="str">
        <f t="shared" si="2380"/>
        <v/>
      </c>
      <c r="DW160" s="44" t="str">
        <f t="shared" si="2381"/>
        <v/>
      </c>
      <c r="DX160" s="44" t="str">
        <f t="shared" si="2382"/>
        <v/>
      </c>
      <c r="DY160" s="44" t="str">
        <f t="shared" si="2383"/>
        <v/>
      </c>
      <c r="DZ160" s="44" t="str">
        <f t="shared" si="2384"/>
        <v/>
      </c>
      <c r="EA160" s="44" t="str">
        <f t="shared" si="2385"/>
        <v/>
      </c>
      <c r="EB160" s="44" t="str">
        <f t="shared" si="2386"/>
        <v/>
      </c>
      <c r="EC160" s="44" t="str">
        <f t="shared" si="2387"/>
        <v/>
      </c>
      <c r="ED160" s="44" t="str">
        <f t="shared" si="2388"/>
        <v/>
      </c>
      <c r="EE160" s="44" t="str">
        <f t="shared" si="2389"/>
        <v/>
      </c>
      <c r="EF160" s="44" t="str">
        <f t="shared" si="2390"/>
        <v/>
      </c>
      <c r="EG160" s="44" t="str">
        <f t="shared" si="2391"/>
        <v/>
      </c>
      <c r="EH160" s="44" t="str">
        <f t="shared" si="2392"/>
        <v/>
      </c>
      <c r="EI160" s="44" t="str">
        <f t="shared" si="2393"/>
        <v/>
      </c>
      <c r="EJ160" s="44" t="str">
        <f t="shared" si="2394"/>
        <v/>
      </c>
      <c r="EK160" s="44" t="str">
        <f t="shared" si="2395"/>
        <v/>
      </c>
      <c r="EL160" s="44" t="str">
        <f t="shared" si="2396"/>
        <v/>
      </c>
      <c r="EM160" s="44" t="str">
        <f t="shared" si="2397"/>
        <v/>
      </c>
      <c r="EN160" s="44" t="str">
        <f t="shared" si="2398"/>
        <v/>
      </c>
      <c r="EO160" s="44" t="str">
        <f t="shared" si="2399"/>
        <v/>
      </c>
      <c r="EP160" s="44" t="str">
        <f t="shared" si="2400"/>
        <v/>
      </c>
      <c r="EQ160" s="44" t="str">
        <f t="shared" si="2401"/>
        <v/>
      </c>
      <c r="ER160" s="44" t="str">
        <f t="shared" si="2402"/>
        <v/>
      </c>
      <c r="ES160" s="44" t="str">
        <f t="shared" si="2403"/>
        <v/>
      </c>
      <c r="ET160" s="44" t="str">
        <f t="shared" si="2404"/>
        <v/>
      </c>
      <c r="EU160" s="44" t="str">
        <f t="shared" si="2405"/>
        <v/>
      </c>
      <c r="EV160" s="44" t="str">
        <f t="shared" si="2406"/>
        <v/>
      </c>
      <c r="EW160" s="44" t="str">
        <f t="shared" si="2407"/>
        <v/>
      </c>
      <c r="EX160" s="44" t="str">
        <f t="shared" si="2408"/>
        <v/>
      </c>
      <c r="EY160" s="44" t="str">
        <f t="shared" si="2409"/>
        <v/>
      </c>
      <c r="EZ160" s="44" t="str">
        <f t="shared" si="2410"/>
        <v/>
      </c>
      <c r="FA160" s="44" t="str">
        <f t="shared" si="2411"/>
        <v/>
      </c>
      <c r="FB160" s="44" t="str">
        <f t="shared" si="2412"/>
        <v/>
      </c>
      <c r="FC160" s="44" t="str">
        <f t="shared" si="2413"/>
        <v/>
      </c>
      <c r="FD160" s="44" t="str">
        <f t="shared" si="2414"/>
        <v/>
      </c>
      <c r="FE160" s="44" t="str">
        <f t="shared" si="2415"/>
        <v/>
      </c>
      <c r="FF160" s="44" t="str">
        <f t="shared" si="2416"/>
        <v/>
      </c>
      <c r="FG160" s="44" t="str">
        <f t="shared" si="2417"/>
        <v/>
      </c>
      <c r="FH160" s="44" t="str">
        <f t="shared" si="2418"/>
        <v/>
      </c>
      <c r="FI160" s="44" t="str">
        <f t="shared" si="2419"/>
        <v/>
      </c>
      <c r="FJ160" s="44" t="str">
        <f t="shared" si="2420"/>
        <v/>
      </c>
      <c r="FK160" s="44" t="str">
        <f t="shared" si="2421"/>
        <v/>
      </c>
      <c r="FL160" s="44" t="str">
        <f t="shared" si="2422"/>
        <v/>
      </c>
      <c r="FM160" s="44" t="str">
        <f t="shared" si="2423"/>
        <v/>
      </c>
      <c r="FN160" s="44" t="str">
        <f t="shared" si="2424"/>
        <v/>
      </c>
      <c r="FO160" s="44" t="str">
        <f t="shared" si="2425"/>
        <v/>
      </c>
      <c r="FP160" s="44" t="str">
        <f t="shared" si="2426"/>
        <v/>
      </c>
      <c r="FQ160" s="44" t="str">
        <f t="shared" si="2427"/>
        <v/>
      </c>
      <c r="FR160" s="44" t="str">
        <f t="shared" si="2428"/>
        <v/>
      </c>
      <c r="FS160" s="44" t="str">
        <f t="shared" si="2429"/>
        <v/>
      </c>
    </row>
    <row r="161" ht="15" spans="1:175">
      <c r="A161" s="5"/>
      <c r="B161" s="5" t="s">
        <v>548</v>
      </c>
      <c r="C161" s="6" t="s">
        <v>549</v>
      </c>
      <c r="T161" s="6" t="s">
        <v>550</v>
      </c>
      <c r="U161" s="60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72" t="str">
        <f t="shared" si="1914"/>
        <v>|n</v>
      </c>
      <c r="CV161" s="6" t="str">
        <f t="shared" si="1915"/>
        <v>获得|Cffffc9262000|r金币</v>
      </c>
      <c r="CW161" s="7"/>
      <c r="CX161" s="7"/>
      <c r="CY161" s="7"/>
      <c r="CZ161" s="7"/>
      <c r="DA161" s="7"/>
      <c r="DB161" s="44" t="str">
        <f t="shared" si="1916"/>
        <v/>
      </c>
      <c r="DC161" s="44" t="str">
        <f t="shared" si="1917"/>
        <v/>
      </c>
      <c r="DD161" s="44" t="str">
        <f t="shared" si="1918"/>
        <v/>
      </c>
      <c r="DE161" s="44" t="str">
        <f t="shared" si="1919"/>
        <v/>
      </c>
      <c r="DF161" s="44" t="str">
        <f t="shared" si="1920"/>
        <v/>
      </c>
      <c r="DG161" s="44" t="str">
        <f t="shared" si="1921"/>
        <v/>
      </c>
      <c r="DH161" s="44" t="str">
        <f t="shared" si="1922"/>
        <v/>
      </c>
      <c r="DI161" s="44" t="str">
        <f t="shared" si="1923"/>
        <v/>
      </c>
      <c r="DJ161" s="44" t="str">
        <f t="shared" si="1924"/>
        <v/>
      </c>
      <c r="DK161" s="44" t="str">
        <f t="shared" si="1925"/>
        <v/>
      </c>
      <c r="DL161" s="44" t="str">
        <f t="shared" si="1926"/>
        <v/>
      </c>
      <c r="DM161" s="44" t="str">
        <f t="shared" si="1927"/>
        <v/>
      </c>
      <c r="DN161" s="44" t="str">
        <f t="shared" si="1928"/>
        <v/>
      </c>
      <c r="DO161" s="44" t="str">
        <f t="shared" si="1929"/>
        <v/>
      </c>
      <c r="DP161" s="44" t="str">
        <f t="shared" si="1930"/>
        <v/>
      </c>
      <c r="DQ161" s="44" t="str">
        <f t="shared" si="1931"/>
        <v/>
      </c>
      <c r="DR161" s="44" t="str">
        <f t="shared" si="1932"/>
        <v/>
      </c>
      <c r="DS161" s="44" t="str">
        <f t="shared" si="1933"/>
        <v/>
      </c>
      <c r="DT161" s="44" t="str">
        <f t="shared" si="1934"/>
        <v/>
      </c>
      <c r="DU161" s="44" t="str">
        <f t="shared" si="1935"/>
        <v/>
      </c>
      <c r="DV161" s="44" t="str">
        <f t="shared" si="1936"/>
        <v/>
      </c>
      <c r="DW161" s="44" t="str">
        <f t="shared" si="1937"/>
        <v/>
      </c>
      <c r="DX161" s="44" t="str">
        <f t="shared" si="1938"/>
        <v/>
      </c>
      <c r="DY161" s="44" t="str">
        <f t="shared" si="1939"/>
        <v/>
      </c>
      <c r="DZ161" s="44" t="str">
        <f t="shared" si="1940"/>
        <v/>
      </c>
      <c r="EA161" s="44" t="str">
        <f t="shared" si="1941"/>
        <v/>
      </c>
      <c r="EB161" s="44" t="str">
        <f t="shared" si="1942"/>
        <v/>
      </c>
      <c r="EC161" s="44" t="str">
        <f t="shared" si="1943"/>
        <v/>
      </c>
      <c r="ED161" s="44" t="str">
        <f t="shared" si="1944"/>
        <v/>
      </c>
      <c r="EE161" s="44" t="str">
        <f t="shared" si="1945"/>
        <v/>
      </c>
      <c r="EF161" s="44" t="str">
        <f t="shared" si="1946"/>
        <v/>
      </c>
      <c r="EG161" s="44" t="str">
        <f t="shared" si="1947"/>
        <v/>
      </c>
      <c r="EH161" s="44" t="str">
        <f t="shared" si="1948"/>
        <v/>
      </c>
      <c r="EI161" s="44" t="str">
        <f t="shared" si="1949"/>
        <v/>
      </c>
      <c r="EJ161" s="44" t="str">
        <f t="shared" si="1950"/>
        <v/>
      </c>
      <c r="EK161" s="44" t="str">
        <f t="shared" si="1951"/>
        <v/>
      </c>
      <c r="EL161" s="44" t="str">
        <f t="shared" si="1952"/>
        <v/>
      </c>
      <c r="EM161" s="44" t="str">
        <f t="shared" si="1953"/>
        <v/>
      </c>
      <c r="EN161" s="44" t="str">
        <f t="shared" si="1954"/>
        <v/>
      </c>
      <c r="EO161" s="44" t="str">
        <f t="shared" si="1955"/>
        <v/>
      </c>
      <c r="EP161" s="44" t="str">
        <f t="shared" si="1956"/>
        <v/>
      </c>
      <c r="EQ161" s="44" t="str">
        <f t="shared" si="1957"/>
        <v/>
      </c>
      <c r="ER161" s="44" t="str">
        <f t="shared" si="1958"/>
        <v/>
      </c>
      <c r="ES161" s="44" t="str">
        <f t="shared" si="1959"/>
        <v/>
      </c>
      <c r="ET161" s="44" t="str">
        <f t="shared" si="1960"/>
        <v/>
      </c>
      <c r="EU161" s="44" t="str">
        <f t="shared" si="1961"/>
        <v/>
      </c>
      <c r="EV161" s="44" t="str">
        <f t="shared" si="1962"/>
        <v/>
      </c>
      <c r="EW161" s="44" t="str">
        <f t="shared" si="1963"/>
        <v/>
      </c>
      <c r="EX161" s="44" t="str">
        <f t="shared" si="1964"/>
        <v/>
      </c>
      <c r="EY161" s="44" t="str">
        <f t="shared" si="1965"/>
        <v/>
      </c>
      <c r="EZ161" s="44" t="str">
        <f t="shared" si="1966"/>
        <v/>
      </c>
      <c r="FA161" s="44" t="str">
        <f t="shared" si="1967"/>
        <v/>
      </c>
      <c r="FB161" s="44" t="str">
        <f t="shared" si="1968"/>
        <v/>
      </c>
      <c r="FC161" s="44" t="str">
        <f t="shared" si="1969"/>
        <v/>
      </c>
      <c r="FD161" s="44" t="str">
        <f t="shared" si="1970"/>
        <v/>
      </c>
      <c r="FE161" s="44" t="str">
        <f t="shared" si="1971"/>
        <v/>
      </c>
      <c r="FF161" s="44" t="str">
        <f t="shared" si="1972"/>
        <v/>
      </c>
      <c r="FG161" s="44" t="str">
        <f t="shared" si="1973"/>
        <v/>
      </c>
      <c r="FH161" s="44" t="str">
        <f t="shared" si="1974"/>
        <v/>
      </c>
      <c r="FI161" s="44" t="str">
        <f t="shared" si="1975"/>
        <v/>
      </c>
      <c r="FJ161" s="44" t="str">
        <f t="shared" si="1976"/>
        <v/>
      </c>
      <c r="FK161" s="44" t="str">
        <f t="shared" si="1977"/>
        <v/>
      </c>
      <c r="FL161" s="44" t="str">
        <f t="shared" si="1978"/>
        <v/>
      </c>
      <c r="FM161" s="44" t="str">
        <f t="shared" si="1979"/>
        <v/>
      </c>
      <c r="FN161" s="44" t="str">
        <f t="shared" si="1980"/>
        <v/>
      </c>
      <c r="FO161" s="44" t="str">
        <f t="shared" si="1981"/>
        <v/>
      </c>
      <c r="FP161" s="44" t="str">
        <f t="shared" si="1982"/>
        <v/>
      </c>
      <c r="FQ161" s="44" t="str">
        <f t="shared" si="1983"/>
        <v/>
      </c>
      <c r="FR161" s="44" t="str">
        <f t="shared" si="1984"/>
        <v/>
      </c>
      <c r="FS161" s="44" t="str">
        <f t="shared" si="1985"/>
        <v/>
      </c>
    </row>
    <row r="162" ht="41.4" spans="1:175">
      <c r="A162" s="5"/>
      <c r="B162" s="5" t="s">
        <v>551</v>
      </c>
      <c r="C162" s="6" t="s">
        <v>552</v>
      </c>
      <c r="T162" s="91" t="s">
        <v>553</v>
      </c>
      <c r="U162" s="60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72" t="str">
        <f t="shared" si="1914"/>
        <v>|n</v>
      </c>
      <c r="CV162" s="6" t="str">
        <f t="shared" si="1915"/>
        <v>若使用后|Cffffc9265|r秒内|Cffffc926基地濒死|r，则击杀其600码范围内所有生物。|n|n|Cff00ff7f不分敌我|r</v>
      </c>
      <c r="CW162" s="7"/>
      <c r="CX162" s="7"/>
      <c r="CY162" s="7"/>
      <c r="CZ162" s="7"/>
      <c r="DA162" s="7"/>
      <c r="DB162" s="44" t="str">
        <f t="shared" si="1916"/>
        <v/>
      </c>
      <c r="DC162" s="44" t="str">
        <f t="shared" si="1917"/>
        <v/>
      </c>
      <c r="DD162" s="44" t="str">
        <f t="shared" si="1918"/>
        <v/>
      </c>
      <c r="DE162" s="44" t="str">
        <f t="shared" si="1919"/>
        <v/>
      </c>
      <c r="DF162" s="44" t="str">
        <f t="shared" si="1920"/>
        <v/>
      </c>
      <c r="DG162" s="44" t="str">
        <f t="shared" si="1921"/>
        <v/>
      </c>
      <c r="DH162" s="44" t="str">
        <f t="shared" si="1922"/>
        <v/>
      </c>
      <c r="DI162" s="44" t="str">
        <f t="shared" si="1923"/>
        <v/>
      </c>
      <c r="DJ162" s="44" t="str">
        <f t="shared" si="1924"/>
        <v/>
      </c>
      <c r="DK162" s="44" t="str">
        <f t="shared" si="1925"/>
        <v/>
      </c>
      <c r="DL162" s="44" t="str">
        <f t="shared" si="1926"/>
        <v/>
      </c>
      <c r="DM162" s="44" t="str">
        <f t="shared" si="1927"/>
        <v/>
      </c>
      <c r="DN162" s="44" t="str">
        <f t="shared" si="1928"/>
        <v/>
      </c>
      <c r="DO162" s="44" t="str">
        <f t="shared" si="1929"/>
        <v/>
      </c>
      <c r="DP162" s="44" t="str">
        <f t="shared" si="1930"/>
        <v/>
      </c>
      <c r="DQ162" s="44" t="str">
        <f t="shared" si="1931"/>
        <v/>
      </c>
      <c r="DR162" s="44" t="str">
        <f t="shared" si="1932"/>
        <v/>
      </c>
      <c r="DS162" s="44" t="str">
        <f t="shared" si="1933"/>
        <v/>
      </c>
      <c r="DT162" s="44" t="str">
        <f t="shared" si="1934"/>
        <v/>
      </c>
      <c r="DU162" s="44" t="str">
        <f t="shared" si="1935"/>
        <v/>
      </c>
      <c r="DV162" s="44" t="str">
        <f t="shared" si="1936"/>
        <v/>
      </c>
      <c r="DW162" s="44" t="str">
        <f t="shared" si="1937"/>
        <v/>
      </c>
      <c r="DX162" s="44" t="str">
        <f t="shared" si="1938"/>
        <v/>
      </c>
      <c r="DY162" s="44" t="str">
        <f t="shared" si="1939"/>
        <v/>
      </c>
      <c r="DZ162" s="44" t="str">
        <f t="shared" si="1940"/>
        <v/>
      </c>
      <c r="EA162" s="44" t="str">
        <f t="shared" si="1941"/>
        <v/>
      </c>
      <c r="EB162" s="44" t="str">
        <f t="shared" si="1942"/>
        <v/>
      </c>
      <c r="EC162" s="44" t="str">
        <f t="shared" si="1943"/>
        <v/>
      </c>
      <c r="ED162" s="44" t="str">
        <f t="shared" si="1944"/>
        <v/>
      </c>
      <c r="EE162" s="44" t="str">
        <f t="shared" si="1945"/>
        <v/>
      </c>
      <c r="EF162" s="44" t="str">
        <f t="shared" si="1946"/>
        <v/>
      </c>
      <c r="EG162" s="44" t="str">
        <f t="shared" si="1947"/>
        <v/>
      </c>
      <c r="EH162" s="44" t="str">
        <f t="shared" si="1948"/>
        <v/>
      </c>
      <c r="EI162" s="44" t="str">
        <f t="shared" si="1949"/>
        <v/>
      </c>
      <c r="EJ162" s="44" t="str">
        <f t="shared" si="1950"/>
        <v/>
      </c>
      <c r="EK162" s="44" t="str">
        <f t="shared" si="1951"/>
        <v/>
      </c>
      <c r="EL162" s="44" t="str">
        <f t="shared" si="1952"/>
        <v/>
      </c>
      <c r="EM162" s="44" t="str">
        <f t="shared" si="1953"/>
        <v/>
      </c>
      <c r="EN162" s="44" t="str">
        <f t="shared" si="1954"/>
        <v/>
      </c>
      <c r="EO162" s="44" t="str">
        <f t="shared" si="1955"/>
        <v/>
      </c>
      <c r="EP162" s="44" t="str">
        <f t="shared" si="1956"/>
        <v/>
      </c>
      <c r="EQ162" s="44" t="str">
        <f t="shared" si="1957"/>
        <v/>
      </c>
      <c r="ER162" s="44" t="str">
        <f t="shared" si="1958"/>
        <v/>
      </c>
      <c r="ES162" s="44" t="str">
        <f t="shared" si="1959"/>
        <v/>
      </c>
      <c r="ET162" s="44" t="str">
        <f t="shared" si="1960"/>
        <v/>
      </c>
      <c r="EU162" s="44" t="str">
        <f t="shared" si="1961"/>
        <v/>
      </c>
      <c r="EV162" s="44" t="str">
        <f t="shared" si="1962"/>
        <v/>
      </c>
      <c r="EW162" s="44" t="str">
        <f t="shared" si="1963"/>
        <v/>
      </c>
      <c r="EX162" s="44" t="str">
        <f t="shared" si="1964"/>
        <v/>
      </c>
      <c r="EY162" s="44" t="str">
        <f t="shared" si="1965"/>
        <v/>
      </c>
      <c r="EZ162" s="44" t="str">
        <f t="shared" si="1966"/>
        <v/>
      </c>
      <c r="FA162" s="44" t="str">
        <f t="shared" si="1967"/>
        <v/>
      </c>
      <c r="FB162" s="44" t="str">
        <f t="shared" si="1968"/>
        <v/>
      </c>
      <c r="FC162" s="44" t="str">
        <f t="shared" si="1969"/>
        <v/>
      </c>
      <c r="FD162" s="44" t="str">
        <f t="shared" si="1970"/>
        <v/>
      </c>
      <c r="FE162" s="44" t="str">
        <f t="shared" si="1971"/>
        <v/>
      </c>
      <c r="FF162" s="44" t="str">
        <f t="shared" si="1972"/>
        <v/>
      </c>
      <c r="FG162" s="44" t="str">
        <f t="shared" si="1973"/>
        <v/>
      </c>
      <c r="FH162" s="44" t="str">
        <f t="shared" si="1974"/>
        <v/>
      </c>
      <c r="FI162" s="44" t="str">
        <f t="shared" si="1975"/>
        <v/>
      </c>
      <c r="FJ162" s="44" t="str">
        <f t="shared" si="1976"/>
        <v/>
      </c>
      <c r="FK162" s="44" t="str">
        <f t="shared" si="1977"/>
        <v/>
      </c>
      <c r="FL162" s="44" t="str">
        <f t="shared" si="1978"/>
        <v/>
      </c>
      <c r="FM162" s="44" t="str">
        <f t="shared" si="1979"/>
        <v/>
      </c>
      <c r="FN162" s="44" t="str">
        <f t="shared" si="1980"/>
        <v/>
      </c>
      <c r="FO162" s="44" t="str">
        <f t="shared" si="1981"/>
        <v/>
      </c>
      <c r="FP162" s="44" t="str">
        <f t="shared" si="1982"/>
        <v/>
      </c>
      <c r="FQ162" s="44" t="str">
        <f t="shared" si="1983"/>
        <v/>
      </c>
      <c r="FR162" s="44" t="str">
        <f t="shared" si="1984"/>
        <v/>
      </c>
      <c r="FS162" s="44" t="str">
        <f t="shared" si="1985"/>
        <v/>
      </c>
    </row>
    <row r="163" ht="41.4" spans="1:175">
      <c r="A163" s="5"/>
      <c r="B163" s="5" t="s">
        <v>554</v>
      </c>
      <c r="C163" s="6" t="s">
        <v>555</v>
      </c>
      <c r="T163" s="92" t="s">
        <v>556</v>
      </c>
      <c r="U163" s="60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72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获得一个|Cffffc926补天石|r。|n|n|Cff00ff7f“法宝F4”查看，重置指定法宝，品质不变。|r</v>
      </c>
      <c r="CW163" s="7"/>
      <c r="CX163" s="7"/>
      <c r="CY163" s="7"/>
      <c r="CZ163" s="7"/>
      <c r="DA163" s="7"/>
      <c r="DB163" s="44" t="str">
        <f t="shared" ref="DB163:DB165" si="2432">IF(V163="","","|n"&amp;DB$2&amp;"+"&amp;V163&amp;DB$1)</f>
        <v/>
      </c>
      <c r="DC163" s="44" t="str">
        <f t="shared" ref="DC163:DC165" si="2433">IF(W163="","","|n"&amp;DC$2&amp;"+"&amp;W163&amp;DC$1)</f>
        <v/>
      </c>
      <c r="DD163" s="44" t="str">
        <f t="shared" ref="DD163:DD165" si="2434">IF(X163="","","|n"&amp;DD$2&amp;"+"&amp;X163&amp;DD$1)</f>
        <v/>
      </c>
      <c r="DE163" s="44" t="str">
        <f t="shared" ref="DE163:DE165" si="2435">IF(Y163="","","|n"&amp;DE$2&amp;"+"&amp;Y163&amp;DE$1)</f>
        <v/>
      </c>
      <c r="DF163" s="44" t="str">
        <f t="shared" ref="DF163:DF165" si="2436">IF(Z163="","","|n"&amp;DF$2&amp;"+"&amp;Z163&amp;DF$1)</f>
        <v/>
      </c>
      <c r="DG163" s="44" t="str">
        <f t="shared" ref="DG163:DG165" si="2437">IF(AA163="","","|n"&amp;DG$2&amp;"+"&amp;AA163&amp;DG$1)</f>
        <v/>
      </c>
      <c r="DH163" s="44" t="str">
        <f t="shared" ref="DH163:DH165" si="2438">IF(AB163="","","|n"&amp;DH$2&amp;"+"&amp;AB163&amp;DH$1)</f>
        <v/>
      </c>
      <c r="DI163" s="44" t="str">
        <f t="shared" ref="DI163:DI165" si="2439">IF(AC163="","","|n"&amp;DI$2&amp;"+"&amp;AC163&amp;DI$1)</f>
        <v/>
      </c>
      <c r="DJ163" s="44" t="str">
        <f t="shared" ref="DJ163:DJ165" si="2440">IF(AD163="","","|n"&amp;DJ$2&amp;"+"&amp;AD163&amp;DJ$1)</f>
        <v/>
      </c>
      <c r="DK163" s="44" t="str">
        <f t="shared" ref="DK163:DK165" si="2441">IF(AE163="","","|n"&amp;DK$2&amp;"+"&amp;AE163&amp;DK$1)</f>
        <v/>
      </c>
      <c r="DL163" s="44" t="str">
        <f t="shared" ref="DL163:DL165" si="2442">IF(AF163="","","|n"&amp;DL$2&amp;"+"&amp;AF163&amp;DL$1)</f>
        <v/>
      </c>
      <c r="DM163" s="44" t="str">
        <f t="shared" ref="DM163:DM165" si="2443">IF(AG163="","","|n"&amp;DM$2&amp;"+"&amp;AG163&amp;DM$1)</f>
        <v/>
      </c>
      <c r="DN163" s="44" t="str">
        <f t="shared" ref="DN163:DN165" si="2444">IF(AH163="","","|n"&amp;DN$2&amp;"+"&amp;AH163&amp;DN$1)</f>
        <v/>
      </c>
      <c r="DO163" s="44" t="str">
        <f t="shared" ref="DO163:DO165" si="2445">IF(AI163="","","|n"&amp;DO$2&amp;"+"&amp;AI163&amp;DO$1)</f>
        <v/>
      </c>
      <c r="DP163" s="44" t="str">
        <f t="shared" ref="DP163:DP165" si="2446">IF(AJ163="","","|n"&amp;DP$2&amp;"+"&amp;AJ163&amp;DP$1)</f>
        <v/>
      </c>
      <c r="DQ163" s="44" t="str">
        <f t="shared" ref="DQ163:DQ165" si="2447">IF(AK163="","","|n"&amp;DQ$2&amp;"+"&amp;AK163&amp;DQ$1)</f>
        <v/>
      </c>
      <c r="DR163" s="44" t="str">
        <f t="shared" ref="DR163:DR165" si="2448">IF(AL163="","","|n"&amp;DR$2&amp;"+"&amp;AL163&amp;DR$1)</f>
        <v/>
      </c>
      <c r="DS163" s="44" t="str">
        <f t="shared" ref="DS163:DS165" si="2449">IF(AM163="","","|n"&amp;DS$2&amp;"+"&amp;AM163&amp;DS$1)</f>
        <v/>
      </c>
      <c r="DT163" s="44" t="str">
        <f t="shared" ref="DT163:DT165" si="2450">IF(AN163="","","|n"&amp;DT$2&amp;"+"&amp;AN163&amp;DT$1)</f>
        <v/>
      </c>
      <c r="DU163" s="44" t="str">
        <f t="shared" ref="DU163:DU165" si="2451">IF(AO163="","","|n"&amp;DU$2&amp;"+"&amp;AO163&amp;DU$1)</f>
        <v/>
      </c>
      <c r="DV163" s="44" t="str">
        <f t="shared" ref="DV163:DV165" si="2452">IF(AP163="","","|n"&amp;DV$2&amp;"+"&amp;AP163&amp;DV$1)</f>
        <v/>
      </c>
      <c r="DW163" s="44" t="str">
        <f t="shared" ref="DW163:DW165" si="2453">IF(AQ163="","","|n"&amp;DW$2&amp;"+"&amp;AQ163&amp;DW$1)</f>
        <v/>
      </c>
      <c r="DX163" s="44" t="str">
        <f t="shared" ref="DX163:DX165" si="2454">IF(AR163="","","|n"&amp;DX$2&amp;"+"&amp;AR163&amp;DX$1)</f>
        <v/>
      </c>
      <c r="DY163" s="44" t="str">
        <f t="shared" ref="DY163:DY165" si="2455">IF(AS163="","","|n"&amp;DY$2&amp;"+"&amp;AS163&amp;DY$1)</f>
        <v/>
      </c>
      <c r="DZ163" s="44" t="str">
        <f t="shared" ref="DZ163:DZ165" si="2456">IF(AT163="","","|n"&amp;DZ$2&amp;"+"&amp;AT163&amp;DZ$1)</f>
        <v/>
      </c>
      <c r="EA163" s="44" t="str">
        <f t="shared" ref="EA163:EA165" si="2457">IF(AU163="","","|n"&amp;EA$2&amp;"+"&amp;AU163&amp;EA$1)</f>
        <v/>
      </c>
      <c r="EB163" s="44" t="str">
        <f t="shared" ref="EB163:EB165" si="2458">IF(AV163="","","|n"&amp;EB$2&amp;"+"&amp;AV163&amp;EB$1)</f>
        <v/>
      </c>
      <c r="EC163" s="44" t="str">
        <f t="shared" ref="EC163:EC165" si="2459">IF(AW163="","","|n"&amp;EC$2&amp;"+"&amp;AW163&amp;EC$1)</f>
        <v/>
      </c>
      <c r="ED163" s="44" t="str">
        <f t="shared" ref="ED163:ED165" si="2460">IF(AX163="","","|n"&amp;ED$2&amp;"+"&amp;AX163&amp;ED$1)</f>
        <v/>
      </c>
      <c r="EE163" s="44" t="str">
        <f t="shared" ref="EE163:EE165" si="2461">IF(AY163="","","|n"&amp;EE$2&amp;"+"&amp;AY163&amp;EE$1)</f>
        <v/>
      </c>
      <c r="EF163" s="44" t="str">
        <f t="shared" ref="EF163:EF165" si="2462">IF(AZ163="","","|n"&amp;EF$2&amp;"+"&amp;AZ163&amp;EF$1)</f>
        <v/>
      </c>
      <c r="EG163" s="44" t="str">
        <f t="shared" ref="EG163:EG165" si="2463">IF(BA163="","","|n"&amp;EG$2&amp;"+"&amp;BA163&amp;EG$1)</f>
        <v/>
      </c>
      <c r="EH163" s="44" t="str">
        <f t="shared" ref="EH163:EH165" si="2464">IF(BB163="","","|n"&amp;EH$2&amp;"+"&amp;BB163&amp;EH$1)</f>
        <v/>
      </c>
      <c r="EI163" s="44" t="str">
        <f t="shared" ref="EI163:EI165" si="2465">IF(BC163="","","|n"&amp;EI$2&amp;"+"&amp;BC163&amp;EI$1)</f>
        <v/>
      </c>
      <c r="EJ163" s="44" t="str">
        <f t="shared" ref="EJ163:EJ165" si="2466">IF(BD163="","","|n"&amp;EJ$2&amp;"+"&amp;BD163&amp;EJ$1)</f>
        <v/>
      </c>
      <c r="EK163" s="44" t="str">
        <f t="shared" ref="EK163:EK165" si="2467">IF(BE163="","","|n"&amp;EK$2&amp;"+"&amp;BE163&amp;EK$1)</f>
        <v/>
      </c>
      <c r="EL163" s="44" t="str">
        <f t="shared" ref="EL163:EL165" si="2468">IF(BF163="","","|n"&amp;EL$2&amp;"+"&amp;BF163&amp;EL$1)</f>
        <v/>
      </c>
      <c r="EM163" s="44" t="str">
        <f t="shared" ref="EM163:EM165" si="2469">IF(BG163="","","|n"&amp;EM$2&amp;"+"&amp;BG163&amp;EM$1)</f>
        <v/>
      </c>
      <c r="EN163" s="44" t="str">
        <f t="shared" ref="EN163:EN165" si="2470">IF(BH163="","","|n"&amp;EN$2&amp;"+"&amp;BH163&amp;EN$1)</f>
        <v/>
      </c>
      <c r="EO163" s="44" t="str">
        <f t="shared" ref="EO163:EO165" si="2471">IF(BI163="","","|n"&amp;EO$2&amp;"+"&amp;BI163&amp;EO$1)</f>
        <v/>
      </c>
      <c r="EP163" s="44" t="str">
        <f t="shared" ref="EP163:EP165" si="2472">IF(BJ163="","","|n"&amp;EP$2&amp;"+"&amp;BJ163&amp;EP$1)</f>
        <v/>
      </c>
      <c r="EQ163" s="44" t="str">
        <f t="shared" ref="EQ163:EQ165" si="2473">IF(BK163="","","|n"&amp;EQ$2&amp;"+"&amp;BK163&amp;EQ$1)</f>
        <v/>
      </c>
      <c r="ER163" s="44" t="str">
        <f t="shared" ref="ER163:ER165" si="2474">IF(BL163="","","|n"&amp;ER$2&amp;"+"&amp;BL163&amp;ER$1)</f>
        <v/>
      </c>
      <c r="ES163" s="44" t="str">
        <f t="shared" ref="ES163:ES165" si="2475">IF(BM163="","","|n"&amp;ES$2&amp;"+"&amp;BM163&amp;ES$1)</f>
        <v/>
      </c>
      <c r="ET163" s="44" t="str">
        <f t="shared" ref="ET163:ET165" si="2476">IF(BN163="","","|n"&amp;ET$2&amp;"+"&amp;BN163&amp;ET$1)</f>
        <v/>
      </c>
      <c r="EU163" s="44" t="str">
        <f t="shared" ref="EU163:EU165" si="2477">IF(BO163="","","|n"&amp;EU$2&amp;"+"&amp;BO163&amp;EU$1)</f>
        <v/>
      </c>
      <c r="EV163" s="44" t="str">
        <f t="shared" ref="EV163:EV165" si="2478">IF(BP163="","","|n"&amp;EV$2&amp;"+"&amp;BP163&amp;EV$1)</f>
        <v/>
      </c>
      <c r="EW163" s="44" t="str">
        <f t="shared" ref="EW163:EW165" si="2479">IF(BQ163="","","|n"&amp;EW$2&amp;"+"&amp;BQ163&amp;EW$1)</f>
        <v/>
      </c>
      <c r="EX163" s="44" t="str">
        <f t="shared" ref="EX163:EX165" si="2480">IF(BR163="","","|n"&amp;EX$2&amp;"+"&amp;BR163&amp;EX$1)</f>
        <v/>
      </c>
      <c r="EY163" s="44" t="str">
        <f t="shared" ref="EY163:EY165" si="2481">IF(BS163="","","|n"&amp;EY$2&amp;"+"&amp;BS163&amp;EY$1)</f>
        <v/>
      </c>
      <c r="EZ163" s="44" t="str">
        <f t="shared" ref="EZ163:EZ165" si="2482">IF(BT163="","","|n"&amp;EZ$2&amp;"+"&amp;BT163&amp;EZ$1)</f>
        <v/>
      </c>
      <c r="FA163" s="44" t="str">
        <f t="shared" ref="FA163:FA165" si="2483">IF(BU163="","","|n"&amp;FA$2&amp;"+"&amp;BU163&amp;FA$1)</f>
        <v/>
      </c>
      <c r="FB163" s="44" t="str">
        <f t="shared" ref="FB163:FB165" si="2484">IF(BV163="","","|n"&amp;FB$2&amp;"+"&amp;BV163&amp;FB$1)</f>
        <v/>
      </c>
      <c r="FC163" s="44" t="str">
        <f t="shared" ref="FC163:FC165" si="2485">IF(BW163="","","|n"&amp;FC$2&amp;"+"&amp;BW163&amp;FC$1)</f>
        <v/>
      </c>
      <c r="FD163" s="44" t="str">
        <f t="shared" ref="FD163:FD165" si="2486">IF(BX163="","","|n"&amp;FD$2&amp;"+"&amp;BX163&amp;FD$1)</f>
        <v/>
      </c>
      <c r="FE163" s="44" t="str">
        <f t="shared" ref="FE163:FE165" si="2487">IF(BY163="","","|n"&amp;FE$2&amp;"+"&amp;BY163&amp;FE$1)</f>
        <v/>
      </c>
      <c r="FF163" s="44" t="str">
        <f t="shared" ref="FF163:FF165" si="2488">IF(BZ163="","","|n"&amp;FF$2&amp;"+"&amp;BZ163&amp;FF$1)</f>
        <v/>
      </c>
      <c r="FG163" s="44" t="str">
        <f t="shared" ref="FG163:FG165" si="2489">IF(CA163="","","|n"&amp;FG$2&amp;"+"&amp;CA163&amp;FG$1)</f>
        <v/>
      </c>
      <c r="FH163" s="44" t="str">
        <f t="shared" ref="FH163:FH165" si="2490">IF(CB163="","","|n"&amp;FH$2&amp;"+"&amp;CB163&amp;FH$1)</f>
        <v/>
      </c>
      <c r="FI163" s="44" t="str">
        <f t="shared" ref="FI163:FI165" si="2491">IF(CC163="","","|n"&amp;FI$2&amp;"+"&amp;CC163&amp;FI$1)</f>
        <v/>
      </c>
      <c r="FJ163" s="44" t="str">
        <f t="shared" ref="FJ163:FJ165" si="2492">IF(CD163="","","|n"&amp;FJ$2&amp;"+"&amp;CD163&amp;FJ$1)</f>
        <v/>
      </c>
      <c r="FK163" s="44" t="str">
        <f t="shared" ref="FK163:FK165" si="2493">IF(CE163="","","|n"&amp;FK$2&amp;"+"&amp;CE163&amp;FK$1)</f>
        <v/>
      </c>
      <c r="FL163" s="44" t="str">
        <f t="shared" ref="FL163:FL165" si="2494">IF(CF163="","","|n"&amp;FL$2&amp;"+"&amp;CF163&amp;FL$1)</f>
        <v/>
      </c>
      <c r="FM163" s="44" t="str">
        <f t="shared" ref="FM163:FM165" si="2495">IF(CG163="","","|n"&amp;FM$2&amp;"+"&amp;CG163&amp;FM$1)</f>
        <v/>
      </c>
      <c r="FN163" s="44" t="str">
        <f t="shared" ref="FN163:FN165" si="2496">IF(CH163="","","|n"&amp;FN$2&amp;"+"&amp;CH163&amp;FN$1)</f>
        <v/>
      </c>
      <c r="FO163" s="44" t="str">
        <f t="shared" ref="FO163:FO165" si="2497">IF(CI163="","","|n"&amp;FO$2&amp;"+"&amp;CI163&amp;FO$1)</f>
        <v/>
      </c>
      <c r="FP163" s="44" t="str">
        <f t="shared" ref="FP163:FP165" si="2498">IF(CJ163="","","|n"&amp;FP$2&amp;"+"&amp;CJ163&amp;FP$1)</f>
        <v/>
      </c>
      <c r="FQ163" s="44" t="str">
        <f t="shared" ref="FQ163:FQ165" si="2499">IF(CK163="","","|n"&amp;FQ$2&amp;"+"&amp;CK163&amp;FQ$1)</f>
        <v/>
      </c>
      <c r="FR163" s="44" t="str">
        <f t="shared" ref="FR163:FR165" si="2500">IF(CL163="","","|n"&amp;FR$2&amp;"+"&amp;CL163&amp;FR$1)</f>
        <v/>
      </c>
      <c r="FS163" s="44" t="str">
        <f t="shared" ref="FS163:FS165" si="2501">IF(CM163="","","|n"&amp;FS$2&amp;"+"&amp;CM163&amp;FS$1)</f>
        <v/>
      </c>
    </row>
    <row r="164" ht="41.4" spans="1:175">
      <c r="A164" s="5"/>
      <c r="B164" s="5" t="s">
        <v>557</v>
      </c>
      <c r="C164" s="6" t="s">
        <v>558</v>
      </c>
      <c r="T164" s="91" t="s">
        <v>559</v>
      </c>
      <c r="U164" s="60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72" t="str">
        <f t="shared" si="2430"/>
        <v>|n</v>
      </c>
      <c r="CV164" s="6" t="str">
        <f t="shared" si="2431"/>
        <v>获得一个|Cffff0000鸿蒙结晶|r。|n|n|Cff00ff7f“法宝F4”查看，重置指定法宝，品质提升一级。|r</v>
      </c>
      <c r="CW164" s="7"/>
      <c r="CX164" s="7"/>
      <c r="CY164" s="7"/>
      <c r="CZ164" s="7"/>
      <c r="DA164" s="7"/>
      <c r="DB164" s="44" t="str">
        <f t="shared" si="2432"/>
        <v/>
      </c>
      <c r="DC164" s="44" t="str">
        <f t="shared" si="2433"/>
        <v/>
      </c>
      <c r="DD164" s="44" t="str">
        <f t="shared" si="2434"/>
        <v/>
      </c>
      <c r="DE164" s="44" t="str">
        <f t="shared" si="2435"/>
        <v/>
      </c>
      <c r="DF164" s="44" t="str">
        <f t="shared" si="2436"/>
        <v/>
      </c>
      <c r="DG164" s="44" t="str">
        <f t="shared" si="2437"/>
        <v/>
      </c>
      <c r="DH164" s="44" t="str">
        <f t="shared" si="2438"/>
        <v/>
      </c>
      <c r="DI164" s="44" t="str">
        <f t="shared" si="2439"/>
        <v/>
      </c>
      <c r="DJ164" s="44" t="str">
        <f t="shared" si="2440"/>
        <v/>
      </c>
      <c r="DK164" s="44" t="str">
        <f t="shared" si="2441"/>
        <v/>
      </c>
      <c r="DL164" s="44" t="str">
        <f t="shared" si="2442"/>
        <v/>
      </c>
      <c r="DM164" s="44" t="str">
        <f t="shared" si="2443"/>
        <v/>
      </c>
      <c r="DN164" s="44" t="str">
        <f t="shared" si="2444"/>
        <v/>
      </c>
      <c r="DO164" s="44" t="str">
        <f t="shared" si="2445"/>
        <v/>
      </c>
      <c r="DP164" s="44" t="str">
        <f t="shared" si="2446"/>
        <v/>
      </c>
      <c r="DQ164" s="44" t="str">
        <f t="shared" si="2447"/>
        <v/>
      </c>
      <c r="DR164" s="44" t="str">
        <f t="shared" si="2448"/>
        <v/>
      </c>
      <c r="DS164" s="44" t="str">
        <f t="shared" si="2449"/>
        <v/>
      </c>
      <c r="DT164" s="44" t="str">
        <f t="shared" si="2450"/>
        <v/>
      </c>
      <c r="DU164" s="44" t="str">
        <f t="shared" si="2451"/>
        <v/>
      </c>
      <c r="DV164" s="44" t="str">
        <f t="shared" si="2452"/>
        <v/>
      </c>
      <c r="DW164" s="44" t="str">
        <f t="shared" si="2453"/>
        <v/>
      </c>
      <c r="DX164" s="44" t="str">
        <f t="shared" si="2454"/>
        <v/>
      </c>
      <c r="DY164" s="44" t="str">
        <f t="shared" si="2455"/>
        <v/>
      </c>
      <c r="DZ164" s="44" t="str">
        <f t="shared" si="2456"/>
        <v/>
      </c>
      <c r="EA164" s="44" t="str">
        <f t="shared" si="2457"/>
        <v/>
      </c>
      <c r="EB164" s="44" t="str">
        <f t="shared" si="2458"/>
        <v/>
      </c>
      <c r="EC164" s="44" t="str">
        <f t="shared" si="2459"/>
        <v/>
      </c>
      <c r="ED164" s="44" t="str">
        <f t="shared" si="2460"/>
        <v/>
      </c>
      <c r="EE164" s="44" t="str">
        <f t="shared" si="2461"/>
        <v/>
      </c>
      <c r="EF164" s="44" t="str">
        <f t="shared" si="2462"/>
        <v/>
      </c>
      <c r="EG164" s="44" t="str">
        <f t="shared" si="2463"/>
        <v/>
      </c>
      <c r="EH164" s="44" t="str">
        <f t="shared" si="2464"/>
        <v/>
      </c>
      <c r="EI164" s="44" t="str">
        <f t="shared" si="2465"/>
        <v/>
      </c>
      <c r="EJ164" s="44" t="str">
        <f t="shared" si="2466"/>
        <v/>
      </c>
      <c r="EK164" s="44" t="str">
        <f t="shared" si="2467"/>
        <v/>
      </c>
      <c r="EL164" s="44" t="str">
        <f t="shared" si="2468"/>
        <v/>
      </c>
      <c r="EM164" s="44" t="str">
        <f t="shared" si="2469"/>
        <v/>
      </c>
      <c r="EN164" s="44" t="str">
        <f t="shared" si="2470"/>
        <v/>
      </c>
      <c r="EO164" s="44" t="str">
        <f t="shared" si="2471"/>
        <v/>
      </c>
      <c r="EP164" s="44" t="str">
        <f t="shared" si="2472"/>
        <v/>
      </c>
      <c r="EQ164" s="44" t="str">
        <f t="shared" si="2473"/>
        <v/>
      </c>
      <c r="ER164" s="44" t="str">
        <f t="shared" si="2474"/>
        <v/>
      </c>
      <c r="ES164" s="44" t="str">
        <f t="shared" si="2475"/>
        <v/>
      </c>
      <c r="ET164" s="44" t="str">
        <f t="shared" si="2476"/>
        <v/>
      </c>
      <c r="EU164" s="44" t="str">
        <f t="shared" si="2477"/>
        <v/>
      </c>
      <c r="EV164" s="44" t="str">
        <f t="shared" si="2478"/>
        <v/>
      </c>
      <c r="EW164" s="44" t="str">
        <f t="shared" si="2479"/>
        <v/>
      </c>
      <c r="EX164" s="44" t="str">
        <f t="shared" si="2480"/>
        <v/>
      </c>
      <c r="EY164" s="44" t="str">
        <f t="shared" si="2481"/>
        <v/>
      </c>
      <c r="EZ164" s="44" t="str">
        <f t="shared" si="2482"/>
        <v/>
      </c>
      <c r="FA164" s="44" t="str">
        <f t="shared" si="2483"/>
        <v/>
      </c>
      <c r="FB164" s="44" t="str">
        <f t="shared" si="2484"/>
        <v/>
      </c>
      <c r="FC164" s="44" t="str">
        <f t="shared" si="2485"/>
        <v/>
      </c>
      <c r="FD164" s="44" t="str">
        <f t="shared" si="2486"/>
        <v/>
      </c>
      <c r="FE164" s="44" t="str">
        <f t="shared" si="2487"/>
        <v/>
      </c>
      <c r="FF164" s="44" t="str">
        <f t="shared" si="2488"/>
        <v/>
      </c>
      <c r="FG164" s="44" t="str">
        <f t="shared" si="2489"/>
        <v/>
      </c>
      <c r="FH164" s="44" t="str">
        <f t="shared" si="2490"/>
        <v/>
      </c>
      <c r="FI164" s="44" t="str">
        <f t="shared" si="2491"/>
        <v/>
      </c>
      <c r="FJ164" s="44" t="str">
        <f t="shared" si="2492"/>
        <v/>
      </c>
      <c r="FK164" s="44" t="str">
        <f t="shared" si="2493"/>
        <v/>
      </c>
      <c r="FL164" s="44" t="str">
        <f t="shared" si="2494"/>
        <v/>
      </c>
      <c r="FM164" s="44" t="str">
        <f t="shared" si="2495"/>
        <v/>
      </c>
      <c r="FN164" s="44" t="str">
        <f t="shared" si="2496"/>
        <v/>
      </c>
      <c r="FO164" s="44" t="str">
        <f t="shared" si="2497"/>
        <v/>
      </c>
      <c r="FP164" s="44" t="str">
        <f t="shared" si="2498"/>
        <v/>
      </c>
      <c r="FQ164" s="44" t="str">
        <f t="shared" si="2499"/>
        <v/>
      </c>
      <c r="FR164" s="44" t="str">
        <f t="shared" si="2500"/>
        <v/>
      </c>
      <c r="FS164" s="44" t="str">
        <f t="shared" si="2501"/>
        <v/>
      </c>
    </row>
    <row r="165" ht="15" spans="1:175">
      <c r="A165" s="5"/>
      <c r="B165" s="5" t="s">
        <v>560</v>
      </c>
      <c r="C165" s="6" t="s">
        <v>561</v>
      </c>
      <c r="T165" s="6" t="s">
        <v>562</v>
      </c>
      <c r="U165" s="60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72" t="str">
        <f t="shared" si="2430"/>
        <v>|n</v>
      </c>
      <c r="CV165" s="6" t="str">
        <f t="shared" si="2431"/>
        <v>木头|Cffffc926+3000|r</v>
      </c>
      <c r="CW165" s="7"/>
      <c r="CX165" s="7"/>
      <c r="CY165" s="7"/>
      <c r="CZ165" s="7"/>
      <c r="DA165" s="7"/>
      <c r="DB165" s="44" t="str">
        <f t="shared" si="2432"/>
        <v/>
      </c>
      <c r="DC165" s="44" t="str">
        <f t="shared" si="2433"/>
        <v/>
      </c>
      <c r="DD165" s="44" t="str">
        <f t="shared" si="2434"/>
        <v/>
      </c>
      <c r="DE165" s="44" t="str">
        <f t="shared" si="2435"/>
        <v/>
      </c>
      <c r="DF165" s="44" t="str">
        <f t="shared" si="2436"/>
        <v/>
      </c>
      <c r="DG165" s="44" t="str">
        <f t="shared" si="2437"/>
        <v/>
      </c>
      <c r="DH165" s="44" t="str">
        <f t="shared" si="2438"/>
        <v/>
      </c>
      <c r="DI165" s="44" t="str">
        <f t="shared" si="2439"/>
        <v/>
      </c>
      <c r="DJ165" s="44" t="str">
        <f t="shared" si="2440"/>
        <v/>
      </c>
      <c r="DK165" s="44" t="str">
        <f t="shared" si="2441"/>
        <v/>
      </c>
      <c r="DL165" s="44" t="str">
        <f t="shared" si="2442"/>
        <v/>
      </c>
      <c r="DM165" s="44" t="str">
        <f t="shared" si="2443"/>
        <v/>
      </c>
      <c r="DN165" s="44" t="str">
        <f t="shared" si="2444"/>
        <v/>
      </c>
      <c r="DO165" s="44" t="str">
        <f t="shared" si="2445"/>
        <v/>
      </c>
      <c r="DP165" s="44" t="str">
        <f t="shared" si="2446"/>
        <v/>
      </c>
      <c r="DQ165" s="44" t="str">
        <f t="shared" si="2447"/>
        <v/>
      </c>
      <c r="DR165" s="44" t="str">
        <f t="shared" si="2448"/>
        <v/>
      </c>
      <c r="DS165" s="44" t="str">
        <f t="shared" si="2449"/>
        <v/>
      </c>
      <c r="DT165" s="44" t="str">
        <f t="shared" si="2450"/>
        <v/>
      </c>
      <c r="DU165" s="44" t="str">
        <f t="shared" si="2451"/>
        <v/>
      </c>
      <c r="DV165" s="44" t="str">
        <f t="shared" si="2452"/>
        <v/>
      </c>
      <c r="DW165" s="44" t="str">
        <f t="shared" si="2453"/>
        <v/>
      </c>
      <c r="DX165" s="44" t="str">
        <f t="shared" si="2454"/>
        <v/>
      </c>
      <c r="DY165" s="44" t="str">
        <f t="shared" si="2455"/>
        <v/>
      </c>
      <c r="DZ165" s="44" t="str">
        <f t="shared" si="2456"/>
        <v/>
      </c>
      <c r="EA165" s="44" t="str">
        <f t="shared" si="2457"/>
        <v/>
      </c>
      <c r="EB165" s="44" t="str">
        <f t="shared" si="2458"/>
        <v/>
      </c>
      <c r="EC165" s="44" t="str">
        <f t="shared" si="2459"/>
        <v/>
      </c>
      <c r="ED165" s="44" t="str">
        <f t="shared" si="2460"/>
        <v/>
      </c>
      <c r="EE165" s="44" t="str">
        <f t="shared" si="2461"/>
        <v/>
      </c>
      <c r="EF165" s="44" t="str">
        <f t="shared" si="2462"/>
        <v/>
      </c>
      <c r="EG165" s="44" t="str">
        <f t="shared" si="2463"/>
        <v/>
      </c>
      <c r="EH165" s="44" t="str">
        <f t="shared" si="2464"/>
        <v/>
      </c>
      <c r="EI165" s="44" t="str">
        <f t="shared" si="2465"/>
        <v/>
      </c>
      <c r="EJ165" s="44" t="str">
        <f t="shared" si="2466"/>
        <v/>
      </c>
      <c r="EK165" s="44" t="str">
        <f t="shared" si="2467"/>
        <v/>
      </c>
      <c r="EL165" s="44" t="str">
        <f t="shared" si="2468"/>
        <v/>
      </c>
      <c r="EM165" s="44" t="str">
        <f t="shared" si="2469"/>
        <v/>
      </c>
      <c r="EN165" s="44" t="str">
        <f t="shared" si="2470"/>
        <v/>
      </c>
      <c r="EO165" s="44" t="str">
        <f t="shared" si="2471"/>
        <v/>
      </c>
      <c r="EP165" s="44" t="str">
        <f t="shared" si="2472"/>
        <v/>
      </c>
      <c r="EQ165" s="44" t="str">
        <f t="shared" si="2473"/>
        <v/>
      </c>
      <c r="ER165" s="44" t="str">
        <f t="shared" si="2474"/>
        <v/>
      </c>
      <c r="ES165" s="44" t="str">
        <f t="shared" si="2475"/>
        <v/>
      </c>
      <c r="ET165" s="44" t="str">
        <f t="shared" si="2476"/>
        <v/>
      </c>
      <c r="EU165" s="44" t="str">
        <f t="shared" si="2477"/>
        <v/>
      </c>
      <c r="EV165" s="44" t="str">
        <f t="shared" si="2478"/>
        <v/>
      </c>
      <c r="EW165" s="44" t="str">
        <f t="shared" si="2479"/>
        <v/>
      </c>
      <c r="EX165" s="44" t="str">
        <f t="shared" si="2480"/>
        <v/>
      </c>
      <c r="EY165" s="44" t="str">
        <f t="shared" si="2481"/>
        <v/>
      </c>
      <c r="EZ165" s="44" t="str">
        <f t="shared" si="2482"/>
        <v/>
      </c>
      <c r="FA165" s="44" t="str">
        <f t="shared" si="2483"/>
        <v/>
      </c>
      <c r="FB165" s="44" t="str">
        <f t="shared" si="2484"/>
        <v/>
      </c>
      <c r="FC165" s="44" t="str">
        <f t="shared" si="2485"/>
        <v/>
      </c>
      <c r="FD165" s="44" t="str">
        <f t="shared" si="2486"/>
        <v/>
      </c>
      <c r="FE165" s="44" t="str">
        <f t="shared" si="2487"/>
        <v/>
      </c>
      <c r="FF165" s="44" t="str">
        <f t="shared" si="2488"/>
        <v/>
      </c>
      <c r="FG165" s="44" t="str">
        <f t="shared" si="2489"/>
        <v/>
      </c>
      <c r="FH165" s="44" t="str">
        <f t="shared" si="2490"/>
        <v/>
      </c>
      <c r="FI165" s="44" t="str">
        <f t="shared" si="2491"/>
        <v/>
      </c>
      <c r="FJ165" s="44" t="str">
        <f t="shared" si="2492"/>
        <v/>
      </c>
      <c r="FK165" s="44" t="str">
        <f t="shared" si="2493"/>
        <v/>
      </c>
      <c r="FL165" s="44" t="str">
        <f t="shared" si="2494"/>
        <v/>
      </c>
      <c r="FM165" s="44" t="str">
        <f t="shared" si="2495"/>
        <v/>
      </c>
      <c r="FN165" s="44" t="str">
        <f t="shared" si="2496"/>
        <v/>
      </c>
      <c r="FO165" s="44" t="str">
        <f t="shared" si="2497"/>
        <v/>
      </c>
      <c r="FP165" s="44" t="str">
        <f t="shared" si="2498"/>
        <v/>
      </c>
      <c r="FQ165" s="44" t="str">
        <f t="shared" si="2499"/>
        <v/>
      </c>
      <c r="FR165" s="44" t="str">
        <f t="shared" si="2500"/>
        <v/>
      </c>
      <c r="FS165" s="44" t="str">
        <f t="shared" si="2501"/>
        <v/>
      </c>
    </row>
    <row r="166" ht="15" spans="1:175">
      <c r="A166" s="5"/>
      <c r="B166" s="5" t="s">
        <v>563</v>
      </c>
      <c r="C166" s="6" t="s">
        <v>564</v>
      </c>
      <c r="T166" s="37" t="s">
        <v>565</v>
      </c>
      <c r="U166" s="60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72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木头|Cffffc926+300|r</v>
      </c>
      <c r="CW166" s="7"/>
      <c r="CX166" s="7"/>
      <c r="CY166" s="7"/>
      <c r="CZ166" s="7"/>
      <c r="DA166" s="7"/>
      <c r="DB166" s="44" t="str">
        <f t="shared" ref="DB166" si="2504">IF(V166="","","|n"&amp;DB$2&amp;"+"&amp;V166&amp;DB$1)</f>
        <v/>
      </c>
      <c r="DC166" s="44" t="str">
        <f t="shared" ref="DC166" si="2505">IF(W166="","","|n"&amp;DC$2&amp;"+"&amp;W166&amp;DC$1)</f>
        <v/>
      </c>
      <c r="DD166" s="44" t="str">
        <f t="shared" ref="DD166" si="2506">IF(X166="","","|n"&amp;DD$2&amp;"+"&amp;X166&amp;DD$1)</f>
        <v/>
      </c>
      <c r="DE166" s="44" t="str">
        <f t="shared" ref="DE166" si="2507">IF(Y166="","","|n"&amp;DE$2&amp;"+"&amp;Y166&amp;DE$1)</f>
        <v/>
      </c>
      <c r="DF166" s="44" t="str">
        <f t="shared" ref="DF166" si="2508">IF(Z166="","","|n"&amp;DF$2&amp;"+"&amp;Z166&amp;DF$1)</f>
        <v/>
      </c>
      <c r="DG166" s="44" t="str">
        <f t="shared" ref="DG166" si="2509">IF(AA166="","","|n"&amp;DG$2&amp;"+"&amp;AA166&amp;DG$1)</f>
        <v/>
      </c>
      <c r="DH166" s="44" t="str">
        <f t="shared" ref="DH166" si="2510">IF(AB166="","","|n"&amp;DH$2&amp;"+"&amp;AB166&amp;DH$1)</f>
        <v/>
      </c>
      <c r="DI166" s="44" t="str">
        <f t="shared" ref="DI166" si="2511">IF(AC166="","","|n"&amp;DI$2&amp;"+"&amp;AC166&amp;DI$1)</f>
        <v/>
      </c>
      <c r="DJ166" s="44" t="str">
        <f t="shared" ref="DJ166" si="2512">IF(AD166="","","|n"&amp;DJ$2&amp;"+"&amp;AD166&amp;DJ$1)</f>
        <v/>
      </c>
      <c r="DK166" s="44" t="str">
        <f t="shared" ref="DK166" si="2513">IF(AE166="","","|n"&amp;DK$2&amp;"+"&amp;AE166&amp;DK$1)</f>
        <v/>
      </c>
      <c r="DL166" s="44" t="str">
        <f t="shared" ref="DL166" si="2514">IF(AF166="","","|n"&amp;DL$2&amp;"+"&amp;AF166&amp;DL$1)</f>
        <v/>
      </c>
      <c r="DM166" s="44" t="str">
        <f t="shared" ref="DM166" si="2515">IF(AG166="","","|n"&amp;DM$2&amp;"+"&amp;AG166&amp;DM$1)</f>
        <v/>
      </c>
      <c r="DN166" s="44" t="str">
        <f t="shared" ref="DN166" si="2516">IF(AH166="","","|n"&amp;DN$2&amp;"+"&amp;AH166&amp;DN$1)</f>
        <v/>
      </c>
      <c r="DO166" s="44" t="str">
        <f t="shared" ref="DO166" si="2517">IF(AI166="","","|n"&amp;DO$2&amp;"+"&amp;AI166&amp;DO$1)</f>
        <v/>
      </c>
      <c r="DP166" s="44" t="str">
        <f t="shared" ref="DP166" si="2518">IF(AJ166="","","|n"&amp;DP$2&amp;"+"&amp;AJ166&amp;DP$1)</f>
        <v/>
      </c>
      <c r="DQ166" s="44" t="str">
        <f t="shared" ref="DQ166" si="2519">IF(AK166="","","|n"&amp;DQ$2&amp;"+"&amp;AK166&amp;DQ$1)</f>
        <v/>
      </c>
      <c r="DR166" s="44" t="str">
        <f t="shared" ref="DR166" si="2520">IF(AL166="","","|n"&amp;DR$2&amp;"+"&amp;AL166&amp;DR$1)</f>
        <v/>
      </c>
      <c r="DS166" s="44" t="str">
        <f t="shared" ref="DS166" si="2521">IF(AM166="","","|n"&amp;DS$2&amp;"+"&amp;AM166&amp;DS$1)</f>
        <v/>
      </c>
      <c r="DT166" s="44" t="str">
        <f t="shared" ref="DT166" si="2522">IF(AN166="","","|n"&amp;DT$2&amp;"+"&amp;AN166&amp;DT$1)</f>
        <v/>
      </c>
      <c r="DU166" s="44" t="str">
        <f t="shared" ref="DU166" si="2523">IF(AO166="","","|n"&amp;DU$2&amp;"+"&amp;AO166&amp;DU$1)</f>
        <v/>
      </c>
      <c r="DV166" s="44" t="str">
        <f t="shared" ref="DV166" si="2524">IF(AP166="","","|n"&amp;DV$2&amp;"+"&amp;AP166&amp;DV$1)</f>
        <v/>
      </c>
      <c r="DW166" s="44" t="str">
        <f t="shared" ref="DW166" si="2525">IF(AQ166="","","|n"&amp;DW$2&amp;"+"&amp;AQ166&amp;DW$1)</f>
        <v/>
      </c>
      <c r="DX166" s="44" t="str">
        <f t="shared" ref="DX166" si="2526">IF(AR166="","","|n"&amp;DX$2&amp;"+"&amp;AR166&amp;DX$1)</f>
        <v/>
      </c>
      <c r="DY166" s="44" t="str">
        <f t="shared" ref="DY166" si="2527">IF(AS166="","","|n"&amp;DY$2&amp;"+"&amp;AS166&amp;DY$1)</f>
        <v/>
      </c>
      <c r="DZ166" s="44" t="str">
        <f t="shared" ref="DZ166" si="2528">IF(AT166="","","|n"&amp;DZ$2&amp;"+"&amp;AT166&amp;DZ$1)</f>
        <v/>
      </c>
      <c r="EA166" s="44" t="str">
        <f t="shared" ref="EA166" si="2529">IF(AU166="","","|n"&amp;EA$2&amp;"+"&amp;AU166&amp;EA$1)</f>
        <v/>
      </c>
      <c r="EB166" s="44" t="str">
        <f t="shared" ref="EB166" si="2530">IF(AV166="","","|n"&amp;EB$2&amp;"+"&amp;AV166&amp;EB$1)</f>
        <v/>
      </c>
      <c r="EC166" s="44" t="str">
        <f t="shared" ref="EC166" si="2531">IF(AW166="","","|n"&amp;EC$2&amp;"+"&amp;AW166&amp;EC$1)</f>
        <v/>
      </c>
      <c r="ED166" s="44" t="str">
        <f t="shared" ref="ED166" si="2532">IF(AX166="","","|n"&amp;ED$2&amp;"+"&amp;AX166&amp;ED$1)</f>
        <v/>
      </c>
      <c r="EE166" s="44" t="str">
        <f t="shared" ref="EE166" si="2533">IF(AY166="","","|n"&amp;EE$2&amp;"+"&amp;AY166&amp;EE$1)</f>
        <v/>
      </c>
      <c r="EF166" s="44" t="str">
        <f t="shared" ref="EF166" si="2534">IF(AZ166="","","|n"&amp;EF$2&amp;"+"&amp;AZ166&amp;EF$1)</f>
        <v/>
      </c>
      <c r="EG166" s="44" t="str">
        <f t="shared" ref="EG166" si="2535">IF(BA166="","","|n"&amp;EG$2&amp;"+"&amp;BA166&amp;EG$1)</f>
        <v/>
      </c>
      <c r="EH166" s="44" t="str">
        <f t="shared" ref="EH166" si="2536">IF(BB166="","","|n"&amp;EH$2&amp;"+"&amp;BB166&amp;EH$1)</f>
        <v/>
      </c>
      <c r="EI166" s="44" t="str">
        <f t="shared" ref="EI166" si="2537">IF(BC166="","","|n"&amp;EI$2&amp;"+"&amp;BC166&amp;EI$1)</f>
        <v/>
      </c>
      <c r="EJ166" s="44" t="str">
        <f t="shared" ref="EJ166" si="2538">IF(BD166="","","|n"&amp;EJ$2&amp;"+"&amp;BD166&amp;EJ$1)</f>
        <v/>
      </c>
      <c r="EK166" s="44" t="str">
        <f t="shared" ref="EK166" si="2539">IF(BE166="","","|n"&amp;EK$2&amp;"+"&amp;BE166&amp;EK$1)</f>
        <v/>
      </c>
      <c r="EL166" s="44" t="str">
        <f t="shared" ref="EL166" si="2540">IF(BF166="","","|n"&amp;EL$2&amp;"+"&amp;BF166&amp;EL$1)</f>
        <v/>
      </c>
      <c r="EM166" s="44" t="str">
        <f t="shared" ref="EM166" si="2541">IF(BG166="","","|n"&amp;EM$2&amp;"+"&amp;BG166&amp;EM$1)</f>
        <v/>
      </c>
      <c r="EN166" s="44" t="str">
        <f t="shared" ref="EN166" si="2542">IF(BH166="","","|n"&amp;EN$2&amp;"+"&amp;BH166&amp;EN$1)</f>
        <v/>
      </c>
      <c r="EO166" s="44" t="str">
        <f t="shared" ref="EO166" si="2543">IF(BI166="","","|n"&amp;EO$2&amp;"+"&amp;BI166&amp;EO$1)</f>
        <v/>
      </c>
      <c r="EP166" s="44" t="str">
        <f t="shared" ref="EP166" si="2544">IF(BJ166="","","|n"&amp;EP$2&amp;"+"&amp;BJ166&amp;EP$1)</f>
        <v/>
      </c>
      <c r="EQ166" s="44" t="str">
        <f t="shared" ref="EQ166" si="2545">IF(BK166="","","|n"&amp;EQ$2&amp;"+"&amp;BK166&amp;EQ$1)</f>
        <v/>
      </c>
      <c r="ER166" s="44" t="str">
        <f t="shared" ref="ER166" si="2546">IF(BL166="","","|n"&amp;ER$2&amp;"+"&amp;BL166&amp;ER$1)</f>
        <v/>
      </c>
      <c r="ES166" s="44" t="str">
        <f t="shared" ref="ES166" si="2547">IF(BM166="","","|n"&amp;ES$2&amp;"+"&amp;BM166&amp;ES$1)</f>
        <v/>
      </c>
      <c r="ET166" s="44" t="str">
        <f t="shared" ref="ET166" si="2548">IF(BN166="","","|n"&amp;ET$2&amp;"+"&amp;BN166&amp;ET$1)</f>
        <v/>
      </c>
      <c r="EU166" s="44" t="str">
        <f t="shared" ref="EU166" si="2549">IF(BO166="","","|n"&amp;EU$2&amp;"+"&amp;BO166&amp;EU$1)</f>
        <v/>
      </c>
      <c r="EV166" s="44" t="str">
        <f t="shared" ref="EV166" si="2550">IF(BP166="","","|n"&amp;EV$2&amp;"+"&amp;BP166&amp;EV$1)</f>
        <v/>
      </c>
      <c r="EW166" s="44" t="str">
        <f t="shared" ref="EW166" si="2551">IF(BQ166="","","|n"&amp;EW$2&amp;"+"&amp;BQ166&amp;EW$1)</f>
        <v/>
      </c>
      <c r="EX166" s="44" t="str">
        <f t="shared" ref="EX166" si="2552">IF(BR166="","","|n"&amp;EX$2&amp;"+"&amp;BR166&amp;EX$1)</f>
        <v/>
      </c>
      <c r="EY166" s="44" t="str">
        <f t="shared" ref="EY166" si="2553">IF(BS166="","","|n"&amp;EY$2&amp;"+"&amp;BS166&amp;EY$1)</f>
        <v/>
      </c>
      <c r="EZ166" s="44" t="str">
        <f t="shared" ref="EZ166" si="2554">IF(BT166="","","|n"&amp;EZ$2&amp;"+"&amp;BT166&amp;EZ$1)</f>
        <v/>
      </c>
      <c r="FA166" s="44" t="str">
        <f t="shared" ref="FA166" si="2555">IF(BU166="","","|n"&amp;FA$2&amp;"+"&amp;BU166&amp;FA$1)</f>
        <v/>
      </c>
      <c r="FB166" s="44" t="str">
        <f t="shared" ref="FB166" si="2556">IF(BV166="","","|n"&amp;FB$2&amp;"+"&amp;BV166&amp;FB$1)</f>
        <v/>
      </c>
      <c r="FC166" s="44" t="str">
        <f t="shared" ref="FC166" si="2557">IF(BW166="","","|n"&amp;FC$2&amp;"+"&amp;BW166&amp;FC$1)</f>
        <v/>
      </c>
      <c r="FD166" s="44" t="str">
        <f t="shared" ref="FD166" si="2558">IF(BX166="","","|n"&amp;FD$2&amp;"+"&amp;BX166&amp;FD$1)</f>
        <v/>
      </c>
      <c r="FE166" s="44" t="str">
        <f t="shared" ref="FE166" si="2559">IF(BY166="","","|n"&amp;FE$2&amp;"+"&amp;BY166&amp;FE$1)</f>
        <v/>
      </c>
      <c r="FF166" s="44" t="str">
        <f t="shared" ref="FF166" si="2560">IF(BZ166="","","|n"&amp;FF$2&amp;"+"&amp;BZ166&amp;FF$1)</f>
        <v/>
      </c>
      <c r="FG166" s="44" t="str">
        <f t="shared" ref="FG166" si="2561">IF(CA166="","","|n"&amp;FG$2&amp;"+"&amp;CA166&amp;FG$1)</f>
        <v/>
      </c>
      <c r="FH166" s="44" t="str">
        <f t="shared" ref="FH166" si="2562">IF(CB166="","","|n"&amp;FH$2&amp;"+"&amp;CB166&amp;FH$1)</f>
        <v/>
      </c>
      <c r="FI166" s="44" t="str">
        <f t="shared" ref="FI166" si="2563">IF(CC166="","","|n"&amp;FI$2&amp;"+"&amp;CC166&amp;FI$1)</f>
        <v/>
      </c>
      <c r="FJ166" s="44" t="str">
        <f t="shared" ref="FJ166" si="2564">IF(CD166="","","|n"&amp;FJ$2&amp;"+"&amp;CD166&amp;FJ$1)</f>
        <v/>
      </c>
      <c r="FK166" s="44" t="str">
        <f t="shared" ref="FK166" si="2565">IF(CE166="","","|n"&amp;FK$2&amp;"+"&amp;CE166&amp;FK$1)</f>
        <v/>
      </c>
      <c r="FL166" s="44" t="str">
        <f t="shared" ref="FL166" si="2566">IF(CF166="","","|n"&amp;FL$2&amp;"+"&amp;CF166&amp;FL$1)</f>
        <v/>
      </c>
      <c r="FM166" s="44" t="str">
        <f t="shared" ref="FM166" si="2567">IF(CG166="","","|n"&amp;FM$2&amp;"+"&amp;CG166&amp;FM$1)</f>
        <v/>
      </c>
      <c r="FN166" s="44" t="str">
        <f t="shared" ref="FN166" si="2568">IF(CH166="","","|n"&amp;FN$2&amp;"+"&amp;CH166&amp;FN$1)</f>
        <v/>
      </c>
      <c r="FO166" s="44" t="str">
        <f t="shared" ref="FO166" si="2569">IF(CI166="","","|n"&amp;FO$2&amp;"+"&amp;CI166&amp;FO$1)</f>
        <v/>
      </c>
      <c r="FP166" s="44" t="str">
        <f t="shared" ref="FP166" si="2570">IF(CJ166="","","|n"&amp;FP$2&amp;"+"&amp;CJ166&amp;FP$1)</f>
        <v/>
      </c>
      <c r="FQ166" s="44" t="str">
        <f t="shared" ref="FQ166" si="2571">IF(CK166="","","|n"&amp;FQ$2&amp;"+"&amp;CK166&amp;FQ$1)</f>
        <v/>
      </c>
      <c r="FR166" s="44" t="str">
        <f t="shared" ref="FR166" si="2572">IF(CL166="","","|n"&amp;FR$2&amp;"+"&amp;CL166&amp;FR$1)</f>
        <v/>
      </c>
      <c r="FS166" s="44" t="str">
        <f t="shared" ref="FS166" si="2573">IF(CM166="","","|n"&amp;FS$2&amp;"+"&amp;CM166&amp;FS$1)</f>
        <v/>
      </c>
    </row>
    <row r="167" ht="15" spans="1:175">
      <c r="A167" s="5"/>
      <c r="B167" s="5" t="s">
        <v>566</v>
      </c>
      <c r="C167" s="89" t="s">
        <v>567</v>
      </c>
      <c r="T167" s="37" t="s">
        <v>568</v>
      </c>
      <c r="U167" s="60" t="str">
        <f t="shared" ref="U167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72" t="str">
        <f t="shared" ref="CU167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" si="2576">T167</f>
        <v>使用后获得|Cffffc926随机类型技能附魔卡|r</v>
      </c>
      <c r="CW167" s="7"/>
      <c r="CX167" s="7"/>
      <c r="CY167" s="7"/>
      <c r="CZ167" s="7"/>
      <c r="DA167" s="7"/>
      <c r="DB167" s="44" t="str">
        <f t="shared" ref="DB167" si="2577">IF(V167="","","|n"&amp;DB$2&amp;"+"&amp;V167&amp;DB$1)</f>
        <v/>
      </c>
      <c r="DC167" s="44" t="str">
        <f t="shared" ref="DC167" si="2578">IF(W167="","","|n"&amp;DC$2&amp;"+"&amp;W167&amp;DC$1)</f>
        <v/>
      </c>
      <c r="DD167" s="44" t="str">
        <f t="shared" ref="DD167" si="2579">IF(X167="","","|n"&amp;DD$2&amp;"+"&amp;X167&amp;DD$1)</f>
        <v/>
      </c>
      <c r="DE167" s="44" t="str">
        <f t="shared" ref="DE167" si="2580">IF(Y167="","","|n"&amp;DE$2&amp;"+"&amp;Y167&amp;DE$1)</f>
        <v/>
      </c>
      <c r="DF167" s="44" t="str">
        <f t="shared" ref="DF167" si="2581">IF(Z167="","","|n"&amp;DF$2&amp;"+"&amp;Z167&amp;DF$1)</f>
        <v/>
      </c>
      <c r="DG167" s="44" t="str">
        <f t="shared" ref="DG167" si="2582">IF(AA167="","","|n"&amp;DG$2&amp;"+"&amp;AA167&amp;DG$1)</f>
        <v/>
      </c>
      <c r="DH167" s="44" t="str">
        <f t="shared" ref="DH167" si="2583">IF(AB167="","","|n"&amp;DH$2&amp;"+"&amp;AB167&amp;DH$1)</f>
        <v/>
      </c>
      <c r="DI167" s="44" t="str">
        <f t="shared" ref="DI167" si="2584">IF(AC167="","","|n"&amp;DI$2&amp;"+"&amp;AC167&amp;DI$1)</f>
        <v/>
      </c>
      <c r="DJ167" s="44" t="str">
        <f t="shared" ref="DJ167" si="2585">IF(AD167="","","|n"&amp;DJ$2&amp;"+"&amp;AD167&amp;DJ$1)</f>
        <v/>
      </c>
      <c r="DK167" s="44" t="str">
        <f t="shared" ref="DK167" si="2586">IF(AE167="","","|n"&amp;DK$2&amp;"+"&amp;AE167&amp;DK$1)</f>
        <v/>
      </c>
      <c r="DL167" s="44" t="str">
        <f t="shared" ref="DL167" si="2587">IF(AF167="","","|n"&amp;DL$2&amp;"+"&amp;AF167&amp;DL$1)</f>
        <v/>
      </c>
      <c r="DM167" s="44" t="str">
        <f t="shared" ref="DM167" si="2588">IF(AG167="","","|n"&amp;DM$2&amp;"+"&amp;AG167&amp;DM$1)</f>
        <v/>
      </c>
      <c r="DN167" s="44" t="str">
        <f t="shared" ref="DN167" si="2589">IF(AH167="","","|n"&amp;DN$2&amp;"+"&amp;AH167&amp;DN$1)</f>
        <v/>
      </c>
      <c r="DO167" s="44" t="str">
        <f t="shared" ref="DO167" si="2590">IF(AI167="","","|n"&amp;DO$2&amp;"+"&amp;AI167&amp;DO$1)</f>
        <v/>
      </c>
      <c r="DP167" s="44" t="str">
        <f t="shared" ref="DP167" si="2591">IF(AJ167="","","|n"&amp;DP$2&amp;"+"&amp;AJ167&amp;DP$1)</f>
        <v/>
      </c>
      <c r="DQ167" s="44" t="str">
        <f t="shared" ref="DQ167" si="2592">IF(AK167="","","|n"&amp;DQ$2&amp;"+"&amp;AK167&amp;DQ$1)</f>
        <v/>
      </c>
      <c r="DR167" s="44" t="str">
        <f t="shared" ref="DR167" si="2593">IF(AL167="","","|n"&amp;DR$2&amp;"+"&amp;AL167&amp;DR$1)</f>
        <v/>
      </c>
      <c r="DS167" s="44" t="str">
        <f t="shared" ref="DS167" si="2594">IF(AM167="","","|n"&amp;DS$2&amp;"+"&amp;AM167&amp;DS$1)</f>
        <v/>
      </c>
      <c r="DT167" s="44" t="str">
        <f t="shared" ref="DT167" si="2595">IF(AN167="","","|n"&amp;DT$2&amp;"+"&amp;AN167&amp;DT$1)</f>
        <v/>
      </c>
      <c r="DU167" s="44" t="str">
        <f t="shared" ref="DU167" si="2596">IF(AO167="","","|n"&amp;DU$2&amp;"+"&amp;AO167&amp;DU$1)</f>
        <v/>
      </c>
      <c r="DV167" s="44" t="str">
        <f t="shared" ref="DV167" si="2597">IF(AP167="","","|n"&amp;DV$2&amp;"+"&amp;AP167&amp;DV$1)</f>
        <v/>
      </c>
      <c r="DW167" s="44" t="str">
        <f t="shared" ref="DW167" si="2598">IF(AQ167="","","|n"&amp;DW$2&amp;"+"&amp;AQ167&amp;DW$1)</f>
        <v/>
      </c>
      <c r="DX167" s="44" t="str">
        <f t="shared" ref="DX167" si="2599">IF(AR167="","","|n"&amp;DX$2&amp;"+"&amp;AR167&amp;DX$1)</f>
        <v/>
      </c>
      <c r="DY167" s="44" t="str">
        <f t="shared" ref="DY167" si="2600">IF(AS167="","","|n"&amp;DY$2&amp;"+"&amp;AS167&amp;DY$1)</f>
        <v/>
      </c>
      <c r="DZ167" s="44" t="str">
        <f t="shared" ref="DZ167" si="2601">IF(AT167="","","|n"&amp;DZ$2&amp;"+"&amp;AT167&amp;DZ$1)</f>
        <v/>
      </c>
      <c r="EA167" s="44" t="str">
        <f t="shared" ref="EA167" si="2602">IF(AU167="","","|n"&amp;EA$2&amp;"+"&amp;AU167&amp;EA$1)</f>
        <v/>
      </c>
      <c r="EB167" s="44" t="str">
        <f t="shared" ref="EB167" si="2603">IF(AV167="","","|n"&amp;EB$2&amp;"+"&amp;AV167&amp;EB$1)</f>
        <v/>
      </c>
      <c r="EC167" s="44" t="str">
        <f t="shared" ref="EC167" si="2604">IF(AW167="","","|n"&amp;EC$2&amp;"+"&amp;AW167&amp;EC$1)</f>
        <v/>
      </c>
      <c r="ED167" s="44" t="str">
        <f t="shared" ref="ED167" si="2605">IF(AX167="","","|n"&amp;ED$2&amp;"+"&amp;AX167&amp;ED$1)</f>
        <v/>
      </c>
      <c r="EE167" s="44" t="str">
        <f t="shared" ref="EE167" si="2606">IF(AY167="","","|n"&amp;EE$2&amp;"+"&amp;AY167&amp;EE$1)</f>
        <v/>
      </c>
      <c r="EF167" s="44" t="str">
        <f t="shared" ref="EF167" si="2607">IF(AZ167="","","|n"&amp;EF$2&amp;"+"&amp;AZ167&amp;EF$1)</f>
        <v/>
      </c>
      <c r="EG167" s="44" t="str">
        <f t="shared" ref="EG167" si="2608">IF(BA167="","","|n"&amp;EG$2&amp;"+"&amp;BA167&amp;EG$1)</f>
        <v/>
      </c>
      <c r="EH167" s="44" t="str">
        <f t="shared" ref="EH167" si="2609">IF(BB167="","","|n"&amp;EH$2&amp;"+"&amp;BB167&amp;EH$1)</f>
        <v/>
      </c>
      <c r="EI167" s="44" t="str">
        <f t="shared" ref="EI167" si="2610">IF(BC167="","","|n"&amp;EI$2&amp;"+"&amp;BC167&amp;EI$1)</f>
        <v/>
      </c>
      <c r="EJ167" s="44" t="str">
        <f t="shared" ref="EJ167" si="2611">IF(BD167="","","|n"&amp;EJ$2&amp;"+"&amp;BD167&amp;EJ$1)</f>
        <v/>
      </c>
      <c r="EK167" s="44" t="str">
        <f t="shared" ref="EK167" si="2612">IF(BE167="","","|n"&amp;EK$2&amp;"+"&amp;BE167&amp;EK$1)</f>
        <v/>
      </c>
      <c r="EL167" s="44" t="str">
        <f t="shared" ref="EL167" si="2613">IF(BF167="","","|n"&amp;EL$2&amp;"+"&amp;BF167&amp;EL$1)</f>
        <v/>
      </c>
      <c r="EM167" s="44" t="str">
        <f t="shared" ref="EM167" si="2614">IF(BG167="","","|n"&amp;EM$2&amp;"+"&amp;BG167&amp;EM$1)</f>
        <v/>
      </c>
      <c r="EN167" s="44" t="str">
        <f t="shared" ref="EN167" si="2615">IF(BH167="","","|n"&amp;EN$2&amp;"+"&amp;BH167&amp;EN$1)</f>
        <v/>
      </c>
      <c r="EO167" s="44" t="str">
        <f t="shared" ref="EO167" si="2616">IF(BI167="","","|n"&amp;EO$2&amp;"+"&amp;BI167&amp;EO$1)</f>
        <v/>
      </c>
      <c r="EP167" s="44" t="str">
        <f t="shared" ref="EP167" si="2617">IF(BJ167="","","|n"&amp;EP$2&amp;"+"&amp;BJ167&amp;EP$1)</f>
        <v/>
      </c>
      <c r="EQ167" s="44" t="str">
        <f t="shared" ref="EQ167" si="2618">IF(BK167="","","|n"&amp;EQ$2&amp;"+"&amp;BK167&amp;EQ$1)</f>
        <v/>
      </c>
      <c r="ER167" s="44" t="str">
        <f t="shared" ref="ER167" si="2619">IF(BL167="","","|n"&amp;ER$2&amp;"+"&amp;BL167&amp;ER$1)</f>
        <v/>
      </c>
      <c r="ES167" s="44" t="str">
        <f t="shared" ref="ES167" si="2620">IF(BM167="","","|n"&amp;ES$2&amp;"+"&amp;BM167&amp;ES$1)</f>
        <v/>
      </c>
      <c r="ET167" s="44" t="str">
        <f t="shared" ref="ET167" si="2621">IF(BN167="","","|n"&amp;ET$2&amp;"+"&amp;BN167&amp;ET$1)</f>
        <v/>
      </c>
      <c r="EU167" s="44" t="str">
        <f t="shared" ref="EU167" si="2622">IF(BO167="","","|n"&amp;EU$2&amp;"+"&amp;BO167&amp;EU$1)</f>
        <v/>
      </c>
      <c r="EV167" s="44" t="str">
        <f t="shared" ref="EV167" si="2623">IF(BP167="","","|n"&amp;EV$2&amp;"+"&amp;BP167&amp;EV$1)</f>
        <v/>
      </c>
      <c r="EW167" s="44" t="str">
        <f t="shared" ref="EW167" si="2624">IF(BQ167="","","|n"&amp;EW$2&amp;"+"&amp;BQ167&amp;EW$1)</f>
        <v/>
      </c>
      <c r="EX167" s="44" t="str">
        <f t="shared" ref="EX167" si="2625">IF(BR167="","","|n"&amp;EX$2&amp;"+"&amp;BR167&amp;EX$1)</f>
        <v/>
      </c>
      <c r="EY167" s="44" t="str">
        <f t="shared" ref="EY167" si="2626">IF(BS167="","","|n"&amp;EY$2&amp;"+"&amp;BS167&amp;EY$1)</f>
        <v/>
      </c>
      <c r="EZ167" s="44" t="str">
        <f t="shared" ref="EZ167" si="2627">IF(BT167="","","|n"&amp;EZ$2&amp;"+"&amp;BT167&amp;EZ$1)</f>
        <v/>
      </c>
      <c r="FA167" s="44" t="str">
        <f t="shared" ref="FA167" si="2628">IF(BU167="","","|n"&amp;FA$2&amp;"+"&amp;BU167&amp;FA$1)</f>
        <v/>
      </c>
      <c r="FB167" s="44" t="str">
        <f t="shared" ref="FB167" si="2629">IF(BV167="","","|n"&amp;FB$2&amp;"+"&amp;BV167&amp;FB$1)</f>
        <v/>
      </c>
      <c r="FC167" s="44" t="str">
        <f t="shared" ref="FC167" si="2630">IF(BW167="","","|n"&amp;FC$2&amp;"+"&amp;BW167&amp;FC$1)</f>
        <v/>
      </c>
      <c r="FD167" s="44" t="str">
        <f t="shared" ref="FD167" si="2631">IF(BX167="","","|n"&amp;FD$2&amp;"+"&amp;BX167&amp;FD$1)</f>
        <v/>
      </c>
      <c r="FE167" s="44" t="str">
        <f t="shared" ref="FE167" si="2632">IF(BY167="","","|n"&amp;FE$2&amp;"+"&amp;BY167&amp;FE$1)</f>
        <v/>
      </c>
      <c r="FF167" s="44" t="str">
        <f t="shared" ref="FF167" si="2633">IF(BZ167="","","|n"&amp;FF$2&amp;"+"&amp;BZ167&amp;FF$1)</f>
        <v/>
      </c>
      <c r="FG167" s="44" t="str">
        <f t="shared" ref="FG167" si="2634">IF(CA167="","","|n"&amp;FG$2&amp;"+"&amp;CA167&amp;FG$1)</f>
        <v/>
      </c>
      <c r="FH167" s="44" t="str">
        <f t="shared" ref="FH167" si="2635">IF(CB167="","","|n"&amp;FH$2&amp;"+"&amp;CB167&amp;FH$1)</f>
        <v/>
      </c>
      <c r="FI167" s="44" t="str">
        <f t="shared" ref="FI167" si="2636">IF(CC167="","","|n"&amp;FI$2&amp;"+"&amp;CC167&amp;FI$1)</f>
        <v/>
      </c>
      <c r="FJ167" s="44" t="str">
        <f t="shared" ref="FJ167" si="2637">IF(CD167="","","|n"&amp;FJ$2&amp;"+"&amp;CD167&amp;FJ$1)</f>
        <v/>
      </c>
      <c r="FK167" s="44" t="str">
        <f t="shared" ref="FK167" si="2638">IF(CE167="","","|n"&amp;FK$2&amp;"+"&amp;CE167&amp;FK$1)</f>
        <v/>
      </c>
      <c r="FL167" s="44" t="str">
        <f t="shared" ref="FL167" si="2639">IF(CF167="","","|n"&amp;FL$2&amp;"+"&amp;CF167&amp;FL$1)</f>
        <v/>
      </c>
      <c r="FM167" s="44" t="str">
        <f t="shared" ref="FM167" si="2640">IF(CG167="","","|n"&amp;FM$2&amp;"+"&amp;CG167&amp;FM$1)</f>
        <v/>
      </c>
      <c r="FN167" s="44" t="str">
        <f t="shared" ref="FN167" si="2641">IF(CH167="","","|n"&amp;FN$2&amp;"+"&amp;CH167&amp;FN$1)</f>
        <v/>
      </c>
      <c r="FO167" s="44" t="str">
        <f t="shared" ref="FO167" si="2642">IF(CI167="","","|n"&amp;FO$2&amp;"+"&amp;CI167&amp;FO$1)</f>
        <v/>
      </c>
      <c r="FP167" s="44" t="str">
        <f t="shared" ref="FP167" si="2643">IF(CJ167="","","|n"&amp;FP$2&amp;"+"&amp;CJ167&amp;FP$1)</f>
        <v/>
      </c>
      <c r="FQ167" s="44" t="str">
        <f t="shared" ref="FQ167" si="2644">IF(CK167="","","|n"&amp;FQ$2&amp;"+"&amp;CK167&amp;FQ$1)</f>
        <v/>
      </c>
      <c r="FR167" s="44" t="str">
        <f t="shared" ref="FR167" si="2645">IF(CL167="","","|n"&amp;FR$2&amp;"+"&amp;CL167&amp;FR$1)</f>
        <v/>
      </c>
      <c r="FS167" s="44" t="str">
        <f t="shared" ref="FS167" si="2646">IF(CM167="","","|n"&amp;FS$2&amp;"+"&amp;CM167&amp;FS$1)</f>
        <v/>
      </c>
    </row>
    <row r="168" ht="15" spans="1:175">
      <c r="A168" s="5"/>
      <c r="B168" s="5" t="s">
        <v>569</v>
      </c>
      <c r="C168" s="5" t="s">
        <v>570</v>
      </c>
      <c r="T168" s="93" t="s">
        <v>571</v>
      </c>
      <c r="U168" s="60" t="str">
        <f t="shared" si="1549"/>
        <v>ReplaceableTextures\\CommandButtons\\BTNIP01.blp</v>
      </c>
      <c r="CN168" s="13" t="str">
        <f t="shared" si="2136"/>
        <v>InitUnitState('IP01',,,,,,,,,,)</v>
      </c>
      <c r="CO168" s="13" t="str">
        <f t="shared" si="2137"/>
        <v>InitUnitNormal('IP01',,,,,,,,,,)</v>
      </c>
      <c r="CP168" s="13" t="str">
        <f t="shared" si="2138"/>
        <v>InitUnitMagic('IP01',,,,,,,,,,)</v>
      </c>
      <c r="CQ168" s="13" t="str">
        <f t="shared" si="2139"/>
        <v>InitUnitAdd('IP01',,,,,,,,,,)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InitEquipData('IP01',,"",,,,,'','','','','','',"ReplaceableTextures\\CommandButtons\\BTNIP02.blp")</v>
      </c>
      <c r="CU168" s="72" t="str">
        <f t="shared" ref="CU168" si="2647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6" t="str">
        <f t="shared" ref="CV168" si="2648">T168</f>
        <v>进入时渊副本消耗时渊碎片</v>
      </c>
      <c r="CW168" s="7"/>
      <c r="CX168" s="7"/>
      <c r="CY168" s="7"/>
      <c r="CZ168" s="7"/>
      <c r="DA168" s="7"/>
      <c r="DB168" s="44" t="str">
        <f t="shared" ref="DB168" si="2649">IF(V168="","","|n"&amp;DB$2&amp;"+"&amp;V168&amp;DB$1)</f>
        <v/>
      </c>
      <c r="DC168" s="44" t="str">
        <f t="shared" ref="DC168" si="2650">IF(W168="","","|n"&amp;DC$2&amp;"+"&amp;W168&amp;DC$1)</f>
        <v/>
      </c>
      <c r="DD168" s="44" t="str">
        <f t="shared" ref="DD168" si="2651">IF(X168="","","|n"&amp;DD$2&amp;"+"&amp;X168&amp;DD$1)</f>
        <v/>
      </c>
      <c r="DE168" s="44" t="str">
        <f t="shared" ref="DE168" si="2652">IF(Y168="","","|n"&amp;DE$2&amp;"+"&amp;Y168&amp;DE$1)</f>
        <v/>
      </c>
      <c r="DF168" s="44" t="str">
        <f t="shared" ref="DF168" si="2653">IF(Z168="","","|n"&amp;DF$2&amp;"+"&amp;Z168&amp;DF$1)</f>
        <v/>
      </c>
      <c r="DG168" s="44" t="str">
        <f t="shared" ref="DG168" si="2654">IF(AA168="","","|n"&amp;DG$2&amp;"+"&amp;AA168&amp;DG$1)</f>
        <v/>
      </c>
      <c r="DH168" s="44" t="str">
        <f t="shared" ref="DH168" si="2655">IF(AB168="","","|n"&amp;DH$2&amp;"+"&amp;AB168&amp;DH$1)</f>
        <v/>
      </c>
      <c r="DI168" s="44" t="str">
        <f t="shared" ref="DI168" si="2656">IF(AC168="","","|n"&amp;DI$2&amp;"+"&amp;AC168&amp;DI$1)</f>
        <v/>
      </c>
      <c r="DJ168" s="44" t="str">
        <f t="shared" ref="DJ168" si="2657">IF(AD168="","","|n"&amp;DJ$2&amp;"+"&amp;AD168&amp;DJ$1)</f>
        <v/>
      </c>
      <c r="DK168" s="44" t="str">
        <f t="shared" ref="DK168" si="2658">IF(AE168="","","|n"&amp;DK$2&amp;"+"&amp;AE168&amp;DK$1)</f>
        <v/>
      </c>
      <c r="DL168" s="44" t="str">
        <f t="shared" ref="DL168" si="2659">IF(AF168="","","|n"&amp;DL$2&amp;"+"&amp;AF168&amp;DL$1)</f>
        <v/>
      </c>
      <c r="DM168" s="44" t="str">
        <f t="shared" ref="DM168" si="2660">IF(AG168="","","|n"&amp;DM$2&amp;"+"&amp;AG168&amp;DM$1)</f>
        <v/>
      </c>
      <c r="DN168" s="44" t="str">
        <f t="shared" ref="DN168" si="2661">IF(AH168="","","|n"&amp;DN$2&amp;"+"&amp;AH168&amp;DN$1)</f>
        <v/>
      </c>
      <c r="DO168" s="44" t="str">
        <f t="shared" ref="DO168" si="2662">IF(AI168="","","|n"&amp;DO$2&amp;"+"&amp;AI168&amp;DO$1)</f>
        <v/>
      </c>
      <c r="DP168" s="44" t="str">
        <f t="shared" ref="DP168" si="2663">IF(AJ168="","","|n"&amp;DP$2&amp;"+"&amp;AJ168&amp;DP$1)</f>
        <v/>
      </c>
      <c r="DQ168" s="44" t="str">
        <f t="shared" ref="DQ168" si="2664">IF(AK168="","","|n"&amp;DQ$2&amp;"+"&amp;AK168&amp;DQ$1)</f>
        <v/>
      </c>
      <c r="DR168" s="44" t="str">
        <f t="shared" ref="DR168" si="2665">IF(AL168="","","|n"&amp;DR$2&amp;"+"&amp;AL168&amp;DR$1)</f>
        <v/>
      </c>
      <c r="DS168" s="44" t="str">
        <f t="shared" ref="DS168" si="2666">IF(AM168="","","|n"&amp;DS$2&amp;"+"&amp;AM168&amp;DS$1)</f>
        <v/>
      </c>
      <c r="DT168" s="44" t="str">
        <f t="shared" ref="DT168" si="2667">IF(AN168="","","|n"&amp;DT$2&amp;"+"&amp;AN168&amp;DT$1)</f>
        <v/>
      </c>
      <c r="DU168" s="44" t="str">
        <f t="shared" ref="DU168" si="2668">IF(AO168="","","|n"&amp;DU$2&amp;"+"&amp;AO168&amp;DU$1)</f>
        <v/>
      </c>
      <c r="DV168" s="44" t="str">
        <f t="shared" ref="DV168" si="2669">IF(AP168="","","|n"&amp;DV$2&amp;"+"&amp;AP168&amp;DV$1)</f>
        <v/>
      </c>
      <c r="DW168" s="44" t="str">
        <f t="shared" ref="DW168" si="2670">IF(AQ168="","","|n"&amp;DW$2&amp;"+"&amp;AQ168&amp;DW$1)</f>
        <v/>
      </c>
      <c r="DX168" s="44" t="str">
        <f t="shared" ref="DX168" si="2671">IF(AR168="","","|n"&amp;DX$2&amp;"+"&amp;AR168&amp;DX$1)</f>
        <v/>
      </c>
      <c r="DY168" s="44" t="str">
        <f t="shared" ref="DY168" si="2672">IF(AS168="","","|n"&amp;DY$2&amp;"+"&amp;AS168&amp;DY$1)</f>
        <v/>
      </c>
      <c r="DZ168" s="44" t="str">
        <f t="shared" ref="DZ168" si="2673">IF(AT168="","","|n"&amp;DZ$2&amp;"+"&amp;AT168&amp;DZ$1)</f>
        <v/>
      </c>
      <c r="EA168" s="44" t="str">
        <f t="shared" ref="EA168" si="2674">IF(AU168="","","|n"&amp;EA$2&amp;"+"&amp;AU168&amp;EA$1)</f>
        <v/>
      </c>
      <c r="EB168" s="44" t="str">
        <f t="shared" ref="EB168" si="2675">IF(AV168="","","|n"&amp;EB$2&amp;"+"&amp;AV168&amp;EB$1)</f>
        <v/>
      </c>
      <c r="EC168" s="44" t="str">
        <f t="shared" ref="EC168" si="2676">IF(AW168="","","|n"&amp;EC$2&amp;"+"&amp;AW168&amp;EC$1)</f>
        <v/>
      </c>
      <c r="ED168" s="44" t="str">
        <f t="shared" ref="ED168" si="2677">IF(AX168="","","|n"&amp;ED$2&amp;"+"&amp;AX168&amp;ED$1)</f>
        <v/>
      </c>
      <c r="EE168" s="44" t="str">
        <f t="shared" ref="EE168" si="2678">IF(AY168="","","|n"&amp;EE$2&amp;"+"&amp;AY168&amp;EE$1)</f>
        <v/>
      </c>
      <c r="EF168" s="44" t="str">
        <f t="shared" ref="EF168" si="2679">IF(AZ168="","","|n"&amp;EF$2&amp;"+"&amp;AZ168&amp;EF$1)</f>
        <v/>
      </c>
      <c r="EG168" s="44" t="str">
        <f t="shared" ref="EG168" si="2680">IF(BA168="","","|n"&amp;EG$2&amp;"+"&amp;BA168&amp;EG$1)</f>
        <v/>
      </c>
      <c r="EH168" s="44" t="str">
        <f t="shared" ref="EH168" si="2681">IF(BB168="","","|n"&amp;EH$2&amp;"+"&amp;BB168&amp;EH$1)</f>
        <v/>
      </c>
      <c r="EI168" s="44" t="str">
        <f t="shared" ref="EI168" si="2682">IF(BC168="","","|n"&amp;EI$2&amp;"+"&amp;BC168&amp;EI$1)</f>
        <v/>
      </c>
      <c r="EJ168" s="44" t="str">
        <f t="shared" ref="EJ168" si="2683">IF(BD168="","","|n"&amp;EJ$2&amp;"+"&amp;BD168&amp;EJ$1)</f>
        <v/>
      </c>
      <c r="EK168" s="44" t="str">
        <f t="shared" ref="EK168" si="2684">IF(BE168="","","|n"&amp;EK$2&amp;"+"&amp;BE168&amp;EK$1)</f>
        <v/>
      </c>
      <c r="EL168" s="44" t="str">
        <f t="shared" ref="EL168" si="2685">IF(BF168="","","|n"&amp;EL$2&amp;"+"&amp;BF168&amp;EL$1)</f>
        <v/>
      </c>
      <c r="EM168" s="44" t="str">
        <f t="shared" ref="EM168" si="2686">IF(BG168="","","|n"&amp;EM$2&amp;"+"&amp;BG168&amp;EM$1)</f>
        <v/>
      </c>
      <c r="EN168" s="44" t="str">
        <f t="shared" ref="EN168" si="2687">IF(BH168="","","|n"&amp;EN$2&amp;"+"&amp;BH168&amp;EN$1)</f>
        <v/>
      </c>
      <c r="EO168" s="44" t="str">
        <f t="shared" ref="EO168" si="2688">IF(BI168="","","|n"&amp;EO$2&amp;"+"&amp;BI168&amp;EO$1)</f>
        <v/>
      </c>
      <c r="EP168" s="44" t="str">
        <f t="shared" ref="EP168" si="2689">IF(BJ168="","","|n"&amp;EP$2&amp;"+"&amp;BJ168&amp;EP$1)</f>
        <v/>
      </c>
      <c r="EQ168" s="44" t="str">
        <f t="shared" ref="EQ168" si="2690">IF(BK168="","","|n"&amp;EQ$2&amp;"+"&amp;BK168&amp;EQ$1)</f>
        <v/>
      </c>
      <c r="ER168" s="44" t="str">
        <f t="shared" ref="ER168" si="2691">IF(BL168="","","|n"&amp;ER$2&amp;"+"&amp;BL168&amp;ER$1)</f>
        <v/>
      </c>
      <c r="ES168" s="44" t="str">
        <f t="shared" ref="ES168" si="2692">IF(BM168="","","|n"&amp;ES$2&amp;"+"&amp;BM168&amp;ES$1)</f>
        <v/>
      </c>
      <c r="ET168" s="44" t="str">
        <f t="shared" ref="ET168" si="2693">IF(BN168="","","|n"&amp;ET$2&amp;"+"&amp;BN168&amp;ET$1)</f>
        <v/>
      </c>
      <c r="EU168" s="44" t="str">
        <f t="shared" ref="EU168" si="2694">IF(BO168="","","|n"&amp;EU$2&amp;"+"&amp;BO168&amp;EU$1)</f>
        <v/>
      </c>
      <c r="EV168" s="44" t="str">
        <f t="shared" ref="EV168" si="2695">IF(BP168="","","|n"&amp;EV$2&amp;"+"&amp;BP168&amp;EV$1)</f>
        <v/>
      </c>
      <c r="EW168" s="44" t="str">
        <f t="shared" ref="EW168" si="2696">IF(BQ168="","","|n"&amp;EW$2&amp;"+"&amp;BQ168&amp;EW$1)</f>
        <v/>
      </c>
      <c r="EX168" s="44" t="str">
        <f t="shared" ref="EX168" si="2697">IF(BR168="","","|n"&amp;EX$2&amp;"+"&amp;BR168&amp;EX$1)</f>
        <v/>
      </c>
      <c r="EY168" s="44" t="str">
        <f t="shared" ref="EY168" si="2698">IF(BS168="","","|n"&amp;EY$2&amp;"+"&amp;BS168&amp;EY$1)</f>
        <v/>
      </c>
      <c r="EZ168" s="44" t="str">
        <f t="shared" ref="EZ168" si="2699">IF(BT168="","","|n"&amp;EZ$2&amp;"+"&amp;BT168&amp;EZ$1)</f>
        <v/>
      </c>
      <c r="FA168" s="44" t="str">
        <f t="shared" ref="FA168" si="2700">IF(BU168="","","|n"&amp;FA$2&amp;"+"&amp;BU168&amp;FA$1)</f>
        <v/>
      </c>
      <c r="FB168" s="44" t="str">
        <f t="shared" ref="FB168" si="2701">IF(BV168="","","|n"&amp;FB$2&amp;"+"&amp;BV168&amp;FB$1)</f>
        <v/>
      </c>
      <c r="FC168" s="44" t="str">
        <f t="shared" ref="FC168" si="2702">IF(BW168="","","|n"&amp;FC$2&amp;"+"&amp;BW168&amp;FC$1)</f>
        <v/>
      </c>
      <c r="FD168" s="44" t="str">
        <f t="shared" ref="FD168" si="2703">IF(BX168="","","|n"&amp;FD$2&amp;"+"&amp;BX168&amp;FD$1)</f>
        <v/>
      </c>
      <c r="FE168" s="44" t="str">
        <f t="shared" ref="FE168" si="2704">IF(BY168="","","|n"&amp;FE$2&amp;"+"&amp;BY168&amp;FE$1)</f>
        <v/>
      </c>
      <c r="FF168" s="44" t="str">
        <f t="shared" ref="FF168" si="2705">IF(BZ168="","","|n"&amp;FF$2&amp;"+"&amp;BZ168&amp;FF$1)</f>
        <v/>
      </c>
      <c r="FG168" s="44" t="str">
        <f t="shared" ref="FG168" si="2706">IF(CA168="","","|n"&amp;FG$2&amp;"+"&amp;CA168&amp;FG$1)</f>
        <v/>
      </c>
      <c r="FH168" s="44" t="str">
        <f t="shared" ref="FH168" si="2707">IF(CB168="","","|n"&amp;FH$2&amp;"+"&amp;CB168&amp;FH$1)</f>
        <v/>
      </c>
      <c r="FI168" s="44" t="str">
        <f t="shared" ref="FI168" si="2708">IF(CC168="","","|n"&amp;FI$2&amp;"+"&amp;CC168&amp;FI$1)</f>
        <v/>
      </c>
      <c r="FJ168" s="44" t="str">
        <f t="shared" ref="FJ168" si="2709">IF(CD168="","","|n"&amp;FJ$2&amp;"+"&amp;CD168&amp;FJ$1)</f>
        <v/>
      </c>
      <c r="FK168" s="44" t="str">
        <f t="shared" ref="FK168" si="2710">IF(CE168="","","|n"&amp;FK$2&amp;"+"&amp;CE168&amp;FK$1)</f>
        <v/>
      </c>
      <c r="FL168" s="44" t="str">
        <f t="shared" ref="FL168" si="2711">IF(CF168="","","|n"&amp;FL$2&amp;"+"&amp;CF168&amp;FL$1)</f>
        <v/>
      </c>
      <c r="FM168" s="44" t="str">
        <f t="shared" ref="FM168" si="2712">IF(CG168="","","|n"&amp;FM$2&amp;"+"&amp;CG168&amp;FM$1)</f>
        <v/>
      </c>
      <c r="FN168" s="44" t="str">
        <f t="shared" ref="FN168" si="2713">IF(CH168="","","|n"&amp;FN$2&amp;"+"&amp;CH168&amp;FN$1)</f>
        <v/>
      </c>
      <c r="FO168" s="44" t="str">
        <f t="shared" ref="FO168" si="2714">IF(CI168="","","|n"&amp;FO$2&amp;"+"&amp;CI168&amp;FO$1)</f>
        <v/>
      </c>
      <c r="FP168" s="44" t="str">
        <f t="shared" ref="FP168" si="2715">IF(CJ168="","","|n"&amp;FP$2&amp;"+"&amp;CJ168&amp;FP$1)</f>
        <v/>
      </c>
      <c r="FQ168" s="44" t="str">
        <f t="shared" ref="FQ168" si="2716">IF(CK168="","","|n"&amp;FQ$2&amp;"+"&amp;CK168&amp;FQ$1)</f>
        <v/>
      </c>
      <c r="FR168" s="44" t="str">
        <f t="shared" ref="FR168" si="2717">IF(CL168="","","|n"&amp;FR$2&amp;"+"&amp;CL168&amp;FR$1)</f>
        <v/>
      </c>
      <c r="FS168" s="44" t="str">
        <f t="shared" ref="FS168" si="2718">IF(CM168="","","|n"&amp;FS$2&amp;"+"&amp;CM168&amp;FS$1)</f>
        <v/>
      </c>
    </row>
    <row r="169" ht="15" spans="1:175">
      <c r="A169" s="90"/>
      <c r="B169" s="5" t="s">
        <v>572</v>
      </c>
      <c r="C169" s="90" t="s">
        <v>573</v>
      </c>
      <c r="T169" s="78" t="s">
        <v>574</v>
      </c>
      <c r="U169" s="60" t="str">
        <f t="shared" si="1549"/>
        <v>ReplaceableTextures\\CommandButtons\\BTNIP02.blp</v>
      </c>
      <c r="CN169" s="13" t="str">
        <f t="shared" si="2136"/>
        <v>InitUnitState('IP02',,,,,,,,,,)</v>
      </c>
      <c r="CO169" s="13" t="str">
        <f t="shared" si="2137"/>
        <v>InitUnitNormal('IP02',,,,,,,,,,)</v>
      </c>
      <c r="CP169" s="13" t="str">
        <f t="shared" si="2138"/>
        <v>InitUnitMagic('IP02',,,,,,,,,,)</v>
      </c>
      <c r="CQ169" s="13" t="str">
        <f t="shared" si="2139"/>
        <v>InitUnitAdd('IP02',,,,,,,,,,)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InitEquipData('IP02',,"",,,,,'','','','','','',"ReplaceableTextures\\CommandButtons\\BTNIP03.blp")</v>
      </c>
      <c r="CU169" s="72" t="str">
        <f t="shared" ref="CU169:CU170" si="2719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70" si="2720">T169</f>
        <v>点击|Cffffc926选中指定法宝|r后，再点击|Cffffc926重铸|r，可|Cffffc926重置|r指定法宝，|Cffffc926品质不变|r。|n|n|Cff00ff7f每次重铸消耗1个补天石|r</v>
      </c>
      <c r="CW169" s="7"/>
      <c r="CX169" s="7"/>
      <c r="CY169" s="7"/>
      <c r="CZ169" s="7"/>
      <c r="DA169" s="7"/>
      <c r="DB169" s="44" t="str">
        <f t="shared" ref="DB169:DB170" si="2721">IF(V169="","","|n"&amp;DB$2&amp;"+"&amp;V169&amp;DB$1)</f>
        <v/>
      </c>
      <c r="DC169" s="44" t="str">
        <f t="shared" ref="DC169:DC170" si="2722">IF(W169="","","|n"&amp;DC$2&amp;"+"&amp;W169&amp;DC$1)</f>
        <v/>
      </c>
      <c r="DD169" s="44" t="str">
        <f t="shared" ref="DD169:DD170" si="2723">IF(X169="","","|n"&amp;DD$2&amp;"+"&amp;X169&amp;DD$1)</f>
        <v/>
      </c>
      <c r="DE169" s="44" t="str">
        <f t="shared" ref="DE169:DE170" si="2724">IF(Y169="","","|n"&amp;DE$2&amp;"+"&amp;Y169&amp;DE$1)</f>
        <v/>
      </c>
      <c r="DF169" s="44" t="str">
        <f t="shared" ref="DF169:DF170" si="2725">IF(Z169="","","|n"&amp;DF$2&amp;"+"&amp;Z169&amp;DF$1)</f>
        <v/>
      </c>
      <c r="DG169" s="44" t="str">
        <f t="shared" ref="DG169:DG170" si="2726">IF(AA169="","","|n"&amp;DG$2&amp;"+"&amp;AA169&amp;DG$1)</f>
        <v/>
      </c>
      <c r="DH169" s="44" t="str">
        <f t="shared" ref="DH169:DH170" si="2727">IF(AB169="","","|n"&amp;DH$2&amp;"+"&amp;AB169&amp;DH$1)</f>
        <v/>
      </c>
      <c r="DI169" s="44" t="str">
        <f t="shared" ref="DI169:DI170" si="2728">IF(AC169="","","|n"&amp;DI$2&amp;"+"&amp;AC169&amp;DI$1)</f>
        <v/>
      </c>
      <c r="DJ169" s="44" t="str">
        <f t="shared" ref="DJ169:DJ170" si="2729">IF(AD169="","","|n"&amp;DJ$2&amp;"+"&amp;AD169&amp;DJ$1)</f>
        <v/>
      </c>
      <c r="DK169" s="44" t="str">
        <f t="shared" ref="DK169:DK170" si="2730">IF(AE169="","","|n"&amp;DK$2&amp;"+"&amp;AE169&amp;DK$1)</f>
        <v/>
      </c>
      <c r="DL169" s="44" t="str">
        <f t="shared" ref="DL169:DL170" si="2731">IF(AF169="","","|n"&amp;DL$2&amp;"+"&amp;AF169&amp;DL$1)</f>
        <v/>
      </c>
      <c r="DM169" s="44" t="str">
        <f t="shared" ref="DM169:DM170" si="2732">IF(AG169="","","|n"&amp;DM$2&amp;"+"&amp;AG169&amp;DM$1)</f>
        <v/>
      </c>
      <c r="DN169" s="44" t="str">
        <f t="shared" ref="DN169:DN170" si="2733">IF(AH169="","","|n"&amp;DN$2&amp;"+"&amp;AH169&amp;DN$1)</f>
        <v/>
      </c>
      <c r="DO169" s="44" t="str">
        <f t="shared" ref="DO169:DO170" si="2734">IF(AI169="","","|n"&amp;DO$2&amp;"+"&amp;AI169&amp;DO$1)</f>
        <v/>
      </c>
      <c r="DP169" s="44" t="str">
        <f t="shared" ref="DP169:DP170" si="2735">IF(AJ169="","","|n"&amp;DP$2&amp;"+"&amp;AJ169&amp;DP$1)</f>
        <v/>
      </c>
      <c r="DQ169" s="44" t="str">
        <f t="shared" ref="DQ169:DQ170" si="2736">IF(AK169="","","|n"&amp;DQ$2&amp;"+"&amp;AK169&amp;DQ$1)</f>
        <v/>
      </c>
      <c r="DR169" s="44" t="str">
        <f t="shared" ref="DR169:DR170" si="2737">IF(AL169="","","|n"&amp;DR$2&amp;"+"&amp;AL169&amp;DR$1)</f>
        <v/>
      </c>
      <c r="DS169" s="44" t="str">
        <f t="shared" ref="DS169:DS170" si="2738">IF(AM169="","","|n"&amp;DS$2&amp;"+"&amp;AM169&amp;DS$1)</f>
        <v/>
      </c>
      <c r="DT169" s="44" t="str">
        <f t="shared" ref="DT169:DT170" si="2739">IF(AN169="","","|n"&amp;DT$2&amp;"+"&amp;AN169&amp;DT$1)</f>
        <v/>
      </c>
      <c r="DU169" s="44" t="str">
        <f t="shared" ref="DU169:DU170" si="2740">IF(AO169="","","|n"&amp;DU$2&amp;"+"&amp;AO169&amp;DU$1)</f>
        <v/>
      </c>
      <c r="DV169" s="44" t="str">
        <f t="shared" ref="DV169:DV170" si="2741">IF(AP169="","","|n"&amp;DV$2&amp;"+"&amp;AP169&amp;DV$1)</f>
        <v/>
      </c>
      <c r="DW169" s="44" t="str">
        <f t="shared" ref="DW169:DW170" si="2742">IF(AQ169="","","|n"&amp;DW$2&amp;"+"&amp;AQ169&amp;DW$1)</f>
        <v/>
      </c>
      <c r="DX169" s="44" t="str">
        <f t="shared" ref="DX169:DX170" si="2743">IF(AR169="","","|n"&amp;DX$2&amp;"+"&amp;AR169&amp;DX$1)</f>
        <v/>
      </c>
      <c r="DY169" s="44" t="str">
        <f t="shared" ref="DY169:DY170" si="2744">IF(AS169="","","|n"&amp;DY$2&amp;"+"&amp;AS169&amp;DY$1)</f>
        <v/>
      </c>
      <c r="DZ169" s="44" t="str">
        <f t="shared" ref="DZ169:DZ170" si="2745">IF(AT169="","","|n"&amp;DZ$2&amp;"+"&amp;AT169&amp;DZ$1)</f>
        <v/>
      </c>
      <c r="EA169" s="44" t="str">
        <f t="shared" ref="EA169:EA170" si="2746">IF(AU169="","","|n"&amp;EA$2&amp;"+"&amp;AU169&amp;EA$1)</f>
        <v/>
      </c>
      <c r="EB169" s="44" t="str">
        <f t="shared" ref="EB169:EB170" si="2747">IF(AV169="","","|n"&amp;EB$2&amp;"+"&amp;AV169&amp;EB$1)</f>
        <v/>
      </c>
      <c r="EC169" s="44" t="str">
        <f t="shared" ref="EC169:EC170" si="2748">IF(AW169="","","|n"&amp;EC$2&amp;"+"&amp;AW169&amp;EC$1)</f>
        <v/>
      </c>
      <c r="ED169" s="44" t="str">
        <f t="shared" ref="ED169:ED170" si="2749">IF(AX169="","","|n"&amp;ED$2&amp;"+"&amp;AX169&amp;ED$1)</f>
        <v/>
      </c>
      <c r="EE169" s="44" t="str">
        <f t="shared" ref="EE169:EE170" si="2750">IF(AY169="","","|n"&amp;EE$2&amp;"+"&amp;AY169&amp;EE$1)</f>
        <v/>
      </c>
      <c r="EF169" s="44" t="str">
        <f t="shared" ref="EF169:EF170" si="2751">IF(AZ169="","","|n"&amp;EF$2&amp;"+"&amp;AZ169&amp;EF$1)</f>
        <v/>
      </c>
      <c r="EG169" s="44" t="str">
        <f t="shared" ref="EG169:EG170" si="2752">IF(BA169="","","|n"&amp;EG$2&amp;"+"&amp;BA169&amp;EG$1)</f>
        <v/>
      </c>
      <c r="EH169" s="44" t="str">
        <f t="shared" ref="EH169:EH170" si="2753">IF(BB169="","","|n"&amp;EH$2&amp;"+"&amp;BB169&amp;EH$1)</f>
        <v/>
      </c>
      <c r="EI169" s="44" t="str">
        <f t="shared" ref="EI169:EI170" si="2754">IF(BC169="","","|n"&amp;EI$2&amp;"+"&amp;BC169&amp;EI$1)</f>
        <v/>
      </c>
      <c r="EJ169" s="44" t="str">
        <f t="shared" ref="EJ169:EJ170" si="2755">IF(BD169="","","|n"&amp;EJ$2&amp;"+"&amp;BD169&amp;EJ$1)</f>
        <v/>
      </c>
      <c r="EK169" s="44" t="str">
        <f t="shared" ref="EK169:EK170" si="2756">IF(BE169="","","|n"&amp;EK$2&amp;"+"&amp;BE169&amp;EK$1)</f>
        <v/>
      </c>
      <c r="EL169" s="44" t="str">
        <f t="shared" ref="EL169:EL170" si="2757">IF(BF169="","","|n"&amp;EL$2&amp;"+"&amp;BF169&amp;EL$1)</f>
        <v/>
      </c>
      <c r="EM169" s="44" t="str">
        <f t="shared" ref="EM169:EM170" si="2758">IF(BG169="","","|n"&amp;EM$2&amp;"+"&amp;BG169&amp;EM$1)</f>
        <v/>
      </c>
      <c r="EN169" s="44" t="str">
        <f t="shared" ref="EN169:EN170" si="2759">IF(BH169="","","|n"&amp;EN$2&amp;"+"&amp;BH169&amp;EN$1)</f>
        <v/>
      </c>
      <c r="EO169" s="44" t="str">
        <f t="shared" ref="EO169:EO170" si="2760">IF(BI169="","","|n"&amp;EO$2&amp;"+"&amp;BI169&amp;EO$1)</f>
        <v/>
      </c>
      <c r="EP169" s="44" t="str">
        <f t="shared" ref="EP169:EP170" si="2761">IF(BJ169="","","|n"&amp;EP$2&amp;"+"&amp;BJ169&amp;EP$1)</f>
        <v/>
      </c>
      <c r="EQ169" s="44" t="str">
        <f t="shared" ref="EQ169:EQ170" si="2762">IF(BK169="","","|n"&amp;EQ$2&amp;"+"&amp;BK169&amp;EQ$1)</f>
        <v/>
      </c>
      <c r="ER169" s="44" t="str">
        <f t="shared" ref="ER169:ER170" si="2763">IF(BL169="","","|n"&amp;ER$2&amp;"+"&amp;BL169&amp;ER$1)</f>
        <v/>
      </c>
      <c r="ES169" s="44" t="str">
        <f t="shared" ref="ES169:ES170" si="2764">IF(BM169="","","|n"&amp;ES$2&amp;"+"&amp;BM169&amp;ES$1)</f>
        <v/>
      </c>
      <c r="ET169" s="44" t="str">
        <f t="shared" ref="ET169:ET170" si="2765">IF(BN169="","","|n"&amp;ET$2&amp;"+"&amp;BN169&amp;ET$1)</f>
        <v/>
      </c>
      <c r="EU169" s="44" t="str">
        <f t="shared" ref="EU169:EU170" si="2766">IF(BO169="","","|n"&amp;EU$2&amp;"+"&amp;BO169&amp;EU$1)</f>
        <v/>
      </c>
      <c r="EV169" s="44" t="str">
        <f t="shared" ref="EV169:EV170" si="2767">IF(BP169="","","|n"&amp;EV$2&amp;"+"&amp;BP169&amp;EV$1)</f>
        <v/>
      </c>
      <c r="EW169" s="44" t="str">
        <f t="shared" ref="EW169:EW170" si="2768">IF(BQ169="","","|n"&amp;EW$2&amp;"+"&amp;BQ169&amp;EW$1)</f>
        <v/>
      </c>
      <c r="EX169" s="44" t="str">
        <f t="shared" ref="EX169:EX170" si="2769">IF(BR169="","","|n"&amp;EX$2&amp;"+"&amp;BR169&amp;EX$1)</f>
        <v/>
      </c>
      <c r="EY169" s="44" t="str">
        <f t="shared" ref="EY169:EY170" si="2770">IF(BS169="","","|n"&amp;EY$2&amp;"+"&amp;BS169&amp;EY$1)</f>
        <v/>
      </c>
      <c r="EZ169" s="44" t="str">
        <f t="shared" ref="EZ169:EZ170" si="2771">IF(BT169="","","|n"&amp;EZ$2&amp;"+"&amp;BT169&amp;EZ$1)</f>
        <v/>
      </c>
      <c r="FA169" s="44" t="str">
        <f t="shared" ref="FA169:FA170" si="2772">IF(BU169="","","|n"&amp;FA$2&amp;"+"&amp;BU169&amp;FA$1)</f>
        <v/>
      </c>
      <c r="FB169" s="44" t="str">
        <f t="shared" ref="FB169:FB170" si="2773">IF(BV169="","","|n"&amp;FB$2&amp;"+"&amp;BV169&amp;FB$1)</f>
        <v/>
      </c>
      <c r="FC169" s="44" t="str">
        <f t="shared" ref="FC169:FC170" si="2774">IF(BW169="","","|n"&amp;FC$2&amp;"+"&amp;BW169&amp;FC$1)</f>
        <v/>
      </c>
      <c r="FD169" s="44" t="str">
        <f t="shared" ref="FD169:FD170" si="2775">IF(BX169="","","|n"&amp;FD$2&amp;"+"&amp;BX169&amp;FD$1)</f>
        <v/>
      </c>
      <c r="FE169" s="44" t="str">
        <f t="shared" ref="FE169:FE170" si="2776">IF(BY169="","","|n"&amp;FE$2&amp;"+"&amp;BY169&amp;FE$1)</f>
        <v/>
      </c>
      <c r="FF169" s="44" t="str">
        <f t="shared" ref="FF169:FF170" si="2777">IF(BZ169="","","|n"&amp;FF$2&amp;"+"&amp;BZ169&amp;FF$1)</f>
        <v/>
      </c>
      <c r="FG169" s="44" t="str">
        <f t="shared" ref="FG169:FG170" si="2778">IF(CA169="","","|n"&amp;FG$2&amp;"+"&amp;CA169&amp;FG$1)</f>
        <v/>
      </c>
      <c r="FH169" s="44" t="str">
        <f t="shared" ref="FH169:FH170" si="2779">IF(CB169="","","|n"&amp;FH$2&amp;"+"&amp;CB169&amp;FH$1)</f>
        <v/>
      </c>
      <c r="FI169" s="44" t="str">
        <f t="shared" ref="FI169:FI170" si="2780">IF(CC169="","","|n"&amp;FI$2&amp;"+"&amp;CC169&amp;FI$1)</f>
        <v/>
      </c>
      <c r="FJ169" s="44" t="str">
        <f t="shared" ref="FJ169:FJ170" si="2781">IF(CD169="","","|n"&amp;FJ$2&amp;"+"&amp;CD169&amp;FJ$1)</f>
        <v/>
      </c>
      <c r="FK169" s="44" t="str">
        <f t="shared" ref="FK169:FK170" si="2782">IF(CE169="","","|n"&amp;FK$2&amp;"+"&amp;CE169&amp;FK$1)</f>
        <v/>
      </c>
      <c r="FL169" s="44" t="str">
        <f t="shared" ref="FL169:FL170" si="2783">IF(CF169="","","|n"&amp;FL$2&amp;"+"&amp;CF169&amp;FL$1)</f>
        <v/>
      </c>
      <c r="FM169" s="44" t="str">
        <f t="shared" ref="FM169:FM170" si="2784">IF(CG169="","","|n"&amp;FM$2&amp;"+"&amp;CG169&amp;FM$1)</f>
        <v/>
      </c>
      <c r="FN169" s="44" t="str">
        <f t="shared" ref="FN169:FN170" si="2785">IF(CH169="","","|n"&amp;FN$2&amp;"+"&amp;CH169&amp;FN$1)</f>
        <v/>
      </c>
      <c r="FO169" s="44" t="str">
        <f t="shared" ref="FO169:FO170" si="2786">IF(CI169="","","|n"&amp;FO$2&amp;"+"&amp;CI169&amp;FO$1)</f>
        <v/>
      </c>
      <c r="FP169" s="44" t="str">
        <f t="shared" ref="FP169:FP170" si="2787">IF(CJ169="","","|n"&amp;FP$2&amp;"+"&amp;CJ169&amp;FP$1)</f>
        <v/>
      </c>
      <c r="FQ169" s="44" t="str">
        <f t="shared" ref="FQ169:FQ170" si="2788">IF(CK169="","","|n"&amp;FQ$2&amp;"+"&amp;CK169&amp;FQ$1)</f>
        <v/>
      </c>
      <c r="FR169" s="44" t="str">
        <f t="shared" ref="FR169:FR170" si="2789">IF(CL169="","","|n"&amp;FR$2&amp;"+"&amp;CL169&amp;FR$1)</f>
        <v/>
      </c>
      <c r="FS169" s="44" t="str">
        <f t="shared" ref="FS169:FS170" si="2790">IF(CM169="","","|n"&amp;FS$2&amp;"+"&amp;CM169&amp;FS$1)</f>
        <v/>
      </c>
    </row>
    <row r="170" ht="15" spans="1:175">
      <c r="A170" s="90"/>
      <c r="B170" s="5" t="s">
        <v>575</v>
      </c>
      <c r="C170" s="90" t="s">
        <v>576</v>
      </c>
      <c r="T170" s="78" t="s">
        <v>577</v>
      </c>
      <c r="U170" s="60" t="str">
        <f t="shared" si="1549"/>
        <v>ReplaceableTextures\\CommandButtons\\BTNIP03.blp</v>
      </c>
      <c r="CN170" s="13" t="str">
        <f t="shared" si="2136"/>
        <v>InitUnitState('IP03',,,,,,,,,,)</v>
      </c>
      <c r="CO170" s="13" t="str">
        <f t="shared" si="2137"/>
        <v>InitUnitNormal('IP03',,,,,,,,,,)</v>
      </c>
      <c r="CP170" s="13" t="str">
        <f t="shared" si="2138"/>
        <v>InitUnitMagic('IP03',,,,,,,,,,)</v>
      </c>
      <c r="CQ170" s="13" t="str">
        <f t="shared" si="2139"/>
        <v>InitUnitAdd('IP03',,,,,,,,,,)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InitEquipData('IP03',,"",,,,,'','','','','','',"ReplaceableTextures\\CommandButtons\\BTNIT01.blp")</v>
      </c>
      <c r="CU170" s="72" t="str">
        <f t="shared" si="2719"/>
        <v>|n</v>
      </c>
      <c r="CV170" s="6" t="str">
        <f t="shared" si="2720"/>
        <v>点击|Cffffc926选中指定法宝|r后，再点击|Cffffc926锻造|r，可|Cffffc926重置|r指定法宝，|Cffffc926品质提升一级|r。|n|n|Cff00ff7f每次重铸消耗1个鸿蒙结晶|r</v>
      </c>
      <c r="CW170" s="7"/>
      <c r="CX170" s="7"/>
      <c r="CY170" s="7"/>
      <c r="CZ170" s="7"/>
      <c r="DA170" s="7"/>
      <c r="DB170" s="44" t="str">
        <f t="shared" si="2721"/>
        <v/>
      </c>
      <c r="DC170" s="44" t="str">
        <f t="shared" si="2722"/>
        <v/>
      </c>
      <c r="DD170" s="44" t="str">
        <f t="shared" si="2723"/>
        <v/>
      </c>
      <c r="DE170" s="44" t="str">
        <f t="shared" si="2724"/>
        <v/>
      </c>
      <c r="DF170" s="44" t="str">
        <f t="shared" si="2725"/>
        <v/>
      </c>
      <c r="DG170" s="44" t="str">
        <f t="shared" si="2726"/>
        <v/>
      </c>
      <c r="DH170" s="44" t="str">
        <f t="shared" si="2727"/>
        <v/>
      </c>
      <c r="DI170" s="44" t="str">
        <f t="shared" si="2728"/>
        <v/>
      </c>
      <c r="DJ170" s="44" t="str">
        <f t="shared" si="2729"/>
        <v/>
      </c>
      <c r="DK170" s="44" t="str">
        <f t="shared" si="2730"/>
        <v/>
      </c>
      <c r="DL170" s="44" t="str">
        <f t="shared" si="2731"/>
        <v/>
      </c>
      <c r="DM170" s="44" t="str">
        <f t="shared" si="2732"/>
        <v/>
      </c>
      <c r="DN170" s="44" t="str">
        <f t="shared" si="2733"/>
        <v/>
      </c>
      <c r="DO170" s="44" t="str">
        <f t="shared" si="2734"/>
        <v/>
      </c>
      <c r="DP170" s="44" t="str">
        <f t="shared" si="2735"/>
        <v/>
      </c>
      <c r="DQ170" s="44" t="str">
        <f t="shared" si="2736"/>
        <v/>
      </c>
      <c r="DR170" s="44" t="str">
        <f t="shared" si="2737"/>
        <v/>
      </c>
      <c r="DS170" s="44" t="str">
        <f t="shared" si="2738"/>
        <v/>
      </c>
      <c r="DT170" s="44" t="str">
        <f t="shared" si="2739"/>
        <v/>
      </c>
      <c r="DU170" s="44" t="str">
        <f t="shared" si="2740"/>
        <v/>
      </c>
      <c r="DV170" s="44" t="str">
        <f t="shared" si="2741"/>
        <v/>
      </c>
      <c r="DW170" s="44" t="str">
        <f t="shared" si="2742"/>
        <v/>
      </c>
      <c r="DX170" s="44" t="str">
        <f t="shared" si="2743"/>
        <v/>
      </c>
      <c r="DY170" s="44" t="str">
        <f t="shared" si="2744"/>
        <v/>
      </c>
      <c r="DZ170" s="44" t="str">
        <f t="shared" si="2745"/>
        <v/>
      </c>
      <c r="EA170" s="44" t="str">
        <f t="shared" si="2746"/>
        <v/>
      </c>
      <c r="EB170" s="44" t="str">
        <f t="shared" si="2747"/>
        <v/>
      </c>
      <c r="EC170" s="44" t="str">
        <f t="shared" si="2748"/>
        <v/>
      </c>
      <c r="ED170" s="44" t="str">
        <f t="shared" si="2749"/>
        <v/>
      </c>
      <c r="EE170" s="44" t="str">
        <f t="shared" si="2750"/>
        <v/>
      </c>
      <c r="EF170" s="44" t="str">
        <f t="shared" si="2751"/>
        <v/>
      </c>
      <c r="EG170" s="44" t="str">
        <f t="shared" si="2752"/>
        <v/>
      </c>
      <c r="EH170" s="44" t="str">
        <f t="shared" si="2753"/>
        <v/>
      </c>
      <c r="EI170" s="44" t="str">
        <f t="shared" si="2754"/>
        <v/>
      </c>
      <c r="EJ170" s="44" t="str">
        <f t="shared" si="2755"/>
        <v/>
      </c>
      <c r="EK170" s="44" t="str">
        <f t="shared" si="2756"/>
        <v/>
      </c>
      <c r="EL170" s="44" t="str">
        <f t="shared" si="2757"/>
        <v/>
      </c>
      <c r="EM170" s="44" t="str">
        <f t="shared" si="2758"/>
        <v/>
      </c>
      <c r="EN170" s="44" t="str">
        <f t="shared" si="2759"/>
        <v/>
      </c>
      <c r="EO170" s="44" t="str">
        <f t="shared" si="2760"/>
        <v/>
      </c>
      <c r="EP170" s="44" t="str">
        <f t="shared" si="2761"/>
        <v/>
      </c>
      <c r="EQ170" s="44" t="str">
        <f t="shared" si="2762"/>
        <v/>
      </c>
      <c r="ER170" s="44" t="str">
        <f t="shared" si="2763"/>
        <v/>
      </c>
      <c r="ES170" s="44" t="str">
        <f t="shared" si="2764"/>
        <v/>
      </c>
      <c r="ET170" s="44" t="str">
        <f t="shared" si="2765"/>
        <v/>
      </c>
      <c r="EU170" s="44" t="str">
        <f t="shared" si="2766"/>
        <v/>
      </c>
      <c r="EV170" s="44" t="str">
        <f t="shared" si="2767"/>
        <v/>
      </c>
      <c r="EW170" s="44" t="str">
        <f t="shared" si="2768"/>
        <v/>
      </c>
      <c r="EX170" s="44" t="str">
        <f t="shared" si="2769"/>
        <v/>
      </c>
      <c r="EY170" s="44" t="str">
        <f t="shared" si="2770"/>
        <v/>
      </c>
      <c r="EZ170" s="44" t="str">
        <f t="shared" si="2771"/>
        <v/>
      </c>
      <c r="FA170" s="44" t="str">
        <f t="shared" si="2772"/>
        <v/>
      </c>
      <c r="FB170" s="44" t="str">
        <f t="shared" si="2773"/>
        <v/>
      </c>
      <c r="FC170" s="44" t="str">
        <f t="shared" si="2774"/>
        <v/>
      </c>
      <c r="FD170" s="44" t="str">
        <f t="shared" si="2775"/>
        <v/>
      </c>
      <c r="FE170" s="44" t="str">
        <f t="shared" si="2776"/>
        <v/>
      </c>
      <c r="FF170" s="44" t="str">
        <f t="shared" si="2777"/>
        <v/>
      </c>
      <c r="FG170" s="44" t="str">
        <f t="shared" si="2778"/>
        <v/>
      </c>
      <c r="FH170" s="44" t="str">
        <f t="shared" si="2779"/>
        <v/>
      </c>
      <c r="FI170" s="44" t="str">
        <f t="shared" si="2780"/>
        <v/>
      </c>
      <c r="FJ170" s="44" t="str">
        <f t="shared" si="2781"/>
        <v/>
      </c>
      <c r="FK170" s="44" t="str">
        <f t="shared" si="2782"/>
        <v/>
      </c>
      <c r="FL170" s="44" t="str">
        <f t="shared" si="2783"/>
        <v/>
      </c>
      <c r="FM170" s="44" t="str">
        <f t="shared" si="2784"/>
        <v/>
      </c>
      <c r="FN170" s="44" t="str">
        <f t="shared" si="2785"/>
        <v/>
      </c>
      <c r="FO170" s="44" t="str">
        <f t="shared" si="2786"/>
        <v/>
      </c>
      <c r="FP170" s="44" t="str">
        <f t="shared" si="2787"/>
        <v/>
      </c>
      <c r="FQ170" s="44" t="str">
        <f t="shared" si="2788"/>
        <v/>
      </c>
      <c r="FR170" s="44" t="str">
        <f t="shared" si="2789"/>
        <v/>
      </c>
      <c r="FS170" s="44" t="str">
        <f t="shared" si="2790"/>
        <v/>
      </c>
    </row>
    <row r="171" ht="15" spans="1:175">
      <c r="A171" s="90"/>
      <c r="B171" s="5" t="s">
        <v>578</v>
      </c>
      <c r="C171" s="90" t="s">
        <v>579</v>
      </c>
      <c r="T171" s="78"/>
      <c r="U171" s="60" t="str">
        <f t="shared" ref="U171:U172" si="2791">"ReplaceableTextures\\CommandButtons\\BTN"&amp;B171&amp;".blp"</f>
        <v>ReplaceableTextures\\CommandButtons\\BTNIP04.blp</v>
      </c>
      <c r="CN171" s="13" t="str">
        <f t="shared" si="2136"/>
        <v>InitUnitState('IP04',,,,,,,,,,)</v>
      </c>
      <c r="CO171" s="13" t="str">
        <f t="shared" si="2137"/>
        <v>InitUnitNormal('IP04',,,,,,,,,,)</v>
      </c>
      <c r="CP171" s="13" t="str">
        <f t="shared" si="2138"/>
        <v>InitUnitMagic('IP04',,,,,,,,,,)</v>
      </c>
      <c r="CQ171" s="13" t="str">
        <f t="shared" si="2139"/>
        <v>InitUnitAdd('IP04',,,,,,,,,,)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InitEquipData('IP04',,"",,,,,'','','','','','',"ReplaceableTextures\\CommandButtons\\BTNIP05.blp")</v>
      </c>
      <c r="CU171" s="72" t="str">
        <f t="shared" ref="CU171:CU172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6">
        <f t="shared" ref="CV171:CV172" si="2793">T171</f>
        <v>0</v>
      </c>
      <c r="CW171" s="7"/>
      <c r="CX171" s="7"/>
      <c r="CY171" s="7"/>
      <c r="CZ171" s="7"/>
      <c r="DA171" s="7"/>
      <c r="DB171" s="44" t="str">
        <f t="shared" ref="DB171:DB172" si="2794">IF(V171="","","|n"&amp;DB$2&amp;"+"&amp;V171&amp;DB$1)</f>
        <v/>
      </c>
      <c r="DC171" s="44" t="str">
        <f t="shared" ref="DC171:DC172" si="2795">IF(W171="","","|n"&amp;DC$2&amp;"+"&amp;W171&amp;DC$1)</f>
        <v/>
      </c>
      <c r="DD171" s="44" t="str">
        <f t="shared" ref="DD171:DD172" si="2796">IF(X171="","","|n"&amp;DD$2&amp;"+"&amp;X171&amp;DD$1)</f>
        <v/>
      </c>
      <c r="DE171" s="44" t="str">
        <f t="shared" ref="DE171:DE172" si="2797">IF(Y171="","","|n"&amp;DE$2&amp;"+"&amp;Y171&amp;DE$1)</f>
        <v/>
      </c>
      <c r="DF171" s="44" t="str">
        <f t="shared" ref="DF171:DF172" si="2798">IF(Z171="","","|n"&amp;DF$2&amp;"+"&amp;Z171&amp;DF$1)</f>
        <v/>
      </c>
      <c r="DG171" s="44" t="str">
        <f t="shared" ref="DG171:DG172" si="2799">IF(AA171="","","|n"&amp;DG$2&amp;"+"&amp;AA171&amp;DG$1)</f>
        <v/>
      </c>
      <c r="DH171" s="44" t="str">
        <f t="shared" ref="DH171:DH172" si="2800">IF(AB171="","","|n"&amp;DH$2&amp;"+"&amp;AB171&amp;DH$1)</f>
        <v/>
      </c>
      <c r="DI171" s="44" t="str">
        <f t="shared" ref="DI171:DI172" si="2801">IF(AC171="","","|n"&amp;DI$2&amp;"+"&amp;AC171&amp;DI$1)</f>
        <v/>
      </c>
      <c r="DJ171" s="44" t="str">
        <f t="shared" ref="DJ171:DJ172" si="2802">IF(AD171="","","|n"&amp;DJ$2&amp;"+"&amp;AD171&amp;DJ$1)</f>
        <v/>
      </c>
      <c r="DK171" s="44" t="str">
        <f t="shared" ref="DK171:DK172" si="2803">IF(AE171="","","|n"&amp;DK$2&amp;"+"&amp;AE171&amp;DK$1)</f>
        <v/>
      </c>
      <c r="DL171" s="44" t="str">
        <f t="shared" ref="DL171:DL172" si="2804">IF(AF171="","","|n"&amp;DL$2&amp;"+"&amp;AF171&amp;DL$1)</f>
        <v/>
      </c>
      <c r="DM171" s="44" t="str">
        <f t="shared" ref="DM171:DM172" si="2805">IF(AG171="","","|n"&amp;DM$2&amp;"+"&amp;AG171&amp;DM$1)</f>
        <v/>
      </c>
      <c r="DN171" s="44" t="str">
        <f t="shared" ref="DN171:DN172" si="2806">IF(AH171="","","|n"&amp;DN$2&amp;"+"&amp;AH171&amp;DN$1)</f>
        <v/>
      </c>
      <c r="DO171" s="44" t="str">
        <f t="shared" ref="DO171:DO172" si="2807">IF(AI171="","","|n"&amp;DO$2&amp;"+"&amp;AI171&amp;DO$1)</f>
        <v/>
      </c>
      <c r="DP171" s="44" t="str">
        <f t="shared" ref="DP171:DP172" si="2808">IF(AJ171="","","|n"&amp;DP$2&amp;"+"&amp;AJ171&amp;DP$1)</f>
        <v/>
      </c>
      <c r="DQ171" s="44" t="str">
        <f t="shared" ref="DQ171:DQ172" si="2809">IF(AK171="","","|n"&amp;DQ$2&amp;"+"&amp;AK171&amp;DQ$1)</f>
        <v/>
      </c>
      <c r="DR171" s="44" t="str">
        <f t="shared" ref="DR171:DR172" si="2810">IF(AL171="","","|n"&amp;DR$2&amp;"+"&amp;AL171&amp;DR$1)</f>
        <v/>
      </c>
      <c r="DS171" s="44" t="str">
        <f t="shared" ref="DS171:DS172" si="2811">IF(AM171="","","|n"&amp;DS$2&amp;"+"&amp;AM171&amp;DS$1)</f>
        <v/>
      </c>
      <c r="DT171" s="44" t="str">
        <f t="shared" ref="DT171:DT172" si="2812">IF(AN171="","","|n"&amp;DT$2&amp;"+"&amp;AN171&amp;DT$1)</f>
        <v/>
      </c>
      <c r="DU171" s="44" t="str">
        <f t="shared" ref="DU171:DU172" si="2813">IF(AO171="","","|n"&amp;DU$2&amp;"+"&amp;AO171&amp;DU$1)</f>
        <v/>
      </c>
      <c r="DV171" s="44" t="str">
        <f t="shared" ref="DV171:DV172" si="2814">IF(AP171="","","|n"&amp;DV$2&amp;"+"&amp;AP171&amp;DV$1)</f>
        <v/>
      </c>
      <c r="DW171" s="44" t="str">
        <f t="shared" ref="DW171:DW172" si="2815">IF(AQ171="","","|n"&amp;DW$2&amp;"+"&amp;AQ171&amp;DW$1)</f>
        <v/>
      </c>
      <c r="DX171" s="44" t="str">
        <f t="shared" ref="DX171:DX172" si="2816">IF(AR171="","","|n"&amp;DX$2&amp;"+"&amp;AR171&amp;DX$1)</f>
        <v/>
      </c>
      <c r="DY171" s="44" t="str">
        <f t="shared" ref="DY171:DY172" si="2817">IF(AS171="","","|n"&amp;DY$2&amp;"+"&amp;AS171&amp;DY$1)</f>
        <v/>
      </c>
      <c r="DZ171" s="44" t="str">
        <f t="shared" ref="DZ171:DZ172" si="2818">IF(AT171="","","|n"&amp;DZ$2&amp;"+"&amp;AT171&amp;DZ$1)</f>
        <v/>
      </c>
      <c r="EA171" s="44" t="str">
        <f t="shared" ref="EA171:EA172" si="2819">IF(AU171="","","|n"&amp;EA$2&amp;"+"&amp;AU171&amp;EA$1)</f>
        <v/>
      </c>
      <c r="EB171" s="44" t="str">
        <f t="shared" ref="EB171:EB172" si="2820">IF(AV171="","","|n"&amp;EB$2&amp;"+"&amp;AV171&amp;EB$1)</f>
        <v/>
      </c>
      <c r="EC171" s="44" t="str">
        <f t="shared" ref="EC171:EC172" si="2821">IF(AW171="","","|n"&amp;EC$2&amp;"+"&amp;AW171&amp;EC$1)</f>
        <v/>
      </c>
      <c r="ED171" s="44" t="str">
        <f t="shared" ref="ED171:ED172" si="2822">IF(AX171="","","|n"&amp;ED$2&amp;"+"&amp;AX171&amp;ED$1)</f>
        <v/>
      </c>
      <c r="EE171" s="44" t="str">
        <f t="shared" ref="EE171:EE172" si="2823">IF(AY171="","","|n"&amp;EE$2&amp;"+"&amp;AY171&amp;EE$1)</f>
        <v/>
      </c>
      <c r="EF171" s="44" t="str">
        <f t="shared" ref="EF171:EF172" si="2824">IF(AZ171="","","|n"&amp;EF$2&amp;"+"&amp;AZ171&amp;EF$1)</f>
        <v/>
      </c>
      <c r="EG171" s="44" t="str">
        <f t="shared" ref="EG171:EG172" si="2825">IF(BA171="","","|n"&amp;EG$2&amp;"+"&amp;BA171&amp;EG$1)</f>
        <v/>
      </c>
      <c r="EH171" s="44" t="str">
        <f t="shared" ref="EH171:EH172" si="2826">IF(BB171="","","|n"&amp;EH$2&amp;"+"&amp;BB171&amp;EH$1)</f>
        <v/>
      </c>
      <c r="EI171" s="44" t="str">
        <f t="shared" ref="EI171:EI172" si="2827">IF(BC171="","","|n"&amp;EI$2&amp;"+"&amp;BC171&amp;EI$1)</f>
        <v/>
      </c>
      <c r="EJ171" s="44" t="str">
        <f t="shared" ref="EJ171:EJ172" si="2828">IF(BD171="","","|n"&amp;EJ$2&amp;"+"&amp;BD171&amp;EJ$1)</f>
        <v/>
      </c>
      <c r="EK171" s="44" t="str">
        <f t="shared" ref="EK171:EK172" si="2829">IF(BE171="","","|n"&amp;EK$2&amp;"+"&amp;BE171&amp;EK$1)</f>
        <v/>
      </c>
      <c r="EL171" s="44" t="str">
        <f t="shared" ref="EL171:EL172" si="2830">IF(BF171="","","|n"&amp;EL$2&amp;"+"&amp;BF171&amp;EL$1)</f>
        <v/>
      </c>
      <c r="EM171" s="44" t="str">
        <f t="shared" ref="EM171:EM172" si="2831">IF(BG171="","","|n"&amp;EM$2&amp;"+"&amp;BG171&amp;EM$1)</f>
        <v/>
      </c>
      <c r="EN171" s="44" t="str">
        <f t="shared" ref="EN171:EN172" si="2832">IF(BH171="","","|n"&amp;EN$2&amp;"+"&amp;BH171&amp;EN$1)</f>
        <v/>
      </c>
      <c r="EO171" s="44" t="str">
        <f t="shared" ref="EO171:EO172" si="2833">IF(BI171="","","|n"&amp;EO$2&amp;"+"&amp;BI171&amp;EO$1)</f>
        <v/>
      </c>
      <c r="EP171" s="44" t="str">
        <f t="shared" ref="EP171:EP172" si="2834">IF(BJ171="","","|n"&amp;EP$2&amp;"+"&amp;BJ171&amp;EP$1)</f>
        <v/>
      </c>
      <c r="EQ171" s="44" t="str">
        <f t="shared" ref="EQ171:EQ172" si="2835">IF(BK171="","","|n"&amp;EQ$2&amp;"+"&amp;BK171&amp;EQ$1)</f>
        <v/>
      </c>
      <c r="ER171" s="44" t="str">
        <f t="shared" ref="ER171:ER172" si="2836">IF(BL171="","","|n"&amp;ER$2&amp;"+"&amp;BL171&amp;ER$1)</f>
        <v/>
      </c>
      <c r="ES171" s="44" t="str">
        <f t="shared" ref="ES171:ES172" si="2837">IF(BM171="","","|n"&amp;ES$2&amp;"+"&amp;BM171&amp;ES$1)</f>
        <v/>
      </c>
      <c r="ET171" s="44" t="str">
        <f t="shared" ref="ET171:ET172" si="2838">IF(BN171="","","|n"&amp;ET$2&amp;"+"&amp;BN171&amp;ET$1)</f>
        <v/>
      </c>
      <c r="EU171" s="44" t="str">
        <f t="shared" ref="EU171:EU172" si="2839">IF(BO171="","","|n"&amp;EU$2&amp;"+"&amp;BO171&amp;EU$1)</f>
        <v/>
      </c>
      <c r="EV171" s="44" t="str">
        <f t="shared" ref="EV171:EV172" si="2840">IF(BP171="","","|n"&amp;EV$2&amp;"+"&amp;BP171&amp;EV$1)</f>
        <v/>
      </c>
      <c r="EW171" s="44" t="str">
        <f t="shared" ref="EW171:EW172" si="2841">IF(BQ171="","","|n"&amp;EW$2&amp;"+"&amp;BQ171&amp;EW$1)</f>
        <v/>
      </c>
      <c r="EX171" s="44" t="str">
        <f t="shared" ref="EX171:EX172" si="2842">IF(BR171="","","|n"&amp;EX$2&amp;"+"&amp;BR171&amp;EX$1)</f>
        <v/>
      </c>
      <c r="EY171" s="44" t="str">
        <f t="shared" ref="EY171:EY172" si="2843">IF(BS171="","","|n"&amp;EY$2&amp;"+"&amp;BS171&amp;EY$1)</f>
        <v/>
      </c>
      <c r="EZ171" s="44" t="str">
        <f t="shared" ref="EZ171:EZ172" si="2844">IF(BT171="","","|n"&amp;EZ$2&amp;"+"&amp;BT171&amp;EZ$1)</f>
        <v/>
      </c>
      <c r="FA171" s="44" t="str">
        <f t="shared" ref="FA171:FA172" si="2845">IF(BU171="","","|n"&amp;FA$2&amp;"+"&amp;BU171&amp;FA$1)</f>
        <v/>
      </c>
      <c r="FB171" s="44" t="str">
        <f t="shared" ref="FB171:FB172" si="2846">IF(BV171="","","|n"&amp;FB$2&amp;"+"&amp;BV171&amp;FB$1)</f>
        <v/>
      </c>
      <c r="FC171" s="44" t="str">
        <f t="shared" ref="FC171:FC172" si="2847">IF(BW171="","","|n"&amp;FC$2&amp;"+"&amp;BW171&amp;FC$1)</f>
        <v/>
      </c>
      <c r="FD171" s="44" t="str">
        <f t="shared" ref="FD171:FD172" si="2848">IF(BX171="","","|n"&amp;FD$2&amp;"+"&amp;BX171&amp;FD$1)</f>
        <v/>
      </c>
      <c r="FE171" s="44" t="str">
        <f t="shared" ref="FE171:FE172" si="2849">IF(BY171="","","|n"&amp;FE$2&amp;"+"&amp;BY171&amp;FE$1)</f>
        <v/>
      </c>
      <c r="FF171" s="44" t="str">
        <f t="shared" ref="FF171:FF172" si="2850">IF(BZ171="","","|n"&amp;FF$2&amp;"+"&amp;BZ171&amp;FF$1)</f>
        <v/>
      </c>
      <c r="FG171" s="44" t="str">
        <f t="shared" ref="FG171:FG172" si="2851">IF(CA171="","","|n"&amp;FG$2&amp;"+"&amp;CA171&amp;FG$1)</f>
        <v/>
      </c>
      <c r="FH171" s="44" t="str">
        <f t="shared" ref="FH171:FH172" si="2852">IF(CB171="","","|n"&amp;FH$2&amp;"+"&amp;CB171&amp;FH$1)</f>
        <v/>
      </c>
      <c r="FI171" s="44" t="str">
        <f t="shared" ref="FI171:FI172" si="2853">IF(CC171="","","|n"&amp;FI$2&amp;"+"&amp;CC171&amp;FI$1)</f>
        <v/>
      </c>
      <c r="FJ171" s="44" t="str">
        <f t="shared" ref="FJ171:FJ172" si="2854">IF(CD171="","","|n"&amp;FJ$2&amp;"+"&amp;CD171&amp;FJ$1)</f>
        <v/>
      </c>
      <c r="FK171" s="44" t="str">
        <f t="shared" ref="FK171:FK172" si="2855">IF(CE171="","","|n"&amp;FK$2&amp;"+"&amp;CE171&amp;FK$1)</f>
        <v/>
      </c>
      <c r="FL171" s="44" t="str">
        <f t="shared" ref="FL171:FL172" si="2856">IF(CF171="","","|n"&amp;FL$2&amp;"+"&amp;CF171&amp;FL$1)</f>
        <v/>
      </c>
      <c r="FM171" s="44" t="str">
        <f t="shared" ref="FM171:FM172" si="2857">IF(CG171="","","|n"&amp;FM$2&amp;"+"&amp;CG171&amp;FM$1)</f>
        <v/>
      </c>
      <c r="FN171" s="44" t="str">
        <f t="shared" ref="FN171:FN172" si="2858">IF(CH171="","","|n"&amp;FN$2&amp;"+"&amp;CH171&amp;FN$1)</f>
        <v/>
      </c>
      <c r="FO171" s="44" t="str">
        <f t="shared" ref="FO171:FO172" si="2859">IF(CI171="","","|n"&amp;FO$2&amp;"+"&amp;CI171&amp;FO$1)</f>
        <v/>
      </c>
      <c r="FP171" s="44" t="str">
        <f t="shared" ref="FP171:FP172" si="2860">IF(CJ171="","","|n"&amp;FP$2&amp;"+"&amp;CJ171&amp;FP$1)</f>
        <v/>
      </c>
      <c r="FQ171" s="44" t="str">
        <f t="shared" ref="FQ171:FQ172" si="2861">IF(CK171="","","|n"&amp;FQ$2&amp;"+"&amp;CK171&amp;FQ$1)</f>
        <v/>
      </c>
      <c r="FR171" s="44" t="str">
        <f t="shared" ref="FR171:FR172" si="2862">IF(CL171="","","|n"&amp;FR$2&amp;"+"&amp;CL171&amp;FR$1)</f>
        <v/>
      </c>
      <c r="FS171" s="44" t="str">
        <f t="shared" ref="FS171:FS172" si="2863">IF(CM171="","","|n"&amp;FS$2&amp;"+"&amp;CM171&amp;FS$1)</f>
        <v/>
      </c>
    </row>
    <row r="172" ht="15" spans="1:175">
      <c r="A172" s="90"/>
      <c r="B172" s="5" t="s">
        <v>580</v>
      </c>
      <c r="C172" s="90" t="s">
        <v>581</v>
      </c>
      <c r="T172" s="78"/>
      <c r="U172" s="60" t="str">
        <f t="shared" si="2791"/>
        <v>ReplaceableTextures\\CommandButtons\\BTNIP05.blp</v>
      </c>
      <c r="CN172" s="13" t="str">
        <f t="shared" si="2136"/>
        <v>InitUnitState('IP05',,,,,,,,,,)</v>
      </c>
      <c r="CO172" s="13" t="str">
        <f t="shared" si="2137"/>
        <v>InitUnitNormal('IP05',,,,,,,,,,)</v>
      </c>
      <c r="CP172" s="13" t="str">
        <f t="shared" si="2138"/>
        <v>InitUnitMagic('IP05',,,,,,,,,,)</v>
      </c>
      <c r="CQ172" s="13" t="str">
        <f t="shared" si="2139"/>
        <v>InitUnitAdd('IP05',,,,,,,,,,)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175&amp;CR$1&amp;")"</f>
        <v>InitEquipData('IP05',,"",,,,,'','','','','','',"ReplaceableTextures\\CommandButtons\\BTNIT03.blp")</v>
      </c>
      <c r="CU172" s="72" t="str">
        <f t="shared" si="2792"/>
        <v>|n</v>
      </c>
      <c r="CV172" s="6">
        <f t="shared" si="2793"/>
        <v>0</v>
      </c>
      <c r="CW172" s="7"/>
      <c r="CX172" s="7"/>
      <c r="CY172" s="7"/>
      <c r="CZ172" s="7"/>
      <c r="DA172" s="7"/>
      <c r="DB172" s="44" t="str">
        <f t="shared" si="2794"/>
        <v/>
      </c>
      <c r="DC172" s="44" t="str">
        <f t="shared" si="2795"/>
        <v/>
      </c>
      <c r="DD172" s="44" t="str">
        <f t="shared" si="2796"/>
        <v/>
      </c>
      <c r="DE172" s="44" t="str">
        <f t="shared" si="2797"/>
        <v/>
      </c>
      <c r="DF172" s="44" t="str">
        <f t="shared" si="2798"/>
        <v/>
      </c>
      <c r="DG172" s="44" t="str">
        <f t="shared" si="2799"/>
        <v/>
      </c>
      <c r="DH172" s="44" t="str">
        <f t="shared" si="2800"/>
        <v/>
      </c>
      <c r="DI172" s="44" t="str">
        <f t="shared" si="2801"/>
        <v/>
      </c>
      <c r="DJ172" s="44" t="str">
        <f t="shared" si="2802"/>
        <v/>
      </c>
      <c r="DK172" s="44" t="str">
        <f t="shared" si="2803"/>
        <v/>
      </c>
      <c r="DL172" s="44" t="str">
        <f t="shared" si="2804"/>
        <v/>
      </c>
      <c r="DM172" s="44" t="str">
        <f t="shared" si="2805"/>
        <v/>
      </c>
      <c r="DN172" s="44" t="str">
        <f t="shared" si="2806"/>
        <v/>
      </c>
      <c r="DO172" s="44" t="str">
        <f t="shared" si="2807"/>
        <v/>
      </c>
      <c r="DP172" s="44" t="str">
        <f t="shared" si="2808"/>
        <v/>
      </c>
      <c r="DQ172" s="44" t="str">
        <f t="shared" si="2809"/>
        <v/>
      </c>
      <c r="DR172" s="44" t="str">
        <f t="shared" si="2810"/>
        <v/>
      </c>
      <c r="DS172" s="44" t="str">
        <f t="shared" si="2811"/>
        <v/>
      </c>
      <c r="DT172" s="44" t="str">
        <f t="shared" si="2812"/>
        <v/>
      </c>
      <c r="DU172" s="44" t="str">
        <f t="shared" si="2813"/>
        <v/>
      </c>
      <c r="DV172" s="44" t="str">
        <f t="shared" si="2814"/>
        <v/>
      </c>
      <c r="DW172" s="44" t="str">
        <f t="shared" si="2815"/>
        <v/>
      </c>
      <c r="DX172" s="44" t="str">
        <f t="shared" si="2816"/>
        <v/>
      </c>
      <c r="DY172" s="44" t="str">
        <f t="shared" si="2817"/>
        <v/>
      </c>
      <c r="DZ172" s="44" t="str">
        <f t="shared" si="2818"/>
        <v/>
      </c>
      <c r="EA172" s="44" t="str">
        <f t="shared" si="2819"/>
        <v/>
      </c>
      <c r="EB172" s="44" t="str">
        <f t="shared" si="2820"/>
        <v/>
      </c>
      <c r="EC172" s="44" t="str">
        <f t="shared" si="2821"/>
        <v/>
      </c>
      <c r="ED172" s="44" t="str">
        <f t="shared" si="2822"/>
        <v/>
      </c>
      <c r="EE172" s="44" t="str">
        <f t="shared" si="2823"/>
        <v/>
      </c>
      <c r="EF172" s="44" t="str">
        <f t="shared" si="2824"/>
        <v/>
      </c>
      <c r="EG172" s="44" t="str">
        <f t="shared" si="2825"/>
        <v/>
      </c>
      <c r="EH172" s="44" t="str">
        <f t="shared" si="2826"/>
        <v/>
      </c>
      <c r="EI172" s="44" t="str">
        <f t="shared" si="2827"/>
        <v/>
      </c>
      <c r="EJ172" s="44" t="str">
        <f t="shared" si="2828"/>
        <v/>
      </c>
      <c r="EK172" s="44" t="str">
        <f t="shared" si="2829"/>
        <v/>
      </c>
      <c r="EL172" s="44" t="str">
        <f t="shared" si="2830"/>
        <v/>
      </c>
      <c r="EM172" s="44" t="str">
        <f t="shared" si="2831"/>
        <v/>
      </c>
      <c r="EN172" s="44" t="str">
        <f t="shared" si="2832"/>
        <v/>
      </c>
      <c r="EO172" s="44" t="str">
        <f t="shared" si="2833"/>
        <v/>
      </c>
      <c r="EP172" s="44" t="str">
        <f t="shared" si="2834"/>
        <v/>
      </c>
      <c r="EQ172" s="44" t="str">
        <f t="shared" si="2835"/>
        <v/>
      </c>
      <c r="ER172" s="44" t="str">
        <f t="shared" si="2836"/>
        <v/>
      </c>
      <c r="ES172" s="44" t="str">
        <f t="shared" si="2837"/>
        <v/>
      </c>
      <c r="ET172" s="44" t="str">
        <f t="shared" si="2838"/>
        <v/>
      </c>
      <c r="EU172" s="44" t="str">
        <f t="shared" si="2839"/>
        <v/>
      </c>
      <c r="EV172" s="44" t="str">
        <f t="shared" si="2840"/>
        <v/>
      </c>
      <c r="EW172" s="44" t="str">
        <f t="shared" si="2841"/>
        <v/>
      </c>
      <c r="EX172" s="44" t="str">
        <f t="shared" si="2842"/>
        <v/>
      </c>
      <c r="EY172" s="44" t="str">
        <f t="shared" si="2843"/>
        <v/>
      </c>
      <c r="EZ172" s="44" t="str">
        <f t="shared" si="2844"/>
        <v/>
      </c>
      <c r="FA172" s="44" t="str">
        <f t="shared" si="2845"/>
        <v/>
      </c>
      <c r="FB172" s="44" t="str">
        <f t="shared" si="2846"/>
        <v/>
      </c>
      <c r="FC172" s="44" t="str">
        <f t="shared" si="2847"/>
        <v/>
      </c>
      <c r="FD172" s="44" t="str">
        <f t="shared" si="2848"/>
        <v/>
      </c>
      <c r="FE172" s="44" t="str">
        <f t="shared" si="2849"/>
        <v/>
      </c>
      <c r="FF172" s="44" t="str">
        <f t="shared" si="2850"/>
        <v/>
      </c>
      <c r="FG172" s="44" t="str">
        <f t="shared" si="2851"/>
        <v/>
      </c>
      <c r="FH172" s="44" t="str">
        <f t="shared" si="2852"/>
        <v/>
      </c>
      <c r="FI172" s="44" t="str">
        <f t="shared" si="2853"/>
        <v/>
      </c>
      <c r="FJ172" s="44" t="str">
        <f t="shared" si="2854"/>
        <v/>
      </c>
      <c r="FK172" s="44" t="str">
        <f t="shared" si="2855"/>
        <v/>
      </c>
      <c r="FL172" s="44" t="str">
        <f t="shared" si="2856"/>
        <v/>
      </c>
      <c r="FM172" s="44" t="str">
        <f t="shared" si="2857"/>
        <v/>
      </c>
      <c r="FN172" s="44" t="str">
        <f t="shared" si="2858"/>
        <v/>
      </c>
      <c r="FO172" s="44" t="str">
        <f t="shared" si="2859"/>
        <v/>
      </c>
      <c r="FP172" s="44" t="str">
        <f t="shared" si="2860"/>
        <v/>
      </c>
      <c r="FQ172" s="44" t="str">
        <f t="shared" si="2861"/>
        <v/>
      </c>
      <c r="FR172" s="44" t="str">
        <f t="shared" si="2862"/>
        <v/>
      </c>
      <c r="FS172" s="44" t="str">
        <f t="shared" si="2863"/>
        <v/>
      </c>
    </row>
    <row r="173" ht="55.2" spans="1:175">
      <c r="A173" s="90"/>
      <c r="B173" s="5" t="s">
        <v>582</v>
      </c>
      <c r="C173" s="90" t="s">
        <v>583</v>
      </c>
      <c r="R173" s="38">
        <v>-8086</v>
      </c>
      <c r="S173" s="38">
        <v>-3245</v>
      </c>
      <c r="T173" s="94" t="s">
        <v>584</v>
      </c>
      <c r="U173" s="60" t="str">
        <f t="shared" si="1549"/>
        <v>ReplaceableTextures\\CommandButtons\\BTNIT01.blp</v>
      </c>
      <c r="CN173" s="13" t="str">
        <f t="shared" ref="CN173:CN201" si="2864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13" t="str">
        <f t="shared" ref="CO173:CO201" si="2865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13" t="str">
        <f t="shared" ref="CP173:CP201" si="2866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13" t="str">
        <f t="shared" ref="CQ173:CQ201" si="2867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13" t="str">
        <f t="shared" ref="CR173:CR181" si="2868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72" t="str">
        <f t="shared" ref="CU173" si="2869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" t="str">
        <f t="shared" ref="CV173:CV174" si="2870">T173</f>
        <v>渡过该劫后可结成低级道果。|n|n|Cfff0f0f0低级道果：|r|n攻击+1000|n法强+1000|n生命值+2000|n|Cffffd24d元神力+2|r|n|n|Cff00ff7f战力推荐：|r|n</v>
      </c>
      <c r="CW173" s="7"/>
      <c r="CX173" s="7"/>
      <c r="CY173" s="7"/>
      <c r="CZ173" s="7"/>
      <c r="DA173" s="7"/>
      <c r="DB173" s="44" t="str">
        <f t="shared" ref="DB173" si="2871">IF(V173="","","|n"&amp;DB$2&amp;"+"&amp;V173&amp;DB$1)</f>
        <v/>
      </c>
      <c r="DC173" s="44" t="str">
        <f t="shared" ref="DC173" si="2872">IF(W173="","","|n"&amp;DC$2&amp;"+"&amp;W173&amp;DC$1)</f>
        <v/>
      </c>
      <c r="DD173" s="44" t="str">
        <f t="shared" ref="DD173" si="2873">IF(X173="","","|n"&amp;DD$2&amp;"+"&amp;X173&amp;DD$1)</f>
        <v/>
      </c>
      <c r="DE173" s="44" t="str">
        <f t="shared" ref="DE173" si="2874">IF(Y173="","","|n"&amp;DE$2&amp;"+"&amp;Y173&amp;DE$1)</f>
        <v/>
      </c>
      <c r="DF173" s="44" t="str">
        <f t="shared" ref="DF173" si="2875">IF(Z173="","","|n"&amp;DF$2&amp;"+"&amp;Z173&amp;DF$1)</f>
        <v/>
      </c>
      <c r="DG173" s="44" t="str">
        <f t="shared" ref="DG173" si="2876">IF(AA173="","","|n"&amp;DG$2&amp;"+"&amp;AA173&amp;DG$1)</f>
        <v/>
      </c>
      <c r="DH173" s="44" t="str">
        <f t="shared" ref="DH173" si="2877">IF(AB173="","","|n"&amp;DH$2&amp;"+"&amp;AB173&amp;DH$1)</f>
        <v/>
      </c>
      <c r="DI173" s="44" t="str">
        <f t="shared" ref="DI173" si="2878">IF(AC173="","","|n"&amp;DI$2&amp;"+"&amp;AC173&amp;DI$1)</f>
        <v/>
      </c>
      <c r="DJ173" s="44" t="str">
        <f t="shared" ref="DJ173" si="2879">IF(AD173="","","|n"&amp;DJ$2&amp;"+"&amp;AD173&amp;DJ$1)</f>
        <v/>
      </c>
      <c r="DK173" s="44" t="str">
        <f t="shared" ref="DK173" si="2880">IF(AE173="","","|n"&amp;DK$2&amp;"+"&amp;AE173&amp;DK$1)</f>
        <v/>
      </c>
      <c r="DL173" s="44" t="str">
        <f t="shared" ref="DL173" si="2881">IF(AF173="","","|n"&amp;DL$2&amp;"+"&amp;AF173&amp;DL$1)</f>
        <v/>
      </c>
      <c r="DM173" s="44" t="str">
        <f t="shared" ref="DM173" si="2882">IF(AG173="","","|n"&amp;DM$2&amp;"+"&amp;AG173&amp;DM$1)</f>
        <v/>
      </c>
      <c r="DN173" s="44" t="str">
        <f t="shared" ref="DN173" si="2883">IF(AH173="","","|n"&amp;DN$2&amp;"+"&amp;AH173&amp;DN$1)</f>
        <v/>
      </c>
      <c r="DO173" s="44" t="str">
        <f t="shared" ref="DO173" si="2884">IF(AI173="","","|n"&amp;DO$2&amp;"+"&amp;AI173&amp;DO$1)</f>
        <v/>
      </c>
      <c r="DP173" s="44" t="str">
        <f t="shared" ref="DP173" si="2885">IF(AJ173="","","|n"&amp;DP$2&amp;"+"&amp;AJ173&amp;DP$1)</f>
        <v/>
      </c>
      <c r="DQ173" s="44" t="str">
        <f t="shared" ref="DQ173" si="2886">IF(AK173="","","|n"&amp;DQ$2&amp;"+"&amp;AK173&amp;DQ$1)</f>
        <v/>
      </c>
      <c r="DR173" s="44" t="str">
        <f t="shared" ref="DR173" si="2887">IF(AL173="","","|n"&amp;DR$2&amp;"+"&amp;AL173&amp;DR$1)</f>
        <v/>
      </c>
      <c r="DS173" s="44" t="str">
        <f t="shared" ref="DS173" si="2888">IF(AM173="","","|n"&amp;DS$2&amp;"+"&amp;AM173&amp;DS$1)</f>
        <v/>
      </c>
      <c r="DT173" s="44" t="str">
        <f t="shared" ref="DT173" si="2889">IF(AN173="","","|n"&amp;DT$2&amp;"+"&amp;AN173&amp;DT$1)</f>
        <v/>
      </c>
      <c r="DU173" s="44" t="str">
        <f t="shared" ref="DU173" si="2890">IF(AO173="","","|n"&amp;DU$2&amp;"+"&amp;AO173&amp;DU$1)</f>
        <v/>
      </c>
      <c r="DV173" s="44" t="str">
        <f t="shared" ref="DV173" si="2891">IF(AP173="","","|n"&amp;DV$2&amp;"+"&amp;AP173&amp;DV$1)</f>
        <v/>
      </c>
      <c r="DW173" s="44" t="str">
        <f t="shared" ref="DW173" si="2892">IF(AQ173="","","|n"&amp;DW$2&amp;"+"&amp;AQ173&amp;DW$1)</f>
        <v/>
      </c>
      <c r="DX173" s="44" t="str">
        <f t="shared" ref="DX173" si="2893">IF(AR173="","","|n"&amp;DX$2&amp;"+"&amp;AR173&amp;DX$1)</f>
        <v/>
      </c>
      <c r="DY173" s="44" t="str">
        <f t="shared" ref="DY173" si="2894">IF(AS173="","","|n"&amp;DY$2&amp;"+"&amp;AS173&amp;DY$1)</f>
        <v/>
      </c>
      <c r="DZ173" s="44" t="str">
        <f t="shared" ref="DZ173" si="2895">IF(AT173="","","|n"&amp;DZ$2&amp;"+"&amp;AT173&amp;DZ$1)</f>
        <v/>
      </c>
      <c r="EA173" s="44" t="str">
        <f t="shared" ref="EA173" si="2896">IF(AU173="","","|n"&amp;EA$2&amp;"+"&amp;AU173&amp;EA$1)</f>
        <v/>
      </c>
      <c r="EB173" s="44" t="str">
        <f t="shared" ref="EB173" si="2897">IF(AV173="","","|n"&amp;EB$2&amp;"+"&amp;AV173&amp;EB$1)</f>
        <v/>
      </c>
      <c r="EC173" s="44" t="str">
        <f t="shared" ref="EC173" si="2898">IF(AW173="","","|n"&amp;EC$2&amp;"+"&amp;AW173&amp;EC$1)</f>
        <v/>
      </c>
      <c r="ED173" s="44" t="str">
        <f t="shared" ref="ED173" si="2899">IF(AX173="","","|n"&amp;ED$2&amp;"+"&amp;AX173&amp;ED$1)</f>
        <v/>
      </c>
      <c r="EE173" s="44" t="str">
        <f t="shared" ref="EE173" si="2900">IF(AY173="","","|n"&amp;EE$2&amp;"+"&amp;AY173&amp;EE$1)</f>
        <v/>
      </c>
      <c r="EF173" s="44" t="str">
        <f t="shared" ref="EF173" si="2901">IF(AZ173="","","|n"&amp;EF$2&amp;"+"&amp;AZ173&amp;EF$1)</f>
        <v/>
      </c>
      <c r="EG173" s="44" t="str">
        <f t="shared" ref="EG173" si="2902">IF(BA173="","","|n"&amp;EG$2&amp;"+"&amp;BA173&amp;EG$1)</f>
        <v/>
      </c>
      <c r="EH173" s="44" t="str">
        <f t="shared" ref="EH173" si="2903">IF(BB173="","","|n"&amp;EH$2&amp;"+"&amp;BB173&amp;EH$1)</f>
        <v/>
      </c>
      <c r="EI173" s="44" t="str">
        <f t="shared" ref="EI173" si="2904">IF(BC173="","","|n"&amp;EI$2&amp;"+"&amp;BC173&amp;EI$1)</f>
        <v/>
      </c>
      <c r="EJ173" s="44" t="str">
        <f t="shared" ref="EJ173" si="2905">IF(BD173="","","|n"&amp;EJ$2&amp;"+"&amp;BD173&amp;EJ$1)</f>
        <v/>
      </c>
      <c r="EK173" s="44" t="str">
        <f t="shared" ref="EK173" si="2906">IF(BE173="","","|n"&amp;EK$2&amp;"+"&amp;BE173&amp;EK$1)</f>
        <v/>
      </c>
      <c r="EL173" s="44" t="str">
        <f t="shared" ref="EL173" si="2907">IF(BF173="","","|n"&amp;EL$2&amp;"+"&amp;BF173&amp;EL$1)</f>
        <v/>
      </c>
      <c r="EM173" s="44" t="str">
        <f t="shared" ref="EM173" si="2908">IF(BG173="","","|n"&amp;EM$2&amp;"+"&amp;BG173&amp;EM$1)</f>
        <v/>
      </c>
      <c r="EN173" s="44" t="str">
        <f t="shared" ref="EN173" si="2909">IF(BH173="","","|n"&amp;EN$2&amp;"+"&amp;BH173&amp;EN$1)</f>
        <v/>
      </c>
      <c r="EO173" s="44" t="str">
        <f t="shared" ref="EO173" si="2910">IF(BI173="","","|n"&amp;EO$2&amp;"+"&amp;BI173&amp;EO$1)</f>
        <v/>
      </c>
      <c r="EP173" s="44" t="str">
        <f t="shared" ref="EP173" si="2911">IF(BJ173="","","|n"&amp;EP$2&amp;"+"&amp;BJ173&amp;EP$1)</f>
        <v/>
      </c>
      <c r="EQ173" s="44" t="str">
        <f t="shared" ref="EQ173" si="2912">IF(BK173="","","|n"&amp;EQ$2&amp;"+"&amp;BK173&amp;EQ$1)</f>
        <v/>
      </c>
      <c r="ER173" s="44" t="str">
        <f t="shared" ref="ER173" si="2913">IF(BL173="","","|n"&amp;ER$2&amp;"+"&amp;BL173&amp;ER$1)</f>
        <v/>
      </c>
      <c r="ES173" s="44" t="str">
        <f t="shared" ref="ES173" si="2914">IF(BM173="","","|n"&amp;ES$2&amp;"+"&amp;BM173&amp;ES$1)</f>
        <v/>
      </c>
      <c r="ET173" s="44" t="str">
        <f t="shared" ref="ET173" si="2915">IF(BN173="","","|n"&amp;ET$2&amp;"+"&amp;BN173&amp;ET$1)</f>
        <v/>
      </c>
      <c r="EU173" s="44" t="str">
        <f t="shared" ref="EU173" si="2916">IF(BO173="","","|n"&amp;EU$2&amp;"+"&amp;BO173&amp;EU$1)</f>
        <v/>
      </c>
      <c r="EV173" s="44" t="str">
        <f t="shared" ref="EV173" si="2917">IF(BP173="","","|n"&amp;EV$2&amp;"+"&amp;BP173&amp;EV$1)</f>
        <v/>
      </c>
      <c r="EW173" s="44" t="str">
        <f t="shared" ref="EW173" si="2918">IF(BQ173="","","|n"&amp;EW$2&amp;"+"&amp;BQ173&amp;EW$1)</f>
        <v/>
      </c>
      <c r="EX173" s="44" t="str">
        <f t="shared" ref="EX173" si="2919">IF(BR173="","","|n"&amp;EX$2&amp;"+"&amp;BR173&amp;EX$1)</f>
        <v/>
      </c>
      <c r="EY173" s="44" t="str">
        <f t="shared" ref="EY173" si="2920">IF(BS173="","","|n"&amp;EY$2&amp;"+"&amp;BS173&amp;EY$1)</f>
        <v/>
      </c>
      <c r="EZ173" s="44" t="str">
        <f t="shared" ref="EZ173" si="2921">IF(BT173="","","|n"&amp;EZ$2&amp;"+"&amp;BT173&amp;EZ$1)</f>
        <v/>
      </c>
      <c r="FA173" s="44" t="str">
        <f t="shared" ref="FA173" si="2922">IF(BU173="","","|n"&amp;FA$2&amp;"+"&amp;BU173&amp;FA$1)</f>
        <v/>
      </c>
      <c r="FB173" s="44" t="str">
        <f t="shared" ref="FB173" si="2923">IF(BV173="","","|n"&amp;FB$2&amp;"+"&amp;BV173&amp;FB$1)</f>
        <v/>
      </c>
      <c r="FC173" s="44" t="str">
        <f t="shared" ref="FC173" si="2924">IF(BW173="","","|n"&amp;FC$2&amp;"+"&amp;BW173&amp;FC$1)</f>
        <v/>
      </c>
      <c r="FD173" s="44" t="str">
        <f t="shared" ref="FD173" si="2925">IF(BX173="","","|n"&amp;FD$2&amp;"+"&amp;BX173&amp;FD$1)</f>
        <v/>
      </c>
      <c r="FE173" s="44" t="str">
        <f t="shared" ref="FE173" si="2926">IF(BY173="","","|n"&amp;FE$2&amp;"+"&amp;BY173&amp;FE$1)</f>
        <v/>
      </c>
      <c r="FF173" s="44" t="str">
        <f t="shared" ref="FF173" si="2927">IF(BZ173="","","|n"&amp;FF$2&amp;"+"&amp;BZ173&amp;FF$1)</f>
        <v/>
      </c>
      <c r="FG173" s="44" t="str">
        <f t="shared" ref="FG173" si="2928">IF(CA173="","","|n"&amp;FG$2&amp;"+"&amp;CA173&amp;FG$1)</f>
        <v/>
      </c>
      <c r="FH173" s="44" t="str">
        <f t="shared" ref="FH173" si="2929">IF(CB173="","","|n"&amp;FH$2&amp;"+"&amp;CB173&amp;FH$1)</f>
        <v/>
      </c>
      <c r="FI173" s="44" t="str">
        <f t="shared" ref="FI173" si="2930">IF(CC173="","","|n"&amp;FI$2&amp;"+"&amp;CC173&amp;FI$1)</f>
        <v/>
      </c>
      <c r="FJ173" s="44" t="str">
        <f t="shared" ref="FJ173" si="2931">IF(CD173="","","|n"&amp;FJ$2&amp;"+"&amp;CD173&amp;FJ$1)</f>
        <v/>
      </c>
      <c r="FK173" s="44" t="str">
        <f t="shared" ref="FK173" si="2932">IF(CE173="","","|n"&amp;FK$2&amp;"+"&amp;CE173&amp;FK$1)</f>
        <v/>
      </c>
      <c r="FL173" s="44" t="str">
        <f t="shared" ref="FL173" si="2933">IF(CF173="","","|n"&amp;FL$2&amp;"+"&amp;CF173&amp;FL$1)</f>
        <v/>
      </c>
      <c r="FM173" s="44" t="str">
        <f t="shared" ref="FM173" si="2934">IF(CG173="","","|n"&amp;FM$2&amp;"+"&amp;CG173&amp;FM$1)</f>
        <v/>
      </c>
      <c r="FN173" s="44" t="str">
        <f t="shared" ref="FN173" si="2935">IF(CH173="","","|n"&amp;FN$2&amp;"+"&amp;CH173&amp;FN$1)</f>
        <v/>
      </c>
      <c r="FO173" s="44" t="str">
        <f t="shared" ref="FO173" si="2936">IF(CI173="","","|n"&amp;FO$2&amp;"+"&amp;CI173&amp;FO$1)</f>
        <v/>
      </c>
      <c r="FP173" s="44" t="str">
        <f t="shared" ref="FP173" si="2937">IF(CJ173="","","|n"&amp;FP$2&amp;"+"&amp;CJ173&amp;FP$1)</f>
        <v/>
      </c>
      <c r="FQ173" s="44" t="str">
        <f t="shared" ref="FQ173" si="2938">IF(CK173="","","|n"&amp;FQ$2&amp;"+"&amp;CK173&amp;FQ$1)</f>
        <v/>
      </c>
      <c r="FR173" s="44" t="str">
        <f t="shared" ref="FR173" si="2939">IF(CL173="","","|n"&amp;FR$2&amp;"+"&amp;CL173&amp;FR$1)</f>
        <v/>
      </c>
      <c r="FS173" s="44" t="str">
        <f t="shared" ref="FS173" si="2940">IF(CM173="","","|n"&amp;FS$2&amp;"+"&amp;CM173&amp;FS$1)</f>
        <v/>
      </c>
    </row>
    <row r="174" ht="15" spans="1:175">
      <c r="A174" s="90"/>
      <c r="B174" s="5" t="s">
        <v>585</v>
      </c>
      <c r="C174" s="90" t="s">
        <v>586</v>
      </c>
      <c r="R174" s="38">
        <v>-7991</v>
      </c>
      <c r="S174" s="38">
        <v>-2312</v>
      </c>
      <c r="T174" s="90" t="s">
        <v>587</v>
      </c>
      <c r="U174" s="60" t="str">
        <f t="shared" si="1549"/>
        <v>ReplaceableTextures\\CommandButtons\\BTNIT02.blp</v>
      </c>
      <c r="CN174" s="13" t="str">
        <f t="shared" si="2864"/>
        <v>InitUnitState('IT02',,,,,,,,,,)</v>
      </c>
      <c r="CO174" s="13" t="str">
        <f t="shared" si="2865"/>
        <v>InitUnitNormal('IT02',,,,,,,,,,)</v>
      </c>
      <c r="CP174" s="13" t="str">
        <f t="shared" si="2866"/>
        <v>InitUnitMagic('IT02',,,,,,,,,,)</v>
      </c>
      <c r="CQ174" s="13" t="str">
        <f t="shared" si="2867"/>
        <v>InitUnitAdd('IT02',,,,,,,,,,)</v>
      </c>
      <c r="CR174" s="13" t="str">
        <f t="shared" si="2868"/>
        <v>InitEquipData('IT02',,"",,,,,'','','','','','',"ReplaceableTextures\\CommandButtons\\BTNIT03.blp")</v>
      </c>
      <c r="CU174" s="72" t="str">
        <f t="shared" ref="CU174:CU182" si="2941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" t="str">
        <f t="shared" si="2870"/>
        <v>渡过该劫后可结成中级道果。|n|n|Cfff0f0f0中级道果：|r|n攻击+1500|n法强+1500|n生命值+3000 |n|Cffffd24d元神力+4|r|n|n|Cff00ff7f战力推荐：|r|n</v>
      </c>
      <c r="CW174" s="7"/>
      <c r="CX174" s="7"/>
      <c r="CY174" s="7"/>
      <c r="CZ174" s="7"/>
      <c r="DA174" s="7"/>
      <c r="DB174" s="44" t="str">
        <f t="shared" ref="DB174:DB182" si="2942">IF(V174="","","|n"&amp;DB$2&amp;"+"&amp;V174&amp;DB$1)</f>
        <v/>
      </c>
      <c r="DC174" s="44" t="str">
        <f t="shared" ref="DC174:DC182" si="2943">IF(W174="","","|n"&amp;DC$2&amp;"+"&amp;W174&amp;DC$1)</f>
        <v/>
      </c>
      <c r="DD174" s="44" t="str">
        <f t="shared" ref="DD174:DD182" si="2944">IF(X174="","","|n"&amp;DD$2&amp;"+"&amp;X174&amp;DD$1)</f>
        <v/>
      </c>
      <c r="DE174" s="44" t="str">
        <f t="shared" ref="DE174:DE182" si="2945">IF(Y174="","","|n"&amp;DE$2&amp;"+"&amp;Y174&amp;DE$1)</f>
        <v/>
      </c>
      <c r="DF174" s="44" t="str">
        <f t="shared" ref="DF174:DF182" si="2946">IF(Z174="","","|n"&amp;DF$2&amp;"+"&amp;Z174&amp;DF$1)</f>
        <v/>
      </c>
      <c r="DG174" s="44" t="str">
        <f t="shared" ref="DG174:DG182" si="2947">IF(AA174="","","|n"&amp;DG$2&amp;"+"&amp;AA174&amp;DG$1)</f>
        <v/>
      </c>
      <c r="DH174" s="44" t="str">
        <f t="shared" ref="DH174:DH182" si="2948">IF(AB174="","","|n"&amp;DH$2&amp;"+"&amp;AB174&amp;DH$1)</f>
        <v/>
      </c>
      <c r="DI174" s="44" t="str">
        <f t="shared" ref="DI174:DI182" si="2949">IF(AC174="","","|n"&amp;DI$2&amp;"+"&amp;AC174&amp;DI$1)</f>
        <v/>
      </c>
      <c r="DJ174" s="44" t="str">
        <f t="shared" ref="DJ174:DJ182" si="2950">IF(AD174="","","|n"&amp;DJ$2&amp;"+"&amp;AD174&amp;DJ$1)</f>
        <v/>
      </c>
      <c r="DK174" s="44" t="str">
        <f t="shared" ref="DK174:DK182" si="2951">IF(AE174="","","|n"&amp;DK$2&amp;"+"&amp;AE174&amp;DK$1)</f>
        <v/>
      </c>
      <c r="DL174" s="44" t="str">
        <f t="shared" ref="DL174:DL182" si="2952">IF(AF174="","","|n"&amp;DL$2&amp;"+"&amp;AF174&amp;DL$1)</f>
        <v/>
      </c>
      <c r="DM174" s="44" t="str">
        <f t="shared" ref="DM174:DM182" si="2953">IF(AG174="","","|n"&amp;DM$2&amp;"+"&amp;AG174&amp;DM$1)</f>
        <v/>
      </c>
      <c r="DN174" s="44" t="str">
        <f t="shared" ref="DN174:DN182" si="2954">IF(AH174="","","|n"&amp;DN$2&amp;"+"&amp;AH174&amp;DN$1)</f>
        <v/>
      </c>
      <c r="DO174" s="44" t="str">
        <f t="shared" ref="DO174:DO182" si="2955">IF(AI174="","","|n"&amp;DO$2&amp;"+"&amp;AI174&amp;DO$1)</f>
        <v/>
      </c>
      <c r="DP174" s="44" t="str">
        <f t="shared" ref="DP174:DP182" si="2956">IF(AJ174="","","|n"&amp;DP$2&amp;"+"&amp;AJ174&amp;DP$1)</f>
        <v/>
      </c>
      <c r="DQ174" s="44" t="str">
        <f t="shared" ref="DQ174:DQ182" si="2957">IF(AK174="","","|n"&amp;DQ$2&amp;"+"&amp;AK174&amp;DQ$1)</f>
        <v/>
      </c>
      <c r="DR174" s="44" t="str">
        <f t="shared" ref="DR174:DR182" si="2958">IF(AL174="","","|n"&amp;DR$2&amp;"+"&amp;AL174&amp;DR$1)</f>
        <v/>
      </c>
      <c r="DS174" s="44" t="str">
        <f t="shared" ref="DS174:DS182" si="2959">IF(AM174="","","|n"&amp;DS$2&amp;"+"&amp;AM174&amp;DS$1)</f>
        <v/>
      </c>
      <c r="DT174" s="44" t="str">
        <f t="shared" ref="DT174:DT182" si="2960">IF(AN174="","","|n"&amp;DT$2&amp;"+"&amp;AN174&amp;DT$1)</f>
        <v/>
      </c>
      <c r="DU174" s="44" t="str">
        <f t="shared" ref="DU174:DU182" si="2961">IF(AO174="","","|n"&amp;DU$2&amp;"+"&amp;AO174&amp;DU$1)</f>
        <v/>
      </c>
      <c r="DV174" s="44" t="str">
        <f t="shared" ref="DV174:DV182" si="2962">IF(AP174="","","|n"&amp;DV$2&amp;"+"&amp;AP174&amp;DV$1)</f>
        <v/>
      </c>
      <c r="DW174" s="44" t="str">
        <f t="shared" ref="DW174:DW182" si="2963">IF(AQ174="","","|n"&amp;DW$2&amp;"+"&amp;AQ174&amp;DW$1)</f>
        <v/>
      </c>
      <c r="DX174" s="44" t="str">
        <f t="shared" ref="DX174:DX182" si="2964">IF(AR174="","","|n"&amp;DX$2&amp;"+"&amp;AR174&amp;DX$1)</f>
        <v/>
      </c>
      <c r="DY174" s="44" t="str">
        <f t="shared" ref="DY174:DY182" si="2965">IF(AS174="","","|n"&amp;DY$2&amp;"+"&amp;AS174&amp;DY$1)</f>
        <v/>
      </c>
      <c r="DZ174" s="44" t="str">
        <f t="shared" ref="DZ174:DZ182" si="2966">IF(AT174="","","|n"&amp;DZ$2&amp;"+"&amp;AT174&amp;DZ$1)</f>
        <v/>
      </c>
      <c r="EA174" s="44" t="str">
        <f t="shared" ref="EA174:EA182" si="2967">IF(AU174="","","|n"&amp;EA$2&amp;"+"&amp;AU174&amp;EA$1)</f>
        <v/>
      </c>
      <c r="EB174" s="44" t="str">
        <f t="shared" ref="EB174:EB182" si="2968">IF(AV174="","","|n"&amp;EB$2&amp;"+"&amp;AV174&amp;EB$1)</f>
        <v/>
      </c>
      <c r="EC174" s="44" t="str">
        <f t="shared" ref="EC174:EC182" si="2969">IF(AW174="","","|n"&amp;EC$2&amp;"+"&amp;AW174&amp;EC$1)</f>
        <v/>
      </c>
      <c r="ED174" s="44" t="str">
        <f t="shared" ref="ED174:ED182" si="2970">IF(AX174="","","|n"&amp;ED$2&amp;"+"&amp;AX174&amp;ED$1)</f>
        <v/>
      </c>
      <c r="EE174" s="44" t="str">
        <f t="shared" ref="EE174:EE182" si="2971">IF(AY174="","","|n"&amp;EE$2&amp;"+"&amp;AY174&amp;EE$1)</f>
        <v/>
      </c>
      <c r="EF174" s="44" t="str">
        <f t="shared" ref="EF174:EF182" si="2972">IF(AZ174="","","|n"&amp;EF$2&amp;"+"&amp;AZ174&amp;EF$1)</f>
        <v/>
      </c>
      <c r="EG174" s="44" t="str">
        <f t="shared" ref="EG174:EG182" si="2973">IF(BA174="","","|n"&amp;EG$2&amp;"+"&amp;BA174&amp;EG$1)</f>
        <v/>
      </c>
      <c r="EH174" s="44" t="str">
        <f t="shared" ref="EH174:EH182" si="2974">IF(BB174="","","|n"&amp;EH$2&amp;"+"&amp;BB174&amp;EH$1)</f>
        <v/>
      </c>
      <c r="EI174" s="44" t="str">
        <f t="shared" ref="EI174:EI182" si="2975">IF(BC174="","","|n"&amp;EI$2&amp;"+"&amp;BC174&amp;EI$1)</f>
        <v/>
      </c>
      <c r="EJ174" s="44" t="str">
        <f t="shared" ref="EJ174:EJ182" si="2976">IF(BD174="","","|n"&amp;EJ$2&amp;"+"&amp;BD174&amp;EJ$1)</f>
        <v/>
      </c>
      <c r="EK174" s="44" t="str">
        <f t="shared" ref="EK174:EK182" si="2977">IF(BE174="","","|n"&amp;EK$2&amp;"+"&amp;BE174&amp;EK$1)</f>
        <v/>
      </c>
      <c r="EL174" s="44" t="str">
        <f t="shared" ref="EL174:EL182" si="2978">IF(BF174="","","|n"&amp;EL$2&amp;"+"&amp;BF174&amp;EL$1)</f>
        <v/>
      </c>
      <c r="EM174" s="44" t="str">
        <f t="shared" ref="EM174:EM182" si="2979">IF(BG174="","","|n"&amp;EM$2&amp;"+"&amp;BG174&amp;EM$1)</f>
        <v/>
      </c>
      <c r="EN174" s="44" t="str">
        <f t="shared" ref="EN174:EN182" si="2980">IF(BH174="","","|n"&amp;EN$2&amp;"+"&amp;BH174&amp;EN$1)</f>
        <v/>
      </c>
      <c r="EO174" s="44" t="str">
        <f t="shared" ref="EO174:EO182" si="2981">IF(BI174="","","|n"&amp;EO$2&amp;"+"&amp;BI174&amp;EO$1)</f>
        <v/>
      </c>
      <c r="EP174" s="44" t="str">
        <f t="shared" ref="EP174:EP182" si="2982">IF(BJ174="","","|n"&amp;EP$2&amp;"+"&amp;BJ174&amp;EP$1)</f>
        <v/>
      </c>
      <c r="EQ174" s="44" t="str">
        <f t="shared" ref="EQ174:EQ182" si="2983">IF(BK174="","","|n"&amp;EQ$2&amp;"+"&amp;BK174&amp;EQ$1)</f>
        <v/>
      </c>
      <c r="ER174" s="44" t="str">
        <f t="shared" ref="ER174:ER182" si="2984">IF(BL174="","","|n"&amp;ER$2&amp;"+"&amp;BL174&amp;ER$1)</f>
        <v/>
      </c>
      <c r="ES174" s="44" t="str">
        <f t="shared" ref="ES174:ES182" si="2985">IF(BM174="","","|n"&amp;ES$2&amp;"+"&amp;BM174&amp;ES$1)</f>
        <v/>
      </c>
      <c r="ET174" s="44" t="str">
        <f t="shared" ref="ET174:ET182" si="2986">IF(BN174="","","|n"&amp;ET$2&amp;"+"&amp;BN174&amp;ET$1)</f>
        <v/>
      </c>
      <c r="EU174" s="44" t="str">
        <f t="shared" ref="EU174:EU182" si="2987">IF(BO174="","","|n"&amp;EU$2&amp;"+"&amp;BO174&amp;EU$1)</f>
        <v/>
      </c>
      <c r="EV174" s="44" t="str">
        <f t="shared" ref="EV174:EV182" si="2988">IF(BP174="","","|n"&amp;EV$2&amp;"+"&amp;BP174&amp;EV$1)</f>
        <v/>
      </c>
      <c r="EW174" s="44" t="str">
        <f t="shared" ref="EW174:EW182" si="2989">IF(BQ174="","","|n"&amp;EW$2&amp;"+"&amp;BQ174&amp;EW$1)</f>
        <v/>
      </c>
      <c r="EX174" s="44" t="str">
        <f t="shared" ref="EX174:EX182" si="2990">IF(BR174="","","|n"&amp;EX$2&amp;"+"&amp;BR174&amp;EX$1)</f>
        <v/>
      </c>
      <c r="EY174" s="44" t="str">
        <f t="shared" ref="EY174:EY182" si="2991">IF(BS174="","","|n"&amp;EY$2&amp;"+"&amp;BS174&amp;EY$1)</f>
        <v/>
      </c>
      <c r="EZ174" s="44" t="str">
        <f t="shared" ref="EZ174:EZ182" si="2992">IF(BT174="","","|n"&amp;EZ$2&amp;"+"&amp;BT174&amp;EZ$1)</f>
        <v/>
      </c>
      <c r="FA174" s="44" t="str">
        <f t="shared" ref="FA174:FA182" si="2993">IF(BU174="","","|n"&amp;FA$2&amp;"+"&amp;BU174&amp;FA$1)</f>
        <v/>
      </c>
      <c r="FB174" s="44" t="str">
        <f t="shared" ref="FB174:FB182" si="2994">IF(BV174="","","|n"&amp;FB$2&amp;"+"&amp;BV174&amp;FB$1)</f>
        <v/>
      </c>
      <c r="FC174" s="44" t="str">
        <f t="shared" ref="FC174:FC182" si="2995">IF(BW174="","","|n"&amp;FC$2&amp;"+"&amp;BW174&amp;FC$1)</f>
        <v/>
      </c>
      <c r="FD174" s="44" t="str">
        <f t="shared" ref="FD174:FD182" si="2996">IF(BX174="","","|n"&amp;FD$2&amp;"+"&amp;BX174&amp;FD$1)</f>
        <v/>
      </c>
      <c r="FE174" s="44" t="str">
        <f t="shared" ref="FE174:FE182" si="2997">IF(BY174="","","|n"&amp;FE$2&amp;"+"&amp;BY174&amp;FE$1)</f>
        <v/>
      </c>
      <c r="FF174" s="44" t="str">
        <f t="shared" ref="FF174:FF182" si="2998">IF(BZ174="","","|n"&amp;FF$2&amp;"+"&amp;BZ174&amp;FF$1)</f>
        <v/>
      </c>
      <c r="FG174" s="44" t="str">
        <f t="shared" ref="FG174:FG182" si="2999">IF(CA174="","","|n"&amp;FG$2&amp;"+"&amp;CA174&amp;FG$1)</f>
        <v/>
      </c>
      <c r="FH174" s="44" t="str">
        <f t="shared" ref="FH174:FH182" si="3000">IF(CB174="","","|n"&amp;FH$2&amp;"+"&amp;CB174&amp;FH$1)</f>
        <v/>
      </c>
      <c r="FI174" s="44" t="str">
        <f t="shared" ref="FI174:FI182" si="3001">IF(CC174="","","|n"&amp;FI$2&amp;"+"&amp;CC174&amp;FI$1)</f>
        <v/>
      </c>
      <c r="FJ174" s="44" t="str">
        <f t="shared" ref="FJ174:FJ182" si="3002">IF(CD174="","","|n"&amp;FJ$2&amp;"+"&amp;CD174&amp;FJ$1)</f>
        <v/>
      </c>
      <c r="FK174" s="44" t="str">
        <f t="shared" ref="FK174:FK182" si="3003">IF(CE174="","","|n"&amp;FK$2&amp;"+"&amp;CE174&amp;FK$1)</f>
        <v/>
      </c>
      <c r="FL174" s="44" t="str">
        <f t="shared" ref="FL174:FL182" si="3004">IF(CF174="","","|n"&amp;FL$2&amp;"+"&amp;CF174&amp;FL$1)</f>
        <v/>
      </c>
      <c r="FM174" s="44" t="str">
        <f t="shared" ref="FM174:FM182" si="3005">IF(CG174="","","|n"&amp;FM$2&amp;"+"&amp;CG174&amp;FM$1)</f>
        <v/>
      </c>
      <c r="FN174" s="44" t="str">
        <f t="shared" ref="FN174:FN182" si="3006">IF(CH174="","","|n"&amp;FN$2&amp;"+"&amp;CH174&amp;FN$1)</f>
        <v/>
      </c>
      <c r="FO174" s="44" t="str">
        <f t="shared" ref="FO174:FO182" si="3007">IF(CI174="","","|n"&amp;FO$2&amp;"+"&amp;CI174&amp;FO$1)</f>
        <v/>
      </c>
      <c r="FP174" s="44" t="str">
        <f t="shared" ref="FP174:FP182" si="3008">IF(CJ174="","","|n"&amp;FP$2&amp;"+"&amp;CJ174&amp;FP$1)</f>
        <v/>
      </c>
      <c r="FQ174" s="44" t="str">
        <f t="shared" ref="FQ174:FQ182" si="3009">IF(CK174="","","|n"&amp;FQ$2&amp;"+"&amp;CK174&amp;FQ$1)</f>
        <v/>
      </c>
      <c r="FR174" s="44" t="str">
        <f t="shared" ref="FR174:FR182" si="3010">IF(CL174="","","|n"&amp;FR$2&amp;"+"&amp;CL174&amp;FR$1)</f>
        <v/>
      </c>
      <c r="FS174" s="44" t="str">
        <f t="shared" ref="FS174:FS182" si="3011">IF(CM174="","","|n"&amp;FS$2&amp;"+"&amp;CM174&amp;FS$1)</f>
        <v/>
      </c>
    </row>
    <row r="175" ht="15" spans="1:175">
      <c r="A175" s="90"/>
      <c r="B175" s="5" t="s">
        <v>588</v>
      </c>
      <c r="C175" s="90" t="s">
        <v>589</v>
      </c>
      <c r="R175" s="38">
        <v>-8089</v>
      </c>
      <c r="S175" s="38">
        <v>-1230</v>
      </c>
      <c r="T175" s="90" t="s">
        <v>590</v>
      </c>
      <c r="U175" s="60" t="str">
        <f t="shared" si="1549"/>
        <v>ReplaceableTextures\\CommandButtons\\BTNIT03.blp</v>
      </c>
      <c r="CN175" s="13" t="str">
        <f t="shared" si="2864"/>
        <v>InitUnitState('IT03',,,,,,,,,,)</v>
      </c>
      <c r="CO175" s="13" t="str">
        <f t="shared" si="2865"/>
        <v>InitUnitNormal('IT03',,,,,,,,,,)</v>
      </c>
      <c r="CP175" s="13" t="str">
        <f t="shared" si="2866"/>
        <v>InitUnitMagic('IT03',,,,,,,,,,)</v>
      </c>
      <c r="CQ175" s="13" t="str">
        <f t="shared" si="2867"/>
        <v>InitUnitAdd('IT03',,,,,,,,,,)</v>
      </c>
      <c r="CR175" s="13" t="str">
        <f t="shared" si="2868"/>
        <v>InitEquipData('IT03',,"",,,,,'','','','','','',"ReplaceableTextures\\CommandButtons\\BTNIT04.blp")</v>
      </c>
      <c r="CU175" s="72" t="str">
        <f t="shared" si="2941"/>
        <v>|n</v>
      </c>
      <c r="CV175" s="6" t="str">
        <f t="shared" ref="CV175:CV182" si="3012">T175</f>
        <v>渡过该劫后可结成|Cff00ff7f高级道果|r。|n|n|Cff00ff7f高级道果：|r|n攻击+2000|n法强+2000|n生命值+4000 |n|Cffffd24d元神力+5|r|n|n|Cff00ff7f战力推荐：|r|n</v>
      </c>
      <c r="CW175" s="7"/>
      <c r="CX175" s="7"/>
      <c r="CY175" s="7"/>
      <c r="CZ175" s="7"/>
      <c r="DA175" s="7"/>
      <c r="DB175" s="44" t="str">
        <f t="shared" si="2942"/>
        <v/>
      </c>
      <c r="DC175" s="44" t="str">
        <f t="shared" si="2943"/>
        <v/>
      </c>
      <c r="DD175" s="44" t="str">
        <f t="shared" si="2944"/>
        <v/>
      </c>
      <c r="DE175" s="44" t="str">
        <f t="shared" si="2945"/>
        <v/>
      </c>
      <c r="DF175" s="44" t="str">
        <f t="shared" si="2946"/>
        <v/>
      </c>
      <c r="DG175" s="44" t="str">
        <f t="shared" si="2947"/>
        <v/>
      </c>
      <c r="DH175" s="44" t="str">
        <f t="shared" si="2948"/>
        <v/>
      </c>
      <c r="DI175" s="44" t="str">
        <f t="shared" si="2949"/>
        <v/>
      </c>
      <c r="DJ175" s="44" t="str">
        <f t="shared" si="2950"/>
        <v/>
      </c>
      <c r="DK175" s="44" t="str">
        <f t="shared" si="2951"/>
        <v/>
      </c>
      <c r="DL175" s="44" t="str">
        <f t="shared" si="2952"/>
        <v/>
      </c>
      <c r="DM175" s="44" t="str">
        <f t="shared" si="2953"/>
        <v/>
      </c>
      <c r="DN175" s="44" t="str">
        <f t="shared" si="2954"/>
        <v/>
      </c>
      <c r="DO175" s="44" t="str">
        <f t="shared" si="2955"/>
        <v/>
      </c>
      <c r="DP175" s="44" t="str">
        <f t="shared" si="2956"/>
        <v/>
      </c>
      <c r="DQ175" s="44" t="str">
        <f t="shared" si="2957"/>
        <v/>
      </c>
      <c r="DR175" s="44" t="str">
        <f t="shared" si="2958"/>
        <v/>
      </c>
      <c r="DS175" s="44" t="str">
        <f t="shared" si="2959"/>
        <v/>
      </c>
      <c r="DT175" s="44" t="str">
        <f t="shared" si="2960"/>
        <v/>
      </c>
      <c r="DU175" s="44" t="str">
        <f t="shared" si="2961"/>
        <v/>
      </c>
      <c r="DV175" s="44" t="str">
        <f t="shared" si="2962"/>
        <v/>
      </c>
      <c r="DW175" s="44" t="str">
        <f t="shared" si="2963"/>
        <v/>
      </c>
      <c r="DX175" s="44" t="str">
        <f t="shared" si="2964"/>
        <v/>
      </c>
      <c r="DY175" s="44" t="str">
        <f t="shared" si="2965"/>
        <v/>
      </c>
      <c r="DZ175" s="44" t="str">
        <f t="shared" si="2966"/>
        <v/>
      </c>
      <c r="EA175" s="44" t="str">
        <f t="shared" si="2967"/>
        <v/>
      </c>
      <c r="EB175" s="44" t="str">
        <f t="shared" si="2968"/>
        <v/>
      </c>
      <c r="EC175" s="44" t="str">
        <f t="shared" si="2969"/>
        <v/>
      </c>
      <c r="ED175" s="44" t="str">
        <f t="shared" si="2970"/>
        <v/>
      </c>
      <c r="EE175" s="44" t="str">
        <f t="shared" si="2971"/>
        <v/>
      </c>
      <c r="EF175" s="44" t="str">
        <f t="shared" si="2972"/>
        <v/>
      </c>
      <c r="EG175" s="44" t="str">
        <f t="shared" si="2973"/>
        <v/>
      </c>
      <c r="EH175" s="44" t="str">
        <f t="shared" si="2974"/>
        <v/>
      </c>
      <c r="EI175" s="44" t="str">
        <f t="shared" si="2975"/>
        <v/>
      </c>
      <c r="EJ175" s="44" t="str">
        <f t="shared" si="2976"/>
        <v/>
      </c>
      <c r="EK175" s="44" t="str">
        <f t="shared" si="2977"/>
        <v/>
      </c>
      <c r="EL175" s="44" t="str">
        <f t="shared" si="2978"/>
        <v/>
      </c>
      <c r="EM175" s="44" t="str">
        <f t="shared" si="2979"/>
        <v/>
      </c>
      <c r="EN175" s="44" t="str">
        <f t="shared" si="2980"/>
        <v/>
      </c>
      <c r="EO175" s="44" t="str">
        <f t="shared" si="2981"/>
        <v/>
      </c>
      <c r="EP175" s="44" t="str">
        <f t="shared" si="2982"/>
        <v/>
      </c>
      <c r="EQ175" s="44" t="str">
        <f t="shared" si="2983"/>
        <v/>
      </c>
      <c r="ER175" s="44" t="str">
        <f t="shared" si="2984"/>
        <v/>
      </c>
      <c r="ES175" s="44" t="str">
        <f t="shared" si="2985"/>
        <v/>
      </c>
      <c r="ET175" s="44" t="str">
        <f t="shared" si="2986"/>
        <v/>
      </c>
      <c r="EU175" s="44" t="str">
        <f t="shared" si="2987"/>
        <v/>
      </c>
      <c r="EV175" s="44" t="str">
        <f t="shared" si="2988"/>
        <v/>
      </c>
      <c r="EW175" s="44" t="str">
        <f t="shared" si="2989"/>
        <v/>
      </c>
      <c r="EX175" s="44" t="str">
        <f t="shared" si="2990"/>
        <v/>
      </c>
      <c r="EY175" s="44" t="str">
        <f t="shared" si="2991"/>
        <v/>
      </c>
      <c r="EZ175" s="44" t="str">
        <f t="shared" si="2992"/>
        <v/>
      </c>
      <c r="FA175" s="44" t="str">
        <f t="shared" si="2993"/>
        <v/>
      </c>
      <c r="FB175" s="44" t="str">
        <f t="shared" si="2994"/>
        <v/>
      </c>
      <c r="FC175" s="44" t="str">
        <f t="shared" si="2995"/>
        <v/>
      </c>
      <c r="FD175" s="44" t="str">
        <f t="shared" si="2996"/>
        <v/>
      </c>
      <c r="FE175" s="44" t="str">
        <f t="shared" si="2997"/>
        <v/>
      </c>
      <c r="FF175" s="44" t="str">
        <f t="shared" si="2998"/>
        <v/>
      </c>
      <c r="FG175" s="44" t="str">
        <f t="shared" si="2999"/>
        <v/>
      </c>
      <c r="FH175" s="44" t="str">
        <f t="shared" si="3000"/>
        <v/>
      </c>
      <c r="FI175" s="44" t="str">
        <f t="shared" si="3001"/>
        <v/>
      </c>
      <c r="FJ175" s="44" t="str">
        <f t="shared" si="3002"/>
        <v/>
      </c>
      <c r="FK175" s="44" t="str">
        <f t="shared" si="3003"/>
        <v/>
      </c>
      <c r="FL175" s="44" t="str">
        <f t="shared" si="3004"/>
        <v/>
      </c>
      <c r="FM175" s="44" t="str">
        <f t="shared" si="3005"/>
        <v/>
      </c>
      <c r="FN175" s="44" t="str">
        <f t="shared" si="3006"/>
        <v/>
      </c>
      <c r="FO175" s="44" t="str">
        <f t="shared" si="3007"/>
        <v/>
      </c>
      <c r="FP175" s="44" t="str">
        <f t="shared" si="3008"/>
        <v/>
      </c>
      <c r="FQ175" s="44" t="str">
        <f t="shared" si="3009"/>
        <v/>
      </c>
      <c r="FR175" s="44" t="str">
        <f t="shared" si="3010"/>
        <v/>
      </c>
      <c r="FS175" s="44" t="str">
        <f t="shared" si="3011"/>
        <v/>
      </c>
    </row>
    <row r="176" ht="15" spans="1:175">
      <c r="A176" s="90"/>
      <c r="B176" s="5" t="s">
        <v>591</v>
      </c>
      <c r="C176" s="90" t="s">
        <v>592</v>
      </c>
      <c r="R176" s="38">
        <v>-7794</v>
      </c>
      <c r="S176" s="38">
        <v>195</v>
      </c>
      <c r="T176" s="90" t="s">
        <v>593</v>
      </c>
      <c r="U176" s="60" t="str">
        <f t="shared" si="1549"/>
        <v>ReplaceableTextures\\CommandButtons\\BTNIT04.blp</v>
      </c>
      <c r="CN176" s="13" t="str">
        <f t="shared" si="2864"/>
        <v>InitUnitState('IT04',,,,,,,,,,)</v>
      </c>
      <c r="CO176" s="13" t="str">
        <f t="shared" si="2865"/>
        <v>InitUnitNormal('IT04',,,,,,,,,,)</v>
      </c>
      <c r="CP176" s="13" t="str">
        <f t="shared" si="2866"/>
        <v>InitUnitMagic('IT04',,,,,,,,,,)</v>
      </c>
      <c r="CQ176" s="13" t="str">
        <f t="shared" si="2867"/>
        <v>InitUnitAdd('IT04',,,,,,,,,,)</v>
      </c>
      <c r="CR176" s="13" t="str">
        <f t="shared" si="2868"/>
        <v>InitEquipData('IT04',,"",,,,,'','','','','','',"ReplaceableTextures\\CommandButtons\\BTNIT05.blp")</v>
      </c>
      <c r="CU176" s="72" t="str">
        <f t="shared" si="2941"/>
        <v>|n</v>
      </c>
      <c r="CV176" s="6" t="str">
        <f t="shared" si="3012"/>
        <v>渡过该劫后可结成|Cff00ff7f黄级道果|r。|n|n|Cff00ff7f黄级道果：|r|n攻击+2500|n法强+2500|n生命值+5000|n|Cffffd24d元神力+6|r|n|n|Cff00ff7f战力推荐：|r|n</v>
      </c>
      <c r="CW176" s="7"/>
      <c r="CX176" s="7"/>
      <c r="CY176" s="7"/>
      <c r="CZ176" s="7"/>
      <c r="DA176" s="7"/>
      <c r="DB176" s="44" t="str">
        <f t="shared" si="2942"/>
        <v/>
      </c>
      <c r="DC176" s="44" t="str">
        <f t="shared" si="2943"/>
        <v/>
      </c>
      <c r="DD176" s="44" t="str">
        <f t="shared" si="2944"/>
        <v/>
      </c>
      <c r="DE176" s="44" t="str">
        <f t="shared" si="2945"/>
        <v/>
      </c>
      <c r="DF176" s="44" t="str">
        <f t="shared" si="2946"/>
        <v/>
      </c>
      <c r="DG176" s="44" t="str">
        <f t="shared" si="2947"/>
        <v/>
      </c>
      <c r="DH176" s="44" t="str">
        <f t="shared" si="2948"/>
        <v/>
      </c>
      <c r="DI176" s="44" t="str">
        <f t="shared" si="2949"/>
        <v/>
      </c>
      <c r="DJ176" s="44" t="str">
        <f t="shared" si="2950"/>
        <v/>
      </c>
      <c r="DK176" s="44" t="str">
        <f t="shared" si="2951"/>
        <v/>
      </c>
      <c r="DL176" s="44" t="str">
        <f t="shared" si="2952"/>
        <v/>
      </c>
      <c r="DM176" s="44" t="str">
        <f t="shared" si="2953"/>
        <v/>
      </c>
      <c r="DN176" s="44" t="str">
        <f t="shared" si="2954"/>
        <v/>
      </c>
      <c r="DO176" s="44" t="str">
        <f t="shared" si="2955"/>
        <v/>
      </c>
      <c r="DP176" s="44" t="str">
        <f t="shared" si="2956"/>
        <v/>
      </c>
      <c r="DQ176" s="44" t="str">
        <f t="shared" si="2957"/>
        <v/>
      </c>
      <c r="DR176" s="44" t="str">
        <f t="shared" si="2958"/>
        <v/>
      </c>
      <c r="DS176" s="44" t="str">
        <f t="shared" si="2959"/>
        <v/>
      </c>
      <c r="DT176" s="44" t="str">
        <f t="shared" si="2960"/>
        <v/>
      </c>
      <c r="DU176" s="44" t="str">
        <f t="shared" si="2961"/>
        <v/>
      </c>
      <c r="DV176" s="44" t="str">
        <f t="shared" si="2962"/>
        <v/>
      </c>
      <c r="DW176" s="44" t="str">
        <f t="shared" si="2963"/>
        <v/>
      </c>
      <c r="DX176" s="44" t="str">
        <f t="shared" si="2964"/>
        <v/>
      </c>
      <c r="DY176" s="44" t="str">
        <f t="shared" si="2965"/>
        <v/>
      </c>
      <c r="DZ176" s="44" t="str">
        <f t="shared" si="2966"/>
        <v/>
      </c>
      <c r="EA176" s="44" t="str">
        <f t="shared" si="2967"/>
        <v/>
      </c>
      <c r="EB176" s="44" t="str">
        <f t="shared" si="2968"/>
        <v/>
      </c>
      <c r="EC176" s="44" t="str">
        <f t="shared" si="2969"/>
        <v/>
      </c>
      <c r="ED176" s="44" t="str">
        <f t="shared" si="2970"/>
        <v/>
      </c>
      <c r="EE176" s="44" t="str">
        <f t="shared" si="2971"/>
        <v/>
      </c>
      <c r="EF176" s="44" t="str">
        <f t="shared" si="2972"/>
        <v/>
      </c>
      <c r="EG176" s="44" t="str">
        <f t="shared" si="2973"/>
        <v/>
      </c>
      <c r="EH176" s="44" t="str">
        <f t="shared" si="2974"/>
        <v/>
      </c>
      <c r="EI176" s="44" t="str">
        <f t="shared" si="2975"/>
        <v/>
      </c>
      <c r="EJ176" s="44" t="str">
        <f t="shared" si="2976"/>
        <v/>
      </c>
      <c r="EK176" s="44" t="str">
        <f t="shared" si="2977"/>
        <v/>
      </c>
      <c r="EL176" s="44" t="str">
        <f t="shared" si="2978"/>
        <v/>
      </c>
      <c r="EM176" s="44" t="str">
        <f t="shared" si="2979"/>
        <v/>
      </c>
      <c r="EN176" s="44" t="str">
        <f t="shared" si="2980"/>
        <v/>
      </c>
      <c r="EO176" s="44" t="str">
        <f t="shared" si="2981"/>
        <v/>
      </c>
      <c r="EP176" s="44" t="str">
        <f t="shared" si="2982"/>
        <v/>
      </c>
      <c r="EQ176" s="44" t="str">
        <f t="shared" si="2983"/>
        <v/>
      </c>
      <c r="ER176" s="44" t="str">
        <f t="shared" si="2984"/>
        <v/>
      </c>
      <c r="ES176" s="44" t="str">
        <f t="shared" si="2985"/>
        <v/>
      </c>
      <c r="ET176" s="44" t="str">
        <f t="shared" si="2986"/>
        <v/>
      </c>
      <c r="EU176" s="44" t="str">
        <f t="shared" si="2987"/>
        <v/>
      </c>
      <c r="EV176" s="44" t="str">
        <f t="shared" si="2988"/>
        <v/>
      </c>
      <c r="EW176" s="44" t="str">
        <f t="shared" si="2989"/>
        <v/>
      </c>
      <c r="EX176" s="44" t="str">
        <f t="shared" si="2990"/>
        <v/>
      </c>
      <c r="EY176" s="44" t="str">
        <f t="shared" si="2991"/>
        <v/>
      </c>
      <c r="EZ176" s="44" t="str">
        <f t="shared" si="2992"/>
        <v/>
      </c>
      <c r="FA176" s="44" t="str">
        <f t="shared" si="2993"/>
        <v/>
      </c>
      <c r="FB176" s="44" t="str">
        <f t="shared" si="2994"/>
        <v/>
      </c>
      <c r="FC176" s="44" t="str">
        <f t="shared" si="2995"/>
        <v/>
      </c>
      <c r="FD176" s="44" t="str">
        <f t="shared" si="2996"/>
        <v/>
      </c>
      <c r="FE176" s="44" t="str">
        <f t="shared" si="2997"/>
        <v/>
      </c>
      <c r="FF176" s="44" t="str">
        <f t="shared" si="2998"/>
        <v/>
      </c>
      <c r="FG176" s="44" t="str">
        <f t="shared" si="2999"/>
        <v/>
      </c>
      <c r="FH176" s="44" t="str">
        <f t="shared" si="3000"/>
        <v/>
      </c>
      <c r="FI176" s="44" t="str">
        <f t="shared" si="3001"/>
        <v/>
      </c>
      <c r="FJ176" s="44" t="str">
        <f t="shared" si="3002"/>
        <v/>
      </c>
      <c r="FK176" s="44" t="str">
        <f t="shared" si="3003"/>
        <v/>
      </c>
      <c r="FL176" s="44" t="str">
        <f t="shared" si="3004"/>
        <v/>
      </c>
      <c r="FM176" s="44" t="str">
        <f t="shared" si="3005"/>
        <v/>
      </c>
      <c r="FN176" s="44" t="str">
        <f t="shared" si="3006"/>
        <v/>
      </c>
      <c r="FO176" s="44" t="str">
        <f t="shared" si="3007"/>
        <v/>
      </c>
      <c r="FP176" s="44" t="str">
        <f t="shared" si="3008"/>
        <v/>
      </c>
      <c r="FQ176" s="44" t="str">
        <f t="shared" si="3009"/>
        <v/>
      </c>
      <c r="FR176" s="44" t="str">
        <f t="shared" si="3010"/>
        <v/>
      </c>
      <c r="FS176" s="44" t="str">
        <f t="shared" si="3011"/>
        <v/>
      </c>
    </row>
    <row r="177" ht="15" spans="1:175">
      <c r="A177" s="90"/>
      <c r="B177" s="5" t="s">
        <v>594</v>
      </c>
      <c r="C177" s="90" t="s">
        <v>595</v>
      </c>
      <c r="R177" s="38">
        <v>-8110</v>
      </c>
      <c r="S177" s="38">
        <v>1810</v>
      </c>
      <c r="T177" s="90" t="s">
        <v>596</v>
      </c>
      <c r="U177" s="60" t="str">
        <f t="shared" si="1549"/>
        <v>ReplaceableTextures\\CommandButtons\\BTNIT05.blp</v>
      </c>
      <c r="CN177" s="13" t="str">
        <f t="shared" si="2864"/>
        <v>InitUnitState('IT05',,,,,,,,,,)</v>
      </c>
      <c r="CO177" s="13" t="str">
        <f t="shared" si="2865"/>
        <v>InitUnitNormal('IT05',,,,,,,,,,)</v>
      </c>
      <c r="CP177" s="13" t="str">
        <f t="shared" si="2866"/>
        <v>InitUnitMagic('IT05',,,,,,,,,,)</v>
      </c>
      <c r="CQ177" s="13" t="str">
        <f t="shared" si="2867"/>
        <v>InitUnitAdd('IT05',,,,,,,,,,)</v>
      </c>
      <c r="CR177" s="13" t="str">
        <f t="shared" si="2868"/>
        <v>InitEquipData('IT05',,"",,,,,'','','','','','',"ReplaceableTextures\\CommandButtons\\BTNIT06.blp")</v>
      </c>
      <c r="CU177" s="72" t="str">
        <f t="shared" si="2941"/>
        <v>|n</v>
      </c>
      <c r="CV177" s="6" t="str">
        <f t="shared" si="3012"/>
        <v>渡过该劫后可结成|Cff00bfff玄级道果|r。|n|n|Cff00bfff玄级道果：|r|n攻击+3000|n法强+3000|n生命值+6000|n|Cffffd24d元神力+7|r|n|n|Cff00ff7f战力推荐：|r|n</v>
      </c>
      <c r="CW177" s="7"/>
      <c r="CX177" s="7"/>
      <c r="CY177" s="7"/>
      <c r="CZ177" s="7"/>
      <c r="DA177" s="7"/>
      <c r="DB177" s="44" t="str">
        <f t="shared" si="2942"/>
        <v/>
      </c>
      <c r="DC177" s="44" t="str">
        <f t="shared" si="2943"/>
        <v/>
      </c>
      <c r="DD177" s="44" t="str">
        <f t="shared" si="2944"/>
        <v/>
      </c>
      <c r="DE177" s="44" t="str">
        <f t="shared" si="2945"/>
        <v/>
      </c>
      <c r="DF177" s="44" t="str">
        <f t="shared" si="2946"/>
        <v/>
      </c>
      <c r="DG177" s="44" t="str">
        <f t="shared" si="2947"/>
        <v/>
      </c>
      <c r="DH177" s="44" t="str">
        <f t="shared" si="2948"/>
        <v/>
      </c>
      <c r="DI177" s="44" t="str">
        <f t="shared" si="2949"/>
        <v/>
      </c>
      <c r="DJ177" s="44" t="str">
        <f t="shared" si="2950"/>
        <v/>
      </c>
      <c r="DK177" s="44" t="str">
        <f t="shared" si="2951"/>
        <v/>
      </c>
      <c r="DL177" s="44" t="str">
        <f t="shared" si="2952"/>
        <v/>
      </c>
      <c r="DM177" s="44" t="str">
        <f t="shared" si="2953"/>
        <v/>
      </c>
      <c r="DN177" s="44" t="str">
        <f t="shared" si="2954"/>
        <v/>
      </c>
      <c r="DO177" s="44" t="str">
        <f t="shared" si="2955"/>
        <v/>
      </c>
      <c r="DP177" s="44" t="str">
        <f t="shared" si="2956"/>
        <v/>
      </c>
      <c r="DQ177" s="44" t="str">
        <f t="shared" si="2957"/>
        <v/>
      </c>
      <c r="DR177" s="44" t="str">
        <f t="shared" si="2958"/>
        <v/>
      </c>
      <c r="DS177" s="44" t="str">
        <f t="shared" si="2959"/>
        <v/>
      </c>
      <c r="DT177" s="44" t="str">
        <f t="shared" si="2960"/>
        <v/>
      </c>
      <c r="DU177" s="44" t="str">
        <f t="shared" si="2961"/>
        <v/>
      </c>
      <c r="DV177" s="44" t="str">
        <f t="shared" si="2962"/>
        <v/>
      </c>
      <c r="DW177" s="44" t="str">
        <f t="shared" si="2963"/>
        <v/>
      </c>
      <c r="DX177" s="44" t="str">
        <f t="shared" si="2964"/>
        <v/>
      </c>
      <c r="DY177" s="44" t="str">
        <f t="shared" si="2965"/>
        <v/>
      </c>
      <c r="DZ177" s="44" t="str">
        <f t="shared" si="2966"/>
        <v/>
      </c>
      <c r="EA177" s="44" t="str">
        <f t="shared" si="2967"/>
        <v/>
      </c>
      <c r="EB177" s="44" t="str">
        <f t="shared" si="2968"/>
        <v/>
      </c>
      <c r="EC177" s="44" t="str">
        <f t="shared" si="2969"/>
        <v/>
      </c>
      <c r="ED177" s="44" t="str">
        <f t="shared" si="2970"/>
        <v/>
      </c>
      <c r="EE177" s="44" t="str">
        <f t="shared" si="2971"/>
        <v/>
      </c>
      <c r="EF177" s="44" t="str">
        <f t="shared" si="2972"/>
        <v/>
      </c>
      <c r="EG177" s="44" t="str">
        <f t="shared" si="2973"/>
        <v/>
      </c>
      <c r="EH177" s="44" t="str">
        <f t="shared" si="2974"/>
        <v/>
      </c>
      <c r="EI177" s="44" t="str">
        <f t="shared" si="2975"/>
        <v/>
      </c>
      <c r="EJ177" s="44" t="str">
        <f t="shared" si="2976"/>
        <v/>
      </c>
      <c r="EK177" s="44" t="str">
        <f t="shared" si="2977"/>
        <v/>
      </c>
      <c r="EL177" s="44" t="str">
        <f t="shared" si="2978"/>
        <v/>
      </c>
      <c r="EM177" s="44" t="str">
        <f t="shared" si="2979"/>
        <v/>
      </c>
      <c r="EN177" s="44" t="str">
        <f t="shared" si="2980"/>
        <v/>
      </c>
      <c r="EO177" s="44" t="str">
        <f t="shared" si="2981"/>
        <v/>
      </c>
      <c r="EP177" s="44" t="str">
        <f t="shared" si="2982"/>
        <v/>
      </c>
      <c r="EQ177" s="44" t="str">
        <f t="shared" si="2983"/>
        <v/>
      </c>
      <c r="ER177" s="44" t="str">
        <f t="shared" si="2984"/>
        <v/>
      </c>
      <c r="ES177" s="44" t="str">
        <f t="shared" si="2985"/>
        <v/>
      </c>
      <c r="ET177" s="44" t="str">
        <f t="shared" si="2986"/>
        <v/>
      </c>
      <c r="EU177" s="44" t="str">
        <f t="shared" si="2987"/>
        <v/>
      </c>
      <c r="EV177" s="44" t="str">
        <f t="shared" si="2988"/>
        <v/>
      </c>
      <c r="EW177" s="44" t="str">
        <f t="shared" si="2989"/>
        <v/>
      </c>
      <c r="EX177" s="44" t="str">
        <f t="shared" si="2990"/>
        <v/>
      </c>
      <c r="EY177" s="44" t="str">
        <f t="shared" si="2991"/>
        <v/>
      </c>
      <c r="EZ177" s="44" t="str">
        <f t="shared" si="2992"/>
        <v/>
      </c>
      <c r="FA177" s="44" t="str">
        <f t="shared" si="2993"/>
        <v/>
      </c>
      <c r="FB177" s="44" t="str">
        <f t="shared" si="2994"/>
        <v/>
      </c>
      <c r="FC177" s="44" t="str">
        <f t="shared" si="2995"/>
        <v/>
      </c>
      <c r="FD177" s="44" t="str">
        <f t="shared" si="2996"/>
        <v/>
      </c>
      <c r="FE177" s="44" t="str">
        <f t="shared" si="2997"/>
        <v/>
      </c>
      <c r="FF177" s="44" t="str">
        <f t="shared" si="2998"/>
        <v/>
      </c>
      <c r="FG177" s="44" t="str">
        <f t="shared" si="2999"/>
        <v/>
      </c>
      <c r="FH177" s="44" t="str">
        <f t="shared" si="3000"/>
        <v/>
      </c>
      <c r="FI177" s="44" t="str">
        <f t="shared" si="3001"/>
        <v/>
      </c>
      <c r="FJ177" s="44" t="str">
        <f t="shared" si="3002"/>
        <v/>
      </c>
      <c r="FK177" s="44" t="str">
        <f t="shared" si="3003"/>
        <v/>
      </c>
      <c r="FL177" s="44" t="str">
        <f t="shared" si="3004"/>
        <v/>
      </c>
      <c r="FM177" s="44" t="str">
        <f t="shared" si="3005"/>
        <v/>
      </c>
      <c r="FN177" s="44" t="str">
        <f t="shared" si="3006"/>
        <v/>
      </c>
      <c r="FO177" s="44" t="str">
        <f t="shared" si="3007"/>
        <v/>
      </c>
      <c r="FP177" s="44" t="str">
        <f t="shared" si="3008"/>
        <v/>
      </c>
      <c r="FQ177" s="44" t="str">
        <f t="shared" si="3009"/>
        <v/>
      </c>
      <c r="FR177" s="44" t="str">
        <f t="shared" si="3010"/>
        <v/>
      </c>
      <c r="FS177" s="44" t="str">
        <f t="shared" si="3011"/>
        <v/>
      </c>
    </row>
    <row r="178" ht="15" spans="1:175">
      <c r="A178" s="90"/>
      <c r="B178" s="5" t="s">
        <v>597</v>
      </c>
      <c r="C178" s="90" t="s">
        <v>598</v>
      </c>
      <c r="R178" s="38">
        <v>-7896</v>
      </c>
      <c r="S178" s="38">
        <v>3839</v>
      </c>
      <c r="T178" s="90" t="s">
        <v>599</v>
      </c>
      <c r="U178" s="60" t="str">
        <f t="shared" si="1549"/>
        <v>ReplaceableTextures\\CommandButtons\\BTNIT06.blp</v>
      </c>
      <c r="CN178" s="13" t="str">
        <f t="shared" si="2864"/>
        <v>InitUnitState('IT06',,,,,,,,,,)</v>
      </c>
      <c r="CO178" s="13" t="str">
        <f t="shared" si="2865"/>
        <v>InitUnitNormal('IT06',,,,,,,,,,)</v>
      </c>
      <c r="CP178" s="13" t="str">
        <f t="shared" si="2866"/>
        <v>InitUnitMagic('IT06',,,,,,,,,,)</v>
      </c>
      <c r="CQ178" s="13" t="str">
        <f t="shared" si="2867"/>
        <v>InitUnitAdd('IT06',,,,,,,,,,)</v>
      </c>
      <c r="CR178" s="13" t="str">
        <f t="shared" si="2868"/>
        <v>InitEquipData('IT06',,"",,,,,'','','','','','',"ReplaceableTextures\\CommandButtons\\BTNIT07.blp")</v>
      </c>
      <c r="CU178" s="72" t="str">
        <f t="shared" si="2941"/>
        <v>|n</v>
      </c>
      <c r="CV178" s="6" t="str">
        <f t="shared" si="3012"/>
        <v>渡过该劫后可结成|Cff00bfff地级道果|r。|n|n|Cff00bfff地级道果：|r|n攻击+4000|n法强+4000|n生命值+8000|n|Cffffd24d元神力+9|r|n|n|n|Cff00ff7f战力推荐：|r|n</v>
      </c>
      <c r="CW178" s="7"/>
      <c r="CX178" s="7"/>
      <c r="CY178" s="7"/>
      <c r="CZ178" s="7"/>
      <c r="DA178" s="7"/>
      <c r="DB178" s="44" t="str">
        <f t="shared" si="2942"/>
        <v/>
      </c>
      <c r="DC178" s="44" t="str">
        <f t="shared" si="2943"/>
        <v/>
      </c>
      <c r="DD178" s="44" t="str">
        <f t="shared" si="2944"/>
        <v/>
      </c>
      <c r="DE178" s="44" t="str">
        <f t="shared" si="2945"/>
        <v/>
      </c>
      <c r="DF178" s="44" t="str">
        <f t="shared" si="2946"/>
        <v/>
      </c>
      <c r="DG178" s="44" t="str">
        <f t="shared" si="2947"/>
        <v/>
      </c>
      <c r="DH178" s="44" t="str">
        <f t="shared" si="2948"/>
        <v/>
      </c>
      <c r="DI178" s="44" t="str">
        <f t="shared" si="2949"/>
        <v/>
      </c>
      <c r="DJ178" s="44" t="str">
        <f t="shared" si="2950"/>
        <v/>
      </c>
      <c r="DK178" s="44" t="str">
        <f t="shared" si="2951"/>
        <v/>
      </c>
      <c r="DL178" s="44" t="str">
        <f t="shared" si="2952"/>
        <v/>
      </c>
      <c r="DM178" s="44" t="str">
        <f t="shared" si="2953"/>
        <v/>
      </c>
      <c r="DN178" s="44" t="str">
        <f t="shared" si="2954"/>
        <v/>
      </c>
      <c r="DO178" s="44" t="str">
        <f t="shared" si="2955"/>
        <v/>
      </c>
      <c r="DP178" s="44" t="str">
        <f t="shared" si="2956"/>
        <v/>
      </c>
      <c r="DQ178" s="44" t="str">
        <f t="shared" si="2957"/>
        <v/>
      </c>
      <c r="DR178" s="44" t="str">
        <f t="shared" si="2958"/>
        <v/>
      </c>
      <c r="DS178" s="44" t="str">
        <f t="shared" si="2959"/>
        <v/>
      </c>
      <c r="DT178" s="44" t="str">
        <f t="shared" si="2960"/>
        <v/>
      </c>
      <c r="DU178" s="44" t="str">
        <f t="shared" si="2961"/>
        <v/>
      </c>
      <c r="DV178" s="44" t="str">
        <f t="shared" si="2962"/>
        <v/>
      </c>
      <c r="DW178" s="44" t="str">
        <f t="shared" si="2963"/>
        <v/>
      </c>
      <c r="DX178" s="44" t="str">
        <f t="shared" si="2964"/>
        <v/>
      </c>
      <c r="DY178" s="44" t="str">
        <f t="shared" si="2965"/>
        <v/>
      </c>
      <c r="DZ178" s="44" t="str">
        <f t="shared" si="2966"/>
        <v/>
      </c>
      <c r="EA178" s="44" t="str">
        <f t="shared" si="2967"/>
        <v/>
      </c>
      <c r="EB178" s="44" t="str">
        <f t="shared" si="2968"/>
        <v/>
      </c>
      <c r="EC178" s="44" t="str">
        <f t="shared" si="2969"/>
        <v/>
      </c>
      <c r="ED178" s="44" t="str">
        <f t="shared" si="2970"/>
        <v/>
      </c>
      <c r="EE178" s="44" t="str">
        <f t="shared" si="2971"/>
        <v/>
      </c>
      <c r="EF178" s="44" t="str">
        <f t="shared" si="2972"/>
        <v/>
      </c>
      <c r="EG178" s="44" t="str">
        <f t="shared" si="2973"/>
        <v/>
      </c>
      <c r="EH178" s="44" t="str">
        <f t="shared" si="2974"/>
        <v/>
      </c>
      <c r="EI178" s="44" t="str">
        <f t="shared" si="2975"/>
        <v/>
      </c>
      <c r="EJ178" s="44" t="str">
        <f t="shared" si="2976"/>
        <v/>
      </c>
      <c r="EK178" s="44" t="str">
        <f t="shared" si="2977"/>
        <v/>
      </c>
      <c r="EL178" s="44" t="str">
        <f t="shared" si="2978"/>
        <v/>
      </c>
      <c r="EM178" s="44" t="str">
        <f t="shared" si="2979"/>
        <v/>
      </c>
      <c r="EN178" s="44" t="str">
        <f t="shared" si="2980"/>
        <v/>
      </c>
      <c r="EO178" s="44" t="str">
        <f t="shared" si="2981"/>
        <v/>
      </c>
      <c r="EP178" s="44" t="str">
        <f t="shared" si="2982"/>
        <v/>
      </c>
      <c r="EQ178" s="44" t="str">
        <f t="shared" si="2983"/>
        <v/>
      </c>
      <c r="ER178" s="44" t="str">
        <f t="shared" si="2984"/>
        <v/>
      </c>
      <c r="ES178" s="44" t="str">
        <f t="shared" si="2985"/>
        <v/>
      </c>
      <c r="ET178" s="44" t="str">
        <f t="shared" si="2986"/>
        <v/>
      </c>
      <c r="EU178" s="44" t="str">
        <f t="shared" si="2987"/>
        <v/>
      </c>
      <c r="EV178" s="44" t="str">
        <f t="shared" si="2988"/>
        <v/>
      </c>
      <c r="EW178" s="44" t="str">
        <f t="shared" si="2989"/>
        <v/>
      </c>
      <c r="EX178" s="44" t="str">
        <f t="shared" si="2990"/>
        <v/>
      </c>
      <c r="EY178" s="44" t="str">
        <f t="shared" si="2991"/>
        <v/>
      </c>
      <c r="EZ178" s="44" t="str">
        <f t="shared" si="2992"/>
        <v/>
      </c>
      <c r="FA178" s="44" t="str">
        <f t="shared" si="2993"/>
        <v/>
      </c>
      <c r="FB178" s="44" t="str">
        <f t="shared" si="2994"/>
        <v/>
      </c>
      <c r="FC178" s="44" t="str">
        <f t="shared" si="2995"/>
        <v/>
      </c>
      <c r="FD178" s="44" t="str">
        <f t="shared" si="2996"/>
        <v/>
      </c>
      <c r="FE178" s="44" t="str">
        <f t="shared" si="2997"/>
        <v/>
      </c>
      <c r="FF178" s="44" t="str">
        <f t="shared" si="2998"/>
        <v/>
      </c>
      <c r="FG178" s="44" t="str">
        <f t="shared" si="2999"/>
        <v/>
      </c>
      <c r="FH178" s="44" t="str">
        <f t="shared" si="3000"/>
        <v/>
      </c>
      <c r="FI178" s="44" t="str">
        <f t="shared" si="3001"/>
        <v/>
      </c>
      <c r="FJ178" s="44" t="str">
        <f t="shared" si="3002"/>
        <v/>
      </c>
      <c r="FK178" s="44" t="str">
        <f t="shared" si="3003"/>
        <v/>
      </c>
      <c r="FL178" s="44" t="str">
        <f t="shared" si="3004"/>
        <v/>
      </c>
      <c r="FM178" s="44" t="str">
        <f t="shared" si="3005"/>
        <v/>
      </c>
      <c r="FN178" s="44" t="str">
        <f t="shared" si="3006"/>
        <v/>
      </c>
      <c r="FO178" s="44" t="str">
        <f t="shared" si="3007"/>
        <v/>
      </c>
      <c r="FP178" s="44" t="str">
        <f t="shared" si="3008"/>
        <v/>
      </c>
      <c r="FQ178" s="44" t="str">
        <f t="shared" si="3009"/>
        <v/>
      </c>
      <c r="FR178" s="44" t="str">
        <f t="shared" si="3010"/>
        <v/>
      </c>
      <c r="FS178" s="44" t="str">
        <f t="shared" si="3011"/>
        <v/>
      </c>
    </row>
    <row r="179" ht="15" spans="1:175">
      <c r="A179" s="90"/>
      <c r="B179" s="5" t="s">
        <v>600</v>
      </c>
      <c r="C179" s="90" t="s">
        <v>601</v>
      </c>
      <c r="R179" s="38">
        <v>-7896</v>
      </c>
      <c r="S179" s="38">
        <v>5906</v>
      </c>
      <c r="T179" s="90" t="s">
        <v>602</v>
      </c>
      <c r="U179" s="60" t="str">
        <f t="shared" si="1549"/>
        <v>ReplaceableTextures\\CommandButtons\\BTNIT07.blp</v>
      </c>
      <c r="CN179" s="13" t="str">
        <f t="shared" si="2864"/>
        <v>InitUnitState('IT07',,,,,,,,,,)</v>
      </c>
      <c r="CO179" s="13" t="str">
        <f t="shared" si="2865"/>
        <v>InitUnitNormal('IT07',,,,,,,,,,)</v>
      </c>
      <c r="CP179" s="13" t="str">
        <f t="shared" si="2866"/>
        <v>InitUnitMagic('IT07',,,,,,,,,,)</v>
      </c>
      <c r="CQ179" s="13" t="str">
        <f t="shared" si="2867"/>
        <v>InitUnitAdd('IT07',,,,,,,,,,)</v>
      </c>
      <c r="CR179" s="13" t="str">
        <f t="shared" si="2868"/>
        <v>InitEquipData('IT07',,"",,,,,'','','','','','',"ReplaceableTextures\\CommandButtons\\BTNIT08.blp")</v>
      </c>
      <c r="CU179" s="72" t="str">
        <f t="shared" si="2941"/>
        <v>|n</v>
      </c>
      <c r="CV179" s="6" t="str">
        <f t="shared" si="3012"/>
        <v>渡过该劫后可结成|Cffffc926天级道果|r。|n|n|Cffffc926天级道果：|r|n攻击+5000|n法强+5000|n生命值+10000|n|Cffffd24d元神力+11|r|n|n|Cff00ff7f战力推荐：|r|n</v>
      </c>
      <c r="CW179" s="7"/>
      <c r="CX179" s="7"/>
      <c r="CY179" s="7"/>
      <c r="CZ179" s="7"/>
      <c r="DA179" s="7"/>
      <c r="DB179" s="44" t="str">
        <f t="shared" si="2942"/>
        <v/>
      </c>
      <c r="DC179" s="44" t="str">
        <f t="shared" si="2943"/>
        <v/>
      </c>
      <c r="DD179" s="44" t="str">
        <f t="shared" si="2944"/>
        <v/>
      </c>
      <c r="DE179" s="44" t="str">
        <f t="shared" si="2945"/>
        <v/>
      </c>
      <c r="DF179" s="44" t="str">
        <f t="shared" si="2946"/>
        <v/>
      </c>
      <c r="DG179" s="44" t="str">
        <f t="shared" si="2947"/>
        <v/>
      </c>
      <c r="DH179" s="44" t="str">
        <f t="shared" si="2948"/>
        <v/>
      </c>
      <c r="DI179" s="44" t="str">
        <f t="shared" si="2949"/>
        <v/>
      </c>
      <c r="DJ179" s="44" t="str">
        <f t="shared" si="2950"/>
        <v/>
      </c>
      <c r="DK179" s="44" t="str">
        <f t="shared" si="2951"/>
        <v/>
      </c>
      <c r="DL179" s="44" t="str">
        <f t="shared" si="2952"/>
        <v/>
      </c>
      <c r="DM179" s="44" t="str">
        <f t="shared" si="2953"/>
        <v/>
      </c>
      <c r="DN179" s="44" t="str">
        <f t="shared" si="2954"/>
        <v/>
      </c>
      <c r="DO179" s="44" t="str">
        <f t="shared" si="2955"/>
        <v/>
      </c>
      <c r="DP179" s="44" t="str">
        <f t="shared" si="2956"/>
        <v/>
      </c>
      <c r="DQ179" s="44" t="str">
        <f t="shared" si="2957"/>
        <v/>
      </c>
      <c r="DR179" s="44" t="str">
        <f t="shared" si="2958"/>
        <v/>
      </c>
      <c r="DS179" s="44" t="str">
        <f t="shared" si="2959"/>
        <v/>
      </c>
      <c r="DT179" s="44" t="str">
        <f t="shared" si="2960"/>
        <v/>
      </c>
      <c r="DU179" s="44" t="str">
        <f t="shared" si="2961"/>
        <v/>
      </c>
      <c r="DV179" s="44" t="str">
        <f t="shared" si="2962"/>
        <v/>
      </c>
      <c r="DW179" s="44" t="str">
        <f t="shared" si="2963"/>
        <v/>
      </c>
      <c r="DX179" s="44" t="str">
        <f t="shared" si="2964"/>
        <v/>
      </c>
      <c r="DY179" s="44" t="str">
        <f t="shared" si="2965"/>
        <v/>
      </c>
      <c r="DZ179" s="44" t="str">
        <f t="shared" si="2966"/>
        <v/>
      </c>
      <c r="EA179" s="44" t="str">
        <f t="shared" si="2967"/>
        <v/>
      </c>
      <c r="EB179" s="44" t="str">
        <f t="shared" si="2968"/>
        <v/>
      </c>
      <c r="EC179" s="44" t="str">
        <f t="shared" si="2969"/>
        <v/>
      </c>
      <c r="ED179" s="44" t="str">
        <f t="shared" si="2970"/>
        <v/>
      </c>
      <c r="EE179" s="44" t="str">
        <f t="shared" si="2971"/>
        <v/>
      </c>
      <c r="EF179" s="44" t="str">
        <f t="shared" si="2972"/>
        <v/>
      </c>
      <c r="EG179" s="44" t="str">
        <f t="shared" si="2973"/>
        <v/>
      </c>
      <c r="EH179" s="44" t="str">
        <f t="shared" si="2974"/>
        <v/>
      </c>
      <c r="EI179" s="44" t="str">
        <f t="shared" si="2975"/>
        <v/>
      </c>
      <c r="EJ179" s="44" t="str">
        <f t="shared" si="2976"/>
        <v/>
      </c>
      <c r="EK179" s="44" t="str">
        <f t="shared" si="2977"/>
        <v/>
      </c>
      <c r="EL179" s="44" t="str">
        <f t="shared" si="2978"/>
        <v/>
      </c>
      <c r="EM179" s="44" t="str">
        <f t="shared" si="2979"/>
        <v/>
      </c>
      <c r="EN179" s="44" t="str">
        <f t="shared" si="2980"/>
        <v/>
      </c>
      <c r="EO179" s="44" t="str">
        <f t="shared" si="2981"/>
        <v/>
      </c>
      <c r="EP179" s="44" t="str">
        <f t="shared" si="2982"/>
        <v/>
      </c>
      <c r="EQ179" s="44" t="str">
        <f t="shared" si="2983"/>
        <v/>
      </c>
      <c r="ER179" s="44" t="str">
        <f t="shared" si="2984"/>
        <v/>
      </c>
      <c r="ES179" s="44" t="str">
        <f t="shared" si="2985"/>
        <v/>
      </c>
      <c r="ET179" s="44" t="str">
        <f t="shared" si="2986"/>
        <v/>
      </c>
      <c r="EU179" s="44" t="str">
        <f t="shared" si="2987"/>
        <v/>
      </c>
      <c r="EV179" s="44" t="str">
        <f t="shared" si="2988"/>
        <v/>
      </c>
      <c r="EW179" s="44" t="str">
        <f t="shared" si="2989"/>
        <v/>
      </c>
      <c r="EX179" s="44" t="str">
        <f t="shared" si="2990"/>
        <v/>
      </c>
      <c r="EY179" s="44" t="str">
        <f t="shared" si="2991"/>
        <v/>
      </c>
      <c r="EZ179" s="44" t="str">
        <f t="shared" si="2992"/>
        <v/>
      </c>
      <c r="FA179" s="44" t="str">
        <f t="shared" si="2993"/>
        <v/>
      </c>
      <c r="FB179" s="44" t="str">
        <f t="shared" si="2994"/>
        <v/>
      </c>
      <c r="FC179" s="44" t="str">
        <f t="shared" si="2995"/>
        <v/>
      </c>
      <c r="FD179" s="44" t="str">
        <f t="shared" si="2996"/>
        <v/>
      </c>
      <c r="FE179" s="44" t="str">
        <f t="shared" si="2997"/>
        <v/>
      </c>
      <c r="FF179" s="44" t="str">
        <f t="shared" si="2998"/>
        <v/>
      </c>
      <c r="FG179" s="44" t="str">
        <f t="shared" si="2999"/>
        <v/>
      </c>
      <c r="FH179" s="44" t="str">
        <f t="shared" si="3000"/>
        <v/>
      </c>
      <c r="FI179" s="44" t="str">
        <f t="shared" si="3001"/>
        <v/>
      </c>
      <c r="FJ179" s="44" t="str">
        <f t="shared" si="3002"/>
        <v/>
      </c>
      <c r="FK179" s="44" t="str">
        <f t="shared" si="3003"/>
        <v/>
      </c>
      <c r="FL179" s="44" t="str">
        <f t="shared" si="3004"/>
        <v/>
      </c>
      <c r="FM179" s="44" t="str">
        <f t="shared" si="3005"/>
        <v/>
      </c>
      <c r="FN179" s="44" t="str">
        <f t="shared" si="3006"/>
        <v/>
      </c>
      <c r="FO179" s="44" t="str">
        <f t="shared" si="3007"/>
        <v/>
      </c>
      <c r="FP179" s="44" t="str">
        <f t="shared" si="3008"/>
        <v/>
      </c>
      <c r="FQ179" s="44" t="str">
        <f t="shared" si="3009"/>
        <v/>
      </c>
      <c r="FR179" s="44" t="str">
        <f t="shared" si="3010"/>
        <v/>
      </c>
      <c r="FS179" s="44" t="str">
        <f t="shared" si="3011"/>
        <v/>
      </c>
    </row>
    <row r="180" ht="15" spans="1:175">
      <c r="A180" s="90" t="s">
        <v>603</v>
      </c>
      <c r="B180" s="5" t="s">
        <v>604</v>
      </c>
      <c r="C180" s="90" t="s">
        <v>605</v>
      </c>
      <c r="R180" s="38">
        <v>-7970</v>
      </c>
      <c r="S180" s="38">
        <v>7965</v>
      </c>
      <c r="T180" s="90" t="s">
        <v>606</v>
      </c>
      <c r="U180" s="60" t="str">
        <f t="shared" si="1549"/>
        <v>ReplaceableTextures\\CommandButtons\\BTNIT08.blp</v>
      </c>
      <c r="CN180" s="13" t="str">
        <f t="shared" si="2864"/>
        <v>InitUnitState('IT08',,,,,,,,,,)</v>
      </c>
      <c r="CO180" s="13" t="str">
        <f t="shared" si="2865"/>
        <v>InitUnitNormal('IT08',,,,,,,,,,)</v>
      </c>
      <c r="CP180" s="13" t="str">
        <f t="shared" si="2866"/>
        <v>InitUnitMagic('IT08',,,,,,,,,,)</v>
      </c>
      <c r="CQ180" s="13" t="str">
        <f t="shared" si="2867"/>
        <v>InitUnitAdd('IT08',,,,,,,,,,)</v>
      </c>
      <c r="CR180" s="13" t="str">
        <f t="shared" si="2868"/>
        <v>InitEquipData('IT08',,".",,,,,'','','','','','',"ReplaceableTextures\\CommandButtons\\BTNIT09.blp")</v>
      </c>
      <c r="CU180" s="72" t="str">
        <f t="shared" si="2941"/>
        <v>|n</v>
      </c>
      <c r="CV180" s="6" t="str">
        <f t="shared" si="3012"/>
        <v>渡过该劫后可结成|Cffffc926仙品道果|r。|n|n|Cffffc926仙品道果：|r|n攻击+6500|n法强+6500|n生命值+13000|n|Cffffd24d元神力+13|r|n|n|Cff00ff7f战力推荐：|r</v>
      </c>
      <c r="CW180" s="7"/>
      <c r="CX180" s="7"/>
      <c r="CY180" s="7"/>
      <c r="CZ180" s="7"/>
      <c r="DA180" s="7"/>
      <c r="DB180" s="44" t="str">
        <f t="shared" si="2942"/>
        <v/>
      </c>
      <c r="DC180" s="44" t="str">
        <f t="shared" si="2943"/>
        <v/>
      </c>
      <c r="DD180" s="44" t="str">
        <f t="shared" si="2944"/>
        <v/>
      </c>
      <c r="DE180" s="44" t="str">
        <f t="shared" si="2945"/>
        <v/>
      </c>
      <c r="DF180" s="44" t="str">
        <f t="shared" si="2946"/>
        <v/>
      </c>
      <c r="DG180" s="44" t="str">
        <f t="shared" si="2947"/>
        <v/>
      </c>
      <c r="DH180" s="44" t="str">
        <f t="shared" si="2948"/>
        <v/>
      </c>
      <c r="DI180" s="44" t="str">
        <f t="shared" si="2949"/>
        <v/>
      </c>
      <c r="DJ180" s="44" t="str">
        <f t="shared" si="2950"/>
        <v/>
      </c>
      <c r="DK180" s="44" t="str">
        <f t="shared" si="2951"/>
        <v/>
      </c>
      <c r="DL180" s="44" t="str">
        <f t="shared" si="2952"/>
        <v/>
      </c>
      <c r="DM180" s="44" t="str">
        <f t="shared" si="2953"/>
        <v/>
      </c>
      <c r="DN180" s="44" t="str">
        <f t="shared" si="2954"/>
        <v/>
      </c>
      <c r="DO180" s="44" t="str">
        <f t="shared" si="2955"/>
        <v/>
      </c>
      <c r="DP180" s="44" t="str">
        <f t="shared" si="2956"/>
        <v/>
      </c>
      <c r="DQ180" s="44" t="str">
        <f t="shared" si="2957"/>
        <v/>
      </c>
      <c r="DR180" s="44" t="str">
        <f t="shared" si="2958"/>
        <v/>
      </c>
      <c r="DS180" s="44" t="str">
        <f t="shared" si="2959"/>
        <v/>
      </c>
      <c r="DT180" s="44" t="str">
        <f t="shared" si="2960"/>
        <v/>
      </c>
      <c r="DU180" s="44" t="str">
        <f t="shared" si="2961"/>
        <v/>
      </c>
      <c r="DV180" s="44" t="str">
        <f t="shared" si="2962"/>
        <v/>
      </c>
      <c r="DW180" s="44" t="str">
        <f t="shared" si="2963"/>
        <v/>
      </c>
      <c r="DX180" s="44" t="str">
        <f t="shared" si="2964"/>
        <v/>
      </c>
      <c r="DY180" s="44" t="str">
        <f t="shared" si="2965"/>
        <v/>
      </c>
      <c r="DZ180" s="44" t="str">
        <f t="shared" si="2966"/>
        <v/>
      </c>
      <c r="EA180" s="44" t="str">
        <f t="shared" si="2967"/>
        <v/>
      </c>
      <c r="EB180" s="44" t="str">
        <f t="shared" si="2968"/>
        <v/>
      </c>
      <c r="EC180" s="44" t="str">
        <f t="shared" si="2969"/>
        <v/>
      </c>
      <c r="ED180" s="44" t="str">
        <f t="shared" si="2970"/>
        <v/>
      </c>
      <c r="EE180" s="44" t="str">
        <f t="shared" si="2971"/>
        <v/>
      </c>
      <c r="EF180" s="44" t="str">
        <f t="shared" si="2972"/>
        <v/>
      </c>
      <c r="EG180" s="44" t="str">
        <f t="shared" si="2973"/>
        <v/>
      </c>
      <c r="EH180" s="44" t="str">
        <f t="shared" si="2974"/>
        <v/>
      </c>
      <c r="EI180" s="44" t="str">
        <f t="shared" si="2975"/>
        <v/>
      </c>
      <c r="EJ180" s="44" t="str">
        <f t="shared" si="2976"/>
        <v/>
      </c>
      <c r="EK180" s="44" t="str">
        <f t="shared" si="2977"/>
        <v/>
      </c>
      <c r="EL180" s="44" t="str">
        <f t="shared" si="2978"/>
        <v/>
      </c>
      <c r="EM180" s="44" t="str">
        <f t="shared" si="2979"/>
        <v/>
      </c>
      <c r="EN180" s="44" t="str">
        <f t="shared" si="2980"/>
        <v/>
      </c>
      <c r="EO180" s="44" t="str">
        <f t="shared" si="2981"/>
        <v/>
      </c>
      <c r="EP180" s="44" t="str">
        <f t="shared" si="2982"/>
        <v/>
      </c>
      <c r="EQ180" s="44" t="str">
        <f t="shared" si="2983"/>
        <v/>
      </c>
      <c r="ER180" s="44" t="str">
        <f t="shared" si="2984"/>
        <v/>
      </c>
      <c r="ES180" s="44" t="str">
        <f t="shared" si="2985"/>
        <v/>
      </c>
      <c r="ET180" s="44" t="str">
        <f t="shared" si="2986"/>
        <v/>
      </c>
      <c r="EU180" s="44" t="str">
        <f t="shared" si="2987"/>
        <v/>
      </c>
      <c r="EV180" s="44" t="str">
        <f t="shared" si="2988"/>
        <v/>
      </c>
      <c r="EW180" s="44" t="str">
        <f t="shared" si="2989"/>
        <v/>
      </c>
      <c r="EX180" s="44" t="str">
        <f t="shared" si="2990"/>
        <v/>
      </c>
      <c r="EY180" s="44" t="str">
        <f t="shared" si="2991"/>
        <v/>
      </c>
      <c r="EZ180" s="44" t="str">
        <f t="shared" si="2992"/>
        <v/>
      </c>
      <c r="FA180" s="44" t="str">
        <f t="shared" si="2993"/>
        <v/>
      </c>
      <c r="FB180" s="44" t="str">
        <f t="shared" si="2994"/>
        <v/>
      </c>
      <c r="FC180" s="44" t="str">
        <f t="shared" si="2995"/>
        <v/>
      </c>
      <c r="FD180" s="44" t="str">
        <f t="shared" si="2996"/>
        <v/>
      </c>
      <c r="FE180" s="44" t="str">
        <f t="shared" si="2997"/>
        <v/>
      </c>
      <c r="FF180" s="44" t="str">
        <f t="shared" si="2998"/>
        <v/>
      </c>
      <c r="FG180" s="44" t="str">
        <f t="shared" si="2999"/>
        <v/>
      </c>
      <c r="FH180" s="44" t="str">
        <f t="shared" si="3000"/>
        <v/>
      </c>
      <c r="FI180" s="44" t="str">
        <f t="shared" si="3001"/>
        <v/>
      </c>
      <c r="FJ180" s="44" t="str">
        <f t="shared" si="3002"/>
        <v/>
      </c>
      <c r="FK180" s="44" t="str">
        <f t="shared" si="3003"/>
        <v/>
      </c>
      <c r="FL180" s="44" t="str">
        <f t="shared" si="3004"/>
        <v/>
      </c>
      <c r="FM180" s="44" t="str">
        <f t="shared" si="3005"/>
        <v/>
      </c>
      <c r="FN180" s="44" t="str">
        <f t="shared" si="3006"/>
        <v/>
      </c>
      <c r="FO180" s="44" t="str">
        <f t="shared" si="3007"/>
        <v/>
      </c>
      <c r="FP180" s="44" t="str">
        <f t="shared" si="3008"/>
        <v/>
      </c>
      <c r="FQ180" s="44" t="str">
        <f t="shared" si="3009"/>
        <v/>
      </c>
      <c r="FR180" s="44" t="str">
        <f t="shared" si="3010"/>
        <v/>
      </c>
      <c r="FS180" s="44" t="str">
        <f t="shared" si="3011"/>
        <v/>
      </c>
    </row>
    <row r="181" ht="15" spans="1:175">
      <c r="A181" s="90"/>
      <c r="B181" s="5" t="s">
        <v>607</v>
      </c>
      <c r="C181" s="90" t="s">
        <v>608</v>
      </c>
      <c r="R181" s="38">
        <v>2100</v>
      </c>
      <c r="S181" s="38">
        <v>-5120</v>
      </c>
      <c r="T181" s="90" t="s">
        <v>609</v>
      </c>
      <c r="U181" s="60" t="str">
        <f t="shared" si="1549"/>
        <v>ReplaceableTextures\\CommandButtons\\BTNIT09.blp</v>
      </c>
      <c r="CN181" s="13" t="str">
        <f t="shared" si="2864"/>
        <v>InitUnitState('IT09',,,,,,,,,,)</v>
      </c>
      <c r="CO181" s="13" t="str">
        <f t="shared" si="2865"/>
        <v>InitUnitNormal('IT09',,,,,,,,,,)</v>
      </c>
      <c r="CP181" s="13" t="str">
        <f t="shared" si="2866"/>
        <v>InitUnitMagic('IT09',,,,,,,,,,)</v>
      </c>
      <c r="CQ181" s="13" t="str">
        <f t="shared" si="2867"/>
        <v>InitUnitAdd('IT09',,,,,,,,,,)</v>
      </c>
      <c r="CR181" s="13" t="str">
        <f t="shared" si="2868"/>
        <v>InitEquipData('IT09',,"",,,,,'','','','','','',"ReplaceableTextures\\CommandButtons\\BTNIT10.blp")</v>
      </c>
      <c r="CU181" s="72" t="str">
        <f t="shared" si="2941"/>
        <v>|n</v>
      </c>
      <c r="CV181" s="6" t="str">
        <f t="shared" si="3012"/>
        <v>渡过该劫后可结成|Cffff0000至圣道果|r。|n|n|Cffff0000至圣道果：|r|n攻击+8000|n法强+8000|n生命值+16000|n|Cffffd24d元神力+16|r|n|n|Cff00ff7f战力推荐：|r</v>
      </c>
      <c r="CW181" s="7"/>
      <c r="CX181" s="7"/>
      <c r="CY181" s="7"/>
      <c r="CZ181" s="7"/>
      <c r="DA181" s="7"/>
      <c r="DB181" s="44" t="str">
        <f t="shared" si="2942"/>
        <v/>
      </c>
      <c r="DC181" s="44" t="str">
        <f t="shared" si="2943"/>
        <v/>
      </c>
      <c r="DD181" s="44" t="str">
        <f t="shared" si="2944"/>
        <v/>
      </c>
      <c r="DE181" s="44" t="str">
        <f t="shared" si="2945"/>
        <v/>
      </c>
      <c r="DF181" s="44" t="str">
        <f t="shared" si="2946"/>
        <v/>
      </c>
      <c r="DG181" s="44" t="str">
        <f t="shared" si="2947"/>
        <v/>
      </c>
      <c r="DH181" s="44" t="str">
        <f t="shared" si="2948"/>
        <v/>
      </c>
      <c r="DI181" s="44" t="str">
        <f t="shared" si="2949"/>
        <v/>
      </c>
      <c r="DJ181" s="44" t="str">
        <f t="shared" si="2950"/>
        <v/>
      </c>
      <c r="DK181" s="44" t="str">
        <f t="shared" si="2951"/>
        <v/>
      </c>
      <c r="DL181" s="44" t="str">
        <f t="shared" si="2952"/>
        <v/>
      </c>
      <c r="DM181" s="44" t="str">
        <f t="shared" si="2953"/>
        <v/>
      </c>
      <c r="DN181" s="44" t="str">
        <f t="shared" si="2954"/>
        <v/>
      </c>
      <c r="DO181" s="44" t="str">
        <f t="shared" si="2955"/>
        <v/>
      </c>
      <c r="DP181" s="44" t="str">
        <f t="shared" si="2956"/>
        <v/>
      </c>
      <c r="DQ181" s="44" t="str">
        <f t="shared" si="2957"/>
        <v/>
      </c>
      <c r="DR181" s="44" t="str">
        <f t="shared" si="2958"/>
        <v/>
      </c>
      <c r="DS181" s="44" t="str">
        <f t="shared" si="2959"/>
        <v/>
      </c>
      <c r="DT181" s="44" t="str">
        <f t="shared" si="2960"/>
        <v/>
      </c>
      <c r="DU181" s="44" t="str">
        <f t="shared" si="2961"/>
        <v/>
      </c>
      <c r="DV181" s="44" t="str">
        <f t="shared" si="2962"/>
        <v/>
      </c>
      <c r="DW181" s="44" t="str">
        <f t="shared" si="2963"/>
        <v/>
      </c>
      <c r="DX181" s="44" t="str">
        <f t="shared" si="2964"/>
        <v/>
      </c>
      <c r="DY181" s="44" t="str">
        <f t="shared" si="2965"/>
        <v/>
      </c>
      <c r="DZ181" s="44" t="str">
        <f t="shared" si="2966"/>
        <v/>
      </c>
      <c r="EA181" s="44" t="str">
        <f t="shared" si="2967"/>
        <v/>
      </c>
      <c r="EB181" s="44" t="str">
        <f t="shared" si="2968"/>
        <v/>
      </c>
      <c r="EC181" s="44" t="str">
        <f t="shared" si="2969"/>
        <v/>
      </c>
      <c r="ED181" s="44" t="str">
        <f t="shared" si="2970"/>
        <v/>
      </c>
      <c r="EE181" s="44" t="str">
        <f t="shared" si="2971"/>
        <v/>
      </c>
      <c r="EF181" s="44" t="str">
        <f t="shared" si="2972"/>
        <v/>
      </c>
      <c r="EG181" s="44" t="str">
        <f t="shared" si="2973"/>
        <v/>
      </c>
      <c r="EH181" s="44" t="str">
        <f t="shared" si="2974"/>
        <v/>
      </c>
      <c r="EI181" s="44" t="str">
        <f t="shared" si="2975"/>
        <v/>
      </c>
      <c r="EJ181" s="44" t="str">
        <f t="shared" si="2976"/>
        <v/>
      </c>
      <c r="EK181" s="44" t="str">
        <f t="shared" si="2977"/>
        <v/>
      </c>
      <c r="EL181" s="44" t="str">
        <f t="shared" si="2978"/>
        <v/>
      </c>
      <c r="EM181" s="44" t="str">
        <f t="shared" si="2979"/>
        <v/>
      </c>
      <c r="EN181" s="44" t="str">
        <f t="shared" si="2980"/>
        <v/>
      </c>
      <c r="EO181" s="44" t="str">
        <f t="shared" si="2981"/>
        <v/>
      </c>
      <c r="EP181" s="44" t="str">
        <f t="shared" si="2982"/>
        <v/>
      </c>
      <c r="EQ181" s="44" t="str">
        <f t="shared" si="2983"/>
        <v/>
      </c>
      <c r="ER181" s="44" t="str">
        <f t="shared" si="2984"/>
        <v/>
      </c>
      <c r="ES181" s="44" t="str">
        <f t="shared" si="2985"/>
        <v/>
      </c>
      <c r="ET181" s="44" t="str">
        <f t="shared" si="2986"/>
        <v/>
      </c>
      <c r="EU181" s="44" t="str">
        <f t="shared" si="2987"/>
        <v/>
      </c>
      <c r="EV181" s="44" t="str">
        <f t="shared" si="2988"/>
        <v/>
      </c>
      <c r="EW181" s="44" t="str">
        <f t="shared" si="2989"/>
        <v/>
      </c>
      <c r="EX181" s="44" t="str">
        <f t="shared" si="2990"/>
        <v/>
      </c>
      <c r="EY181" s="44" t="str">
        <f t="shared" si="2991"/>
        <v/>
      </c>
      <c r="EZ181" s="44" t="str">
        <f t="shared" si="2992"/>
        <v/>
      </c>
      <c r="FA181" s="44" t="str">
        <f t="shared" si="2993"/>
        <v/>
      </c>
      <c r="FB181" s="44" t="str">
        <f t="shared" si="2994"/>
        <v/>
      </c>
      <c r="FC181" s="44" t="str">
        <f t="shared" si="2995"/>
        <v/>
      </c>
      <c r="FD181" s="44" t="str">
        <f t="shared" si="2996"/>
        <v/>
      </c>
      <c r="FE181" s="44" t="str">
        <f t="shared" si="2997"/>
        <v/>
      </c>
      <c r="FF181" s="44" t="str">
        <f t="shared" si="2998"/>
        <v/>
      </c>
      <c r="FG181" s="44" t="str">
        <f t="shared" si="2999"/>
        <v/>
      </c>
      <c r="FH181" s="44" t="str">
        <f t="shared" si="3000"/>
        <v/>
      </c>
      <c r="FI181" s="44" t="str">
        <f t="shared" si="3001"/>
        <v/>
      </c>
      <c r="FJ181" s="44" t="str">
        <f t="shared" si="3002"/>
        <v/>
      </c>
      <c r="FK181" s="44" t="str">
        <f t="shared" si="3003"/>
        <v/>
      </c>
      <c r="FL181" s="44" t="str">
        <f t="shared" si="3004"/>
        <v/>
      </c>
      <c r="FM181" s="44" t="str">
        <f t="shared" si="3005"/>
        <v/>
      </c>
      <c r="FN181" s="44" t="str">
        <f t="shared" si="3006"/>
        <v/>
      </c>
      <c r="FO181" s="44" t="str">
        <f t="shared" si="3007"/>
        <v/>
      </c>
      <c r="FP181" s="44" t="str">
        <f t="shared" si="3008"/>
        <v/>
      </c>
      <c r="FQ181" s="44" t="str">
        <f t="shared" si="3009"/>
        <v/>
      </c>
      <c r="FR181" s="44" t="str">
        <f t="shared" si="3010"/>
        <v/>
      </c>
      <c r="FS181" s="44" t="str">
        <f t="shared" si="3011"/>
        <v/>
      </c>
    </row>
    <row r="182" ht="15" spans="1:175">
      <c r="A182" s="90"/>
      <c r="B182" s="5" t="s">
        <v>610</v>
      </c>
      <c r="C182" s="90" t="s">
        <v>611</v>
      </c>
      <c r="R182" s="38">
        <v>2268</v>
      </c>
      <c r="S182" s="38">
        <v>-8065</v>
      </c>
      <c r="T182" s="90" t="s">
        <v>612</v>
      </c>
      <c r="U182" s="60" t="str">
        <f t="shared" si="1549"/>
        <v>ReplaceableTextures\\CommandButtons\\BTNIT10.blp</v>
      </c>
      <c r="CN182" s="13" t="str">
        <f t="shared" si="2864"/>
        <v>InitUnitState('IT10',,,,,,,,,,)</v>
      </c>
      <c r="CO182" s="13" t="str">
        <f t="shared" si="2865"/>
        <v>InitUnitNormal('IT10',,,,,,,,,,)</v>
      </c>
      <c r="CP182" s="13" t="str">
        <f t="shared" si="2866"/>
        <v>InitUnitMagic('IT10',,,,,,,,,,)</v>
      </c>
      <c r="CQ182" s="13" t="str">
        <f t="shared" si="2867"/>
        <v>InitUnitAdd('IT10',,,,,,,,,,)</v>
      </c>
      <c r="CR182" s="13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InitEquipData('IT10',,"",,,,,'','','','','','',"ReplaceableTextures\\CommandButtons\\BTN002.blp")</v>
      </c>
      <c r="CU182" s="72" t="str">
        <f t="shared" si="2941"/>
        <v>|n</v>
      </c>
      <c r="CV182" s="6" t="str">
        <f t="shared" si="3012"/>
        <v>渡过该劫后可结成|Cffff0000混沌道果|r。|n|n|Cffff0000混沌道果：|r|n攻击+10000|n法强+10000|n生命值+20000|n|Cffffd24d元神力+20|r|n|n|Cff00ff7f战力推荐：|r</v>
      </c>
      <c r="CW182" s="7"/>
      <c r="CX182" s="7"/>
      <c r="CY182" s="7"/>
      <c r="CZ182" s="7"/>
      <c r="DA182" s="7"/>
      <c r="DB182" s="44" t="str">
        <f t="shared" si="2942"/>
        <v/>
      </c>
      <c r="DC182" s="44" t="str">
        <f t="shared" si="2943"/>
        <v/>
      </c>
      <c r="DD182" s="44" t="str">
        <f t="shared" si="2944"/>
        <v/>
      </c>
      <c r="DE182" s="44" t="str">
        <f t="shared" si="2945"/>
        <v/>
      </c>
      <c r="DF182" s="44" t="str">
        <f t="shared" si="2946"/>
        <v/>
      </c>
      <c r="DG182" s="44" t="str">
        <f t="shared" si="2947"/>
        <v/>
      </c>
      <c r="DH182" s="44" t="str">
        <f t="shared" si="2948"/>
        <v/>
      </c>
      <c r="DI182" s="44" t="str">
        <f t="shared" si="2949"/>
        <v/>
      </c>
      <c r="DJ182" s="44" t="str">
        <f t="shared" si="2950"/>
        <v/>
      </c>
      <c r="DK182" s="44" t="str">
        <f t="shared" si="2951"/>
        <v/>
      </c>
      <c r="DL182" s="44" t="str">
        <f t="shared" si="2952"/>
        <v/>
      </c>
      <c r="DM182" s="44" t="str">
        <f t="shared" si="2953"/>
        <v/>
      </c>
      <c r="DN182" s="44" t="str">
        <f t="shared" si="2954"/>
        <v/>
      </c>
      <c r="DO182" s="44" t="str">
        <f t="shared" si="2955"/>
        <v/>
      </c>
      <c r="DP182" s="44" t="str">
        <f t="shared" si="2956"/>
        <v/>
      </c>
      <c r="DQ182" s="44" t="str">
        <f t="shared" si="2957"/>
        <v/>
      </c>
      <c r="DR182" s="44" t="str">
        <f t="shared" si="2958"/>
        <v/>
      </c>
      <c r="DS182" s="44" t="str">
        <f t="shared" si="2959"/>
        <v/>
      </c>
      <c r="DT182" s="44" t="str">
        <f t="shared" si="2960"/>
        <v/>
      </c>
      <c r="DU182" s="44" t="str">
        <f t="shared" si="2961"/>
        <v/>
      </c>
      <c r="DV182" s="44" t="str">
        <f t="shared" si="2962"/>
        <v/>
      </c>
      <c r="DW182" s="44" t="str">
        <f t="shared" si="2963"/>
        <v/>
      </c>
      <c r="DX182" s="44" t="str">
        <f t="shared" si="2964"/>
        <v/>
      </c>
      <c r="DY182" s="44" t="str">
        <f t="shared" si="2965"/>
        <v/>
      </c>
      <c r="DZ182" s="44" t="str">
        <f t="shared" si="2966"/>
        <v/>
      </c>
      <c r="EA182" s="44" t="str">
        <f t="shared" si="2967"/>
        <v/>
      </c>
      <c r="EB182" s="44" t="str">
        <f t="shared" si="2968"/>
        <v/>
      </c>
      <c r="EC182" s="44" t="str">
        <f t="shared" si="2969"/>
        <v/>
      </c>
      <c r="ED182" s="44" t="str">
        <f t="shared" si="2970"/>
        <v/>
      </c>
      <c r="EE182" s="44" t="str">
        <f t="shared" si="2971"/>
        <v/>
      </c>
      <c r="EF182" s="44" t="str">
        <f t="shared" si="2972"/>
        <v/>
      </c>
      <c r="EG182" s="44" t="str">
        <f t="shared" si="2973"/>
        <v/>
      </c>
      <c r="EH182" s="44" t="str">
        <f t="shared" si="2974"/>
        <v/>
      </c>
      <c r="EI182" s="44" t="str">
        <f t="shared" si="2975"/>
        <v/>
      </c>
      <c r="EJ182" s="44" t="str">
        <f t="shared" si="2976"/>
        <v/>
      </c>
      <c r="EK182" s="44" t="str">
        <f t="shared" si="2977"/>
        <v/>
      </c>
      <c r="EL182" s="44" t="str">
        <f t="shared" si="2978"/>
        <v/>
      </c>
      <c r="EM182" s="44" t="str">
        <f t="shared" si="2979"/>
        <v/>
      </c>
      <c r="EN182" s="44" t="str">
        <f t="shared" si="2980"/>
        <v/>
      </c>
      <c r="EO182" s="44" t="str">
        <f t="shared" si="2981"/>
        <v/>
      </c>
      <c r="EP182" s="44" t="str">
        <f t="shared" si="2982"/>
        <v/>
      </c>
      <c r="EQ182" s="44" t="str">
        <f t="shared" si="2983"/>
        <v/>
      </c>
      <c r="ER182" s="44" t="str">
        <f t="shared" si="2984"/>
        <v/>
      </c>
      <c r="ES182" s="44" t="str">
        <f t="shared" si="2985"/>
        <v/>
      </c>
      <c r="ET182" s="44" t="str">
        <f t="shared" si="2986"/>
        <v/>
      </c>
      <c r="EU182" s="44" t="str">
        <f t="shared" si="2987"/>
        <v/>
      </c>
      <c r="EV182" s="44" t="str">
        <f t="shared" si="2988"/>
        <v/>
      </c>
      <c r="EW182" s="44" t="str">
        <f t="shared" si="2989"/>
        <v/>
      </c>
      <c r="EX182" s="44" t="str">
        <f t="shared" si="2990"/>
        <v/>
      </c>
      <c r="EY182" s="44" t="str">
        <f t="shared" si="2991"/>
        <v/>
      </c>
      <c r="EZ182" s="44" t="str">
        <f t="shared" si="2992"/>
        <v/>
      </c>
      <c r="FA182" s="44" t="str">
        <f t="shared" si="2993"/>
        <v/>
      </c>
      <c r="FB182" s="44" t="str">
        <f t="shared" si="2994"/>
        <v/>
      </c>
      <c r="FC182" s="44" t="str">
        <f t="shared" si="2995"/>
        <v/>
      </c>
      <c r="FD182" s="44" t="str">
        <f t="shared" si="2996"/>
        <v/>
      </c>
      <c r="FE182" s="44" t="str">
        <f t="shared" si="2997"/>
        <v/>
      </c>
      <c r="FF182" s="44" t="str">
        <f t="shared" si="2998"/>
        <v/>
      </c>
      <c r="FG182" s="44" t="str">
        <f t="shared" si="2999"/>
        <v/>
      </c>
      <c r="FH182" s="44" t="str">
        <f t="shared" si="3000"/>
        <v/>
      </c>
      <c r="FI182" s="44" t="str">
        <f t="shared" si="3001"/>
        <v/>
      </c>
      <c r="FJ182" s="44" t="str">
        <f t="shared" si="3002"/>
        <v/>
      </c>
      <c r="FK182" s="44" t="str">
        <f t="shared" si="3003"/>
        <v/>
      </c>
      <c r="FL182" s="44" t="str">
        <f t="shared" si="3004"/>
        <v/>
      </c>
      <c r="FM182" s="44" t="str">
        <f t="shared" si="3005"/>
        <v/>
      </c>
      <c r="FN182" s="44" t="str">
        <f t="shared" si="3006"/>
        <v/>
      </c>
      <c r="FO182" s="44" t="str">
        <f t="shared" si="3007"/>
        <v/>
      </c>
      <c r="FP182" s="44" t="str">
        <f t="shared" si="3008"/>
        <v/>
      </c>
      <c r="FQ182" s="44" t="str">
        <f t="shared" si="3009"/>
        <v/>
      </c>
      <c r="FR182" s="44" t="str">
        <f t="shared" si="3010"/>
        <v/>
      </c>
      <c r="FS182" s="44" t="str">
        <f t="shared" si="3011"/>
        <v/>
      </c>
    </row>
    <row r="183" ht="15" spans="1:175">
      <c r="A183" s="90" t="s">
        <v>603</v>
      </c>
      <c r="B183" s="5" t="s">
        <v>613</v>
      </c>
      <c r="C183" s="90" t="s">
        <v>614</v>
      </c>
      <c r="T183" s="90" t="s">
        <v>615</v>
      </c>
      <c r="U183" s="60" t="str">
        <f t="shared" si="1549"/>
        <v>ReplaceableTextures\\CommandButtons\\BTNIT11.blp</v>
      </c>
      <c r="CN183" s="13" t="str">
        <f t="shared" si="2864"/>
        <v>InitUnitState('IT11',,,,,,,,,,)</v>
      </c>
      <c r="CO183" s="13" t="str">
        <f t="shared" si="2865"/>
        <v>InitUnitNormal('IT11',,,,,,,,,,)</v>
      </c>
      <c r="CP183" s="13" t="str">
        <f t="shared" si="2866"/>
        <v>InitUnitMagic('IT11',,,,,,,,,,)</v>
      </c>
      <c r="CQ183" s="13" t="str">
        <f t="shared" si="2867"/>
        <v>InitUnitAdd('IT11',,,,,,,,,,)</v>
      </c>
      <c r="CR183" s="13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72" t="str">
        <f t="shared" ref="CU183:CU190" si="301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" t="str">
        <f t="shared" ref="CV183:CV190" si="3014">T183</f>
        <v>境界挑战11</v>
      </c>
      <c r="CW183" s="7"/>
      <c r="CX183" s="7"/>
      <c r="CY183" s="7"/>
      <c r="CZ183" s="7"/>
      <c r="DA183" s="7"/>
      <c r="DB183" s="44" t="str">
        <f t="shared" ref="DB183:DB185" si="3015">IF(V183="","","|n"&amp;DB$2&amp;"+"&amp;V183&amp;DB$1)</f>
        <v/>
      </c>
      <c r="DC183" s="44" t="str">
        <f t="shared" ref="DC183:DC185" si="3016">IF(W183="","","|n"&amp;DC$2&amp;"+"&amp;W183&amp;DC$1)</f>
        <v/>
      </c>
      <c r="DD183" s="44" t="str">
        <f t="shared" ref="DD183:DD185" si="3017">IF(X183="","","|n"&amp;DD$2&amp;"+"&amp;X183&amp;DD$1)</f>
        <v/>
      </c>
      <c r="DE183" s="44" t="str">
        <f t="shared" ref="DE183:DE185" si="3018">IF(Y183="","","|n"&amp;DE$2&amp;"+"&amp;Y183&amp;DE$1)</f>
        <v/>
      </c>
      <c r="DF183" s="44" t="str">
        <f t="shared" ref="DF183:DF185" si="3019">IF(Z183="","","|n"&amp;DF$2&amp;"+"&amp;Z183&amp;DF$1)</f>
        <v/>
      </c>
      <c r="DG183" s="44" t="str">
        <f t="shared" ref="DG183:DG185" si="3020">IF(AA183="","","|n"&amp;DG$2&amp;"+"&amp;AA183&amp;DG$1)</f>
        <v/>
      </c>
      <c r="DH183" s="44" t="str">
        <f t="shared" ref="DH183:DH185" si="3021">IF(AB183="","","|n"&amp;DH$2&amp;"+"&amp;AB183&amp;DH$1)</f>
        <v/>
      </c>
      <c r="DI183" s="44" t="str">
        <f t="shared" ref="DI183:DI185" si="3022">IF(AC183="","","|n"&amp;DI$2&amp;"+"&amp;AC183&amp;DI$1)</f>
        <v/>
      </c>
      <c r="DJ183" s="44" t="str">
        <f t="shared" ref="DJ183:DJ185" si="3023">IF(AD183="","","|n"&amp;DJ$2&amp;"+"&amp;AD183&amp;DJ$1)</f>
        <v/>
      </c>
      <c r="DK183" s="44" t="str">
        <f t="shared" ref="DK183:DK185" si="3024">IF(AE183="","","|n"&amp;DK$2&amp;"+"&amp;AE183&amp;DK$1)</f>
        <v/>
      </c>
      <c r="DL183" s="44" t="str">
        <f t="shared" ref="DL183:DL185" si="3025">IF(AF183="","","|n"&amp;DL$2&amp;"+"&amp;AF183&amp;DL$1)</f>
        <v/>
      </c>
      <c r="DM183" s="44" t="str">
        <f t="shared" ref="DM183:DM185" si="3026">IF(AG183="","","|n"&amp;DM$2&amp;"+"&amp;AG183&amp;DM$1)</f>
        <v/>
      </c>
      <c r="DN183" s="44" t="str">
        <f t="shared" ref="DN183:DN185" si="3027">IF(AH183="","","|n"&amp;DN$2&amp;"+"&amp;AH183&amp;DN$1)</f>
        <v/>
      </c>
      <c r="DO183" s="44" t="str">
        <f t="shared" ref="DO183:DO185" si="3028">IF(AI183="","","|n"&amp;DO$2&amp;"+"&amp;AI183&amp;DO$1)</f>
        <v/>
      </c>
      <c r="DP183" s="44" t="str">
        <f t="shared" ref="DP183:DP185" si="3029">IF(AJ183="","","|n"&amp;DP$2&amp;"+"&amp;AJ183&amp;DP$1)</f>
        <v/>
      </c>
      <c r="DQ183" s="44" t="str">
        <f t="shared" ref="DQ183:DQ185" si="3030">IF(AK183="","","|n"&amp;DQ$2&amp;"+"&amp;AK183&amp;DQ$1)</f>
        <v/>
      </c>
      <c r="DR183" s="44" t="str">
        <f t="shared" ref="DR183:DR185" si="3031">IF(AL183="","","|n"&amp;DR$2&amp;"+"&amp;AL183&amp;DR$1)</f>
        <v/>
      </c>
      <c r="DS183" s="44" t="str">
        <f t="shared" ref="DS183:DS185" si="3032">IF(AM183="","","|n"&amp;DS$2&amp;"+"&amp;AM183&amp;DS$1)</f>
        <v/>
      </c>
      <c r="DT183" s="44" t="str">
        <f t="shared" ref="DT183:DT185" si="3033">IF(AN183="","","|n"&amp;DT$2&amp;"+"&amp;AN183&amp;DT$1)</f>
        <v/>
      </c>
      <c r="DU183" s="44" t="str">
        <f t="shared" ref="DU183:DU185" si="3034">IF(AO183="","","|n"&amp;DU$2&amp;"+"&amp;AO183&amp;DU$1)</f>
        <v/>
      </c>
      <c r="DV183" s="44" t="str">
        <f t="shared" ref="DV183:DV185" si="3035">IF(AP183="","","|n"&amp;DV$2&amp;"+"&amp;AP183&amp;DV$1)</f>
        <v/>
      </c>
      <c r="DW183" s="44" t="str">
        <f t="shared" ref="DW183:DW185" si="3036">IF(AQ183="","","|n"&amp;DW$2&amp;"+"&amp;AQ183&amp;DW$1)</f>
        <v/>
      </c>
      <c r="DX183" s="44" t="str">
        <f t="shared" ref="DX183:DX185" si="3037">IF(AR183="","","|n"&amp;DX$2&amp;"+"&amp;AR183&amp;DX$1)</f>
        <v/>
      </c>
      <c r="DY183" s="44" t="str">
        <f t="shared" ref="DY183:DY185" si="3038">IF(AS183="","","|n"&amp;DY$2&amp;"+"&amp;AS183&amp;DY$1)</f>
        <v/>
      </c>
      <c r="DZ183" s="44" t="str">
        <f t="shared" ref="DZ183:DZ185" si="3039">IF(AT183="","","|n"&amp;DZ$2&amp;"+"&amp;AT183&amp;DZ$1)</f>
        <v/>
      </c>
      <c r="EA183" s="44" t="str">
        <f t="shared" ref="EA183:EA185" si="3040">IF(AU183="","","|n"&amp;EA$2&amp;"+"&amp;AU183&amp;EA$1)</f>
        <v/>
      </c>
      <c r="EB183" s="44" t="str">
        <f t="shared" ref="EB183:EB185" si="3041">IF(AV183="","","|n"&amp;EB$2&amp;"+"&amp;AV183&amp;EB$1)</f>
        <v/>
      </c>
      <c r="EC183" s="44" t="str">
        <f t="shared" ref="EC183:EC185" si="3042">IF(AW183="","","|n"&amp;EC$2&amp;"+"&amp;AW183&amp;EC$1)</f>
        <v/>
      </c>
      <c r="ED183" s="44" t="str">
        <f t="shared" ref="ED183:ED185" si="3043">IF(AX183="","","|n"&amp;ED$2&amp;"+"&amp;AX183&amp;ED$1)</f>
        <v/>
      </c>
      <c r="EE183" s="44" t="str">
        <f t="shared" ref="EE183:EE185" si="3044">IF(AY183="","","|n"&amp;EE$2&amp;"+"&amp;AY183&amp;EE$1)</f>
        <v/>
      </c>
      <c r="EF183" s="44" t="str">
        <f t="shared" ref="EF183:EF185" si="3045">IF(AZ183="","","|n"&amp;EF$2&amp;"+"&amp;AZ183&amp;EF$1)</f>
        <v/>
      </c>
      <c r="EG183" s="44" t="str">
        <f t="shared" ref="EG183:EG185" si="3046">IF(BA183="","","|n"&amp;EG$2&amp;"+"&amp;BA183&amp;EG$1)</f>
        <v/>
      </c>
      <c r="EH183" s="44" t="str">
        <f t="shared" ref="EH183:EH185" si="3047">IF(BB183="","","|n"&amp;EH$2&amp;"+"&amp;BB183&amp;EH$1)</f>
        <v/>
      </c>
      <c r="EI183" s="44" t="str">
        <f t="shared" ref="EI183:EI185" si="3048">IF(BC183="","","|n"&amp;EI$2&amp;"+"&amp;BC183&amp;EI$1)</f>
        <v/>
      </c>
      <c r="EJ183" s="44" t="str">
        <f t="shared" ref="EJ183:EJ185" si="3049">IF(BD183="","","|n"&amp;EJ$2&amp;"+"&amp;BD183&amp;EJ$1)</f>
        <v/>
      </c>
      <c r="EK183" s="44" t="str">
        <f t="shared" ref="EK183:EK185" si="3050">IF(BE183="","","|n"&amp;EK$2&amp;"+"&amp;BE183&amp;EK$1)</f>
        <v/>
      </c>
      <c r="EL183" s="44" t="str">
        <f t="shared" ref="EL183:EL185" si="3051">IF(BF183="","","|n"&amp;EL$2&amp;"+"&amp;BF183&amp;EL$1)</f>
        <v/>
      </c>
      <c r="EM183" s="44" t="str">
        <f t="shared" ref="EM183:EM185" si="3052">IF(BG183="","","|n"&amp;EM$2&amp;"+"&amp;BG183&amp;EM$1)</f>
        <v/>
      </c>
      <c r="EN183" s="44" t="str">
        <f t="shared" ref="EN183:EN185" si="3053">IF(BH183="","","|n"&amp;EN$2&amp;"+"&amp;BH183&amp;EN$1)</f>
        <v/>
      </c>
      <c r="EO183" s="44" t="str">
        <f t="shared" ref="EO183:EO185" si="3054">IF(BI183="","","|n"&amp;EO$2&amp;"+"&amp;BI183&amp;EO$1)</f>
        <v/>
      </c>
      <c r="EP183" s="44" t="str">
        <f t="shared" ref="EP183:EP185" si="3055">IF(BJ183="","","|n"&amp;EP$2&amp;"+"&amp;BJ183&amp;EP$1)</f>
        <v/>
      </c>
      <c r="EQ183" s="44" t="str">
        <f t="shared" ref="EQ183:EQ185" si="3056">IF(BK183="","","|n"&amp;EQ$2&amp;"+"&amp;BK183&amp;EQ$1)</f>
        <v/>
      </c>
      <c r="ER183" s="44" t="str">
        <f t="shared" ref="ER183:ER185" si="3057">IF(BL183="","","|n"&amp;ER$2&amp;"+"&amp;BL183&amp;ER$1)</f>
        <v/>
      </c>
      <c r="ES183" s="44" t="str">
        <f t="shared" ref="ES183:ES185" si="3058">IF(BM183="","","|n"&amp;ES$2&amp;"+"&amp;BM183&amp;ES$1)</f>
        <v/>
      </c>
      <c r="ET183" s="44" t="str">
        <f t="shared" ref="ET183:ET185" si="3059">IF(BN183="","","|n"&amp;ET$2&amp;"+"&amp;BN183&amp;ET$1)</f>
        <v/>
      </c>
      <c r="EU183" s="44" t="str">
        <f t="shared" ref="EU183:EU185" si="3060">IF(BO183="","","|n"&amp;EU$2&amp;"+"&amp;BO183&amp;EU$1)</f>
        <v/>
      </c>
      <c r="EV183" s="44" t="str">
        <f t="shared" ref="EV183:EV185" si="3061">IF(BP183="","","|n"&amp;EV$2&amp;"+"&amp;BP183&amp;EV$1)</f>
        <v/>
      </c>
      <c r="EW183" s="44" t="str">
        <f t="shared" ref="EW183:EW185" si="3062">IF(BQ183="","","|n"&amp;EW$2&amp;"+"&amp;BQ183&amp;EW$1)</f>
        <v/>
      </c>
      <c r="EX183" s="44" t="str">
        <f t="shared" ref="EX183:EX185" si="3063">IF(BR183="","","|n"&amp;EX$2&amp;"+"&amp;BR183&amp;EX$1)</f>
        <v/>
      </c>
      <c r="EY183" s="44" t="str">
        <f t="shared" ref="EY183:EY185" si="3064">IF(BS183="","","|n"&amp;EY$2&amp;"+"&amp;BS183&amp;EY$1)</f>
        <v/>
      </c>
      <c r="EZ183" s="44" t="str">
        <f t="shared" ref="EZ183:EZ185" si="3065">IF(BT183="","","|n"&amp;EZ$2&amp;"+"&amp;BT183&amp;EZ$1)</f>
        <v/>
      </c>
      <c r="FA183" s="44" t="str">
        <f t="shared" ref="FA183:FA185" si="3066">IF(BU183="","","|n"&amp;FA$2&amp;"+"&amp;BU183&amp;FA$1)</f>
        <v/>
      </c>
      <c r="FB183" s="44" t="str">
        <f t="shared" ref="FB183:FB185" si="3067">IF(BV183="","","|n"&amp;FB$2&amp;"+"&amp;BV183&amp;FB$1)</f>
        <v/>
      </c>
      <c r="FC183" s="44" t="str">
        <f t="shared" ref="FC183:FC185" si="3068">IF(BW183="","","|n"&amp;FC$2&amp;"+"&amp;BW183&amp;FC$1)</f>
        <v/>
      </c>
      <c r="FD183" s="44" t="str">
        <f t="shared" ref="FD183:FD185" si="3069">IF(BX183="","","|n"&amp;FD$2&amp;"+"&amp;BX183&amp;FD$1)</f>
        <v/>
      </c>
      <c r="FE183" s="44" t="str">
        <f t="shared" ref="FE183:FE185" si="3070">IF(BY183="","","|n"&amp;FE$2&amp;"+"&amp;BY183&amp;FE$1)</f>
        <v/>
      </c>
      <c r="FF183" s="44" t="str">
        <f t="shared" ref="FF183:FF185" si="3071">IF(BZ183="","","|n"&amp;FF$2&amp;"+"&amp;BZ183&amp;FF$1)</f>
        <v/>
      </c>
      <c r="FG183" s="44" t="str">
        <f t="shared" ref="FG183:FG185" si="3072">IF(CA183="","","|n"&amp;FG$2&amp;"+"&amp;CA183&amp;FG$1)</f>
        <v/>
      </c>
      <c r="FH183" s="44" t="str">
        <f t="shared" ref="FH183:FH185" si="3073">IF(CB183="","","|n"&amp;FH$2&amp;"+"&amp;CB183&amp;FH$1)</f>
        <v/>
      </c>
      <c r="FI183" s="44" t="str">
        <f t="shared" ref="FI183:FI185" si="3074">IF(CC183="","","|n"&amp;FI$2&amp;"+"&amp;CC183&amp;FI$1)</f>
        <v/>
      </c>
      <c r="FJ183" s="44" t="str">
        <f t="shared" ref="FJ183:FJ185" si="3075">IF(CD183="","","|n"&amp;FJ$2&amp;"+"&amp;CD183&amp;FJ$1)</f>
        <v/>
      </c>
      <c r="FK183" s="44" t="str">
        <f t="shared" ref="FK183:FK185" si="3076">IF(CE183="","","|n"&amp;FK$2&amp;"+"&amp;CE183&amp;FK$1)</f>
        <v/>
      </c>
      <c r="FL183" s="44" t="str">
        <f t="shared" ref="FL183:FL185" si="3077">IF(CF183="","","|n"&amp;FL$2&amp;"+"&amp;CF183&amp;FL$1)</f>
        <v/>
      </c>
      <c r="FM183" s="44" t="str">
        <f t="shared" ref="FM183:FM185" si="3078">IF(CG183="","","|n"&amp;FM$2&amp;"+"&amp;CG183&amp;FM$1)</f>
        <v/>
      </c>
      <c r="FN183" s="44" t="str">
        <f t="shared" ref="FN183:FN185" si="3079">IF(CH183="","","|n"&amp;FN$2&amp;"+"&amp;CH183&amp;FN$1)</f>
        <v/>
      </c>
      <c r="FO183" s="44" t="str">
        <f t="shared" ref="FO183:FO185" si="3080">IF(CI183="","","|n"&amp;FO$2&amp;"+"&amp;CI183&amp;FO$1)</f>
        <v/>
      </c>
      <c r="FP183" s="44" t="str">
        <f t="shared" ref="FP183:FP185" si="3081">IF(CJ183="","","|n"&amp;FP$2&amp;"+"&amp;CJ183&amp;FP$1)</f>
        <v/>
      </c>
      <c r="FQ183" s="44" t="str">
        <f t="shared" ref="FQ183:FQ185" si="3082">IF(CK183="","","|n"&amp;FQ$2&amp;"+"&amp;CK183&amp;FQ$1)</f>
        <v/>
      </c>
      <c r="FR183" s="44" t="str">
        <f t="shared" ref="FR183:FR185" si="3083">IF(CL183="","","|n"&amp;FR$2&amp;"+"&amp;CL183&amp;FR$1)</f>
        <v/>
      </c>
      <c r="FS183" s="44" t="str">
        <f t="shared" ref="FS183:FS185" si="3084">IF(CM183="","","|n"&amp;FS$2&amp;"+"&amp;CM183&amp;FS$1)</f>
        <v/>
      </c>
    </row>
    <row r="184" ht="15" spans="1:175">
      <c r="A184" s="90"/>
      <c r="B184" s="5" t="s">
        <v>616</v>
      </c>
      <c r="C184" s="90" t="s">
        <v>617</v>
      </c>
      <c r="T184" s="90" t="s">
        <v>618</v>
      </c>
      <c r="U184" s="60" t="str">
        <f t="shared" si="1549"/>
        <v>ReplaceableTextures\\CommandButtons\\BTNIT12.blp</v>
      </c>
      <c r="CN184" s="13" t="str">
        <f t="shared" si="2864"/>
        <v>InitUnitState('IT12',,,,,,,,,,)</v>
      </c>
      <c r="CO184" s="13" t="str">
        <f t="shared" si="2865"/>
        <v>InitUnitNormal('IT12',,,,,,,,,,)</v>
      </c>
      <c r="CP184" s="13" t="str">
        <f t="shared" si="2866"/>
        <v>InitUnitMagic('IT12',,,,,,,,,,)</v>
      </c>
      <c r="CQ184" s="13" t="str">
        <f t="shared" si="2867"/>
        <v>InitUnitAdd('IT12',,,,,,,,,,)</v>
      </c>
      <c r="CR184" s="13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72" t="str">
        <f t="shared" si="3013"/>
        <v>|n</v>
      </c>
      <c r="CV184" s="6" t="str">
        <f t="shared" si="3014"/>
        <v>境界挑战12</v>
      </c>
      <c r="CW184" s="7"/>
      <c r="CX184" s="7"/>
      <c r="CY184" s="7"/>
      <c r="CZ184" s="7"/>
      <c r="DA184" s="7"/>
      <c r="DB184" s="44" t="str">
        <f t="shared" si="3015"/>
        <v/>
      </c>
      <c r="DC184" s="44" t="str">
        <f t="shared" si="3016"/>
        <v/>
      </c>
      <c r="DD184" s="44" t="str">
        <f t="shared" si="3017"/>
        <v/>
      </c>
      <c r="DE184" s="44" t="str">
        <f t="shared" si="3018"/>
        <v/>
      </c>
      <c r="DF184" s="44" t="str">
        <f t="shared" si="3019"/>
        <v/>
      </c>
      <c r="DG184" s="44" t="str">
        <f t="shared" si="3020"/>
        <v/>
      </c>
      <c r="DH184" s="44" t="str">
        <f t="shared" si="3021"/>
        <v/>
      </c>
      <c r="DI184" s="44" t="str">
        <f t="shared" si="3022"/>
        <v/>
      </c>
      <c r="DJ184" s="44" t="str">
        <f t="shared" si="3023"/>
        <v/>
      </c>
      <c r="DK184" s="44" t="str">
        <f t="shared" si="3024"/>
        <v/>
      </c>
      <c r="DL184" s="44" t="str">
        <f t="shared" si="3025"/>
        <v/>
      </c>
      <c r="DM184" s="44" t="str">
        <f t="shared" si="3026"/>
        <v/>
      </c>
      <c r="DN184" s="44" t="str">
        <f t="shared" si="3027"/>
        <v/>
      </c>
      <c r="DO184" s="44" t="str">
        <f t="shared" si="3028"/>
        <v/>
      </c>
      <c r="DP184" s="44" t="str">
        <f t="shared" si="3029"/>
        <v/>
      </c>
      <c r="DQ184" s="44" t="str">
        <f t="shared" si="3030"/>
        <v/>
      </c>
      <c r="DR184" s="44" t="str">
        <f t="shared" si="3031"/>
        <v/>
      </c>
      <c r="DS184" s="44" t="str">
        <f t="shared" si="3032"/>
        <v/>
      </c>
      <c r="DT184" s="44" t="str">
        <f t="shared" si="3033"/>
        <v/>
      </c>
      <c r="DU184" s="44" t="str">
        <f t="shared" si="3034"/>
        <v/>
      </c>
      <c r="DV184" s="44" t="str">
        <f t="shared" si="3035"/>
        <v/>
      </c>
      <c r="DW184" s="44" t="str">
        <f t="shared" si="3036"/>
        <v/>
      </c>
      <c r="DX184" s="44" t="str">
        <f t="shared" si="3037"/>
        <v/>
      </c>
      <c r="DY184" s="44" t="str">
        <f t="shared" si="3038"/>
        <v/>
      </c>
      <c r="DZ184" s="44" t="str">
        <f t="shared" si="3039"/>
        <v/>
      </c>
      <c r="EA184" s="44" t="str">
        <f t="shared" si="3040"/>
        <v/>
      </c>
      <c r="EB184" s="44" t="str">
        <f t="shared" si="3041"/>
        <v/>
      </c>
      <c r="EC184" s="44" t="str">
        <f t="shared" si="3042"/>
        <v/>
      </c>
      <c r="ED184" s="44" t="str">
        <f t="shared" si="3043"/>
        <v/>
      </c>
      <c r="EE184" s="44" t="str">
        <f t="shared" si="3044"/>
        <v/>
      </c>
      <c r="EF184" s="44" t="str">
        <f t="shared" si="3045"/>
        <v/>
      </c>
      <c r="EG184" s="44" t="str">
        <f t="shared" si="3046"/>
        <v/>
      </c>
      <c r="EH184" s="44" t="str">
        <f t="shared" si="3047"/>
        <v/>
      </c>
      <c r="EI184" s="44" t="str">
        <f t="shared" si="3048"/>
        <v/>
      </c>
      <c r="EJ184" s="44" t="str">
        <f t="shared" si="3049"/>
        <v/>
      </c>
      <c r="EK184" s="44" t="str">
        <f t="shared" si="3050"/>
        <v/>
      </c>
      <c r="EL184" s="44" t="str">
        <f t="shared" si="3051"/>
        <v/>
      </c>
      <c r="EM184" s="44" t="str">
        <f t="shared" si="3052"/>
        <v/>
      </c>
      <c r="EN184" s="44" t="str">
        <f t="shared" si="3053"/>
        <v/>
      </c>
      <c r="EO184" s="44" t="str">
        <f t="shared" si="3054"/>
        <v/>
      </c>
      <c r="EP184" s="44" t="str">
        <f t="shared" si="3055"/>
        <v/>
      </c>
      <c r="EQ184" s="44" t="str">
        <f t="shared" si="3056"/>
        <v/>
      </c>
      <c r="ER184" s="44" t="str">
        <f t="shared" si="3057"/>
        <v/>
      </c>
      <c r="ES184" s="44" t="str">
        <f t="shared" si="3058"/>
        <v/>
      </c>
      <c r="ET184" s="44" t="str">
        <f t="shared" si="3059"/>
        <v/>
      </c>
      <c r="EU184" s="44" t="str">
        <f t="shared" si="3060"/>
        <v/>
      </c>
      <c r="EV184" s="44" t="str">
        <f t="shared" si="3061"/>
        <v/>
      </c>
      <c r="EW184" s="44" t="str">
        <f t="shared" si="3062"/>
        <v/>
      </c>
      <c r="EX184" s="44" t="str">
        <f t="shared" si="3063"/>
        <v/>
      </c>
      <c r="EY184" s="44" t="str">
        <f t="shared" si="3064"/>
        <v/>
      </c>
      <c r="EZ184" s="44" t="str">
        <f t="shared" si="3065"/>
        <v/>
      </c>
      <c r="FA184" s="44" t="str">
        <f t="shared" si="3066"/>
        <v/>
      </c>
      <c r="FB184" s="44" t="str">
        <f t="shared" si="3067"/>
        <v/>
      </c>
      <c r="FC184" s="44" t="str">
        <f t="shared" si="3068"/>
        <v/>
      </c>
      <c r="FD184" s="44" t="str">
        <f t="shared" si="3069"/>
        <v/>
      </c>
      <c r="FE184" s="44" t="str">
        <f t="shared" si="3070"/>
        <v/>
      </c>
      <c r="FF184" s="44" t="str">
        <f t="shared" si="3071"/>
        <v/>
      </c>
      <c r="FG184" s="44" t="str">
        <f t="shared" si="3072"/>
        <v/>
      </c>
      <c r="FH184" s="44" t="str">
        <f t="shared" si="3073"/>
        <v/>
      </c>
      <c r="FI184" s="44" t="str">
        <f t="shared" si="3074"/>
        <v/>
      </c>
      <c r="FJ184" s="44" t="str">
        <f t="shared" si="3075"/>
        <v/>
      </c>
      <c r="FK184" s="44" t="str">
        <f t="shared" si="3076"/>
        <v/>
      </c>
      <c r="FL184" s="44" t="str">
        <f t="shared" si="3077"/>
        <v/>
      </c>
      <c r="FM184" s="44" t="str">
        <f t="shared" si="3078"/>
        <v/>
      </c>
      <c r="FN184" s="44" t="str">
        <f t="shared" si="3079"/>
        <v/>
      </c>
      <c r="FO184" s="44" t="str">
        <f t="shared" si="3080"/>
        <v/>
      </c>
      <c r="FP184" s="44" t="str">
        <f t="shared" si="3081"/>
        <v/>
      </c>
      <c r="FQ184" s="44" t="str">
        <f t="shared" si="3082"/>
        <v/>
      </c>
      <c r="FR184" s="44" t="str">
        <f t="shared" si="3083"/>
        <v/>
      </c>
      <c r="FS184" s="44" t="str">
        <f t="shared" si="3084"/>
        <v/>
      </c>
    </row>
    <row r="185" ht="15" spans="1:175">
      <c r="A185" s="90"/>
      <c r="B185" s="5" t="s">
        <v>619</v>
      </c>
      <c r="C185" s="90" t="s">
        <v>620</v>
      </c>
      <c r="T185" s="90" t="s">
        <v>621</v>
      </c>
      <c r="U185" s="60" t="str">
        <f t="shared" si="1549"/>
        <v>ReplaceableTextures\\CommandButtons\\BTNIT13.blp</v>
      </c>
      <c r="CN185" s="13" t="str">
        <f t="shared" si="2864"/>
        <v>InitUnitState('IT13',,,,,,,,,,)</v>
      </c>
      <c r="CO185" s="13" t="str">
        <f t="shared" si="2865"/>
        <v>InitUnitNormal('IT13',,,,,,,,,,)</v>
      </c>
      <c r="CP185" s="13" t="str">
        <f t="shared" si="2866"/>
        <v>InitUnitMagic('IT13',,,,,,,,,,)</v>
      </c>
      <c r="CQ185" s="13" t="str">
        <f t="shared" si="2867"/>
        <v>InitUnitAdd('IT13',,,,,,,,,,)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72" t="str">
        <f t="shared" si="3013"/>
        <v>|n</v>
      </c>
      <c r="CV185" s="6" t="str">
        <f t="shared" si="3014"/>
        <v>境界挑战13</v>
      </c>
      <c r="CW185" s="7"/>
      <c r="CX185" s="7"/>
      <c r="CY185" s="7"/>
      <c r="CZ185" s="7"/>
      <c r="DA185" s="7"/>
      <c r="DB185" s="44" t="str">
        <f t="shared" si="3015"/>
        <v/>
      </c>
      <c r="DC185" s="44" t="str">
        <f t="shared" si="3016"/>
        <v/>
      </c>
      <c r="DD185" s="44" t="str">
        <f t="shared" si="3017"/>
        <v/>
      </c>
      <c r="DE185" s="44" t="str">
        <f t="shared" si="3018"/>
        <v/>
      </c>
      <c r="DF185" s="44" t="str">
        <f t="shared" si="3019"/>
        <v/>
      </c>
      <c r="DG185" s="44" t="str">
        <f t="shared" si="3020"/>
        <v/>
      </c>
      <c r="DH185" s="44" t="str">
        <f t="shared" si="3021"/>
        <v/>
      </c>
      <c r="DI185" s="44" t="str">
        <f t="shared" si="3022"/>
        <v/>
      </c>
      <c r="DJ185" s="44" t="str">
        <f t="shared" si="3023"/>
        <v/>
      </c>
      <c r="DK185" s="44" t="str">
        <f t="shared" si="3024"/>
        <v/>
      </c>
      <c r="DL185" s="44" t="str">
        <f t="shared" si="3025"/>
        <v/>
      </c>
      <c r="DM185" s="44" t="str">
        <f t="shared" si="3026"/>
        <v/>
      </c>
      <c r="DN185" s="44" t="str">
        <f t="shared" si="3027"/>
        <v/>
      </c>
      <c r="DO185" s="44" t="str">
        <f t="shared" si="3028"/>
        <v/>
      </c>
      <c r="DP185" s="44" t="str">
        <f t="shared" si="3029"/>
        <v/>
      </c>
      <c r="DQ185" s="44" t="str">
        <f t="shared" si="3030"/>
        <v/>
      </c>
      <c r="DR185" s="44" t="str">
        <f t="shared" si="3031"/>
        <v/>
      </c>
      <c r="DS185" s="44" t="str">
        <f t="shared" si="3032"/>
        <v/>
      </c>
      <c r="DT185" s="44" t="str">
        <f t="shared" si="3033"/>
        <v/>
      </c>
      <c r="DU185" s="44" t="str">
        <f t="shared" si="3034"/>
        <v/>
      </c>
      <c r="DV185" s="44" t="str">
        <f t="shared" si="3035"/>
        <v/>
      </c>
      <c r="DW185" s="44" t="str">
        <f t="shared" si="3036"/>
        <v/>
      </c>
      <c r="DX185" s="44" t="str">
        <f t="shared" si="3037"/>
        <v/>
      </c>
      <c r="DY185" s="44" t="str">
        <f t="shared" si="3038"/>
        <v/>
      </c>
      <c r="DZ185" s="44" t="str">
        <f t="shared" si="3039"/>
        <v/>
      </c>
      <c r="EA185" s="44" t="str">
        <f t="shared" si="3040"/>
        <v/>
      </c>
      <c r="EB185" s="44" t="str">
        <f t="shared" si="3041"/>
        <v/>
      </c>
      <c r="EC185" s="44" t="str">
        <f t="shared" si="3042"/>
        <v/>
      </c>
      <c r="ED185" s="44" t="str">
        <f t="shared" si="3043"/>
        <v/>
      </c>
      <c r="EE185" s="44" t="str">
        <f t="shared" si="3044"/>
        <v/>
      </c>
      <c r="EF185" s="44" t="str">
        <f t="shared" si="3045"/>
        <v/>
      </c>
      <c r="EG185" s="44" t="str">
        <f t="shared" si="3046"/>
        <v/>
      </c>
      <c r="EH185" s="44" t="str">
        <f t="shared" si="3047"/>
        <v/>
      </c>
      <c r="EI185" s="44" t="str">
        <f t="shared" si="3048"/>
        <v/>
      </c>
      <c r="EJ185" s="44" t="str">
        <f t="shared" si="3049"/>
        <v/>
      </c>
      <c r="EK185" s="44" t="str">
        <f t="shared" si="3050"/>
        <v/>
      </c>
      <c r="EL185" s="44" t="str">
        <f t="shared" si="3051"/>
        <v/>
      </c>
      <c r="EM185" s="44" t="str">
        <f t="shared" si="3052"/>
        <v/>
      </c>
      <c r="EN185" s="44" t="str">
        <f t="shared" si="3053"/>
        <v/>
      </c>
      <c r="EO185" s="44" t="str">
        <f t="shared" si="3054"/>
        <v/>
      </c>
      <c r="EP185" s="44" t="str">
        <f t="shared" si="3055"/>
        <v/>
      </c>
      <c r="EQ185" s="44" t="str">
        <f t="shared" si="3056"/>
        <v/>
      </c>
      <c r="ER185" s="44" t="str">
        <f t="shared" si="3057"/>
        <v/>
      </c>
      <c r="ES185" s="44" t="str">
        <f t="shared" si="3058"/>
        <v/>
      </c>
      <c r="ET185" s="44" t="str">
        <f t="shared" si="3059"/>
        <v/>
      </c>
      <c r="EU185" s="44" t="str">
        <f t="shared" si="3060"/>
        <v/>
      </c>
      <c r="EV185" s="44" t="str">
        <f t="shared" si="3061"/>
        <v/>
      </c>
      <c r="EW185" s="44" t="str">
        <f t="shared" si="3062"/>
        <v/>
      </c>
      <c r="EX185" s="44" t="str">
        <f t="shared" si="3063"/>
        <v/>
      </c>
      <c r="EY185" s="44" t="str">
        <f t="shared" si="3064"/>
        <v/>
      </c>
      <c r="EZ185" s="44" t="str">
        <f t="shared" si="3065"/>
        <v/>
      </c>
      <c r="FA185" s="44" t="str">
        <f t="shared" si="3066"/>
        <v/>
      </c>
      <c r="FB185" s="44" t="str">
        <f t="shared" si="3067"/>
        <v/>
      </c>
      <c r="FC185" s="44" t="str">
        <f t="shared" si="3068"/>
        <v/>
      </c>
      <c r="FD185" s="44" t="str">
        <f t="shared" si="3069"/>
        <v/>
      </c>
      <c r="FE185" s="44" t="str">
        <f t="shared" si="3070"/>
        <v/>
      </c>
      <c r="FF185" s="44" t="str">
        <f t="shared" si="3071"/>
        <v/>
      </c>
      <c r="FG185" s="44" t="str">
        <f t="shared" si="3072"/>
        <v/>
      </c>
      <c r="FH185" s="44" t="str">
        <f t="shared" si="3073"/>
        <v/>
      </c>
      <c r="FI185" s="44" t="str">
        <f t="shared" si="3074"/>
        <v/>
      </c>
      <c r="FJ185" s="44" t="str">
        <f t="shared" si="3075"/>
        <v/>
      </c>
      <c r="FK185" s="44" t="str">
        <f t="shared" si="3076"/>
        <v/>
      </c>
      <c r="FL185" s="44" t="str">
        <f t="shared" si="3077"/>
        <v/>
      </c>
      <c r="FM185" s="44" t="str">
        <f t="shared" si="3078"/>
        <v/>
      </c>
      <c r="FN185" s="44" t="str">
        <f t="shared" si="3079"/>
        <v/>
      </c>
      <c r="FO185" s="44" t="str">
        <f t="shared" si="3080"/>
        <v/>
      </c>
      <c r="FP185" s="44" t="str">
        <f t="shared" si="3081"/>
        <v/>
      </c>
      <c r="FQ185" s="44" t="str">
        <f t="shared" si="3082"/>
        <v/>
      </c>
      <c r="FR185" s="44" t="str">
        <f t="shared" si="3083"/>
        <v/>
      </c>
      <c r="FS185" s="44" t="str">
        <f t="shared" si="3084"/>
        <v/>
      </c>
    </row>
    <row r="186" ht="15" spans="1:175">
      <c r="A186" s="90"/>
      <c r="B186" s="5" t="s">
        <v>622</v>
      </c>
      <c r="C186" s="90" t="s">
        <v>623</v>
      </c>
      <c r="T186" s="90" t="s">
        <v>623</v>
      </c>
      <c r="U186" s="60" t="str">
        <f t="shared" si="1549"/>
        <v>ReplaceableTextures\\CommandButtons\\BTNIT14.blp</v>
      </c>
      <c r="CN186" s="13" t="str">
        <f t="shared" si="2864"/>
        <v>InitUnitState('IT14',,,,,,,,,,)</v>
      </c>
      <c r="CO186" s="13" t="str">
        <f t="shared" si="2865"/>
        <v>InitUnitNormal('IT14',,,,,,,,,,)</v>
      </c>
      <c r="CP186" s="13" t="str">
        <f t="shared" si="2866"/>
        <v>InitUnitMagic('IT14',,,,,,,,,,)</v>
      </c>
      <c r="CQ186" s="13" t="str">
        <f t="shared" si="2867"/>
        <v>InitUnitAdd('IT14',,,,,,,,,,)</v>
      </c>
      <c r="CR186" s="13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196&amp;CR$1&amp;")"</f>
        <v>InitEquipData('IT14',,"",,,,,'','','','','','',"ReplaceableTextures\\CommandButtons\\BTNIS12.blp")</v>
      </c>
      <c r="CU186" s="72" t="str">
        <f t="shared" si="3013"/>
        <v>|n</v>
      </c>
      <c r="CV186" s="6" t="str">
        <f t="shared" si="3014"/>
        <v>境界挑战14</v>
      </c>
      <c r="CW186" s="7"/>
      <c r="CX186" s="7"/>
      <c r="CY186" s="7"/>
      <c r="CZ186" s="7"/>
      <c r="DA186" s="7"/>
      <c r="DB186" s="44" t="str">
        <f t="shared" ref="DB186:EG187" si="3085">IF(V186="","","|n"&amp;DB$2&amp;"+"&amp;V186&amp;DB$1)</f>
        <v/>
      </c>
      <c r="DC186" s="44" t="str">
        <f t="shared" si="3085"/>
        <v/>
      </c>
      <c r="DD186" s="44" t="str">
        <f t="shared" si="3085"/>
        <v/>
      </c>
      <c r="DE186" s="44" t="str">
        <f t="shared" si="3085"/>
        <v/>
      </c>
      <c r="DF186" s="44" t="str">
        <f t="shared" si="3085"/>
        <v/>
      </c>
      <c r="DG186" s="44" t="str">
        <f t="shared" si="3085"/>
        <v/>
      </c>
      <c r="DH186" s="44" t="str">
        <f t="shared" si="3085"/>
        <v/>
      </c>
      <c r="DI186" s="44" t="str">
        <f t="shared" si="3085"/>
        <v/>
      </c>
      <c r="DJ186" s="44" t="str">
        <f t="shared" si="3085"/>
        <v/>
      </c>
      <c r="DK186" s="44" t="str">
        <f t="shared" si="3085"/>
        <v/>
      </c>
      <c r="DL186" s="44" t="str">
        <f t="shared" si="3085"/>
        <v/>
      </c>
      <c r="DM186" s="44" t="str">
        <f t="shared" si="3085"/>
        <v/>
      </c>
      <c r="DN186" s="44" t="str">
        <f t="shared" si="3085"/>
        <v/>
      </c>
      <c r="DO186" s="44" t="str">
        <f t="shared" si="3085"/>
        <v/>
      </c>
      <c r="DP186" s="44" t="str">
        <f t="shared" si="3085"/>
        <v/>
      </c>
      <c r="DQ186" s="44" t="str">
        <f t="shared" si="3085"/>
        <v/>
      </c>
      <c r="DR186" s="44" t="str">
        <f t="shared" si="3085"/>
        <v/>
      </c>
      <c r="DS186" s="44" t="str">
        <f t="shared" si="3085"/>
        <v/>
      </c>
      <c r="DT186" s="44" t="str">
        <f t="shared" si="3085"/>
        <v/>
      </c>
      <c r="DU186" s="44" t="str">
        <f t="shared" si="3085"/>
        <v/>
      </c>
      <c r="DV186" s="44" t="str">
        <f t="shared" si="3085"/>
        <v/>
      </c>
      <c r="DW186" s="44" t="str">
        <f t="shared" si="3085"/>
        <v/>
      </c>
      <c r="DX186" s="44" t="str">
        <f t="shared" si="3085"/>
        <v/>
      </c>
      <c r="DY186" s="44" t="str">
        <f t="shared" si="3085"/>
        <v/>
      </c>
      <c r="DZ186" s="44" t="str">
        <f t="shared" si="3085"/>
        <v/>
      </c>
      <c r="EA186" s="44" t="str">
        <f t="shared" si="3085"/>
        <v/>
      </c>
      <c r="EB186" s="44" t="str">
        <f t="shared" si="3085"/>
        <v/>
      </c>
      <c r="EC186" s="44" t="str">
        <f t="shared" si="3085"/>
        <v/>
      </c>
      <c r="ED186" s="44" t="str">
        <f t="shared" si="3085"/>
        <v/>
      </c>
      <c r="EE186" s="44" t="str">
        <f t="shared" si="3085"/>
        <v/>
      </c>
      <c r="EF186" s="44" t="str">
        <f t="shared" si="3085"/>
        <v/>
      </c>
      <c r="EG186" s="44" t="str">
        <f t="shared" si="3085"/>
        <v/>
      </c>
      <c r="EH186" s="44" t="str">
        <f t="shared" ref="EH186:FM187" si="3086">IF(BB186="","","|n"&amp;EH$2&amp;"+"&amp;BB186&amp;EH$1)</f>
        <v/>
      </c>
      <c r="EI186" s="44" t="str">
        <f t="shared" si="3086"/>
        <v/>
      </c>
      <c r="EJ186" s="44" t="str">
        <f t="shared" si="3086"/>
        <v/>
      </c>
      <c r="EK186" s="44" t="str">
        <f t="shared" si="3086"/>
        <v/>
      </c>
      <c r="EL186" s="44" t="str">
        <f t="shared" si="3086"/>
        <v/>
      </c>
      <c r="EM186" s="44" t="str">
        <f t="shared" si="3086"/>
        <v/>
      </c>
      <c r="EN186" s="44" t="str">
        <f t="shared" si="3086"/>
        <v/>
      </c>
      <c r="EO186" s="44" t="str">
        <f t="shared" si="3086"/>
        <v/>
      </c>
      <c r="EP186" s="44" t="str">
        <f t="shared" si="3086"/>
        <v/>
      </c>
      <c r="EQ186" s="44" t="str">
        <f t="shared" si="3086"/>
        <v/>
      </c>
      <c r="ER186" s="44" t="str">
        <f t="shared" si="3086"/>
        <v/>
      </c>
      <c r="ES186" s="44" t="str">
        <f t="shared" si="3086"/>
        <v/>
      </c>
      <c r="ET186" s="44" t="str">
        <f t="shared" si="3086"/>
        <v/>
      </c>
      <c r="EU186" s="44" t="str">
        <f t="shared" si="3086"/>
        <v/>
      </c>
      <c r="EV186" s="44" t="str">
        <f t="shared" si="3086"/>
        <v/>
      </c>
      <c r="EW186" s="44" t="str">
        <f t="shared" si="3086"/>
        <v/>
      </c>
      <c r="EX186" s="44" t="str">
        <f t="shared" si="3086"/>
        <v/>
      </c>
      <c r="EY186" s="44" t="str">
        <f t="shared" si="3086"/>
        <v/>
      </c>
      <c r="EZ186" s="44" t="str">
        <f t="shared" si="3086"/>
        <v/>
      </c>
      <c r="FA186" s="44" t="str">
        <f t="shared" si="3086"/>
        <v/>
      </c>
      <c r="FB186" s="44" t="str">
        <f t="shared" si="3086"/>
        <v/>
      </c>
      <c r="FC186" s="44" t="str">
        <f t="shared" si="3086"/>
        <v/>
      </c>
      <c r="FD186" s="44" t="str">
        <f t="shared" si="3086"/>
        <v/>
      </c>
      <c r="FE186" s="44" t="str">
        <f t="shared" si="3086"/>
        <v/>
      </c>
      <c r="FF186" s="44" t="str">
        <f t="shared" si="3086"/>
        <v/>
      </c>
      <c r="FG186" s="44" t="str">
        <f t="shared" si="3086"/>
        <v/>
      </c>
      <c r="FH186" s="44" t="str">
        <f t="shared" si="3086"/>
        <v/>
      </c>
      <c r="FI186" s="44" t="str">
        <f t="shared" si="3086"/>
        <v/>
      </c>
      <c r="FJ186" s="44" t="str">
        <f t="shared" si="3086"/>
        <v/>
      </c>
      <c r="FK186" s="44" t="str">
        <f t="shared" si="3086"/>
        <v/>
      </c>
      <c r="FL186" s="44" t="str">
        <f t="shared" si="3086"/>
        <v/>
      </c>
      <c r="FM186" s="44" t="str">
        <f t="shared" si="3086"/>
        <v/>
      </c>
      <c r="FN186" s="44" t="str">
        <f t="shared" ref="FN186:FS187" si="3087">IF(CH186="","","|n"&amp;FN$2&amp;"+"&amp;CH186&amp;FN$1)</f>
        <v/>
      </c>
      <c r="FO186" s="44" t="str">
        <f t="shared" si="3087"/>
        <v/>
      </c>
      <c r="FP186" s="44" t="str">
        <f t="shared" si="3087"/>
        <v/>
      </c>
      <c r="FQ186" s="44" t="str">
        <f t="shared" si="3087"/>
        <v/>
      </c>
      <c r="FR186" s="44" t="str">
        <f t="shared" si="3087"/>
        <v/>
      </c>
      <c r="FS186" s="44" t="str">
        <f t="shared" si="3087"/>
        <v/>
      </c>
    </row>
    <row r="187" s="37" customFormat="1" ht="15" spans="1:175">
      <c r="A187" s="90"/>
      <c r="B187" s="5" t="s">
        <v>624</v>
      </c>
      <c r="C187" s="90" t="s">
        <v>625</v>
      </c>
      <c r="D187" s="74"/>
      <c r="E187" s="74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80"/>
      <c r="Q187" s="80"/>
      <c r="R187" s="80"/>
      <c r="S187" s="80"/>
      <c r="T187" s="90" t="s">
        <v>625</v>
      </c>
      <c r="U187" s="60" t="str">
        <f t="shared" ref="U187" si="3088">"ReplaceableTextures\\CommandButtons\\BTN"&amp;B187&amp;".blp"</f>
        <v>ReplaceableTextures\\CommandButtons\\BTNIZ0A.blp</v>
      </c>
      <c r="V187" s="95"/>
      <c r="W187" s="96"/>
      <c r="X187" s="96"/>
      <c r="Y187" s="96"/>
      <c r="Z187" s="96"/>
      <c r="AA187" s="96"/>
      <c r="AB187" s="96"/>
      <c r="AC187" s="96"/>
      <c r="AD187" s="96"/>
      <c r="AE187" s="96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43"/>
      <c r="AS187" s="43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  <c r="BI187" s="96"/>
      <c r="BJ187" s="96"/>
      <c r="BK187" s="96"/>
      <c r="BL187" s="96"/>
      <c r="BM187" s="96"/>
      <c r="BN187" s="96"/>
      <c r="BO187" s="96"/>
      <c r="BP187" s="96"/>
      <c r="BQ187" s="96"/>
      <c r="BR187" s="96"/>
      <c r="BS187" s="96"/>
      <c r="BT187" s="96"/>
      <c r="BU187" s="96"/>
      <c r="BV187" s="96"/>
      <c r="BW187" s="96"/>
      <c r="BX187" s="96"/>
      <c r="BY187" s="96"/>
      <c r="BZ187" s="96"/>
      <c r="CA187" s="96"/>
      <c r="CB187" s="96"/>
      <c r="CC187" s="96"/>
      <c r="CD187" s="96"/>
      <c r="CE187" s="96"/>
      <c r="CF187" s="96"/>
      <c r="CG187" s="96"/>
      <c r="CH187" s="96"/>
      <c r="CI187" s="96"/>
      <c r="CJ187" s="96"/>
      <c r="CK187" s="96"/>
      <c r="CL187" s="96"/>
      <c r="CM187" s="96"/>
      <c r="CN187" s="97" t="str">
        <f t="shared" ref="CN187" si="3089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97" t="str">
        <f t="shared" ref="CO187" si="3090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97" t="str">
        <f t="shared" ref="CP187" si="3091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97" t="str">
        <f t="shared" ref="CQ187" si="3092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97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InitEquipData('IZ0A',,"",,,,,'','','','','','',"ReplaceableTextures\\CommandButtons\\BTNIZ01.blp")</v>
      </c>
      <c r="CS187" s="97"/>
      <c r="CT187" s="97"/>
      <c r="CU187" s="72" t="str">
        <f t="shared" ref="CU187" si="309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37" t="str">
        <f t="shared" ref="CV187" si="3094">T187</f>
        <v>暂停进攻</v>
      </c>
      <c r="CW187" s="7"/>
      <c r="CX187" s="7"/>
      <c r="CY187" s="7"/>
      <c r="CZ187" s="7"/>
      <c r="DA187" s="7"/>
      <c r="DB187" s="98" t="str">
        <f t="shared" si="3085"/>
        <v/>
      </c>
      <c r="DC187" s="98" t="str">
        <f t="shared" si="3085"/>
        <v/>
      </c>
      <c r="DD187" s="98" t="str">
        <f t="shared" si="3085"/>
        <v/>
      </c>
      <c r="DE187" s="98" t="str">
        <f t="shared" si="3085"/>
        <v/>
      </c>
      <c r="DF187" s="98" t="str">
        <f t="shared" si="3085"/>
        <v/>
      </c>
      <c r="DG187" s="98" t="str">
        <f t="shared" si="3085"/>
        <v/>
      </c>
      <c r="DH187" s="98" t="str">
        <f t="shared" si="3085"/>
        <v/>
      </c>
      <c r="DI187" s="98" t="str">
        <f t="shared" si="3085"/>
        <v/>
      </c>
      <c r="DJ187" s="98" t="str">
        <f t="shared" si="3085"/>
        <v/>
      </c>
      <c r="DK187" s="98" t="str">
        <f t="shared" si="3085"/>
        <v/>
      </c>
      <c r="DL187" s="98" t="str">
        <f t="shared" si="3085"/>
        <v/>
      </c>
      <c r="DM187" s="98" t="str">
        <f t="shared" si="3085"/>
        <v/>
      </c>
      <c r="DN187" s="98" t="str">
        <f t="shared" si="3085"/>
        <v/>
      </c>
      <c r="DO187" s="98" t="str">
        <f t="shared" si="3085"/>
        <v/>
      </c>
      <c r="DP187" s="98" t="str">
        <f t="shared" si="3085"/>
        <v/>
      </c>
      <c r="DQ187" s="98" t="str">
        <f t="shared" si="3085"/>
        <v/>
      </c>
      <c r="DR187" s="98" t="str">
        <f t="shared" si="3085"/>
        <v/>
      </c>
      <c r="DS187" s="98" t="str">
        <f t="shared" si="3085"/>
        <v/>
      </c>
      <c r="DT187" s="98" t="str">
        <f t="shared" si="3085"/>
        <v/>
      </c>
      <c r="DU187" s="98" t="str">
        <f t="shared" si="3085"/>
        <v/>
      </c>
      <c r="DV187" s="98" t="str">
        <f t="shared" si="3085"/>
        <v/>
      </c>
      <c r="DW187" s="98" t="str">
        <f t="shared" si="3085"/>
        <v/>
      </c>
      <c r="DX187" s="98" t="str">
        <f t="shared" si="3085"/>
        <v/>
      </c>
      <c r="DY187" s="98" t="str">
        <f t="shared" si="3085"/>
        <v/>
      </c>
      <c r="DZ187" s="98" t="str">
        <f t="shared" si="3085"/>
        <v/>
      </c>
      <c r="EA187" s="98" t="str">
        <f t="shared" si="3085"/>
        <v/>
      </c>
      <c r="EB187" s="98" t="str">
        <f t="shared" si="3085"/>
        <v/>
      </c>
      <c r="EC187" s="98" t="str">
        <f t="shared" si="3085"/>
        <v/>
      </c>
      <c r="ED187" s="98" t="str">
        <f t="shared" si="3085"/>
        <v/>
      </c>
      <c r="EE187" s="98" t="str">
        <f t="shared" si="3085"/>
        <v/>
      </c>
      <c r="EF187" s="98" t="str">
        <f t="shared" si="3085"/>
        <v/>
      </c>
      <c r="EG187" s="98" t="str">
        <f t="shared" si="3085"/>
        <v/>
      </c>
      <c r="EH187" s="98" t="str">
        <f t="shared" si="3086"/>
        <v/>
      </c>
      <c r="EI187" s="98" t="str">
        <f t="shared" si="3086"/>
        <v/>
      </c>
      <c r="EJ187" s="98" t="str">
        <f t="shared" si="3086"/>
        <v/>
      </c>
      <c r="EK187" s="98" t="str">
        <f t="shared" si="3086"/>
        <v/>
      </c>
      <c r="EL187" s="98" t="str">
        <f t="shared" si="3086"/>
        <v/>
      </c>
      <c r="EM187" s="98" t="str">
        <f t="shared" si="3086"/>
        <v/>
      </c>
      <c r="EN187" s="98" t="str">
        <f t="shared" si="3086"/>
        <v/>
      </c>
      <c r="EO187" s="98" t="str">
        <f t="shared" si="3086"/>
        <v/>
      </c>
      <c r="EP187" s="98" t="str">
        <f t="shared" si="3086"/>
        <v/>
      </c>
      <c r="EQ187" s="98" t="str">
        <f t="shared" si="3086"/>
        <v/>
      </c>
      <c r="ER187" s="98" t="str">
        <f t="shared" si="3086"/>
        <v/>
      </c>
      <c r="ES187" s="98" t="str">
        <f t="shared" si="3086"/>
        <v/>
      </c>
      <c r="ET187" s="98" t="str">
        <f t="shared" si="3086"/>
        <v/>
      </c>
      <c r="EU187" s="98" t="str">
        <f t="shared" si="3086"/>
        <v/>
      </c>
      <c r="EV187" s="98" t="str">
        <f t="shared" si="3086"/>
        <v/>
      </c>
      <c r="EW187" s="98" t="str">
        <f t="shared" si="3086"/>
        <v/>
      </c>
      <c r="EX187" s="98" t="str">
        <f t="shared" si="3086"/>
        <v/>
      </c>
      <c r="EY187" s="98" t="str">
        <f t="shared" si="3086"/>
        <v/>
      </c>
      <c r="EZ187" s="98" t="str">
        <f t="shared" si="3086"/>
        <v/>
      </c>
      <c r="FA187" s="98" t="str">
        <f t="shared" si="3086"/>
        <v/>
      </c>
      <c r="FB187" s="98" t="str">
        <f t="shared" si="3086"/>
        <v/>
      </c>
      <c r="FC187" s="98" t="str">
        <f t="shared" si="3086"/>
        <v/>
      </c>
      <c r="FD187" s="98" t="str">
        <f t="shared" si="3086"/>
        <v/>
      </c>
      <c r="FE187" s="98" t="str">
        <f t="shared" si="3086"/>
        <v/>
      </c>
      <c r="FF187" s="98" t="str">
        <f t="shared" si="3086"/>
        <v/>
      </c>
      <c r="FG187" s="98" t="str">
        <f t="shared" si="3086"/>
        <v/>
      </c>
      <c r="FH187" s="98" t="str">
        <f t="shared" si="3086"/>
        <v/>
      </c>
      <c r="FI187" s="98" t="str">
        <f t="shared" si="3086"/>
        <v/>
      </c>
      <c r="FJ187" s="98" t="str">
        <f t="shared" si="3086"/>
        <v/>
      </c>
      <c r="FK187" s="98" t="str">
        <f t="shared" si="3086"/>
        <v/>
      </c>
      <c r="FL187" s="98" t="str">
        <f t="shared" si="3086"/>
        <v/>
      </c>
      <c r="FM187" s="98" t="str">
        <f t="shared" si="3086"/>
        <v/>
      </c>
      <c r="FN187" s="98" t="str">
        <f t="shared" si="3087"/>
        <v/>
      </c>
      <c r="FO187" s="98" t="str">
        <f t="shared" si="3087"/>
        <v/>
      </c>
      <c r="FP187" s="98" t="str">
        <f t="shared" si="3087"/>
        <v/>
      </c>
      <c r="FQ187" s="98" t="str">
        <f t="shared" si="3087"/>
        <v/>
      </c>
      <c r="FR187" s="98" t="str">
        <f t="shared" si="3087"/>
        <v/>
      </c>
      <c r="FS187" s="98" t="str">
        <f t="shared" si="3087"/>
        <v/>
      </c>
    </row>
    <row r="188" s="37" customFormat="1" ht="15" spans="1:175">
      <c r="A188" s="90"/>
      <c r="B188" s="5" t="s">
        <v>626</v>
      </c>
      <c r="C188" s="90" t="s">
        <v>627</v>
      </c>
      <c r="D188" s="74"/>
      <c r="E188" s="74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80"/>
      <c r="Q188" s="80"/>
      <c r="R188" s="80"/>
      <c r="S188" s="80"/>
      <c r="T188" s="90" t="s">
        <v>628</v>
      </c>
      <c r="U188" s="60" t="str">
        <f t="shared" si="1549"/>
        <v>ReplaceableTextures\\CommandButtons\\BTNIZ01.blp</v>
      </c>
      <c r="V188" s="95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43"/>
      <c r="AS188" s="43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  <c r="BI188" s="96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  <c r="BT188" s="96"/>
      <c r="BU188" s="96"/>
      <c r="BV188" s="96"/>
      <c r="BW188" s="96"/>
      <c r="BX188" s="96"/>
      <c r="BY188" s="96"/>
      <c r="BZ188" s="96"/>
      <c r="CA188" s="96"/>
      <c r="CB188" s="96"/>
      <c r="CC188" s="96"/>
      <c r="CD188" s="96"/>
      <c r="CE188" s="96"/>
      <c r="CF188" s="96"/>
      <c r="CG188" s="96"/>
      <c r="CH188" s="96"/>
      <c r="CI188" s="96"/>
      <c r="CJ188" s="96"/>
      <c r="CK188" s="96"/>
      <c r="CL188" s="96"/>
      <c r="CM188" s="96"/>
      <c r="CN188" s="97" t="str">
        <f t="shared" si="2864"/>
        <v>InitUnitState('IZ01',,,,,,,,,,)</v>
      </c>
      <c r="CO188" s="97" t="str">
        <f t="shared" si="2865"/>
        <v>InitUnitNormal('IZ01',,,,,,,,,,)</v>
      </c>
      <c r="CP188" s="97" t="str">
        <f t="shared" si="2866"/>
        <v>InitUnitMagic('IZ01',,,,,,,,,,)</v>
      </c>
      <c r="CQ188" s="97" t="str">
        <f t="shared" si="2867"/>
        <v>InitUnitAdd('IZ01',,,,,,,,,,)</v>
      </c>
      <c r="CR188" s="97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InitEquipData('IZ01',,"",,,,,'','','','','','',"ReplaceableTextures\\CommandButtons\\BTN001.blp")</v>
      </c>
      <c r="CS188" s="97"/>
      <c r="CT188" s="97"/>
      <c r="CU188" s="72" t="str">
        <f t="shared" si="3013"/>
        <v>|n</v>
      </c>
      <c r="CV188" s="37" t="str">
        <f t="shared" si="301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8" s="7"/>
      <c r="CX188" s="7"/>
      <c r="CY188" s="7"/>
      <c r="CZ188" s="7"/>
      <c r="DA188" s="7"/>
      <c r="DB188" s="98" t="str">
        <f t="shared" ref="DB188:FM188" si="3095">IF(V188="","","|n"&amp;DB$2&amp;"+"&amp;V188&amp;DB$1)</f>
        <v/>
      </c>
      <c r="DC188" s="98" t="str">
        <f t="shared" si="3095"/>
        <v/>
      </c>
      <c r="DD188" s="98" t="str">
        <f t="shared" si="3095"/>
        <v/>
      </c>
      <c r="DE188" s="98" t="str">
        <f t="shared" si="3095"/>
        <v/>
      </c>
      <c r="DF188" s="98" t="str">
        <f t="shared" si="3095"/>
        <v/>
      </c>
      <c r="DG188" s="98" t="str">
        <f t="shared" si="3095"/>
        <v/>
      </c>
      <c r="DH188" s="98" t="str">
        <f t="shared" si="3095"/>
        <v/>
      </c>
      <c r="DI188" s="98" t="str">
        <f t="shared" si="3095"/>
        <v/>
      </c>
      <c r="DJ188" s="98" t="str">
        <f t="shared" si="3095"/>
        <v/>
      </c>
      <c r="DK188" s="98" t="str">
        <f t="shared" si="3095"/>
        <v/>
      </c>
      <c r="DL188" s="98" t="str">
        <f t="shared" si="3095"/>
        <v/>
      </c>
      <c r="DM188" s="98" t="str">
        <f t="shared" si="3095"/>
        <v/>
      </c>
      <c r="DN188" s="98" t="str">
        <f t="shared" si="3095"/>
        <v/>
      </c>
      <c r="DO188" s="98" t="str">
        <f t="shared" si="3095"/>
        <v/>
      </c>
      <c r="DP188" s="98" t="str">
        <f t="shared" si="3095"/>
        <v/>
      </c>
      <c r="DQ188" s="98" t="str">
        <f t="shared" si="3095"/>
        <v/>
      </c>
      <c r="DR188" s="98" t="str">
        <f t="shared" si="3095"/>
        <v/>
      </c>
      <c r="DS188" s="98" t="str">
        <f t="shared" si="3095"/>
        <v/>
      </c>
      <c r="DT188" s="98" t="str">
        <f t="shared" si="3095"/>
        <v/>
      </c>
      <c r="DU188" s="98" t="str">
        <f t="shared" si="3095"/>
        <v/>
      </c>
      <c r="DV188" s="98" t="str">
        <f t="shared" si="3095"/>
        <v/>
      </c>
      <c r="DW188" s="98" t="str">
        <f t="shared" si="3095"/>
        <v/>
      </c>
      <c r="DX188" s="98" t="str">
        <f t="shared" si="3095"/>
        <v/>
      </c>
      <c r="DY188" s="98" t="str">
        <f t="shared" si="3095"/>
        <v/>
      </c>
      <c r="DZ188" s="98" t="str">
        <f t="shared" si="3095"/>
        <v/>
      </c>
      <c r="EA188" s="98" t="str">
        <f t="shared" si="3095"/>
        <v/>
      </c>
      <c r="EB188" s="98" t="str">
        <f t="shared" si="3095"/>
        <v/>
      </c>
      <c r="EC188" s="98" t="str">
        <f t="shared" si="3095"/>
        <v/>
      </c>
      <c r="ED188" s="98" t="str">
        <f t="shared" si="3095"/>
        <v/>
      </c>
      <c r="EE188" s="98" t="str">
        <f t="shared" si="3095"/>
        <v/>
      </c>
      <c r="EF188" s="98" t="str">
        <f t="shared" si="3095"/>
        <v/>
      </c>
      <c r="EG188" s="98" t="str">
        <f t="shared" si="3095"/>
        <v/>
      </c>
      <c r="EH188" s="98" t="str">
        <f t="shared" si="3095"/>
        <v/>
      </c>
      <c r="EI188" s="98" t="str">
        <f t="shared" si="3095"/>
        <v/>
      </c>
      <c r="EJ188" s="98" t="str">
        <f t="shared" si="3095"/>
        <v/>
      </c>
      <c r="EK188" s="98" t="str">
        <f t="shared" si="3095"/>
        <v/>
      </c>
      <c r="EL188" s="98" t="str">
        <f t="shared" si="3095"/>
        <v/>
      </c>
      <c r="EM188" s="98" t="str">
        <f t="shared" si="3095"/>
        <v/>
      </c>
      <c r="EN188" s="98" t="str">
        <f t="shared" si="3095"/>
        <v/>
      </c>
      <c r="EO188" s="98" t="str">
        <f t="shared" si="3095"/>
        <v/>
      </c>
      <c r="EP188" s="98" t="str">
        <f t="shared" si="3095"/>
        <v/>
      </c>
      <c r="EQ188" s="98" t="str">
        <f t="shared" si="3095"/>
        <v/>
      </c>
      <c r="ER188" s="98" t="str">
        <f t="shared" si="3095"/>
        <v/>
      </c>
      <c r="ES188" s="98" t="str">
        <f t="shared" si="3095"/>
        <v/>
      </c>
      <c r="ET188" s="98" t="str">
        <f t="shared" si="3095"/>
        <v/>
      </c>
      <c r="EU188" s="98" t="str">
        <f t="shared" si="3095"/>
        <v/>
      </c>
      <c r="EV188" s="98" t="str">
        <f t="shared" si="3095"/>
        <v/>
      </c>
      <c r="EW188" s="98" t="str">
        <f t="shared" si="3095"/>
        <v/>
      </c>
      <c r="EX188" s="98" t="str">
        <f t="shared" si="3095"/>
        <v/>
      </c>
      <c r="EY188" s="98" t="str">
        <f t="shared" si="3095"/>
        <v/>
      </c>
      <c r="EZ188" s="98" t="str">
        <f t="shared" si="3095"/>
        <v/>
      </c>
      <c r="FA188" s="98" t="str">
        <f t="shared" si="3095"/>
        <v/>
      </c>
      <c r="FB188" s="98" t="str">
        <f t="shared" si="3095"/>
        <v/>
      </c>
      <c r="FC188" s="98" t="str">
        <f t="shared" si="3095"/>
        <v/>
      </c>
      <c r="FD188" s="98" t="str">
        <f t="shared" si="3095"/>
        <v/>
      </c>
      <c r="FE188" s="98" t="str">
        <f t="shared" si="3095"/>
        <v/>
      </c>
      <c r="FF188" s="98" t="str">
        <f t="shared" si="3095"/>
        <v/>
      </c>
      <c r="FG188" s="98" t="str">
        <f t="shared" si="3095"/>
        <v/>
      </c>
      <c r="FH188" s="98" t="str">
        <f t="shared" si="3095"/>
        <v/>
      </c>
      <c r="FI188" s="98" t="str">
        <f t="shared" si="3095"/>
        <v/>
      </c>
      <c r="FJ188" s="98" t="str">
        <f t="shared" si="3095"/>
        <v/>
      </c>
      <c r="FK188" s="98" t="str">
        <f t="shared" si="3095"/>
        <v/>
      </c>
      <c r="FL188" s="98" t="str">
        <f t="shared" si="3095"/>
        <v/>
      </c>
      <c r="FM188" s="98" t="str">
        <f t="shared" si="3095"/>
        <v/>
      </c>
      <c r="FN188" s="98" t="str">
        <f t="shared" ref="FN188:FS188" si="3096">IF(CH188="","","|n"&amp;FN$2&amp;"+"&amp;CH188&amp;FN$1)</f>
        <v/>
      </c>
      <c r="FO188" s="98" t="str">
        <f t="shared" si="3096"/>
        <v/>
      </c>
      <c r="FP188" s="98" t="str">
        <f t="shared" si="3096"/>
        <v/>
      </c>
      <c r="FQ188" s="98" t="str">
        <f t="shared" si="3096"/>
        <v/>
      </c>
      <c r="FR188" s="98" t="str">
        <f t="shared" si="3096"/>
        <v/>
      </c>
      <c r="FS188" s="98" t="str">
        <f t="shared" si="3096"/>
        <v/>
      </c>
    </row>
    <row r="189" ht="15" spans="1:175">
      <c r="A189" s="90"/>
      <c r="B189" s="5" t="s">
        <v>629</v>
      </c>
      <c r="C189" s="90" t="s">
        <v>630</v>
      </c>
      <c r="T189" s="90" t="s">
        <v>630</v>
      </c>
      <c r="U189" s="60" t="s">
        <v>435</v>
      </c>
      <c r="CN189" s="13" t="str">
        <f t="shared" si="2864"/>
        <v>InitUnitState('IS01',,,,,,,,,,)</v>
      </c>
      <c r="CO189" s="13" t="str">
        <f t="shared" si="2865"/>
        <v>InitUnitNormal('IS01',,,,,,,,,,)</v>
      </c>
      <c r="CP189" s="13" t="str">
        <f t="shared" si="2866"/>
        <v>InitUnitMagic('IS01',,,,,,,,,,)</v>
      </c>
      <c r="CQ189" s="13" t="str">
        <f t="shared" si="2867"/>
        <v>InitUnitAdd('IS01',,,,,,,,,,)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InitEquipData('IS01',,"",,,,,'','','','','','',"ReplaceableTextures\\CommandButtons\\BTN002.blp")</v>
      </c>
      <c r="CU189" s="72" t="str">
        <f t="shared" si="3013"/>
        <v>|n</v>
      </c>
      <c r="CV189" s="6" t="str">
        <f t="shared" si="3014"/>
        <v>抽技能Q</v>
      </c>
      <c r="CW189" s="7"/>
      <c r="CX189" s="7"/>
      <c r="CY189" s="7"/>
      <c r="CZ189" s="7"/>
      <c r="DA189" s="7"/>
      <c r="DB189" s="44" t="str">
        <f t="shared" ref="DB189:DK190" si="3097">IF(V189="","","|n"&amp;DB$2&amp;"+"&amp;V189&amp;DB$1)</f>
        <v/>
      </c>
      <c r="DC189" s="44" t="str">
        <f t="shared" si="3097"/>
        <v/>
      </c>
      <c r="DD189" s="44" t="str">
        <f t="shared" si="3097"/>
        <v/>
      </c>
      <c r="DE189" s="44" t="str">
        <f t="shared" si="3097"/>
        <v/>
      </c>
      <c r="DF189" s="44" t="str">
        <f t="shared" si="3097"/>
        <v/>
      </c>
      <c r="DG189" s="44" t="str">
        <f t="shared" si="3097"/>
        <v/>
      </c>
      <c r="DH189" s="44" t="str">
        <f t="shared" si="3097"/>
        <v/>
      </c>
      <c r="DI189" s="44" t="str">
        <f t="shared" si="3097"/>
        <v/>
      </c>
      <c r="DJ189" s="44" t="str">
        <f t="shared" si="3097"/>
        <v/>
      </c>
      <c r="DK189" s="44" t="str">
        <f t="shared" si="3097"/>
        <v/>
      </c>
      <c r="DL189" s="44" t="str">
        <f t="shared" ref="DL189:DU190" si="3098">IF(AF189="","","|n"&amp;DL$2&amp;"+"&amp;AF189&amp;DL$1)</f>
        <v/>
      </c>
      <c r="DM189" s="44" t="str">
        <f t="shared" si="3098"/>
        <v/>
      </c>
      <c r="DN189" s="44" t="str">
        <f t="shared" si="3098"/>
        <v/>
      </c>
      <c r="DO189" s="44" t="str">
        <f t="shared" si="3098"/>
        <v/>
      </c>
      <c r="DP189" s="44" t="str">
        <f t="shared" si="3098"/>
        <v/>
      </c>
      <c r="DQ189" s="44" t="str">
        <f t="shared" si="3098"/>
        <v/>
      </c>
      <c r="DR189" s="44" t="str">
        <f t="shared" si="3098"/>
        <v/>
      </c>
      <c r="DS189" s="44" t="str">
        <f t="shared" si="3098"/>
        <v/>
      </c>
      <c r="DT189" s="44" t="str">
        <f t="shared" si="3098"/>
        <v/>
      </c>
      <c r="DU189" s="44" t="str">
        <f t="shared" si="3098"/>
        <v/>
      </c>
      <c r="DV189" s="44" t="str">
        <f t="shared" ref="DV189:EE190" si="3099">IF(AP189="","","|n"&amp;DV$2&amp;"+"&amp;AP189&amp;DV$1)</f>
        <v/>
      </c>
      <c r="DW189" s="44" t="str">
        <f t="shared" si="3099"/>
        <v/>
      </c>
      <c r="DX189" s="44" t="str">
        <f t="shared" si="3099"/>
        <v/>
      </c>
      <c r="DY189" s="44" t="str">
        <f t="shared" si="3099"/>
        <v/>
      </c>
      <c r="DZ189" s="44" t="str">
        <f t="shared" si="3099"/>
        <v/>
      </c>
      <c r="EA189" s="44" t="str">
        <f t="shared" si="3099"/>
        <v/>
      </c>
      <c r="EB189" s="44" t="str">
        <f t="shared" si="3099"/>
        <v/>
      </c>
      <c r="EC189" s="44" t="str">
        <f t="shared" si="3099"/>
        <v/>
      </c>
      <c r="ED189" s="44" t="str">
        <f t="shared" si="3099"/>
        <v/>
      </c>
      <c r="EE189" s="44" t="str">
        <f t="shared" si="3099"/>
        <v/>
      </c>
      <c r="EF189" s="44" t="str">
        <f t="shared" ref="EF189:EO190" si="3100">IF(AZ189="","","|n"&amp;EF$2&amp;"+"&amp;AZ189&amp;EF$1)</f>
        <v/>
      </c>
      <c r="EG189" s="44" t="str">
        <f t="shared" si="3100"/>
        <v/>
      </c>
      <c r="EH189" s="44" t="str">
        <f t="shared" si="3100"/>
        <v/>
      </c>
      <c r="EI189" s="44" t="str">
        <f t="shared" si="3100"/>
        <v/>
      </c>
      <c r="EJ189" s="44" t="str">
        <f t="shared" si="3100"/>
        <v/>
      </c>
      <c r="EK189" s="44" t="str">
        <f t="shared" si="3100"/>
        <v/>
      </c>
      <c r="EL189" s="44" t="str">
        <f t="shared" si="3100"/>
        <v/>
      </c>
      <c r="EM189" s="44" t="str">
        <f t="shared" si="3100"/>
        <v/>
      </c>
      <c r="EN189" s="44" t="str">
        <f t="shared" si="3100"/>
        <v/>
      </c>
      <c r="EO189" s="44" t="str">
        <f t="shared" si="3100"/>
        <v/>
      </c>
      <c r="EP189" s="44" t="str">
        <f t="shared" ref="EP189:EY190" si="3101">IF(BJ189="","","|n"&amp;EP$2&amp;"+"&amp;BJ189&amp;EP$1)</f>
        <v/>
      </c>
      <c r="EQ189" s="44" t="str">
        <f t="shared" si="3101"/>
        <v/>
      </c>
      <c r="ER189" s="44" t="str">
        <f t="shared" si="3101"/>
        <v/>
      </c>
      <c r="ES189" s="44" t="str">
        <f t="shared" si="3101"/>
        <v/>
      </c>
      <c r="ET189" s="44" t="str">
        <f t="shared" si="3101"/>
        <v/>
      </c>
      <c r="EU189" s="44" t="str">
        <f t="shared" si="3101"/>
        <v/>
      </c>
      <c r="EV189" s="44" t="str">
        <f t="shared" si="3101"/>
        <v/>
      </c>
      <c r="EW189" s="44" t="str">
        <f t="shared" si="3101"/>
        <v/>
      </c>
      <c r="EX189" s="44" t="str">
        <f t="shared" si="3101"/>
        <v/>
      </c>
      <c r="EY189" s="44" t="str">
        <f t="shared" si="3101"/>
        <v/>
      </c>
      <c r="EZ189" s="44" t="str">
        <f t="shared" ref="EZ189:FI190" si="3102">IF(BT189="","","|n"&amp;EZ$2&amp;"+"&amp;BT189&amp;EZ$1)</f>
        <v/>
      </c>
      <c r="FA189" s="44" t="str">
        <f t="shared" si="3102"/>
        <v/>
      </c>
      <c r="FB189" s="44" t="str">
        <f t="shared" si="3102"/>
        <v/>
      </c>
      <c r="FC189" s="44" t="str">
        <f t="shared" si="3102"/>
        <v/>
      </c>
      <c r="FD189" s="44" t="str">
        <f t="shared" si="3102"/>
        <v/>
      </c>
      <c r="FE189" s="44" t="str">
        <f t="shared" si="3102"/>
        <v/>
      </c>
      <c r="FF189" s="44" t="str">
        <f t="shared" si="3102"/>
        <v/>
      </c>
      <c r="FG189" s="44" t="str">
        <f t="shared" si="3102"/>
        <v/>
      </c>
      <c r="FH189" s="44" t="str">
        <f t="shared" si="3102"/>
        <v/>
      </c>
      <c r="FI189" s="44" t="str">
        <f t="shared" si="3102"/>
        <v/>
      </c>
      <c r="FJ189" s="44" t="str">
        <f t="shared" ref="FJ189:FS190" si="3103">IF(CD189="","","|n"&amp;FJ$2&amp;"+"&amp;CD189&amp;FJ$1)</f>
        <v/>
      </c>
      <c r="FK189" s="44" t="str">
        <f t="shared" si="3103"/>
        <v/>
      </c>
      <c r="FL189" s="44" t="str">
        <f t="shared" si="3103"/>
        <v/>
      </c>
      <c r="FM189" s="44" t="str">
        <f t="shared" si="3103"/>
        <v/>
      </c>
      <c r="FN189" s="44" t="str">
        <f t="shared" si="3103"/>
        <v/>
      </c>
      <c r="FO189" s="44" t="str">
        <f t="shared" si="3103"/>
        <v/>
      </c>
      <c r="FP189" s="44" t="str">
        <f t="shared" si="3103"/>
        <v/>
      </c>
      <c r="FQ189" s="44" t="str">
        <f t="shared" si="3103"/>
        <v/>
      </c>
      <c r="FR189" s="44" t="str">
        <f t="shared" si="3103"/>
        <v/>
      </c>
      <c r="FS189" s="44" t="str">
        <f t="shared" si="3103"/>
        <v/>
      </c>
    </row>
    <row r="190" ht="15" spans="1:175">
      <c r="A190" s="90"/>
      <c r="B190" s="5" t="s">
        <v>631</v>
      </c>
      <c r="C190" s="90" t="s">
        <v>632</v>
      </c>
      <c r="T190" s="90" t="s">
        <v>632</v>
      </c>
      <c r="U190" s="60" t="s">
        <v>633</v>
      </c>
      <c r="CN190" s="13" t="str">
        <f t="shared" si="2864"/>
        <v>InitUnitState('IS02',,,,,,,,,,)</v>
      </c>
      <c r="CO190" s="13" t="str">
        <f t="shared" si="2865"/>
        <v>InitUnitNormal('IS02',,,,,,,,,,)</v>
      </c>
      <c r="CP190" s="13" t="str">
        <f t="shared" si="2866"/>
        <v>InitUnitMagic('IS02',,,,,,,,,,)</v>
      </c>
      <c r="CQ190" s="13" t="str">
        <f t="shared" si="2867"/>
        <v>InitUnitAdd('IS02',,,,,,,,,,)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InitEquipData('IS02',,"",,,,,'','','','','','',"ReplaceableTextures\\CommandButtons\\BTN003.blp")</v>
      </c>
      <c r="CU190" s="72" t="str">
        <f t="shared" si="3013"/>
        <v>|n</v>
      </c>
      <c r="CV190" s="6" t="str">
        <f t="shared" si="3014"/>
        <v>抽技能W</v>
      </c>
      <c r="CW190" s="7"/>
      <c r="CX190" s="7"/>
      <c r="CY190" s="7"/>
      <c r="CZ190" s="7"/>
      <c r="DA190" s="7"/>
      <c r="DB190" s="44" t="str">
        <f t="shared" si="3097"/>
        <v/>
      </c>
      <c r="DC190" s="44" t="str">
        <f t="shared" si="3097"/>
        <v/>
      </c>
      <c r="DD190" s="44" t="str">
        <f t="shared" si="3097"/>
        <v/>
      </c>
      <c r="DE190" s="44" t="str">
        <f t="shared" si="3097"/>
        <v/>
      </c>
      <c r="DF190" s="44" t="str">
        <f t="shared" si="3097"/>
        <v/>
      </c>
      <c r="DG190" s="44" t="str">
        <f t="shared" si="3097"/>
        <v/>
      </c>
      <c r="DH190" s="44" t="str">
        <f t="shared" si="3097"/>
        <v/>
      </c>
      <c r="DI190" s="44" t="str">
        <f t="shared" si="3097"/>
        <v/>
      </c>
      <c r="DJ190" s="44" t="str">
        <f t="shared" si="3097"/>
        <v/>
      </c>
      <c r="DK190" s="44" t="str">
        <f t="shared" si="3097"/>
        <v/>
      </c>
      <c r="DL190" s="44" t="str">
        <f t="shared" si="3098"/>
        <v/>
      </c>
      <c r="DM190" s="44" t="str">
        <f t="shared" si="3098"/>
        <v/>
      </c>
      <c r="DN190" s="44" t="str">
        <f t="shared" si="3098"/>
        <v/>
      </c>
      <c r="DO190" s="44" t="str">
        <f t="shared" si="3098"/>
        <v/>
      </c>
      <c r="DP190" s="44" t="str">
        <f t="shared" si="3098"/>
        <v/>
      </c>
      <c r="DQ190" s="44" t="str">
        <f t="shared" si="3098"/>
        <v/>
      </c>
      <c r="DR190" s="44" t="str">
        <f t="shared" si="3098"/>
        <v/>
      </c>
      <c r="DS190" s="44" t="str">
        <f t="shared" si="3098"/>
        <v/>
      </c>
      <c r="DT190" s="44" t="str">
        <f t="shared" si="3098"/>
        <v/>
      </c>
      <c r="DU190" s="44" t="str">
        <f t="shared" si="3098"/>
        <v/>
      </c>
      <c r="DV190" s="44" t="str">
        <f t="shared" si="3099"/>
        <v/>
      </c>
      <c r="DW190" s="44" t="str">
        <f t="shared" si="3099"/>
        <v/>
      </c>
      <c r="DX190" s="44" t="str">
        <f t="shared" si="3099"/>
        <v/>
      </c>
      <c r="DY190" s="44" t="str">
        <f t="shared" si="3099"/>
        <v/>
      </c>
      <c r="DZ190" s="44" t="str">
        <f t="shared" si="3099"/>
        <v/>
      </c>
      <c r="EA190" s="44" t="str">
        <f t="shared" si="3099"/>
        <v/>
      </c>
      <c r="EB190" s="44" t="str">
        <f t="shared" si="3099"/>
        <v/>
      </c>
      <c r="EC190" s="44" t="str">
        <f t="shared" si="3099"/>
        <v/>
      </c>
      <c r="ED190" s="44" t="str">
        <f t="shared" si="3099"/>
        <v/>
      </c>
      <c r="EE190" s="44" t="str">
        <f t="shared" si="3099"/>
        <v/>
      </c>
      <c r="EF190" s="44" t="str">
        <f t="shared" si="3100"/>
        <v/>
      </c>
      <c r="EG190" s="44" t="str">
        <f t="shared" si="3100"/>
        <v/>
      </c>
      <c r="EH190" s="44" t="str">
        <f t="shared" si="3100"/>
        <v/>
      </c>
      <c r="EI190" s="44" t="str">
        <f t="shared" si="3100"/>
        <v/>
      </c>
      <c r="EJ190" s="44" t="str">
        <f t="shared" si="3100"/>
        <v/>
      </c>
      <c r="EK190" s="44" t="str">
        <f t="shared" si="3100"/>
        <v/>
      </c>
      <c r="EL190" s="44" t="str">
        <f t="shared" si="3100"/>
        <v/>
      </c>
      <c r="EM190" s="44" t="str">
        <f t="shared" si="3100"/>
        <v/>
      </c>
      <c r="EN190" s="44" t="str">
        <f t="shared" si="3100"/>
        <v/>
      </c>
      <c r="EO190" s="44" t="str">
        <f t="shared" si="3100"/>
        <v/>
      </c>
      <c r="EP190" s="44" t="str">
        <f t="shared" si="3101"/>
        <v/>
      </c>
      <c r="EQ190" s="44" t="str">
        <f t="shared" si="3101"/>
        <v/>
      </c>
      <c r="ER190" s="44" t="str">
        <f t="shared" si="3101"/>
        <v/>
      </c>
      <c r="ES190" s="44" t="str">
        <f t="shared" si="3101"/>
        <v/>
      </c>
      <c r="ET190" s="44" t="str">
        <f t="shared" si="3101"/>
        <v/>
      </c>
      <c r="EU190" s="44" t="str">
        <f t="shared" si="3101"/>
        <v/>
      </c>
      <c r="EV190" s="44" t="str">
        <f t="shared" si="3101"/>
        <v/>
      </c>
      <c r="EW190" s="44" t="str">
        <f t="shared" si="3101"/>
        <v/>
      </c>
      <c r="EX190" s="44" t="str">
        <f t="shared" si="3101"/>
        <v/>
      </c>
      <c r="EY190" s="44" t="str">
        <f t="shared" si="3101"/>
        <v/>
      </c>
      <c r="EZ190" s="44" t="str">
        <f t="shared" si="3102"/>
        <v/>
      </c>
      <c r="FA190" s="44" t="str">
        <f t="shared" si="3102"/>
        <v/>
      </c>
      <c r="FB190" s="44" t="str">
        <f t="shared" si="3102"/>
        <v/>
      </c>
      <c r="FC190" s="44" t="str">
        <f t="shared" si="3102"/>
        <v/>
      </c>
      <c r="FD190" s="44" t="str">
        <f t="shared" si="3102"/>
        <v/>
      </c>
      <c r="FE190" s="44" t="str">
        <f t="shared" si="3102"/>
        <v/>
      </c>
      <c r="FF190" s="44" t="str">
        <f t="shared" si="3102"/>
        <v/>
      </c>
      <c r="FG190" s="44" t="str">
        <f t="shared" si="3102"/>
        <v/>
      </c>
      <c r="FH190" s="44" t="str">
        <f t="shared" si="3102"/>
        <v/>
      </c>
      <c r="FI190" s="44" t="str">
        <f t="shared" si="3102"/>
        <v/>
      </c>
      <c r="FJ190" s="44" t="str">
        <f t="shared" si="3103"/>
        <v/>
      </c>
      <c r="FK190" s="44" t="str">
        <f t="shared" si="3103"/>
        <v/>
      </c>
      <c r="FL190" s="44" t="str">
        <f t="shared" si="3103"/>
        <v/>
      </c>
      <c r="FM190" s="44" t="str">
        <f t="shared" si="3103"/>
        <v/>
      </c>
      <c r="FN190" s="44" t="str">
        <f t="shared" si="3103"/>
        <v/>
      </c>
      <c r="FO190" s="44" t="str">
        <f t="shared" si="3103"/>
        <v/>
      </c>
      <c r="FP190" s="44" t="str">
        <f t="shared" si="3103"/>
        <v/>
      </c>
      <c r="FQ190" s="44" t="str">
        <f t="shared" si="3103"/>
        <v/>
      </c>
      <c r="FR190" s="44" t="str">
        <f t="shared" si="3103"/>
        <v/>
      </c>
      <c r="FS190" s="44" t="str">
        <f t="shared" si="3103"/>
        <v/>
      </c>
    </row>
    <row r="191" ht="15" spans="1:175">
      <c r="A191" s="90"/>
      <c r="B191" s="5" t="s">
        <v>634</v>
      </c>
      <c r="C191" s="90" t="s">
        <v>635</v>
      </c>
      <c r="T191" s="90" t="s">
        <v>635</v>
      </c>
      <c r="U191" s="60" t="s">
        <v>636</v>
      </c>
      <c r="CN191" s="13" t="str">
        <f t="shared" si="2864"/>
        <v>InitUnitState('IS03',,,,,,,,,,)</v>
      </c>
      <c r="CO191" s="13" t="str">
        <f t="shared" si="2865"/>
        <v>InitUnitNormal('IS03',,,,,,,,,,)</v>
      </c>
      <c r="CP191" s="13" t="str">
        <f t="shared" si="2866"/>
        <v>InitUnitMagic('IS03',,,,,,,,,,)</v>
      </c>
      <c r="CQ191" s="13" t="str">
        <f t="shared" si="2867"/>
        <v>InitUnitAdd('IS03',,,,,,,,,,)</v>
      </c>
      <c r="CR191" s="13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72" t="str">
        <f t="shared" ref="CU191:CU196" si="3104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6" t="str">
        <f t="shared" ref="CV191:CV196" si="3105">T191</f>
        <v>抽技能E</v>
      </c>
      <c r="CW191" s="7"/>
      <c r="CX191" s="7"/>
      <c r="CY191" s="7"/>
      <c r="CZ191" s="7"/>
      <c r="DA191" s="7"/>
      <c r="DB191" s="44" t="str">
        <f t="shared" ref="DB191:DB196" si="3106">IF(V191="","","|n"&amp;DB$2&amp;"+"&amp;V191&amp;DB$1)</f>
        <v/>
      </c>
      <c r="DC191" s="44" t="str">
        <f t="shared" ref="DC191:DC196" si="3107">IF(W191="","","|n"&amp;DC$2&amp;"+"&amp;W191&amp;DC$1)</f>
        <v/>
      </c>
      <c r="DD191" s="44" t="str">
        <f t="shared" ref="DD191:DD196" si="3108">IF(X191="","","|n"&amp;DD$2&amp;"+"&amp;X191&amp;DD$1)</f>
        <v/>
      </c>
      <c r="DE191" s="44" t="str">
        <f t="shared" ref="DE191:DE196" si="3109">IF(Y191="","","|n"&amp;DE$2&amp;"+"&amp;Y191&amp;DE$1)</f>
        <v/>
      </c>
      <c r="DF191" s="44" t="str">
        <f t="shared" ref="DF191:DF196" si="3110">IF(Z191="","","|n"&amp;DF$2&amp;"+"&amp;Z191&amp;DF$1)</f>
        <v/>
      </c>
      <c r="DG191" s="44" t="str">
        <f t="shared" ref="DG191:DG196" si="3111">IF(AA191="","","|n"&amp;DG$2&amp;"+"&amp;AA191&amp;DG$1)</f>
        <v/>
      </c>
      <c r="DH191" s="44" t="str">
        <f t="shared" ref="DH191:DH196" si="3112">IF(AB191="","","|n"&amp;DH$2&amp;"+"&amp;AB191&amp;DH$1)</f>
        <v/>
      </c>
      <c r="DI191" s="44" t="str">
        <f t="shared" ref="DI191:DI196" si="3113">IF(AC191="","","|n"&amp;DI$2&amp;"+"&amp;AC191&amp;DI$1)</f>
        <v/>
      </c>
      <c r="DJ191" s="44" t="str">
        <f t="shared" ref="DJ191:DJ196" si="3114">IF(AD191="","","|n"&amp;DJ$2&amp;"+"&amp;AD191&amp;DJ$1)</f>
        <v/>
      </c>
      <c r="DK191" s="44" t="str">
        <f t="shared" ref="DK191:DK196" si="3115">IF(AE191="","","|n"&amp;DK$2&amp;"+"&amp;AE191&amp;DK$1)</f>
        <v/>
      </c>
      <c r="DL191" s="44" t="str">
        <f t="shared" ref="DL191:DL196" si="3116">IF(AF191="","","|n"&amp;DL$2&amp;"+"&amp;AF191&amp;DL$1)</f>
        <v/>
      </c>
      <c r="DM191" s="44" t="str">
        <f t="shared" ref="DM191:DM196" si="3117">IF(AG191="","","|n"&amp;DM$2&amp;"+"&amp;AG191&amp;DM$1)</f>
        <v/>
      </c>
      <c r="DN191" s="44" t="str">
        <f t="shared" ref="DN191:DN196" si="3118">IF(AH191="","","|n"&amp;DN$2&amp;"+"&amp;AH191&amp;DN$1)</f>
        <v/>
      </c>
      <c r="DO191" s="44" t="str">
        <f t="shared" ref="DO191:DO196" si="3119">IF(AI191="","","|n"&amp;DO$2&amp;"+"&amp;AI191&amp;DO$1)</f>
        <v/>
      </c>
      <c r="DP191" s="44" t="str">
        <f t="shared" ref="DP191:DP196" si="3120">IF(AJ191="","","|n"&amp;DP$2&amp;"+"&amp;AJ191&amp;DP$1)</f>
        <v/>
      </c>
      <c r="DQ191" s="44" t="str">
        <f t="shared" ref="DQ191:DQ196" si="3121">IF(AK191="","","|n"&amp;DQ$2&amp;"+"&amp;AK191&amp;DQ$1)</f>
        <v/>
      </c>
      <c r="DR191" s="44" t="str">
        <f t="shared" ref="DR191:DR196" si="3122">IF(AL191="","","|n"&amp;DR$2&amp;"+"&amp;AL191&amp;DR$1)</f>
        <v/>
      </c>
      <c r="DS191" s="44" t="str">
        <f t="shared" ref="DS191:DS196" si="3123">IF(AM191="","","|n"&amp;DS$2&amp;"+"&amp;AM191&amp;DS$1)</f>
        <v/>
      </c>
      <c r="DT191" s="44" t="str">
        <f t="shared" ref="DT191:DT196" si="3124">IF(AN191="","","|n"&amp;DT$2&amp;"+"&amp;AN191&amp;DT$1)</f>
        <v/>
      </c>
      <c r="DU191" s="44" t="str">
        <f t="shared" ref="DU191:DU196" si="3125">IF(AO191="","","|n"&amp;DU$2&amp;"+"&amp;AO191&amp;DU$1)</f>
        <v/>
      </c>
      <c r="DV191" s="44" t="str">
        <f t="shared" ref="DV191:DV196" si="3126">IF(AP191="","","|n"&amp;DV$2&amp;"+"&amp;AP191&amp;DV$1)</f>
        <v/>
      </c>
      <c r="DW191" s="44" t="str">
        <f t="shared" ref="DW191:DW196" si="3127">IF(AQ191="","","|n"&amp;DW$2&amp;"+"&amp;AQ191&amp;DW$1)</f>
        <v/>
      </c>
      <c r="DX191" s="44" t="str">
        <f t="shared" ref="DX191:DX196" si="3128">IF(AR191="","","|n"&amp;DX$2&amp;"+"&amp;AR191&amp;DX$1)</f>
        <v/>
      </c>
      <c r="DY191" s="44" t="str">
        <f t="shared" ref="DY191:DY196" si="3129">IF(AS191="","","|n"&amp;DY$2&amp;"+"&amp;AS191&amp;DY$1)</f>
        <v/>
      </c>
      <c r="DZ191" s="44" t="str">
        <f t="shared" ref="DZ191:DZ196" si="3130">IF(AT191="","","|n"&amp;DZ$2&amp;"+"&amp;AT191&amp;DZ$1)</f>
        <v/>
      </c>
      <c r="EA191" s="44" t="str">
        <f t="shared" ref="EA191:EA196" si="3131">IF(AU191="","","|n"&amp;EA$2&amp;"+"&amp;AU191&amp;EA$1)</f>
        <v/>
      </c>
      <c r="EB191" s="44" t="str">
        <f t="shared" ref="EB191:EB196" si="3132">IF(AV191="","","|n"&amp;EB$2&amp;"+"&amp;AV191&amp;EB$1)</f>
        <v/>
      </c>
      <c r="EC191" s="44" t="str">
        <f t="shared" ref="EC191:EC196" si="3133">IF(AW191="","","|n"&amp;EC$2&amp;"+"&amp;AW191&amp;EC$1)</f>
        <v/>
      </c>
      <c r="ED191" s="44" t="str">
        <f t="shared" ref="ED191:ED196" si="3134">IF(AX191="","","|n"&amp;ED$2&amp;"+"&amp;AX191&amp;ED$1)</f>
        <v/>
      </c>
      <c r="EE191" s="44" t="str">
        <f t="shared" ref="EE191:EE196" si="3135">IF(AY191="","","|n"&amp;EE$2&amp;"+"&amp;AY191&amp;EE$1)</f>
        <v/>
      </c>
      <c r="EF191" s="44" t="str">
        <f t="shared" ref="EF191:EF196" si="3136">IF(AZ191="","","|n"&amp;EF$2&amp;"+"&amp;AZ191&amp;EF$1)</f>
        <v/>
      </c>
      <c r="EG191" s="44" t="str">
        <f t="shared" ref="EG191:EG196" si="3137">IF(BA191="","","|n"&amp;EG$2&amp;"+"&amp;BA191&amp;EG$1)</f>
        <v/>
      </c>
      <c r="EH191" s="44" t="str">
        <f t="shared" ref="EH191:EH196" si="3138">IF(BB191="","","|n"&amp;EH$2&amp;"+"&amp;BB191&amp;EH$1)</f>
        <v/>
      </c>
      <c r="EI191" s="44" t="str">
        <f t="shared" ref="EI191:EI196" si="3139">IF(BC191="","","|n"&amp;EI$2&amp;"+"&amp;BC191&amp;EI$1)</f>
        <v/>
      </c>
      <c r="EJ191" s="44" t="str">
        <f t="shared" ref="EJ191:EJ196" si="3140">IF(BD191="","","|n"&amp;EJ$2&amp;"+"&amp;BD191&amp;EJ$1)</f>
        <v/>
      </c>
      <c r="EK191" s="44" t="str">
        <f t="shared" ref="EK191:EK196" si="3141">IF(BE191="","","|n"&amp;EK$2&amp;"+"&amp;BE191&amp;EK$1)</f>
        <v/>
      </c>
      <c r="EL191" s="44" t="str">
        <f t="shared" ref="EL191:EL196" si="3142">IF(BF191="","","|n"&amp;EL$2&amp;"+"&amp;BF191&amp;EL$1)</f>
        <v/>
      </c>
      <c r="EM191" s="44" t="str">
        <f t="shared" ref="EM191:EM196" si="3143">IF(BG191="","","|n"&amp;EM$2&amp;"+"&amp;BG191&amp;EM$1)</f>
        <v/>
      </c>
      <c r="EN191" s="44" t="str">
        <f t="shared" ref="EN191:EN196" si="3144">IF(BH191="","","|n"&amp;EN$2&amp;"+"&amp;BH191&amp;EN$1)</f>
        <v/>
      </c>
      <c r="EO191" s="44" t="str">
        <f t="shared" ref="EO191:EO196" si="3145">IF(BI191="","","|n"&amp;EO$2&amp;"+"&amp;BI191&amp;EO$1)</f>
        <v/>
      </c>
      <c r="EP191" s="44" t="str">
        <f t="shared" ref="EP191:EP196" si="3146">IF(BJ191="","","|n"&amp;EP$2&amp;"+"&amp;BJ191&amp;EP$1)</f>
        <v/>
      </c>
      <c r="EQ191" s="44" t="str">
        <f t="shared" ref="EQ191:EQ196" si="3147">IF(BK191="","","|n"&amp;EQ$2&amp;"+"&amp;BK191&amp;EQ$1)</f>
        <v/>
      </c>
      <c r="ER191" s="44" t="str">
        <f t="shared" ref="ER191:ER196" si="3148">IF(BL191="","","|n"&amp;ER$2&amp;"+"&amp;BL191&amp;ER$1)</f>
        <v/>
      </c>
      <c r="ES191" s="44" t="str">
        <f t="shared" ref="ES191:ES196" si="3149">IF(BM191="","","|n"&amp;ES$2&amp;"+"&amp;BM191&amp;ES$1)</f>
        <v/>
      </c>
      <c r="ET191" s="44" t="str">
        <f t="shared" ref="ET191:ET196" si="3150">IF(BN191="","","|n"&amp;ET$2&amp;"+"&amp;BN191&amp;ET$1)</f>
        <v/>
      </c>
      <c r="EU191" s="44" t="str">
        <f t="shared" ref="EU191:EU196" si="3151">IF(BO191="","","|n"&amp;EU$2&amp;"+"&amp;BO191&amp;EU$1)</f>
        <v/>
      </c>
      <c r="EV191" s="44" t="str">
        <f t="shared" ref="EV191:EV196" si="3152">IF(BP191="","","|n"&amp;EV$2&amp;"+"&amp;BP191&amp;EV$1)</f>
        <v/>
      </c>
      <c r="EW191" s="44" t="str">
        <f t="shared" ref="EW191:EW196" si="3153">IF(BQ191="","","|n"&amp;EW$2&amp;"+"&amp;BQ191&amp;EW$1)</f>
        <v/>
      </c>
      <c r="EX191" s="44" t="str">
        <f t="shared" ref="EX191:EX196" si="3154">IF(BR191="","","|n"&amp;EX$2&amp;"+"&amp;BR191&amp;EX$1)</f>
        <v/>
      </c>
      <c r="EY191" s="44" t="str">
        <f t="shared" ref="EY191:EY196" si="3155">IF(BS191="","","|n"&amp;EY$2&amp;"+"&amp;BS191&amp;EY$1)</f>
        <v/>
      </c>
      <c r="EZ191" s="44" t="str">
        <f t="shared" ref="EZ191:EZ196" si="3156">IF(BT191="","","|n"&amp;EZ$2&amp;"+"&amp;BT191&amp;EZ$1)</f>
        <v/>
      </c>
      <c r="FA191" s="44" t="str">
        <f t="shared" ref="FA191:FA196" si="3157">IF(BU191="","","|n"&amp;FA$2&amp;"+"&amp;BU191&amp;FA$1)</f>
        <v/>
      </c>
      <c r="FB191" s="44" t="str">
        <f t="shared" ref="FB191:FB196" si="3158">IF(BV191="","","|n"&amp;FB$2&amp;"+"&amp;BV191&amp;FB$1)</f>
        <v/>
      </c>
      <c r="FC191" s="44" t="str">
        <f t="shared" ref="FC191:FC196" si="3159">IF(BW191="","","|n"&amp;FC$2&amp;"+"&amp;BW191&amp;FC$1)</f>
        <v/>
      </c>
      <c r="FD191" s="44" t="str">
        <f t="shared" ref="FD191:FD196" si="3160">IF(BX191="","","|n"&amp;FD$2&amp;"+"&amp;BX191&amp;FD$1)</f>
        <v/>
      </c>
      <c r="FE191" s="44" t="str">
        <f t="shared" ref="FE191:FE196" si="3161">IF(BY191="","","|n"&amp;FE$2&amp;"+"&amp;BY191&amp;FE$1)</f>
        <v/>
      </c>
      <c r="FF191" s="44" t="str">
        <f t="shared" ref="FF191:FF196" si="3162">IF(BZ191="","","|n"&amp;FF$2&amp;"+"&amp;BZ191&amp;FF$1)</f>
        <v/>
      </c>
      <c r="FG191" s="44" t="str">
        <f t="shared" ref="FG191:FG196" si="3163">IF(CA191="","","|n"&amp;FG$2&amp;"+"&amp;CA191&amp;FG$1)</f>
        <v/>
      </c>
      <c r="FH191" s="44" t="str">
        <f t="shared" ref="FH191:FH196" si="3164">IF(CB191="","","|n"&amp;FH$2&amp;"+"&amp;CB191&amp;FH$1)</f>
        <v/>
      </c>
      <c r="FI191" s="44" t="str">
        <f t="shared" ref="FI191:FI196" si="3165">IF(CC191="","","|n"&amp;FI$2&amp;"+"&amp;CC191&amp;FI$1)</f>
        <v/>
      </c>
      <c r="FJ191" s="44" t="str">
        <f t="shared" ref="FJ191:FJ196" si="3166">IF(CD191="","","|n"&amp;FJ$2&amp;"+"&amp;CD191&amp;FJ$1)</f>
        <v/>
      </c>
      <c r="FK191" s="44" t="str">
        <f t="shared" ref="FK191:FK196" si="3167">IF(CE191="","","|n"&amp;FK$2&amp;"+"&amp;CE191&amp;FK$1)</f>
        <v/>
      </c>
      <c r="FL191" s="44" t="str">
        <f t="shared" ref="FL191:FL196" si="3168">IF(CF191="","","|n"&amp;FL$2&amp;"+"&amp;CF191&amp;FL$1)</f>
        <v/>
      </c>
      <c r="FM191" s="44" t="str">
        <f t="shared" ref="FM191:FM196" si="3169">IF(CG191="","","|n"&amp;FM$2&amp;"+"&amp;CG191&amp;FM$1)</f>
        <v/>
      </c>
      <c r="FN191" s="44" t="str">
        <f t="shared" ref="FN191:FN196" si="3170">IF(CH191="","","|n"&amp;FN$2&amp;"+"&amp;CH191&amp;FN$1)</f>
        <v/>
      </c>
      <c r="FO191" s="44" t="str">
        <f t="shared" ref="FO191:FO196" si="3171">IF(CI191="","","|n"&amp;FO$2&amp;"+"&amp;CI191&amp;FO$1)</f>
        <v/>
      </c>
      <c r="FP191" s="44" t="str">
        <f t="shared" ref="FP191:FP196" si="3172">IF(CJ191="","","|n"&amp;FP$2&amp;"+"&amp;CJ191&amp;FP$1)</f>
        <v/>
      </c>
      <c r="FQ191" s="44" t="str">
        <f t="shared" ref="FQ191:FQ196" si="3173">IF(CK191="","","|n"&amp;FQ$2&amp;"+"&amp;CK191&amp;FQ$1)</f>
        <v/>
      </c>
      <c r="FR191" s="44" t="str">
        <f t="shared" ref="FR191:FR196" si="3174">IF(CL191="","","|n"&amp;FR$2&amp;"+"&amp;CL191&amp;FR$1)</f>
        <v/>
      </c>
      <c r="FS191" s="44" t="str">
        <f t="shared" ref="FS191:FS196" si="3175">IF(CM191="","","|n"&amp;FS$2&amp;"+"&amp;CM191&amp;FS$1)</f>
        <v/>
      </c>
    </row>
    <row r="192" ht="15" spans="1:175">
      <c r="A192" s="90"/>
      <c r="B192" s="5" t="s">
        <v>637</v>
      </c>
      <c r="C192" s="90" t="s">
        <v>638</v>
      </c>
      <c r="T192" s="90" t="s">
        <v>638</v>
      </c>
      <c r="U192" s="60" t="s">
        <v>639</v>
      </c>
      <c r="CN192" s="13" t="str">
        <f t="shared" si="2864"/>
        <v>InitUnitState('IS21',,,,,,,,,,)</v>
      </c>
      <c r="CO192" s="13" t="str">
        <f t="shared" si="2865"/>
        <v>InitUnitNormal('IS21',,,,,,,,,,)</v>
      </c>
      <c r="CP192" s="13" t="str">
        <f t="shared" si="2866"/>
        <v>InitUnitMagic('IS21',,,,,,,,,,)</v>
      </c>
      <c r="CQ192" s="13" t="str">
        <f t="shared" si="2867"/>
        <v>InitUnitAdd('IS21',,,,,,,,,,)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72" t="str">
        <f t="shared" si="3104"/>
        <v>|n</v>
      </c>
      <c r="CV192" s="6" t="str">
        <f t="shared" si="3105"/>
        <v>Q附魔</v>
      </c>
      <c r="CW192" s="7"/>
      <c r="CX192" s="7"/>
      <c r="CY192" s="7"/>
      <c r="CZ192" s="7"/>
      <c r="DA192" s="7"/>
      <c r="DB192" s="44" t="str">
        <f t="shared" si="3106"/>
        <v/>
      </c>
      <c r="DC192" s="44" t="str">
        <f t="shared" si="3107"/>
        <v/>
      </c>
      <c r="DD192" s="44" t="str">
        <f t="shared" si="3108"/>
        <v/>
      </c>
      <c r="DE192" s="44" t="str">
        <f t="shared" si="3109"/>
        <v/>
      </c>
      <c r="DF192" s="44" t="str">
        <f t="shared" si="3110"/>
        <v/>
      </c>
      <c r="DG192" s="44" t="str">
        <f t="shared" si="3111"/>
        <v/>
      </c>
      <c r="DH192" s="44" t="str">
        <f t="shared" si="3112"/>
        <v/>
      </c>
      <c r="DI192" s="44" t="str">
        <f t="shared" si="3113"/>
        <v/>
      </c>
      <c r="DJ192" s="44" t="str">
        <f t="shared" si="3114"/>
        <v/>
      </c>
      <c r="DK192" s="44" t="str">
        <f t="shared" si="3115"/>
        <v/>
      </c>
      <c r="DL192" s="44" t="str">
        <f t="shared" si="3116"/>
        <v/>
      </c>
      <c r="DM192" s="44" t="str">
        <f t="shared" si="3117"/>
        <v/>
      </c>
      <c r="DN192" s="44" t="str">
        <f t="shared" si="3118"/>
        <v/>
      </c>
      <c r="DO192" s="44" t="str">
        <f t="shared" si="3119"/>
        <v/>
      </c>
      <c r="DP192" s="44" t="str">
        <f t="shared" si="3120"/>
        <v/>
      </c>
      <c r="DQ192" s="44" t="str">
        <f t="shared" si="3121"/>
        <v/>
      </c>
      <c r="DR192" s="44" t="str">
        <f t="shared" si="3122"/>
        <v/>
      </c>
      <c r="DS192" s="44" t="str">
        <f t="shared" si="3123"/>
        <v/>
      </c>
      <c r="DT192" s="44" t="str">
        <f t="shared" si="3124"/>
        <v/>
      </c>
      <c r="DU192" s="44" t="str">
        <f t="shared" si="3125"/>
        <v/>
      </c>
      <c r="DV192" s="44" t="str">
        <f t="shared" si="3126"/>
        <v/>
      </c>
      <c r="DW192" s="44" t="str">
        <f t="shared" si="3127"/>
        <v/>
      </c>
      <c r="DX192" s="44" t="str">
        <f t="shared" si="3128"/>
        <v/>
      </c>
      <c r="DY192" s="44" t="str">
        <f t="shared" si="3129"/>
        <v/>
      </c>
      <c r="DZ192" s="44" t="str">
        <f t="shared" si="3130"/>
        <v/>
      </c>
      <c r="EA192" s="44" t="str">
        <f t="shared" si="3131"/>
        <v/>
      </c>
      <c r="EB192" s="44" t="str">
        <f t="shared" si="3132"/>
        <v/>
      </c>
      <c r="EC192" s="44" t="str">
        <f t="shared" si="3133"/>
        <v/>
      </c>
      <c r="ED192" s="44" t="str">
        <f t="shared" si="3134"/>
        <v/>
      </c>
      <c r="EE192" s="44" t="str">
        <f t="shared" si="3135"/>
        <v/>
      </c>
      <c r="EF192" s="44" t="str">
        <f t="shared" si="3136"/>
        <v/>
      </c>
      <c r="EG192" s="44" t="str">
        <f t="shared" si="3137"/>
        <v/>
      </c>
      <c r="EH192" s="44" t="str">
        <f t="shared" si="3138"/>
        <v/>
      </c>
      <c r="EI192" s="44" t="str">
        <f t="shared" si="3139"/>
        <v/>
      </c>
      <c r="EJ192" s="44" t="str">
        <f t="shared" si="3140"/>
        <v/>
      </c>
      <c r="EK192" s="44" t="str">
        <f t="shared" si="3141"/>
        <v/>
      </c>
      <c r="EL192" s="44" t="str">
        <f t="shared" si="3142"/>
        <v/>
      </c>
      <c r="EM192" s="44" t="str">
        <f t="shared" si="3143"/>
        <v/>
      </c>
      <c r="EN192" s="44" t="str">
        <f t="shared" si="3144"/>
        <v/>
      </c>
      <c r="EO192" s="44" t="str">
        <f t="shared" si="3145"/>
        <v/>
      </c>
      <c r="EP192" s="44" t="str">
        <f t="shared" si="3146"/>
        <v/>
      </c>
      <c r="EQ192" s="44" t="str">
        <f t="shared" si="3147"/>
        <v/>
      </c>
      <c r="ER192" s="44" t="str">
        <f t="shared" si="3148"/>
        <v/>
      </c>
      <c r="ES192" s="44" t="str">
        <f t="shared" si="3149"/>
        <v/>
      </c>
      <c r="ET192" s="44" t="str">
        <f t="shared" si="3150"/>
        <v/>
      </c>
      <c r="EU192" s="44" t="str">
        <f t="shared" si="3151"/>
        <v/>
      </c>
      <c r="EV192" s="44" t="str">
        <f t="shared" si="3152"/>
        <v/>
      </c>
      <c r="EW192" s="44" t="str">
        <f t="shared" si="3153"/>
        <v/>
      </c>
      <c r="EX192" s="44" t="str">
        <f t="shared" si="3154"/>
        <v/>
      </c>
      <c r="EY192" s="44" t="str">
        <f t="shared" si="3155"/>
        <v/>
      </c>
      <c r="EZ192" s="44" t="str">
        <f t="shared" si="3156"/>
        <v/>
      </c>
      <c r="FA192" s="44" t="str">
        <f t="shared" si="3157"/>
        <v/>
      </c>
      <c r="FB192" s="44" t="str">
        <f t="shared" si="3158"/>
        <v/>
      </c>
      <c r="FC192" s="44" t="str">
        <f t="shared" si="3159"/>
        <v/>
      </c>
      <c r="FD192" s="44" t="str">
        <f t="shared" si="3160"/>
        <v/>
      </c>
      <c r="FE192" s="44" t="str">
        <f t="shared" si="3161"/>
        <v/>
      </c>
      <c r="FF192" s="44" t="str">
        <f t="shared" si="3162"/>
        <v/>
      </c>
      <c r="FG192" s="44" t="str">
        <f t="shared" si="3163"/>
        <v/>
      </c>
      <c r="FH192" s="44" t="str">
        <f t="shared" si="3164"/>
        <v/>
      </c>
      <c r="FI192" s="44" t="str">
        <f t="shared" si="3165"/>
        <v/>
      </c>
      <c r="FJ192" s="44" t="str">
        <f t="shared" si="3166"/>
        <v/>
      </c>
      <c r="FK192" s="44" t="str">
        <f t="shared" si="3167"/>
        <v/>
      </c>
      <c r="FL192" s="44" t="str">
        <f t="shared" si="3168"/>
        <v/>
      </c>
      <c r="FM192" s="44" t="str">
        <f t="shared" si="3169"/>
        <v/>
      </c>
      <c r="FN192" s="44" t="str">
        <f t="shared" si="3170"/>
        <v/>
      </c>
      <c r="FO192" s="44" t="str">
        <f t="shared" si="3171"/>
        <v/>
      </c>
      <c r="FP192" s="44" t="str">
        <f t="shared" si="3172"/>
        <v/>
      </c>
      <c r="FQ192" s="44" t="str">
        <f t="shared" si="3173"/>
        <v/>
      </c>
      <c r="FR192" s="44" t="str">
        <f t="shared" si="3174"/>
        <v/>
      </c>
      <c r="FS192" s="44" t="str">
        <f t="shared" si="3175"/>
        <v/>
      </c>
    </row>
    <row r="193" ht="15" spans="1:175">
      <c r="A193" s="90"/>
      <c r="B193" s="5" t="s">
        <v>640</v>
      </c>
      <c r="C193" s="90" t="s">
        <v>641</v>
      </c>
      <c r="T193" s="90" t="s">
        <v>641</v>
      </c>
      <c r="U193" s="60" t="s">
        <v>642</v>
      </c>
      <c r="CN193" s="13" t="str">
        <f t="shared" si="2864"/>
        <v>InitUnitState('IS22',,,,,,,,,,)</v>
      </c>
      <c r="CO193" s="13" t="str">
        <f t="shared" si="2865"/>
        <v>InitUnitNormal('IS22',,,,,,,,,,)</v>
      </c>
      <c r="CP193" s="13" t="str">
        <f t="shared" si="2866"/>
        <v>InitUnitMagic('IS22',,,,,,,,,,)</v>
      </c>
      <c r="CQ193" s="13" t="str">
        <f t="shared" si="2867"/>
        <v>InitUnitAdd('IS22',,,,,,,,,,)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72" t="str">
        <f t="shared" si="3104"/>
        <v>|n</v>
      </c>
      <c r="CV193" s="6" t="str">
        <f t="shared" si="3105"/>
        <v>W附魔</v>
      </c>
      <c r="CW193" s="7"/>
      <c r="CX193" s="7"/>
      <c r="CY193" s="7"/>
      <c r="CZ193" s="7"/>
      <c r="DA193" s="7"/>
      <c r="DB193" s="44" t="str">
        <f t="shared" si="3106"/>
        <v/>
      </c>
      <c r="DC193" s="44" t="str">
        <f t="shared" si="3107"/>
        <v/>
      </c>
      <c r="DD193" s="44" t="str">
        <f t="shared" si="3108"/>
        <v/>
      </c>
      <c r="DE193" s="44" t="str">
        <f t="shared" si="3109"/>
        <v/>
      </c>
      <c r="DF193" s="44" t="str">
        <f t="shared" si="3110"/>
        <v/>
      </c>
      <c r="DG193" s="44" t="str">
        <f t="shared" si="3111"/>
        <v/>
      </c>
      <c r="DH193" s="44" t="str">
        <f t="shared" si="3112"/>
        <v/>
      </c>
      <c r="DI193" s="44" t="str">
        <f t="shared" si="3113"/>
        <v/>
      </c>
      <c r="DJ193" s="44" t="str">
        <f t="shared" si="3114"/>
        <v/>
      </c>
      <c r="DK193" s="44" t="str">
        <f t="shared" si="3115"/>
        <v/>
      </c>
      <c r="DL193" s="44" t="str">
        <f t="shared" si="3116"/>
        <v/>
      </c>
      <c r="DM193" s="44" t="str">
        <f t="shared" si="3117"/>
        <v/>
      </c>
      <c r="DN193" s="44" t="str">
        <f t="shared" si="3118"/>
        <v/>
      </c>
      <c r="DO193" s="44" t="str">
        <f t="shared" si="3119"/>
        <v/>
      </c>
      <c r="DP193" s="44" t="str">
        <f t="shared" si="3120"/>
        <v/>
      </c>
      <c r="DQ193" s="44" t="str">
        <f t="shared" si="3121"/>
        <v/>
      </c>
      <c r="DR193" s="44" t="str">
        <f t="shared" si="3122"/>
        <v/>
      </c>
      <c r="DS193" s="44" t="str">
        <f t="shared" si="3123"/>
        <v/>
      </c>
      <c r="DT193" s="44" t="str">
        <f t="shared" si="3124"/>
        <v/>
      </c>
      <c r="DU193" s="44" t="str">
        <f t="shared" si="3125"/>
        <v/>
      </c>
      <c r="DV193" s="44" t="str">
        <f t="shared" si="3126"/>
        <v/>
      </c>
      <c r="DW193" s="44" t="str">
        <f t="shared" si="3127"/>
        <v/>
      </c>
      <c r="DX193" s="44" t="str">
        <f t="shared" si="3128"/>
        <v/>
      </c>
      <c r="DY193" s="44" t="str">
        <f t="shared" si="3129"/>
        <v/>
      </c>
      <c r="DZ193" s="44" t="str">
        <f t="shared" si="3130"/>
        <v/>
      </c>
      <c r="EA193" s="44" t="str">
        <f t="shared" si="3131"/>
        <v/>
      </c>
      <c r="EB193" s="44" t="str">
        <f t="shared" si="3132"/>
        <v/>
      </c>
      <c r="EC193" s="44" t="str">
        <f t="shared" si="3133"/>
        <v/>
      </c>
      <c r="ED193" s="44" t="str">
        <f t="shared" si="3134"/>
        <v/>
      </c>
      <c r="EE193" s="44" t="str">
        <f t="shared" si="3135"/>
        <v/>
      </c>
      <c r="EF193" s="44" t="str">
        <f t="shared" si="3136"/>
        <v/>
      </c>
      <c r="EG193" s="44" t="str">
        <f t="shared" si="3137"/>
        <v/>
      </c>
      <c r="EH193" s="44" t="str">
        <f t="shared" si="3138"/>
        <v/>
      </c>
      <c r="EI193" s="44" t="str">
        <f t="shared" si="3139"/>
        <v/>
      </c>
      <c r="EJ193" s="44" t="str">
        <f t="shared" si="3140"/>
        <v/>
      </c>
      <c r="EK193" s="44" t="str">
        <f t="shared" si="3141"/>
        <v/>
      </c>
      <c r="EL193" s="44" t="str">
        <f t="shared" si="3142"/>
        <v/>
      </c>
      <c r="EM193" s="44" t="str">
        <f t="shared" si="3143"/>
        <v/>
      </c>
      <c r="EN193" s="44" t="str">
        <f t="shared" si="3144"/>
        <v/>
      </c>
      <c r="EO193" s="44" t="str">
        <f t="shared" si="3145"/>
        <v/>
      </c>
      <c r="EP193" s="44" t="str">
        <f t="shared" si="3146"/>
        <v/>
      </c>
      <c r="EQ193" s="44" t="str">
        <f t="shared" si="3147"/>
        <v/>
      </c>
      <c r="ER193" s="44" t="str">
        <f t="shared" si="3148"/>
        <v/>
      </c>
      <c r="ES193" s="44" t="str">
        <f t="shared" si="3149"/>
        <v/>
      </c>
      <c r="ET193" s="44" t="str">
        <f t="shared" si="3150"/>
        <v/>
      </c>
      <c r="EU193" s="44" t="str">
        <f t="shared" si="3151"/>
        <v/>
      </c>
      <c r="EV193" s="44" t="str">
        <f t="shared" si="3152"/>
        <v/>
      </c>
      <c r="EW193" s="44" t="str">
        <f t="shared" si="3153"/>
        <v/>
      </c>
      <c r="EX193" s="44" t="str">
        <f t="shared" si="3154"/>
        <v/>
      </c>
      <c r="EY193" s="44" t="str">
        <f t="shared" si="3155"/>
        <v/>
      </c>
      <c r="EZ193" s="44" t="str">
        <f t="shared" si="3156"/>
        <v/>
      </c>
      <c r="FA193" s="44" t="str">
        <f t="shared" si="3157"/>
        <v/>
      </c>
      <c r="FB193" s="44" t="str">
        <f t="shared" si="3158"/>
        <v/>
      </c>
      <c r="FC193" s="44" t="str">
        <f t="shared" si="3159"/>
        <v/>
      </c>
      <c r="FD193" s="44" t="str">
        <f t="shared" si="3160"/>
        <v/>
      </c>
      <c r="FE193" s="44" t="str">
        <f t="shared" si="3161"/>
        <v/>
      </c>
      <c r="FF193" s="44" t="str">
        <f t="shared" si="3162"/>
        <v/>
      </c>
      <c r="FG193" s="44" t="str">
        <f t="shared" si="3163"/>
        <v/>
      </c>
      <c r="FH193" s="44" t="str">
        <f t="shared" si="3164"/>
        <v/>
      </c>
      <c r="FI193" s="44" t="str">
        <f t="shared" si="3165"/>
        <v/>
      </c>
      <c r="FJ193" s="44" t="str">
        <f t="shared" si="3166"/>
        <v/>
      </c>
      <c r="FK193" s="44" t="str">
        <f t="shared" si="3167"/>
        <v/>
      </c>
      <c r="FL193" s="44" t="str">
        <f t="shared" si="3168"/>
        <v/>
      </c>
      <c r="FM193" s="44" t="str">
        <f t="shared" si="3169"/>
        <v/>
      </c>
      <c r="FN193" s="44" t="str">
        <f t="shared" si="3170"/>
        <v/>
      </c>
      <c r="FO193" s="44" t="str">
        <f t="shared" si="3171"/>
        <v/>
      </c>
      <c r="FP193" s="44" t="str">
        <f t="shared" si="3172"/>
        <v/>
      </c>
      <c r="FQ193" s="44" t="str">
        <f t="shared" si="3173"/>
        <v/>
      </c>
      <c r="FR193" s="44" t="str">
        <f t="shared" si="3174"/>
        <v/>
      </c>
      <c r="FS193" s="44" t="str">
        <f t="shared" si="3175"/>
        <v/>
      </c>
    </row>
    <row r="194" ht="15" spans="1:175">
      <c r="A194" s="90"/>
      <c r="B194" s="5" t="s">
        <v>643</v>
      </c>
      <c r="C194" s="90" t="s">
        <v>644</v>
      </c>
      <c r="T194" s="90" t="s">
        <v>644</v>
      </c>
      <c r="U194" s="60" t="s">
        <v>645</v>
      </c>
      <c r="CN194" s="13" t="str">
        <f t="shared" si="2864"/>
        <v>InitUnitState('IS23',,,,,,,,,,)</v>
      </c>
      <c r="CO194" s="13" t="str">
        <f t="shared" si="2865"/>
        <v>InitUnitNormal('IS23',,,,,,,,,,)</v>
      </c>
      <c r="CP194" s="13" t="str">
        <f t="shared" si="2866"/>
        <v>InitUnitMagic('IS23',,,,,,,,,,)</v>
      </c>
      <c r="CQ194" s="13" t="str">
        <f t="shared" si="2867"/>
        <v>InitUnitAdd('IS23',,,,,,,,,,)</v>
      </c>
      <c r="CR194" s="13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72" t="str">
        <f t="shared" ref="CU194" si="3176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" t="str">
        <f t="shared" ref="CV194" si="3177">T194</f>
        <v>E附魔</v>
      </c>
      <c r="CW194" s="7"/>
      <c r="CX194" s="7"/>
      <c r="CY194" s="7"/>
      <c r="CZ194" s="7"/>
      <c r="DA194" s="7"/>
      <c r="DB194" s="44" t="str">
        <f t="shared" ref="DB194" si="3178">IF(V194="","","|n"&amp;DB$2&amp;"+"&amp;V194&amp;DB$1)</f>
        <v/>
      </c>
      <c r="DC194" s="44" t="str">
        <f t="shared" ref="DC194" si="3179">IF(W194="","","|n"&amp;DC$2&amp;"+"&amp;W194&amp;DC$1)</f>
        <v/>
      </c>
      <c r="DD194" s="44" t="str">
        <f t="shared" ref="DD194" si="3180">IF(X194="","","|n"&amp;DD$2&amp;"+"&amp;X194&amp;DD$1)</f>
        <v/>
      </c>
      <c r="DE194" s="44" t="str">
        <f t="shared" ref="DE194" si="3181">IF(Y194="","","|n"&amp;DE$2&amp;"+"&amp;Y194&amp;DE$1)</f>
        <v/>
      </c>
      <c r="DF194" s="44" t="str">
        <f t="shared" ref="DF194" si="3182">IF(Z194="","","|n"&amp;DF$2&amp;"+"&amp;Z194&amp;DF$1)</f>
        <v/>
      </c>
      <c r="DG194" s="44" t="str">
        <f t="shared" ref="DG194" si="3183">IF(AA194="","","|n"&amp;DG$2&amp;"+"&amp;AA194&amp;DG$1)</f>
        <v/>
      </c>
      <c r="DH194" s="44" t="str">
        <f t="shared" ref="DH194" si="3184">IF(AB194="","","|n"&amp;DH$2&amp;"+"&amp;AB194&amp;DH$1)</f>
        <v/>
      </c>
      <c r="DI194" s="44" t="str">
        <f t="shared" ref="DI194" si="3185">IF(AC194="","","|n"&amp;DI$2&amp;"+"&amp;AC194&amp;DI$1)</f>
        <v/>
      </c>
      <c r="DJ194" s="44" t="str">
        <f t="shared" ref="DJ194" si="3186">IF(AD194="","","|n"&amp;DJ$2&amp;"+"&amp;AD194&amp;DJ$1)</f>
        <v/>
      </c>
      <c r="DK194" s="44" t="str">
        <f t="shared" ref="DK194" si="3187">IF(AE194="","","|n"&amp;DK$2&amp;"+"&amp;AE194&amp;DK$1)</f>
        <v/>
      </c>
      <c r="DL194" s="44" t="str">
        <f t="shared" ref="DL194" si="3188">IF(AF194="","","|n"&amp;DL$2&amp;"+"&amp;AF194&amp;DL$1)</f>
        <v/>
      </c>
      <c r="DM194" s="44" t="str">
        <f t="shared" ref="DM194" si="3189">IF(AG194="","","|n"&amp;DM$2&amp;"+"&amp;AG194&amp;DM$1)</f>
        <v/>
      </c>
      <c r="DN194" s="44" t="str">
        <f t="shared" ref="DN194" si="3190">IF(AH194="","","|n"&amp;DN$2&amp;"+"&amp;AH194&amp;DN$1)</f>
        <v/>
      </c>
      <c r="DO194" s="44" t="str">
        <f t="shared" ref="DO194" si="3191">IF(AI194="","","|n"&amp;DO$2&amp;"+"&amp;AI194&amp;DO$1)</f>
        <v/>
      </c>
      <c r="DP194" s="44" t="str">
        <f t="shared" ref="DP194" si="3192">IF(AJ194="","","|n"&amp;DP$2&amp;"+"&amp;AJ194&amp;DP$1)</f>
        <v/>
      </c>
      <c r="DQ194" s="44" t="str">
        <f t="shared" ref="DQ194" si="3193">IF(AK194="","","|n"&amp;DQ$2&amp;"+"&amp;AK194&amp;DQ$1)</f>
        <v/>
      </c>
      <c r="DR194" s="44" t="str">
        <f t="shared" ref="DR194" si="3194">IF(AL194="","","|n"&amp;DR$2&amp;"+"&amp;AL194&amp;DR$1)</f>
        <v/>
      </c>
      <c r="DS194" s="44" t="str">
        <f t="shared" ref="DS194" si="3195">IF(AM194="","","|n"&amp;DS$2&amp;"+"&amp;AM194&amp;DS$1)</f>
        <v/>
      </c>
      <c r="DT194" s="44" t="str">
        <f t="shared" ref="DT194" si="3196">IF(AN194="","","|n"&amp;DT$2&amp;"+"&amp;AN194&amp;DT$1)</f>
        <v/>
      </c>
      <c r="DU194" s="44" t="str">
        <f t="shared" ref="DU194" si="3197">IF(AO194="","","|n"&amp;DU$2&amp;"+"&amp;AO194&amp;DU$1)</f>
        <v/>
      </c>
      <c r="DV194" s="44" t="str">
        <f t="shared" ref="DV194" si="3198">IF(AP194="","","|n"&amp;DV$2&amp;"+"&amp;AP194&amp;DV$1)</f>
        <v/>
      </c>
      <c r="DW194" s="44" t="str">
        <f t="shared" ref="DW194" si="3199">IF(AQ194="","","|n"&amp;DW$2&amp;"+"&amp;AQ194&amp;DW$1)</f>
        <v/>
      </c>
      <c r="DX194" s="44" t="str">
        <f t="shared" ref="DX194" si="3200">IF(AR194="","","|n"&amp;DX$2&amp;"+"&amp;AR194&amp;DX$1)</f>
        <v/>
      </c>
      <c r="DY194" s="44" t="str">
        <f t="shared" ref="DY194" si="3201">IF(AS194="","","|n"&amp;DY$2&amp;"+"&amp;AS194&amp;DY$1)</f>
        <v/>
      </c>
      <c r="DZ194" s="44" t="str">
        <f t="shared" ref="DZ194" si="3202">IF(AT194="","","|n"&amp;DZ$2&amp;"+"&amp;AT194&amp;DZ$1)</f>
        <v/>
      </c>
      <c r="EA194" s="44" t="str">
        <f t="shared" ref="EA194" si="3203">IF(AU194="","","|n"&amp;EA$2&amp;"+"&amp;AU194&amp;EA$1)</f>
        <v/>
      </c>
      <c r="EB194" s="44" t="str">
        <f t="shared" ref="EB194" si="3204">IF(AV194="","","|n"&amp;EB$2&amp;"+"&amp;AV194&amp;EB$1)</f>
        <v/>
      </c>
      <c r="EC194" s="44" t="str">
        <f t="shared" ref="EC194" si="3205">IF(AW194="","","|n"&amp;EC$2&amp;"+"&amp;AW194&amp;EC$1)</f>
        <v/>
      </c>
      <c r="ED194" s="44" t="str">
        <f t="shared" ref="ED194" si="3206">IF(AX194="","","|n"&amp;ED$2&amp;"+"&amp;AX194&amp;ED$1)</f>
        <v/>
      </c>
      <c r="EE194" s="44" t="str">
        <f t="shared" ref="EE194" si="3207">IF(AY194="","","|n"&amp;EE$2&amp;"+"&amp;AY194&amp;EE$1)</f>
        <v/>
      </c>
      <c r="EF194" s="44" t="str">
        <f t="shared" ref="EF194" si="3208">IF(AZ194="","","|n"&amp;EF$2&amp;"+"&amp;AZ194&amp;EF$1)</f>
        <v/>
      </c>
      <c r="EG194" s="44" t="str">
        <f t="shared" ref="EG194" si="3209">IF(BA194="","","|n"&amp;EG$2&amp;"+"&amp;BA194&amp;EG$1)</f>
        <v/>
      </c>
      <c r="EH194" s="44" t="str">
        <f t="shared" ref="EH194" si="3210">IF(BB194="","","|n"&amp;EH$2&amp;"+"&amp;BB194&amp;EH$1)</f>
        <v/>
      </c>
      <c r="EI194" s="44" t="str">
        <f t="shared" ref="EI194" si="3211">IF(BC194="","","|n"&amp;EI$2&amp;"+"&amp;BC194&amp;EI$1)</f>
        <v/>
      </c>
      <c r="EJ194" s="44" t="str">
        <f t="shared" ref="EJ194" si="3212">IF(BD194="","","|n"&amp;EJ$2&amp;"+"&amp;BD194&amp;EJ$1)</f>
        <v/>
      </c>
      <c r="EK194" s="44" t="str">
        <f t="shared" ref="EK194" si="3213">IF(BE194="","","|n"&amp;EK$2&amp;"+"&amp;BE194&amp;EK$1)</f>
        <v/>
      </c>
      <c r="EL194" s="44" t="str">
        <f t="shared" ref="EL194" si="3214">IF(BF194="","","|n"&amp;EL$2&amp;"+"&amp;BF194&amp;EL$1)</f>
        <v/>
      </c>
      <c r="EM194" s="44" t="str">
        <f t="shared" ref="EM194" si="3215">IF(BG194="","","|n"&amp;EM$2&amp;"+"&amp;BG194&amp;EM$1)</f>
        <v/>
      </c>
      <c r="EN194" s="44" t="str">
        <f t="shared" ref="EN194" si="3216">IF(BH194="","","|n"&amp;EN$2&amp;"+"&amp;BH194&amp;EN$1)</f>
        <v/>
      </c>
      <c r="EO194" s="44" t="str">
        <f t="shared" ref="EO194" si="3217">IF(BI194="","","|n"&amp;EO$2&amp;"+"&amp;BI194&amp;EO$1)</f>
        <v/>
      </c>
      <c r="EP194" s="44" t="str">
        <f t="shared" ref="EP194" si="3218">IF(BJ194="","","|n"&amp;EP$2&amp;"+"&amp;BJ194&amp;EP$1)</f>
        <v/>
      </c>
      <c r="EQ194" s="44" t="str">
        <f t="shared" ref="EQ194" si="3219">IF(BK194="","","|n"&amp;EQ$2&amp;"+"&amp;BK194&amp;EQ$1)</f>
        <v/>
      </c>
      <c r="ER194" s="44" t="str">
        <f t="shared" ref="ER194" si="3220">IF(BL194="","","|n"&amp;ER$2&amp;"+"&amp;BL194&amp;ER$1)</f>
        <v/>
      </c>
      <c r="ES194" s="44" t="str">
        <f t="shared" ref="ES194" si="3221">IF(BM194="","","|n"&amp;ES$2&amp;"+"&amp;BM194&amp;ES$1)</f>
        <v/>
      </c>
      <c r="ET194" s="44" t="str">
        <f t="shared" ref="ET194" si="3222">IF(BN194="","","|n"&amp;ET$2&amp;"+"&amp;BN194&amp;ET$1)</f>
        <v/>
      </c>
      <c r="EU194" s="44" t="str">
        <f t="shared" ref="EU194" si="3223">IF(BO194="","","|n"&amp;EU$2&amp;"+"&amp;BO194&amp;EU$1)</f>
        <v/>
      </c>
      <c r="EV194" s="44" t="str">
        <f t="shared" ref="EV194" si="3224">IF(BP194="","","|n"&amp;EV$2&amp;"+"&amp;BP194&amp;EV$1)</f>
        <v/>
      </c>
      <c r="EW194" s="44" t="str">
        <f t="shared" ref="EW194" si="3225">IF(BQ194="","","|n"&amp;EW$2&amp;"+"&amp;BQ194&amp;EW$1)</f>
        <v/>
      </c>
      <c r="EX194" s="44" t="str">
        <f t="shared" ref="EX194" si="3226">IF(BR194="","","|n"&amp;EX$2&amp;"+"&amp;BR194&amp;EX$1)</f>
        <v/>
      </c>
      <c r="EY194" s="44" t="str">
        <f t="shared" ref="EY194" si="3227">IF(BS194="","","|n"&amp;EY$2&amp;"+"&amp;BS194&amp;EY$1)</f>
        <v/>
      </c>
      <c r="EZ194" s="44" t="str">
        <f t="shared" ref="EZ194" si="3228">IF(BT194="","","|n"&amp;EZ$2&amp;"+"&amp;BT194&amp;EZ$1)</f>
        <v/>
      </c>
      <c r="FA194" s="44" t="str">
        <f t="shared" ref="FA194" si="3229">IF(BU194="","","|n"&amp;FA$2&amp;"+"&amp;BU194&amp;FA$1)</f>
        <v/>
      </c>
      <c r="FB194" s="44" t="str">
        <f t="shared" ref="FB194" si="3230">IF(BV194="","","|n"&amp;FB$2&amp;"+"&amp;BV194&amp;FB$1)</f>
        <v/>
      </c>
      <c r="FC194" s="44" t="str">
        <f t="shared" ref="FC194" si="3231">IF(BW194="","","|n"&amp;FC$2&amp;"+"&amp;BW194&amp;FC$1)</f>
        <v/>
      </c>
      <c r="FD194" s="44" t="str">
        <f t="shared" ref="FD194" si="3232">IF(BX194="","","|n"&amp;FD$2&amp;"+"&amp;BX194&amp;FD$1)</f>
        <v/>
      </c>
      <c r="FE194" s="44" t="str">
        <f t="shared" ref="FE194" si="3233">IF(BY194="","","|n"&amp;FE$2&amp;"+"&amp;BY194&amp;FE$1)</f>
        <v/>
      </c>
      <c r="FF194" s="44" t="str">
        <f t="shared" ref="FF194" si="3234">IF(BZ194="","","|n"&amp;FF$2&amp;"+"&amp;BZ194&amp;FF$1)</f>
        <v/>
      </c>
      <c r="FG194" s="44" t="str">
        <f t="shared" ref="FG194" si="3235">IF(CA194="","","|n"&amp;FG$2&amp;"+"&amp;CA194&amp;FG$1)</f>
        <v/>
      </c>
      <c r="FH194" s="44" t="str">
        <f t="shared" ref="FH194" si="3236">IF(CB194="","","|n"&amp;FH$2&amp;"+"&amp;CB194&amp;FH$1)</f>
        <v/>
      </c>
      <c r="FI194" s="44" t="str">
        <f t="shared" ref="FI194" si="3237">IF(CC194="","","|n"&amp;FI$2&amp;"+"&amp;CC194&amp;FI$1)</f>
        <v/>
      </c>
      <c r="FJ194" s="44" t="str">
        <f t="shared" ref="FJ194" si="3238">IF(CD194="","","|n"&amp;FJ$2&amp;"+"&amp;CD194&amp;FJ$1)</f>
        <v/>
      </c>
      <c r="FK194" s="44" t="str">
        <f t="shared" ref="FK194" si="3239">IF(CE194="","","|n"&amp;FK$2&amp;"+"&amp;CE194&amp;FK$1)</f>
        <v/>
      </c>
      <c r="FL194" s="44" t="str">
        <f t="shared" ref="FL194" si="3240">IF(CF194="","","|n"&amp;FL$2&amp;"+"&amp;CF194&amp;FL$1)</f>
        <v/>
      </c>
      <c r="FM194" s="44" t="str">
        <f t="shared" ref="FM194" si="3241">IF(CG194="","","|n"&amp;FM$2&amp;"+"&amp;CG194&amp;FM$1)</f>
        <v/>
      </c>
      <c r="FN194" s="44" t="str">
        <f t="shared" ref="FN194" si="3242">IF(CH194="","","|n"&amp;FN$2&amp;"+"&amp;CH194&amp;FN$1)</f>
        <v/>
      </c>
      <c r="FO194" s="44" t="str">
        <f t="shared" ref="FO194" si="3243">IF(CI194="","","|n"&amp;FO$2&amp;"+"&amp;CI194&amp;FO$1)</f>
        <v/>
      </c>
      <c r="FP194" s="44" t="str">
        <f t="shared" ref="FP194" si="3244">IF(CJ194="","","|n"&amp;FP$2&amp;"+"&amp;CJ194&amp;FP$1)</f>
        <v/>
      </c>
      <c r="FQ194" s="44" t="str">
        <f t="shared" ref="FQ194" si="3245">IF(CK194="","","|n"&amp;FQ$2&amp;"+"&amp;CK194&amp;FQ$1)</f>
        <v/>
      </c>
      <c r="FR194" s="44" t="str">
        <f t="shared" ref="FR194" si="3246">IF(CL194="","","|n"&amp;FR$2&amp;"+"&amp;CL194&amp;FR$1)</f>
        <v/>
      </c>
      <c r="FS194" s="44" t="str">
        <f t="shared" ref="FS194" si="3247">IF(CM194="","","|n"&amp;FS$2&amp;"+"&amp;CM194&amp;FS$1)</f>
        <v/>
      </c>
    </row>
    <row r="195" ht="15" spans="1:175">
      <c r="A195" s="90"/>
      <c r="B195" s="5" t="s">
        <v>646</v>
      </c>
      <c r="C195" s="90" t="s">
        <v>647</v>
      </c>
      <c r="T195" s="90" t="str">
        <f>C195</f>
        <v>占星</v>
      </c>
      <c r="U195" s="60" t="str">
        <f t="shared" ref="U195:U196" si="3248">"ReplaceableTextures\\CommandButtons\\BTN"&amp;B195&amp;".blp"</f>
        <v>ReplaceableTextures\\CommandButtons\\BTNIS11.blp</v>
      </c>
      <c r="CN195" s="13" t="str">
        <f t="shared" si="2864"/>
        <v>InitUnitState('IS11',,,,,,,,,,)</v>
      </c>
      <c r="CO195" s="13" t="str">
        <f t="shared" si="2865"/>
        <v>InitUnitNormal('IS11',,,,,,,,,,)</v>
      </c>
      <c r="CP195" s="13" t="str">
        <f t="shared" si="2866"/>
        <v>InitUnitMagic('IS11',,,,,,,,,,)</v>
      </c>
      <c r="CQ195" s="13" t="str">
        <f t="shared" si="2867"/>
        <v>InitUnitAdd('IS11',,,,,,,,,,)</v>
      </c>
      <c r="CR195" s="13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72" t="str">
        <f t="shared" ref="CU195" si="324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" t="str">
        <f t="shared" ref="CV195" si="3250">T195</f>
        <v>占星</v>
      </c>
      <c r="CW195" s="7"/>
      <c r="CX195" s="7"/>
      <c r="CY195" s="7"/>
      <c r="CZ195" s="7"/>
      <c r="DA195" s="7"/>
      <c r="DB195" s="44" t="str">
        <f t="shared" ref="DB195" si="3251">IF(V195="","","|n"&amp;DB$2&amp;"+"&amp;V195&amp;DB$1)</f>
        <v/>
      </c>
      <c r="DC195" s="44" t="str">
        <f t="shared" ref="DC195" si="3252">IF(W195="","","|n"&amp;DC$2&amp;"+"&amp;W195&amp;DC$1)</f>
        <v/>
      </c>
      <c r="DD195" s="44" t="str">
        <f t="shared" ref="DD195" si="3253">IF(X195="","","|n"&amp;DD$2&amp;"+"&amp;X195&amp;DD$1)</f>
        <v/>
      </c>
      <c r="DE195" s="44" t="str">
        <f t="shared" ref="DE195" si="3254">IF(Y195="","","|n"&amp;DE$2&amp;"+"&amp;Y195&amp;DE$1)</f>
        <v/>
      </c>
      <c r="DF195" s="44" t="str">
        <f t="shared" ref="DF195" si="3255">IF(Z195="","","|n"&amp;DF$2&amp;"+"&amp;Z195&amp;DF$1)</f>
        <v/>
      </c>
      <c r="DG195" s="44" t="str">
        <f t="shared" ref="DG195" si="3256">IF(AA195="","","|n"&amp;DG$2&amp;"+"&amp;AA195&amp;DG$1)</f>
        <v/>
      </c>
      <c r="DH195" s="44" t="str">
        <f t="shared" ref="DH195" si="3257">IF(AB195="","","|n"&amp;DH$2&amp;"+"&amp;AB195&amp;DH$1)</f>
        <v/>
      </c>
      <c r="DI195" s="44" t="str">
        <f t="shared" ref="DI195" si="3258">IF(AC195="","","|n"&amp;DI$2&amp;"+"&amp;AC195&amp;DI$1)</f>
        <v/>
      </c>
      <c r="DJ195" s="44" t="str">
        <f t="shared" ref="DJ195" si="3259">IF(AD195="","","|n"&amp;DJ$2&amp;"+"&amp;AD195&amp;DJ$1)</f>
        <v/>
      </c>
      <c r="DK195" s="44" t="str">
        <f t="shared" ref="DK195" si="3260">IF(AE195="","","|n"&amp;DK$2&amp;"+"&amp;AE195&amp;DK$1)</f>
        <v/>
      </c>
      <c r="DL195" s="44" t="str">
        <f t="shared" ref="DL195" si="3261">IF(AF195="","","|n"&amp;DL$2&amp;"+"&amp;AF195&amp;DL$1)</f>
        <v/>
      </c>
      <c r="DM195" s="44" t="str">
        <f t="shared" ref="DM195" si="3262">IF(AG195="","","|n"&amp;DM$2&amp;"+"&amp;AG195&amp;DM$1)</f>
        <v/>
      </c>
      <c r="DN195" s="44" t="str">
        <f t="shared" ref="DN195" si="3263">IF(AH195="","","|n"&amp;DN$2&amp;"+"&amp;AH195&amp;DN$1)</f>
        <v/>
      </c>
      <c r="DO195" s="44" t="str">
        <f t="shared" ref="DO195" si="3264">IF(AI195="","","|n"&amp;DO$2&amp;"+"&amp;AI195&amp;DO$1)</f>
        <v/>
      </c>
      <c r="DP195" s="44" t="str">
        <f t="shared" ref="DP195" si="3265">IF(AJ195="","","|n"&amp;DP$2&amp;"+"&amp;AJ195&amp;DP$1)</f>
        <v/>
      </c>
      <c r="DQ195" s="44" t="str">
        <f t="shared" ref="DQ195" si="3266">IF(AK195="","","|n"&amp;DQ$2&amp;"+"&amp;AK195&amp;DQ$1)</f>
        <v/>
      </c>
      <c r="DR195" s="44" t="str">
        <f t="shared" ref="DR195" si="3267">IF(AL195="","","|n"&amp;DR$2&amp;"+"&amp;AL195&amp;DR$1)</f>
        <v/>
      </c>
      <c r="DS195" s="44" t="str">
        <f t="shared" ref="DS195" si="3268">IF(AM195="","","|n"&amp;DS$2&amp;"+"&amp;AM195&amp;DS$1)</f>
        <v/>
      </c>
      <c r="DT195" s="44" t="str">
        <f t="shared" ref="DT195" si="3269">IF(AN195="","","|n"&amp;DT$2&amp;"+"&amp;AN195&amp;DT$1)</f>
        <v/>
      </c>
      <c r="DU195" s="44" t="str">
        <f t="shared" ref="DU195" si="3270">IF(AO195="","","|n"&amp;DU$2&amp;"+"&amp;AO195&amp;DU$1)</f>
        <v/>
      </c>
      <c r="DV195" s="44" t="str">
        <f t="shared" ref="DV195" si="3271">IF(AP195="","","|n"&amp;DV$2&amp;"+"&amp;AP195&amp;DV$1)</f>
        <v/>
      </c>
      <c r="DW195" s="44" t="str">
        <f t="shared" ref="DW195" si="3272">IF(AQ195="","","|n"&amp;DW$2&amp;"+"&amp;AQ195&amp;DW$1)</f>
        <v/>
      </c>
      <c r="DX195" s="44" t="str">
        <f t="shared" ref="DX195" si="3273">IF(AR195="","","|n"&amp;DX$2&amp;"+"&amp;AR195&amp;DX$1)</f>
        <v/>
      </c>
      <c r="DY195" s="44" t="str">
        <f t="shared" ref="DY195" si="3274">IF(AS195="","","|n"&amp;DY$2&amp;"+"&amp;AS195&amp;DY$1)</f>
        <v/>
      </c>
      <c r="DZ195" s="44" t="str">
        <f t="shared" ref="DZ195" si="3275">IF(AT195="","","|n"&amp;DZ$2&amp;"+"&amp;AT195&amp;DZ$1)</f>
        <v/>
      </c>
      <c r="EA195" s="44" t="str">
        <f t="shared" ref="EA195" si="3276">IF(AU195="","","|n"&amp;EA$2&amp;"+"&amp;AU195&amp;EA$1)</f>
        <v/>
      </c>
      <c r="EB195" s="44" t="str">
        <f t="shared" ref="EB195" si="3277">IF(AV195="","","|n"&amp;EB$2&amp;"+"&amp;AV195&amp;EB$1)</f>
        <v/>
      </c>
      <c r="EC195" s="44" t="str">
        <f t="shared" ref="EC195" si="3278">IF(AW195="","","|n"&amp;EC$2&amp;"+"&amp;AW195&amp;EC$1)</f>
        <v/>
      </c>
      <c r="ED195" s="44" t="str">
        <f t="shared" ref="ED195" si="3279">IF(AX195="","","|n"&amp;ED$2&amp;"+"&amp;AX195&amp;ED$1)</f>
        <v/>
      </c>
      <c r="EE195" s="44" t="str">
        <f t="shared" ref="EE195" si="3280">IF(AY195="","","|n"&amp;EE$2&amp;"+"&amp;AY195&amp;EE$1)</f>
        <v/>
      </c>
      <c r="EF195" s="44" t="str">
        <f t="shared" ref="EF195" si="3281">IF(AZ195="","","|n"&amp;EF$2&amp;"+"&amp;AZ195&amp;EF$1)</f>
        <v/>
      </c>
      <c r="EG195" s="44" t="str">
        <f t="shared" ref="EG195" si="3282">IF(BA195="","","|n"&amp;EG$2&amp;"+"&amp;BA195&amp;EG$1)</f>
        <v/>
      </c>
      <c r="EH195" s="44" t="str">
        <f t="shared" ref="EH195" si="3283">IF(BB195="","","|n"&amp;EH$2&amp;"+"&amp;BB195&amp;EH$1)</f>
        <v/>
      </c>
      <c r="EI195" s="44" t="str">
        <f t="shared" ref="EI195" si="3284">IF(BC195="","","|n"&amp;EI$2&amp;"+"&amp;BC195&amp;EI$1)</f>
        <v/>
      </c>
      <c r="EJ195" s="44" t="str">
        <f t="shared" ref="EJ195" si="3285">IF(BD195="","","|n"&amp;EJ$2&amp;"+"&amp;BD195&amp;EJ$1)</f>
        <v/>
      </c>
      <c r="EK195" s="44" t="str">
        <f t="shared" ref="EK195" si="3286">IF(BE195="","","|n"&amp;EK$2&amp;"+"&amp;BE195&amp;EK$1)</f>
        <v/>
      </c>
      <c r="EL195" s="44" t="str">
        <f t="shared" ref="EL195" si="3287">IF(BF195="","","|n"&amp;EL$2&amp;"+"&amp;BF195&amp;EL$1)</f>
        <v/>
      </c>
      <c r="EM195" s="44" t="str">
        <f t="shared" ref="EM195" si="3288">IF(BG195="","","|n"&amp;EM$2&amp;"+"&amp;BG195&amp;EM$1)</f>
        <v/>
      </c>
      <c r="EN195" s="44" t="str">
        <f t="shared" ref="EN195" si="3289">IF(BH195="","","|n"&amp;EN$2&amp;"+"&amp;BH195&amp;EN$1)</f>
        <v/>
      </c>
      <c r="EO195" s="44" t="str">
        <f t="shared" ref="EO195" si="3290">IF(BI195="","","|n"&amp;EO$2&amp;"+"&amp;BI195&amp;EO$1)</f>
        <v/>
      </c>
      <c r="EP195" s="44" t="str">
        <f t="shared" ref="EP195" si="3291">IF(BJ195="","","|n"&amp;EP$2&amp;"+"&amp;BJ195&amp;EP$1)</f>
        <v/>
      </c>
      <c r="EQ195" s="44" t="str">
        <f t="shared" ref="EQ195" si="3292">IF(BK195="","","|n"&amp;EQ$2&amp;"+"&amp;BK195&amp;EQ$1)</f>
        <v/>
      </c>
      <c r="ER195" s="44" t="str">
        <f t="shared" ref="ER195" si="3293">IF(BL195="","","|n"&amp;ER$2&amp;"+"&amp;BL195&amp;ER$1)</f>
        <v/>
      </c>
      <c r="ES195" s="44" t="str">
        <f t="shared" ref="ES195" si="3294">IF(BM195="","","|n"&amp;ES$2&amp;"+"&amp;BM195&amp;ES$1)</f>
        <v/>
      </c>
      <c r="ET195" s="44" t="str">
        <f t="shared" ref="ET195" si="3295">IF(BN195="","","|n"&amp;ET$2&amp;"+"&amp;BN195&amp;ET$1)</f>
        <v/>
      </c>
      <c r="EU195" s="44" t="str">
        <f t="shared" ref="EU195" si="3296">IF(BO195="","","|n"&amp;EU$2&amp;"+"&amp;BO195&amp;EU$1)</f>
        <v/>
      </c>
      <c r="EV195" s="44" t="str">
        <f t="shared" ref="EV195" si="3297">IF(BP195="","","|n"&amp;EV$2&amp;"+"&amp;BP195&amp;EV$1)</f>
        <v/>
      </c>
      <c r="EW195" s="44" t="str">
        <f t="shared" ref="EW195" si="3298">IF(BQ195="","","|n"&amp;EW$2&amp;"+"&amp;BQ195&amp;EW$1)</f>
        <v/>
      </c>
      <c r="EX195" s="44" t="str">
        <f t="shared" ref="EX195" si="3299">IF(BR195="","","|n"&amp;EX$2&amp;"+"&amp;BR195&amp;EX$1)</f>
        <v/>
      </c>
      <c r="EY195" s="44" t="str">
        <f t="shared" ref="EY195" si="3300">IF(BS195="","","|n"&amp;EY$2&amp;"+"&amp;BS195&amp;EY$1)</f>
        <v/>
      </c>
      <c r="EZ195" s="44" t="str">
        <f t="shared" ref="EZ195" si="3301">IF(BT195="","","|n"&amp;EZ$2&amp;"+"&amp;BT195&amp;EZ$1)</f>
        <v/>
      </c>
      <c r="FA195" s="44" t="str">
        <f t="shared" ref="FA195" si="3302">IF(BU195="","","|n"&amp;FA$2&amp;"+"&amp;BU195&amp;FA$1)</f>
        <v/>
      </c>
      <c r="FB195" s="44" t="str">
        <f t="shared" ref="FB195" si="3303">IF(BV195="","","|n"&amp;FB$2&amp;"+"&amp;BV195&amp;FB$1)</f>
        <v/>
      </c>
      <c r="FC195" s="44" t="str">
        <f t="shared" ref="FC195" si="3304">IF(BW195="","","|n"&amp;FC$2&amp;"+"&amp;BW195&amp;FC$1)</f>
        <v/>
      </c>
      <c r="FD195" s="44" t="str">
        <f t="shared" ref="FD195" si="3305">IF(BX195="","","|n"&amp;FD$2&amp;"+"&amp;BX195&amp;FD$1)</f>
        <v/>
      </c>
      <c r="FE195" s="44" t="str">
        <f t="shared" ref="FE195" si="3306">IF(BY195="","","|n"&amp;FE$2&amp;"+"&amp;BY195&amp;FE$1)</f>
        <v/>
      </c>
      <c r="FF195" s="44" t="str">
        <f t="shared" ref="FF195" si="3307">IF(BZ195="","","|n"&amp;FF$2&amp;"+"&amp;BZ195&amp;FF$1)</f>
        <v/>
      </c>
      <c r="FG195" s="44" t="str">
        <f t="shared" ref="FG195" si="3308">IF(CA195="","","|n"&amp;FG$2&amp;"+"&amp;CA195&amp;FG$1)</f>
        <v/>
      </c>
      <c r="FH195" s="44" t="str">
        <f t="shared" ref="FH195" si="3309">IF(CB195="","","|n"&amp;FH$2&amp;"+"&amp;CB195&amp;FH$1)</f>
        <v/>
      </c>
      <c r="FI195" s="44" t="str">
        <f t="shared" ref="FI195" si="3310">IF(CC195="","","|n"&amp;FI$2&amp;"+"&amp;CC195&amp;FI$1)</f>
        <v/>
      </c>
      <c r="FJ195" s="44" t="str">
        <f t="shared" ref="FJ195" si="3311">IF(CD195="","","|n"&amp;FJ$2&amp;"+"&amp;CD195&amp;FJ$1)</f>
        <v/>
      </c>
      <c r="FK195" s="44" t="str">
        <f t="shared" ref="FK195" si="3312">IF(CE195="","","|n"&amp;FK$2&amp;"+"&amp;CE195&amp;FK$1)</f>
        <v/>
      </c>
      <c r="FL195" s="44" t="str">
        <f t="shared" ref="FL195" si="3313">IF(CF195="","","|n"&amp;FL$2&amp;"+"&amp;CF195&amp;FL$1)</f>
        <v/>
      </c>
      <c r="FM195" s="44" t="str">
        <f t="shared" ref="FM195" si="3314">IF(CG195="","","|n"&amp;FM$2&amp;"+"&amp;CG195&amp;FM$1)</f>
        <v/>
      </c>
      <c r="FN195" s="44" t="str">
        <f t="shared" ref="FN195" si="3315">IF(CH195="","","|n"&amp;FN$2&amp;"+"&amp;CH195&amp;FN$1)</f>
        <v/>
      </c>
      <c r="FO195" s="44" t="str">
        <f t="shared" ref="FO195" si="3316">IF(CI195="","","|n"&amp;FO$2&amp;"+"&amp;CI195&amp;FO$1)</f>
        <v/>
      </c>
      <c r="FP195" s="44" t="str">
        <f t="shared" ref="FP195" si="3317">IF(CJ195="","","|n"&amp;FP$2&amp;"+"&amp;CJ195&amp;FP$1)</f>
        <v/>
      </c>
      <c r="FQ195" s="44" t="str">
        <f t="shared" ref="FQ195" si="3318">IF(CK195="","","|n"&amp;FQ$2&amp;"+"&amp;CK195&amp;FQ$1)</f>
        <v/>
      </c>
      <c r="FR195" s="44" t="str">
        <f t="shared" ref="FR195" si="3319">IF(CL195="","","|n"&amp;FR$2&amp;"+"&amp;CL195&amp;FR$1)</f>
        <v/>
      </c>
      <c r="FS195" s="44" t="str">
        <f t="shared" ref="FS195" si="3320">IF(CM195="","","|n"&amp;FS$2&amp;"+"&amp;CM195&amp;FS$1)</f>
        <v/>
      </c>
    </row>
    <row r="196" ht="15" spans="1:175">
      <c r="A196" s="90"/>
      <c r="B196" s="5" t="s">
        <v>648</v>
      </c>
      <c r="C196" s="90" t="s">
        <v>649</v>
      </c>
      <c r="T196" s="90" t="str">
        <f>C196</f>
        <v>|cffffcc00神兽抽取|r</v>
      </c>
      <c r="U196" s="60" t="str">
        <f t="shared" si="3248"/>
        <v>ReplaceableTextures\\CommandButtons\\BTNIS12.blp</v>
      </c>
      <c r="CN196" s="13" t="str">
        <f t="shared" si="2864"/>
        <v>InitUnitState('IS12',,,,,,,,,,)</v>
      </c>
      <c r="CO196" s="13" t="str">
        <f t="shared" si="2865"/>
        <v>InitUnitNormal('IS12',,,,,,,,,,)</v>
      </c>
      <c r="CP196" s="13" t="str">
        <f t="shared" si="2866"/>
        <v>InitUnitMagic('IS12',,,,,,,,,,)</v>
      </c>
      <c r="CQ196" s="13" t="str">
        <f t="shared" si="2867"/>
        <v>InitUnitAdd('IS12',,,,,,,,,,)</v>
      </c>
      <c r="CR196" s="13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72" t="str">
        <f t="shared" si="3104"/>
        <v>|n</v>
      </c>
      <c r="CV196" s="6" t="str">
        <f t="shared" si="3105"/>
        <v>|cffffcc00神兽抽取|r</v>
      </c>
      <c r="CW196" s="7"/>
      <c r="CX196" s="7"/>
      <c r="CY196" s="7"/>
      <c r="CZ196" s="7"/>
      <c r="DA196" s="7"/>
      <c r="DB196" s="44" t="str">
        <f t="shared" si="3106"/>
        <v/>
      </c>
      <c r="DC196" s="44" t="str">
        <f t="shared" si="3107"/>
        <v/>
      </c>
      <c r="DD196" s="44" t="str">
        <f t="shared" si="3108"/>
        <v/>
      </c>
      <c r="DE196" s="44" t="str">
        <f t="shared" si="3109"/>
        <v/>
      </c>
      <c r="DF196" s="44" t="str">
        <f t="shared" si="3110"/>
        <v/>
      </c>
      <c r="DG196" s="44" t="str">
        <f t="shared" si="3111"/>
        <v/>
      </c>
      <c r="DH196" s="44" t="str">
        <f t="shared" si="3112"/>
        <v/>
      </c>
      <c r="DI196" s="44" t="str">
        <f t="shared" si="3113"/>
        <v/>
      </c>
      <c r="DJ196" s="44" t="str">
        <f t="shared" si="3114"/>
        <v/>
      </c>
      <c r="DK196" s="44" t="str">
        <f t="shared" si="3115"/>
        <v/>
      </c>
      <c r="DL196" s="44" t="str">
        <f t="shared" si="3116"/>
        <v/>
      </c>
      <c r="DM196" s="44" t="str">
        <f t="shared" si="3117"/>
        <v/>
      </c>
      <c r="DN196" s="44" t="str">
        <f t="shared" si="3118"/>
        <v/>
      </c>
      <c r="DO196" s="44" t="str">
        <f t="shared" si="3119"/>
        <v/>
      </c>
      <c r="DP196" s="44" t="str">
        <f t="shared" si="3120"/>
        <v/>
      </c>
      <c r="DQ196" s="44" t="str">
        <f t="shared" si="3121"/>
        <v/>
      </c>
      <c r="DR196" s="44" t="str">
        <f t="shared" si="3122"/>
        <v/>
      </c>
      <c r="DS196" s="44" t="str">
        <f t="shared" si="3123"/>
        <v/>
      </c>
      <c r="DT196" s="44" t="str">
        <f t="shared" si="3124"/>
        <v/>
      </c>
      <c r="DU196" s="44" t="str">
        <f t="shared" si="3125"/>
        <v/>
      </c>
      <c r="DV196" s="44" t="str">
        <f t="shared" si="3126"/>
        <v/>
      </c>
      <c r="DW196" s="44" t="str">
        <f t="shared" si="3127"/>
        <v/>
      </c>
      <c r="DX196" s="44" t="str">
        <f t="shared" si="3128"/>
        <v/>
      </c>
      <c r="DY196" s="44" t="str">
        <f t="shared" si="3129"/>
        <v/>
      </c>
      <c r="DZ196" s="44" t="str">
        <f t="shared" si="3130"/>
        <v/>
      </c>
      <c r="EA196" s="44" t="str">
        <f t="shared" si="3131"/>
        <v/>
      </c>
      <c r="EB196" s="44" t="str">
        <f t="shared" si="3132"/>
        <v/>
      </c>
      <c r="EC196" s="44" t="str">
        <f t="shared" si="3133"/>
        <v/>
      </c>
      <c r="ED196" s="44" t="str">
        <f t="shared" si="3134"/>
        <v/>
      </c>
      <c r="EE196" s="44" t="str">
        <f t="shared" si="3135"/>
        <v/>
      </c>
      <c r="EF196" s="44" t="str">
        <f t="shared" si="3136"/>
        <v/>
      </c>
      <c r="EG196" s="44" t="str">
        <f t="shared" si="3137"/>
        <v/>
      </c>
      <c r="EH196" s="44" t="str">
        <f t="shared" si="3138"/>
        <v/>
      </c>
      <c r="EI196" s="44" t="str">
        <f t="shared" si="3139"/>
        <v/>
      </c>
      <c r="EJ196" s="44" t="str">
        <f t="shared" si="3140"/>
        <v/>
      </c>
      <c r="EK196" s="44" t="str">
        <f t="shared" si="3141"/>
        <v/>
      </c>
      <c r="EL196" s="44" t="str">
        <f t="shared" si="3142"/>
        <v/>
      </c>
      <c r="EM196" s="44" t="str">
        <f t="shared" si="3143"/>
        <v/>
      </c>
      <c r="EN196" s="44" t="str">
        <f t="shared" si="3144"/>
        <v/>
      </c>
      <c r="EO196" s="44" t="str">
        <f t="shared" si="3145"/>
        <v/>
      </c>
      <c r="EP196" s="44" t="str">
        <f t="shared" si="3146"/>
        <v/>
      </c>
      <c r="EQ196" s="44" t="str">
        <f t="shared" si="3147"/>
        <v/>
      </c>
      <c r="ER196" s="44" t="str">
        <f t="shared" si="3148"/>
        <v/>
      </c>
      <c r="ES196" s="44" t="str">
        <f t="shared" si="3149"/>
        <v/>
      </c>
      <c r="ET196" s="44" t="str">
        <f t="shared" si="3150"/>
        <v/>
      </c>
      <c r="EU196" s="44" t="str">
        <f t="shared" si="3151"/>
        <v/>
      </c>
      <c r="EV196" s="44" t="str">
        <f t="shared" si="3152"/>
        <v/>
      </c>
      <c r="EW196" s="44" t="str">
        <f t="shared" si="3153"/>
        <v/>
      </c>
      <c r="EX196" s="44" t="str">
        <f t="shared" si="3154"/>
        <v/>
      </c>
      <c r="EY196" s="44" t="str">
        <f t="shared" si="3155"/>
        <v/>
      </c>
      <c r="EZ196" s="44" t="str">
        <f t="shared" si="3156"/>
        <v/>
      </c>
      <c r="FA196" s="44" t="str">
        <f t="shared" si="3157"/>
        <v/>
      </c>
      <c r="FB196" s="44" t="str">
        <f t="shared" si="3158"/>
        <v/>
      </c>
      <c r="FC196" s="44" t="str">
        <f t="shared" si="3159"/>
        <v/>
      </c>
      <c r="FD196" s="44" t="str">
        <f t="shared" si="3160"/>
        <v/>
      </c>
      <c r="FE196" s="44" t="str">
        <f t="shared" si="3161"/>
        <v/>
      </c>
      <c r="FF196" s="44" t="str">
        <f t="shared" si="3162"/>
        <v/>
      </c>
      <c r="FG196" s="44" t="str">
        <f t="shared" si="3163"/>
        <v/>
      </c>
      <c r="FH196" s="44" t="str">
        <f t="shared" si="3164"/>
        <v/>
      </c>
      <c r="FI196" s="44" t="str">
        <f t="shared" si="3165"/>
        <v/>
      </c>
      <c r="FJ196" s="44" t="str">
        <f t="shared" si="3166"/>
        <v/>
      </c>
      <c r="FK196" s="44" t="str">
        <f t="shared" si="3167"/>
        <v/>
      </c>
      <c r="FL196" s="44" t="str">
        <f t="shared" si="3168"/>
        <v/>
      </c>
      <c r="FM196" s="44" t="str">
        <f t="shared" si="3169"/>
        <v/>
      </c>
      <c r="FN196" s="44" t="str">
        <f t="shared" si="3170"/>
        <v/>
      </c>
      <c r="FO196" s="44" t="str">
        <f t="shared" si="3171"/>
        <v/>
      </c>
      <c r="FP196" s="44" t="str">
        <f t="shared" si="3172"/>
        <v/>
      </c>
      <c r="FQ196" s="44" t="str">
        <f t="shared" si="3173"/>
        <v/>
      </c>
      <c r="FR196" s="44" t="str">
        <f t="shared" si="3174"/>
        <v/>
      </c>
      <c r="FS196" s="44" t="str">
        <f t="shared" si="3175"/>
        <v/>
      </c>
    </row>
    <row r="197" ht="15" spans="1:175">
      <c r="A197" s="90"/>
      <c r="B197" s="5" t="s">
        <v>650</v>
      </c>
      <c r="C197" s="90" t="s">
        <v>651</v>
      </c>
      <c r="T197" s="90" t="str">
        <f>C197</f>
        <v>项链升级</v>
      </c>
      <c r="U197" s="60" t="str">
        <f t="shared" ref="U197" si="3321">"ReplaceableTextures\\CommandButtons\\BTN"&amp;B197&amp;".blp"</f>
        <v>ReplaceableTextures\\CommandButtons\\BTNIS13.blp</v>
      </c>
      <c r="CN197" s="13" t="str">
        <f t="shared" ref="CN197" si="3322">"InitUnitState('"&amp;B197&amp;"',"&amp;V197&amp;","&amp;W197&amp;","&amp;X197&amp;","&amp;Y197&amp;","&amp;Z197&amp;","&amp;AA197&amp;","&amp;AB197&amp;","&amp;AC197&amp;","&amp;AD197&amp;","&amp;AE197&amp;")"</f>
        <v>InitUnitState('IS13',,,,,,,,,,)</v>
      </c>
      <c r="CO197" s="13" t="str">
        <f t="shared" ref="CO197" si="3323">"InitUnitNormal('"&amp;B197&amp;"',"&amp;AF197&amp;","&amp;AG197&amp;","&amp;AH197&amp;","&amp;AI197&amp;","&amp;AJ197&amp;","&amp;AK197&amp;","&amp;AL197&amp;","&amp;AM197&amp;","&amp;AN197&amp;","&amp;AO197&amp;")"</f>
        <v>InitUnitNormal('IS13',,,,,,,,,,)</v>
      </c>
      <c r="CP197" s="13" t="str">
        <f t="shared" ref="CP197" si="3324">"InitUnitMagic('"&amp;B197&amp;"',"&amp;AP197&amp;","&amp;AQ197&amp;","&amp;AR197&amp;","&amp;AS197&amp;","&amp;AT197&amp;","&amp;AU197&amp;","&amp;AV197&amp;","&amp;AW197&amp;","&amp;BI197&amp;","&amp;BJ197&amp;")"</f>
        <v>InitUnitMagic('IS13',,,,,,,,,,)</v>
      </c>
      <c r="CQ197" s="13" t="str">
        <f t="shared" ref="CQ197" si="3325">"InitUnitAdd('"&amp;B197&amp;"',"&amp;BK197&amp;","&amp;BL197&amp;","&amp;BM197&amp;","&amp;BN197&amp;","&amp;BO197&amp;","&amp;BP197&amp;","&amp;BQ197&amp;","&amp;BR197&amp;","&amp;BS197&amp;","&amp;BT197&amp;")"</f>
        <v>InitUnitAdd('IS13',,,,,,,,,,)</v>
      </c>
      <c r="CR197" s="13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72" t="str">
        <f t="shared" ref="CU197:CU198" si="3326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" t="str">
        <f t="shared" ref="CV197:CV198" si="3327">T197</f>
        <v>项链升级</v>
      </c>
      <c r="CW197" s="7"/>
      <c r="CX197" s="7"/>
      <c r="CY197" s="7"/>
      <c r="CZ197" s="7"/>
      <c r="DA197" s="7"/>
      <c r="DB197" s="44" t="str">
        <f t="shared" ref="DB197" si="3328">IF(V197="","","|n"&amp;DB$2&amp;"+"&amp;V197&amp;DB$1)</f>
        <v/>
      </c>
      <c r="DC197" s="44" t="str">
        <f t="shared" ref="DC197" si="3329">IF(W197="","","|n"&amp;DC$2&amp;"+"&amp;W197&amp;DC$1)</f>
        <v/>
      </c>
      <c r="DD197" s="44" t="str">
        <f t="shared" ref="DD197" si="3330">IF(X197="","","|n"&amp;DD$2&amp;"+"&amp;X197&amp;DD$1)</f>
        <v/>
      </c>
      <c r="DE197" s="44" t="str">
        <f t="shared" ref="DE197" si="3331">IF(Y197="","","|n"&amp;DE$2&amp;"+"&amp;Y197&amp;DE$1)</f>
        <v/>
      </c>
      <c r="DF197" s="44" t="str">
        <f t="shared" ref="DF197" si="3332">IF(Z197="","","|n"&amp;DF$2&amp;"+"&amp;Z197&amp;DF$1)</f>
        <v/>
      </c>
      <c r="DG197" s="44" t="str">
        <f t="shared" ref="DG197" si="3333">IF(AA197="","","|n"&amp;DG$2&amp;"+"&amp;AA197&amp;DG$1)</f>
        <v/>
      </c>
      <c r="DH197" s="44" t="str">
        <f t="shared" ref="DH197" si="3334">IF(AB197="","","|n"&amp;DH$2&amp;"+"&amp;AB197&amp;DH$1)</f>
        <v/>
      </c>
      <c r="DI197" s="44" t="str">
        <f t="shared" ref="DI197" si="3335">IF(AC197="","","|n"&amp;DI$2&amp;"+"&amp;AC197&amp;DI$1)</f>
        <v/>
      </c>
      <c r="DJ197" s="44" t="str">
        <f t="shared" ref="DJ197" si="3336">IF(AD197="","","|n"&amp;DJ$2&amp;"+"&amp;AD197&amp;DJ$1)</f>
        <v/>
      </c>
      <c r="DK197" s="44" t="str">
        <f t="shared" ref="DK197" si="3337">IF(AE197="","","|n"&amp;DK$2&amp;"+"&amp;AE197&amp;DK$1)</f>
        <v/>
      </c>
      <c r="DL197" s="44" t="str">
        <f t="shared" ref="DL197" si="3338">IF(AF197="","","|n"&amp;DL$2&amp;"+"&amp;AF197&amp;DL$1)</f>
        <v/>
      </c>
      <c r="DM197" s="44" t="str">
        <f t="shared" ref="DM197" si="3339">IF(AG197="","","|n"&amp;DM$2&amp;"+"&amp;AG197&amp;DM$1)</f>
        <v/>
      </c>
      <c r="DN197" s="44" t="str">
        <f t="shared" ref="DN197" si="3340">IF(AH197="","","|n"&amp;DN$2&amp;"+"&amp;AH197&amp;DN$1)</f>
        <v/>
      </c>
      <c r="DO197" s="44" t="str">
        <f t="shared" ref="DO197" si="3341">IF(AI197="","","|n"&amp;DO$2&amp;"+"&amp;AI197&amp;DO$1)</f>
        <v/>
      </c>
      <c r="DP197" s="44" t="str">
        <f t="shared" ref="DP197" si="3342">IF(AJ197="","","|n"&amp;DP$2&amp;"+"&amp;AJ197&amp;DP$1)</f>
        <v/>
      </c>
      <c r="DQ197" s="44" t="str">
        <f t="shared" ref="DQ197" si="3343">IF(AK197="","","|n"&amp;DQ$2&amp;"+"&amp;AK197&amp;DQ$1)</f>
        <v/>
      </c>
      <c r="DR197" s="44" t="str">
        <f t="shared" ref="DR197" si="3344">IF(AL197="","","|n"&amp;DR$2&amp;"+"&amp;AL197&amp;DR$1)</f>
        <v/>
      </c>
      <c r="DS197" s="44" t="str">
        <f t="shared" ref="DS197" si="3345">IF(AM197="","","|n"&amp;DS$2&amp;"+"&amp;AM197&amp;DS$1)</f>
        <v/>
      </c>
      <c r="DT197" s="44" t="str">
        <f t="shared" ref="DT197" si="3346">IF(AN197="","","|n"&amp;DT$2&amp;"+"&amp;AN197&amp;DT$1)</f>
        <v/>
      </c>
      <c r="DU197" s="44" t="str">
        <f t="shared" ref="DU197" si="3347">IF(AO197="","","|n"&amp;DU$2&amp;"+"&amp;AO197&amp;DU$1)</f>
        <v/>
      </c>
      <c r="DV197" s="44" t="str">
        <f t="shared" ref="DV197" si="3348">IF(AP197="","","|n"&amp;DV$2&amp;"+"&amp;AP197&amp;DV$1)</f>
        <v/>
      </c>
      <c r="DW197" s="44" t="str">
        <f t="shared" ref="DW197" si="3349">IF(AQ197="","","|n"&amp;DW$2&amp;"+"&amp;AQ197&amp;DW$1)</f>
        <v/>
      </c>
      <c r="DX197" s="44" t="str">
        <f t="shared" ref="DX197" si="3350">IF(AR197="","","|n"&amp;DX$2&amp;"+"&amp;AR197&amp;DX$1)</f>
        <v/>
      </c>
      <c r="DY197" s="44" t="str">
        <f t="shared" ref="DY197" si="3351">IF(AS197="","","|n"&amp;DY$2&amp;"+"&amp;AS197&amp;DY$1)</f>
        <v/>
      </c>
      <c r="DZ197" s="44" t="str">
        <f t="shared" ref="DZ197" si="3352">IF(AT197="","","|n"&amp;DZ$2&amp;"+"&amp;AT197&amp;DZ$1)</f>
        <v/>
      </c>
      <c r="EA197" s="44" t="str">
        <f t="shared" ref="EA197" si="3353">IF(AU197="","","|n"&amp;EA$2&amp;"+"&amp;AU197&amp;EA$1)</f>
        <v/>
      </c>
      <c r="EB197" s="44" t="str">
        <f t="shared" ref="EB197" si="3354">IF(AV197="","","|n"&amp;EB$2&amp;"+"&amp;AV197&amp;EB$1)</f>
        <v/>
      </c>
      <c r="EC197" s="44" t="str">
        <f t="shared" ref="EC197" si="3355">IF(AW197="","","|n"&amp;EC$2&amp;"+"&amp;AW197&amp;EC$1)</f>
        <v/>
      </c>
      <c r="ED197" s="44" t="str">
        <f t="shared" ref="ED197" si="3356">IF(AX197="","","|n"&amp;ED$2&amp;"+"&amp;AX197&amp;ED$1)</f>
        <v/>
      </c>
      <c r="EE197" s="44" t="str">
        <f t="shared" ref="EE197" si="3357">IF(AY197="","","|n"&amp;EE$2&amp;"+"&amp;AY197&amp;EE$1)</f>
        <v/>
      </c>
      <c r="EF197" s="44" t="str">
        <f t="shared" ref="EF197" si="3358">IF(AZ197="","","|n"&amp;EF$2&amp;"+"&amp;AZ197&amp;EF$1)</f>
        <v/>
      </c>
      <c r="EG197" s="44" t="str">
        <f t="shared" ref="EG197" si="3359">IF(BA197="","","|n"&amp;EG$2&amp;"+"&amp;BA197&amp;EG$1)</f>
        <v/>
      </c>
      <c r="EH197" s="44" t="str">
        <f t="shared" ref="EH197" si="3360">IF(BB197="","","|n"&amp;EH$2&amp;"+"&amp;BB197&amp;EH$1)</f>
        <v/>
      </c>
      <c r="EI197" s="44" t="str">
        <f t="shared" ref="EI197" si="3361">IF(BC197="","","|n"&amp;EI$2&amp;"+"&amp;BC197&amp;EI$1)</f>
        <v/>
      </c>
      <c r="EJ197" s="44" t="str">
        <f t="shared" ref="EJ197" si="3362">IF(BD197="","","|n"&amp;EJ$2&amp;"+"&amp;BD197&amp;EJ$1)</f>
        <v/>
      </c>
      <c r="EK197" s="44" t="str">
        <f t="shared" ref="EK197" si="3363">IF(BE197="","","|n"&amp;EK$2&amp;"+"&amp;BE197&amp;EK$1)</f>
        <v/>
      </c>
      <c r="EL197" s="44" t="str">
        <f t="shared" ref="EL197" si="3364">IF(BF197="","","|n"&amp;EL$2&amp;"+"&amp;BF197&amp;EL$1)</f>
        <v/>
      </c>
      <c r="EM197" s="44" t="str">
        <f t="shared" ref="EM197" si="3365">IF(BG197="","","|n"&amp;EM$2&amp;"+"&amp;BG197&amp;EM$1)</f>
        <v/>
      </c>
      <c r="EN197" s="44" t="str">
        <f t="shared" ref="EN197" si="3366">IF(BH197="","","|n"&amp;EN$2&amp;"+"&amp;BH197&amp;EN$1)</f>
        <v/>
      </c>
      <c r="EO197" s="44" t="str">
        <f t="shared" ref="EO197" si="3367">IF(BI197="","","|n"&amp;EO$2&amp;"+"&amp;BI197&amp;EO$1)</f>
        <v/>
      </c>
      <c r="EP197" s="44" t="str">
        <f t="shared" ref="EP197" si="3368">IF(BJ197="","","|n"&amp;EP$2&amp;"+"&amp;BJ197&amp;EP$1)</f>
        <v/>
      </c>
      <c r="EQ197" s="44" t="str">
        <f t="shared" ref="EQ197" si="3369">IF(BK197="","","|n"&amp;EQ$2&amp;"+"&amp;BK197&amp;EQ$1)</f>
        <v/>
      </c>
      <c r="ER197" s="44" t="str">
        <f t="shared" ref="ER197" si="3370">IF(BL197="","","|n"&amp;ER$2&amp;"+"&amp;BL197&amp;ER$1)</f>
        <v/>
      </c>
      <c r="ES197" s="44" t="str">
        <f t="shared" ref="ES197" si="3371">IF(BM197="","","|n"&amp;ES$2&amp;"+"&amp;BM197&amp;ES$1)</f>
        <v/>
      </c>
      <c r="ET197" s="44" t="str">
        <f t="shared" ref="ET197" si="3372">IF(BN197="","","|n"&amp;ET$2&amp;"+"&amp;BN197&amp;ET$1)</f>
        <v/>
      </c>
      <c r="EU197" s="44" t="str">
        <f t="shared" ref="EU197" si="3373">IF(BO197="","","|n"&amp;EU$2&amp;"+"&amp;BO197&amp;EU$1)</f>
        <v/>
      </c>
      <c r="EV197" s="44" t="str">
        <f t="shared" ref="EV197" si="3374">IF(BP197="","","|n"&amp;EV$2&amp;"+"&amp;BP197&amp;EV$1)</f>
        <v/>
      </c>
      <c r="EW197" s="44" t="str">
        <f t="shared" ref="EW197" si="3375">IF(BQ197="","","|n"&amp;EW$2&amp;"+"&amp;BQ197&amp;EW$1)</f>
        <v/>
      </c>
      <c r="EX197" s="44" t="str">
        <f t="shared" ref="EX197" si="3376">IF(BR197="","","|n"&amp;EX$2&amp;"+"&amp;BR197&amp;EX$1)</f>
        <v/>
      </c>
      <c r="EY197" s="44" t="str">
        <f t="shared" ref="EY197" si="3377">IF(BS197="","","|n"&amp;EY$2&amp;"+"&amp;BS197&amp;EY$1)</f>
        <v/>
      </c>
      <c r="EZ197" s="44" t="str">
        <f t="shared" ref="EZ197" si="3378">IF(BT197="","","|n"&amp;EZ$2&amp;"+"&amp;BT197&amp;EZ$1)</f>
        <v/>
      </c>
      <c r="FA197" s="44" t="str">
        <f t="shared" ref="FA197" si="3379">IF(BU197="","","|n"&amp;FA$2&amp;"+"&amp;BU197&amp;FA$1)</f>
        <v/>
      </c>
      <c r="FB197" s="44" t="str">
        <f t="shared" ref="FB197" si="3380">IF(BV197="","","|n"&amp;FB$2&amp;"+"&amp;BV197&amp;FB$1)</f>
        <v/>
      </c>
      <c r="FC197" s="44" t="str">
        <f t="shared" ref="FC197" si="3381">IF(BW197="","","|n"&amp;FC$2&amp;"+"&amp;BW197&amp;FC$1)</f>
        <v/>
      </c>
      <c r="FD197" s="44" t="str">
        <f t="shared" ref="FD197" si="3382">IF(BX197="","","|n"&amp;FD$2&amp;"+"&amp;BX197&amp;FD$1)</f>
        <v/>
      </c>
      <c r="FE197" s="44" t="str">
        <f t="shared" ref="FE197" si="3383">IF(BY197="","","|n"&amp;FE$2&amp;"+"&amp;BY197&amp;FE$1)</f>
        <v/>
      </c>
      <c r="FF197" s="44" t="str">
        <f t="shared" ref="FF197" si="3384">IF(BZ197="","","|n"&amp;FF$2&amp;"+"&amp;BZ197&amp;FF$1)</f>
        <v/>
      </c>
      <c r="FG197" s="44" t="str">
        <f t="shared" ref="FG197" si="3385">IF(CA197="","","|n"&amp;FG$2&amp;"+"&amp;CA197&amp;FG$1)</f>
        <v/>
      </c>
      <c r="FH197" s="44" t="str">
        <f t="shared" ref="FH197" si="3386">IF(CB197="","","|n"&amp;FH$2&amp;"+"&amp;CB197&amp;FH$1)</f>
        <v/>
      </c>
      <c r="FI197" s="44" t="str">
        <f t="shared" ref="FI197" si="3387">IF(CC197="","","|n"&amp;FI$2&amp;"+"&amp;CC197&amp;FI$1)</f>
        <v/>
      </c>
      <c r="FJ197" s="44" t="str">
        <f t="shared" ref="FJ197" si="3388">IF(CD197="","","|n"&amp;FJ$2&amp;"+"&amp;CD197&amp;FJ$1)</f>
        <v/>
      </c>
      <c r="FK197" s="44" t="str">
        <f t="shared" ref="FK197" si="3389">IF(CE197="","","|n"&amp;FK$2&amp;"+"&amp;CE197&amp;FK$1)</f>
        <v/>
      </c>
      <c r="FL197" s="44" t="str">
        <f t="shared" ref="FL197" si="3390">IF(CF197="","","|n"&amp;FL$2&amp;"+"&amp;CF197&amp;FL$1)</f>
        <v/>
      </c>
      <c r="FM197" s="44" t="str">
        <f t="shared" ref="FM197" si="3391">IF(CG197="","","|n"&amp;FM$2&amp;"+"&amp;CG197&amp;FM$1)</f>
        <v/>
      </c>
      <c r="FN197" s="44" t="str">
        <f t="shared" ref="FN197" si="3392">IF(CH197="","","|n"&amp;FN$2&amp;"+"&amp;CH197&amp;FN$1)</f>
        <v/>
      </c>
      <c r="FO197" s="44" t="str">
        <f t="shared" ref="FO197" si="3393">IF(CI197="","","|n"&amp;FO$2&amp;"+"&amp;CI197&amp;FO$1)</f>
        <v/>
      </c>
      <c r="FP197" s="44" t="str">
        <f t="shared" ref="FP197" si="3394">IF(CJ197="","","|n"&amp;FP$2&amp;"+"&amp;CJ197&amp;FP$1)</f>
        <v/>
      </c>
      <c r="FQ197" s="44" t="str">
        <f t="shared" ref="FQ197" si="3395">IF(CK197="","","|n"&amp;FQ$2&amp;"+"&amp;CK197&amp;FQ$1)</f>
        <v/>
      </c>
      <c r="FR197" s="44" t="str">
        <f t="shared" ref="FR197" si="3396">IF(CL197="","","|n"&amp;FR$2&amp;"+"&amp;CL197&amp;FR$1)</f>
        <v/>
      </c>
      <c r="FS197" s="44" t="str">
        <f t="shared" ref="FS197" si="3397">IF(CM197="","","|n"&amp;FS$2&amp;"+"&amp;CM197&amp;FS$1)</f>
        <v/>
      </c>
    </row>
    <row r="198" ht="15" spans="1:175">
      <c r="A198" s="90"/>
      <c r="B198" s="5" t="s">
        <v>652</v>
      </c>
      <c r="C198" s="90" t="s">
        <v>653</v>
      </c>
      <c r="T198" s="90" t="str">
        <f>C198</f>
        <v>升级C</v>
      </c>
      <c r="U198" s="60" t="s">
        <v>435</v>
      </c>
      <c r="CN198" s="13" t="str">
        <f t="shared" ref="CN198" si="3398">"InitUnitState('"&amp;B198&amp;"',"&amp;V198&amp;","&amp;W198&amp;","&amp;X198&amp;","&amp;Y198&amp;","&amp;Z198&amp;","&amp;AA198&amp;","&amp;AB198&amp;","&amp;AC198&amp;","&amp;AD198&amp;","&amp;AE198&amp;")"</f>
        <v>InitUnitState('IS14',,,,,,,,,,)</v>
      </c>
      <c r="CO198" s="13" t="str">
        <f t="shared" ref="CO198" si="3399">"InitUnitNormal('"&amp;B198&amp;"',"&amp;AF198&amp;","&amp;AG198&amp;","&amp;AH198&amp;","&amp;AI198&amp;","&amp;AJ198&amp;","&amp;AK198&amp;","&amp;AL198&amp;","&amp;AM198&amp;","&amp;AN198&amp;","&amp;AO198&amp;")"</f>
        <v>InitUnitNormal('IS14',,,,,,,,,,)</v>
      </c>
      <c r="CP198" s="13" t="str">
        <f t="shared" ref="CP198" si="3400">"InitUnitMagic('"&amp;B198&amp;"',"&amp;AP198&amp;","&amp;AQ198&amp;","&amp;AR198&amp;","&amp;AS198&amp;","&amp;AT198&amp;","&amp;AU198&amp;","&amp;AV198&amp;","&amp;AW198&amp;","&amp;BI198&amp;","&amp;BJ198&amp;")"</f>
        <v>InitUnitMagic('IS14',,,,,,,,,,)</v>
      </c>
      <c r="CQ198" s="13" t="str">
        <f t="shared" ref="CQ198" si="3401">"InitUnitAdd('"&amp;B198&amp;"',"&amp;BK198&amp;","&amp;BL198&amp;","&amp;BM198&amp;","&amp;BN198&amp;","&amp;BO198&amp;","&amp;BP198&amp;","&amp;BQ198&amp;","&amp;BR198&amp;","&amp;BS198&amp;","&amp;BT198&amp;")"</f>
        <v>InitUnitAdd('IS14',,,,,,,,,,)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192&amp;CR$1&amp;")"</f>
        <v>InitEquipData('IS14',,"",,,,,'','','','','','',"ReplaceableTextures\\CommandButtons\\BTNIN01.blp")</v>
      </c>
      <c r="CU198" s="72" t="str">
        <f t="shared" si="3326"/>
        <v>|n</v>
      </c>
      <c r="CV198" s="6" t="str">
        <f t="shared" si="3327"/>
        <v>升级C</v>
      </c>
      <c r="CW198" s="7"/>
      <c r="CX198" s="7"/>
      <c r="CY198" s="7"/>
      <c r="CZ198" s="7"/>
      <c r="DA198" s="7"/>
      <c r="DB198" s="44" t="str">
        <f t="shared" ref="DB198:EG198" si="3402">IF(V198="","","|n"&amp;DB$2&amp;"+"&amp;V198&amp;DB$1)</f>
        <v/>
      </c>
      <c r="DC198" s="44" t="str">
        <f t="shared" si="3402"/>
        <v/>
      </c>
      <c r="DD198" s="44" t="str">
        <f t="shared" si="3402"/>
        <v/>
      </c>
      <c r="DE198" s="44" t="str">
        <f t="shared" si="3402"/>
        <v/>
      </c>
      <c r="DF198" s="44" t="str">
        <f t="shared" si="3402"/>
        <v/>
      </c>
      <c r="DG198" s="44" t="str">
        <f t="shared" si="3402"/>
        <v/>
      </c>
      <c r="DH198" s="44" t="str">
        <f t="shared" si="3402"/>
        <v/>
      </c>
      <c r="DI198" s="44" t="str">
        <f t="shared" si="3402"/>
        <v/>
      </c>
      <c r="DJ198" s="44" t="str">
        <f t="shared" si="3402"/>
        <v/>
      </c>
      <c r="DK198" s="44" t="str">
        <f t="shared" si="3402"/>
        <v/>
      </c>
      <c r="DL198" s="44" t="str">
        <f t="shared" si="3402"/>
        <v/>
      </c>
      <c r="DM198" s="44" t="str">
        <f t="shared" si="3402"/>
        <v/>
      </c>
      <c r="DN198" s="44" t="str">
        <f t="shared" si="3402"/>
        <v/>
      </c>
      <c r="DO198" s="44" t="str">
        <f t="shared" si="3402"/>
        <v/>
      </c>
      <c r="DP198" s="44" t="str">
        <f t="shared" si="3402"/>
        <v/>
      </c>
      <c r="DQ198" s="44" t="str">
        <f t="shared" si="3402"/>
        <v/>
      </c>
      <c r="DR198" s="44" t="str">
        <f t="shared" si="3402"/>
        <v/>
      </c>
      <c r="DS198" s="44" t="str">
        <f t="shared" si="3402"/>
        <v/>
      </c>
      <c r="DT198" s="44" t="str">
        <f t="shared" si="3402"/>
        <v/>
      </c>
      <c r="DU198" s="44" t="str">
        <f t="shared" si="3402"/>
        <v/>
      </c>
      <c r="DV198" s="44" t="str">
        <f t="shared" si="3402"/>
        <v/>
      </c>
      <c r="DW198" s="44" t="str">
        <f t="shared" si="3402"/>
        <v/>
      </c>
      <c r="DX198" s="44" t="str">
        <f t="shared" si="3402"/>
        <v/>
      </c>
      <c r="DY198" s="44" t="str">
        <f t="shared" si="3402"/>
        <v/>
      </c>
      <c r="DZ198" s="44" t="str">
        <f t="shared" si="3402"/>
        <v/>
      </c>
      <c r="EA198" s="44" t="str">
        <f t="shared" si="3402"/>
        <v/>
      </c>
      <c r="EB198" s="44" t="str">
        <f t="shared" si="3402"/>
        <v/>
      </c>
      <c r="EC198" s="44" t="str">
        <f t="shared" si="3402"/>
        <v/>
      </c>
      <c r="ED198" s="44" t="str">
        <f t="shared" si="3402"/>
        <v/>
      </c>
      <c r="EE198" s="44" t="str">
        <f t="shared" si="3402"/>
        <v/>
      </c>
      <c r="EF198" s="44" t="str">
        <f t="shared" si="3402"/>
        <v/>
      </c>
      <c r="EG198" s="44" t="str">
        <f t="shared" si="3402"/>
        <v/>
      </c>
      <c r="EH198" s="44" t="str">
        <f t="shared" ref="EH198:FM198" si="3403">IF(BB198="","","|n"&amp;EH$2&amp;"+"&amp;BB198&amp;EH$1)</f>
        <v/>
      </c>
      <c r="EI198" s="44" t="str">
        <f t="shared" si="3403"/>
        <v/>
      </c>
      <c r="EJ198" s="44" t="str">
        <f t="shared" si="3403"/>
        <v/>
      </c>
      <c r="EK198" s="44" t="str">
        <f t="shared" si="3403"/>
        <v/>
      </c>
      <c r="EL198" s="44" t="str">
        <f t="shared" si="3403"/>
        <v/>
      </c>
      <c r="EM198" s="44" t="str">
        <f t="shared" si="3403"/>
        <v/>
      </c>
      <c r="EN198" s="44" t="str">
        <f t="shared" si="3403"/>
        <v/>
      </c>
      <c r="EO198" s="44" t="str">
        <f t="shared" si="3403"/>
        <v/>
      </c>
      <c r="EP198" s="44" t="str">
        <f t="shared" si="3403"/>
        <v/>
      </c>
      <c r="EQ198" s="44" t="str">
        <f t="shared" si="3403"/>
        <v/>
      </c>
      <c r="ER198" s="44" t="str">
        <f t="shared" si="3403"/>
        <v/>
      </c>
      <c r="ES198" s="44" t="str">
        <f t="shared" si="3403"/>
        <v/>
      </c>
      <c r="ET198" s="44" t="str">
        <f t="shared" si="3403"/>
        <v/>
      </c>
      <c r="EU198" s="44" t="str">
        <f t="shared" si="3403"/>
        <v/>
      </c>
      <c r="EV198" s="44" t="str">
        <f t="shared" si="3403"/>
        <v/>
      </c>
      <c r="EW198" s="44" t="str">
        <f t="shared" si="3403"/>
        <v/>
      </c>
      <c r="EX198" s="44" t="str">
        <f t="shared" si="3403"/>
        <v/>
      </c>
      <c r="EY198" s="44" t="str">
        <f t="shared" si="3403"/>
        <v/>
      </c>
      <c r="EZ198" s="44" t="str">
        <f t="shared" si="3403"/>
        <v/>
      </c>
      <c r="FA198" s="44" t="str">
        <f t="shared" si="3403"/>
        <v/>
      </c>
      <c r="FB198" s="44" t="str">
        <f t="shared" si="3403"/>
        <v/>
      </c>
      <c r="FC198" s="44" t="str">
        <f t="shared" si="3403"/>
        <v/>
      </c>
      <c r="FD198" s="44" t="str">
        <f t="shared" si="3403"/>
        <v/>
      </c>
      <c r="FE198" s="44" t="str">
        <f t="shared" si="3403"/>
        <v/>
      </c>
      <c r="FF198" s="44" t="str">
        <f t="shared" si="3403"/>
        <v/>
      </c>
      <c r="FG198" s="44" t="str">
        <f t="shared" si="3403"/>
        <v/>
      </c>
      <c r="FH198" s="44" t="str">
        <f t="shared" si="3403"/>
        <v/>
      </c>
      <c r="FI198" s="44" t="str">
        <f t="shared" si="3403"/>
        <v/>
      </c>
      <c r="FJ198" s="44" t="str">
        <f t="shared" si="3403"/>
        <v/>
      </c>
      <c r="FK198" s="44" t="str">
        <f t="shared" si="3403"/>
        <v/>
      </c>
      <c r="FL198" s="44" t="str">
        <f t="shared" si="3403"/>
        <v/>
      </c>
      <c r="FM198" s="44" t="str">
        <f t="shared" si="3403"/>
        <v/>
      </c>
      <c r="FN198" s="44" t="str">
        <f t="shared" ref="FN198:FS198" si="3404">IF(CH198="","","|n"&amp;FN$2&amp;"+"&amp;CH198&amp;FN$1)</f>
        <v/>
      </c>
      <c r="FO198" s="44" t="str">
        <f t="shared" si="3404"/>
        <v/>
      </c>
      <c r="FP198" s="44" t="str">
        <f t="shared" si="3404"/>
        <v/>
      </c>
      <c r="FQ198" s="44" t="str">
        <f t="shared" si="3404"/>
        <v/>
      </c>
      <c r="FR198" s="44" t="str">
        <f t="shared" si="3404"/>
        <v/>
      </c>
      <c r="FS198" s="44" t="str">
        <f t="shared" si="3404"/>
        <v/>
      </c>
    </row>
    <row r="199" ht="14.4" spans="1:175">
      <c r="A199" s="90"/>
      <c r="B199" s="8" t="s">
        <v>654</v>
      </c>
      <c r="C199" s="99" t="s">
        <v>655</v>
      </c>
      <c r="T199" s="37" t="s">
        <v>656</v>
      </c>
      <c r="U199" s="60" t="str">
        <f t="shared" ref="U199:U207" si="3405">"ReplaceableTextures\\CommandButtons\\BTN"&amp;B199&amp;".blp"</f>
        <v>ReplaceableTextures\\CommandButtons\\BTNIB01.blp</v>
      </c>
      <c r="CN199" s="13" t="str">
        <f t="shared" si="2864"/>
        <v>InitUnitState('IB01',,,,,,,,,,)</v>
      </c>
      <c r="CO199" s="13" t="str">
        <f t="shared" si="2865"/>
        <v>InitUnitNormal('IB01',,,,,,,,,,)</v>
      </c>
      <c r="CP199" s="13" t="str">
        <f t="shared" si="2866"/>
        <v>InitUnitMagic('IB01',,,,,,,,,,)</v>
      </c>
      <c r="CQ199" s="13" t="str">
        <f t="shared" si="2867"/>
        <v>InitUnitAdd('IB01',,,,,,,,,,)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InitEquipData('IB01',,"",,,,,'','','','','','',"ReplaceableTextures\\CommandButtons\\BTNIB02.blp")</v>
      </c>
      <c r="CU199" s="72" t="str">
        <f t="shared" ref="CU199:CU207" si="3406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407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6" si="3408">IF(V199="","","|n"&amp;DB$2&amp;"+"&amp;V199&amp;DB$1)</f>
        <v/>
      </c>
      <c r="DC199" s="44" t="str">
        <f t="shared" ref="DC199:DC206" si="3409">IF(W199="","","|n"&amp;DC$2&amp;"+"&amp;W199&amp;DC$1)</f>
        <v/>
      </c>
      <c r="DD199" s="44" t="str">
        <f t="shared" ref="DD199:DD206" si="3410">IF(X199="","","|n"&amp;DD$2&amp;"+"&amp;X199&amp;DD$1)</f>
        <v/>
      </c>
      <c r="DE199" s="44" t="str">
        <f t="shared" ref="DE199:DE206" si="3411">IF(Y199="","","|n"&amp;DE$2&amp;"+"&amp;Y199&amp;DE$1)</f>
        <v/>
      </c>
      <c r="DF199" s="44" t="str">
        <f t="shared" ref="DF199:DF206" si="3412">IF(Z199="","","|n"&amp;DF$2&amp;"+"&amp;Z199&amp;DF$1)</f>
        <v/>
      </c>
      <c r="DG199" s="44" t="str">
        <f t="shared" ref="DG199:DG206" si="3413">IF(AA199="","","|n"&amp;DG$2&amp;"+"&amp;AA199&amp;DG$1)</f>
        <v/>
      </c>
      <c r="DH199" s="44" t="str">
        <f t="shared" ref="DH199:DH206" si="3414">IF(AB199="","","|n"&amp;DH$2&amp;"+"&amp;AB199&amp;DH$1)</f>
        <v/>
      </c>
      <c r="DI199" s="44" t="str">
        <f t="shared" ref="DI199:DI206" si="3415">IF(AC199="","","|n"&amp;DI$2&amp;"+"&amp;AC199&amp;DI$1)</f>
        <v/>
      </c>
      <c r="DJ199" s="44" t="str">
        <f t="shared" ref="DJ199:DJ206" si="3416">IF(AD199="","","|n"&amp;DJ$2&amp;"+"&amp;AD199&amp;DJ$1)</f>
        <v/>
      </c>
      <c r="DK199" s="44" t="str">
        <f t="shared" ref="DK199:DK206" si="3417">IF(AE199="","","|n"&amp;DK$2&amp;"+"&amp;AE199&amp;DK$1)</f>
        <v/>
      </c>
      <c r="DL199" s="44" t="str">
        <f t="shared" ref="DL199:DL206" si="3418">IF(AF199="","","|n"&amp;DL$2&amp;"+"&amp;AF199&amp;DL$1)</f>
        <v/>
      </c>
      <c r="DM199" s="44" t="str">
        <f t="shared" ref="DM199:DM206" si="3419">IF(AG199="","","|n"&amp;DM$2&amp;"+"&amp;AG199&amp;DM$1)</f>
        <v/>
      </c>
      <c r="DN199" s="44" t="str">
        <f t="shared" ref="DN199:DN206" si="3420">IF(AH199="","","|n"&amp;DN$2&amp;"+"&amp;AH199&amp;DN$1)</f>
        <v/>
      </c>
      <c r="DO199" s="44" t="str">
        <f t="shared" ref="DO199:DO206" si="3421">IF(AI199="","","|n"&amp;DO$2&amp;"+"&amp;AI199&amp;DO$1)</f>
        <v/>
      </c>
      <c r="DP199" s="44" t="str">
        <f t="shared" ref="DP199:DP206" si="3422">IF(AJ199="","","|n"&amp;DP$2&amp;"+"&amp;AJ199&amp;DP$1)</f>
        <v/>
      </c>
      <c r="DQ199" s="44" t="str">
        <f t="shared" ref="DQ199:DQ206" si="3423">IF(AK199="","","|n"&amp;DQ$2&amp;"+"&amp;AK199&amp;DQ$1)</f>
        <v/>
      </c>
      <c r="DR199" s="44" t="str">
        <f t="shared" ref="DR199:DR206" si="3424">IF(AL199="","","|n"&amp;DR$2&amp;"+"&amp;AL199&amp;DR$1)</f>
        <v/>
      </c>
      <c r="DS199" s="44" t="str">
        <f t="shared" ref="DS199:DS206" si="3425">IF(AM199="","","|n"&amp;DS$2&amp;"+"&amp;AM199&amp;DS$1)</f>
        <v/>
      </c>
      <c r="DT199" s="44" t="str">
        <f t="shared" ref="DT199:DT206" si="3426">IF(AN199="","","|n"&amp;DT$2&amp;"+"&amp;AN199&amp;DT$1)</f>
        <v/>
      </c>
      <c r="DU199" s="44" t="str">
        <f t="shared" ref="DU199:DU206" si="3427">IF(AO199="","","|n"&amp;DU$2&amp;"+"&amp;AO199&amp;DU$1)</f>
        <v/>
      </c>
      <c r="DV199" s="44" t="str">
        <f t="shared" ref="DV199:DV206" si="3428">IF(AP199="","","|n"&amp;DV$2&amp;"+"&amp;AP199&amp;DV$1)</f>
        <v/>
      </c>
      <c r="DW199" s="44" t="str">
        <f t="shared" ref="DW199:DW206" si="3429">IF(AQ199="","","|n"&amp;DW$2&amp;"+"&amp;AQ199&amp;DW$1)</f>
        <v/>
      </c>
      <c r="DX199" s="44" t="str">
        <f t="shared" ref="DX199:DX206" si="3430">IF(AR199="","","|n"&amp;DX$2&amp;"+"&amp;AR199&amp;DX$1)</f>
        <v/>
      </c>
      <c r="DY199" s="44" t="str">
        <f t="shared" ref="DY199:DY206" si="3431">IF(AS199="","","|n"&amp;DY$2&amp;"+"&amp;AS199&amp;DY$1)</f>
        <v/>
      </c>
      <c r="DZ199" s="44" t="str">
        <f t="shared" ref="DZ199:DZ206" si="3432">IF(AT199="","","|n"&amp;DZ$2&amp;"+"&amp;AT199&amp;DZ$1)</f>
        <v/>
      </c>
      <c r="EA199" s="44" t="str">
        <f t="shared" ref="EA199:EA206" si="3433">IF(AU199="","","|n"&amp;EA$2&amp;"+"&amp;AU199&amp;EA$1)</f>
        <v/>
      </c>
      <c r="EB199" s="44" t="str">
        <f t="shared" ref="EB199:EB206" si="3434">IF(AV199="","","|n"&amp;EB$2&amp;"+"&amp;AV199&amp;EB$1)</f>
        <v/>
      </c>
      <c r="EC199" s="44" t="str">
        <f t="shared" ref="EC199:EC206" si="3435">IF(AW199="","","|n"&amp;EC$2&amp;"+"&amp;AW199&amp;EC$1)</f>
        <v/>
      </c>
      <c r="ED199" s="44" t="str">
        <f t="shared" ref="ED199:ED206" si="3436">IF(AX199="","","|n"&amp;ED$2&amp;"+"&amp;AX199&amp;ED$1)</f>
        <v/>
      </c>
      <c r="EE199" s="44" t="str">
        <f t="shared" ref="EE199:EE206" si="3437">IF(AY199="","","|n"&amp;EE$2&amp;"+"&amp;AY199&amp;EE$1)</f>
        <v/>
      </c>
      <c r="EF199" s="44" t="str">
        <f t="shared" ref="EF199:EF206" si="3438">IF(AZ199="","","|n"&amp;EF$2&amp;"+"&amp;AZ199&amp;EF$1)</f>
        <v/>
      </c>
      <c r="EG199" s="44" t="str">
        <f t="shared" ref="EG199:EG206" si="3439">IF(BA199="","","|n"&amp;EG$2&amp;"+"&amp;BA199&amp;EG$1)</f>
        <v/>
      </c>
      <c r="EH199" s="44" t="str">
        <f t="shared" ref="EH199:EH206" si="3440">IF(BB199="","","|n"&amp;EH$2&amp;"+"&amp;BB199&amp;EH$1)</f>
        <v/>
      </c>
      <c r="EI199" s="44" t="str">
        <f t="shared" ref="EI199:EI206" si="3441">IF(BC199="","","|n"&amp;EI$2&amp;"+"&amp;BC199&amp;EI$1)</f>
        <v/>
      </c>
      <c r="EJ199" s="44" t="str">
        <f t="shared" ref="EJ199:EJ206" si="3442">IF(BD199="","","|n"&amp;EJ$2&amp;"+"&amp;BD199&amp;EJ$1)</f>
        <v/>
      </c>
      <c r="EK199" s="44" t="str">
        <f t="shared" ref="EK199:EK206" si="3443">IF(BE199="","","|n"&amp;EK$2&amp;"+"&amp;BE199&amp;EK$1)</f>
        <v/>
      </c>
      <c r="EL199" s="44" t="str">
        <f t="shared" ref="EL199:EL206" si="3444">IF(BF199="","","|n"&amp;EL$2&amp;"+"&amp;BF199&amp;EL$1)</f>
        <v/>
      </c>
      <c r="EM199" s="44" t="str">
        <f t="shared" ref="EM199:EM206" si="3445">IF(BG199="","","|n"&amp;EM$2&amp;"+"&amp;BG199&amp;EM$1)</f>
        <v/>
      </c>
      <c r="EN199" s="44" t="str">
        <f t="shared" ref="EN199:EN206" si="3446">IF(BH199="","","|n"&amp;EN$2&amp;"+"&amp;BH199&amp;EN$1)</f>
        <v/>
      </c>
      <c r="EO199" s="44" t="str">
        <f t="shared" ref="EO199:EO206" si="3447">IF(BI199="","","|n"&amp;EO$2&amp;"+"&amp;BI199&amp;EO$1)</f>
        <v/>
      </c>
      <c r="EP199" s="44" t="str">
        <f t="shared" ref="EP199:EP206" si="3448">IF(BJ199="","","|n"&amp;EP$2&amp;"+"&amp;BJ199&amp;EP$1)</f>
        <v/>
      </c>
      <c r="EQ199" s="44" t="str">
        <f t="shared" ref="EQ199:EQ206" si="3449">IF(BK199="","","|n"&amp;EQ$2&amp;"+"&amp;BK199&amp;EQ$1)</f>
        <v/>
      </c>
      <c r="ER199" s="44" t="str">
        <f t="shared" ref="ER199:ER206" si="3450">IF(BL199="","","|n"&amp;ER$2&amp;"+"&amp;BL199&amp;ER$1)</f>
        <v/>
      </c>
      <c r="ES199" s="44" t="str">
        <f t="shared" ref="ES199:ES206" si="3451">IF(BM199="","","|n"&amp;ES$2&amp;"+"&amp;BM199&amp;ES$1)</f>
        <v/>
      </c>
      <c r="ET199" s="44" t="str">
        <f t="shared" ref="ET199:ET206" si="3452">IF(BN199="","","|n"&amp;ET$2&amp;"+"&amp;BN199&amp;ET$1)</f>
        <v/>
      </c>
      <c r="EU199" s="44" t="str">
        <f t="shared" ref="EU199:EU206" si="3453">IF(BO199="","","|n"&amp;EU$2&amp;"+"&amp;BO199&amp;EU$1)</f>
        <v/>
      </c>
      <c r="EV199" s="44" t="str">
        <f t="shared" ref="EV199:EV206" si="3454">IF(BP199="","","|n"&amp;EV$2&amp;"+"&amp;BP199&amp;EV$1)</f>
        <v/>
      </c>
      <c r="EW199" s="44" t="str">
        <f t="shared" ref="EW199:EW206" si="3455">IF(BQ199="","","|n"&amp;EW$2&amp;"+"&amp;BQ199&amp;EW$1)</f>
        <v/>
      </c>
      <c r="EX199" s="44" t="str">
        <f t="shared" ref="EX199:EX206" si="3456">IF(BR199="","","|n"&amp;EX$2&amp;"+"&amp;BR199&amp;EX$1)</f>
        <v/>
      </c>
      <c r="EY199" s="44" t="str">
        <f t="shared" ref="EY199:EY206" si="3457">IF(BS199="","","|n"&amp;EY$2&amp;"+"&amp;BS199&amp;EY$1)</f>
        <v/>
      </c>
      <c r="EZ199" s="44" t="str">
        <f t="shared" ref="EZ199:EZ206" si="3458">IF(BT199="","","|n"&amp;EZ$2&amp;"+"&amp;BT199&amp;EZ$1)</f>
        <v/>
      </c>
      <c r="FA199" s="44" t="str">
        <f t="shared" ref="FA199:FA206" si="3459">IF(BU199="","","|n"&amp;FA$2&amp;"+"&amp;BU199&amp;FA$1)</f>
        <v/>
      </c>
      <c r="FB199" s="44" t="str">
        <f t="shared" ref="FB199:FB206" si="3460">IF(BV199="","","|n"&amp;FB$2&amp;"+"&amp;BV199&amp;FB$1)</f>
        <v/>
      </c>
      <c r="FC199" s="44" t="str">
        <f t="shared" ref="FC199:FC206" si="3461">IF(BW199="","","|n"&amp;FC$2&amp;"+"&amp;BW199&amp;FC$1)</f>
        <v/>
      </c>
      <c r="FD199" s="44" t="str">
        <f t="shared" ref="FD199:FD206" si="3462">IF(BX199="","","|n"&amp;FD$2&amp;"+"&amp;BX199&amp;FD$1)</f>
        <v/>
      </c>
      <c r="FE199" s="44" t="str">
        <f t="shared" ref="FE199:FE206" si="3463">IF(BY199="","","|n"&amp;FE$2&amp;"+"&amp;BY199&amp;FE$1)</f>
        <v/>
      </c>
      <c r="FF199" s="44" t="str">
        <f t="shared" ref="FF199:FF206" si="3464">IF(BZ199="","","|n"&amp;FF$2&amp;"+"&amp;BZ199&amp;FF$1)</f>
        <v/>
      </c>
      <c r="FG199" s="44" t="str">
        <f t="shared" ref="FG199:FG206" si="3465">IF(CA199="","","|n"&amp;FG$2&amp;"+"&amp;CA199&amp;FG$1)</f>
        <v/>
      </c>
      <c r="FH199" s="44" t="str">
        <f t="shared" ref="FH199:FH206" si="3466">IF(CB199="","","|n"&amp;FH$2&amp;"+"&amp;CB199&amp;FH$1)</f>
        <v/>
      </c>
      <c r="FI199" s="44" t="str">
        <f t="shared" ref="FI199:FI206" si="3467">IF(CC199="","","|n"&amp;FI$2&amp;"+"&amp;CC199&amp;FI$1)</f>
        <v/>
      </c>
      <c r="FJ199" s="44" t="str">
        <f t="shared" ref="FJ199:FJ206" si="3468">IF(CD199="","","|n"&amp;FJ$2&amp;"+"&amp;CD199&amp;FJ$1)</f>
        <v/>
      </c>
      <c r="FK199" s="44" t="str">
        <f t="shared" ref="FK199:FK206" si="3469">IF(CE199="","","|n"&amp;FK$2&amp;"+"&amp;CE199&amp;FK$1)</f>
        <v/>
      </c>
      <c r="FL199" s="44" t="str">
        <f t="shared" ref="FL199:FL206" si="3470">IF(CF199="","","|n"&amp;FL$2&amp;"+"&amp;CF199&amp;FL$1)</f>
        <v/>
      </c>
      <c r="FM199" s="44" t="str">
        <f t="shared" ref="FM199:FM206" si="3471">IF(CG199="","","|n"&amp;FM$2&amp;"+"&amp;CG199&amp;FM$1)</f>
        <v/>
      </c>
      <c r="FN199" s="44" t="str">
        <f t="shared" ref="FN199:FN206" si="3472">IF(CH199="","","|n"&amp;FN$2&amp;"+"&amp;CH199&amp;FN$1)</f>
        <v/>
      </c>
      <c r="FO199" s="44" t="str">
        <f t="shared" ref="FO199:FO206" si="3473">IF(CI199="","","|n"&amp;FO$2&amp;"+"&amp;CI199&amp;FO$1)</f>
        <v/>
      </c>
      <c r="FP199" s="44" t="str">
        <f t="shared" ref="FP199:FP206" si="3474">IF(CJ199="","","|n"&amp;FP$2&amp;"+"&amp;CJ199&amp;FP$1)</f>
        <v/>
      </c>
      <c r="FQ199" s="44" t="str">
        <f t="shared" ref="FQ199:FQ206" si="3475">IF(CK199="","","|n"&amp;FQ$2&amp;"+"&amp;CK199&amp;FQ$1)</f>
        <v/>
      </c>
      <c r="FR199" s="44" t="str">
        <f t="shared" ref="FR199:FR206" si="3476">IF(CL199="","","|n"&amp;FR$2&amp;"+"&amp;CL199&amp;FR$1)</f>
        <v/>
      </c>
      <c r="FS199" s="44" t="str">
        <f t="shared" ref="FS199:FS206" si="3477">IF(CM199="","","|n"&amp;FS$2&amp;"+"&amp;CM199&amp;FS$1)</f>
        <v/>
      </c>
    </row>
    <row r="200" ht="14.4" spans="1:175">
      <c r="A200" s="90"/>
      <c r="B200" s="8" t="s">
        <v>657</v>
      </c>
      <c r="C200" s="99" t="s">
        <v>658</v>
      </c>
      <c r="T200" s="37" t="s">
        <v>659</v>
      </c>
      <c r="U200" s="60" t="str">
        <f t="shared" si="3405"/>
        <v>ReplaceableTextures\\CommandButtons\\BTNIB02.blp</v>
      </c>
      <c r="CN200" s="13" t="str">
        <f t="shared" si="2864"/>
        <v>InitUnitState('IB02',,,,,,,,,,)</v>
      </c>
      <c r="CO200" s="13" t="str">
        <f t="shared" si="2865"/>
        <v>InitUnitNormal('IB02',,,,,,,,,,)</v>
      </c>
      <c r="CP200" s="13" t="str">
        <f t="shared" si="2866"/>
        <v>InitUnitMagic('IB02',,,,,,,,,,)</v>
      </c>
      <c r="CQ200" s="13" t="str">
        <f t="shared" si="2867"/>
        <v>InitUnitAdd('IB02',,,,,,,,,,)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InitEquipData('IB02',,"",,,,,'','','','','','',"ReplaceableTextures\\CommandButtons\\BTNIB03.blp")</v>
      </c>
      <c r="CU200" s="72" t="str">
        <f t="shared" si="3406"/>
        <v>|n</v>
      </c>
      <c r="CV200" s="6" t="str">
        <f t="shared" si="3407"/>
        <v>加入《|cff00ffcc全民封神|r》官方QQ群，即可获得入群礼包码！|n|n输入礼包码即可获得：|n|cffffcc33金币+2000|n每秒攻击+2|n每秒业力+1|r</v>
      </c>
      <c r="CW200" s="7"/>
      <c r="CX200" s="7"/>
      <c r="CY200" s="7"/>
      <c r="CZ200" s="7"/>
      <c r="DA200" s="7"/>
      <c r="DB200" s="44" t="str">
        <f t="shared" si="3408"/>
        <v/>
      </c>
      <c r="DC200" s="44" t="str">
        <f t="shared" si="3409"/>
        <v/>
      </c>
      <c r="DD200" s="44" t="str">
        <f t="shared" si="3410"/>
        <v/>
      </c>
      <c r="DE200" s="44" t="str">
        <f t="shared" si="3411"/>
        <v/>
      </c>
      <c r="DF200" s="44" t="str">
        <f t="shared" si="3412"/>
        <v/>
      </c>
      <c r="DG200" s="44" t="str">
        <f t="shared" si="3413"/>
        <v/>
      </c>
      <c r="DH200" s="44" t="str">
        <f t="shared" si="3414"/>
        <v/>
      </c>
      <c r="DI200" s="44" t="str">
        <f t="shared" si="3415"/>
        <v/>
      </c>
      <c r="DJ200" s="44" t="str">
        <f t="shared" si="3416"/>
        <v/>
      </c>
      <c r="DK200" s="44" t="str">
        <f t="shared" si="3417"/>
        <v/>
      </c>
      <c r="DL200" s="44" t="str">
        <f t="shared" si="3418"/>
        <v/>
      </c>
      <c r="DM200" s="44" t="str">
        <f t="shared" si="3419"/>
        <v/>
      </c>
      <c r="DN200" s="44" t="str">
        <f t="shared" si="3420"/>
        <v/>
      </c>
      <c r="DO200" s="44" t="str">
        <f t="shared" si="3421"/>
        <v/>
      </c>
      <c r="DP200" s="44" t="str">
        <f t="shared" si="3422"/>
        <v/>
      </c>
      <c r="DQ200" s="44" t="str">
        <f t="shared" si="3423"/>
        <v/>
      </c>
      <c r="DR200" s="44" t="str">
        <f t="shared" si="3424"/>
        <v/>
      </c>
      <c r="DS200" s="44" t="str">
        <f t="shared" si="3425"/>
        <v/>
      </c>
      <c r="DT200" s="44" t="str">
        <f t="shared" si="3426"/>
        <v/>
      </c>
      <c r="DU200" s="44" t="str">
        <f t="shared" si="3427"/>
        <v/>
      </c>
      <c r="DV200" s="44" t="str">
        <f t="shared" si="3428"/>
        <v/>
      </c>
      <c r="DW200" s="44" t="str">
        <f t="shared" si="3429"/>
        <v/>
      </c>
      <c r="DX200" s="44" t="str">
        <f t="shared" si="3430"/>
        <v/>
      </c>
      <c r="DY200" s="44" t="str">
        <f t="shared" si="3431"/>
        <v/>
      </c>
      <c r="DZ200" s="44" t="str">
        <f t="shared" si="3432"/>
        <v/>
      </c>
      <c r="EA200" s="44" t="str">
        <f t="shared" si="3433"/>
        <v/>
      </c>
      <c r="EB200" s="44" t="str">
        <f t="shared" si="3434"/>
        <v/>
      </c>
      <c r="EC200" s="44" t="str">
        <f t="shared" si="3435"/>
        <v/>
      </c>
      <c r="ED200" s="44" t="str">
        <f t="shared" si="3436"/>
        <v/>
      </c>
      <c r="EE200" s="44" t="str">
        <f t="shared" si="3437"/>
        <v/>
      </c>
      <c r="EF200" s="44" t="str">
        <f t="shared" si="3438"/>
        <v/>
      </c>
      <c r="EG200" s="44" t="str">
        <f t="shared" si="3439"/>
        <v/>
      </c>
      <c r="EH200" s="44" t="str">
        <f t="shared" si="3440"/>
        <v/>
      </c>
      <c r="EI200" s="44" t="str">
        <f t="shared" si="3441"/>
        <v/>
      </c>
      <c r="EJ200" s="44" t="str">
        <f t="shared" si="3442"/>
        <v/>
      </c>
      <c r="EK200" s="44" t="str">
        <f t="shared" si="3443"/>
        <v/>
      </c>
      <c r="EL200" s="44" t="str">
        <f t="shared" si="3444"/>
        <v/>
      </c>
      <c r="EM200" s="44" t="str">
        <f t="shared" si="3445"/>
        <v/>
      </c>
      <c r="EN200" s="44" t="str">
        <f t="shared" si="3446"/>
        <v/>
      </c>
      <c r="EO200" s="44" t="str">
        <f t="shared" si="3447"/>
        <v/>
      </c>
      <c r="EP200" s="44" t="str">
        <f t="shared" si="3448"/>
        <v/>
      </c>
      <c r="EQ200" s="44" t="str">
        <f t="shared" si="3449"/>
        <v/>
      </c>
      <c r="ER200" s="44" t="str">
        <f t="shared" si="3450"/>
        <v/>
      </c>
      <c r="ES200" s="44" t="str">
        <f t="shared" si="3451"/>
        <v/>
      </c>
      <c r="ET200" s="44" t="str">
        <f t="shared" si="3452"/>
        <v/>
      </c>
      <c r="EU200" s="44" t="str">
        <f t="shared" si="3453"/>
        <v/>
      </c>
      <c r="EV200" s="44" t="str">
        <f t="shared" si="3454"/>
        <v/>
      </c>
      <c r="EW200" s="44" t="str">
        <f t="shared" si="3455"/>
        <v/>
      </c>
      <c r="EX200" s="44" t="str">
        <f t="shared" si="3456"/>
        <v/>
      </c>
      <c r="EY200" s="44" t="str">
        <f t="shared" si="3457"/>
        <v/>
      </c>
      <c r="EZ200" s="44" t="str">
        <f t="shared" si="3458"/>
        <v/>
      </c>
      <c r="FA200" s="44" t="str">
        <f t="shared" si="3459"/>
        <v/>
      </c>
      <c r="FB200" s="44" t="str">
        <f t="shared" si="3460"/>
        <v/>
      </c>
      <c r="FC200" s="44" t="str">
        <f t="shared" si="3461"/>
        <v/>
      </c>
      <c r="FD200" s="44" t="str">
        <f t="shared" si="3462"/>
        <v/>
      </c>
      <c r="FE200" s="44" t="str">
        <f t="shared" si="3463"/>
        <v/>
      </c>
      <c r="FF200" s="44" t="str">
        <f t="shared" si="3464"/>
        <v/>
      </c>
      <c r="FG200" s="44" t="str">
        <f t="shared" si="3465"/>
        <v/>
      </c>
      <c r="FH200" s="44" t="str">
        <f t="shared" si="3466"/>
        <v/>
      </c>
      <c r="FI200" s="44" t="str">
        <f t="shared" si="3467"/>
        <v/>
      </c>
      <c r="FJ200" s="44" t="str">
        <f t="shared" si="3468"/>
        <v/>
      </c>
      <c r="FK200" s="44" t="str">
        <f t="shared" si="3469"/>
        <v/>
      </c>
      <c r="FL200" s="44" t="str">
        <f t="shared" si="3470"/>
        <v/>
      </c>
      <c r="FM200" s="44" t="str">
        <f t="shared" si="3471"/>
        <v/>
      </c>
      <c r="FN200" s="44" t="str">
        <f t="shared" si="3472"/>
        <v/>
      </c>
      <c r="FO200" s="44" t="str">
        <f t="shared" si="3473"/>
        <v/>
      </c>
      <c r="FP200" s="44" t="str">
        <f t="shared" si="3474"/>
        <v/>
      </c>
      <c r="FQ200" s="44" t="str">
        <f t="shared" si="3475"/>
        <v/>
      </c>
      <c r="FR200" s="44" t="str">
        <f t="shared" si="3476"/>
        <v/>
      </c>
      <c r="FS200" s="44" t="str">
        <f t="shared" si="3477"/>
        <v/>
      </c>
    </row>
    <row r="201" ht="14.4" spans="1:175">
      <c r="A201" s="90"/>
      <c r="B201" s="8" t="s">
        <v>660</v>
      </c>
      <c r="C201" s="99" t="s">
        <v>661</v>
      </c>
      <c r="T201" s="37" t="s">
        <v>662</v>
      </c>
      <c r="U201" s="60" t="str">
        <f t="shared" si="3405"/>
        <v>ReplaceableTextures\\CommandButtons\\BTNIB03.blp</v>
      </c>
      <c r="CN201" s="13" t="str">
        <f t="shared" si="2864"/>
        <v>InitUnitState('IB03',,,,,,,,,,)</v>
      </c>
      <c r="CO201" s="13" t="str">
        <f t="shared" si="2865"/>
        <v>InitUnitNormal('IB03',,,,,,,,,,)</v>
      </c>
      <c r="CP201" s="13" t="str">
        <f t="shared" si="2866"/>
        <v>InitUnitMagic('IB03',,,,,,,,,,)</v>
      </c>
      <c r="CQ201" s="13" t="str">
        <f t="shared" si="2867"/>
        <v>InitUnitAdd('IB03',,,,,,,,,,)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InitEquipData('IB03',,"",,,,,'','','','','','',"ReplaceableTextures\\CommandButtons\\BTNIB04.blp")</v>
      </c>
      <c r="CU201" s="72" t="str">
        <f t="shared" si="3406"/>
        <v>|n</v>
      </c>
      <c r="CV201" s="6" t="str">
        <f t="shared" si="3407"/>
        <v>|cff99ccff给与地图有效评论建议|r即可领取：|n|cffffff00杀敌生命+5|n杀敌业力+1|n|r|cffffcc33每级通行证永久增加3点杀敌生命奖励！|n|n|r|cff808080地图等级达到3级可领取|r</v>
      </c>
      <c r="CW201" s="7"/>
      <c r="CX201" s="7"/>
      <c r="CY201" s="7"/>
      <c r="CZ201" s="7"/>
      <c r="DA201" s="7"/>
      <c r="DB201" s="44" t="str">
        <f t="shared" si="3408"/>
        <v/>
      </c>
      <c r="DC201" s="44" t="str">
        <f t="shared" si="3409"/>
        <v/>
      </c>
      <c r="DD201" s="44" t="str">
        <f t="shared" si="3410"/>
        <v/>
      </c>
      <c r="DE201" s="44" t="str">
        <f t="shared" si="3411"/>
        <v/>
      </c>
      <c r="DF201" s="44" t="str">
        <f t="shared" si="3412"/>
        <v/>
      </c>
      <c r="DG201" s="44" t="str">
        <f t="shared" si="3413"/>
        <v/>
      </c>
      <c r="DH201" s="44" t="str">
        <f t="shared" si="3414"/>
        <v/>
      </c>
      <c r="DI201" s="44" t="str">
        <f t="shared" si="3415"/>
        <v/>
      </c>
      <c r="DJ201" s="44" t="str">
        <f t="shared" si="3416"/>
        <v/>
      </c>
      <c r="DK201" s="44" t="str">
        <f t="shared" si="3417"/>
        <v/>
      </c>
      <c r="DL201" s="44" t="str">
        <f t="shared" si="3418"/>
        <v/>
      </c>
      <c r="DM201" s="44" t="str">
        <f t="shared" si="3419"/>
        <v/>
      </c>
      <c r="DN201" s="44" t="str">
        <f t="shared" si="3420"/>
        <v/>
      </c>
      <c r="DO201" s="44" t="str">
        <f t="shared" si="3421"/>
        <v/>
      </c>
      <c r="DP201" s="44" t="str">
        <f t="shared" si="3422"/>
        <v/>
      </c>
      <c r="DQ201" s="44" t="str">
        <f t="shared" si="3423"/>
        <v/>
      </c>
      <c r="DR201" s="44" t="str">
        <f t="shared" si="3424"/>
        <v/>
      </c>
      <c r="DS201" s="44" t="str">
        <f t="shared" si="3425"/>
        <v/>
      </c>
      <c r="DT201" s="44" t="str">
        <f t="shared" si="3426"/>
        <v/>
      </c>
      <c r="DU201" s="44" t="str">
        <f t="shared" si="3427"/>
        <v/>
      </c>
      <c r="DV201" s="44" t="str">
        <f t="shared" si="3428"/>
        <v/>
      </c>
      <c r="DW201" s="44" t="str">
        <f t="shared" si="3429"/>
        <v/>
      </c>
      <c r="DX201" s="44" t="str">
        <f t="shared" si="3430"/>
        <v/>
      </c>
      <c r="DY201" s="44" t="str">
        <f t="shared" si="3431"/>
        <v/>
      </c>
      <c r="DZ201" s="44" t="str">
        <f t="shared" si="3432"/>
        <v/>
      </c>
      <c r="EA201" s="44" t="str">
        <f t="shared" si="3433"/>
        <v/>
      </c>
      <c r="EB201" s="44" t="str">
        <f t="shared" si="3434"/>
        <v/>
      </c>
      <c r="EC201" s="44" t="str">
        <f t="shared" si="3435"/>
        <v/>
      </c>
      <c r="ED201" s="44" t="str">
        <f t="shared" si="3436"/>
        <v/>
      </c>
      <c r="EE201" s="44" t="str">
        <f t="shared" si="3437"/>
        <v/>
      </c>
      <c r="EF201" s="44" t="str">
        <f t="shared" si="3438"/>
        <v/>
      </c>
      <c r="EG201" s="44" t="str">
        <f t="shared" si="3439"/>
        <v/>
      </c>
      <c r="EH201" s="44" t="str">
        <f t="shared" si="3440"/>
        <v/>
      </c>
      <c r="EI201" s="44" t="str">
        <f t="shared" si="3441"/>
        <v/>
      </c>
      <c r="EJ201" s="44" t="str">
        <f t="shared" si="3442"/>
        <v/>
      </c>
      <c r="EK201" s="44" t="str">
        <f t="shared" si="3443"/>
        <v/>
      </c>
      <c r="EL201" s="44" t="str">
        <f t="shared" si="3444"/>
        <v/>
      </c>
      <c r="EM201" s="44" t="str">
        <f t="shared" si="3445"/>
        <v/>
      </c>
      <c r="EN201" s="44" t="str">
        <f t="shared" si="3446"/>
        <v/>
      </c>
      <c r="EO201" s="44" t="str">
        <f t="shared" si="3447"/>
        <v/>
      </c>
      <c r="EP201" s="44" t="str">
        <f t="shared" si="3448"/>
        <v/>
      </c>
      <c r="EQ201" s="44" t="str">
        <f t="shared" si="3449"/>
        <v/>
      </c>
      <c r="ER201" s="44" t="str">
        <f t="shared" si="3450"/>
        <v/>
      </c>
      <c r="ES201" s="44" t="str">
        <f t="shared" si="3451"/>
        <v/>
      </c>
      <c r="ET201" s="44" t="str">
        <f t="shared" si="3452"/>
        <v/>
      </c>
      <c r="EU201" s="44" t="str">
        <f t="shared" si="3453"/>
        <v/>
      </c>
      <c r="EV201" s="44" t="str">
        <f t="shared" si="3454"/>
        <v/>
      </c>
      <c r="EW201" s="44" t="str">
        <f t="shared" si="3455"/>
        <v/>
      </c>
      <c r="EX201" s="44" t="str">
        <f t="shared" si="3456"/>
        <v/>
      </c>
      <c r="EY201" s="44" t="str">
        <f t="shared" si="3457"/>
        <v/>
      </c>
      <c r="EZ201" s="44" t="str">
        <f t="shared" si="3458"/>
        <v/>
      </c>
      <c r="FA201" s="44" t="str">
        <f t="shared" si="3459"/>
        <v/>
      </c>
      <c r="FB201" s="44" t="str">
        <f t="shared" si="3460"/>
        <v/>
      </c>
      <c r="FC201" s="44" t="str">
        <f t="shared" si="3461"/>
        <v/>
      </c>
      <c r="FD201" s="44" t="str">
        <f t="shared" si="3462"/>
        <v/>
      </c>
      <c r="FE201" s="44" t="str">
        <f t="shared" si="3463"/>
        <v/>
      </c>
      <c r="FF201" s="44" t="str">
        <f t="shared" si="3464"/>
        <v/>
      </c>
      <c r="FG201" s="44" t="str">
        <f t="shared" si="3465"/>
        <v/>
      </c>
      <c r="FH201" s="44" t="str">
        <f t="shared" si="3466"/>
        <v/>
      </c>
      <c r="FI201" s="44" t="str">
        <f t="shared" si="3467"/>
        <v/>
      </c>
      <c r="FJ201" s="44" t="str">
        <f t="shared" si="3468"/>
        <v/>
      </c>
      <c r="FK201" s="44" t="str">
        <f t="shared" si="3469"/>
        <v/>
      </c>
      <c r="FL201" s="44" t="str">
        <f t="shared" si="3470"/>
        <v/>
      </c>
      <c r="FM201" s="44" t="str">
        <f t="shared" si="3471"/>
        <v/>
      </c>
      <c r="FN201" s="44" t="str">
        <f t="shared" si="3472"/>
        <v/>
      </c>
      <c r="FO201" s="44" t="str">
        <f t="shared" si="3473"/>
        <v/>
      </c>
      <c r="FP201" s="44" t="str">
        <f t="shared" si="3474"/>
        <v/>
      </c>
      <c r="FQ201" s="44" t="str">
        <f t="shared" si="3475"/>
        <v/>
      </c>
      <c r="FR201" s="44" t="str">
        <f t="shared" si="3476"/>
        <v/>
      </c>
      <c r="FS201" s="44" t="str">
        <f t="shared" si="3477"/>
        <v/>
      </c>
    </row>
    <row r="202" ht="14.4" spans="1:175">
      <c r="A202" s="90"/>
      <c r="B202" s="8" t="s">
        <v>663</v>
      </c>
      <c r="C202" s="99" t="s">
        <v>664</v>
      </c>
      <c r="T202" s="37" t="s">
        <v>665</v>
      </c>
      <c r="U202" s="60" t="str">
        <f t="shared" si="3405"/>
        <v>ReplaceableTextures\\CommandButtons\\BTNIB04.blp</v>
      </c>
      <c r="CN202" s="13" t="str">
        <f t="shared" ref="CN202:CN208" si="3478">"InitUnitState('"&amp;B202&amp;"',"&amp;V202&amp;","&amp;W202&amp;","&amp;X202&amp;","&amp;Y202&amp;","&amp;Z202&amp;","&amp;AA202&amp;","&amp;AB202&amp;","&amp;AC202&amp;","&amp;AD202&amp;","&amp;AE202&amp;")"</f>
        <v>InitUnitState('IB04',,,,,,,,,,)</v>
      </c>
      <c r="CO202" s="13" t="str">
        <f t="shared" ref="CO202:CO208" si="3479">"InitUnitNormal('"&amp;B202&amp;"',"&amp;AF202&amp;","&amp;AG202&amp;","&amp;AH202&amp;","&amp;AI202&amp;","&amp;AJ202&amp;","&amp;AK202&amp;","&amp;AL202&amp;","&amp;AM202&amp;","&amp;AN202&amp;","&amp;AO202&amp;")"</f>
        <v>InitUnitNormal('IB04',,,,,,,,,,)</v>
      </c>
      <c r="CP202" s="13" t="str">
        <f t="shared" ref="CP202:CP208" si="3480">"InitUnitMagic('"&amp;B202&amp;"',"&amp;AP202&amp;","&amp;AQ202&amp;","&amp;AR202&amp;","&amp;AS202&amp;","&amp;AT202&amp;","&amp;AU202&amp;","&amp;AV202&amp;","&amp;AW202&amp;","&amp;BI202&amp;","&amp;BJ202&amp;")"</f>
        <v>InitUnitMagic('IB04',,,,,,,,,,)</v>
      </c>
      <c r="CQ202" s="13" t="str">
        <f t="shared" ref="CQ202:CQ208" si="3481">"InitUnitAdd('"&amp;B202&amp;"',"&amp;BK202&amp;","&amp;BL202&amp;","&amp;BM202&amp;","&amp;BN202&amp;","&amp;BO202&amp;","&amp;BP202&amp;","&amp;BQ202&amp;","&amp;BR202&amp;","&amp;BS202&amp;","&amp;BT202&amp;")"</f>
        <v>InitUnitAdd('IB04',,,,,,,,,,)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InitEquipData('IB04',,"",,,,,'','','','','','',"ReplaceableTextures\\CommandButtons\\BTNIB05.blp")</v>
      </c>
      <c r="CU202" s="72" t="str">
        <f t="shared" si="3406"/>
        <v>|n</v>
      </c>
      <c r="CV202" s="6" t="str">
        <f t="shared" si="3407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408"/>
        <v/>
      </c>
      <c r="DC202" s="44" t="str">
        <f t="shared" si="3409"/>
        <v/>
      </c>
      <c r="DD202" s="44" t="str">
        <f t="shared" si="3410"/>
        <v/>
      </c>
      <c r="DE202" s="44" t="str">
        <f t="shared" si="3411"/>
        <v/>
      </c>
      <c r="DF202" s="44" t="str">
        <f t="shared" si="3412"/>
        <v/>
      </c>
      <c r="DG202" s="44" t="str">
        <f t="shared" si="3413"/>
        <v/>
      </c>
      <c r="DH202" s="44" t="str">
        <f t="shared" si="3414"/>
        <v/>
      </c>
      <c r="DI202" s="44" t="str">
        <f t="shared" si="3415"/>
        <v/>
      </c>
      <c r="DJ202" s="44" t="str">
        <f t="shared" si="3416"/>
        <v/>
      </c>
      <c r="DK202" s="44" t="str">
        <f t="shared" si="3417"/>
        <v/>
      </c>
      <c r="DL202" s="44" t="str">
        <f t="shared" si="3418"/>
        <v/>
      </c>
      <c r="DM202" s="44" t="str">
        <f t="shared" si="3419"/>
        <v/>
      </c>
      <c r="DN202" s="44" t="str">
        <f t="shared" si="3420"/>
        <v/>
      </c>
      <c r="DO202" s="44" t="str">
        <f t="shared" si="3421"/>
        <v/>
      </c>
      <c r="DP202" s="44" t="str">
        <f t="shared" si="3422"/>
        <v/>
      </c>
      <c r="DQ202" s="44" t="str">
        <f t="shared" si="3423"/>
        <v/>
      </c>
      <c r="DR202" s="44" t="str">
        <f t="shared" si="3424"/>
        <v/>
      </c>
      <c r="DS202" s="44" t="str">
        <f t="shared" si="3425"/>
        <v/>
      </c>
      <c r="DT202" s="44" t="str">
        <f t="shared" si="3426"/>
        <v/>
      </c>
      <c r="DU202" s="44" t="str">
        <f t="shared" si="3427"/>
        <v/>
      </c>
      <c r="DV202" s="44" t="str">
        <f t="shared" si="3428"/>
        <v/>
      </c>
      <c r="DW202" s="44" t="str">
        <f t="shared" si="3429"/>
        <v/>
      </c>
      <c r="DX202" s="44" t="str">
        <f t="shared" si="3430"/>
        <v/>
      </c>
      <c r="DY202" s="44" t="str">
        <f t="shared" si="3431"/>
        <v/>
      </c>
      <c r="DZ202" s="44" t="str">
        <f t="shared" si="3432"/>
        <v/>
      </c>
      <c r="EA202" s="44" t="str">
        <f t="shared" si="3433"/>
        <v/>
      </c>
      <c r="EB202" s="44" t="str">
        <f t="shared" si="3434"/>
        <v/>
      </c>
      <c r="EC202" s="44" t="str">
        <f t="shared" si="3435"/>
        <v/>
      </c>
      <c r="ED202" s="44" t="str">
        <f t="shared" si="3436"/>
        <v/>
      </c>
      <c r="EE202" s="44" t="str">
        <f t="shared" si="3437"/>
        <v/>
      </c>
      <c r="EF202" s="44" t="str">
        <f t="shared" si="3438"/>
        <v/>
      </c>
      <c r="EG202" s="44" t="str">
        <f t="shared" si="3439"/>
        <v/>
      </c>
      <c r="EH202" s="44" t="str">
        <f t="shared" si="3440"/>
        <v/>
      </c>
      <c r="EI202" s="44" t="str">
        <f t="shared" si="3441"/>
        <v/>
      </c>
      <c r="EJ202" s="44" t="str">
        <f t="shared" si="3442"/>
        <v/>
      </c>
      <c r="EK202" s="44" t="str">
        <f t="shared" si="3443"/>
        <v/>
      </c>
      <c r="EL202" s="44" t="str">
        <f t="shared" si="3444"/>
        <v/>
      </c>
      <c r="EM202" s="44" t="str">
        <f t="shared" si="3445"/>
        <v/>
      </c>
      <c r="EN202" s="44" t="str">
        <f t="shared" si="3446"/>
        <v/>
      </c>
      <c r="EO202" s="44" t="str">
        <f t="shared" si="3447"/>
        <v/>
      </c>
      <c r="EP202" s="44" t="str">
        <f t="shared" si="3448"/>
        <v/>
      </c>
      <c r="EQ202" s="44" t="str">
        <f t="shared" si="3449"/>
        <v/>
      </c>
      <c r="ER202" s="44" t="str">
        <f t="shared" si="3450"/>
        <v/>
      </c>
      <c r="ES202" s="44" t="str">
        <f t="shared" si="3451"/>
        <v/>
      </c>
      <c r="ET202" s="44" t="str">
        <f t="shared" si="3452"/>
        <v/>
      </c>
      <c r="EU202" s="44" t="str">
        <f t="shared" si="3453"/>
        <v/>
      </c>
      <c r="EV202" s="44" t="str">
        <f t="shared" si="3454"/>
        <v/>
      </c>
      <c r="EW202" s="44" t="str">
        <f t="shared" si="3455"/>
        <v/>
      </c>
      <c r="EX202" s="44" t="str">
        <f t="shared" si="3456"/>
        <v/>
      </c>
      <c r="EY202" s="44" t="str">
        <f t="shared" si="3457"/>
        <v/>
      </c>
      <c r="EZ202" s="44" t="str">
        <f t="shared" si="3458"/>
        <v/>
      </c>
      <c r="FA202" s="44" t="str">
        <f t="shared" si="3459"/>
        <v/>
      </c>
      <c r="FB202" s="44" t="str">
        <f t="shared" si="3460"/>
        <v/>
      </c>
      <c r="FC202" s="44" t="str">
        <f t="shared" si="3461"/>
        <v/>
      </c>
      <c r="FD202" s="44" t="str">
        <f t="shared" si="3462"/>
        <v/>
      </c>
      <c r="FE202" s="44" t="str">
        <f t="shared" si="3463"/>
        <v/>
      </c>
      <c r="FF202" s="44" t="str">
        <f t="shared" si="3464"/>
        <v/>
      </c>
      <c r="FG202" s="44" t="str">
        <f t="shared" si="3465"/>
        <v/>
      </c>
      <c r="FH202" s="44" t="str">
        <f t="shared" si="3466"/>
        <v/>
      </c>
      <c r="FI202" s="44" t="str">
        <f t="shared" si="3467"/>
        <v/>
      </c>
      <c r="FJ202" s="44" t="str">
        <f t="shared" si="3468"/>
        <v/>
      </c>
      <c r="FK202" s="44" t="str">
        <f t="shared" si="3469"/>
        <v/>
      </c>
      <c r="FL202" s="44" t="str">
        <f t="shared" si="3470"/>
        <v/>
      </c>
      <c r="FM202" s="44" t="str">
        <f t="shared" si="3471"/>
        <v/>
      </c>
      <c r="FN202" s="44" t="str">
        <f t="shared" si="3472"/>
        <v/>
      </c>
      <c r="FO202" s="44" t="str">
        <f t="shared" si="3473"/>
        <v/>
      </c>
      <c r="FP202" s="44" t="str">
        <f t="shared" si="3474"/>
        <v/>
      </c>
      <c r="FQ202" s="44" t="str">
        <f t="shared" si="3475"/>
        <v/>
      </c>
      <c r="FR202" s="44" t="str">
        <f t="shared" si="3476"/>
        <v/>
      </c>
      <c r="FS202" s="44" t="str">
        <f t="shared" si="3477"/>
        <v/>
      </c>
    </row>
    <row r="203" ht="14.4" spans="1:175">
      <c r="A203" s="90"/>
      <c r="B203" s="8" t="s">
        <v>666</v>
      </c>
      <c r="C203" s="99" t="s">
        <v>667</v>
      </c>
      <c r="T203" s="37" t="s">
        <v>668</v>
      </c>
      <c r="U203" s="60" t="str">
        <f t="shared" si="3405"/>
        <v>ReplaceableTextures\\CommandButtons\\BTNIB05.blp</v>
      </c>
      <c r="CN203" s="13" t="str">
        <f t="shared" si="3478"/>
        <v>InitUnitState('IB05',,,,,,,,,,)</v>
      </c>
      <c r="CO203" s="13" t="str">
        <f t="shared" si="3479"/>
        <v>InitUnitNormal('IB05',,,,,,,,,,)</v>
      </c>
      <c r="CP203" s="13" t="str">
        <f t="shared" si="3480"/>
        <v>InitUnitMagic('IB05',,,,,,,,,,)</v>
      </c>
      <c r="CQ203" s="13" t="str">
        <f t="shared" si="3481"/>
        <v>InitUnitAdd('IB05',,,,,,,,,,)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222&amp;CR$1&amp;")"</f>
        <v>InitEquipData('IB05',,"",,,,,'','','','','','',"")</v>
      </c>
      <c r="CU203" s="72" t="str">
        <f t="shared" si="3406"/>
        <v>|n</v>
      </c>
      <c r="CV203" s="6" t="str">
        <f t="shared" si="3407"/>
        <v>|cff33ff00购买魔兽重制版可领取该礼包！|n|n|r属性：|n|cffffcc33高级聚宝盆|r</v>
      </c>
      <c r="CW203" s="7"/>
      <c r="CX203" s="7"/>
      <c r="CY203" s="7"/>
      <c r="CZ203" s="7"/>
      <c r="DA203" s="7"/>
      <c r="DB203" s="44" t="str">
        <f t="shared" si="3408"/>
        <v/>
      </c>
      <c r="DC203" s="44" t="str">
        <f t="shared" si="3409"/>
        <v/>
      </c>
      <c r="DD203" s="44" t="str">
        <f t="shared" si="3410"/>
        <v/>
      </c>
      <c r="DE203" s="44" t="str">
        <f t="shared" si="3411"/>
        <v/>
      </c>
      <c r="DF203" s="44" t="str">
        <f t="shared" si="3412"/>
        <v/>
      </c>
      <c r="DG203" s="44" t="str">
        <f t="shared" si="3413"/>
        <v/>
      </c>
      <c r="DH203" s="44" t="str">
        <f t="shared" si="3414"/>
        <v/>
      </c>
      <c r="DI203" s="44" t="str">
        <f t="shared" si="3415"/>
        <v/>
      </c>
      <c r="DJ203" s="44" t="str">
        <f t="shared" si="3416"/>
        <v/>
      </c>
      <c r="DK203" s="44" t="str">
        <f t="shared" si="3417"/>
        <v/>
      </c>
      <c r="DL203" s="44" t="str">
        <f t="shared" si="3418"/>
        <v/>
      </c>
      <c r="DM203" s="44" t="str">
        <f t="shared" si="3419"/>
        <v/>
      </c>
      <c r="DN203" s="44" t="str">
        <f t="shared" si="3420"/>
        <v/>
      </c>
      <c r="DO203" s="44" t="str">
        <f t="shared" si="3421"/>
        <v/>
      </c>
      <c r="DP203" s="44" t="str">
        <f t="shared" si="3422"/>
        <v/>
      </c>
      <c r="DQ203" s="44" t="str">
        <f t="shared" si="3423"/>
        <v/>
      </c>
      <c r="DR203" s="44" t="str">
        <f t="shared" si="3424"/>
        <v/>
      </c>
      <c r="DS203" s="44" t="str">
        <f t="shared" si="3425"/>
        <v/>
      </c>
      <c r="DT203" s="44" t="str">
        <f t="shared" si="3426"/>
        <v/>
      </c>
      <c r="DU203" s="44" t="str">
        <f t="shared" si="3427"/>
        <v/>
      </c>
      <c r="DV203" s="44" t="str">
        <f t="shared" si="3428"/>
        <v/>
      </c>
      <c r="DW203" s="44" t="str">
        <f t="shared" si="3429"/>
        <v/>
      </c>
      <c r="DX203" s="44" t="str">
        <f t="shared" si="3430"/>
        <v/>
      </c>
      <c r="DY203" s="44" t="str">
        <f t="shared" si="3431"/>
        <v/>
      </c>
      <c r="DZ203" s="44" t="str">
        <f t="shared" si="3432"/>
        <v/>
      </c>
      <c r="EA203" s="44" t="str">
        <f t="shared" si="3433"/>
        <v/>
      </c>
      <c r="EB203" s="44" t="str">
        <f t="shared" si="3434"/>
        <v/>
      </c>
      <c r="EC203" s="44" t="str">
        <f t="shared" si="3435"/>
        <v/>
      </c>
      <c r="ED203" s="44" t="str">
        <f t="shared" si="3436"/>
        <v/>
      </c>
      <c r="EE203" s="44" t="str">
        <f t="shared" si="3437"/>
        <v/>
      </c>
      <c r="EF203" s="44" t="str">
        <f t="shared" si="3438"/>
        <v/>
      </c>
      <c r="EG203" s="44" t="str">
        <f t="shared" si="3439"/>
        <v/>
      </c>
      <c r="EH203" s="44" t="str">
        <f t="shared" si="3440"/>
        <v/>
      </c>
      <c r="EI203" s="44" t="str">
        <f t="shared" si="3441"/>
        <v/>
      </c>
      <c r="EJ203" s="44" t="str">
        <f t="shared" si="3442"/>
        <v/>
      </c>
      <c r="EK203" s="44" t="str">
        <f t="shared" si="3443"/>
        <v/>
      </c>
      <c r="EL203" s="44" t="str">
        <f t="shared" si="3444"/>
        <v/>
      </c>
      <c r="EM203" s="44" t="str">
        <f t="shared" si="3445"/>
        <v/>
      </c>
      <c r="EN203" s="44" t="str">
        <f t="shared" si="3446"/>
        <v/>
      </c>
      <c r="EO203" s="44" t="str">
        <f t="shared" si="3447"/>
        <v/>
      </c>
      <c r="EP203" s="44" t="str">
        <f t="shared" si="3448"/>
        <v/>
      </c>
      <c r="EQ203" s="44" t="str">
        <f t="shared" si="3449"/>
        <v/>
      </c>
      <c r="ER203" s="44" t="str">
        <f t="shared" si="3450"/>
        <v/>
      </c>
      <c r="ES203" s="44" t="str">
        <f t="shared" si="3451"/>
        <v/>
      </c>
      <c r="ET203" s="44" t="str">
        <f t="shared" si="3452"/>
        <v/>
      </c>
      <c r="EU203" s="44" t="str">
        <f t="shared" si="3453"/>
        <v/>
      </c>
      <c r="EV203" s="44" t="str">
        <f t="shared" si="3454"/>
        <v/>
      </c>
      <c r="EW203" s="44" t="str">
        <f t="shared" si="3455"/>
        <v/>
      </c>
      <c r="EX203" s="44" t="str">
        <f t="shared" si="3456"/>
        <v/>
      </c>
      <c r="EY203" s="44" t="str">
        <f t="shared" si="3457"/>
        <v/>
      </c>
      <c r="EZ203" s="44" t="str">
        <f t="shared" si="3458"/>
        <v/>
      </c>
      <c r="FA203" s="44" t="str">
        <f t="shared" si="3459"/>
        <v/>
      </c>
      <c r="FB203" s="44" t="str">
        <f t="shared" si="3460"/>
        <v/>
      </c>
      <c r="FC203" s="44" t="str">
        <f t="shared" si="3461"/>
        <v/>
      </c>
      <c r="FD203" s="44" t="str">
        <f t="shared" si="3462"/>
        <v/>
      </c>
      <c r="FE203" s="44" t="str">
        <f t="shared" si="3463"/>
        <v/>
      </c>
      <c r="FF203" s="44" t="str">
        <f t="shared" si="3464"/>
        <v/>
      </c>
      <c r="FG203" s="44" t="str">
        <f t="shared" si="3465"/>
        <v/>
      </c>
      <c r="FH203" s="44" t="str">
        <f t="shared" si="3466"/>
        <v/>
      </c>
      <c r="FI203" s="44" t="str">
        <f t="shared" si="3467"/>
        <v/>
      </c>
      <c r="FJ203" s="44" t="str">
        <f t="shared" si="3468"/>
        <v/>
      </c>
      <c r="FK203" s="44" t="str">
        <f t="shared" si="3469"/>
        <v/>
      </c>
      <c r="FL203" s="44" t="str">
        <f t="shared" si="3470"/>
        <v/>
      </c>
      <c r="FM203" s="44" t="str">
        <f t="shared" si="3471"/>
        <v/>
      </c>
      <c r="FN203" s="44" t="str">
        <f t="shared" si="3472"/>
        <v/>
      </c>
      <c r="FO203" s="44" t="str">
        <f t="shared" si="3473"/>
        <v/>
      </c>
      <c r="FP203" s="44" t="str">
        <f t="shared" si="3474"/>
        <v/>
      </c>
      <c r="FQ203" s="44" t="str">
        <f t="shared" si="3475"/>
        <v/>
      </c>
      <c r="FR203" s="44" t="str">
        <f t="shared" si="3476"/>
        <v/>
      </c>
      <c r="FS203" s="44" t="str">
        <f t="shared" si="3477"/>
        <v/>
      </c>
    </row>
    <row r="204" ht="14.4" spans="1:175">
      <c r="A204" s="90"/>
      <c r="B204" s="8" t="s">
        <v>669</v>
      </c>
      <c r="C204" s="99" t="s">
        <v>670</v>
      </c>
      <c r="T204" s="37" t="s">
        <v>671</v>
      </c>
      <c r="U204" s="60" t="str">
        <f t="shared" si="3405"/>
        <v>ReplaceableTextures\\CommandButtons\\BTNIB06.blp</v>
      </c>
      <c r="CN204" s="13" t="str">
        <f t="shared" si="3478"/>
        <v>InitUnitState('IB06',,,,,,,,,,)</v>
      </c>
      <c r="CO204" s="13" t="str">
        <f t="shared" si="3479"/>
        <v>InitUnitNormal('IB06',,,,,,,,,,)</v>
      </c>
      <c r="CP204" s="13" t="str">
        <f t="shared" si="3480"/>
        <v>InitUnitMagic('IB06',,,,,,,,,,)</v>
      </c>
      <c r="CQ204" s="13" t="str">
        <f t="shared" si="3481"/>
        <v>InitUnitAdd('IB06',,,,,,,,,,)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InitEquipData('IB06',,"",,,,,'','','','','','',"ReplaceableTextures\\CommandButtons\\BTNIB07.blp")</v>
      </c>
      <c r="CU204" s="72" t="str">
        <f t="shared" si="3406"/>
        <v>|n</v>
      </c>
      <c r="CV204" s="6" t="str">
        <f t="shared" si="340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408"/>
        <v/>
      </c>
      <c r="DC204" s="44" t="str">
        <f t="shared" si="3409"/>
        <v/>
      </c>
      <c r="DD204" s="44" t="str">
        <f t="shared" si="3410"/>
        <v/>
      </c>
      <c r="DE204" s="44" t="str">
        <f t="shared" si="3411"/>
        <v/>
      </c>
      <c r="DF204" s="44" t="str">
        <f t="shared" si="3412"/>
        <v/>
      </c>
      <c r="DG204" s="44" t="str">
        <f t="shared" si="3413"/>
        <v/>
      </c>
      <c r="DH204" s="44" t="str">
        <f t="shared" si="3414"/>
        <v/>
      </c>
      <c r="DI204" s="44" t="str">
        <f t="shared" si="3415"/>
        <v/>
      </c>
      <c r="DJ204" s="44" t="str">
        <f t="shared" si="3416"/>
        <v/>
      </c>
      <c r="DK204" s="44" t="str">
        <f t="shared" si="3417"/>
        <v/>
      </c>
      <c r="DL204" s="44" t="str">
        <f t="shared" si="3418"/>
        <v/>
      </c>
      <c r="DM204" s="44" t="str">
        <f t="shared" si="3419"/>
        <v/>
      </c>
      <c r="DN204" s="44" t="str">
        <f t="shared" si="3420"/>
        <v/>
      </c>
      <c r="DO204" s="44" t="str">
        <f t="shared" si="3421"/>
        <v/>
      </c>
      <c r="DP204" s="44" t="str">
        <f t="shared" si="3422"/>
        <v/>
      </c>
      <c r="DQ204" s="44" t="str">
        <f t="shared" si="3423"/>
        <v/>
      </c>
      <c r="DR204" s="44" t="str">
        <f t="shared" si="3424"/>
        <v/>
      </c>
      <c r="DS204" s="44" t="str">
        <f t="shared" si="3425"/>
        <v/>
      </c>
      <c r="DT204" s="44" t="str">
        <f t="shared" si="3426"/>
        <v/>
      </c>
      <c r="DU204" s="44" t="str">
        <f t="shared" si="3427"/>
        <v/>
      </c>
      <c r="DV204" s="44" t="str">
        <f t="shared" si="3428"/>
        <v/>
      </c>
      <c r="DW204" s="44" t="str">
        <f t="shared" si="3429"/>
        <v/>
      </c>
      <c r="DX204" s="44" t="str">
        <f t="shared" si="3430"/>
        <v/>
      </c>
      <c r="DY204" s="44" t="str">
        <f t="shared" si="3431"/>
        <v/>
      </c>
      <c r="DZ204" s="44" t="str">
        <f t="shared" si="3432"/>
        <v/>
      </c>
      <c r="EA204" s="44" t="str">
        <f t="shared" si="3433"/>
        <v/>
      </c>
      <c r="EB204" s="44" t="str">
        <f t="shared" si="3434"/>
        <v/>
      </c>
      <c r="EC204" s="44" t="str">
        <f t="shared" si="3435"/>
        <v/>
      </c>
      <c r="ED204" s="44" t="str">
        <f t="shared" si="3436"/>
        <v/>
      </c>
      <c r="EE204" s="44" t="str">
        <f t="shared" si="3437"/>
        <v/>
      </c>
      <c r="EF204" s="44" t="str">
        <f t="shared" si="3438"/>
        <v/>
      </c>
      <c r="EG204" s="44" t="str">
        <f t="shared" si="3439"/>
        <v/>
      </c>
      <c r="EH204" s="44" t="str">
        <f t="shared" si="3440"/>
        <v/>
      </c>
      <c r="EI204" s="44" t="str">
        <f t="shared" si="3441"/>
        <v/>
      </c>
      <c r="EJ204" s="44" t="str">
        <f t="shared" si="3442"/>
        <v/>
      </c>
      <c r="EK204" s="44" t="str">
        <f t="shared" si="3443"/>
        <v/>
      </c>
      <c r="EL204" s="44" t="str">
        <f t="shared" si="3444"/>
        <v/>
      </c>
      <c r="EM204" s="44" t="str">
        <f t="shared" si="3445"/>
        <v/>
      </c>
      <c r="EN204" s="44" t="str">
        <f t="shared" si="3446"/>
        <v/>
      </c>
      <c r="EO204" s="44" t="str">
        <f t="shared" si="3447"/>
        <v/>
      </c>
      <c r="EP204" s="44" t="str">
        <f t="shared" si="3448"/>
        <v/>
      </c>
      <c r="EQ204" s="44" t="str">
        <f t="shared" si="3449"/>
        <v/>
      </c>
      <c r="ER204" s="44" t="str">
        <f t="shared" si="3450"/>
        <v/>
      </c>
      <c r="ES204" s="44" t="str">
        <f t="shared" si="3451"/>
        <v/>
      </c>
      <c r="ET204" s="44" t="str">
        <f t="shared" si="3452"/>
        <v/>
      </c>
      <c r="EU204" s="44" t="str">
        <f t="shared" si="3453"/>
        <v/>
      </c>
      <c r="EV204" s="44" t="str">
        <f t="shared" si="3454"/>
        <v/>
      </c>
      <c r="EW204" s="44" t="str">
        <f t="shared" si="3455"/>
        <v/>
      </c>
      <c r="EX204" s="44" t="str">
        <f t="shared" si="3456"/>
        <v/>
      </c>
      <c r="EY204" s="44" t="str">
        <f t="shared" si="3457"/>
        <v/>
      </c>
      <c r="EZ204" s="44" t="str">
        <f t="shared" si="3458"/>
        <v/>
      </c>
      <c r="FA204" s="44" t="str">
        <f t="shared" si="3459"/>
        <v/>
      </c>
      <c r="FB204" s="44" t="str">
        <f t="shared" si="3460"/>
        <v/>
      </c>
      <c r="FC204" s="44" t="str">
        <f t="shared" si="3461"/>
        <v/>
      </c>
      <c r="FD204" s="44" t="str">
        <f t="shared" si="3462"/>
        <v/>
      </c>
      <c r="FE204" s="44" t="str">
        <f t="shared" si="3463"/>
        <v/>
      </c>
      <c r="FF204" s="44" t="str">
        <f t="shared" si="3464"/>
        <v/>
      </c>
      <c r="FG204" s="44" t="str">
        <f t="shared" si="3465"/>
        <v/>
      </c>
      <c r="FH204" s="44" t="str">
        <f t="shared" si="3466"/>
        <v/>
      </c>
      <c r="FI204" s="44" t="str">
        <f t="shared" si="3467"/>
        <v/>
      </c>
      <c r="FJ204" s="44" t="str">
        <f t="shared" si="3468"/>
        <v/>
      </c>
      <c r="FK204" s="44" t="str">
        <f t="shared" si="3469"/>
        <v/>
      </c>
      <c r="FL204" s="44" t="str">
        <f t="shared" si="3470"/>
        <v/>
      </c>
      <c r="FM204" s="44" t="str">
        <f t="shared" si="3471"/>
        <v/>
      </c>
      <c r="FN204" s="44" t="str">
        <f t="shared" si="3472"/>
        <v/>
      </c>
      <c r="FO204" s="44" t="str">
        <f t="shared" si="3473"/>
        <v/>
      </c>
      <c r="FP204" s="44" t="str">
        <f t="shared" si="3474"/>
        <v/>
      </c>
      <c r="FQ204" s="44" t="str">
        <f t="shared" si="3475"/>
        <v/>
      </c>
      <c r="FR204" s="44" t="str">
        <f t="shared" si="3476"/>
        <v/>
      </c>
      <c r="FS204" s="44" t="str">
        <f t="shared" si="3477"/>
        <v/>
      </c>
    </row>
    <row r="205" ht="14.4" spans="1:175">
      <c r="A205" s="90"/>
      <c r="B205" s="8" t="s">
        <v>672</v>
      </c>
      <c r="C205" s="99" t="s">
        <v>673</v>
      </c>
      <c r="T205" s="37" t="s">
        <v>674</v>
      </c>
      <c r="U205" s="60" t="str">
        <f t="shared" si="3405"/>
        <v>ReplaceableTextures\\CommandButtons\\BTNIB07.blp</v>
      </c>
      <c r="CN205" s="13" t="str">
        <f t="shared" si="3478"/>
        <v>InitUnitState('IB07',,,,,,,,,,)</v>
      </c>
      <c r="CO205" s="13" t="str">
        <f t="shared" si="3479"/>
        <v>InitUnitNormal('IB07',,,,,,,,,,)</v>
      </c>
      <c r="CP205" s="13" t="str">
        <f t="shared" si="3480"/>
        <v>InitUnitMagic('IB07',,,,,,,,,,)</v>
      </c>
      <c r="CQ205" s="13" t="str">
        <f t="shared" si="3481"/>
        <v>InitUnitAdd('IB07',,,,,,,,,,)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InitEquipData('IB07',,"",,,,,'','','','','','',"ReplaceableTextures\\CommandButtons\\BTNIB08.blp")</v>
      </c>
      <c r="CU205" s="72" t="str">
        <f t="shared" si="3406"/>
        <v>|n</v>
      </c>
      <c r="CV205" s="6" t="str">
        <f t="shared" si="340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408"/>
        <v/>
      </c>
      <c r="DC205" s="44" t="str">
        <f t="shared" si="3409"/>
        <v/>
      </c>
      <c r="DD205" s="44" t="str">
        <f t="shared" si="3410"/>
        <v/>
      </c>
      <c r="DE205" s="44" t="str">
        <f t="shared" si="3411"/>
        <v/>
      </c>
      <c r="DF205" s="44" t="str">
        <f t="shared" si="3412"/>
        <v/>
      </c>
      <c r="DG205" s="44" t="str">
        <f t="shared" si="3413"/>
        <v/>
      </c>
      <c r="DH205" s="44" t="str">
        <f t="shared" si="3414"/>
        <v/>
      </c>
      <c r="DI205" s="44" t="str">
        <f t="shared" si="3415"/>
        <v/>
      </c>
      <c r="DJ205" s="44" t="str">
        <f t="shared" si="3416"/>
        <v/>
      </c>
      <c r="DK205" s="44" t="str">
        <f t="shared" si="3417"/>
        <v/>
      </c>
      <c r="DL205" s="44" t="str">
        <f t="shared" si="3418"/>
        <v/>
      </c>
      <c r="DM205" s="44" t="str">
        <f t="shared" si="3419"/>
        <v/>
      </c>
      <c r="DN205" s="44" t="str">
        <f t="shared" si="3420"/>
        <v/>
      </c>
      <c r="DO205" s="44" t="str">
        <f t="shared" si="3421"/>
        <v/>
      </c>
      <c r="DP205" s="44" t="str">
        <f t="shared" si="3422"/>
        <v/>
      </c>
      <c r="DQ205" s="44" t="str">
        <f t="shared" si="3423"/>
        <v/>
      </c>
      <c r="DR205" s="44" t="str">
        <f t="shared" si="3424"/>
        <v/>
      </c>
      <c r="DS205" s="44" t="str">
        <f t="shared" si="3425"/>
        <v/>
      </c>
      <c r="DT205" s="44" t="str">
        <f t="shared" si="3426"/>
        <v/>
      </c>
      <c r="DU205" s="44" t="str">
        <f t="shared" si="3427"/>
        <v/>
      </c>
      <c r="DV205" s="44" t="str">
        <f t="shared" si="3428"/>
        <v/>
      </c>
      <c r="DW205" s="44" t="str">
        <f t="shared" si="3429"/>
        <v/>
      </c>
      <c r="DX205" s="44" t="str">
        <f t="shared" si="3430"/>
        <v/>
      </c>
      <c r="DY205" s="44" t="str">
        <f t="shared" si="3431"/>
        <v/>
      </c>
      <c r="DZ205" s="44" t="str">
        <f t="shared" si="3432"/>
        <v/>
      </c>
      <c r="EA205" s="44" t="str">
        <f t="shared" si="3433"/>
        <v/>
      </c>
      <c r="EB205" s="44" t="str">
        <f t="shared" si="3434"/>
        <v/>
      </c>
      <c r="EC205" s="44" t="str">
        <f t="shared" si="3435"/>
        <v/>
      </c>
      <c r="ED205" s="44" t="str">
        <f t="shared" si="3436"/>
        <v/>
      </c>
      <c r="EE205" s="44" t="str">
        <f t="shared" si="3437"/>
        <v/>
      </c>
      <c r="EF205" s="44" t="str">
        <f t="shared" si="3438"/>
        <v/>
      </c>
      <c r="EG205" s="44" t="str">
        <f t="shared" si="3439"/>
        <v/>
      </c>
      <c r="EH205" s="44" t="str">
        <f t="shared" si="3440"/>
        <v/>
      </c>
      <c r="EI205" s="44" t="str">
        <f t="shared" si="3441"/>
        <v/>
      </c>
      <c r="EJ205" s="44" t="str">
        <f t="shared" si="3442"/>
        <v/>
      </c>
      <c r="EK205" s="44" t="str">
        <f t="shared" si="3443"/>
        <v/>
      </c>
      <c r="EL205" s="44" t="str">
        <f t="shared" si="3444"/>
        <v/>
      </c>
      <c r="EM205" s="44" t="str">
        <f t="shared" si="3445"/>
        <v/>
      </c>
      <c r="EN205" s="44" t="str">
        <f t="shared" si="3446"/>
        <v/>
      </c>
      <c r="EO205" s="44" t="str">
        <f t="shared" si="3447"/>
        <v/>
      </c>
      <c r="EP205" s="44" t="str">
        <f t="shared" si="3448"/>
        <v/>
      </c>
      <c r="EQ205" s="44" t="str">
        <f t="shared" si="3449"/>
        <v/>
      </c>
      <c r="ER205" s="44" t="str">
        <f t="shared" si="3450"/>
        <v/>
      </c>
      <c r="ES205" s="44" t="str">
        <f t="shared" si="3451"/>
        <v/>
      </c>
      <c r="ET205" s="44" t="str">
        <f t="shared" si="3452"/>
        <v/>
      </c>
      <c r="EU205" s="44" t="str">
        <f t="shared" si="3453"/>
        <v/>
      </c>
      <c r="EV205" s="44" t="str">
        <f t="shared" si="3454"/>
        <v/>
      </c>
      <c r="EW205" s="44" t="str">
        <f t="shared" si="3455"/>
        <v/>
      </c>
      <c r="EX205" s="44" t="str">
        <f t="shared" si="3456"/>
        <v/>
      </c>
      <c r="EY205" s="44" t="str">
        <f t="shared" si="3457"/>
        <v/>
      </c>
      <c r="EZ205" s="44" t="str">
        <f t="shared" si="3458"/>
        <v/>
      </c>
      <c r="FA205" s="44" t="str">
        <f t="shared" si="3459"/>
        <v/>
      </c>
      <c r="FB205" s="44" t="str">
        <f t="shared" si="3460"/>
        <v/>
      </c>
      <c r="FC205" s="44" t="str">
        <f t="shared" si="3461"/>
        <v/>
      </c>
      <c r="FD205" s="44" t="str">
        <f t="shared" si="3462"/>
        <v/>
      </c>
      <c r="FE205" s="44" t="str">
        <f t="shared" si="3463"/>
        <v/>
      </c>
      <c r="FF205" s="44" t="str">
        <f t="shared" si="3464"/>
        <v/>
      </c>
      <c r="FG205" s="44" t="str">
        <f t="shared" si="3465"/>
        <v/>
      </c>
      <c r="FH205" s="44" t="str">
        <f t="shared" si="3466"/>
        <v/>
      </c>
      <c r="FI205" s="44" t="str">
        <f t="shared" si="3467"/>
        <v/>
      </c>
      <c r="FJ205" s="44" t="str">
        <f t="shared" si="3468"/>
        <v/>
      </c>
      <c r="FK205" s="44" t="str">
        <f t="shared" si="3469"/>
        <v/>
      </c>
      <c r="FL205" s="44" t="str">
        <f t="shared" si="3470"/>
        <v/>
      </c>
      <c r="FM205" s="44" t="str">
        <f t="shared" si="3471"/>
        <v/>
      </c>
      <c r="FN205" s="44" t="str">
        <f t="shared" si="3472"/>
        <v/>
      </c>
      <c r="FO205" s="44" t="str">
        <f t="shared" si="3473"/>
        <v/>
      </c>
      <c r="FP205" s="44" t="str">
        <f t="shared" si="3474"/>
        <v/>
      </c>
      <c r="FQ205" s="44" t="str">
        <f t="shared" si="3475"/>
        <v/>
      </c>
      <c r="FR205" s="44" t="str">
        <f t="shared" si="3476"/>
        <v/>
      </c>
      <c r="FS205" s="44" t="str">
        <f t="shared" si="3477"/>
        <v/>
      </c>
    </row>
    <row r="206" ht="14.4" spans="1:175">
      <c r="A206" s="90"/>
      <c r="B206" s="8" t="s">
        <v>675</v>
      </c>
      <c r="C206" s="99" t="s">
        <v>676</v>
      </c>
      <c r="T206" s="37" t="s">
        <v>677</v>
      </c>
      <c r="U206" s="60" t="str">
        <f t="shared" si="3405"/>
        <v>ReplaceableTextures\\CommandButtons\\BTNIB08.blp</v>
      </c>
      <c r="CN206" s="13" t="str">
        <f t="shared" si="3478"/>
        <v>InitUnitState('IB08',,,,,,,,,,)</v>
      </c>
      <c r="CO206" s="13" t="str">
        <f t="shared" si="3479"/>
        <v>InitUnitNormal('IB08',,,,,,,,,,)</v>
      </c>
      <c r="CP206" s="13" t="str">
        <f t="shared" si="3480"/>
        <v>InitUnitMagic('IB08',,,,,,,,,,)</v>
      </c>
      <c r="CQ206" s="13" t="str">
        <f t="shared" si="3481"/>
        <v>InitUnitAdd('IB08',,,,,,,,,,)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225&amp;CR$1&amp;")"</f>
        <v>InitEquipData('IB08',,"",,,,,'','','','','','',"")</v>
      </c>
      <c r="CU206" s="72" t="str">
        <f t="shared" si="3406"/>
        <v>|n</v>
      </c>
      <c r="CV206" s="6" t="str">
        <f t="shared" si="34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si="3408"/>
        <v/>
      </c>
      <c r="DC206" s="44" t="str">
        <f t="shared" si="3409"/>
        <v/>
      </c>
      <c r="DD206" s="44" t="str">
        <f t="shared" si="3410"/>
        <v/>
      </c>
      <c r="DE206" s="44" t="str">
        <f t="shared" si="3411"/>
        <v/>
      </c>
      <c r="DF206" s="44" t="str">
        <f t="shared" si="3412"/>
        <v/>
      </c>
      <c r="DG206" s="44" t="str">
        <f t="shared" si="3413"/>
        <v/>
      </c>
      <c r="DH206" s="44" t="str">
        <f t="shared" si="3414"/>
        <v/>
      </c>
      <c r="DI206" s="44" t="str">
        <f t="shared" si="3415"/>
        <v/>
      </c>
      <c r="DJ206" s="44" t="str">
        <f t="shared" si="3416"/>
        <v/>
      </c>
      <c r="DK206" s="44" t="str">
        <f t="shared" si="3417"/>
        <v/>
      </c>
      <c r="DL206" s="44" t="str">
        <f t="shared" si="3418"/>
        <v/>
      </c>
      <c r="DM206" s="44" t="str">
        <f t="shared" si="3419"/>
        <v/>
      </c>
      <c r="DN206" s="44" t="str">
        <f t="shared" si="3420"/>
        <v/>
      </c>
      <c r="DO206" s="44" t="str">
        <f t="shared" si="3421"/>
        <v/>
      </c>
      <c r="DP206" s="44" t="str">
        <f t="shared" si="3422"/>
        <v/>
      </c>
      <c r="DQ206" s="44" t="str">
        <f t="shared" si="3423"/>
        <v/>
      </c>
      <c r="DR206" s="44" t="str">
        <f t="shared" si="3424"/>
        <v/>
      </c>
      <c r="DS206" s="44" t="str">
        <f t="shared" si="3425"/>
        <v/>
      </c>
      <c r="DT206" s="44" t="str">
        <f t="shared" si="3426"/>
        <v/>
      </c>
      <c r="DU206" s="44" t="str">
        <f t="shared" si="3427"/>
        <v/>
      </c>
      <c r="DV206" s="44" t="str">
        <f t="shared" si="3428"/>
        <v/>
      </c>
      <c r="DW206" s="44" t="str">
        <f t="shared" si="3429"/>
        <v/>
      </c>
      <c r="DX206" s="44" t="str">
        <f t="shared" si="3430"/>
        <v/>
      </c>
      <c r="DY206" s="44" t="str">
        <f t="shared" si="3431"/>
        <v/>
      </c>
      <c r="DZ206" s="44" t="str">
        <f t="shared" si="3432"/>
        <v/>
      </c>
      <c r="EA206" s="44" t="str">
        <f t="shared" si="3433"/>
        <v/>
      </c>
      <c r="EB206" s="44" t="str">
        <f t="shared" si="3434"/>
        <v/>
      </c>
      <c r="EC206" s="44" t="str">
        <f t="shared" si="3435"/>
        <v/>
      </c>
      <c r="ED206" s="44" t="str">
        <f t="shared" si="3436"/>
        <v/>
      </c>
      <c r="EE206" s="44" t="str">
        <f t="shared" si="3437"/>
        <v/>
      </c>
      <c r="EF206" s="44" t="str">
        <f t="shared" si="3438"/>
        <v/>
      </c>
      <c r="EG206" s="44" t="str">
        <f t="shared" si="3439"/>
        <v/>
      </c>
      <c r="EH206" s="44" t="str">
        <f t="shared" si="3440"/>
        <v/>
      </c>
      <c r="EI206" s="44" t="str">
        <f t="shared" si="3441"/>
        <v/>
      </c>
      <c r="EJ206" s="44" t="str">
        <f t="shared" si="3442"/>
        <v/>
      </c>
      <c r="EK206" s="44" t="str">
        <f t="shared" si="3443"/>
        <v/>
      </c>
      <c r="EL206" s="44" t="str">
        <f t="shared" si="3444"/>
        <v/>
      </c>
      <c r="EM206" s="44" t="str">
        <f t="shared" si="3445"/>
        <v/>
      </c>
      <c r="EN206" s="44" t="str">
        <f t="shared" si="3446"/>
        <v/>
      </c>
      <c r="EO206" s="44" t="str">
        <f t="shared" si="3447"/>
        <v/>
      </c>
      <c r="EP206" s="44" t="str">
        <f t="shared" si="3448"/>
        <v/>
      </c>
      <c r="EQ206" s="44" t="str">
        <f t="shared" si="3449"/>
        <v/>
      </c>
      <c r="ER206" s="44" t="str">
        <f t="shared" si="3450"/>
        <v/>
      </c>
      <c r="ES206" s="44" t="str">
        <f t="shared" si="3451"/>
        <v/>
      </c>
      <c r="ET206" s="44" t="str">
        <f t="shared" si="3452"/>
        <v/>
      </c>
      <c r="EU206" s="44" t="str">
        <f t="shared" si="3453"/>
        <v/>
      </c>
      <c r="EV206" s="44" t="str">
        <f t="shared" si="3454"/>
        <v/>
      </c>
      <c r="EW206" s="44" t="str">
        <f t="shared" si="3455"/>
        <v/>
      </c>
      <c r="EX206" s="44" t="str">
        <f t="shared" si="3456"/>
        <v/>
      </c>
      <c r="EY206" s="44" t="str">
        <f t="shared" si="3457"/>
        <v/>
      </c>
      <c r="EZ206" s="44" t="str">
        <f t="shared" si="3458"/>
        <v/>
      </c>
      <c r="FA206" s="44" t="str">
        <f t="shared" si="3459"/>
        <v/>
      </c>
      <c r="FB206" s="44" t="str">
        <f t="shared" si="3460"/>
        <v/>
      </c>
      <c r="FC206" s="44" t="str">
        <f t="shared" si="3461"/>
        <v/>
      </c>
      <c r="FD206" s="44" t="str">
        <f t="shared" si="3462"/>
        <v/>
      </c>
      <c r="FE206" s="44" t="str">
        <f t="shared" si="3463"/>
        <v/>
      </c>
      <c r="FF206" s="44" t="str">
        <f t="shared" si="3464"/>
        <v/>
      </c>
      <c r="FG206" s="44" t="str">
        <f t="shared" si="3465"/>
        <v/>
      </c>
      <c r="FH206" s="44" t="str">
        <f t="shared" si="3466"/>
        <v/>
      </c>
      <c r="FI206" s="44" t="str">
        <f t="shared" si="3467"/>
        <v/>
      </c>
      <c r="FJ206" s="44" t="str">
        <f t="shared" si="3468"/>
        <v/>
      </c>
      <c r="FK206" s="44" t="str">
        <f t="shared" si="3469"/>
        <v/>
      </c>
      <c r="FL206" s="44" t="str">
        <f t="shared" si="3470"/>
        <v/>
      </c>
      <c r="FM206" s="44" t="str">
        <f t="shared" si="3471"/>
        <v/>
      </c>
      <c r="FN206" s="44" t="str">
        <f t="shared" si="3472"/>
        <v/>
      </c>
      <c r="FO206" s="44" t="str">
        <f t="shared" si="3473"/>
        <v/>
      </c>
      <c r="FP206" s="44" t="str">
        <f t="shared" si="3474"/>
        <v/>
      </c>
      <c r="FQ206" s="44" t="str">
        <f t="shared" si="3475"/>
        <v/>
      </c>
      <c r="FR206" s="44" t="str">
        <f t="shared" si="3476"/>
        <v/>
      </c>
      <c r="FS206" s="44" t="str">
        <f t="shared" si="3477"/>
        <v/>
      </c>
    </row>
    <row r="207" ht="14.4" spans="1:175">
      <c r="A207" s="90"/>
      <c r="B207" s="8" t="s">
        <v>678</v>
      </c>
      <c r="C207" s="99" t="s">
        <v>679</v>
      </c>
      <c r="T207" s="99"/>
      <c r="U207" s="60" t="str">
        <f t="shared" si="3405"/>
        <v>ReplaceableTextures\\CommandButtons\\BTNIB09.blp</v>
      </c>
      <c r="CN207" s="13" t="str">
        <f t="shared" si="3478"/>
        <v>InitUnitState('IB09',,,,,,,,,,)</v>
      </c>
      <c r="CO207" s="13" t="str">
        <f t="shared" si="3479"/>
        <v>InitUnitNormal('IB09',,,,,,,,,,)</v>
      </c>
      <c r="CP207" s="13" t="str">
        <f t="shared" si="3480"/>
        <v>InitUnitMagic('IB09',,,,,,,,,,)</v>
      </c>
      <c r="CQ207" s="13" t="str">
        <f t="shared" si="3481"/>
        <v>InitUnitAdd('IB09',,,,,,,,,,)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InitEquipData('IB09',,"",,,,,'','','','','','',"")</v>
      </c>
      <c r="CU207" s="72" t="str">
        <f t="shared" si="3406"/>
        <v>|n</v>
      </c>
      <c r="CV207" s="6">
        <f t="shared" si="3407"/>
        <v>0</v>
      </c>
      <c r="CW207" s="7"/>
      <c r="CX207" s="7"/>
      <c r="CY207" s="7"/>
      <c r="CZ207" s="7"/>
      <c r="DA207" s="7"/>
      <c r="DB207" s="44" t="str">
        <f t="shared" ref="DB207:FM207" si="3482">IF(V207="","","|n"&amp;DB$2&amp;"+"&amp;V207&amp;DB$1)</f>
        <v/>
      </c>
      <c r="DC207" s="44" t="str">
        <f t="shared" si="3482"/>
        <v/>
      </c>
      <c r="DD207" s="44" t="str">
        <f t="shared" si="3482"/>
        <v/>
      </c>
      <c r="DE207" s="44" t="str">
        <f t="shared" si="3482"/>
        <v/>
      </c>
      <c r="DF207" s="44" t="str">
        <f t="shared" si="3482"/>
        <v/>
      </c>
      <c r="DG207" s="44" t="str">
        <f t="shared" si="3482"/>
        <v/>
      </c>
      <c r="DH207" s="44" t="str">
        <f t="shared" si="3482"/>
        <v/>
      </c>
      <c r="DI207" s="44" t="str">
        <f t="shared" si="3482"/>
        <v/>
      </c>
      <c r="DJ207" s="44" t="str">
        <f t="shared" si="3482"/>
        <v/>
      </c>
      <c r="DK207" s="44" t="str">
        <f t="shared" si="3482"/>
        <v/>
      </c>
      <c r="DL207" s="44" t="str">
        <f t="shared" si="3482"/>
        <v/>
      </c>
      <c r="DM207" s="44" t="str">
        <f t="shared" si="3482"/>
        <v/>
      </c>
      <c r="DN207" s="44" t="str">
        <f t="shared" si="3482"/>
        <v/>
      </c>
      <c r="DO207" s="44" t="str">
        <f t="shared" si="3482"/>
        <v/>
      </c>
      <c r="DP207" s="44" t="str">
        <f t="shared" si="3482"/>
        <v/>
      </c>
      <c r="DQ207" s="44" t="str">
        <f t="shared" si="3482"/>
        <v/>
      </c>
      <c r="DR207" s="44" t="str">
        <f t="shared" si="3482"/>
        <v/>
      </c>
      <c r="DS207" s="44" t="str">
        <f t="shared" si="3482"/>
        <v/>
      </c>
      <c r="DT207" s="44" t="str">
        <f t="shared" si="3482"/>
        <v/>
      </c>
      <c r="DU207" s="44" t="str">
        <f t="shared" si="3482"/>
        <v/>
      </c>
      <c r="DV207" s="44" t="str">
        <f t="shared" si="3482"/>
        <v/>
      </c>
      <c r="DW207" s="44" t="str">
        <f t="shared" si="3482"/>
        <v/>
      </c>
      <c r="DX207" s="44" t="str">
        <f t="shared" si="3482"/>
        <v/>
      </c>
      <c r="DY207" s="44" t="str">
        <f t="shared" si="3482"/>
        <v/>
      </c>
      <c r="DZ207" s="44" t="str">
        <f t="shared" si="3482"/>
        <v/>
      </c>
      <c r="EA207" s="44" t="str">
        <f t="shared" si="3482"/>
        <v/>
      </c>
      <c r="EB207" s="44" t="str">
        <f t="shared" si="3482"/>
        <v/>
      </c>
      <c r="EC207" s="44" t="str">
        <f t="shared" si="3482"/>
        <v/>
      </c>
      <c r="ED207" s="44" t="str">
        <f t="shared" si="3482"/>
        <v/>
      </c>
      <c r="EE207" s="44" t="str">
        <f t="shared" si="3482"/>
        <v/>
      </c>
      <c r="EF207" s="44" t="str">
        <f t="shared" si="3482"/>
        <v/>
      </c>
      <c r="EG207" s="44" t="str">
        <f t="shared" si="3482"/>
        <v/>
      </c>
      <c r="EH207" s="44" t="str">
        <f t="shared" si="3482"/>
        <v/>
      </c>
      <c r="EI207" s="44" t="str">
        <f t="shared" si="3482"/>
        <v/>
      </c>
      <c r="EJ207" s="44" t="str">
        <f t="shared" si="3482"/>
        <v/>
      </c>
      <c r="EK207" s="44" t="str">
        <f t="shared" si="3482"/>
        <v/>
      </c>
      <c r="EL207" s="44" t="str">
        <f t="shared" si="3482"/>
        <v/>
      </c>
      <c r="EM207" s="44" t="str">
        <f t="shared" si="3482"/>
        <v/>
      </c>
      <c r="EN207" s="44" t="str">
        <f t="shared" si="3482"/>
        <v/>
      </c>
      <c r="EO207" s="44" t="str">
        <f t="shared" si="3482"/>
        <v/>
      </c>
      <c r="EP207" s="44" t="str">
        <f t="shared" si="3482"/>
        <v/>
      </c>
      <c r="EQ207" s="44" t="str">
        <f t="shared" si="3482"/>
        <v/>
      </c>
      <c r="ER207" s="44" t="str">
        <f t="shared" si="3482"/>
        <v/>
      </c>
      <c r="ES207" s="44" t="str">
        <f t="shared" si="3482"/>
        <v/>
      </c>
      <c r="ET207" s="44" t="str">
        <f t="shared" si="3482"/>
        <v/>
      </c>
      <c r="EU207" s="44" t="str">
        <f t="shared" si="3482"/>
        <v/>
      </c>
      <c r="EV207" s="44" t="str">
        <f t="shared" si="3482"/>
        <v/>
      </c>
      <c r="EW207" s="44" t="str">
        <f t="shared" si="3482"/>
        <v/>
      </c>
      <c r="EX207" s="44" t="str">
        <f t="shared" si="3482"/>
        <v/>
      </c>
      <c r="EY207" s="44" t="str">
        <f t="shared" si="3482"/>
        <v/>
      </c>
      <c r="EZ207" s="44" t="str">
        <f t="shared" si="3482"/>
        <v/>
      </c>
      <c r="FA207" s="44" t="str">
        <f t="shared" si="3482"/>
        <v/>
      </c>
      <c r="FB207" s="44" t="str">
        <f t="shared" si="3482"/>
        <v/>
      </c>
      <c r="FC207" s="44" t="str">
        <f t="shared" si="3482"/>
        <v/>
      </c>
      <c r="FD207" s="44" t="str">
        <f t="shared" si="3482"/>
        <v/>
      </c>
      <c r="FE207" s="44" t="str">
        <f t="shared" si="3482"/>
        <v/>
      </c>
      <c r="FF207" s="44" t="str">
        <f t="shared" si="3482"/>
        <v/>
      </c>
      <c r="FG207" s="44" t="str">
        <f t="shared" si="3482"/>
        <v/>
      </c>
      <c r="FH207" s="44" t="str">
        <f t="shared" si="3482"/>
        <v/>
      </c>
      <c r="FI207" s="44" t="str">
        <f t="shared" si="3482"/>
        <v/>
      </c>
      <c r="FJ207" s="44" t="str">
        <f t="shared" si="3482"/>
        <v/>
      </c>
      <c r="FK207" s="44" t="str">
        <f t="shared" si="3482"/>
        <v/>
      </c>
      <c r="FL207" s="44" t="str">
        <f t="shared" si="3482"/>
        <v/>
      </c>
      <c r="FM207" s="44" t="str">
        <f t="shared" si="3482"/>
        <v/>
      </c>
      <c r="FN207" s="44" t="str">
        <f t="shared" ref="FN207:FS207" si="3483">IF(CH207="","","|n"&amp;FN$2&amp;"+"&amp;CH207&amp;FN$1)</f>
        <v/>
      </c>
      <c r="FO207" s="44" t="str">
        <f t="shared" si="3483"/>
        <v/>
      </c>
      <c r="FP207" s="44" t="str">
        <f t="shared" si="3483"/>
        <v/>
      </c>
      <c r="FQ207" s="44" t="str">
        <f t="shared" si="3483"/>
        <v/>
      </c>
      <c r="FR207" s="44" t="str">
        <f t="shared" si="3483"/>
        <v/>
      </c>
      <c r="FS207" s="44" t="str">
        <f t="shared" si="3483"/>
        <v/>
      </c>
    </row>
    <row r="208" ht="14.4" spans="1:175">
      <c r="A208" s="90"/>
      <c r="B208" s="8" t="s">
        <v>680</v>
      </c>
      <c r="C208" s="99" t="str">
        <f>"已领取"&amp;C199</f>
        <v>已领取公众号礼包</v>
      </c>
      <c r="T208" s="99" t="s">
        <v>681</v>
      </c>
      <c r="U208" s="3" t="s">
        <v>682</v>
      </c>
      <c r="CN208" s="13" t="str">
        <f t="shared" si="3478"/>
        <v>InitUnitState('IB51',,,,,,,,,,)</v>
      </c>
      <c r="CO208" s="13" t="str">
        <f t="shared" si="3479"/>
        <v>InitUnitNormal('IB51',,,,,,,,,,)</v>
      </c>
      <c r="CP208" s="13" t="str">
        <f t="shared" si="3480"/>
        <v>InitUnitMagic('IB51',,,,,,,,,,)</v>
      </c>
      <c r="CQ208" s="13" t="str">
        <f t="shared" si="3481"/>
        <v>InitUnitAdd('IB51',,,,,,,,,,)</v>
      </c>
      <c r="CR208" s="13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InitEquipData('IB51',,"",,,,,'','','','','','',"ReplaceableTextures\\commandButtons\\BTNLBUI01.blp")</v>
      </c>
      <c r="CU208" s="72" t="str">
        <f t="shared" ref="CU208:CU216" si="3484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" t="str">
        <f t="shared" ref="CV208:CV216" si="3485">T208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8" s="7"/>
      <c r="CX208" s="7"/>
      <c r="CY208" s="7"/>
      <c r="CZ208" s="7"/>
      <c r="DA208" s="7"/>
      <c r="DB208" s="44" t="str">
        <f t="shared" ref="DB208:DB214" si="3486">IF(V208="","","|n"&amp;DB$2&amp;"+"&amp;V208&amp;DB$1)</f>
        <v/>
      </c>
      <c r="DC208" s="44" t="str">
        <f t="shared" ref="DC208:DC214" si="3487">IF(W208="","","|n"&amp;DC$2&amp;"+"&amp;W208&amp;DC$1)</f>
        <v/>
      </c>
      <c r="DD208" s="44" t="str">
        <f t="shared" ref="DD208:DD214" si="3488">IF(X208="","","|n"&amp;DD$2&amp;"+"&amp;X208&amp;DD$1)</f>
        <v/>
      </c>
      <c r="DE208" s="44" t="str">
        <f t="shared" ref="DE208:DE214" si="3489">IF(Y208="","","|n"&amp;DE$2&amp;"+"&amp;Y208&amp;DE$1)</f>
        <v/>
      </c>
      <c r="DF208" s="44" t="str">
        <f t="shared" ref="DF208:DF214" si="3490">IF(Z208="","","|n"&amp;DF$2&amp;"+"&amp;Z208&amp;DF$1)</f>
        <v/>
      </c>
      <c r="DG208" s="44" t="str">
        <f t="shared" ref="DG208:DG214" si="3491">IF(AA208="","","|n"&amp;DG$2&amp;"+"&amp;AA208&amp;DG$1)</f>
        <v/>
      </c>
      <c r="DH208" s="44" t="str">
        <f t="shared" ref="DH208:DH214" si="3492">IF(AB208="","","|n"&amp;DH$2&amp;"+"&amp;AB208&amp;DH$1)</f>
        <v/>
      </c>
      <c r="DI208" s="44" t="str">
        <f t="shared" ref="DI208:DI214" si="3493">IF(AC208="","","|n"&amp;DI$2&amp;"+"&amp;AC208&amp;DI$1)</f>
        <v/>
      </c>
      <c r="DJ208" s="44" t="str">
        <f t="shared" ref="DJ208:DJ214" si="3494">IF(AD208="","","|n"&amp;DJ$2&amp;"+"&amp;AD208&amp;DJ$1)</f>
        <v/>
      </c>
      <c r="DK208" s="44" t="str">
        <f t="shared" ref="DK208:DK214" si="3495">IF(AE208="","","|n"&amp;DK$2&amp;"+"&amp;AE208&amp;DK$1)</f>
        <v/>
      </c>
      <c r="DL208" s="44" t="str">
        <f t="shared" ref="DL208:DL214" si="3496">IF(AF208="","","|n"&amp;DL$2&amp;"+"&amp;AF208&amp;DL$1)</f>
        <v/>
      </c>
      <c r="DM208" s="44" t="str">
        <f t="shared" ref="DM208:DM214" si="3497">IF(AG208="","","|n"&amp;DM$2&amp;"+"&amp;AG208&amp;DM$1)</f>
        <v/>
      </c>
      <c r="DN208" s="44" t="str">
        <f t="shared" ref="DN208:DN214" si="3498">IF(AH208="","","|n"&amp;DN$2&amp;"+"&amp;AH208&amp;DN$1)</f>
        <v/>
      </c>
      <c r="DO208" s="44" t="str">
        <f t="shared" ref="DO208:DO214" si="3499">IF(AI208="","","|n"&amp;DO$2&amp;"+"&amp;AI208&amp;DO$1)</f>
        <v/>
      </c>
      <c r="DP208" s="44" t="str">
        <f t="shared" ref="DP208:DP214" si="3500">IF(AJ208="","","|n"&amp;DP$2&amp;"+"&amp;AJ208&amp;DP$1)</f>
        <v/>
      </c>
      <c r="DQ208" s="44" t="str">
        <f t="shared" ref="DQ208:DQ214" si="3501">IF(AK208="","","|n"&amp;DQ$2&amp;"+"&amp;AK208&amp;DQ$1)</f>
        <v/>
      </c>
      <c r="DR208" s="44" t="str">
        <f t="shared" ref="DR208:DR214" si="3502">IF(AL208="","","|n"&amp;DR$2&amp;"+"&amp;AL208&amp;DR$1)</f>
        <v/>
      </c>
      <c r="DS208" s="44" t="str">
        <f t="shared" ref="DS208:DS214" si="3503">IF(AM208="","","|n"&amp;DS$2&amp;"+"&amp;AM208&amp;DS$1)</f>
        <v/>
      </c>
      <c r="DT208" s="44" t="str">
        <f t="shared" ref="DT208:DT214" si="3504">IF(AN208="","","|n"&amp;DT$2&amp;"+"&amp;AN208&amp;DT$1)</f>
        <v/>
      </c>
      <c r="DU208" s="44" t="str">
        <f t="shared" ref="DU208:DU214" si="3505">IF(AO208="","","|n"&amp;DU$2&amp;"+"&amp;AO208&amp;DU$1)</f>
        <v/>
      </c>
      <c r="DV208" s="44" t="str">
        <f t="shared" ref="DV208:DV214" si="3506">IF(AP208="","","|n"&amp;DV$2&amp;"+"&amp;AP208&amp;DV$1)</f>
        <v/>
      </c>
      <c r="DW208" s="44" t="str">
        <f t="shared" ref="DW208:DW214" si="3507">IF(AQ208="","","|n"&amp;DW$2&amp;"+"&amp;AQ208&amp;DW$1)</f>
        <v/>
      </c>
      <c r="DX208" s="44" t="str">
        <f t="shared" ref="DX208:DX214" si="3508">IF(AR208="","","|n"&amp;DX$2&amp;"+"&amp;AR208&amp;DX$1)</f>
        <v/>
      </c>
      <c r="DY208" s="44" t="str">
        <f t="shared" ref="DY208:DY214" si="3509">IF(AS208="","","|n"&amp;DY$2&amp;"+"&amp;AS208&amp;DY$1)</f>
        <v/>
      </c>
      <c r="DZ208" s="44" t="str">
        <f t="shared" ref="DZ208:DZ214" si="3510">IF(AT208="","","|n"&amp;DZ$2&amp;"+"&amp;AT208&amp;DZ$1)</f>
        <v/>
      </c>
      <c r="EA208" s="44" t="str">
        <f t="shared" ref="EA208:EA214" si="3511">IF(AU208="","","|n"&amp;EA$2&amp;"+"&amp;AU208&amp;EA$1)</f>
        <v/>
      </c>
      <c r="EB208" s="44" t="str">
        <f t="shared" ref="EB208:EB214" si="3512">IF(AV208="","","|n"&amp;EB$2&amp;"+"&amp;AV208&amp;EB$1)</f>
        <v/>
      </c>
      <c r="EC208" s="44" t="str">
        <f t="shared" ref="EC208:EC214" si="3513">IF(AW208="","","|n"&amp;EC$2&amp;"+"&amp;AW208&amp;EC$1)</f>
        <v/>
      </c>
      <c r="ED208" s="44" t="str">
        <f t="shared" ref="ED208:ED214" si="3514">IF(AX208="","","|n"&amp;ED$2&amp;"+"&amp;AX208&amp;ED$1)</f>
        <v/>
      </c>
      <c r="EE208" s="44" t="str">
        <f t="shared" ref="EE208:EE214" si="3515">IF(AY208="","","|n"&amp;EE$2&amp;"+"&amp;AY208&amp;EE$1)</f>
        <v/>
      </c>
      <c r="EF208" s="44" t="str">
        <f t="shared" ref="EF208:EF214" si="3516">IF(AZ208="","","|n"&amp;EF$2&amp;"+"&amp;AZ208&amp;EF$1)</f>
        <v/>
      </c>
      <c r="EG208" s="44" t="str">
        <f t="shared" ref="EG208:EG214" si="3517">IF(BA208="","","|n"&amp;EG$2&amp;"+"&amp;BA208&amp;EG$1)</f>
        <v/>
      </c>
      <c r="EH208" s="44" t="str">
        <f t="shared" ref="EH208:EH214" si="3518">IF(BB208="","","|n"&amp;EH$2&amp;"+"&amp;BB208&amp;EH$1)</f>
        <v/>
      </c>
      <c r="EI208" s="44" t="str">
        <f t="shared" ref="EI208:EI214" si="3519">IF(BC208="","","|n"&amp;EI$2&amp;"+"&amp;BC208&amp;EI$1)</f>
        <v/>
      </c>
      <c r="EJ208" s="44" t="str">
        <f t="shared" ref="EJ208:EJ214" si="3520">IF(BD208="","","|n"&amp;EJ$2&amp;"+"&amp;BD208&amp;EJ$1)</f>
        <v/>
      </c>
      <c r="EK208" s="44" t="str">
        <f t="shared" ref="EK208:EK214" si="3521">IF(BE208="","","|n"&amp;EK$2&amp;"+"&amp;BE208&amp;EK$1)</f>
        <v/>
      </c>
      <c r="EL208" s="44" t="str">
        <f t="shared" ref="EL208:EL214" si="3522">IF(BF208="","","|n"&amp;EL$2&amp;"+"&amp;BF208&amp;EL$1)</f>
        <v/>
      </c>
      <c r="EM208" s="44" t="str">
        <f t="shared" ref="EM208:EM214" si="3523">IF(BG208="","","|n"&amp;EM$2&amp;"+"&amp;BG208&amp;EM$1)</f>
        <v/>
      </c>
      <c r="EN208" s="44" t="str">
        <f t="shared" ref="EN208:EN214" si="3524">IF(BH208="","","|n"&amp;EN$2&amp;"+"&amp;BH208&amp;EN$1)</f>
        <v/>
      </c>
      <c r="EO208" s="44" t="str">
        <f t="shared" ref="EO208:EO214" si="3525">IF(BI208="","","|n"&amp;EO$2&amp;"+"&amp;BI208&amp;EO$1)</f>
        <v/>
      </c>
      <c r="EP208" s="44" t="str">
        <f t="shared" ref="EP208:EP214" si="3526">IF(BJ208="","","|n"&amp;EP$2&amp;"+"&amp;BJ208&amp;EP$1)</f>
        <v/>
      </c>
      <c r="EQ208" s="44" t="str">
        <f t="shared" ref="EQ208:EQ214" si="3527">IF(BK208="","","|n"&amp;EQ$2&amp;"+"&amp;BK208&amp;EQ$1)</f>
        <v/>
      </c>
      <c r="ER208" s="44" t="str">
        <f t="shared" ref="ER208:ER214" si="3528">IF(BL208="","","|n"&amp;ER$2&amp;"+"&amp;BL208&amp;ER$1)</f>
        <v/>
      </c>
      <c r="ES208" s="44" t="str">
        <f t="shared" ref="ES208:ES214" si="3529">IF(BM208="","","|n"&amp;ES$2&amp;"+"&amp;BM208&amp;ES$1)</f>
        <v/>
      </c>
      <c r="ET208" s="44" t="str">
        <f t="shared" ref="ET208:ET214" si="3530">IF(BN208="","","|n"&amp;ET$2&amp;"+"&amp;BN208&amp;ET$1)</f>
        <v/>
      </c>
      <c r="EU208" s="44" t="str">
        <f t="shared" ref="EU208:EU214" si="3531">IF(BO208="","","|n"&amp;EU$2&amp;"+"&amp;BO208&amp;EU$1)</f>
        <v/>
      </c>
      <c r="EV208" s="44" t="str">
        <f t="shared" ref="EV208:EV214" si="3532">IF(BP208="","","|n"&amp;EV$2&amp;"+"&amp;BP208&amp;EV$1)</f>
        <v/>
      </c>
      <c r="EW208" s="44" t="str">
        <f t="shared" ref="EW208:EW214" si="3533">IF(BQ208="","","|n"&amp;EW$2&amp;"+"&amp;BQ208&amp;EW$1)</f>
        <v/>
      </c>
      <c r="EX208" s="44" t="str">
        <f t="shared" ref="EX208:EX214" si="3534">IF(BR208="","","|n"&amp;EX$2&amp;"+"&amp;BR208&amp;EX$1)</f>
        <v/>
      </c>
      <c r="EY208" s="44" t="str">
        <f t="shared" ref="EY208:EY214" si="3535">IF(BS208="","","|n"&amp;EY$2&amp;"+"&amp;BS208&amp;EY$1)</f>
        <v/>
      </c>
      <c r="EZ208" s="44" t="str">
        <f t="shared" ref="EZ208:EZ214" si="3536">IF(BT208="","","|n"&amp;EZ$2&amp;"+"&amp;BT208&amp;EZ$1)</f>
        <v/>
      </c>
      <c r="FA208" s="44" t="str">
        <f t="shared" ref="FA208:FA214" si="3537">IF(BU208="","","|n"&amp;FA$2&amp;"+"&amp;BU208&amp;FA$1)</f>
        <v/>
      </c>
      <c r="FB208" s="44" t="str">
        <f t="shared" ref="FB208:FB214" si="3538">IF(BV208="","","|n"&amp;FB$2&amp;"+"&amp;BV208&amp;FB$1)</f>
        <v/>
      </c>
      <c r="FC208" s="44" t="str">
        <f t="shared" ref="FC208:FC214" si="3539">IF(BW208="","","|n"&amp;FC$2&amp;"+"&amp;BW208&amp;FC$1)</f>
        <v/>
      </c>
      <c r="FD208" s="44" t="str">
        <f t="shared" ref="FD208:FD214" si="3540">IF(BX208="","","|n"&amp;FD$2&amp;"+"&amp;BX208&amp;FD$1)</f>
        <v/>
      </c>
      <c r="FE208" s="44" t="str">
        <f t="shared" ref="FE208:FE214" si="3541">IF(BY208="","","|n"&amp;FE$2&amp;"+"&amp;BY208&amp;FE$1)</f>
        <v/>
      </c>
      <c r="FF208" s="44" t="str">
        <f t="shared" ref="FF208:FF214" si="3542">IF(BZ208="","","|n"&amp;FF$2&amp;"+"&amp;BZ208&amp;FF$1)</f>
        <v/>
      </c>
      <c r="FG208" s="44" t="str">
        <f t="shared" ref="FG208:FG214" si="3543">IF(CA208="","","|n"&amp;FG$2&amp;"+"&amp;CA208&amp;FG$1)</f>
        <v/>
      </c>
      <c r="FH208" s="44" t="str">
        <f t="shared" ref="FH208:FH214" si="3544">IF(CB208="","","|n"&amp;FH$2&amp;"+"&amp;CB208&amp;FH$1)</f>
        <v/>
      </c>
      <c r="FI208" s="44" t="str">
        <f t="shared" ref="FI208:FI214" si="3545">IF(CC208="","","|n"&amp;FI$2&amp;"+"&amp;CC208&amp;FI$1)</f>
        <v/>
      </c>
      <c r="FJ208" s="44" t="str">
        <f t="shared" ref="FJ208:FJ214" si="3546">IF(CD208="","","|n"&amp;FJ$2&amp;"+"&amp;CD208&amp;FJ$1)</f>
        <v/>
      </c>
      <c r="FK208" s="44" t="str">
        <f t="shared" ref="FK208:FK214" si="3547">IF(CE208="","","|n"&amp;FK$2&amp;"+"&amp;CE208&amp;FK$1)</f>
        <v/>
      </c>
      <c r="FL208" s="44" t="str">
        <f t="shared" ref="FL208:FL214" si="3548">IF(CF208="","","|n"&amp;FL$2&amp;"+"&amp;CF208&amp;FL$1)</f>
        <v/>
      </c>
      <c r="FM208" s="44" t="str">
        <f t="shared" ref="FM208:FM214" si="3549">IF(CG208="","","|n"&amp;FM$2&amp;"+"&amp;CG208&amp;FM$1)</f>
        <v/>
      </c>
      <c r="FN208" s="44" t="str">
        <f t="shared" ref="FN208:FN214" si="3550">IF(CH208="","","|n"&amp;FN$2&amp;"+"&amp;CH208&amp;FN$1)</f>
        <v/>
      </c>
      <c r="FO208" s="44" t="str">
        <f t="shared" ref="FO208:FO214" si="3551">IF(CI208="","","|n"&amp;FO$2&amp;"+"&amp;CI208&amp;FO$1)</f>
        <v/>
      </c>
      <c r="FP208" s="44" t="str">
        <f t="shared" ref="FP208:FP214" si="3552">IF(CJ208="","","|n"&amp;FP$2&amp;"+"&amp;CJ208&amp;FP$1)</f>
        <v/>
      </c>
      <c r="FQ208" s="44" t="str">
        <f t="shared" ref="FQ208:FQ214" si="3553">IF(CK208="","","|n"&amp;FQ$2&amp;"+"&amp;CK208&amp;FQ$1)</f>
        <v/>
      </c>
      <c r="FR208" s="44" t="str">
        <f t="shared" ref="FR208:FR214" si="3554">IF(CL208="","","|n"&amp;FR$2&amp;"+"&amp;CL208&amp;FR$1)</f>
        <v/>
      </c>
      <c r="FS208" s="44" t="str">
        <f t="shared" ref="FS208:FS214" si="3555">IF(CM208="","","|n"&amp;FS$2&amp;"+"&amp;CM208&amp;FS$1)</f>
        <v/>
      </c>
    </row>
    <row r="209" ht="14.4" spans="1:175">
      <c r="A209" s="90"/>
      <c r="B209" s="8" t="s">
        <v>683</v>
      </c>
      <c r="C209" s="99" t="str">
        <f t="shared" ref="C209:C216" si="3556">"已领取"&amp;C200</f>
        <v>已领取入群礼包</v>
      </c>
      <c r="T209" s="99" t="s">
        <v>684</v>
      </c>
      <c r="U209" s="3" t="s">
        <v>682</v>
      </c>
      <c r="CN209" s="13" t="str">
        <f t="shared" ref="CN209:CN216" si="3557">"InitUnitState('"&amp;B209&amp;"',"&amp;V209&amp;","&amp;W209&amp;","&amp;X209&amp;","&amp;Y209&amp;","&amp;Z209&amp;","&amp;AA209&amp;","&amp;AB209&amp;","&amp;AC209&amp;","&amp;AD209&amp;","&amp;AE209&amp;")"</f>
        <v>InitUnitState('IB52',,,,,,,,,,)</v>
      </c>
      <c r="CO209" s="13" t="str">
        <f t="shared" ref="CO209:CO216" si="3558">"InitUnitNormal('"&amp;B209&amp;"',"&amp;AF209&amp;","&amp;AG209&amp;","&amp;AH209&amp;","&amp;AI209&amp;","&amp;AJ209&amp;","&amp;AK209&amp;","&amp;AL209&amp;","&amp;AM209&amp;","&amp;AN209&amp;","&amp;AO209&amp;")"</f>
        <v>InitUnitNormal('IB52',,,,,,,,,,)</v>
      </c>
      <c r="CP209" s="13" t="str">
        <f t="shared" ref="CP209:CP216" si="3559">"InitUnitMagic('"&amp;B209&amp;"',"&amp;AP209&amp;","&amp;AQ209&amp;","&amp;AR209&amp;","&amp;AS209&amp;","&amp;AT209&amp;","&amp;AU209&amp;","&amp;AV209&amp;","&amp;AW209&amp;","&amp;BI209&amp;","&amp;BJ209&amp;")"</f>
        <v>InitUnitMagic('IB52',,,,,,,,,,)</v>
      </c>
      <c r="CQ209" s="13" t="str">
        <f t="shared" ref="CQ209:CQ216" si="3560">"InitUnitAdd('"&amp;B209&amp;"',"&amp;BK209&amp;","&amp;BL209&amp;","&amp;BM209&amp;","&amp;BN209&amp;","&amp;BO209&amp;","&amp;BP209&amp;","&amp;BQ209&amp;","&amp;BR209&amp;","&amp;BS209&amp;","&amp;BT209&amp;")"</f>
        <v>InitUnitAdd('IB52',,,,,,,,,,)</v>
      </c>
      <c r="CR209" s="13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InitEquipData('IB52',,"",,,,,'','','','','','',"ReplaceableTextures\\commandButtons\\BTNLBUI01.blp")</v>
      </c>
      <c r="CU209" s="72" t="str">
        <f t="shared" si="3484"/>
        <v>|n</v>
      </c>
      <c r="CV209" s="6" t="str">
        <f t="shared" si="3485"/>
        <v>加入《|cff00ffcc全民封神|r》官方QQ群，即可获得入群礼包码！|n|n输入礼包码即可获得：|n|cffffcc33金币+2000|n每秒攻击+2|n每秒业力+1|r</v>
      </c>
      <c r="CW209" s="7"/>
      <c r="CX209" s="7"/>
      <c r="CY209" s="7"/>
      <c r="CZ209" s="7"/>
      <c r="DA209" s="7"/>
      <c r="DB209" s="44" t="str">
        <f t="shared" si="3486"/>
        <v/>
      </c>
      <c r="DC209" s="44" t="str">
        <f t="shared" si="3487"/>
        <v/>
      </c>
      <c r="DD209" s="44" t="str">
        <f t="shared" si="3488"/>
        <v/>
      </c>
      <c r="DE209" s="44" t="str">
        <f t="shared" si="3489"/>
        <v/>
      </c>
      <c r="DF209" s="44" t="str">
        <f t="shared" si="3490"/>
        <v/>
      </c>
      <c r="DG209" s="44" t="str">
        <f t="shared" si="3491"/>
        <v/>
      </c>
      <c r="DH209" s="44" t="str">
        <f t="shared" si="3492"/>
        <v/>
      </c>
      <c r="DI209" s="44" t="str">
        <f t="shared" si="3493"/>
        <v/>
      </c>
      <c r="DJ209" s="44" t="str">
        <f t="shared" si="3494"/>
        <v/>
      </c>
      <c r="DK209" s="44" t="str">
        <f t="shared" si="3495"/>
        <v/>
      </c>
      <c r="DL209" s="44" t="str">
        <f t="shared" si="3496"/>
        <v/>
      </c>
      <c r="DM209" s="44" t="str">
        <f t="shared" si="3497"/>
        <v/>
      </c>
      <c r="DN209" s="44" t="str">
        <f t="shared" si="3498"/>
        <v/>
      </c>
      <c r="DO209" s="44" t="str">
        <f t="shared" si="3499"/>
        <v/>
      </c>
      <c r="DP209" s="44" t="str">
        <f t="shared" si="3500"/>
        <v/>
      </c>
      <c r="DQ209" s="44" t="str">
        <f t="shared" si="3501"/>
        <v/>
      </c>
      <c r="DR209" s="44" t="str">
        <f t="shared" si="3502"/>
        <v/>
      </c>
      <c r="DS209" s="44" t="str">
        <f t="shared" si="3503"/>
        <v/>
      </c>
      <c r="DT209" s="44" t="str">
        <f t="shared" si="3504"/>
        <v/>
      </c>
      <c r="DU209" s="44" t="str">
        <f t="shared" si="3505"/>
        <v/>
      </c>
      <c r="DV209" s="44" t="str">
        <f t="shared" si="3506"/>
        <v/>
      </c>
      <c r="DW209" s="44" t="str">
        <f t="shared" si="3507"/>
        <v/>
      </c>
      <c r="DX209" s="44" t="str">
        <f t="shared" si="3508"/>
        <v/>
      </c>
      <c r="DY209" s="44" t="str">
        <f t="shared" si="3509"/>
        <v/>
      </c>
      <c r="DZ209" s="44" t="str">
        <f t="shared" si="3510"/>
        <v/>
      </c>
      <c r="EA209" s="44" t="str">
        <f t="shared" si="3511"/>
        <v/>
      </c>
      <c r="EB209" s="44" t="str">
        <f t="shared" si="3512"/>
        <v/>
      </c>
      <c r="EC209" s="44" t="str">
        <f t="shared" si="3513"/>
        <v/>
      </c>
      <c r="ED209" s="44" t="str">
        <f t="shared" si="3514"/>
        <v/>
      </c>
      <c r="EE209" s="44" t="str">
        <f t="shared" si="3515"/>
        <v/>
      </c>
      <c r="EF209" s="44" t="str">
        <f t="shared" si="3516"/>
        <v/>
      </c>
      <c r="EG209" s="44" t="str">
        <f t="shared" si="3517"/>
        <v/>
      </c>
      <c r="EH209" s="44" t="str">
        <f t="shared" si="3518"/>
        <v/>
      </c>
      <c r="EI209" s="44" t="str">
        <f t="shared" si="3519"/>
        <v/>
      </c>
      <c r="EJ209" s="44" t="str">
        <f t="shared" si="3520"/>
        <v/>
      </c>
      <c r="EK209" s="44" t="str">
        <f t="shared" si="3521"/>
        <v/>
      </c>
      <c r="EL209" s="44" t="str">
        <f t="shared" si="3522"/>
        <v/>
      </c>
      <c r="EM209" s="44" t="str">
        <f t="shared" si="3523"/>
        <v/>
      </c>
      <c r="EN209" s="44" t="str">
        <f t="shared" si="3524"/>
        <v/>
      </c>
      <c r="EO209" s="44" t="str">
        <f t="shared" si="3525"/>
        <v/>
      </c>
      <c r="EP209" s="44" t="str">
        <f t="shared" si="3526"/>
        <v/>
      </c>
      <c r="EQ209" s="44" t="str">
        <f t="shared" si="3527"/>
        <v/>
      </c>
      <c r="ER209" s="44" t="str">
        <f t="shared" si="3528"/>
        <v/>
      </c>
      <c r="ES209" s="44" t="str">
        <f t="shared" si="3529"/>
        <v/>
      </c>
      <c r="ET209" s="44" t="str">
        <f t="shared" si="3530"/>
        <v/>
      </c>
      <c r="EU209" s="44" t="str">
        <f t="shared" si="3531"/>
        <v/>
      </c>
      <c r="EV209" s="44" t="str">
        <f t="shared" si="3532"/>
        <v/>
      </c>
      <c r="EW209" s="44" t="str">
        <f t="shared" si="3533"/>
        <v/>
      </c>
      <c r="EX209" s="44" t="str">
        <f t="shared" si="3534"/>
        <v/>
      </c>
      <c r="EY209" s="44" t="str">
        <f t="shared" si="3535"/>
        <v/>
      </c>
      <c r="EZ209" s="44" t="str">
        <f t="shared" si="3536"/>
        <v/>
      </c>
      <c r="FA209" s="44" t="str">
        <f t="shared" si="3537"/>
        <v/>
      </c>
      <c r="FB209" s="44" t="str">
        <f t="shared" si="3538"/>
        <v/>
      </c>
      <c r="FC209" s="44" t="str">
        <f t="shared" si="3539"/>
        <v/>
      </c>
      <c r="FD209" s="44" t="str">
        <f t="shared" si="3540"/>
        <v/>
      </c>
      <c r="FE209" s="44" t="str">
        <f t="shared" si="3541"/>
        <v/>
      </c>
      <c r="FF209" s="44" t="str">
        <f t="shared" si="3542"/>
        <v/>
      </c>
      <c r="FG209" s="44" t="str">
        <f t="shared" si="3543"/>
        <v/>
      </c>
      <c r="FH209" s="44" t="str">
        <f t="shared" si="3544"/>
        <v/>
      </c>
      <c r="FI209" s="44" t="str">
        <f t="shared" si="3545"/>
        <v/>
      </c>
      <c r="FJ209" s="44" t="str">
        <f t="shared" si="3546"/>
        <v/>
      </c>
      <c r="FK209" s="44" t="str">
        <f t="shared" si="3547"/>
        <v/>
      </c>
      <c r="FL209" s="44" t="str">
        <f t="shared" si="3548"/>
        <v/>
      </c>
      <c r="FM209" s="44" t="str">
        <f t="shared" si="3549"/>
        <v/>
      </c>
      <c r="FN209" s="44" t="str">
        <f t="shared" si="3550"/>
        <v/>
      </c>
      <c r="FO209" s="44" t="str">
        <f t="shared" si="3551"/>
        <v/>
      </c>
      <c r="FP209" s="44" t="str">
        <f t="shared" si="3552"/>
        <v/>
      </c>
      <c r="FQ209" s="44" t="str">
        <f t="shared" si="3553"/>
        <v/>
      </c>
      <c r="FR209" s="44" t="str">
        <f t="shared" si="3554"/>
        <v/>
      </c>
      <c r="FS209" s="44" t="str">
        <f t="shared" si="3555"/>
        <v/>
      </c>
    </row>
    <row r="210" ht="14.4" spans="1:175">
      <c r="A210" s="90"/>
      <c r="B210" s="8" t="s">
        <v>685</v>
      </c>
      <c r="C210" s="99" t="str">
        <f t="shared" si="3556"/>
        <v>已领取拜年礼包</v>
      </c>
      <c r="T210" s="99" t="s">
        <v>686</v>
      </c>
      <c r="U210" s="3" t="s">
        <v>682</v>
      </c>
      <c r="CN210" s="13" t="str">
        <f t="shared" si="3557"/>
        <v>InitUnitState('IB53',,,,,,,,,,)</v>
      </c>
      <c r="CO210" s="13" t="str">
        <f t="shared" si="3558"/>
        <v>InitUnitNormal('IB53',,,,,,,,,,)</v>
      </c>
      <c r="CP210" s="13" t="str">
        <f t="shared" si="3559"/>
        <v>InitUnitMagic('IB53',,,,,,,,,,)</v>
      </c>
      <c r="CQ210" s="13" t="str">
        <f t="shared" si="3560"/>
        <v>InitUnitAdd('IB53',,,,,,,,,,)</v>
      </c>
      <c r="CR210" s="13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InitEquipData('IB53',,"",,,,,'','','','','','',"ReplaceableTextures\\commandButtons\\BTNLBUI01.blp")</v>
      </c>
      <c r="CU210" s="72" t="str">
        <f t="shared" si="3484"/>
        <v>|n</v>
      </c>
      <c r="CV210" s="6" t="str">
        <f t="shared" si="3485"/>
        <v>|cff99ccff给与地图有效评论建议|r即可领取：|n|cffffff00杀敌生命+5|n杀敌业力+1|n|r|cffffcc33每级通行证永久增加3点杀敌生命奖励！|n|n|r|cff808080地图等级达到3级可领取|r</v>
      </c>
      <c r="CW210" s="7"/>
      <c r="CX210" s="7"/>
      <c r="CY210" s="7"/>
      <c r="CZ210" s="7"/>
      <c r="DA210" s="7"/>
      <c r="DB210" s="44" t="str">
        <f t="shared" si="3486"/>
        <v/>
      </c>
      <c r="DC210" s="44" t="str">
        <f t="shared" si="3487"/>
        <v/>
      </c>
      <c r="DD210" s="44" t="str">
        <f t="shared" si="3488"/>
        <v/>
      </c>
      <c r="DE210" s="44" t="str">
        <f t="shared" si="3489"/>
        <v/>
      </c>
      <c r="DF210" s="44" t="str">
        <f t="shared" si="3490"/>
        <v/>
      </c>
      <c r="DG210" s="44" t="str">
        <f t="shared" si="3491"/>
        <v/>
      </c>
      <c r="DH210" s="44" t="str">
        <f t="shared" si="3492"/>
        <v/>
      </c>
      <c r="DI210" s="44" t="str">
        <f t="shared" si="3493"/>
        <v/>
      </c>
      <c r="DJ210" s="44" t="str">
        <f t="shared" si="3494"/>
        <v/>
      </c>
      <c r="DK210" s="44" t="str">
        <f t="shared" si="3495"/>
        <v/>
      </c>
      <c r="DL210" s="44" t="str">
        <f t="shared" si="3496"/>
        <v/>
      </c>
      <c r="DM210" s="44" t="str">
        <f t="shared" si="3497"/>
        <v/>
      </c>
      <c r="DN210" s="44" t="str">
        <f t="shared" si="3498"/>
        <v/>
      </c>
      <c r="DO210" s="44" t="str">
        <f t="shared" si="3499"/>
        <v/>
      </c>
      <c r="DP210" s="44" t="str">
        <f t="shared" si="3500"/>
        <v/>
      </c>
      <c r="DQ210" s="44" t="str">
        <f t="shared" si="3501"/>
        <v/>
      </c>
      <c r="DR210" s="44" t="str">
        <f t="shared" si="3502"/>
        <v/>
      </c>
      <c r="DS210" s="44" t="str">
        <f t="shared" si="3503"/>
        <v/>
      </c>
      <c r="DT210" s="44" t="str">
        <f t="shared" si="3504"/>
        <v/>
      </c>
      <c r="DU210" s="44" t="str">
        <f t="shared" si="3505"/>
        <v/>
      </c>
      <c r="DV210" s="44" t="str">
        <f t="shared" si="3506"/>
        <v/>
      </c>
      <c r="DW210" s="44" t="str">
        <f t="shared" si="3507"/>
        <v/>
      </c>
      <c r="DX210" s="44" t="str">
        <f t="shared" si="3508"/>
        <v/>
      </c>
      <c r="DY210" s="44" t="str">
        <f t="shared" si="3509"/>
        <v/>
      </c>
      <c r="DZ210" s="44" t="str">
        <f t="shared" si="3510"/>
        <v/>
      </c>
      <c r="EA210" s="44" t="str">
        <f t="shared" si="3511"/>
        <v/>
      </c>
      <c r="EB210" s="44" t="str">
        <f t="shared" si="3512"/>
        <v/>
      </c>
      <c r="EC210" s="44" t="str">
        <f t="shared" si="3513"/>
        <v/>
      </c>
      <c r="ED210" s="44" t="str">
        <f t="shared" si="3514"/>
        <v/>
      </c>
      <c r="EE210" s="44" t="str">
        <f t="shared" si="3515"/>
        <v/>
      </c>
      <c r="EF210" s="44" t="str">
        <f t="shared" si="3516"/>
        <v/>
      </c>
      <c r="EG210" s="44" t="str">
        <f t="shared" si="3517"/>
        <v/>
      </c>
      <c r="EH210" s="44" t="str">
        <f t="shared" si="3518"/>
        <v/>
      </c>
      <c r="EI210" s="44" t="str">
        <f t="shared" si="3519"/>
        <v/>
      </c>
      <c r="EJ210" s="44" t="str">
        <f t="shared" si="3520"/>
        <v/>
      </c>
      <c r="EK210" s="44" t="str">
        <f t="shared" si="3521"/>
        <v/>
      </c>
      <c r="EL210" s="44" t="str">
        <f t="shared" si="3522"/>
        <v/>
      </c>
      <c r="EM210" s="44" t="str">
        <f t="shared" si="3523"/>
        <v/>
      </c>
      <c r="EN210" s="44" t="str">
        <f t="shared" si="3524"/>
        <v/>
      </c>
      <c r="EO210" s="44" t="str">
        <f t="shared" si="3525"/>
        <v/>
      </c>
      <c r="EP210" s="44" t="str">
        <f t="shared" si="3526"/>
        <v/>
      </c>
      <c r="EQ210" s="44" t="str">
        <f t="shared" si="3527"/>
        <v/>
      </c>
      <c r="ER210" s="44" t="str">
        <f t="shared" si="3528"/>
        <v/>
      </c>
      <c r="ES210" s="44" t="str">
        <f t="shared" si="3529"/>
        <v/>
      </c>
      <c r="ET210" s="44" t="str">
        <f t="shared" si="3530"/>
        <v/>
      </c>
      <c r="EU210" s="44" t="str">
        <f t="shared" si="3531"/>
        <v/>
      </c>
      <c r="EV210" s="44" t="str">
        <f t="shared" si="3532"/>
        <v/>
      </c>
      <c r="EW210" s="44" t="str">
        <f t="shared" si="3533"/>
        <v/>
      </c>
      <c r="EX210" s="44" t="str">
        <f t="shared" si="3534"/>
        <v/>
      </c>
      <c r="EY210" s="44" t="str">
        <f t="shared" si="3535"/>
        <v/>
      </c>
      <c r="EZ210" s="44" t="str">
        <f t="shared" si="3536"/>
        <v/>
      </c>
      <c r="FA210" s="44" t="str">
        <f t="shared" si="3537"/>
        <v/>
      </c>
      <c r="FB210" s="44" t="str">
        <f t="shared" si="3538"/>
        <v/>
      </c>
      <c r="FC210" s="44" t="str">
        <f t="shared" si="3539"/>
        <v/>
      </c>
      <c r="FD210" s="44" t="str">
        <f t="shared" si="3540"/>
        <v/>
      </c>
      <c r="FE210" s="44" t="str">
        <f t="shared" si="3541"/>
        <v/>
      </c>
      <c r="FF210" s="44" t="str">
        <f t="shared" si="3542"/>
        <v/>
      </c>
      <c r="FG210" s="44" t="str">
        <f t="shared" si="3543"/>
        <v/>
      </c>
      <c r="FH210" s="44" t="str">
        <f t="shared" si="3544"/>
        <v/>
      </c>
      <c r="FI210" s="44" t="str">
        <f t="shared" si="3545"/>
        <v/>
      </c>
      <c r="FJ210" s="44" t="str">
        <f t="shared" si="3546"/>
        <v/>
      </c>
      <c r="FK210" s="44" t="str">
        <f t="shared" si="3547"/>
        <v/>
      </c>
      <c r="FL210" s="44" t="str">
        <f t="shared" si="3548"/>
        <v/>
      </c>
      <c r="FM210" s="44" t="str">
        <f t="shared" si="3549"/>
        <v/>
      </c>
      <c r="FN210" s="44" t="str">
        <f t="shared" si="3550"/>
        <v/>
      </c>
      <c r="FO210" s="44" t="str">
        <f t="shared" si="3551"/>
        <v/>
      </c>
      <c r="FP210" s="44" t="str">
        <f t="shared" si="3552"/>
        <v/>
      </c>
      <c r="FQ210" s="44" t="str">
        <f t="shared" si="3553"/>
        <v/>
      </c>
      <c r="FR210" s="44" t="str">
        <f t="shared" si="3554"/>
        <v/>
      </c>
      <c r="FS210" s="44" t="str">
        <f t="shared" si="3555"/>
        <v/>
      </c>
    </row>
    <row r="211" ht="14.4" spans="1:175">
      <c r="A211" s="90"/>
      <c r="B211" s="8" t="s">
        <v>687</v>
      </c>
      <c r="C211" s="99" t="str">
        <f t="shared" si="3556"/>
        <v>已领取收藏礼包</v>
      </c>
      <c r="T211" s="99" t="s">
        <v>688</v>
      </c>
      <c r="U211" s="3" t="s">
        <v>682</v>
      </c>
      <c r="CN211" s="13" t="str">
        <f t="shared" si="3557"/>
        <v>InitUnitState('IB54',,,,,,,,,,)</v>
      </c>
      <c r="CO211" s="13" t="str">
        <f t="shared" si="3558"/>
        <v>InitUnitNormal('IB54',,,,,,,,,,)</v>
      </c>
      <c r="CP211" s="13" t="str">
        <f t="shared" si="3559"/>
        <v>InitUnitMagic('IB54',,,,,,,,,,)</v>
      </c>
      <c r="CQ211" s="13" t="str">
        <f t="shared" si="3560"/>
        <v>InitUnitAdd('IB54',,,,,,,,,,)</v>
      </c>
      <c r="CR211" s="13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InitEquipData('IB54',,"",,,,,'','','','','','',"ReplaceableTextures\\commandButtons\\BTNLBUI01.blp")</v>
      </c>
      <c r="CU211" s="72" t="str">
        <f t="shared" si="3484"/>
        <v>|n</v>
      </c>
      <c r="CV211" s="6" t="str">
        <f t="shared" si="3485"/>
        <v>|cff99ccff房间大厅界面点击右上角《|r|cffcc99ff收藏|r|cff99ccff》后可领取该礼包。|n|n|r属性：|n|cffffcc33物理伤害+5%|n法术伤害+5%|r</v>
      </c>
      <c r="CW211" s="7"/>
      <c r="CX211" s="7"/>
      <c r="CY211" s="7"/>
      <c r="CZ211" s="7"/>
      <c r="DA211" s="7"/>
      <c r="DB211" s="44" t="str">
        <f t="shared" si="3486"/>
        <v/>
      </c>
      <c r="DC211" s="44" t="str">
        <f t="shared" si="3487"/>
        <v/>
      </c>
      <c r="DD211" s="44" t="str">
        <f t="shared" si="3488"/>
        <v/>
      </c>
      <c r="DE211" s="44" t="str">
        <f t="shared" si="3489"/>
        <v/>
      </c>
      <c r="DF211" s="44" t="str">
        <f t="shared" si="3490"/>
        <v/>
      </c>
      <c r="DG211" s="44" t="str">
        <f t="shared" si="3491"/>
        <v/>
      </c>
      <c r="DH211" s="44" t="str">
        <f t="shared" si="3492"/>
        <v/>
      </c>
      <c r="DI211" s="44" t="str">
        <f t="shared" si="3493"/>
        <v/>
      </c>
      <c r="DJ211" s="44" t="str">
        <f t="shared" si="3494"/>
        <v/>
      </c>
      <c r="DK211" s="44" t="str">
        <f t="shared" si="3495"/>
        <v/>
      </c>
      <c r="DL211" s="44" t="str">
        <f t="shared" si="3496"/>
        <v/>
      </c>
      <c r="DM211" s="44" t="str">
        <f t="shared" si="3497"/>
        <v/>
      </c>
      <c r="DN211" s="44" t="str">
        <f t="shared" si="3498"/>
        <v/>
      </c>
      <c r="DO211" s="44" t="str">
        <f t="shared" si="3499"/>
        <v/>
      </c>
      <c r="DP211" s="44" t="str">
        <f t="shared" si="3500"/>
        <v/>
      </c>
      <c r="DQ211" s="44" t="str">
        <f t="shared" si="3501"/>
        <v/>
      </c>
      <c r="DR211" s="44" t="str">
        <f t="shared" si="3502"/>
        <v/>
      </c>
      <c r="DS211" s="44" t="str">
        <f t="shared" si="3503"/>
        <v/>
      </c>
      <c r="DT211" s="44" t="str">
        <f t="shared" si="3504"/>
        <v/>
      </c>
      <c r="DU211" s="44" t="str">
        <f t="shared" si="3505"/>
        <v/>
      </c>
      <c r="DV211" s="44" t="str">
        <f t="shared" si="3506"/>
        <v/>
      </c>
      <c r="DW211" s="44" t="str">
        <f t="shared" si="3507"/>
        <v/>
      </c>
      <c r="DX211" s="44" t="str">
        <f t="shared" si="3508"/>
        <v/>
      </c>
      <c r="DY211" s="44" t="str">
        <f t="shared" si="3509"/>
        <v/>
      </c>
      <c r="DZ211" s="44" t="str">
        <f t="shared" si="3510"/>
        <v/>
      </c>
      <c r="EA211" s="44" t="str">
        <f t="shared" si="3511"/>
        <v/>
      </c>
      <c r="EB211" s="44" t="str">
        <f t="shared" si="3512"/>
        <v/>
      </c>
      <c r="EC211" s="44" t="str">
        <f t="shared" si="3513"/>
        <v/>
      </c>
      <c r="ED211" s="44" t="str">
        <f t="shared" si="3514"/>
        <v/>
      </c>
      <c r="EE211" s="44" t="str">
        <f t="shared" si="3515"/>
        <v/>
      </c>
      <c r="EF211" s="44" t="str">
        <f t="shared" si="3516"/>
        <v/>
      </c>
      <c r="EG211" s="44" t="str">
        <f t="shared" si="3517"/>
        <v/>
      </c>
      <c r="EH211" s="44" t="str">
        <f t="shared" si="3518"/>
        <v/>
      </c>
      <c r="EI211" s="44" t="str">
        <f t="shared" si="3519"/>
        <v/>
      </c>
      <c r="EJ211" s="44" t="str">
        <f t="shared" si="3520"/>
        <v/>
      </c>
      <c r="EK211" s="44" t="str">
        <f t="shared" si="3521"/>
        <v/>
      </c>
      <c r="EL211" s="44" t="str">
        <f t="shared" si="3522"/>
        <v/>
      </c>
      <c r="EM211" s="44" t="str">
        <f t="shared" si="3523"/>
        <v/>
      </c>
      <c r="EN211" s="44" t="str">
        <f t="shared" si="3524"/>
        <v/>
      </c>
      <c r="EO211" s="44" t="str">
        <f t="shared" si="3525"/>
        <v/>
      </c>
      <c r="EP211" s="44" t="str">
        <f t="shared" si="3526"/>
        <v/>
      </c>
      <c r="EQ211" s="44" t="str">
        <f t="shared" si="3527"/>
        <v/>
      </c>
      <c r="ER211" s="44" t="str">
        <f t="shared" si="3528"/>
        <v/>
      </c>
      <c r="ES211" s="44" t="str">
        <f t="shared" si="3529"/>
        <v/>
      </c>
      <c r="ET211" s="44" t="str">
        <f t="shared" si="3530"/>
        <v/>
      </c>
      <c r="EU211" s="44" t="str">
        <f t="shared" si="3531"/>
        <v/>
      </c>
      <c r="EV211" s="44" t="str">
        <f t="shared" si="3532"/>
        <v/>
      </c>
      <c r="EW211" s="44" t="str">
        <f t="shared" si="3533"/>
        <v/>
      </c>
      <c r="EX211" s="44" t="str">
        <f t="shared" si="3534"/>
        <v/>
      </c>
      <c r="EY211" s="44" t="str">
        <f t="shared" si="3535"/>
        <v/>
      </c>
      <c r="EZ211" s="44" t="str">
        <f t="shared" si="3536"/>
        <v/>
      </c>
      <c r="FA211" s="44" t="str">
        <f t="shared" si="3537"/>
        <v/>
      </c>
      <c r="FB211" s="44" t="str">
        <f t="shared" si="3538"/>
        <v/>
      </c>
      <c r="FC211" s="44" t="str">
        <f t="shared" si="3539"/>
        <v/>
      </c>
      <c r="FD211" s="44" t="str">
        <f t="shared" si="3540"/>
        <v/>
      </c>
      <c r="FE211" s="44" t="str">
        <f t="shared" si="3541"/>
        <v/>
      </c>
      <c r="FF211" s="44" t="str">
        <f t="shared" si="3542"/>
        <v/>
      </c>
      <c r="FG211" s="44" t="str">
        <f t="shared" si="3543"/>
        <v/>
      </c>
      <c r="FH211" s="44" t="str">
        <f t="shared" si="3544"/>
        <v/>
      </c>
      <c r="FI211" s="44" t="str">
        <f t="shared" si="3545"/>
        <v/>
      </c>
      <c r="FJ211" s="44" t="str">
        <f t="shared" si="3546"/>
        <v/>
      </c>
      <c r="FK211" s="44" t="str">
        <f t="shared" si="3547"/>
        <v/>
      </c>
      <c r="FL211" s="44" t="str">
        <f t="shared" si="3548"/>
        <v/>
      </c>
      <c r="FM211" s="44" t="str">
        <f t="shared" si="3549"/>
        <v/>
      </c>
      <c r="FN211" s="44" t="str">
        <f t="shared" si="3550"/>
        <v/>
      </c>
      <c r="FO211" s="44" t="str">
        <f t="shared" si="3551"/>
        <v/>
      </c>
      <c r="FP211" s="44" t="str">
        <f t="shared" si="3552"/>
        <v/>
      </c>
      <c r="FQ211" s="44" t="str">
        <f t="shared" si="3553"/>
        <v/>
      </c>
      <c r="FR211" s="44" t="str">
        <f t="shared" si="3554"/>
        <v/>
      </c>
      <c r="FS211" s="44" t="str">
        <f t="shared" si="3555"/>
        <v/>
      </c>
    </row>
    <row r="212" ht="14.4" spans="1:175">
      <c r="A212" s="90"/>
      <c r="B212" s="8" t="s">
        <v>689</v>
      </c>
      <c r="C212" s="99" t="str">
        <f t="shared" si="3556"/>
        <v>已领取重置版礼包</v>
      </c>
      <c r="T212" s="99" t="s">
        <v>668</v>
      </c>
      <c r="U212" s="3" t="s">
        <v>682</v>
      </c>
      <c r="CN212" s="13" t="str">
        <f t="shared" si="3557"/>
        <v>InitUnitState('IB55',,,,,,,,,,)</v>
      </c>
      <c r="CO212" s="13" t="str">
        <f t="shared" si="3558"/>
        <v>InitUnitNormal('IB55',,,,,,,,,,)</v>
      </c>
      <c r="CP212" s="13" t="str">
        <f t="shared" si="3559"/>
        <v>InitUnitMagic('IB55',,,,,,,,,,)</v>
      </c>
      <c r="CQ212" s="13" t="str">
        <f t="shared" si="3560"/>
        <v>InitUnitAdd('IB55',,,,,,,,,,)</v>
      </c>
      <c r="CR212" s="13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230&amp;CR$1&amp;")"</f>
        <v>InitEquipData('IB55',,"",,,,,'','','','','','',"")</v>
      </c>
      <c r="CU212" s="72" t="str">
        <f t="shared" si="3484"/>
        <v>|n</v>
      </c>
      <c r="CV212" s="6" t="str">
        <f t="shared" si="3485"/>
        <v>|cff33ff00购买魔兽重制版可领取该礼包！|n|n|r属性：|n|cffffcc33高级聚宝盆|r</v>
      </c>
      <c r="CW212" s="7"/>
      <c r="CX212" s="7"/>
      <c r="CY212" s="7"/>
      <c r="CZ212" s="7"/>
      <c r="DA212" s="7"/>
      <c r="DB212" s="44" t="str">
        <f t="shared" si="3486"/>
        <v/>
      </c>
      <c r="DC212" s="44" t="str">
        <f t="shared" si="3487"/>
        <v/>
      </c>
      <c r="DD212" s="44" t="str">
        <f t="shared" si="3488"/>
        <v/>
      </c>
      <c r="DE212" s="44" t="str">
        <f t="shared" si="3489"/>
        <v/>
      </c>
      <c r="DF212" s="44" t="str">
        <f t="shared" si="3490"/>
        <v/>
      </c>
      <c r="DG212" s="44" t="str">
        <f t="shared" si="3491"/>
        <v/>
      </c>
      <c r="DH212" s="44" t="str">
        <f t="shared" si="3492"/>
        <v/>
      </c>
      <c r="DI212" s="44" t="str">
        <f t="shared" si="3493"/>
        <v/>
      </c>
      <c r="DJ212" s="44" t="str">
        <f t="shared" si="3494"/>
        <v/>
      </c>
      <c r="DK212" s="44" t="str">
        <f t="shared" si="3495"/>
        <v/>
      </c>
      <c r="DL212" s="44" t="str">
        <f t="shared" si="3496"/>
        <v/>
      </c>
      <c r="DM212" s="44" t="str">
        <f t="shared" si="3497"/>
        <v/>
      </c>
      <c r="DN212" s="44" t="str">
        <f t="shared" si="3498"/>
        <v/>
      </c>
      <c r="DO212" s="44" t="str">
        <f t="shared" si="3499"/>
        <v/>
      </c>
      <c r="DP212" s="44" t="str">
        <f t="shared" si="3500"/>
        <v/>
      </c>
      <c r="DQ212" s="44" t="str">
        <f t="shared" si="3501"/>
        <v/>
      </c>
      <c r="DR212" s="44" t="str">
        <f t="shared" si="3502"/>
        <v/>
      </c>
      <c r="DS212" s="44" t="str">
        <f t="shared" si="3503"/>
        <v/>
      </c>
      <c r="DT212" s="44" t="str">
        <f t="shared" si="3504"/>
        <v/>
      </c>
      <c r="DU212" s="44" t="str">
        <f t="shared" si="3505"/>
        <v/>
      </c>
      <c r="DV212" s="44" t="str">
        <f t="shared" si="3506"/>
        <v/>
      </c>
      <c r="DW212" s="44" t="str">
        <f t="shared" si="3507"/>
        <v/>
      </c>
      <c r="DX212" s="44" t="str">
        <f t="shared" si="3508"/>
        <v/>
      </c>
      <c r="DY212" s="44" t="str">
        <f t="shared" si="3509"/>
        <v/>
      </c>
      <c r="DZ212" s="44" t="str">
        <f t="shared" si="3510"/>
        <v/>
      </c>
      <c r="EA212" s="44" t="str">
        <f t="shared" si="3511"/>
        <v/>
      </c>
      <c r="EB212" s="44" t="str">
        <f t="shared" si="3512"/>
        <v/>
      </c>
      <c r="EC212" s="44" t="str">
        <f t="shared" si="3513"/>
        <v/>
      </c>
      <c r="ED212" s="44" t="str">
        <f t="shared" si="3514"/>
        <v/>
      </c>
      <c r="EE212" s="44" t="str">
        <f t="shared" si="3515"/>
        <v/>
      </c>
      <c r="EF212" s="44" t="str">
        <f t="shared" si="3516"/>
        <v/>
      </c>
      <c r="EG212" s="44" t="str">
        <f t="shared" si="3517"/>
        <v/>
      </c>
      <c r="EH212" s="44" t="str">
        <f t="shared" si="3518"/>
        <v/>
      </c>
      <c r="EI212" s="44" t="str">
        <f t="shared" si="3519"/>
        <v/>
      </c>
      <c r="EJ212" s="44" t="str">
        <f t="shared" si="3520"/>
        <v/>
      </c>
      <c r="EK212" s="44" t="str">
        <f t="shared" si="3521"/>
        <v/>
      </c>
      <c r="EL212" s="44" t="str">
        <f t="shared" si="3522"/>
        <v/>
      </c>
      <c r="EM212" s="44" t="str">
        <f t="shared" si="3523"/>
        <v/>
      </c>
      <c r="EN212" s="44" t="str">
        <f t="shared" si="3524"/>
        <v/>
      </c>
      <c r="EO212" s="44" t="str">
        <f t="shared" si="3525"/>
        <v/>
      </c>
      <c r="EP212" s="44" t="str">
        <f t="shared" si="3526"/>
        <v/>
      </c>
      <c r="EQ212" s="44" t="str">
        <f t="shared" si="3527"/>
        <v/>
      </c>
      <c r="ER212" s="44" t="str">
        <f t="shared" si="3528"/>
        <v/>
      </c>
      <c r="ES212" s="44" t="str">
        <f t="shared" si="3529"/>
        <v/>
      </c>
      <c r="ET212" s="44" t="str">
        <f t="shared" si="3530"/>
        <v/>
      </c>
      <c r="EU212" s="44" t="str">
        <f t="shared" si="3531"/>
        <v/>
      </c>
      <c r="EV212" s="44" t="str">
        <f t="shared" si="3532"/>
        <v/>
      </c>
      <c r="EW212" s="44" t="str">
        <f t="shared" si="3533"/>
        <v/>
      </c>
      <c r="EX212" s="44" t="str">
        <f t="shared" si="3534"/>
        <v/>
      </c>
      <c r="EY212" s="44" t="str">
        <f t="shared" si="3535"/>
        <v/>
      </c>
      <c r="EZ212" s="44" t="str">
        <f t="shared" si="3536"/>
        <v/>
      </c>
      <c r="FA212" s="44" t="str">
        <f t="shared" si="3537"/>
        <v/>
      </c>
      <c r="FB212" s="44" t="str">
        <f t="shared" si="3538"/>
        <v/>
      </c>
      <c r="FC212" s="44" t="str">
        <f t="shared" si="3539"/>
        <v/>
      </c>
      <c r="FD212" s="44" t="str">
        <f t="shared" si="3540"/>
        <v/>
      </c>
      <c r="FE212" s="44" t="str">
        <f t="shared" si="3541"/>
        <v/>
      </c>
      <c r="FF212" s="44" t="str">
        <f t="shared" si="3542"/>
        <v/>
      </c>
      <c r="FG212" s="44" t="str">
        <f t="shared" si="3543"/>
        <v/>
      </c>
      <c r="FH212" s="44" t="str">
        <f t="shared" si="3544"/>
        <v/>
      </c>
      <c r="FI212" s="44" t="str">
        <f t="shared" si="3545"/>
        <v/>
      </c>
      <c r="FJ212" s="44" t="str">
        <f t="shared" si="3546"/>
        <v/>
      </c>
      <c r="FK212" s="44" t="str">
        <f t="shared" si="3547"/>
        <v/>
      </c>
      <c r="FL212" s="44" t="str">
        <f t="shared" si="3548"/>
        <v/>
      </c>
      <c r="FM212" s="44" t="str">
        <f t="shared" si="3549"/>
        <v/>
      </c>
      <c r="FN212" s="44" t="str">
        <f t="shared" si="3550"/>
        <v/>
      </c>
      <c r="FO212" s="44" t="str">
        <f t="shared" si="3551"/>
        <v/>
      </c>
      <c r="FP212" s="44" t="str">
        <f t="shared" si="3552"/>
        <v/>
      </c>
      <c r="FQ212" s="44" t="str">
        <f t="shared" si="3553"/>
        <v/>
      </c>
      <c r="FR212" s="44" t="str">
        <f t="shared" si="3554"/>
        <v/>
      </c>
      <c r="FS212" s="44" t="str">
        <f t="shared" si="3555"/>
        <v/>
      </c>
    </row>
    <row r="213" ht="14.4" spans="1:175">
      <c r="A213" s="90"/>
      <c r="B213" s="8" t="s">
        <v>690</v>
      </c>
      <c r="C213" s="99" t="str">
        <f t="shared" si="3556"/>
        <v>已领取公会福利</v>
      </c>
      <c r="T213" s="99" t="s">
        <v>671</v>
      </c>
      <c r="U213" s="3" t="s">
        <v>682</v>
      </c>
      <c r="CN213" s="13" t="str">
        <f t="shared" si="3557"/>
        <v>InitUnitState('IB56',,,,,,,,,,)</v>
      </c>
      <c r="CO213" s="13" t="str">
        <f t="shared" si="3558"/>
        <v>InitUnitNormal('IB56',,,,,,,,,,)</v>
      </c>
      <c r="CP213" s="13" t="str">
        <f t="shared" si="3559"/>
        <v>InitUnitMagic('IB56',,,,,,,,,,)</v>
      </c>
      <c r="CQ213" s="13" t="str">
        <f t="shared" si="3560"/>
        <v>InitUnitAdd('IB56',,,,,,,,,,)</v>
      </c>
      <c r="CR213" s="13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InitEquipData('IB56',,"",,,,,'','','','','','',"ReplaceableTextures\\commandButtons\\BTNLBUI01.blp")</v>
      </c>
      <c r="CU213" s="72" t="str">
        <f t="shared" si="3484"/>
        <v>|n</v>
      </c>
      <c r="CV213" s="6" t="str">
        <f t="shared" si="348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3" s="7"/>
      <c r="CX213" s="7"/>
      <c r="CY213" s="7"/>
      <c r="CZ213" s="7"/>
      <c r="DA213" s="7"/>
      <c r="DB213" s="44" t="str">
        <f t="shared" si="3486"/>
        <v/>
      </c>
      <c r="DC213" s="44" t="str">
        <f t="shared" si="3487"/>
        <v/>
      </c>
      <c r="DD213" s="44" t="str">
        <f t="shared" si="3488"/>
        <v/>
      </c>
      <c r="DE213" s="44" t="str">
        <f t="shared" si="3489"/>
        <v/>
      </c>
      <c r="DF213" s="44" t="str">
        <f t="shared" si="3490"/>
        <v/>
      </c>
      <c r="DG213" s="44" t="str">
        <f t="shared" si="3491"/>
        <v/>
      </c>
      <c r="DH213" s="44" t="str">
        <f t="shared" si="3492"/>
        <v/>
      </c>
      <c r="DI213" s="44" t="str">
        <f t="shared" si="3493"/>
        <v/>
      </c>
      <c r="DJ213" s="44" t="str">
        <f t="shared" si="3494"/>
        <v/>
      </c>
      <c r="DK213" s="44" t="str">
        <f t="shared" si="3495"/>
        <v/>
      </c>
      <c r="DL213" s="44" t="str">
        <f t="shared" si="3496"/>
        <v/>
      </c>
      <c r="DM213" s="44" t="str">
        <f t="shared" si="3497"/>
        <v/>
      </c>
      <c r="DN213" s="44" t="str">
        <f t="shared" si="3498"/>
        <v/>
      </c>
      <c r="DO213" s="44" t="str">
        <f t="shared" si="3499"/>
        <v/>
      </c>
      <c r="DP213" s="44" t="str">
        <f t="shared" si="3500"/>
        <v/>
      </c>
      <c r="DQ213" s="44" t="str">
        <f t="shared" si="3501"/>
        <v/>
      </c>
      <c r="DR213" s="44" t="str">
        <f t="shared" si="3502"/>
        <v/>
      </c>
      <c r="DS213" s="44" t="str">
        <f t="shared" si="3503"/>
        <v/>
      </c>
      <c r="DT213" s="44" t="str">
        <f t="shared" si="3504"/>
        <v/>
      </c>
      <c r="DU213" s="44" t="str">
        <f t="shared" si="3505"/>
        <v/>
      </c>
      <c r="DV213" s="44" t="str">
        <f t="shared" si="3506"/>
        <v/>
      </c>
      <c r="DW213" s="44" t="str">
        <f t="shared" si="3507"/>
        <v/>
      </c>
      <c r="DX213" s="44" t="str">
        <f t="shared" si="3508"/>
        <v/>
      </c>
      <c r="DY213" s="44" t="str">
        <f t="shared" si="3509"/>
        <v/>
      </c>
      <c r="DZ213" s="44" t="str">
        <f t="shared" si="3510"/>
        <v/>
      </c>
      <c r="EA213" s="44" t="str">
        <f t="shared" si="3511"/>
        <v/>
      </c>
      <c r="EB213" s="44" t="str">
        <f t="shared" si="3512"/>
        <v/>
      </c>
      <c r="EC213" s="44" t="str">
        <f t="shared" si="3513"/>
        <v/>
      </c>
      <c r="ED213" s="44" t="str">
        <f t="shared" si="3514"/>
        <v/>
      </c>
      <c r="EE213" s="44" t="str">
        <f t="shared" si="3515"/>
        <v/>
      </c>
      <c r="EF213" s="44" t="str">
        <f t="shared" si="3516"/>
        <v/>
      </c>
      <c r="EG213" s="44" t="str">
        <f t="shared" si="3517"/>
        <v/>
      </c>
      <c r="EH213" s="44" t="str">
        <f t="shared" si="3518"/>
        <v/>
      </c>
      <c r="EI213" s="44" t="str">
        <f t="shared" si="3519"/>
        <v/>
      </c>
      <c r="EJ213" s="44" t="str">
        <f t="shared" si="3520"/>
        <v/>
      </c>
      <c r="EK213" s="44" t="str">
        <f t="shared" si="3521"/>
        <v/>
      </c>
      <c r="EL213" s="44" t="str">
        <f t="shared" si="3522"/>
        <v/>
      </c>
      <c r="EM213" s="44" t="str">
        <f t="shared" si="3523"/>
        <v/>
      </c>
      <c r="EN213" s="44" t="str">
        <f t="shared" si="3524"/>
        <v/>
      </c>
      <c r="EO213" s="44" t="str">
        <f t="shared" si="3525"/>
        <v/>
      </c>
      <c r="EP213" s="44" t="str">
        <f t="shared" si="3526"/>
        <v/>
      </c>
      <c r="EQ213" s="44" t="str">
        <f t="shared" si="3527"/>
        <v/>
      </c>
      <c r="ER213" s="44" t="str">
        <f t="shared" si="3528"/>
        <v/>
      </c>
      <c r="ES213" s="44" t="str">
        <f t="shared" si="3529"/>
        <v/>
      </c>
      <c r="ET213" s="44" t="str">
        <f t="shared" si="3530"/>
        <v/>
      </c>
      <c r="EU213" s="44" t="str">
        <f t="shared" si="3531"/>
        <v/>
      </c>
      <c r="EV213" s="44" t="str">
        <f t="shared" si="3532"/>
        <v/>
      </c>
      <c r="EW213" s="44" t="str">
        <f t="shared" si="3533"/>
        <v/>
      </c>
      <c r="EX213" s="44" t="str">
        <f t="shared" si="3534"/>
        <v/>
      </c>
      <c r="EY213" s="44" t="str">
        <f t="shared" si="3535"/>
        <v/>
      </c>
      <c r="EZ213" s="44" t="str">
        <f t="shared" si="3536"/>
        <v/>
      </c>
      <c r="FA213" s="44" t="str">
        <f t="shared" si="3537"/>
        <v/>
      </c>
      <c r="FB213" s="44" t="str">
        <f t="shared" si="3538"/>
        <v/>
      </c>
      <c r="FC213" s="44" t="str">
        <f t="shared" si="3539"/>
        <v/>
      </c>
      <c r="FD213" s="44" t="str">
        <f t="shared" si="3540"/>
        <v/>
      </c>
      <c r="FE213" s="44" t="str">
        <f t="shared" si="3541"/>
        <v/>
      </c>
      <c r="FF213" s="44" t="str">
        <f t="shared" si="3542"/>
        <v/>
      </c>
      <c r="FG213" s="44" t="str">
        <f t="shared" si="3543"/>
        <v/>
      </c>
      <c r="FH213" s="44" t="str">
        <f t="shared" si="3544"/>
        <v/>
      </c>
      <c r="FI213" s="44" t="str">
        <f t="shared" si="3545"/>
        <v/>
      </c>
      <c r="FJ213" s="44" t="str">
        <f t="shared" si="3546"/>
        <v/>
      </c>
      <c r="FK213" s="44" t="str">
        <f t="shared" si="3547"/>
        <v/>
      </c>
      <c r="FL213" s="44" t="str">
        <f t="shared" si="3548"/>
        <v/>
      </c>
      <c r="FM213" s="44" t="str">
        <f t="shared" si="3549"/>
        <v/>
      </c>
      <c r="FN213" s="44" t="str">
        <f t="shared" si="3550"/>
        <v/>
      </c>
      <c r="FO213" s="44" t="str">
        <f t="shared" si="3551"/>
        <v/>
      </c>
      <c r="FP213" s="44" t="str">
        <f t="shared" si="3552"/>
        <v/>
      </c>
      <c r="FQ213" s="44" t="str">
        <f t="shared" si="3553"/>
        <v/>
      </c>
      <c r="FR213" s="44" t="str">
        <f t="shared" si="3554"/>
        <v/>
      </c>
      <c r="FS213" s="44" t="str">
        <f t="shared" si="3555"/>
        <v/>
      </c>
    </row>
    <row r="214" ht="14.4" spans="1:175">
      <c r="A214" s="90"/>
      <c r="B214" s="8" t="s">
        <v>691</v>
      </c>
      <c r="C214" s="99" t="str">
        <f t="shared" si="3556"/>
        <v>已领取星耀礼包</v>
      </c>
      <c r="T214" s="99" t="s">
        <v>692</v>
      </c>
      <c r="U214" s="3" t="s">
        <v>682</v>
      </c>
      <c r="CN214" s="13" t="str">
        <f t="shared" si="3557"/>
        <v>InitUnitState('IB57',,,,,,,,,,)</v>
      </c>
      <c r="CO214" s="13" t="str">
        <f t="shared" si="3558"/>
        <v>InitUnitNormal('IB57',,,,,,,,,,)</v>
      </c>
      <c r="CP214" s="13" t="str">
        <f t="shared" si="3559"/>
        <v>InitUnitMagic('IB57',,,,,,,,,,)</v>
      </c>
      <c r="CQ214" s="13" t="str">
        <f t="shared" si="3560"/>
        <v>InitUnitAdd('IB57',,,,,,,,,,)</v>
      </c>
      <c r="CR214" s="13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InitEquipData('IB57',,"",,,,,'','','','','','',"ReplaceableTextures\\commandButtons\\BTNLBUI01.blp")</v>
      </c>
      <c r="CU214" s="72" t="str">
        <f t="shared" si="3484"/>
        <v>|n</v>
      </c>
      <c r="CV214" s="6" t="str">
        <f t="shared" si="34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4" s="7"/>
      <c r="CX214" s="7"/>
      <c r="CY214" s="7"/>
      <c r="CZ214" s="7"/>
      <c r="DA214" s="7"/>
      <c r="DB214" s="44" t="str">
        <f t="shared" si="3486"/>
        <v/>
      </c>
      <c r="DC214" s="44" t="str">
        <f t="shared" si="3487"/>
        <v/>
      </c>
      <c r="DD214" s="44" t="str">
        <f t="shared" si="3488"/>
        <v/>
      </c>
      <c r="DE214" s="44" t="str">
        <f t="shared" si="3489"/>
        <v/>
      </c>
      <c r="DF214" s="44" t="str">
        <f t="shared" si="3490"/>
        <v/>
      </c>
      <c r="DG214" s="44" t="str">
        <f t="shared" si="3491"/>
        <v/>
      </c>
      <c r="DH214" s="44" t="str">
        <f t="shared" si="3492"/>
        <v/>
      </c>
      <c r="DI214" s="44" t="str">
        <f t="shared" si="3493"/>
        <v/>
      </c>
      <c r="DJ214" s="44" t="str">
        <f t="shared" si="3494"/>
        <v/>
      </c>
      <c r="DK214" s="44" t="str">
        <f t="shared" si="3495"/>
        <v/>
      </c>
      <c r="DL214" s="44" t="str">
        <f t="shared" si="3496"/>
        <v/>
      </c>
      <c r="DM214" s="44" t="str">
        <f t="shared" si="3497"/>
        <v/>
      </c>
      <c r="DN214" s="44" t="str">
        <f t="shared" si="3498"/>
        <v/>
      </c>
      <c r="DO214" s="44" t="str">
        <f t="shared" si="3499"/>
        <v/>
      </c>
      <c r="DP214" s="44" t="str">
        <f t="shared" si="3500"/>
        <v/>
      </c>
      <c r="DQ214" s="44" t="str">
        <f t="shared" si="3501"/>
        <v/>
      </c>
      <c r="DR214" s="44" t="str">
        <f t="shared" si="3502"/>
        <v/>
      </c>
      <c r="DS214" s="44" t="str">
        <f t="shared" si="3503"/>
        <v/>
      </c>
      <c r="DT214" s="44" t="str">
        <f t="shared" si="3504"/>
        <v/>
      </c>
      <c r="DU214" s="44" t="str">
        <f t="shared" si="3505"/>
        <v/>
      </c>
      <c r="DV214" s="44" t="str">
        <f t="shared" si="3506"/>
        <v/>
      </c>
      <c r="DW214" s="44" t="str">
        <f t="shared" si="3507"/>
        <v/>
      </c>
      <c r="DX214" s="44" t="str">
        <f t="shared" si="3508"/>
        <v/>
      </c>
      <c r="DY214" s="44" t="str">
        <f t="shared" si="3509"/>
        <v/>
      </c>
      <c r="DZ214" s="44" t="str">
        <f t="shared" si="3510"/>
        <v/>
      </c>
      <c r="EA214" s="44" t="str">
        <f t="shared" si="3511"/>
        <v/>
      </c>
      <c r="EB214" s="44" t="str">
        <f t="shared" si="3512"/>
        <v/>
      </c>
      <c r="EC214" s="44" t="str">
        <f t="shared" si="3513"/>
        <v/>
      </c>
      <c r="ED214" s="44" t="str">
        <f t="shared" si="3514"/>
        <v/>
      </c>
      <c r="EE214" s="44" t="str">
        <f t="shared" si="3515"/>
        <v/>
      </c>
      <c r="EF214" s="44" t="str">
        <f t="shared" si="3516"/>
        <v/>
      </c>
      <c r="EG214" s="44" t="str">
        <f t="shared" si="3517"/>
        <v/>
      </c>
      <c r="EH214" s="44" t="str">
        <f t="shared" si="3518"/>
        <v/>
      </c>
      <c r="EI214" s="44" t="str">
        <f t="shared" si="3519"/>
        <v/>
      </c>
      <c r="EJ214" s="44" t="str">
        <f t="shared" si="3520"/>
        <v/>
      </c>
      <c r="EK214" s="44" t="str">
        <f t="shared" si="3521"/>
        <v/>
      </c>
      <c r="EL214" s="44" t="str">
        <f t="shared" si="3522"/>
        <v/>
      </c>
      <c r="EM214" s="44" t="str">
        <f t="shared" si="3523"/>
        <v/>
      </c>
      <c r="EN214" s="44" t="str">
        <f t="shared" si="3524"/>
        <v/>
      </c>
      <c r="EO214" s="44" t="str">
        <f t="shared" si="3525"/>
        <v/>
      </c>
      <c r="EP214" s="44" t="str">
        <f t="shared" si="3526"/>
        <v/>
      </c>
      <c r="EQ214" s="44" t="str">
        <f t="shared" si="3527"/>
        <v/>
      </c>
      <c r="ER214" s="44" t="str">
        <f t="shared" si="3528"/>
        <v/>
      </c>
      <c r="ES214" s="44" t="str">
        <f t="shared" si="3529"/>
        <v/>
      </c>
      <c r="ET214" s="44" t="str">
        <f t="shared" si="3530"/>
        <v/>
      </c>
      <c r="EU214" s="44" t="str">
        <f t="shared" si="3531"/>
        <v/>
      </c>
      <c r="EV214" s="44" t="str">
        <f t="shared" si="3532"/>
        <v/>
      </c>
      <c r="EW214" s="44" t="str">
        <f t="shared" si="3533"/>
        <v/>
      </c>
      <c r="EX214" s="44" t="str">
        <f t="shared" si="3534"/>
        <v/>
      </c>
      <c r="EY214" s="44" t="str">
        <f t="shared" si="3535"/>
        <v/>
      </c>
      <c r="EZ214" s="44" t="str">
        <f t="shared" si="3536"/>
        <v/>
      </c>
      <c r="FA214" s="44" t="str">
        <f t="shared" si="3537"/>
        <v/>
      </c>
      <c r="FB214" s="44" t="str">
        <f t="shared" si="3538"/>
        <v/>
      </c>
      <c r="FC214" s="44" t="str">
        <f t="shared" si="3539"/>
        <v/>
      </c>
      <c r="FD214" s="44" t="str">
        <f t="shared" si="3540"/>
        <v/>
      </c>
      <c r="FE214" s="44" t="str">
        <f t="shared" si="3541"/>
        <v/>
      </c>
      <c r="FF214" s="44" t="str">
        <f t="shared" si="3542"/>
        <v/>
      </c>
      <c r="FG214" s="44" t="str">
        <f t="shared" si="3543"/>
        <v/>
      </c>
      <c r="FH214" s="44" t="str">
        <f t="shared" si="3544"/>
        <v/>
      </c>
      <c r="FI214" s="44" t="str">
        <f t="shared" si="3545"/>
        <v/>
      </c>
      <c r="FJ214" s="44" t="str">
        <f t="shared" si="3546"/>
        <v/>
      </c>
      <c r="FK214" s="44" t="str">
        <f t="shared" si="3547"/>
        <v/>
      </c>
      <c r="FL214" s="44" t="str">
        <f t="shared" si="3548"/>
        <v/>
      </c>
      <c r="FM214" s="44" t="str">
        <f t="shared" si="3549"/>
        <v/>
      </c>
      <c r="FN214" s="44" t="str">
        <f t="shared" si="3550"/>
        <v/>
      </c>
      <c r="FO214" s="44" t="str">
        <f t="shared" si="3551"/>
        <v/>
      </c>
      <c r="FP214" s="44" t="str">
        <f t="shared" si="3552"/>
        <v/>
      </c>
      <c r="FQ214" s="44" t="str">
        <f t="shared" si="3553"/>
        <v/>
      </c>
      <c r="FR214" s="44" t="str">
        <f t="shared" si="3554"/>
        <v/>
      </c>
      <c r="FS214" s="44" t="str">
        <f t="shared" si="3555"/>
        <v/>
      </c>
    </row>
    <row r="215" ht="14.4" spans="1:175">
      <c r="A215" s="90"/>
      <c r="B215" s="8" t="s">
        <v>693</v>
      </c>
      <c r="C215" s="99" t="str">
        <f t="shared" si="3556"/>
        <v>已领取魔芝RPG礼包</v>
      </c>
      <c r="T215" s="99" t="s">
        <v>694</v>
      </c>
      <c r="U215" s="3" t="s">
        <v>682</v>
      </c>
      <c r="CN215" s="13" t="str">
        <f t="shared" si="3557"/>
        <v>InitUnitState('IB58',,,,,,,,,,)</v>
      </c>
      <c r="CO215" s="13" t="str">
        <f t="shared" si="3558"/>
        <v>InitUnitNormal('IB58',,,,,,,,,,)</v>
      </c>
      <c r="CP215" s="13" t="str">
        <f t="shared" si="3559"/>
        <v>InitUnitMagic('IB58',,,,,,,,,,)</v>
      </c>
      <c r="CQ215" s="13" t="str">
        <f t="shared" si="3560"/>
        <v>InitUnitAdd('IB58',,,,,,,,,,)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232&amp;CR$1&amp;")"</f>
        <v>InitEquipData('IB58',,"",,,,,'','','','','','',"")</v>
      </c>
      <c r="CU215" s="72" t="str">
        <f t="shared" si="3484"/>
        <v>|n</v>
      </c>
      <c r="CV215" s="6" t="str">
        <f t="shared" si="34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5" s="7"/>
      <c r="CX215" s="7"/>
      <c r="CY215" s="7"/>
      <c r="CZ215" s="7"/>
      <c r="DA215" s="7"/>
      <c r="DB215" s="44" t="str">
        <f t="shared" ref="DB215:FM215" si="3561">IF(V215="","","|n"&amp;DB$2&amp;"+"&amp;V215&amp;DB$1)</f>
        <v/>
      </c>
      <c r="DC215" s="44" t="str">
        <f t="shared" si="3561"/>
        <v/>
      </c>
      <c r="DD215" s="44" t="str">
        <f t="shared" si="3561"/>
        <v/>
      </c>
      <c r="DE215" s="44" t="str">
        <f t="shared" si="3561"/>
        <v/>
      </c>
      <c r="DF215" s="44" t="str">
        <f t="shared" si="3561"/>
        <v/>
      </c>
      <c r="DG215" s="44" t="str">
        <f t="shared" si="3561"/>
        <v/>
      </c>
      <c r="DH215" s="44" t="str">
        <f t="shared" si="3561"/>
        <v/>
      </c>
      <c r="DI215" s="44" t="str">
        <f t="shared" si="3561"/>
        <v/>
      </c>
      <c r="DJ215" s="44" t="str">
        <f t="shared" si="3561"/>
        <v/>
      </c>
      <c r="DK215" s="44" t="str">
        <f t="shared" si="3561"/>
        <v/>
      </c>
      <c r="DL215" s="44" t="str">
        <f t="shared" si="3561"/>
        <v/>
      </c>
      <c r="DM215" s="44" t="str">
        <f t="shared" si="3561"/>
        <v/>
      </c>
      <c r="DN215" s="44" t="str">
        <f t="shared" si="3561"/>
        <v/>
      </c>
      <c r="DO215" s="44" t="str">
        <f t="shared" si="3561"/>
        <v/>
      </c>
      <c r="DP215" s="44" t="str">
        <f t="shared" si="3561"/>
        <v/>
      </c>
      <c r="DQ215" s="44" t="str">
        <f t="shared" si="3561"/>
        <v/>
      </c>
      <c r="DR215" s="44" t="str">
        <f t="shared" si="3561"/>
        <v/>
      </c>
      <c r="DS215" s="44" t="str">
        <f t="shared" si="3561"/>
        <v/>
      </c>
      <c r="DT215" s="44" t="str">
        <f t="shared" si="3561"/>
        <v/>
      </c>
      <c r="DU215" s="44" t="str">
        <f t="shared" si="3561"/>
        <v/>
      </c>
      <c r="DV215" s="44" t="str">
        <f t="shared" si="3561"/>
        <v/>
      </c>
      <c r="DW215" s="44" t="str">
        <f t="shared" si="3561"/>
        <v/>
      </c>
      <c r="DX215" s="44" t="str">
        <f t="shared" si="3561"/>
        <v/>
      </c>
      <c r="DY215" s="44" t="str">
        <f t="shared" si="3561"/>
        <v/>
      </c>
      <c r="DZ215" s="44" t="str">
        <f t="shared" si="3561"/>
        <v/>
      </c>
      <c r="EA215" s="44" t="str">
        <f t="shared" si="3561"/>
        <v/>
      </c>
      <c r="EB215" s="44" t="str">
        <f t="shared" si="3561"/>
        <v/>
      </c>
      <c r="EC215" s="44" t="str">
        <f t="shared" si="3561"/>
        <v/>
      </c>
      <c r="ED215" s="44" t="str">
        <f t="shared" si="3561"/>
        <v/>
      </c>
      <c r="EE215" s="44" t="str">
        <f t="shared" si="3561"/>
        <v/>
      </c>
      <c r="EF215" s="44" t="str">
        <f t="shared" si="3561"/>
        <v/>
      </c>
      <c r="EG215" s="44" t="str">
        <f t="shared" si="3561"/>
        <v/>
      </c>
      <c r="EH215" s="44" t="str">
        <f t="shared" si="3561"/>
        <v/>
      </c>
      <c r="EI215" s="44" t="str">
        <f t="shared" si="3561"/>
        <v/>
      </c>
      <c r="EJ215" s="44" t="str">
        <f t="shared" si="3561"/>
        <v/>
      </c>
      <c r="EK215" s="44" t="str">
        <f t="shared" si="3561"/>
        <v/>
      </c>
      <c r="EL215" s="44" t="str">
        <f t="shared" si="3561"/>
        <v/>
      </c>
      <c r="EM215" s="44" t="str">
        <f t="shared" si="3561"/>
        <v/>
      </c>
      <c r="EN215" s="44" t="str">
        <f t="shared" si="3561"/>
        <v/>
      </c>
      <c r="EO215" s="44" t="str">
        <f t="shared" si="3561"/>
        <v/>
      </c>
      <c r="EP215" s="44" t="str">
        <f t="shared" si="3561"/>
        <v/>
      </c>
      <c r="EQ215" s="44" t="str">
        <f t="shared" si="3561"/>
        <v/>
      </c>
      <c r="ER215" s="44" t="str">
        <f t="shared" si="3561"/>
        <v/>
      </c>
      <c r="ES215" s="44" t="str">
        <f t="shared" si="3561"/>
        <v/>
      </c>
      <c r="ET215" s="44" t="str">
        <f t="shared" si="3561"/>
        <v/>
      </c>
      <c r="EU215" s="44" t="str">
        <f t="shared" si="3561"/>
        <v/>
      </c>
      <c r="EV215" s="44" t="str">
        <f t="shared" si="3561"/>
        <v/>
      </c>
      <c r="EW215" s="44" t="str">
        <f t="shared" si="3561"/>
        <v/>
      </c>
      <c r="EX215" s="44" t="str">
        <f t="shared" si="3561"/>
        <v/>
      </c>
      <c r="EY215" s="44" t="str">
        <f t="shared" si="3561"/>
        <v/>
      </c>
      <c r="EZ215" s="44" t="str">
        <f t="shared" si="3561"/>
        <v/>
      </c>
      <c r="FA215" s="44" t="str">
        <f t="shared" si="3561"/>
        <v/>
      </c>
      <c r="FB215" s="44" t="str">
        <f t="shared" si="3561"/>
        <v/>
      </c>
      <c r="FC215" s="44" t="str">
        <f t="shared" si="3561"/>
        <v/>
      </c>
      <c r="FD215" s="44" t="str">
        <f t="shared" si="3561"/>
        <v/>
      </c>
      <c r="FE215" s="44" t="str">
        <f t="shared" si="3561"/>
        <v/>
      </c>
      <c r="FF215" s="44" t="str">
        <f t="shared" si="3561"/>
        <v/>
      </c>
      <c r="FG215" s="44" t="str">
        <f t="shared" si="3561"/>
        <v/>
      </c>
      <c r="FH215" s="44" t="str">
        <f t="shared" si="3561"/>
        <v/>
      </c>
      <c r="FI215" s="44" t="str">
        <f t="shared" si="3561"/>
        <v/>
      </c>
      <c r="FJ215" s="44" t="str">
        <f t="shared" si="3561"/>
        <v/>
      </c>
      <c r="FK215" s="44" t="str">
        <f t="shared" si="3561"/>
        <v/>
      </c>
      <c r="FL215" s="44" t="str">
        <f t="shared" si="3561"/>
        <v/>
      </c>
      <c r="FM215" s="44" t="str">
        <f t="shared" si="3561"/>
        <v/>
      </c>
      <c r="FN215" s="44" t="str">
        <f t="shared" ref="FN215:FS215" si="3562">IF(CH215="","","|n"&amp;FN$2&amp;"+"&amp;CH215&amp;FN$1)</f>
        <v/>
      </c>
      <c r="FO215" s="44" t="str">
        <f t="shared" si="3562"/>
        <v/>
      </c>
      <c r="FP215" s="44" t="str">
        <f t="shared" si="3562"/>
        <v/>
      </c>
      <c r="FQ215" s="44" t="str">
        <f t="shared" si="3562"/>
        <v/>
      </c>
      <c r="FR215" s="44" t="str">
        <f t="shared" si="3562"/>
        <v/>
      </c>
      <c r="FS215" s="44" t="str">
        <f t="shared" si="3562"/>
        <v/>
      </c>
    </row>
    <row r="216" ht="14.4" spans="1:175">
      <c r="A216" s="90"/>
      <c r="B216" s="8" t="s">
        <v>695</v>
      </c>
      <c r="C216" s="99" t="str">
        <f t="shared" si="3556"/>
        <v>已领取老铁礼包</v>
      </c>
      <c r="T216" s="99" t="s">
        <v>696</v>
      </c>
      <c r="U216" s="3" t="s">
        <v>682</v>
      </c>
      <c r="CN216" s="13" t="str">
        <f t="shared" si="3557"/>
        <v>InitUnitState('IB59',,,,,,,,,,)</v>
      </c>
      <c r="CO216" s="13" t="str">
        <f t="shared" si="3558"/>
        <v>InitUnitNormal('IB59',,,,,,,,,,)</v>
      </c>
      <c r="CP216" s="13" t="str">
        <f t="shared" si="3559"/>
        <v>InitUnitMagic('IB59',,,,,,,,,,)</v>
      </c>
      <c r="CQ216" s="13" t="str">
        <f t="shared" si="3560"/>
        <v>InitUnitAdd('IB59',,,,,,,,,,)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233&amp;CR$1&amp;")"</f>
        <v>InitEquipData('IB59',,"",,,,,'','','','','','',"")</v>
      </c>
      <c r="CU216" s="72" t="str">
        <f t="shared" si="3484"/>
        <v>|n</v>
      </c>
      <c r="CV216" s="6" t="str">
        <f t="shared" si="3485"/>
        <v>已领取老铁礼包</v>
      </c>
      <c r="CW216" s="7"/>
      <c r="CX216" s="7"/>
      <c r="CY216" s="7"/>
      <c r="CZ216" s="7"/>
      <c r="DA216" s="7"/>
      <c r="DB216" s="44" t="str">
        <f t="shared" ref="DB216:FM216" si="3563">IF(V216="","","|n"&amp;DB$2&amp;"+"&amp;V216&amp;DB$1)</f>
        <v/>
      </c>
      <c r="DC216" s="44" t="str">
        <f t="shared" si="3563"/>
        <v/>
      </c>
      <c r="DD216" s="44" t="str">
        <f t="shared" si="3563"/>
        <v/>
      </c>
      <c r="DE216" s="44" t="str">
        <f t="shared" si="3563"/>
        <v/>
      </c>
      <c r="DF216" s="44" t="str">
        <f t="shared" si="3563"/>
        <v/>
      </c>
      <c r="DG216" s="44" t="str">
        <f t="shared" si="3563"/>
        <v/>
      </c>
      <c r="DH216" s="44" t="str">
        <f t="shared" si="3563"/>
        <v/>
      </c>
      <c r="DI216" s="44" t="str">
        <f t="shared" si="3563"/>
        <v/>
      </c>
      <c r="DJ216" s="44" t="str">
        <f t="shared" si="3563"/>
        <v/>
      </c>
      <c r="DK216" s="44" t="str">
        <f t="shared" si="3563"/>
        <v/>
      </c>
      <c r="DL216" s="44" t="str">
        <f t="shared" si="3563"/>
        <v/>
      </c>
      <c r="DM216" s="44" t="str">
        <f t="shared" si="3563"/>
        <v/>
      </c>
      <c r="DN216" s="44" t="str">
        <f t="shared" si="3563"/>
        <v/>
      </c>
      <c r="DO216" s="44" t="str">
        <f t="shared" si="3563"/>
        <v/>
      </c>
      <c r="DP216" s="44" t="str">
        <f t="shared" si="3563"/>
        <v/>
      </c>
      <c r="DQ216" s="44" t="str">
        <f t="shared" si="3563"/>
        <v/>
      </c>
      <c r="DR216" s="44" t="str">
        <f t="shared" si="3563"/>
        <v/>
      </c>
      <c r="DS216" s="44" t="str">
        <f t="shared" si="3563"/>
        <v/>
      </c>
      <c r="DT216" s="44" t="str">
        <f t="shared" si="3563"/>
        <v/>
      </c>
      <c r="DU216" s="44" t="str">
        <f t="shared" si="3563"/>
        <v/>
      </c>
      <c r="DV216" s="44" t="str">
        <f t="shared" si="3563"/>
        <v/>
      </c>
      <c r="DW216" s="44" t="str">
        <f t="shared" si="3563"/>
        <v/>
      </c>
      <c r="DX216" s="44" t="str">
        <f t="shared" si="3563"/>
        <v/>
      </c>
      <c r="DY216" s="44" t="str">
        <f t="shared" si="3563"/>
        <v/>
      </c>
      <c r="DZ216" s="44" t="str">
        <f t="shared" si="3563"/>
        <v/>
      </c>
      <c r="EA216" s="44" t="str">
        <f t="shared" si="3563"/>
        <v/>
      </c>
      <c r="EB216" s="44" t="str">
        <f t="shared" si="3563"/>
        <v/>
      </c>
      <c r="EC216" s="44" t="str">
        <f t="shared" si="3563"/>
        <v/>
      </c>
      <c r="ED216" s="44" t="str">
        <f t="shared" si="3563"/>
        <v/>
      </c>
      <c r="EE216" s="44" t="str">
        <f t="shared" si="3563"/>
        <v/>
      </c>
      <c r="EF216" s="44" t="str">
        <f t="shared" si="3563"/>
        <v/>
      </c>
      <c r="EG216" s="44" t="str">
        <f t="shared" si="3563"/>
        <v/>
      </c>
      <c r="EH216" s="44" t="str">
        <f t="shared" si="3563"/>
        <v/>
      </c>
      <c r="EI216" s="44" t="str">
        <f t="shared" si="3563"/>
        <v/>
      </c>
      <c r="EJ216" s="44" t="str">
        <f t="shared" si="3563"/>
        <v/>
      </c>
      <c r="EK216" s="44" t="str">
        <f t="shared" si="3563"/>
        <v/>
      </c>
      <c r="EL216" s="44" t="str">
        <f t="shared" si="3563"/>
        <v/>
      </c>
      <c r="EM216" s="44" t="str">
        <f t="shared" si="3563"/>
        <v/>
      </c>
      <c r="EN216" s="44" t="str">
        <f t="shared" si="3563"/>
        <v/>
      </c>
      <c r="EO216" s="44" t="str">
        <f t="shared" si="3563"/>
        <v/>
      </c>
      <c r="EP216" s="44" t="str">
        <f t="shared" si="3563"/>
        <v/>
      </c>
      <c r="EQ216" s="44" t="str">
        <f t="shared" si="3563"/>
        <v/>
      </c>
      <c r="ER216" s="44" t="str">
        <f t="shared" si="3563"/>
        <v/>
      </c>
      <c r="ES216" s="44" t="str">
        <f t="shared" si="3563"/>
        <v/>
      </c>
      <c r="ET216" s="44" t="str">
        <f t="shared" si="3563"/>
        <v/>
      </c>
      <c r="EU216" s="44" t="str">
        <f t="shared" si="3563"/>
        <v/>
      </c>
      <c r="EV216" s="44" t="str">
        <f t="shared" si="3563"/>
        <v/>
      </c>
      <c r="EW216" s="44" t="str">
        <f t="shared" si="3563"/>
        <v/>
      </c>
      <c r="EX216" s="44" t="str">
        <f t="shared" si="3563"/>
        <v/>
      </c>
      <c r="EY216" s="44" t="str">
        <f t="shared" si="3563"/>
        <v/>
      </c>
      <c r="EZ216" s="44" t="str">
        <f t="shared" si="3563"/>
        <v/>
      </c>
      <c r="FA216" s="44" t="str">
        <f t="shared" si="3563"/>
        <v/>
      </c>
      <c r="FB216" s="44" t="str">
        <f t="shared" si="3563"/>
        <v/>
      </c>
      <c r="FC216" s="44" t="str">
        <f t="shared" si="3563"/>
        <v/>
      </c>
      <c r="FD216" s="44" t="str">
        <f t="shared" si="3563"/>
        <v/>
      </c>
      <c r="FE216" s="44" t="str">
        <f t="shared" si="3563"/>
        <v/>
      </c>
      <c r="FF216" s="44" t="str">
        <f t="shared" si="3563"/>
        <v/>
      </c>
      <c r="FG216" s="44" t="str">
        <f t="shared" si="3563"/>
        <v/>
      </c>
      <c r="FH216" s="44" t="str">
        <f t="shared" si="3563"/>
        <v/>
      </c>
      <c r="FI216" s="44" t="str">
        <f t="shared" si="3563"/>
        <v/>
      </c>
      <c r="FJ216" s="44" t="str">
        <f t="shared" si="3563"/>
        <v/>
      </c>
      <c r="FK216" s="44" t="str">
        <f t="shared" si="3563"/>
        <v/>
      </c>
      <c r="FL216" s="44" t="str">
        <f t="shared" si="3563"/>
        <v/>
      </c>
      <c r="FM216" s="44" t="str">
        <f t="shared" si="3563"/>
        <v/>
      </c>
      <c r="FN216" s="44" t="str">
        <f t="shared" ref="FN216:FS216" si="3564">IF(CH216="","","|n"&amp;FN$2&amp;"+"&amp;CH216&amp;FN$1)</f>
        <v/>
      </c>
      <c r="FO216" s="44" t="str">
        <f t="shared" si="3564"/>
        <v/>
      </c>
      <c r="FP216" s="44" t="str">
        <f t="shared" si="3564"/>
        <v/>
      </c>
      <c r="FQ216" s="44" t="str">
        <f t="shared" si="3564"/>
        <v/>
      </c>
      <c r="FR216" s="44" t="str">
        <f t="shared" si="3564"/>
        <v/>
      </c>
      <c r="FS216" s="44" t="str">
        <f t="shared" si="3564"/>
        <v/>
      </c>
    </row>
    <row r="217" ht="15" spans="1:175">
      <c r="A217" s="100"/>
      <c r="B217" s="8" t="s">
        <v>697</v>
      </c>
      <c r="C217" s="6" t="s">
        <v>116</v>
      </c>
      <c r="T217" s="106"/>
      <c r="U217" s="60"/>
      <c r="CN217" s="13" t="str">
        <f t="shared" ref="CN217:CN244" si="3565">"InitUnitState('"&amp;B217&amp;"',"&amp;V217&amp;","&amp;W217&amp;","&amp;X217&amp;","&amp;Y217&amp;","&amp;Z217&amp;","&amp;AA217&amp;","&amp;AB217&amp;","&amp;AC217&amp;","&amp;AD217&amp;","&amp;AE217&amp;")"</f>
        <v>InitUnitState('IF01',,,,,,,,,,)</v>
      </c>
      <c r="CO217" s="13" t="str">
        <f t="shared" ref="CO217:CO244" si="3566">"InitUnitNormal('"&amp;B217&amp;"',"&amp;AF217&amp;","&amp;AG217&amp;","&amp;AH217&amp;","&amp;AI217&amp;","&amp;AJ217&amp;","&amp;AK217&amp;","&amp;AL217&amp;","&amp;AM217&amp;","&amp;AN217&amp;","&amp;AO217&amp;")"</f>
        <v>InitUnitNormal('IF01',,,,,,,,,,)</v>
      </c>
      <c r="CP217" s="13" t="str">
        <f t="shared" ref="CP217:CP244" si="3567">"InitUnitMagic('"&amp;B217&amp;"',"&amp;AP217&amp;","&amp;AQ217&amp;","&amp;AR217&amp;","&amp;AS217&amp;","&amp;AT217&amp;","&amp;AU217&amp;","&amp;AV217&amp;","&amp;AW217&amp;","&amp;BI217&amp;","&amp;BJ217&amp;")"</f>
        <v>InitUnitMagic('IF01',,,,,,,,,,)</v>
      </c>
      <c r="CQ217" s="13" t="str">
        <f t="shared" ref="CQ217:CQ244" si="3568">"InitUnitAdd('"&amp;B217&amp;"',"&amp;BK217&amp;","&amp;BL217&amp;","&amp;BM217&amp;","&amp;BN217&amp;","&amp;BO217&amp;","&amp;BP217&amp;","&amp;BQ217&amp;","&amp;BR217&amp;","&amp;BS217&amp;","&amp;BT217&amp;")"</f>
        <v>InitUnitAdd('IF01',,,,,,,,,,)</v>
      </c>
      <c r="CR217" s="13" t="str">
        <f t="shared" ref="CR217:CR253" si="356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InitEquipData('IF01',,"",,,,,'','','','','','',"")</v>
      </c>
      <c r="CU217" s="72" t="str">
        <f t="shared" ref="CU217:CU239" si="357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7"/>
      <c r="CX217" s="7"/>
      <c r="CY217" s="7"/>
      <c r="CZ217" s="7"/>
      <c r="DA217" s="7"/>
      <c r="DB217" s="44" t="str">
        <f t="shared" ref="DB217:DB239" si="3571">IF(V217="","","|n"&amp;DB$2&amp;"+"&amp;V217&amp;DB$1)</f>
        <v/>
      </c>
      <c r="DC217" s="44" t="str">
        <f t="shared" ref="DC217:DC239" si="3572">IF(W217="","","|n"&amp;DC$2&amp;"+"&amp;W217&amp;DC$1)</f>
        <v/>
      </c>
      <c r="DD217" s="44" t="str">
        <f t="shared" ref="DD217:DD239" si="3573">IF(X217="","","|n"&amp;DD$2&amp;"+"&amp;X217&amp;DD$1)</f>
        <v/>
      </c>
      <c r="DE217" s="44" t="str">
        <f t="shared" ref="DE217:DE239" si="3574">IF(Y217="","","|n"&amp;DE$2&amp;"+"&amp;Y217&amp;DE$1)</f>
        <v/>
      </c>
      <c r="DF217" s="44" t="str">
        <f t="shared" ref="DF217:DF239" si="3575">IF(Z217="","","|n"&amp;DF$2&amp;"+"&amp;Z217&amp;DF$1)</f>
        <v/>
      </c>
      <c r="DG217" s="44" t="str">
        <f t="shared" ref="DG217:DG239" si="3576">IF(AA217="","","|n"&amp;DG$2&amp;"+"&amp;AA217&amp;DG$1)</f>
        <v/>
      </c>
      <c r="DH217" s="44" t="str">
        <f t="shared" ref="DH217:DH239" si="3577">IF(AB217="","","|n"&amp;DH$2&amp;"+"&amp;AB217&amp;DH$1)</f>
        <v/>
      </c>
      <c r="DI217" s="44" t="str">
        <f t="shared" ref="DI217:DI239" si="3578">IF(AC217="","","|n"&amp;DI$2&amp;"+"&amp;AC217&amp;DI$1)</f>
        <v/>
      </c>
      <c r="DJ217" s="44" t="str">
        <f t="shared" ref="DJ217:DJ239" si="3579">IF(AD217="","","|n"&amp;DJ$2&amp;"+"&amp;AD217&amp;DJ$1)</f>
        <v/>
      </c>
      <c r="DK217" s="44" t="str">
        <f t="shared" ref="DK217:DK239" si="3580">IF(AE217="","","|n"&amp;DK$2&amp;"+"&amp;AE217&amp;DK$1)</f>
        <v/>
      </c>
      <c r="DL217" s="44" t="str">
        <f t="shared" ref="DL217:DL239" si="3581">IF(AF217="","","|n"&amp;DL$2&amp;"+"&amp;AF217&amp;DL$1)</f>
        <v/>
      </c>
      <c r="DM217" s="44" t="str">
        <f t="shared" ref="DM217:DM239" si="3582">IF(AG217="","","|n"&amp;DM$2&amp;"+"&amp;AG217&amp;DM$1)</f>
        <v/>
      </c>
      <c r="DN217" s="44" t="str">
        <f t="shared" ref="DN217:DN239" si="3583">IF(AH217="","","|n"&amp;DN$2&amp;"+"&amp;AH217&amp;DN$1)</f>
        <v/>
      </c>
      <c r="DO217" s="44" t="str">
        <f t="shared" ref="DO217:DO239" si="3584">IF(AI217="","","|n"&amp;DO$2&amp;"+"&amp;AI217&amp;DO$1)</f>
        <v/>
      </c>
      <c r="DP217" s="44" t="str">
        <f t="shared" ref="DP217:DP239" si="3585">IF(AJ217="","","|n"&amp;DP$2&amp;"+"&amp;AJ217&amp;DP$1)</f>
        <v/>
      </c>
      <c r="DQ217" s="44" t="str">
        <f t="shared" ref="DQ217:DQ239" si="3586">IF(AK217="","","|n"&amp;DQ$2&amp;"+"&amp;AK217&amp;DQ$1)</f>
        <v/>
      </c>
      <c r="DR217" s="44" t="str">
        <f t="shared" ref="DR217:DR239" si="3587">IF(AL217="","","|n"&amp;DR$2&amp;"+"&amp;AL217&amp;DR$1)</f>
        <v/>
      </c>
      <c r="DS217" s="44" t="str">
        <f t="shared" ref="DS217:DS239" si="3588">IF(AM217="","","|n"&amp;DS$2&amp;"+"&amp;AM217&amp;DS$1)</f>
        <v/>
      </c>
      <c r="DT217" s="44" t="str">
        <f t="shared" ref="DT217:DT239" si="3589">IF(AN217="","","|n"&amp;DT$2&amp;"+"&amp;AN217&amp;DT$1)</f>
        <v/>
      </c>
      <c r="DU217" s="44" t="str">
        <f t="shared" ref="DU217:DU239" si="3590">IF(AO217="","","|n"&amp;DU$2&amp;"+"&amp;AO217&amp;DU$1)</f>
        <v/>
      </c>
      <c r="DV217" s="44" t="str">
        <f t="shared" ref="DV217:DV239" si="3591">IF(AP217="","","|n"&amp;DV$2&amp;"+"&amp;AP217&amp;DV$1)</f>
        <v/>
      </c>
      <c r="DW217" s="44" t="str">
        <f t="shared" ref="DW217:DW239" si="3592">IF(AQ217="","","|n"&amp;DW$2&amp;"+"&amp;AQ217&amp;DW$1)</f>
        <v/>
      </c>
      <c r="DX217" s="44" t="str">
        <f t="shared" ref="DX217:DX239" si="3593">IF(AR217="","","|n"&amp;DX$2&amp;"+"&amp;AR217&amp;DX$1)</f>
        <v/>
      </c>
      <c r="DY217" s="44" t="str">
        <f t="shared" ref="DY217:DY239" si="3594">IF(AS217="","","|n"&amp;DY$2&amp;"+"&amp;AS217&amp;DY$1)</f>
        <v/>
      </c>
      <c r="DZ217" s="44" t="str">
        <f t="shared" ref="DZ217:DZ239" si="3595">IF(AT217="","","|n"&amp;DZ$2&amp;"+"&amp;AT217&amp;DZ$1)</f>
        <v/>
      </c>
      <c r="EA217" s="44" t="str">
        <f t="shared" ref="EA217:EA239" si="3596">IF(AU217="","","|n"&amp;EA$2&amp;"+"&amp;AU217&amp;EA$1)</f>
        <v/>
      </c>
      <c r="EB217" s="44" t="str">
        <f t="shared" ref="EB217:EB239" si="3597">IF(AV217="","","|n"&amp;EB$2&amp;"+"&amp;AV217&amp;EB$1)</f>
        <v/>
      </c>
      <c r="EC217" s="44" t="str">
        <f t="shared" ref="EC217:EC239" si="3598">IF(AW217="","","|n"&amp;EC$2&amp;"+"&amp;AW217&amp;EC$1)</f>
        <v/>
      </c>
      <c r="ED217" s="44" t="str">
        <f t="shared" ref="ED217:ED239" si="3599">IF(AX217="","","|n"&amp;ED$2&amp;"+"&amp;AX217&amp;ED$1)</f>
        <v/>
      </c>
      <c r="EE217" s="44" t="str">
        <f t="shared" ref="EE217:EE239" si="3600">IF(AY217="","","|n"&amp;EE$2&amp;"+"&amp;AY217&amp;EE$1)</f>
        <v/>
      </c>
      <c r="EF217" s="44" t="str">
        <f t="shared" ref="EF217:EF239" si="3601">IF(AZ217="","","|n"&amp;EF$2&amp;"+"&amp;AZ217&amp;EF$1)</f>
        <v/>
      </c>
      <c r="EG217" s="44" t="str">
        <f t="shared" ref="EG217:EG239" si="3602">IF(BA217="","","|n"&amp;EG$2&amp;"+"&amp;BA217&amp;EG$1)</f>
        <v/>
      </c>
      <c r="EH217" s="44" t="str">
        <f t="shared" ref="EH217:EH239" si="3603">IF(BB217="","","|n"&amp;EH$2&amp;"+"&amp;BB217&amp;EH$1)</f>
        <v/>
      </c>
      <c r="EI217" s="44" t="str">
        <f t="shared" ref="EI217:EI239" si="3604">IF(BC217="","","|n"&amp;EI$2&amp;"+"&amp;BC217&amp;EI$1)</f>
        <v/>
      </c>
      <c r="EJ217" s="44" t="str">
        <f t="shared" ref="EJ217:EJ239" si="3605">IF(BD217="","","|n"&amp;EJ$2&amp;"+"&amp;BD217&amp;EJ$1)</f>
        <v/>
      </c>
      <c r="EK217" s="44" t="str">
        <f t="shared" ref="EK217:EK239" si="3606">IF(BE217="","","|n"&amp;EK$2&amp;"+"&amp;BE217&amp;EK$1)</f>
        <v/>
      </c>
      <c r="EL217" s="44" t="str">
        <f t="shared" ref="EL217:EL239" si="3607">IF(BF217="","","|n"&amp;EL$2&amp;"+"&amp;BF217&amp;EL$1)</f>
        <v/>
      </c>
      <c r="EM217" s="44" t="str">
        <f t="shared" ref="EM217:EM239" si="3608">IF(BG217="","","|n"&amp;EM$2&amp;"+"&amp;BG217&amp;EM$1)</f>
        <v/>
      </c>
      <c r="EN217" s="44" t="str">
        <f t="shared" ref="EN217:EN239" si="3609">IF(BH217="","","|n"&amp;EN$2&amp;"+"&amp;BH217&amp;EN$1)</f>
        <v/>
      </c>
      <c r="EO217" s="44" t="str">
        <f t="shared" ref="EO217:EO239" si="3610">IF(BI217="","","|n"&amp;EO$2&amp;"+"&amp;BI217&amp;EO$1)</f>
        <v/>
      </c>
      <c r="EP217" s="44" t="str">
        <f t="shared" ref="EP217:EP239" si="3611">IF(BJ217="","","|n"&amp;EP$2&amp;"+"&amp;BJ217&amp;EP$1)</f>
        <v/>
      </c>
      <c r="EQ217" s="44" t="str">
        <f t="shared" ref="EQ217:EQ239" si="3612">IF(BK217="","","|n"&amp;EQ$2&amp;"+"&amp;BK217&amp;EQ$1)</f>
        <v/>
      </c>
      <c r="ER217" s="44" t="str">
        <f t="shared" ref="ER217:ER239" si="3613">IF(BL217="","","|n"&amp;ER$2&amp;"+"&amp;BL217&amp;ER$1)</f>
        <v/>
      </c>
      <c r="ES217" s="44" t="str">
        <f t="shared" ref="ES217:ES239" si="3614">IF(BM217="","","|n"&amp;ES$2&amp;"+"&amp;BM217&amp;ES$1)</f>
        <v/>
      </c>
      <c r="ET217" s="44" t="str">
        <f t="shared" ref="ET217:ET239" si="3615">IF(BN217="","","|n"&amp;ET$2&amp;"+"&amp;BN217&amp;ET$1)</f>
        <v/>
      </c>
      <c r="EU217" s="44" t="str">
        <f t="shared" ref="EU217:EU239" si="3616">IF(BO217="","","|n"&amp;EU$2&amp;"+"&amp;BO217&amp;EU$1)</f>
        <v/>
      </c>
      <c r="EV217" s="44" t="str">
        <f t="shared" ref="EV217:EV239" si="3617">IF(BP217="","","|n"&amp;EV$2&amp;"+"&amp;BP217&amp;EV$1)</f>
        <v/>
      </c>
      <c r="EW217" s="44" t="str">
        <f t="shared" ref="EW217:EW239" si="3618">IF(BQ217="","","|n"&amp;EW$2&amp;"+"&amp;BQ217&amp;EW$1)</f>
        <v/>
      </c>
      <c r="EX217" s="44" t="str">
        <f t="shared" ref="EX217:EX239" si="3619">IF(BR217="","","|n"&amp;EX$2&amp;"+"&amp;BR217&amp;EX$1)</f>
        <v/>
      </c>
      <c r="EY217" s="44" t="str">
        <f t="shared" ref="EY217:EY239" si="3620">IF(BS217="","","|n"&amp;EY$2&amp;"+"&amp;BS217&amp;EY$1)</f>
        <v/>
      </c>
      <c r="EZ217" s="44" t="str">
        <f t="shared" ref="EZ217:EZ239" si="3621">IF(BT217="","","|n"&amp;EZ$2&amp;"+"&amp;BT217&amp;EZ$1)</f>
        <v/>
      </c>
      <c r="FA217" s="44" t="str">
        <f t="shared" ref="FA217:FA239" si="3622">IF(BU217="","","|n"&amp;FA$2&amp;"+"&amp;BU217&amp;FA$1)</f>
        <v/>
      </c>
      <c r="FB217" s="44" t="str">
        <f t="shared" ref="FB217:FB239" si="3623">IF(BV217="","","|n"&amp;FB$2&amp;"+"&amp;BV217&amp;FB$1)</f>
        <v/>
      </c>
      <c r="FC217" s="44" t="str">
        <f t="shared" ref="FC217:FC239" si="3624">IF(BW217="","","|n"&amp;FC$2&amp;"+"&amp;BW217&amp;FC$1)</f>
        <v/>
      </c>
      <c r="FD217" s="44" t="str">
        <f t="shared" ref="FD217:FD239" si="3625">IF(BX217="","","|n"&amp;FD$2&amp;"+"&amp;BX217&amp;FD$1)</f>
        <v/>
      </c>
      <c r="FE217" s="44" t="str">
        <f t="shared" ref="FE217:FE239" si="3626">IF(BY217="","","|n"&amp;FE$2&amp;"+"&amp;BY217&amp;FE$1)</f>
        <v/>
      </c>
      <c r="FF217" s="44" t="str">
        <f t="shared" ref="FF217:FF239" si="3627">IF(BZ217="","","|n"&amp;FF$2&amp;"+"&amp;BZ217&amp;FF$1)</f>
        <v/>
      </c>
      <c r="FG217" s="44" t="str">
        <f t="shared" ref="FG217:FG239" si="3628">IF(CA217="","","|n"&amp;FG$2&amp;"+"&amp;CA217&amp;FG$1)</f>
        <v/>
      </c>
      <c r="FH217" s="44" t="str">
        <f t="shared" ref="FH217:FH239" si="3629">IF(CB217="","","|n"&amp;FH$2&amp;"+"&amp;CB217&amp;FH$1)</f>
        <v/>
      </c>
      <c r="FI217" s="44" t="str">
        <f t="shared" ref="FI217:FI239" si="3630">IF(CC217="","","|n"&amp;FI$2&amp;"+"&amp;CC217&amp;FI$1)</f>
        <v/>
      </c>
      <c r="FJ217" s="44" t="str">
        <f t="shared" ref="FJ217:FJ239" si="3631">IF(CD217="","","|n"&amp;FJ$2&amp;"+"&amp;CD217&amp;FJ$1)</f>
        <v/>
      </c>
      <c r="FK217" s="44" t="str">
        <f t="shared" ref="FK217:FK239" si="3632">IF(CE217="","","|n"&amp;FK$2&amp;"+"&amp;CE217&amp;FK$1)</f>
        <v/>
      </c>
      <c r="FL217" s="44" t="str">
        <f t="shared" ref="FL217:FL239" si="3633">IF(CF217="","","|n"&amp;FL$2&amp;"+"&amp;CF217&amp;FL$1)</f>
        <v/>
      </c>
      <c r="FM217" s="44" t="str">
        <f t="shared" ref="FM217:FM239" si="3634">IF(CG217="","","|n"&amp;FM$2&amp;"+"&amp;CG217&amp;FM$1)</f>
        <v/>
      </c>
      <c r="FN217" s="44" t="str">
        <f t="shared" ref="FN217:FN239" si="3635">IF(CH217="","","|n"&amp;FN$2&amp;"+"&amp;CH217&amp;FN$1)</f>
        <v/>
      </c>
      <c r="FO217" s="44" t="str">
        <f t="shared" ref="FO217:FO239" si="3636">IF(CI217="","","|n"&amp;FO$2&amp;"+"&amp;CI217&amp;FO$1)</f>
        <v/>
      </c>
      <c r="FP217" s="44" t="str">
        <f t="shared" ref="FP217:FP239" si="3637">IF(CJ217="","","|n"&amp;FP$2&amp;"+"&amp;CJ217&amp;FP$1)</f>
        <v/>
      </c>
      <c r="FQ217" s="44" t="str">
        <f t="shared" ref="FQ217:FQ239" si="3638">IF(CK217="","","|n"&amp;FQ$2&amp;"+"&amp;CK217&amp;FQ$1)</f>
        <v/>
      </c>
      <c r="FR217" s="44" t="str">
        <f t="shared" ref="FR217:FR239" si="3639">IF(CL217="","","|n"&amp;FR$2&amp;"+"&amp;CL217&amp;FR$1)</f>
        <v/>
      </c>
      <c r="FS217" s="44" t="str">
        <f t="shared" ref="FS217:FS239" si="3640">IF(CM217="","","|n"&amp;FS$2&amp;"+"&amp;CM217&amp;FS$1)</f>
        <v/>
      </c>
    </row>
    <row r="218" ht="15" spans="1:175">
      <c r="A218" s="100"/>
      <c r="B218" s="8" t="s">
        <v>698</v>
      </c>
      <c r="C218" s="6" t="s">
        <v>699</v>
      </c>
      <c r="T218" s="106"/>
      <c r="U218" s="60"/>
      <c r="CN218" s="13" t="str">
        <f t="shared" si="3565"/>
        <v>InitUnitState('IF02',,,,,,,,,,)</v>
      </c>
      <c r="CO218" s="13" t="str">
        <f t="shared" si="3566"/>
        <v>InitUnitNormal('IF02',,,,,,,,,,)</v>
      </c>
      <c r="CP218" s="13" t="str">
        <f t="shared" si="3567"/>
        <v>InitUnitMagic('IF02',,,,,,,,,,)</v>
      </c>
      <c r="CQ218" s="13" t="str">
        <f t="shared" si="3568"/>
        <v>InitUnitAdd('IF02',,,,,,,,,,)</v>
      </c>
      <c r="CR218" s="13" t="str">
        <f t="shared" si="3569"/>
        <v>InitEquipData('IF02',,"",,,,,'','','','','','',"")</v>
      </c>
      <c r="CU218" s="72" t="str">
        <f t="shared" si="3570"/>
        <v>|n</v>
      </c>
      <c r="CW218" s="7"/>
      <c r="CX218" s="7"/>
      <c r="CY218" s="7"/>
      <c r="CZ218" s="7"/>
      <c r="DA218" s="7"/>
      <c r="DB218" s="44" t="str">
        <f t="shared" si="3571"/>
        <v/>
      </c>
      <c r="DC218" s="44" t="str">
        <f t="shared" si="3572"/>
        <v/>
      </c>
      <c r="DD218" s="44" t="str">
        <f t="shared" si="3573"/>
        <v/>
      </c>
      <c r="DE218" s="44" t="str">
        <f t="shared" si="3574"/>
        <v/>
      </c>
      <c r="DF218" s="44" t="str">
        <f t="shared" si="3575"/>
        <v/>
      </c>
      <c r="DG218" s="44" t="str">
        <f t="shared" si="3576"/>
        <v/>
      </c>
      <c r="DH218" s="44" t="str">
        <f t="shared" si="3577"/>
        <v/>
      </c>
      <c r="DI218" s="44" t="str">
        <f t="shared" si="3578"/>
        <v/>
      </c>
      <c r="DJ218" s="44" t="str">
        <f t="shared" si="3579"/>
        <v/>
      </c>
      <c r="DK218" s="44" t="str">
        <f t="shared" si="3580"/>
        <v/>
      </c>
      <c r="DL218" s="44" t="str">
        <f t="shared" si="3581"/>
        <v/>
      </c>
      <c r="DM218" s="44" t="str">
        <f t="shared" si="3582"/>
        <v/>
      </c>
      <c r="DN218" s="44" t="str">
        <f t="shared" si="3583"/>
        <v/>
      </c>
      <c r="DO218" s="44" t="str">
        <f t="shared" si="3584"/>
        <v/>
      </c>
      <c r="DP218" s="44" t="str">
        <f t="shared" si="3585"/>
        <v/>
      </c>
      <c r="DQ218" s="44" t="str">
        <f t="shared" si="3586"/>
        <v/>
      </c>
      <c r="DR218" s="44" t="str">
        <f t="shared" si="3587"/>
        <v/>
      </c>
      <c r="DS218" s="44" t="str">
        <f t="shared" si="3588"/>
        <v/>
      </c>
      <c r="DT218" s="44" t="str">
        <f t="shared" si="3589"/>
        <v/>
      </c>
      <c r="DU218" s="44" t="str">
        <f t="shared" si="3590"/>
        <v/>
      </c>
      <c r="DV218" s="44" t="str">
        <f t="shared" si="3591"/>
        <v/>
      </c>
      <c r="DW218" s="44" t="str">
        <f t="shared" si="3592"/>
        <v/>
      </c>
      <c r="DX218" s="44" t="str">
        <f t="shared" si="3593"/>
        <v/>
      </c>
      <c r="DY218" s="44" t="str">
        <f t="shared" si="3594"/>
        <v/>
      </c>
      <c r="DZ218" s="44" t="str">
        <f t="shared" si="3595"/>
        <v/>
      </c>
      <c r="EA218" s="44" t="str">
        <f t="shared" si="3596"/>
        <v/>
      </c>
      <c r="EB218" s="44" t="str">
        <f t="shared" si="3597"/>
        <v/>
      </c>
      <c r="EC218" s="44" t="str">
        <f t="shared" si="3598"/>
        <v/>
      </c>
      <c r="ED218" s="44" t="str">
        <f t="shared" si="3599"/>
        <v/>
      </c>
      <c r="EE218" s="44" t="str">
        <f t="shared" si="3600"/>
        <v/>
      </c>
      <c r="EF218" s="44" t="str">
        <f t="shared" si="3601"/>
        <v/>
      </c>
      <c r="EG218" s="44" t="str">
        <f t="shared" si="3602"/>
        <v/>
      </c>
      <c r="EH218" s="44" t="str">
        <f t="shared" si="3603"/>
        <v/>
      </c>
      <c r="EI218" s="44" t="str">
        <f t="shared" si="3604"/>
        <v/>
      </c>
      <c r="EJ218" s="44" t="str">
        <f t="shared" si="3605"/>
        <v/>
      </c>
      <c r="EK218" s="44" t="str">
        <f t="shared" si="3606"/>
        <v/>
      </c>
      <c r="EL218" s="44" t="str">
        <f t="shared" si="3607"/>
        <v/>
      </c>
      <c r="EM218" s="44" t="str">
        <f t="shared" si="3608"/>
        <v/>
      </c>
      <c r="EN218" s="44" t="str">
        <f t="shared" si="3609"/>
        <v/>
      </c>
      <c r="EO218" s="44" t="str">
        <f t="shared" si="3610"/>
        <v/>
      </c>
      <c r="EP218" s="44" t="str">
        <f t="shared" si="3611"/>
        <v/>
      </c>
      <c r="EQ218" s="44" t="str">
        <f t="shared" si="3612"/>
        <v/>
      </c>
      <c r="ER218" s="44" t="str">
        <f t="shared" si="3613"/>
        <v/>
      </c>
      <c r="ES218" s="44" t="str">
        <f t="shared" si="3614"/>
        <v/>
      </c>
      <c r="ET218" s="44" t="str">
        <f t="shared" si="3615"/>
        <v/>
      </c>
      <c r="EU218" s="44" t="str">
        <f t="shared" si="3616"/>
        <v/>
      </c>
      <c r="EV218" s="44" t="str">
        <f t="shared" si="3617"/>
        <v/>
      </c>
      <c r="EW218" s="44" t="str">
        <f t="shared" si="3618"/>
        <v/>
      </c>
      <c r="EX218" s="44" t="str">
        <f t="shared" si="3619"/>
        <v/>
      </c>
      <c r="EY218" s="44" t="str">
        <f t="shared" si="3620"/>
        <v/>
      </c>
      <c r="EZ218" s="44" t="str">
        <f t="shared" si="3621"/>
        <v/>
      </c>
      <c r="FA218" s="44" t="str">
        <f t="shared" si="3622"/>
        <v/>
      </c>
      <c r="FB218" s="44" t="str">
        <f t="shared" si="3623"/>
        <v/>
      </c>
      <c r="FC218" s="44" t="str">
        <f t="shared" si="3624"/>
        <v/>
      </c>
      <c r="FD218" s="44" t="str">
        <f t="shared" si="3625"/>
        <v/>
      </c>
      <c r="FE218" s="44" t="str">
        <f t="shared" si="3626"/>
        <v/>
      </c>
      <c r="FF218" s="44" t="str">
        <f t="shared" si="3627"/>
        <v/>
      </c>
      <c r="FG218" s="44" t="str">
        <f t="shared" si="3628"/>
        <v/>
      </c>
      <c r="FH218" s="44" t="str">
        <f t="shared" si="3629"/>
        <v/>
      </c>
      <c r="FI218" s="44" t="str">
        <f t="shared" si="3630"/>
        <v/>
      </c>
      <c r="FJ218" s="44" t="str">
        <f t="shared" si="3631"/>
        <v/>
      </c>
      <c r="FK218" s="44" t="str">
        <f t="shared" si="3632"/>
        <v/>
      </c>
      <c r="FL218" s="44" t="str">
        <f t="shared" si="3633"/>
        <v/>
      </c>
      <c r="FM218" s="44" t="str">
        <f t="shared" si="3634"/>
        <v/>
      </c>
      <c r="FN218" s="44" t="str">
        <f t="shared" si="3635"/>
        <v/>
      </c>
      <c r="FO218" s="44" t="str">
        <f t="shared" si="3636"/>
        <v/>
      </c>
      <c r="FP218" s="44" t="str">
        <f t="shared" si="3637"/>
        <v/>
      </c>
      <c r="FQ218" s="44" t="str">
        <f t="shared" si="3638"/>
        <v/>
      </c>
      <c r="FR218" s="44" t="str">
        <f t="shared" si="3639"/>
        <v/>
      </c>
      <c r="FS218" s="44" t="str">
        <f t="shared" si="3640"/>
        <v/>
      </c>
    </row>
    <row r="219" ht="15" spans="1:175">
      <c r="A219" s="101"/>
      <c r="B219" s="8" t="s">
        <v>700</v>
      </c>
      <c r="C219" s="6" t="s">
        <v>116</v>
      </c>
      <c r="T219" s="107"/>
      <c r="U219" s="60"/>
      <c r="CN219" s="13" t="str">
        <f t="shared" si="3565"/>
        <v>InitUnitState('IF03',,,,,,,,,,)</v>
      </c>
      <c r="CO219" s="13" t="str">
        <f t="shared" si="3566"/>
        <v>InitUnitNormal('IF03',,,,,,,,,,)</v>
      </c>
      <c r="CP219" s="13" t="str">
        <f t="shared" si="3567"/>
        <v>InitUnitMagic('IF03',,,,,,,,,,)</v>
      </c>
      <c r="CQ219" s="13" t="str">
        <f t="shared" si="3568"/>
        <v>InitUnitAdd('IF03',,,,,,,,,,)</v>
      </c>
      <c r="CR219" s="13" t="str">
        <f t="shared" si="3569"/>
        <v>InitEquipData('IF03',,"",,,,,'','','','','','',"")</v>
      </c>
      <c r="CU219" s="72" t="str">
        <f t="shared" si="3570"/>
        <v>|n</v>
      </c>
      <c r="CW219" s="7"/>
      <c r="CX219" s="7"/>
      <c r="CY219" s="7"/>
      <c r="CZ219" s="7"/>
      <c r="DA219" s="7"/>
      <c r="DB219" s="44" t="str">
        <f t="shared" si="3571"/>
        <v/>
      </c>
      <c r="DC219" s="44" t="str">
        <f t="shared" si="3572"/>
        <v/>
      </c>
      <c r="DD219" s="44" t="str">
        <f t="shared" si="3573"/>
        <v/>
      </c>
      <c r="DE219" s="44" t="str">
        <f t="shared" si="3574"/>
        <v/>
      </c>
      <c r="DF219" s="44" t="str">
        <f t="shared" si="3575"/>
        <v/>
      </c>
      <c r="DG219" s="44" t="str">
        <f t="shared" si="3576"/>
        <v/>
      </c>
      <c r="DH219" s="44" t="str">
        <f t="shared" si="3577"/>
        <v/>
      </c>
      <c r="DI219" s="44" t="str">
        <f t="shared" si="3578"/>
        <v/>
      </c>
      <c r="DJ219" s="44" t="str">
        <f t="shared" si="3579"/>
        <v/>
      </c>
      <c r="DK219" s="44" t="str">
        <f t="shared" si="3580"/>
        <v/>
      </c>
      <c r="DL219" s="44" t="str">
        <f t="shared" si="3581"/>
        <v/>
      </c>
      <c r="DM219" s="44" t="str">
        <f t="shared" si="3582"/>
        <v/>
      </c>
      <c r="DN219" s="44" t="str">
        <f t="shared" si="3583"/>
        <v/>
      </c>
      <c r="DO219" s="44" t="str">
        <f t="shared" si="3584"/>
        <v/>
      </c>
      <c r="DP219" s="44" t="str">
        <f t="shared" si="3585"/>
        <v/>
      </c>
      <c r="DQ219" s="44" t="str">
        <f t="shared" si="3586"/>
        <v/>
      </c>
      <c r="DR219" s="44" t="str">
        <f t="shared" si="3587"/>
        <v/>
      </c>
      <c r="DS219" s="44" t="str">
        <f t="shared" si="3588"/>
        <v/>
      </c>
      <c r="DT219" s="44" t="str">
        <f t="shared" si="3589"/>
        <v/>
      </c>
      <c r="DU219" s="44" t="str">
        <f t="shared" si="3590"/>
        <v/>
      </c>
      <c r="DV219" s="44" t="str">
        <f t="shared" si="3591"/>
        <v/>
      </c>
      <c r="DW219" s="44" t="str">
        <f t="shared" si="3592"/>
        <v/>
      </c>
      <c r="DX219" s="44" t="str">
        <f t="shared" si="3593"/>
        <v/>
      </c>
      <c r="DY219" s="44" t="str">
        <f t="shared" si="3594"/>
        <v/>
      </c>
      <c r="DZ219" s="44" t="str">
        <f t="shared" si="3595"/>
        <v/>
      </c>
      <c r="EA219" s="44" t="str">
        <f t="shared" si="3596"/>
        <v/>
      </c>
      <c r="EB219" s="44" t="str">
        <f t="shared" si="3597"/>
        <v/>
      </c>
      <c r="EC219" s="44" t="str">
        <f t="shared" si="3598"/>
        <v/>
      </c>
      <c r="ED219" s="44" t="str">
        <f t="shared" si="3599"/>
        <v/>
      </c>
      <c r="EE219" s="44" t="str">
        <f t="shared" si="3600"/>
        <v/>
      </c>
      <c r="EF219" s="44" t="str">
        <f t="shared" si="3601"/>
        <v/>
      </c>
      <c r="EG219" s="44" t="str">
        <f t="shared" si="3602"/>
        <v/>
      </c>
      <c r="EH219" s="44" t="str">
        <f t="shared" si="3603"/>
        <v/>
      </c>
      <c r="EI219" s="44" t="str">
        <f t="shared" si="3604"/>
        <v/>
      </c>
      <c r="EJ219" s="44" t="str">
        <f t="shared" si="3605"/>
        <v/>
      </c>
      <c r="EK219" s="44" t="str">
        <f t="shared" si="3606"/>
        <v/>
      </c>
      <c r="EL219" s="44" t="str">
        <f t="shared" si="3607"/>
        <v/>
      </c>
      <c r="EM219" s="44" t="str">
        <f t="shared" si="3608"/>
        <v/>
      </c>
      <c r="EN219" s="44" t="str">
        <f t="shared" si="3609"/>
        <v/>
      </c>
      <c r="EO219" s="44" t="str">
        <f t="shared" si="3610"/>
        <v/>
      </c>
      <c r="EP219" s="44" t="str">
        <f t="shared" si="3611"/>
        <v/>
      </c>
      <c r="EQ219" s="44" t="str">
        <f t="shared" si="3612"/>
        <v/>
      </c>
      <c r="ER219" s="44" t="str">
        <f t="shared" si="3613"/>
        <v/>
      </c>
      <c r="ES219" s="44" t="str">
        <f t="shared" si="3614"/>
        <v/>
      </c>
      <c r="ET219" s="44" t="str">
        <f t="shared" si="3615"/>
        <v/>
      </c>
      <c r="EU219" s="44" t="str">
        <f t="shared" si="3616"/>
        <v/>
      </c>
      <c r="EV219" s="44" t="str">
        <f t="shared" si="3617"/>
        <v/>
      </c>
      <c r="EW219" s="44" t="str">
        <f t="shared" si="3618"/>
        <v/>
      </c>
      <c r="EX219" s="44" t="str">
        <f t="shared" si="3619"/>
        <v/>
      </c>
      <c r="EY219" s="44" t="str">
        <f t="shared" si="3620"/>
        <v/>
      </c>
      <c r="EZ219" s="44" t="str">
        <f t="shared" si="3621"/>
        <v/>
      </c>
      <c r="FA219" s="44" t="str">
        <f t="shared" si="3622"/>
        <v/>
      </c>
      <c r="FB219" s="44" t="str">
        <f t="shared" si="3623"/>
        <v/>
      </c>
      <c r="FC219" s="44" t="str">
        <f t="shared" si="3624"/>
        <v/>
      </c>
      <c r="FD219" s="44" t="str">
        <f t="shared" si="3625"/>
        <v/>
      </c>
      <c r="FE219" s="44" t="str">
        <f t="shared" si="3626"/>
        <v/>
      </c>
      <c r="FF219" s="44" t="str">
        <f t="shared" si="3627"/>
        <v/>
      </c>
      <c r="FG219" s="44" t="str">
        <f t="shared" si="3628"/>
        <v/>
      </c>
      <c r="FH219" s="44" t="str">
        <f t="shared" si="3629"/>
        <v/>
      </c>
      <c r="FI219" s="44" t="str">
        <f t="shared" si="3630"/>
        <v/>
      </c>
      <c r="FJ219" s="44" t="str">
        <f t="shared" si="3631"/>
        <v/>
      </c>
      <c r="FK219" s="44" t="str">
        <f t="shared" si="3632"/>
        <v/>
      </c>
      <c r="FL219" s="44" t="str">
        <f t="shared" si="3633"/>
        <v/>
      </c>
      <c r="FM219" s="44" t="str">
        <f t="shared" si="3634"/>
        <v/>
      </c>
      <c r="FN219" s="44" t="str">
        <f t="shared" si="3635"/>
        <v/>
      </c>
      <c r="FO219" s="44" t="str">
        <f t="shared" si="3636"/>
        <v/>
      </c>
      <c r="FP219" s="44" t="str">
        <f t="shared" si="3637"/>
        <v/>
      </c>
      <c r="FQ219" s="44" t="str">
        <f t="shared" si="3638"/>
        <v/>
      </c>
      <c r="FR219" s="44" t="str">
        <f t="shared" si="3639"/>
        <v/>
      </c>
      <c r="FS219" s="44" t="str">
        <f t="shared" si="3640"/>
        <v/>
      </c>
    </row>
    <row r="220" ht="15" spans="1:175">
      <c r="A220" s="101"/>
      <c r="B220" s="8" t="s">
        <v>701</v>
      </c>
      <c r="C220" s="6" t="s">
        <v>699</v>
      </c>
      <c r="T220" s="107"/>
      <c r="U220" s="60"/>
      <c r="CN220" s="13" t="str">
        <f t="shared" si="3565"/>
        <v>InitUnitState('IF04',,,,,,,,,,)</v>
      </c>
      <c r="CO220" s="13" t="str">
        <f t="shared" si="3566"/>
        <v>InitUnitNormal('IF04',,,,,,,,,,)</v>
      </c>
      <c r="CP220" s="13" t="str">
        <f t="shared" si="3567"/>
        <v>InitUnitMagic('IF04',,,,,,,,,,)</v>
      </c>
      <c r="CQ220" s="13" t="str">
        <f t="shared" si="3568"/>
        <v>InitUnitAdd('IF04',,,,,,,,,,)</v>
      </c>
      <c r="CR220" s="13" t="str">
        <f t="shared" si="3569"/>
        <v>InitEquipData('IF04',,"",,,,,'','','','','','',"")</v>
      </c>
      <c r="CU220" s="72" t="str">
        <f t="shared" si="3570"/>
        <v>|n</v>
      </c>
      <c r="CW220" s="7"/>
      <c r="CX220" s="7"/>
      <c r="CY220" s="7"/>
      <c r="CZ220" s="7"/>
      <c r="DA220" s="7"/>
      <c r="DB220" s="44" t="str">
        <f t="shared" si="3571"/>
        <v/>
      </c>
      <c r="DC220" s="44" t="str">
        <f t="shared" si="3572"/>
        <v/>
      </c>
      <c r="DD220" s="44" t="str">
        <f t="shared" si="3573"/>
        <v/>
      </c>
      <c r="DE220" s="44" t="str">
        <f t="shared" si="3574"/>
        <v/>
      </c>
      <c r="DF220" s="44" t="str">
        <f t="shared" si="3575"/>
        <v/>
      </c>
      <c r="DG220" s="44" t="str">
        <f t="shared" si="3576"/>
        <v/>
      </c>
      <c r="DH220" s="44" t="str">
        <f t="shared" si="3577"/>
        <v/>
      </c>
      <c r="DI220" s="44" t="str">
        <f t="shared" si="3578"/>
        <v/>
      </c>
      <c r="DJ220" s="44" t="str">
        <f t="shared" si="3579"/>
        <v/>
      </c>
      <c r="DK220" s="44" t="str">
        <f t="shared" si="3580"/>
        <v/>
      </c>
      <c r="DL220" s="44" t="str">
        <f t="shared" si="3581"/>
        <v/>
      </c>
      <c r="DM220" s="44" t="str">
        <f t="shared" si="3582"/>
        <v/>
      </c>
      <c r="DN220" s="44" t="str">
        <f t="shared" si="3583"/>
        <v/>
      </c>
      <c r="DO220" s="44" t="str">
        <f t="shared" si="3584"/>
        <v/>
      </c>
      <c r="DP220" s="44" t="str">
        <f t="shared" si="3585"/>
        <v/>
      </c>
      <c r="DQ220" s="44" t="str">
        <f t="shared" si="3586"/>
        <v/>
      </c>
      <c r="DR220" s="44" t="str">
        <f t="shared" si="3587"/>
        <v/>
      </c>
      <c r="DS220" s="44" t="str">
        <f t="shared" si="3588"/>
        <v/>
      </c>
      <c r="DT220" s="44" t="str">
        <f t="shared" si="3589"/>
        <v/>
      </c>
      <c r="DU220" s="44" t="str">
        <f t="shared" si="3590"/>
        <v/>
      </c>
      <c r="DV220" s="44" t="str">
        <f t="shared" si="3591"/>
        <v/>
      </c>
      <c r="DW220" s="44" t="str">
        <f t="shared" si="3592"/>
        <v/>
      </c>
      <c r="DX220" s="44" t="str">
        <f t="shared" si="3593"/>
        <v/>
      </c>
      <c r="DY220" s="44" t="str">
        <f t="shared" si="3594"/>
        <v/>
      </c>
      <c r="DZ220" s="44" t="str">
        <f t="shared" si="3595"/>
        <v/>
      </c>
      <c r="EA220" s="44" t="str">
        <f t="shared" si="3596"/>
        <v/>
      </c>
      <c r="EB220" s="44" t="str">
        <f t="shared" si="3597"/>
        <v/>
      </c>
      <c r="EC220" s="44" t="str">
        <f t="shared" si="3598"/>
        <v/>
      </c>
      <c r="ED220" s="44" t="str">
        <f t="shared" si="3599"/>
        <v/>
      </c>
      <c r="EE220" s="44" t="str">
        <f t="shared" si="3600"/>
        <v/>
      </c>
      <c r="EF220" s="44" t="str">
        <f t="shared" si="3601"/>
        <v/>
      </c>
      <c r="EG220" s="44" t="str">
        <f t="shared" si="3602"/>
        <v/>
      </c>
      <c r="EH220" s="44" t="str">
        <f t="shared" si="3603"/>
        <v/>
      </c>
      <c r="EI220" s="44" t="str">
        <f t="shared" si="3604"/>
        <v/>
      </c>
      <c r="EJ220" s="44" t="str">
        <f t="shared" si="3605"/>
        <v/>
      </c>
      <c r="EK220" s="44" t="str">
        <f t="shared" si="3606"/>
        <v/>
      </c>
      <c r="EL220" s="44" t="str">
        <f t="shared" si="3607"/>
        <v/>
      </c>
      <c r="EM220" s="44" t="str">
        <f t="shared" si="3608"/>
        <v/>
      </c>
      <c r="EN220" s="44" t="str">
        <f t="shared" si="3609"/>
        <v/>
      </c>
      <c r="EO220" s="44" t="str">
        <f t="shared" si="3610"/>
        <v/>
      </c>
      <c r="EP220" s="44" t="str">
        <f t="shared" si="3611"/>
        <v/>
      </c>
      <c r="EQ220" s="44" t="str">
        <f t="shared" si="3612"/>
        <v/>
      </c>
      <c r="ER220" s="44" t="str">
        <f t="shared" si="3613"/>
        <v/>
      </c>
      <c r="ES220" s="44" t="str">
        <f t="shared" si="3614"/>
        <v/>
      </c>
      <c r="ET220" s="44" t="str">
        <f t="shared" si="3615"/>
        <v/>
      </c>
      <c r="EU220" s="44" t="str">
        <f t="shared" si="3616"/>
        <v/>
      </c>
      <c r="EV220" s="44" t="str">
        <f t="shared" si="3617"/>
        <v/>
      </c>
      <c r="EW220" s="44" t="str">
        <f t="shared" si="3618"/>
        <v/>
      </c>
      <c r="EX220" s="44" t="str">
        <f t="shared" si="3619"/>
        <v/>
      </c>
      <c r="EY220" s="44" t="str">
        <f t="shared" si="3620"/>
        <v/>
      </c>
      <c r="EZ220" s="44" t="str">
        <f t="shared" si="3621"/>
        <v/>
      </c>
      <c r="FA220" s="44" t="str">
        <f t="shared" si="3622"/>
        <v/>
      </c>
      <c r="FB220" s="44" t="str">
        <f t="shared" si="3623"/>
        <v/>
      </c>
      <c r="FC220" s="44" t="str">
        <f t="shared" si="3624"/>
        <v/>
      </c>
      <c r="FD220" s="44" t="str">
        <f t="shared" si="3625"/>
        <v/>
      </c>
      <c r="FE220" s="44" t="str">
        <f t="shared" si="3626"/>
        <v/>
      </c>
      <c r="FF220" s="44" t="str">
        <f t="shared" si="3627"/>
        <v/>
      </c>
      <c r="FG220" s="44" t="str">
        <f t="shared" si="3628"/>
        <v/>
      </c>
      <c r="FH220" s="44" t="str">
        <f t="shared" si="3629"/>
        <v/>
      </c>
      <c r="FI220" s="44" t="str">
        <f t="shared" si="3630"/>
        <v/>
      </c>
      <c r="FJ220" s="44" t="str">
        <f t="shared" si="3631"/>
        <v/>
      </c>
      <c r="FK220" s="44" t="str">
        <f t="shared" si="3632"/>
        <v/>
      </c>
      <c r="FL220" s="44" t="str">
        <f t="shared" si="3633"/>
        <v/>
      </c>
      <c r="FM220" s="44" t="str">
        <f t="shared" si="3634"/>
        <v/>
      </c>
      <c r="FN220" s="44" t="str">
        <f t="shared" si="3635"/>
        <v/>
      </c>
      <c r="FO220" s="44" t="str">
        <f t="shared" si="3636"/>
        <v/>
      </c>
      <c r="FP220" s="44" t="str">
        <f t="shared" si="3637"/>
        <v/>
      </c>
      <c r="FQ220" s="44" t="str">
        <f t="shared" si="3638"/>
        <v/>
      </c>
      <c r="FR220" s="44" t="str">
        <f t="shared" si="3639"/>
        <v/>
      </c>
      <c r="FS220" s="44" t="str">
        <f t="shared" si="3640"/>
        <v/>
      </c>
    </row>
    <row r="221" ht="15" spans="1:175">
      <c r="A221" s="101"/>
      <c r="B221" s="8" t="s">
        <v>702</v>
      </c>
      <c r="C221" s="6" t="s">
        <v>116</v>
      </c>
      <c r="T221" s="107"/>
      <c r="U221" s="60"/>
      <c r="CN221" s="13" t="str">
        <f t="shared" si="3565"/>
        <v>InitUnitState('IF05',,,,,,,,,,)</v>
      </c>
      <c r="CO221" s="13" t="str">
        <f t="shared" si="3566"/>
        <v>InitUnitNormal('IF05',,,,,,,,,,)</v>
      </c>
      <c r="CP221" s="13" t="str">
        <f t="shared" si="3567"/>
        <v>InitUnitMagic('IF05',,,,,,,,,,)</v>
      </c>
      <c r="CQ221" s="13" t="str">
        <f t="shared" si="3568"/>
        <v>InitUnitAdd('IF05',,,,,,,,,,)</v>
      </c>
      <c r="CR221" s="13" t="str">
        <f t="shared" si="3569"/>
        <v>InitEquipData('IF05',,"",,,,,'','','','','','',"")</v>
      </c>
      <c r="CU221" s="72" t="str">
        <f t="shared" si="3570"/>
        <v>|n</v>
      </c>
      <c r="CW221" s="7"/>
      <c r="CX221" s="7"/>
      <c r="CY221" s="7"/>
      <c r="CZ221" s="7"/>
      <c r="DA221" s="7"/>
      <c r="DB221" s="44" t="str">
        <f t="shared" si="3571"/>
        <v/>
      </c>
      <c r="DC221" s="44" t="str">
        <f t="shared" si="3572"/>
        <v/>
      </c>
      <c r="DD221" s="44" t="str">
        <f t="shared" si="3573"/>
        <v/>
      </c>
      <c r="DE221" s="44" t="str">
        <f t="shared" si="3574"/>
        <v/>
      </c>
      <c r="DF221" s="44" t="str">
        <f t="shared" si="3575"/>
        <v/>
      </c>
      <c r="DG221" s="44" t="str">
        <f t="shared" si="3576"/>
        <v/>
      </c>
      <c r="DH221" s="44" t="str">
        <f t="shared" si="3577"/>
        <v/>
      </c>
      <c r="DI221" s="44" t="str">
        <f t="shared" si="3578"/>
        <v/>
      </c>
      <c r="DJ221" s="44" t="str">
        <f t="shared" si="3579"/>
        <v/>
      </c>
      <c r="DK221" s="44" t="str">
        <f t="shared" si="3580"/>
        <v/>
      </c>
      <c r="DL221" s="44" t="str">
        <f t="shared" si="3581"/>
        <v/>
      </c>
      <c r="DM221" s="44" t="str">
        <f t="shared" si="3582"/>
        <v/>
      </c>
      <c r="DN221" s="44" t="str">
        <f t="shared" si="3583"/>
        <v/>
      </c>
      <c r="DO221" s="44" t="str">
        <f t="shared" si="3584"/>
        <v/>
      </c>
      <c r="DP221" s="44" t="str">
        <f t="shared" si="3585"/>
        <v/>
      </c>
      <c r="DQ221" s="44" t="str">
        <f t="shared" si="3586"/>
        <v/>
      </c>
      <c r="DR221" s="44" t="str">
        <f t="shared" si="3587"/>
        <v/>
      </c>
      <c r="DS221" s="44" t="str">
        <f t="shared" si="3588"/>
        <v/>
      </c>
      <c r="DT221" s="44" t="str">
        <f t="shared" si="3589"/>
        <v/>
      </c>
      <c r="DU221" s="44" t="str">
        <f t="shared" si="3590"/>
        <v/>
      </c>
      <c r="DV221" s="44" t="str">
        <f t="shared" si="3591"/>
        <v/>
      </c>
      <c r="DW221" s="44" t="str">
        <f t="shared" si="3592"/>
        <v/>
      </c>
      <c r="DX221" s="44" t="str">
        <f t="shared" si="3593"/>
        <v/>
      </c>
      <c r="DY221" s="44" t="str">
        <f t="shared" si="3594"/>
        <v/>
      </c>
      <c r="DZ221" s="44" t="str">
        <f t="shared" si="3595"/>
        <v/>
      </c>
      <c r="EA221" s="44" t="str">
        <f t="shared" si="3596"/>
        <v/>
      </c>
      <c r="EB221" s="44" t="str">
        <f t="shared" si="3597"/>
        <v/>
      </c>
      <c r="EC221" s="44" t="str">
        <f t="shared" si="3598"/>
        <v/>
      </c>
      <c r="ED221" s="44" t="str">
        <f t="shared" si="3599"/>
        <v/>
      </c>
      <c r="EE221" s="44" t="str">
        <f t="shared" si="3600"/>
        <v/>
      </c>
      <c r="EF221" s="44" t="str">
        <f t="shared" si="3601"/>
        <v/>
      </c>
      <c r="EG221" s="44" t="str">
        <f t="shared" si="3602"/>
        <v/>
      </c>
      <c r="EH221" s="44" t="str">
        <f t="shared" si="3603"/>
        <v/>
      </c>
      <c r="EI221" s="44" t="str">
        <f t="shared" si="3604"/>
        <v/>
      </c>
      <c r="EJ221" s="44" t="str">
        <f t="shared" si="3605"/>
        <v/>
      </c>
      <c r="EK221" s="44" t="str">
        <f t="shared" si="3606"/>
        <v/>
      </c>
      <c r="EL221" s="44" t="str">
        <f t="shared" si="3607"/>
        <v/>
      </c>
      <c r="EM221" s="44" t="str">
        <f t="shared" si="3608"/>
        <v/>
      </c>
      <c r="EN221" s="44" t="str">
        <f t="shared" si="3609"/>
        <v/>
      </c>
      <c r="EO221" s="44" t="str">
        <f t="shared" si="3610"/>
        <v/>
      </c>
      <c r="EP221" s="44" t="str">
        <f t="shared" si="3611"/>
        <v/>
      </c>
      <c r="EQ221" s="44" t="str">
        <f t="shared" si="3612"/>
        <v/>
      </c>
      <c r="ER221" s="44" t="str">
        <f t="shared" si="3613"/>
        <v/>
      </c>
      <c r="ES221" s="44" t="str">
        <f t="shared" si="3614"/>
        <v/>
      </c>
      <c r="ET221" s="44" t="str">
        <f t="shared" si="3615"/>
        <v/>
      </c>
      <c r="EU221" s="44" t="str">
        <f t="shared" si="3616"/>
        <v/>
      </c>
      <c r="EV221" s="44" t="str">
        <f t="shared" si="3617"/>
        <v/>
      </c>
      <c r="EW221" s="44" t="str">
        <f t="shared" si="3618"/>
        <v/>
      </c>
      <c r="EX221" s="44" t="str">
        <f t="shared" si="3619"/>
        <v/>
      </c>
      <c r="EY221" s="44" t="str">
        <f t="shared" si="3620"/>
        <v/>
      </c>
      <c r="EZ221" s="44" t="str">
        <f t="shared" si="3621"/>
        <v/>
      </c>
      <c r="FA221" s="44" t="str">
        <f t="shared" si="3622"/>
        <v/>
      </c>
      <c r="FB221" s="44" t="str">
        <f t="shared" si="3623"/>
        <v/>
      </c>
      <c r="FC221" s="44" t="str">
        <f t="shared" si="3624"/>
        <v/>
      </c>
      <c r="FD221" s="44" t="str">
        <f t="shared" si="3625"/>
        <v/>
      </c>
      <c r="FE221" s="44" t="str">
        <f t="shared" si="3626"/>
        <v/>
      </c>
      <c r="FF221" s="44" t="str">
        <f t="shared" si="3627"/>
        <v/>
      </c>
      <c r="FG221" s="44" t="str">
        <f t="shared" si="3628"/>
        <v/>
      </c>
      <c r="FH221" s="44" t="str">
        <f t="shared" si="3629"/>
        <v/>
      </c>
      <c r="FI221" s="44" t="str">
        <f t="shared" si="3630"/>
        <v/>
      </c>
      <c r="FJ221" s="44" t="str">
        <f t="shared" si="3631"/>
        <v/>
      </c>
      <c r="FK221" s="44" t="str">
        <f t="shared" si="3632"/>
        <v/>
      </c>
      <c r="FL221" s="44" t="str">
        <f t="shared" si="3633"/>
        <v/>
      </c>
      <c r="FM221" s="44" t="str">
        <f t="shared" si="3634"/>
        <v/>
      </c>
      <c r="FN221" s="44" t="str">
        <f t="shared" si="3635"/>
        <v/>
      </c>
      <c r="FO221" s="44" t="str">
        <f t="shared" si="3636"/>
        <v/>
      </c>
      <c r="FP221" s="44" t="str">
        <f t="shared" si="3637"/>
        <v/>
      </c>
      <c r="FQ221" s="44" t="str">
        <f t="shared" si="3638"/>
        <v/>
      </c>
      <c r="FR221" s="44" t="str">
        <f t="shared" si="3639"/>
        <v/>
      </c>
      <c r="FS221" s="44" t="str">
        <f t="shared" si="3640"/>
        <v/>
      </c>
    </row>
    <row r="222" ht="15" spans="1:175">
      <c r="A222" s="101"/>
      <c r="B222" s="8" t="s">
        <v>703</v>
      </c>
      <c r="C222" s="6" t="s">
        <v>699</v>
      </c>
      <c r="T222" s="107"/>
      <c r="U222" s="60"/>
      <c r="CN222" s="13" t="str">
        <f t="shared" si="3565"/>
        <v>InitUnitState('IF06',,,,,,,,,,)</v>
      </c>
      <c r="CO222" s="13" t="str">
        <f t="shared" si="3566"/>
        <v>InitUnitNormal('IF06',,,,,,,,,,)</v>
      </c>
      <c r="CP222" s="13" t="str">
        <f t="shared" si="3567"/>
        <v>InitUnitMagic('IF06',,,,,,,,,,)</v>
      </c>
      <c r="CQ222" s="13" t="str">
        <f t="shared" si="3568"/>
        <v>InitUnitAdd('IF06',,,,,,,,,,)</v>
      </c>
      <c r="CR222" s="13" t="str">
        <f t="shared" si="3569"/>
        <v>InitEquipData('IF06',,"",,,,,'','','','','','',"")</v>
      </c>
      <c r="CU222" s="72" t="str">
        <f t="shared" si="3570"/>
        <v>|n</v>
      </c>
      <c r="CW222" s="7"/>
      <c r="CX222" s="7"/>
      <c r="CY222" s="7"/>
      <c r="CZ222" s="7"/>
      <c r="DA222" s="7"/>
      <c r="DB222" s="44" t="str">
        <f t="shared" si="3571"/>
        <v/>
      </c>
      <c r="DC222" s="44" t="str">
        <f t="shared" si="3572"/>
        <v/>
      </c>
      <c r="DD222" s="44" t="str">
        <f t="shared" si="3573"/>
        <v/>
      </c>
      <c r="DE222" s="44" t="str">
        <f t="shared" si="3574"/>
        <v/>
      </c>
      <c r="DF222" s="44" t="str">
        <f t="shared" si="3575"/>
        <v/>
      </c>
      <c r="DG222" s="44" t="str">
        <f t="shared" si="3576"/>
        <v/>
      </c>
      <c r="DH222" s="44" t="str">
        <f t="shared" si="3577"/>
        <v/>
      </c>
      <c r="DI222" s="44" t="str">
        <f t="shared" si="3578"/>
        <v/>
      </c>
      <c r="DJ222" s="44" t="str">
        <f t="shared" si="3579"/>
        <v/>
      </c>
      <c r="DK222" s="44" t="str">
        <f t="shared" si="3580"/>
        <v/>
      </c>
      <c r="DL222" s="44" t="str">
        <f t="shared" si="3581"/>
        <v/>
      </c>
      <c r="DM222" s="44" t="str">
        <f t="shared" si="3582"/>
        <v/>
      </c>
      <c r="DN222" s="44" t="str">
        <f t="shared" si="3583"/>
        <v/>
      </c>
      <c r="DO222" s="44" t="str">
        <f t="shared" si="3584"/>
        <v/>
      </c>
      <c r="DP222" s="44" t="str">
        <f t="shared" si="3585"/>
        <v/>
      </c>
      <c r="DQ222" s="44" t="str">
        <f t="shared" si="3586"/>
        <v/>
      </c>
      <c r="DR222" s="44" t="str">
        <f t="shared" si="3587"/>
        <v/>
      </c>
      <c r="DS222" s="44" t="str">
        <f t="shared" si="3588"/>
        <v/>
      </c>
      <c r="DT222" s="44" t="str">
        <f t="shared" si="3589"/>
        <v/>
      </c>
      <c r="DU222" s="44" t="str">
        <f t="shared" si="3590"/>
        <v/>
      </c>
      <c r="DV222" s="44" t="str">
        <f t="shared" si="3591"/>
        <v/>
      </c>
      <c r="DW222" s="44" t="str">
        <f t="shared" si="3592"/>
        <v/>
      </c>
      <c r="DX222" s="44" t="str">
        <f t="shared" si="3593"/>
        <v/>
      </c>
      <c r="DY222" s="44" t="str">
        <f t="shared" si="3594"/>
        <v/>
      </c>
      <c r="DZ222" s="44" t="str">
        <f t="shared" si="3595"/>
        <v/>
      </c>
      <c r="EA222" s="44" t="str">
        <f t="shared" si="3596"/>
        <v/>
      </c>
      <c r="EB222" s="44" t="str">
        <f t="shared" si="3597"/>
        <v/>
      </c>
      <c r="EC222" s="44" t="str">
        <f t="shared" si="3598"/>
        <v/>
      </c>
      <c r="ED222" s="44" t="str">
        <f t="shared" si="3599"/>
        <v/>
      </c>
      <c r="EE222" s="44" t="str">
        <f t="shared" si="3600"/>
        <v/>
      </c>
      <c r="EF222" s="44" t="str">
        <f t="shared" si="3601"/>
        <v/>
      </c>
      <c r="EG222" s="44" t="str">
        <f t="shared" si="3602"/>
        <v/>
      </c>
      <c r="EH222" s="44" t="str">
        <f t="shared" si="3603"/>
        <v/>
      </c>
      <c r="EI222" s="44" t="str">
        <f t="shared" si="3604"/>
        <v/>
      </c>
      <c r="EJ222" s="44" t="str">
        <f t="shared" si="3605"/>
        <v/>
      </c>
      <c r="EK222" s="44" t="str">
        <f t="shared" si="3606"/>
        <v/>
      </c>
      <c r="EL222" s="44" t="str">
        <f t="shared" si="3607"/>
        <v/>
      </c>
      <c r="EM222" s="44" t="str">
        <f t="shared" si="3608"/>
        <v/>
      </c>
      <c r="EN222" s="44" t="str">
        <f t="shared" si="3609"/>
        <v/>
      </c>
      <c r="EO222" s="44" t="str">
        <f t="shared" si="3610"/>
        <v/>
      </c>
      <c r="EP222" s="44" t="str">
        <f t="shared" si="3611"/>
        <v/>
      </c>
      <c r="EQ222" s="44" t="str">
        <f t="shared" si="3612"/>
        <v/>
      </c>
      <c r="ER222" s="44" t="str">
        <f t="shared" si="3613"/>
        <v/>
      </c>
      <c r="ES222" s="44" t="str">
        <f t="shared" si="3614"/>
        <v/>
      </c>
      <c r="ET222" s="44" t="str">
        <f t="shared" si="3615"/>
        <v/>
      </c>
      <c r="EU222" s="44" t="str">
        <f t="shared" si="3616"/>
        <v/>
      </c>
      <c r="EV222" s="44" t="str">
        <f t="shared" si="3617"/>
        <v/>
      </c>
      <c r="EW222" s="44" t="str">
        <f t="shared" si="3618"/>
        <v/>
      </c>
      <c r="EX222" s="44" t="str">
        <f t="shared" si="3619"/>
        <v/>
      </c>
      <c r="EY222" s="44" t="str">
        <f t="shared" si="3620"/>
        <v/>
      </c>
      <c r="EZ222" s="44" t="str">
        <f t="shared" si="3621"/>
        <v/>
      </c>
      <c r="FA222" s="44" t="str">
        <f t="shared" si="3622"/>
        <v/>
      </c>
      <c r="FB222" s="44" t="str">
        <f t="shared" si="3623"/>
        <v/>
      </c>
      <c r="FC222" s="44" t="str">
        <f t="shared" si="3624"/>
        <v/>
      </c>
      <c r="FD222" s="44" t="str">
        <f t="shared" si="3625"/>
        <v/>
      </c>
      <c r="FE222" s="44" t="str">
        <f t="shared" si="3626"/>
        <v/>
      </c>
      <c r="FF222" s="44" t="str">
        <f t="shared" si="3627"/>
        <v/>
      </c>
      <c r="FG222" s="44" t="str">
        <f t="shared" si="3628"/>
        <v/>
      </c>
      <c r="FH222" s="44" t="str">
        <f t="shared" si="3629"/>
        <v/>
      </c>
      <c r="FI222" s="44" t="str">
        <f t="shared" si="3630"/>
        <v/>
      </c>
      <c r="FJ222" s="44" t="str">
        <f t="shared" si="3631"/>
        <v/>
      </c>
      <c r="FK222" s="44" t="str">
        <f t="shared" si="3632"/>
        <v/>
      </c>
      <c r="FL222" s="44" t="str">
        <f t="shared" si="3633"/>
        <v/>
      </c>
      <c r="FM222" s="44" t="str">
        <f t="shared" si="3634"/>
        <v/>
      </c>
      <c r="FN222" s="44" t="str">
        <f t="shared" si="3635"/>
        <v/>
      </c>
      <c r="FO222" s="44" t="str">
        <f t="shared" si="3636"/>
        <v/>
      </c>
      <c r="FP222" s="44" t="str">
        <f t="shared" si="3637"/>
        <v/>
      </c>
      <c r="FQ222" s="44" t="str">
        <f t="shared" si="3638"/>
        <v/>
      </c>
      <c r="FR222" s="44" t="str">
        <f t="shared" si="3639"/>
        <v/>
      </c>
      <c r="FS222" s="44" t="str">
        <f t="shared" si="3640"/>
        <v/>
      </c>
    </row>
    <row r="223" ht="15" spans="1:175">
      <c r="A223" s="101"/>
      <c r="B223" s="8" t="s">
        <v>704</v>
      </c>
      <c r="C223" s="6" t="s">
        <v>116</v>
      </c>
      <c r="T223" s="107"/>
      <c r="U223" s="60"/>
      <c r="CN223" s="13" t="str">
        <f t="shared" si="3565"/>
        <v>InitUnitState('IF07',,,,,,,,,,)</v>
      </c>
      <c r="CO223" s="13" t="str">
        <f t="shared" si="3566"/>
        <v>InitUnitNormal('IF07',,,,,,,,,,)</v>
      </c>
      <c r="CP223" s="13" t="str">
        <f t="shared" si="3567"/>
        <v>InitUnitMagic('IF07',,,,,,,,,,)</v>
      </c>
      <c r="CQ223" s="13" t="str">
        <f t="shared" si="3568"/>
        <v>InitUnitAdd('IF07',,,,,,,,,,)</v>
      </c>
      <c r="CR223" s="13" t="str">
        <f t="shared" si="3569"/>
        <v>InitEquipData('IF07',,"",,,,,'','','','','','',"")</v>
      </c>
      <c r="CU223" s="72" t="str">
        <f t="shared" si="3570"/>
        <v>|n</v>
      </c>
      <c r="CW223" s="7"/>
      <c r="CX223" s="7"/>
      <c r="CY223" s="7"/>
      <c r="CZ223" s="7"/>
      <c r="DA223" s="7"/>
      <c r="DB223" s="44" t="str">
        <f t="shared" si="3571"/>
        <v/>
      </c>
      <c r="DC223" s="44" t="str">
        <f t="shared" si="3572"/>
        <v/>
      </c>
      <c r="DD223" s="44" t="str">
        <f t="shared" si="3573"/>
        <v/>
      </c>
      <c r="DE223" s="44" t="str">
        <f t="shared" si="3574"/>
        <v/>
      </c>
      <c r="DF223" s="44" t="str">
        <f t="shared" si="3575"/>
        <v/>
      </c>
      <c r="DG223" s="44" t="str">
        <f t="shared" si="3576"/>
        <v/>
      </c>
      <c r="DH223" s="44" t="str">
        <f t="shared" si="3577"/>
        <v/>
      </c>
      <c r="DI223" s="44" t="str">
        <f t="shared" si="3578"/>
        <v/>
      </c>
      <c r="DJ223" s="44" t="str">
        <f t="shared" si="3579"/>
        <v/>
      </c>
      <c r="DK223" s="44" t="str">
        <f t="shared" si="3580"/>
        <v/>
      </c>
      <c r="DL223" s="44" t="str">
        <f t="shared" si="3581"/>
        <v/>
      </c>
      <c r="DM223" s="44" t="str">
        <f t="shared" si="3582"/>
        <v/>
      </c>
      <c r="DN223" s="44" t="str">
        <f t="shared" si="3583"/>
        <v/>
      </c>
      <c r="DO223" s="44" t="str">
        <f t="shared" si="3584"/>
        <v/>
      </c>
      <c r="DP223" s="44" t="str">
        <f t="shared" si="3585"/>
        <v/>
      </c>
      <c r="DQ223" s="44" t="str">
        <f t="shared" si="3586"/>
        <v/>
      </c>
      <c r="DR223" s="44" t="str">
        <f t="shared" si="3587"/>
        <v/>
      </c>
      <c r="DS223" s="44" t="str">
        <f t="shared" si="3588"/>
        <v/>
      </c>
      <c r="DT223" s="44" t="str">
        <f t="shared" si="3589"/>
        <v/>
      </c>
      <c r="DU223" s="44" t="str">
        <f t="shared" si="3590"/>
        <v/>
      </c>
      <c r="DV223" s="44" t="str">
        <f t="shared" si="3591"/>
        <v/>
      </c>
      <c r="DW223" s="44" t="str">
        <f t="shared" si="3592"/>
        <v/>
      </c>
      <c r="DX223" s="44" t="str">
        <f t="shared" si="3593"/>
        <v/>
      </c>
      <c r="DY223" s="44" t="str">
        <f t="shared" si="3594"/>
        <v/>
      </c>
      <c r="DZ223" s="44" t="str">
        <f t="shared" si="3595"/>
        <v/>
      </c>
      <c r="EA223" s="44" t="str">
        <f t="shared" si="3596"/>
        <v/>
      </c>
      <c r="EB223" s="44" t="str">
        <f t="shared" si="3597"/>
        <v/>
      </c>
      <c r="EC223" s="44" t="str">
        <f t="shared" si="3598"/>
        <v/>
      </c>
      <c r="ED223" s="44" t="str">
        <f t="shared" si="3599"/>
        <v/>
      </c>
      <c r="EE223" s="44" t="str">
        <f t="shared" si="3600"/>
        <v/>
      </c>
      <c r="EF223" s="44" t="str">
        <f t="shared" si="3601"/>
        <v/>
      </c>
      <c r="EG223" s="44" t="str">
        <f t="shared" si="3602"/>
        <v/>
      </c>
      <c r="EH223" s="44" t="str">
        <f t="shared" si="3603"/>
        <v/>
      </c>
      <c r="EI223" s="44" t="str">
        <f t="shared" si="3604"/>
        <v/>
      </c>
      <c r="EJ223" s="44" t="str">
        <f t="shared" si="3605"/>
        <v/>
      </c>
      <c r="EK223" s="44" t="str">
        <f t="shared" si="3606"/>
        <v/>
      </c>
      <c r="EL223" s="44" t="str">
        <f t="shared" si="3607"/>
        <v/>
      </c>
      <c r="EM223" s="44" t="str">
        <f t="shared" si="3608"/>
        <v/>
      </c>
      <c r="EN223" s="44" t="str">
        <f t="shared" si="3609"/>
        <v/>
      </c>
      <c r="EO223" s="44" t="str">
        <f t="shared" si="3610"/>
        <v/>
      </c>
      <c r="EP223" s="44" t="str">
        <f t="shared" si="3611"/>
        <v/>
      </c>
      <c r="EQ223" s="44" t="str">
        <f t="shared" si="3612"/>
        <v/>
      </c>
      <c r="ER223" s="44" t="str">
        <f t="shared" si="3613"/>
        <v/>
      </c>
      <c r="ES223" s="44" t="str">
        <f t="shared" si="3614"/>
        <v/>
      </c>
      <c r="ET223" s="44" t="str">
        <f t="shared" si="3615"/>
        <v/>
      </c>
      <c r="EU223" s="44" t="str">
        <f t="shared" si="3616"/>
        <v/>
      </c>
      <c r="EV223" s="44" t="str">
        <f t="shared" si="3617"/>
        <v/>
      </c>
      <c r="EW223" s="44" t="str">
        <f t="shared" si="3618"/>
        <v/>
      </c>
      <c r="EX223" s="44" t="str">
        <f t="shared" si="3619"/>
        <v/>
      </c>
      <c r="EY223" s="44" t="str">
        <f t="shared" si="3620"/>
        <v/>
      </c>
      <c r="EZ223" s="44" t="str">
        <f t="shared" si="3621"/>
        <v/>
      </c>
      <c r="FA223" s="44" t="str">
        <f t="shared" si="3622"/>
        <v/>
      </c>
      <c r="FB223" s="44" t="str">
        <f t="shared" si="3623"/>
        <v/>
      </c>
      <c r="FC223" s="44" t="str">
        <f t="shared" si="3624"/>
        <v/>
      </c>
      <c r="FD223" s="44" t="str">
        <f t="shared" si="3625"/>
        <v/>
      </c>
      <c r="FE223" s="44" t="str">
        <f t="shared" si="3626"/>
        <v/>
      </c>
      <c r="FF223" s="44" t="str">
        <f t="shared" si="3627"/>
        <v/>
      </c>
      <c r="FG223" s="44" t="str">
        <f t="shared" si="3628"/>
        <v/>
      </c>
      <c r="FH223" s="44" t="str">
        <f t="shared" si="3629"/>
        <v/>
      </c>
      <c r="FI223" s="44" t="str">
        <f t="shared" si="3630"/>
        <v/>
      </c>
      <c r="FJ223" s="44" t="str">
        <f t="shared" si="3631"/>
        <v/>
      </c>
      <c r="FK223" s="44" t="str">
        <f t="shared" si="3632"/>
        <v/>
      </c>
      <c r="FL223" s="44" t="str">
        <f t="shared" si="3633"/>
        <v/>
      </c>
      <c r="FM223" s="44" t="str">
        <f t="shared" si="3634"/>
        <v/>
      </c>
      <c r="FN223" s="44" t="str">
        <f t="shared" si="3635"/>
        <v/>
      </c>
      <c r="FO223" s="44" t="str">
        <f t="shared" si="3636"/>
        <v/>
      </c>
      <c r="FP223" s="44" t="str">
        <f t="shared" si="3637"/>
        <v/>
      </c>
      <c r="FQ223" s="44" t="str">
        <f t="shared" si="3638"/>
        <v/>
      </c>
      <c r="FR223" s="44" t="str">
        <f t="shared" si="3639"/>
        <v/>
      </c>
      <c r="FS223" s="44" t="str">
        <f t="shared" si="3640"/>
        <v/>
      </c>
    </row>
    <row r="224" ht="15" spans="1:175">
      <c r="A224" s="101"/>
      <c r="B224" s="8" t="s">
        <v>705</v>
      </c>
      <c r="C224" s="6" t="s">
        <v>699</v>
      </c>
      <c r="T224" s="107"/>
      <c r="U224" s="60"/>
      <c r="CN224" s="13" t="str">
        <f t="shared" si="3565"/>
        <v>InitUnitState('IF08',,,,,,,,,,)</v>
      </c>
      <c r="CO224" s="13" t="str">
        <f t="shared" si="3566"/>
        <v>InitUnitNormal('IF08',,,,,,,,,,)</v>
      </c>
      <c r="CP224" s="13" t="str">
        <f t="shared" si="3567"/>
        <v>InitUnitMagic('IF08',,,,,,,,,,)</v>
      </c>
      <c r="CQ224" s="13" t="str">
        <f t="shared" si="3568"/>
        <v>InitUnitAdd('IF08',,,,,,,,,,)</v>
      </c>
      <c r="CR224" s="13" t="str">
        <f t="shared" si="3569"/>
        <v>InitEquipData('IF08',,"",,,,,'','','','','','',"")</v>
      </c>
      <c r="CU224" s="72" t="str">
        <f t="shared" si="3570"/>
        <v>|n</v>
      </c>
      <c r="CW224" s="7"/>
      <c r="CX224" s="7"/>
      <c r="CY224" s="7"/>
      <c r="CZ224" s="7"/>
      <c r="DA224" s="7"/>
      <c r="DB224" s="44" t="str">
        <f t="shared" si="3571"/>
        <v/>
      </c>
      <c r="DC224" s="44" t="str">
        <f t="shared" si="3572"/>
        <v/>
      </c>
      <c r="DD224" s="44" t="str">
        <f t="shared" si="3573"/>
        <v/>
      </c>
      <c r="DE224" s="44" t="str">
        <f t="shared" si="3574"/>
        <v/>
      </c>
      <c r="DF224" s="44" t="str">
        <f t="shared" si="3575"/>
        <v/>
      </c>
      <c r="DG224" s="44" t="str">
        <f t="shared" si="3576"/>
        <v/>
      </c>
      <c r="DH224" s="44" t="str">
        <f t="shared" si="3577"/>
        <v/>
      </c>
      <c r="DI224" s="44" t="str">
        <f t="shared" si="3578"/>
        <v/>
      </c>
      <c r="DJ224" s="44" t="str">
        <f t="shared" si="3579"/>
        <v/>
      </c>
      <c r="DK224" s="44" t="str">
        <f t="shared" si="3580"/>
        <v/>
      </c>
      <c r="DL224" s="44" t="str">
        <f t="shared" si="3581"/>
        <v/>
      </c>
      <c r="DM224" s="44" t="str">
        <f t="shared" si="3582"/>
        <v/>
      </c>
      <c r="DN224" s="44" t="str">
        <f t="shared" si="3583"/>
        <v/>
      </c>
      <c r="DO224" s="44" t="str">
        <f t="shared" si="3584"/>
        <v/>
      </c>
      <c r="DP224" s="44" t="str">
        <f t="shared" si="3585"/>
        <v/>
      </c>
      <c r="DQ224" s="44" t="str">
        <f t="shared" si="3586"/>
        <v/>
      </c>
      <c r="DR224" s="44" t="str">
        <f t="shared" si="3587"/>
        <v/>
      </c>
      <c r="DS224" s="44" t="str">
        <f t="shared" si="3588"/>
        <v/>
      </c>
      <c r="DT224" s="44" t="str">
        <f t="shared" si="3589"/>
        <v/>
      </c>
      <c r="DU224" s="44" t="str">
        <f t="shared" si="3590"/>
        <v/>
      </c>
      <c r="DV224" s="44" t="str">
        <f t="shared" si="3591"/>
        <v/>
      </c>
      <c r="DW224" s="44" t="str">
        <f t="shared" si="3592"/>
        <v/>
      </c>
      <c r="DX224" s="44" t="str">
        <f t="shared" si="3593"/>
        <v/>
      </c>
      <c r="DY224" s="44" t="str">
        <f t="shared" si="3594"/>
        <v/>
      </c>
      <c r="DZ224" s="44" t="str">
        <f t="shared" si="3595"/>
        <v/>
      </c>
      <c r="EA224" s="44" t="str">
        <f t="shared" si="3596"/>
        <v/>
      </c>
      <c r="EB224" s="44" t="str">
        <f t="shared" si="3597"/>
        <v/>
      </c>
      <c r="EC224" s="44" t="str">
        <f t="shared" si="3598"/>
        <v/>
      </c>
      <c r="ED224" s="44" t="str">
        <f t="shared" si="3599"/>
        <v/>
      </c>
      <c r="EE224" s="44" t="str">
        <f t="shared" si="3600"/>
        <v/>
      </c>
      <c r="EF224" s="44" t="str">
        <f t="shared" si="3601"/>
        <v/>
      </c>
      <c r="EG224" s="44" t="str">
        <f t="shared" si="3602"/>
        <v/>
      </c>
      <c r="EH224" s="44" t="str">
        <f t="shared" si="3603"/>
        <v/>
      </c>
      <c r="EI224" s="44" t="str">
        <f t="shared" si="3604"/>
        <v/>
      </c>
      <c r="EJ224" s="44" t="str">
        <f t="shared" si="3605"/>
        <v/>
      </c>
      <c r="EK224" s="44" t="str">
        <f t="shared" si="3606"/>
        <v/>
      </c>
      <c r="EL224" s="44" t="str">
        <f t="shared" si="3607"/>
        <v/>
      </c>
      <c r="EM224" s="44" t="str">
        <f t="shared" si="3608"/>
        <v/>
      </c>
      <c r="EN224" s="44" t="str">
        <f t="shared" si="3609"/>
        <v/>
      </c>
      <c r="EO224" s="44" t="str">
        <f t="shared" si="3610"/>
        <v/>
      </c>
      <c r="EP224" s="44" t="str">
        <f t="shared" si="3611"/>
        <v/>
      </c>
      <c r="EQ224" s="44" t="str">
        <f t="shared" si="3612"/>
        <v/>
      </c>
      <c r="ER224" s="44" t="str">
        <f t="shared" si="3613"/>
        <v/>
      </c>
      <c r="ES224" s="44" t="str">
        <f t="shared" si="3614"/>
        <v/>
      </c>
      <c r="ET224" s="44" t="str">
        <f t="shared" si="3615"/>
        <v/>
      </c>
      <c r="EU224" s="44" t="str">
        <f t="shared" si="3616"/>
        <v/>
      </c>
      <c r="EV224" s="44" t="str">
        <f t="shared" si="3617"/>
        <v/>
      </c>
      <c r="EW224" s="44" t="str">
        <f t="shared" si="3618"/>
        <v/>
      </c>
      <c r="EX224" s="44" t="str">
        <f t="shared" si="3619"/>
        <v/>
      </c>
      <c r="EY224" s="44" t="str">
        <f t="shared" si="3620"/>
        <v/>
      </c>
      <c r="EZ224" s="44" t="str">
        <f t="shared" si="3621"/>
        <v/>
      </c>
      <c r="FA224" s="44" t="str">
        <f t="shared" si="3622"/>
        <v/>
      </c>
      <c r="FB224" s="44" t="str">
        <f t="shared" si="3623"/>
        <v/>
      </c>
      <c r="FC224" s="44" t="str">
        <f t="shared" si="3624"/>
        <v/>
      </c>
      <c r="FD224" s="44" t="str">
        <f t="shared" si="3625"/>
        <v/>
      </c>
      <c r="FE224" s="44" t="str">
        <f t="shared" si="3626"/>
        <v/>
      </c>
      <c r="FF224" s="44" t="str">
        <f t="shared" si="3627"/>
        <v/>
      </c>
      <c r="FG224" s="44" t="str">
        <f t="shared" si="3628"/>
        <v/>
      </c>
      <c r="FH224" s="44" t="str">
        <f t="shared" si="3629"/>
        <v/>
      </c>
      <c r="FI224" s="44" t="str">
        <f t="shared" si="3630"/>
        <v/>
      </c>
      <c r="FJ224" s="44" t="str">
        <f t="shared" si="3631"/>
        <v/>
      </c>
      <c r="FK224" s="44" t="str">
        <f t="shared" si="3632"/>
        <v/>
      </c>
      <c r="FL224" s="44" t="str">
        <f t="shared" si="3633"/>
        <v/>
      </c>
      <c r="FM224" s="44" t="str">
        <f t="shared" si="3634"/>
        <v/>
      </c>
      <c r="FN224" s="44" t="str">
        <f t="shared" si="3635"/>
        <v/>
      </c>
      <c r="FO224" s="44" t="str">
        <f t="shared" si="3636"/>
        <v/>
      </c>
      <c r="FP224" s="44" t="str">
        <f t="shared" si="3637"/>
        <v/>
      </c>
      <c r="FQ224" s="44" t="str">
        <f t="shared" si="3638"/>
        <v/>
      </c>
      <c r="FR224" s="44" t="str">
        <f t="shared" si="3639"/>
        <v/>
      </c>
      <c r="FS224" s="44" t="str">
        <f t="shared" si="3640"/>
        <v/>
      </c>
    </row>
    <row r="225" ht="15" spans="1:175">
      <c r="A225" s="101"/>
      <c r="B225" s="8" t="s">
        <v>706</v>
      </c>
      <c r="C225" s="6" t="s">
        <v>116</v>
      </c>
      <c r="T225" s="107"/>
      <c r="U225" s="60"/>
      <c r="CN225" s="13" t="str">
        <f t="shared" si="3565"/>
        <v>InitUnitState('IF09',,,,,,,,,,)</v>
      </c>
      <c r="CO225" s="13" t="str">
        <f t="shared" si="3566"/>
        <v>InitUnitNormal('IF09',,,,,,,,,,)</v>
      </c>
      <c r="CP225" s="13" t="str">
        <f t="shared" si="3567"/>
        <v>InitUnitMagic('IF09',,,,,,,,,,)</v>
      </c>
      <c r="CQ225" s="13" t="str">
        <f t="shared" si="3568"/>
        <v>InitUnitAdd('IF09',,,,,,,,,,)</v>
      </c>
      <c r="CR225" s="13" t="str">
        <f t="shared" si="3569"/>
        <v>InitEquipData('IF09',,"",,,,,'','','','','','',"")</v>
      </c>
      <c r="CU225" s="72" t="str">
        <f t="shared" si="3570"/>
        <v>|n</v>
      </c>
      <c r="CW225" s="7"/>
      <c r="CX225" s="7"/>
      <c r="CY225" s="7"/>
      <c r="CZ225" s="7"/>
      <c r="DA225" s="7"/>
      <c r="DB225" s="44" t="str">
        <f t="shared" si="3571"/>
        <v/>
      </c>
      <c r="DC225" s="44" t="str">
        <f t="shared" si="3572"/>
        <v/>
      </c>
      <c r="DD225" s="44" t="str">
        <f t="shared" si="3573"/>
        <v/>
      </c>
      <c r="DE225" s="44" t="str">
        <f t="shared" si="3574"/>
        <v/>
      </c>
      <c r="DF225" s="44" t="str">
        <f t="shared" si="3575"/>
        <v/>
      </c>
      <c r="DG225" s="44" t="str">
        <f t="shared" si="3576"/>
        <v/>
      </c>
      <c r="DH225" s="44" t="str">
        <f t="shared" si="3577"/>
        <v/>
      </c>
      <c r="DI225" s="44" t="str">
        <f t="shared" si="3578"/>
        <v/>
      </c>
      <c r="DJ225" s="44" t="str">
        <f t="shared" si="3579"/>
        <v/>
      </c>
      <c r="DK225" s="44" t="str">
        <f t="shared" si="3580"/>
        <v/>
      </c>
      <c r="DL225" s="44" t="str">
        <f t="shared" si="3581"/>
        <v/>
      </c>
      <c r="DM225" s="44" t="str">
        <f t="shared" si="3582"/>
        <v/>
      </c>
      <c r="DN225" s="44" t="str">
        <f t="shared" si="3583"/>
        <v/>
      </c>
      <c r="DO225" s="44" t="str">
        <f t="shared" si="3584"/>
        <v/>
      </c>
      <c r="DP225" s="44" t="str">
        <f t="shared" si="3585"/>
        <v/>
      </c>
      <c r="DQ225" s="44" t="str">
        <f t="shared" si="3586"/>
        <v/>
      </c>
      <c r="DR225" s="44" t="str">
        <f t="shared" si="3587"/>
        <v/>
      </c>
      <c r="DS225" s="44" t="str">
        <f t="shared" si="3588"/>
        <v/>
      </c>
      <c r="DT225" s="44" t="str">
        <f t="shared" si="3589"/>
        <v/>
      </c>
      <c r="DU225" s="44" t="str">
        <f t="shared" si="3590"/>
        <v/>
      </c>
      <c r="DV225" s="44" t="str">
        <f t="shared" si="3591"/>
        <v/>
      </c>
      <c r="DW225" s="44" t="str">
        <f t="shared" si="3592"/>
        <v/>
      </c>
      <c r="DX225" s="44" t="str">
        <f t="shared" si="3593"/>
        <v/>
      </c>
      <c r="DY225" s="44" t="str">
        <f t="shared" si="3594"/>
        <v/>
      </c>
      <c r="DZ225" s="44" t="str">
        <f t="shared" si="3595"/>
        <v/>
      </c>
      <c r="EA225" s="44" t="str">
        <f t="shared" si="3596"/>
        <v/>
      </c>
      <c r="EB225" s="44" t="str">
        <f t="shared" si="3597"/>
        <v/>
      </c>
      <c r="EC225" s="44" t="str">
        <f t="shared" si="3598"/>
        <v/>
      </c>
      <c r="ED225" s="44" t="str">
        <f t="shared" si="3599"/>
        <v/>
      </c>
      <c r="EE225" s="44" t="str">
        <f t="shared" si="3600"/>
        <v/>
      </c>
      <c r="EF225" s="44" t="str">
        <f t="shared" si="3601"/>
        <v/>
      </c>
      <c r="EG225" s="44" t="str">
        <f t="shared" si="3602"/>
        <v/>
      </c>
      <c r="EH225" s="44" t="str">
        <f t="shared" si="3603"/>
        <v/>
      </c>
      <c r="EI225" s="44" t="str">
        <f t="shared" si="3604"/>
        <v/>
      </c>
      <c r="EJ225" s="44" t="str">
        <f t="shared" si="3605"/>
        <v/>
      </c>
      <c r="EK225" s="44" t="str">
        <f t="shared" si="3606"/>
        <v/>
      </c>
      <c r="EL225" s="44" t="str">
        <f t="shared" si="3607"/>
        <v/>
      </c>
      <c r="EM225" s="44" t="str">
        <f t="shared" si="3608"/>
        <v/>
      </c>
      <c r="EN225" s="44" t="str">
        <f t="shared" si="3609"/>
        <v/>
      </c>
      <c r="EO225" s="44" t="str">
        <f t="shared" si="3610"/>
        <v/>
      </c>
      <c r="EP225" s="44" t="str">
        <f t="shared" si="3611"/>
        <v/>
      </c>
      <c r="EQ225" s="44" t="str">
        <f t="shared" si="3612"/>
        <v/>
      </c>
      <c r="ER225" s="44" t="str">
        <f t="shared" si="3613"/>
        <v/>
      </c>
      <c r="ES225" s="44" t="str">
        <f t="shared" si="3614"/>
        <v/>
      </c>
      <c r="ET225" s="44" t="str">
        <f t="shared" si="3615"/>
        <v/>
      </c>
      <c r="EU225" s="44" t="str">
        <f t="shared" si="3616"/>
        <v/>
      </c>
      <c r="EV225" s="44" t="str">
        <f t="shared" si="3617"/>
        <v/>
      </c>
      <c r="EW225" s="44" t="str">
        <f t="shared" si="3618"/>
        <v/>
      </c>
      <c r="EX225" s="44" t="str">
        <f t="shared" si="3619"/>
        <v/>
      </c>
      <c r="EY225" s="44" t="str">
        <f t="shared" si="3620"/>
        <v/>
      </c>
      <c r="EZ225" s="44" t="str">
        <f t="shared" si="3621"/>
        <v/>
      </c>
      <c r="FA225" s="44" t="str">
        <f t="shared" si="3622"/>
        <v/>
      </c>
      <c r="FB225" s="44" t="str">
        <f t="shared" si="3623"/>
        <v/>
      </c>
      <c r="FC225" s="44" t="str">
        <f t="shared" si="3624"/>
        <v/>
      </c>
      <c r="FD225" s="44" t="str">
        <f t="shared" si="3625"/>
        <v/>
      </c>
      <c r="FE225" s="44" t="str">
        <f t="shared" si="3626"/>
        <v/>
      </c>
      <c r="FF225" s="44" t="str">
        <f t="shared" si="3627"/>
        <v/>
      </c>
      <c r="FG225" s="44" t="str">
        <f t="shared" si="3628"/>
        <v/>
      </c>
      <c r="FH225" s="44" t="str">
        <f t="shared" si="3629"/>
        <v/>
      </c>
      <c r="FI225" s="44" t="str">
        <f t="shared" si="3630"/>
        <v/>
      </c>
      <c r="FJ225" s="44" t="str">
        <f t="shared" si="3631"/>
        <v/>
      </c>
      <c r="FK225" s="44" t="str">
        <f t="shared" si="3632"/>
        <v/>
      </c>
      <c r="FL225" s="44" t="str">
        <f t="shared" si="3633"/>
        <v/>
      </c>
      <c r="FM225" s="44" t="str">
        <f t="shared" si="3634"/>
        <v/>
      </c>
      <c r="FN225" s="44" t="str">
        <f t="shared" si="3635"/>
        <v/>
      </c>
      <c r="FO225" s="44" t="str">
        <f t="shared" si="3636"/>
        <v/>
      </c>
      <c r="FP225" s="44" t="str">
        <f t="shared" si="3637"/>
        <v/>
      </c>
      <c r="FQ225" s="44" t="str">
        <f t="shared" si="3638"/>
        <v/>
      </c>
      <c r="FR225" s="44" t="str">
        <f t="shared" si="3639"/>
        <v/>
      </c>
      <c r="FS225" s="44" t="str">
        <f t="shared" si="3640"/>
        <v/>
      </c>
    </row>
    <row r="226" ht="15" spans="1:175">
      <c r="A226" s="101"/>
      <c r="B226" s="8" t="s">
        <v>707</v>
      </c>
      <c r="C226" s="6" t="s">
        <v>699</v>
      </c>
      <c r="T226" s="107"/>
      <c r="U226" s="60"/>
      <c r="CN226" s="13" t="str">
        <f t="shared" si="3565"/>
        <v>InitUnitState('IF10',,,,,,,,,,)</v>
      </c>
      <c r="CO226" s="13" t="str">
        <f t="shared" si="3566"/>
        <v>InitUnitNormal('IF10',,,,,,,,,,)</v>
      </c>
      <c r="CP226" s="13" t="str">
        <f t="shared" si="3567"/>
        <v>InitUnitMagic('IF10',,,,,,,,,,)</v>
      </c>
      <c r="CQ226" s="13" t="str">
        <f t="shared" si="3568"/>
        <v>InitUnitAdd('IF10',,,,,,,,,,)</v>
      </c>
      <c r="CR226" s="13" t="str">
        <f t="shared" si="3569"/>
        <v>InitEquipData('IF10',,"",,,,,'','','','','','',"")</v>
      </c>
      <c r="CU226" s="72" t="str">
        <f t="shared" si="3570"/>
        <v>|n</v>
      </c>
      <c r="CW226" s="7"/>
      <c r="CX226" s="7"/>
      <c r="CY226" s="7"/>
      <c r="CZ226" s="7"/>
      <c r="DA226" s="7"/>
      <c r="DB226" s="44" t="str">
        <f t="shared" si="3571"/>
        <v/>
      </c>
      <c r="DC226" s="44" t="str">
        <f t="shared" si="3572"/>
        <v/>
      </c>
      <c r="DD226" s="44" t="str">
        <f t="shared" si="3573"/>
        <v/>
      </c>
      <c r="DE226" s="44" t="str">
        <f t="shared" si="3574"/>
        <v/>
      </c>
      <c r="DF226" s="44" t="str">
        <f t="shared" si="3575"/>
        <v/>
      </c>
      <c r="DG226" s="44" t="str">
        <f t="shared" si="3576"/>
        <v/>
      </c>
      <c r="DH226" s="44" t="str">
        <f t="shared" si="3577"/>
        <v/>
      </c>
      <c r="DI226" s="44" t="str">
        <f t="shared" si="3578"/>
        <v/>
      </c>
      <c r="DJ226" s="44" t="str">
        <f t="shared" si="3579"/>
        <v/>
      </c>
      <c r="DK226" s="44" t="str">
        <f t="shared" si="3580"/>
        <v/>
      </c>
      <c r="DL226" s="44" t="str">
        <f t="shared" si="3581"/>
        <v/>
      </c>
      <c r="DM226" s="44" t="str">
        <f t="shared" si="3582"/>
        <v/>
      </c>
      <c r="DN226" s="44" t="str">
        <f t="shared" si="3583"/>
        <v/>
      </c>
      <c r="DO226" s="44" t="str">
        <f t="shared" si="3584"/>
        <v/>
      </c>
      <c r="DP226" s="44" t="str">
        <f t="shared" si="3585"/>
        <v/>
      </c>
      <c r="DQ226" s="44" t="str">
        <f t="shared" si="3586"/>
        <v/>
      </c>
      <c r="DR226" s="44" t="str">
        <f t="shared" si="3587"/>
        <v/>
      </c>
      <c r="DS226" s="44" t="str">
        <f t="shared" si="3588"/>
        <v/>
      </c>
      <c r="DT226" s="44" t="str">
        <f t="shared" si="3589"/>
        <v/>
      </c>
      <c r="DU226" s="44" t="str">
        <f t="shared" si="3590"/>
        <v/>
      </c>
      <c r="DV226" s="44" t="str">
        <f t="shared" si="3591"/>
        <v/>
      </c>
      <c r="DW226" s="44" t="str">
        <f t="shared" si="3592"/>
        <v/>
      </c>
      <c r="DX226" s="44" t="str">
        <f t="shared" si="3593"/>
        <v/>
      </c>
      <c r="DY226" s="44" t="str">
        <f t="shared" si="3594"/>
        <v/>
      </c>
      <c r="DZ226" s="44" t="str">
        <f t="shared" si="3595"/>
        <v/>
      </c>
      <c r="EA226" s="44" t="str">
        <f t="shared" si="3596"/>
        <v/>
      </c>
      <c r="EB226" s="44" t="str">
        <f t="shared" si="3597"/>
        <v/>
      </c>
      <c r="EC226" s="44" t="str">
        <f t="shared" si="3598"/>
        <v/>
      </c>
      <c r="ED226" s="44" t="str">
        <f t="shared" si="3599"/>
        <v/>
      </c>
      <c r="EE226" s="44" t="str">
        <f t="shared" si="3600"/>
        <v/>
      </c>
      <c r="EF226" s="44" t="str">
        <f t="shared" si="3601"/>
        <v/>
      </c>
      <c r="EG226" s="44" t="str">
        <f t="shared" si="3602"/>
        <v/>
      </c>
      <c r="EH226" s="44" t="str">
        <f t="shared" si="3603"/>
        <v/>
      </c>
      <c r="EI226" s="44" t="str">
        <f t="shared" si="3604"/>
        <v/>
      </c>
      <c r="EJ226" s="44" t="str">
        <f t="shared" si="3605"/>
        <v/>
      </c>
      <c r="EK226" s="44" t="str">
        <f t="shared" si="3606"/>
        <v/>
      </c>
      <c r="EL226" s="44" t="str">
        <f t="shared" si="3607"/>
        <v/>
      </c>
      <c r="EM226" s="44" t="str">
        <f t="shared" si="3608"/>
        <v/>
      </c>
      <c r="EN226" s="44" t="str">
        <f t="shared" si="3609"/>
        <v/>
      </c>
      <c r="EO226" s="44" t="str">
        <f t="shared" si="3610"/>
        <v/>
      </c>
      <c r="EP226" s="44" t="str">
        <f t="shared" si="3611"/>
        <v/>
      </c>
      <c r="EQ226" s="44" t="str">
        <f t="shared" si="3612"/>
        <v/>
      </c>
      <c r="ER226" s="44" t="str">
        <f t="shared" si="3613"/>
        <v/>
      </c>
      <c r="ES226" s="44" t="str">
        <f t="shared" si="3614"/>
        <v/>
      </c>
      <c r="ET226" s="44" t="str">
        <f t="shared" si="3615"/>
        <v/>
      </c>
      <c r="EU226" s="44" t="str">
        <f t="shared" si="3616"/>
        <v/>
      </c>
      <c r="EV226" s="44" t="str">
        <f t="shared" si="3617"/>
        <v/>
      </c>
      <c r="EW226" s="44" t="str">
        <f t="shared" si="3618"/>
        <v/>
      </c>
      <c r="EX226" s="44" t="str">
        <f t="shared" si="3619"/>
        <v/>
      </c>
      <c r="EY226" s="44" t="str">
        <f t="shared" si="3620"/>
        <v/>
      </c>
      <c r="EZ226" s="44" t="str">
        <f t="shared" si="3621"/>
        <v/>
      </c>
      <c r="FA226" s="44" t="str">
        <f t="shared" si="3622"/>
        <v/>
      </c>
      <c r="FB226" s="44" t="str">
        <f t="shared" si="3623"/>
        <v/>
      </c>
      <c r="FC226" s="44" t="str">
        <f t="shared" si="3624"/>
        <v/>
      </c>
      <c r="FD226" s="44" t="str">
        <f t="shared" si="3625"/>
        <v/>
      </c>
      <c r="FE226" s="44" t="str">
        <f t="shared" si="3626"/>
        <v/>
      </c>
      <c r="FF226" s="44" t="str">
        <f t="shared" si="3627"/>
        <v/>
      </c>
      <c r="FG226" s="44" t="str">
        <f t="shared" si="3628"/>
        <v/>
      </c>
      <c r="FH226" s="44" t="str">
        <f t="shared" si="3629"/>
        <v/>
      </c>
      <c r="FI226" s="44" t="str">
        <f t="shared" si="3630"/>
        <v/>
      </c>
      <c r="FJ226" s="44" t="str">
        <f t="shared" si="3631"/>
        <v/>
      </c>
      <c r="FK226" s="44" t="str">
        <f t="shared" si="3632"/>
        <v/>
      </c>
      <c r="FL226" s="44" t="str">
        <f t="shared" si="3633"/>
        <v/>
      </c>
      <c r="FM226" s="44" t="str">
        <f t="shared" si="3634"/>
        <v/>
      </c>
      <c r="FN226" s="44" t="str">
        <f t="shared" si="3635"/>
        <v/>
      </c>
      <c r="FO226" s="44" t="str">
        <f t="shared" si="3636"/>
        <v/>
      </c>
      <c r="FP226" s="44" t="str">
        <f t="shared" si="3637"/>
        <v/>
      </c>
      <c r="FQ226" s="44" t="str">
        <f t="shared" si="3638"/>
        <v/>
      </c>
      <c r="FR226" s="44" t="str">
        <f t="shared" si="3639"/>
        <v/>
      </c>
      <c r="FS226" s="44" t="str">
        <f t="shared" si="3640"/>
        <v/>
      </c>
    </row>
    <row r="227" ht="15" spans="1:175">
      <c r="A227" s="101"/>
      <c r="B227" s="8" t="s">
        <v>708</v>
      </c>
      <c r="C227" s="6" t="s">
        <v>709</v>
      </c>
      <c r="T227" s="107"/>
      <c r="U227" s="60"/>
      <c r="CN227" s="13" t="str">
        <f t="shared" si="3565"/>
        <v>InitUnitState('IF11',,,,,,,,,,)</v>
      </c>
      <c r="CO227" s="13" t="str">
        <f t="shared" si="3566"/>
        <v>InitUnitNormal('IF11',,,,,,,,,,)</v>
      </c>
      <c r="CP227" s="13" t="str">
        <f t="shared" si="3567"/>
        <v>InitUnitMagic('IF11',,,,,,,,,,)</v>
      </c>
      <c r="CQ227" s="13" t="str">
        <f t="shared" si="3568"/>
        <v>InitUnitAdd('IF11',,,,,,,,,,)</v>
      </c>
      <c r="CR227" s="13" t="str">
        <f t="shared" si="3569"/>
        <v>InitEquipData('IF11',,"",,,,,'','','','','','',"")</v>
      </c>
      <c r="CU227" s="72" t="str">
        <f t="shared" si="3570"/>
        <v>|n</v>
      </c>
      <c r="CW227" s="7"/>
      <c r="CX227" s="7"/>
      <c r="CY227" s="7"/>
      <c r="CZ227" s="7"/>
      <c r="DA227" s="7"/>
      <c r="DB227" s="44" t="str">
        <f t="shared" si="3571"/>
        <v/>
      </c>
      <c r="DC227" s="44" t="str">
        <f t="shared" si="3572"/>
        <v/>
      </c>
      <c r="DD227" s="44" t="str">
        <f t="shared" si="3573"/>
        <v/>
      </c>
      <c r="DE227" s="44" t="str">
        <f t="shared" si="3574"/>
        <v/>
      </c>
      <c r="DF227" s="44" t="str">
        <f t="shared" si="3575"/>
        <v/>
      </c>
      <c r="DG227" s="44" t="str">
        <f t="shared" si="3576"/>
        <v/>
      </c>
      <c r="DH227" s="44" t="str">
        <f t="shared" si="3577"/>
        <v/>
      </c>
      <c r="DI227" s="44" t="str">
        <f t="shared" si="3578"/>
        <v/>
      </c>
      <c r="DJ227" s="44" t="str">
        <f t="shared" si="3579"/>
        <v/>
      </c>
      <c r="DK227" s="44" t="str">
        <f t="shared" si="3580"/>
        <v/>
      </c>
      <c r="DL227" s="44" t="str">
        <f t="shared" si="3581"/>
        <v/>
      </c>
      <c r="DM227" s="44" t="str">
        <f t="shared" si="3582"/>
        <v/>
      </c>
      <c r="DN227" s="44" t="str">
        <f t="shared" si="3583"/>
        <v/>
      </c>
      <c r="DO227" s="44" t="str">
        <f t="shared" si="3584"/>
        <v/>
      </c>
      <c r="DP227" s="44" t="str">
        <f t="shared" si="3585"/>
        <v/>
      </c>
      <c r="DQ227" s="44" t="str">
        <f t="shared" si="3586"/>
        <v/>
      </c>
      <c r="DR227" s="44" t="str">
        <f t="shared" si="3587"/>
        <v/>
      </c>
      <c r="DS227" s="44" t="str">
        <f t="shared" si="3588"/>
        <v/>
      </c>
      <c r="DT227" s="44" t="str">
        <f t="shared" si="3589"/>
        <v/>
      </c>
      <c r="DU227" s="44" t="str">
        <f t="shared" si="3590"/>
        <v/>
      </c>
      <c r="DV227" s="44" t="str">
        <f t="shared" si="3591"/>
        <v/>
      </c>
      <c r="DW227" s="44" t="str">
        <f t="shared" si="3592"/>
        <v/>
      </c>
      <c r="DX227" s="44" t="str">
        <f t="shared" si="3593"/>
        <v/>
      </c>
      <c r="DY227" s="44" t="str">
        <f t="shared" si="3594"/>
        <v/>
      </c>
      <c r="DZ227" s="44" t="str">
        <f t="shared" si="3595"/>
        <v/>
      </c>
      <c r="EA227" s="44" t="str">
        <f t="shared" si="3596"/>
        <v/>
      </c>
      <c r="EB227" s="44" t="str">
        <f t="shared" si="3597"/>
        <v/>
      </c>
      <c r="EC227" s="44" t="str">
        <f t="shared" si="3598"/>
        <v/>
      </c>
      <c r="ED227" s="44" t="str">
        <f t="shared" si="3599"/>
        <v/>
      </c>
      <c r="EE227" s="44" t="str">
        <f t="shared" si="3600"/>
        <v/>
      </c>
      <c r="EF227" s="44" t="str">
        <f t="shared" si="3601"/>
        <v/>
      </c>
      <c r="EG227" s="44" t="str">
        <f t="shared" si="3602"/>
        <v/>
      </c>
      <c r="EH227" s="44" t="str">
        <f t="shared" si="3603"/>
        <v/>
      </c>
      <c r="EI227" s="44" t="str">
        <f t="shared" si="3604"/>
        <v/>
      </c>
      <c r="EJ227" s="44" t="str">
        <f t="shared" si="3605"/>
        <v/>
      </c>
      <c r="EK227" s="44" t="str">
        <f t="shared" si="3606"/>
        <v/>
      </c>
      <c r="EL227" s="44" t="str">
        <f t="shared" si="3607"/>
        <v/>
      </c>
      <c r="EM227" s="44" t="str">
        <f t="shared" si="3608"/>
        <v/>
      </c>
      <c r="EN227" s="44" t="str">
        <f t="shared" si="3609"/>
        <v/>
      </c>
      <c r="EO227" s="44" t="str">
        <f t="shared" si="3610"/>
        <v/>
      </c>
      <c r="EP227" s="44" t="str">
        <f t="shared" si="3611"/>
        <v/>
      </c>
      <c r="EQ227" s="44" t="str">
        <f t="shared" si="3612"/>
        <v/>
      </c>
      <c r="ER227" s="44" t="str">
        <f t="shared" si="3613"/>
        <v/>
      </c>
      <c r="ES227" s="44" t="str">
        <f t="shared" si="3614"/>
        <v/>
      </c>
      <c r="ET227" s="44" t="str">
        <f t="shared" si="3615"/>
        <v/>
      </c>
      <c r="EU227" s="44" t="str">
        <f t="shared" si="3616"/>
        <v/>
      </c>
      <c r="EV227" s="44" t="str">
        <f t="shared" si="3617"/>
        <v/>
      </c>
      <c r="EW227" s="44" t="str">
        <f t="shared" si="3618"/>
        <v/>
      </c>
      <c r="EX227" s="44" t="str">
        <f t="shared" si="3619"/>
        <v/>
      </c>
      <c r="EY227" s="44" t="str">
        <f t="shared" si="3620"/>
        <v/>
      </c>
      <c r="EZ227" s="44" t="str">
        <f t="shared" si="3621"/>
        <v/>
      </c>
      <c r="FA227" s="44" t="str">
        <f t="shared" si="3622"/>
        <v/>
      </c>
      <c r="FB227" s="44" t="str">
        <f t="shared" si="3623"/>
        <v/>
      </c>
      <c r="FC227" s="44" t="str">
        <f t="shared" si="3624"/>
        <v/>
      </c>
      <c r="FD227" s="44" t="str">
        <f t="shared" si="3625"/>
        <v/>
      </c>
      <c r="FE227" s="44" t="str">
        <f t="shared" si="3626"/>
        <v/>
      </c>
      <c r="FF227" s="44" t="str">
        <f t="shared" si="3627"/>
        <v/>
      </c>
      <c r="FG227" s="44" t="str">
        <f t="shared" si="3628"/>
        <v/>
      </c>
      <c r="FH227" s="44" t="str">
        <f t="shared" si="3629"/>
        <v/>
      </c>
      <c r="FI227" s="44" t="str">
        <f t="shared" si="3630"/>
        <v/>
      </c>
      <c r="FJ227" s="44" t="str">
        <f t="shared" si="3631"/>
        <v/>
      </c>
      <c r="FK227" s="44" t="str">
        <f t="shared" si="3632"/>
        <v/>
      </c>
      <c r="FL227" s="44" t="str">
        <f t="shared" si="3633"/>
        <v/>
      </c>
      <c r="FM227" s="44" t="str">
        <f t="shared" si="3634"/>
        <v/>
      </c>
      <c r="FN227" s="44" t="str">
        <f t="shared" si="3635"/>
        <v/>
      </c>
      <c r="FO227" s="44" t="str">
        <f t="shared" si="3636"/>
        <v/>
      </c>
      <c r="FP227" s="44" t="str">
        <f t="shared" si="3637"/>
        <v/>
      </c>
      <c r="FQ227" s="44" t="str">
        <f t="shared" si="3638"/>
        <v/>
      </c>
      <c r="FR227" s="44" t="str">
        <f t="shared" si="3639"/>
        <v/>
      </c>
      <c r="FS227" s="44" t="str">
        <f t="shared" si="3640"/>
        <v/>
      </c>
    </row>
    <row r="228" ht="15" spans="1:175">
      <c r="A228" s="100"/>
      <c r="B228" s="8" t="s">
        <v>710</v>
      </c>
      <c r="C228" s="6" t="s">
        <v>133</v>
      </c>
      <c r="T228" s="108"/>
      <c r="U228" s="60"/>
      <c r="CN228" s="13" t="str">
        <f t="shared" si="3565"/>
        <v>InitUnitState('IF12',,,,,,,,,,)</v>
      </c>
      <c r="CO228" s="13" t="str">
        <f t="shared" si="3566"/>
        <v>InitUnitNormal('IF12',,,,,,,,,,)</v>
      </c>
      <c r="CP228" s="13" t="str">
        <f t="shared" si="3567"/>
        <v>InitUnitMagic('IF12',,,,,,,,,,)</v>
      </c>
      <c r="CQ228" s="13" t="str">
        <f t="shared" si="3568"/>
        <v>InitUnitAdd('IF12',,,,,,,,,,)</v>
      </c>
      <c r="CR228" s="13" t="str">
        <f t="shared" si="3569"/>
        <v>InitEquipData('IF12',,"",,,,,'','','','','','',"")</v>
      </c>
      <c r="CU228" s="72" t="str">
        <f t="shared" si="3570"/>
        <v>|n</v>
      </c>
      <c r="CW228" s="7"/>
      <c r="CX228" s="7"/>
      <c r="CY228" s="7"/>
      <c r="CZ228" s="7"/>
      <c r="DA228" s="7"/>
      <c r="DB228" s="44" t="str">
        <f t="shared" si="3571"/>
        <v/>
      </c>
      <c r="DC228" s="44" t="str">
        <f t="shared" si="3572"/>
        <v/>
      </c>
      <c r="DD228" s="44" t="str">
        <f t="shared" si="3573"/>
        <v/>
      </c>
      <c r="DE228" s="44" t="str">
        <f t="shared" si="3574"/>
        <v/>
      </c>
      <c r="DF228" s="44" t="str">
        <f t="shared" si="3575"/>
        <v/>
      </c>
      <c r="DG228" s="44" t="str">
        <f t="shared" si="3576"/>
        <v/>
      </c>
      <c r="DH228" s="44" t="str">
        <f t="shared" si="3577"/>
        <v/>
      </c>
      <c r="DI228" s="44" t="str">
        <f t="shared" si="3578"/>
        <v/>
      </c>
      <c r="DJ228" s="44" t="str">
        <f t="shared" si="3579"/>
        <v/>
      </c>
      <c r="DK228" s="44" t="str">
        <f t="shared" si="3580"/>
        <v/>
      </c>
      <c r="DL228" s="44" t="str">
        <f t="shared" si="3581"/>
        <v/>
      </c>
      <c r="DM228" s="44" t="str">
        <f t="shared" si="3582"/>
        <v/>
      </c>
      <c r="DN228" s="44" t="str">
        <f t="shared" si="3583"/>
        <v/>
      </c>
      <c r="DO228" s="44" t="str">
        <f t="shared" si="3584"/>
        <v/>
      </c>
      <c r="DP228" s="44" t="str">
        <f t="shared" si="3585"/>
        <v/>
      </c>
      <c r="DQ228" s="44" t="str">
        <f t="shared" si="3586"/>
        <v/>
      </c>
      <c r="DR228" s="44" t="str">
        <f t="shared" si="3587"/>
        <v/>
      </c>
      <c r="DS228" s="44" t="str">
        <f t="shared" si="3588"/>
        <v/>
      </c>
      <c r="DT228" s="44" t="str">
        <f t="shared" si="3589"/>
        <v/>
      </c>
      <c r="DU228" s="44" t="str">
        <f t="shared" si="3590"/>
        <v/>
      </c>
      <c r="DV228" s="44" t="str">
        <f t="shared" si="3591"/>
        <v/>
      </c>
      <c r="DW228" s="44" t="str">
        <f t="shared" si="3592"/>
        <v/>
      </c>
      <c r="DX228" s="44" t="str">
        <f t="shared" si="3593"/>
        <v/>
      </c>
      <c r="DY228" s="44" t="str">
        <f t="shared" si="3594"/>
        <v/>
      </c>
      <c r="DZ228" s="44" t="str">
        <f t="shared" si="3595"/>
        <v/>
      </c>
      <c r="EA228" s="44" t="str">
        <f t="shared" si="3596"/>
        <v/>
      </c>
      <c r="EB228" s="44" t="str">
        <f t="shared" si="3597"/>
        <v/>
      </c>
      <c r="EC228" s="44" t="str">
        <f t="shared" si="3598"/>
        <v/>
      </c>
      <c r="ED228" s="44" t="str">
        <f t="shared" si="3599"/>
        <v/>
      </c>
      <c r="EE228" s="44" t="str">
        <f t="shared" si="3600"/>
        <v/>
      </c>
      <c r="EF228" s="44" t="str">
        <f t="shared" si="3601"/>
        <v/>
      </c>
      <c r="EG228" s="44" t="str">
        <f t="shared" si="3602"/>
        <v/>
      </c>
      <c r="EH228" s="44" t="str">
        <f t="shared" si="3603"/>
        <v/>
      </c>
      <c r="EI228" s="44" t="str">
        <f t="shared" si="3604"/>
        <v/>
      </c>
      <c r="EJ228" s="44" t="str">
        <f t="shared" si="3605"/>
        <v/>
      </c>
      <c r="EK228" s="44" t="str">
        <f t="shared" si="3606"/>
        <v/>
      </c>
      <c r="EL228" s="44" t="str">
        <f t="shared" si="3607"/>
        <v/>
      </c>
      <c r="EM228" s="44" t="str">
        <f t="shared" si="3608"/>
        <v/>
      </c>
      <c r="EN228" s="44" t="str">
        <f t="shared" si="3609"/>
        <v/>
      </c>
      <c r="EO228" s="44" t="str">
        <f t="shared" si="3610"/>
        <v/>
      </c>
      <c r="EP228" s="44" t="str">
        <f t="shared" si="3611"/>
        <v/>
      </c>
      <c r="EQ228" s="44" t="str">
        <f t="shared" si="3612"/>
        <v/>
      </c>
      <c r="ER228" s="44" t="str">
        <f t="shared" si="3613"/>
        <v/>
      </c>
      <c r="ES228" s="44" t="str">
        <f t="shared" si="3614"/>
        <v/>
      </c>
      <c r="ET228" s="44" t="str">
        <f t="shared" si="3615"/>
        <v/>
      </c>
      <c r="EU228" s="44" t="str">
        <f t="shared" si="3616"/>
        <v/>
      </c>
      <c r="EV228" s="44" t="str">
        <f t="shared" si="3617"/>
        <v/>
      </c>
      <c r="EW228" s="44" t="str">
        <f t="shared" si="3618"/>
        <v/>
      </c>
      <c r="EX228" s="44" t="str">
        <f t="shared" si="3619"/>
        <v/>
      </c>
      <c r="EY228" s="44" t="str">
        <f t="shared" si="3620"/>
        <v/>
      </c>
      <c r="EZ228" s="44" t="str">
        <f t="shared" si="3621"/>
        <v/>
      </c>
      <c r="FA228" s="44" t="str">
        <f t="shared" si="3622"/>
        <v/>
      </c>
      <c r="FB228" s="44" t="str">
        <f t="shared" si="3623"/>
        <v/>
      </c>
      <c r="FC228" s="44" t="str">
        <f t="shared" si="3624"/>
        <v/>
      </c>
      <c r="FD228" s="44" t="str">
        <f t="shared" si="3625"/>
        <v/>
      </c>
      <c r="FE228" s="44" t="str">
        <f t="shared" si="3626"/>
        <v/>
      </c>
      <c r="FF228" s="44" t="str">
        <f t="shared" si="3627"/>
        <v/>
      </c>
      <c r="FG228" s="44" t="str">
        <f t="shared" si="3628"/>
        <v/>
      </c>
      <c r="FH228" s="44" t="str">
        <f t="shared" si="3629"/>
        <v/>
      </c>
      <c r="FI228" s="44" t="str">
        <f t="shared" si="3630"/>
        <v/>
      </c>
      <c r="FJ228" s="44" t="str">
        <f t="shared" si="3631"/>
        <v/>
      </c>
      <c r="FK228" s="44" t="str">
        <f t="shared" si="3632"/>
        <v/>
      </c>
      <c r="FL228" s="44" t="str">
        <f t="shared" si="3633"/>
        <v/>
      </c>
      <c r="FM228" s="44" t="str">
        <f t="shared" si="3634"/>
        <v/>
      </c>
      <c r="FN228" s="44" t="str">
        <f t="shared" si="3635"/>
        <v/>
      </c>
      <c r="FO228" s="44" t="str">
        <f t="shared" si="3636"/>
        <v/>
      </c>
      <c r="FP228" s="44" t="str">
        <f t="shared" si="3637"/>
        <v/>
      </c>
      <c r="FQ228" s="44" t="str">
        <f t="shared" si="3638"/>
        <v/>
      </c>
      <c r="FR228" s="44" t="str">
        <f t="shared" si="3639"/>
        <v/>
      </c>
      <c r="FS228" s="44" t="str">
        <f t="shared" si="3640"/>
        <v/>
      </c>
    </row>
    <row r="229" ht="15" spans="1:175">
      <c r="A229" s="100"/>
      <c r="B229" s="8" t="s">
        <v>711</v>
      </c>
      <c r="C229" s="6" t="s">
        <v>712</v>
      </c>
      <c r="T229" s="108"/>
      <c r="U229" s="60"/>
      <c r="CN229" s="13" t="str">
        <f t="shared" si="3565"/>
        <v>InitUnitState('IF13',,,,,,,,,,)</v>
      </c>
      <c r="CO229" s="13" t="str">
        <f t="shared" si="3566"/>
        <v>InitUnitNormal('IF13',,,,,,,,,,)</v>
      </c>
      <c r="CP229" s="13" t="str">
        <f t="shared" si="3567"/>
        <v>InitUnitMagic('IF13',,,,,,,,,,)</v>
      </c>
      <c r="CQ229" s="13" t="str">
        <f t="shared" si="3568"/>
        <v>InitUnitAdd('IF13',,,,,,,,,,)</v>
      </c>
      <c r="CR229" s="13" t="str">
        <f t="shared" si="3569"/>
        <v>InitEquipData('IF13',,"",,,,,'','','','','','',"")</v>
      </c>
      <c r="CU229" s="72" t="str">
        <f t="shared" si="3570"/>
        <v>|n</v>
      </c>
      <c r="CW229" s="7"/>
      <c r="CX229" s="7"/>
      <c r="CY229" s="7"/>
      <c r="CZ229" s="7"/>
      <c r="DA229" s="7"/>
      <c r="DB229" s="44" t="str">
        <f t="shared" si="3571"/>
        <v/>
      </c>
      <c r="DC229" s="44" t="str">
        <f t="shared" si="3572"/>
        <v/>
      </c>
      <c r="DD229" s="44" t="str">
        <f t="shared" si="3573"/>
        <v/>
      </c>
      <c r="DE229" s="44" t="str">
        <f t="shared" si="3574"/>
        <v/>
      </c>
      <c r="DF229" s="44" t="str">
        <f t="shared" si="3575"/>
        <v/>
      </c>
      <c r="DG229" s="44" t="str">
        <f t="shared" si="3576"/>
        <v/>
      </c>
      <c r="DH229" s="44" t="str">
        <f t="shared" si="3577"/>
        <v/>
      </c>
      <c r="DI229" s="44" t="str">
        <f t="shared" si="3578"/>
        <v/>
      </c>
      <c r="DJ229" s="44" t="str">
        <f t="shared" si="3579"/>
        <v/>
      </c>
      <c r="DK229" s="44" t="str">
        <f t="shared" si="3580"/>
        <v/>
      </c>
      <c r="DL229" s="44" t="str">
        <f t="shared" si="3581"/>
        <v/>
      </c>
      <c r="DM229" s="44" t="str">
        <f t="shared" si="3582"/>
        <v/>
      </c>
      <c r="DN229" s="44" t="str">
        <f t="shared" si="3583"/>
        <v/>
      </c>
      <c r="DO229" s="44" t="str">
        <f t="shared" si="3584"/>
        <v/>
      </c>
      <c r="DP229" s="44" t="str">
        <f t="shared" si="3585"/>
        <v/>
      </c>
      <c r="DQ229" s="44" t="str">
        <f t="shared" si="3586"/>
        <v/>
      </c>
      <c r="DR229" s="44" t="str">
        <f t="shared" si="3587"/>
        <v/>
      </c>
      <c r="DS229" s="44" t="str">
        <f t="shared" si="3588"/>
        <v/>
      </c>
      <c r="DT229" s="44" t="str">
        <f t="shared" si="3589"/>
        <v/>
      </c>
      <c r="DU229" s="44" t="str">
        <f t="shared" si="3590"/>
        <v/>
      </c>
      <c r="DV229" s="44" t="str">
        <f t="shared" si="3591"/>
        <v/>
      </c>
      <c r="DW229" s="44" t="str">
        <f t="shared" si="3592"/>
        <v/>
      </c>
      <c r="DX229" s="44" t="str">
        <f t="shared" si="3593"/>
        <v/>
      </c>
      <c r="DY229" s="44" t="str">
        <f t="shared" si="3594"/>
        <v/>
      </c>
      <c r="DZ229" s="44" t="str">
        <f t="shared" si="3595"/>
        <v/>
      </c>
      <c r="EA229" s="44" t="str">
        <f t="shared" si="3596"/>
        <v/>
      </c>
      <c r="EB229" s="44" t="str">
        <f t="shared" si="3597"/>
        <v/>
      </c>
      <c r="EC229" s="44" t="str">
        <f t="shared" si="3598"/>
        <v/>
      </c>
      <c r="ED229" s="44" t="str">
        <f t="shared" si="3599"/>
        <v/>
      </c>
      <c r="EE229" s="44" t="str">
        <f t="shared" si="3600"/>
        <v/>
      </c>
      <c r="EF229" s="44" t="str">
        <f t="shared" si="3601"/>
        <v/>
      </c>
      <c r="EG229" s="44" t="str">
        <f t="shared" si="3602"/>
        <v/>
      </c>
      <c r="EH229" s="44" t="str">
        <f t="shared" si="3603"/>
        <v/>
      </c>
      <c r="EI229" s="44" t="str">
        <f t="shared" si="3604"/>
        <v/>
      </c>
      <c r="EJ229" s="44" t="str">
        <f t="shared" si="3605"/>
        <v/>
      </c>
      <c r="EK229" s="44" t="str">
        <f t="shared" si="3606"/>
        <v/>
      </c>
      <c r="EL229" s="44" t="str">
        <f t="shared" si="3607"/>
        <v/>
      </c>
      <c r="EM229" s="44" t="str">
        <f t="shared" si="3608"/>
        <v/>
      </c>
      <c r="EN229" s="44" t="str">
        <f t="shared" si="3609"/>
        <v/>
      </c>
      <c r="EO229" s="44" t="str">
        <f t="shared" si="3610"/>
        <v/>
      </c>
      <c r="EP229" s="44" t="str">
        <f t="shared" si="3611"/>
        <v/>
      </c>
      <c r="EQ229" s="44" t="str">
        <f t="shared" si="3612"/>
        <v/>
      </c>
      <c r="ER229" s="44" t="str">
        <f t="shared" si="3613"/>
        <v/>
      </c>
      <c r="ES229" s="44" t="str">
        <f t="shared" si="3614"/>
        <v/>
      </c>
      <c r="ET229" s="44" t="str">
        <f t="shared" si="3615"/>
        <v/>
      </c>
      <c r="EU229" s="44" t="str">
        <f t="shared" si="3616"/>
        <v/>
      </c>
      <c r="EV229" s="44" t="str">
        <f t="shared" si="3617"/>
        <v/>
      </c>
      <c r="EW229" s="44" t="str">
        <f t="shared" si="3618"/>
        <v/>
      </c>
      <c r="EX229" s="44" t="str">
        <f t="shared" si="3619"/>
        <v/>
      </c>
      <c r="EY229" s="44" t="str">
        <f t="shared" si="3620"/>
        <v/>
      </c>
      <c r="EZ229" s="44" t="str">
        <f t="shared" si="3621"/>
        <v/>
      </c>
      <c r="FA229" s="44" t="str">
        <f t="shared" si="3622"/>
        <v/>
      </c>
      <c r="FB229" s="44" t="str">
        <f t="shared" si="3623"/>
        <v/>
      </c>
      <c r="FC229" s="44" t="str">
        <f t="shared" si="3624"/>
        <v/>
      </c>
      <c r="FD229" s="44" t="str">
        <f t="shared" si="3625"/>
        <v/>
      </c>
      <c r="FE229" s="44" t="str">
        <f t="shared" si="3626"/>
        <v/>
      </c>
      <c r="FF229" s="44" t="str">
        <f t="shared" si="3627"/>
        <v/>
      </c>
      <c r="FG229" s="44" t="str">
        <f t="shared" si="3628"/>
        <v/>
      </c>
      <c r="FH229" s="44" t="str">
        <f t="shared" si="3629"/>
        <v/>
      </c>
      <c r="FI229" s="44" t="str">
        <f t="shared" si="3630"/>
        <v/>
      </c>
      <c r="FJ229" s="44" t="str">
        <f t="shared" si="3631"/>
        <v/>
      </c>
      <c r="FK229" s="44" t="str">
        <f t="shared" si="3632"/>
        <v/>
      </c>
      <c r="FL229" s="44" t="str">
        <f t="shared" si="3633"/>
        <v/>
      </c>
      <c r="FM229" s="44" t="str">
        <f t="shared" si="3634"/>
        <v/>
      </c>
      <c r="FN229" s="44" t="str">
        <f t="shared" si="3635"/>
        <v/>
      </c>
      <c r="FO229" s="44" t="str">
        <f t="shared" si="3636"/>
        <v/>
      </c>
      <c r="FP229" s="44" t="str">
        <f t="shared" si="3637"/>
        <v/>
      </c>
      <c r="FQ229" s="44" t="str">
        <f t="shared" si="3638"/>
        <v/>
      </c>
      <c r="FR229" s="44" t="str">
        <f t="shared" si="3639"/>
        <v/>
      </c>
      <c r="FS229" s="44" t="str">
        <f t="shared" si="3640"/>
        <v/>
      </c>
    </row>
    <row r="230" ht="15" spans="1:175">
      <c r="A230" s="100"/>
      <c r="B230" s="8" t="s">
        <v>713</v>
      </c>
      <c r="C230" s="6" t="s">
        <v>712</v>
      </c>
      <c r="T230" s="108"/>
      <c r="U230" s="60"/>
      <c r="CN230" s="13" t="str">
        <f t="shared" si="3565"/>
        <v>InitUnitState('IF14',,,,,,,,,,)</v>
      </c>
      <c r="CO230" s="13" t="str">
        <f t="shared" si="3566"/>
        <v>InitUnitNormal('IF14',,,,,,,,,,)</v>
      </c>
      <c r="CP230" s="13" t="str">
        <f t="shared" si="3567"/>
        <v>InitUnitMagic('IF14',,,,,,,,,,)</v>
      </c>
      <c r="CQ230" s="13" t="str">
        <f t="shared" si="3568"/>
        <v>InitUnitAdd('IF14',,,,,,,,,,)</v>
      </c>
      <c r="CR230" s="13" t="str">
        <f t="shared" si="3569"/>
        <v>InitEquipData('IF14',,"",,,,,'','','','','','',"")</v>
      </c>
      <c r="CU230" s="72" t="str">
        <f t="shared" si="3570"/>
        <v>|n</v>
      </c>
      <c r="CW230" s="7"/>
      <c r="CX230" s="7"/>
      <c r="CY230" s="7"/>
      <c r="CZ230" s="7"/>
      <c r="DA230" s="7"/>
      <c r="DB230" s="44" t="str">
        <f t="shared" si="3571"/>
        <v/>
      </c>
      <c r="DC230" s="44" t="str">
        <f t="shared" si="3572"/>
        <v/>
      </c>
      <c r="DD230" s="44" t="str">
        <f t="shared" si="3573"/>
        <v/>
      </c>
      <c r="DE230" s="44" t="str">
        <f t="shared" si="3574"/>
        <v/>
      </c>
      <c r="DF230" s="44" t="str">
        <f t="shared" si="3575"/>
        <v/>
      </c>
      <c r="DG230" s="44" t="str">
        <f t="shared" si="3576"/>
        <v/>
      </c>
      <c r="DH230" s="44" t="str">
        <f t="shared" si="3577"/>
        <v/>
      </c>
      <c r="DI230" s="44" t="str">
        <f t="shared" si="3578"/>
        <v/>
      </c>
      <c r="DJ230" s="44" t="str">
        <f t="shared" si="3579"/>
        <v/>
      </c>
      <c r="DK230" s="44" t="str">
        <f t="shared" si="3580"/>
        <v/>
      </c>
      <c r="DL230" s="44" t="str">
        <f t="shared" si="3581"/>
        <v/>
      </c>
      <c r="DM230" s="44" t="str">
        <f t="shared" si="3582"/>
        <v/>
      </c>
      <c r="DN230" s="44" t="str">
        <f t="shared" si="3583"/>
        <v/>
      </c>
      <c r="DO230" s="44" t="str">
        <f t="shared" si="3584"/>
        <v/>
      </c>
      <c r="DP230" s="44" t="str">
        <f t="shared" si="3585"/>
        <v/>
      </c>
      <c r="DQ230" s="44" t="str">
        <f t="shared" si="3586"/>
        <v/>
      </c>
      <c r="DR230" s="44" t="str">
        <f t="shared" si="3587"/>
        <v/>
      </c>
      <c r="DS230" s="44" t="str">
        <f t="shared" si="3588"/>
        <v/>
      </c>
      <c r="DT230" s="44" t="str">
        <f t="shared" si="3589"/>
        <v/>
      </c>
      <c r="DU230" s="44" t="str">
        <f t="shared" si="3590"/>
        <v/>
      </c>
      <c r="DV230" s="44" t="str">
        <f t="shared" si="3591"/>
        <v/>
      </c>
      <c r="DW230" s="44" t="str">
        <f t="shared" si="3592"/>
        <v/>
      </c>
      <c r="DX230" s="44" t="str">
        <f t="shared" si="3593"/>
        <v/>
      </c>
      <c r="DY230" s="44" t="str">
        <f t="shared" si="3594"/>
        <v/>
      </c>
      <c r="DZ230" s="44" t="str">
        <f t="shared" si="3595"/>
        <v/>
      </c>
      <c r="EA230" s="44" t="str">
        <f t="shared" si="3596"/>
        <v/>
      </c>
      <c r="EB230" s="44" t="str">
        <f t="shared" si="3597"/>
        <v/>
      </c>
      <c r="EC230" s="44" t="str">
        <f t="shared" si="3598"/>
        <v/>
      </c>
      <c r="ED230" s="44" t="str">
        <f t="shared" si="3599"/>
        <v/>
      </c>
      <c r="EE230" s="44" t="str">
        <f t="shared" si="3600"/>
        <v/>
      </c>
      <c r="EF230" s="44" t="str">
        <f t="shared" si="3601"/>
        <v/>
      </c>
      <c r="EG230" s="44" t="str">
        <f t="shared" si="3602"/>
        <v/>
      </c>
      <c r="EH230" s="44" t="str">
        <f t="shared" si="3603"/>
        <v/>
      </c>
      <c r="EI230" s="44" t="str">
        <f t="shared" si="3604"/>
        <v/>
      </c>
      <c r="EJ230" s="44" t="str">
        <f t="shared" si="3605"/>
        <v/>
      </c>
      <c r="EK230" s="44" t="str">
        <f t="shared" si="3606"/>
        <v/>
      </c>
      <c r="EL230" s="44" t="str">
        <f t="shared" si="3607"/>
        <v/>
      </c>
      <c r="EM230" s="44" t="str">
        <f t="shared" si="3608"/>
        <v/>
      </c>
      <c r="EN230" s="44" t="str">
        <f t="shared" si="3609"/>
        <v/>
      </c>
      <c r="EO230" s="44" t="str">
        <f t="shared" si="3610"/>
        <v/>
      </c>
      <c r="EP230" s="44" t="str">
        <f t="shared" si="3611"/>
        <v/>
      </c>
      <c r="EQ230" s="44" t="str">
        <f t="shared" si="3612"/>
        <v/>
      </c>
      <c r="ER230" s="44" t="str">
        <f t="shared" si="3613"/>
        <v/>
      </c>
      <c r="ES230" s="44" t="str">
        <f t="shared" si="3614"/>
        <v/>
      </c>
      <c r="ET230" s="44" t="str">
        <f t="shared" si="3615"/>
        <v/>
      </c>
      <c r="EU230" s="44" t="str">
        <f t="shared" si="3616"/>
        <v/>
      </c>
      <c r="EV230" s="44" t="str">
        <f t="shared" si="3617"/>
        <v/>
      </c>
      <c r="EW230" s="44" t="str">
        <f t="shared" si="3618"/>
        <v/>
      </c>
      <c r="EX230" s="44" t="str">
        <f t="shared" si="3619"/>
        <v/>
      </c>
      <c r="EY230" s="44" t="str">
        <f t="shared" si="3620"/>
        <v/>
      </c>
      <c r="EZ230" s="44" t="str">
        <f t="shared" si="3621"/>
        <v/>
      </c>
      <c r="FA230" s="44" t="str">
        <f t="shared" si="3622"/>
        <v/>
      </c>
      <c r="FB230" s="44" t="str">
        <f t="shared" si="3623"/>
        <v/>
      </c>
      <c r="FC230" s="44" t="str">
        <f t="shared" si="3624"/>
        <v/>
      </c>
      <c r="FD230" s="44" t="str">
        <f t="shared" si="3625"/>
        <v/>
      </c>
      <c r="FE230" s="44" t="str">
        <f t="shared" si="3626"/>
        <v/>
      </c>
      <c r="FF230" s="44" t="str">
        <f t="shared" si="3627"/>
        <v/>
      </c>
      <c r="FG230" s="44" t="str">
        <f t="shared" si="3628"/>
        <v/>
      </c>
      <c r="FH230" s="44" t="str">
        <f t="shared" si="3629"/>
        <v/>
      </c>
      <c r="FI230" s="44" t="str">
        <f t="shared" si="3630"/>
        <v/>
      </c>
      <c r="FJ230" s="44" t="str">
        <f t="shared" si="3631"/>
        <v/>
      </c>
      <c r="FK230" s="44" t="str">
        <f t="shared" si="3632"/>
        <v/>
      </c>
      <c r="FL230" s="44" t="str">
        <f t="shared" si="3633"/>
        <v/>
      </c>
      <c r="FM230" s="44" t="str">
        <f t="shared" si="3634"/>
        <v/>
      </c>
      <c r="FN230" s="44" t="str">
        <f t="shared" si="3635"/>
        <v/>
      </c>
      <c r="FO230" s="44" t="str">
        <f t="shared" si="3636"/>
        <v/>
      </c>
      <c r="FP230" s="44" t="str">
        <f t="shared" si="3637"/>
        <v/>
      </c>
      <c r="FQ230" s="44" t="str">
        <f t="shared" si="3638"/>
        <v/>
      </c>
      <c r="FR230" s="44" t="str">
        <f t="shared" si="3639"/>
        <v/>
      </c>
      <c r="FS230" s="44" t="str">
        <f t="shared" si="3640"/>
        <v/>
      </c>
    </row>
    <row r="231" ht="15" spans="1:175">
      <c r="A231" s="100"/>
      <c r="B231" s="8" t="s">
        <v>714</v>
      </c>
      <c r="C231" s="6" t="s">
        <v>712</v>
      </c>
      <c r="T231" s="108"/>
      <c r="U231" s="60"/>
      <c r="CN231" s="13" t="str">
        <f t="shared" si="3565"/>
        <v>InitUnitState('IF15',,,,,,,,,,)</v>
      </c>
      <c r="CO231" s="13" t="str">
        <f t="shared" si="3566"/>
        <v>InitUnitNormal('IF15',,,,,,,,,,)</v>
      </c>
      <c r="CP231" s="13" t="str">
        <f t="shared" si="3567"/>
        <v>InitUnitMagic('IF15',,,,,,,,,,)</v>
      </c>
      <c r="CQ231" s="13" t="str">
        <f t="shared" si="3568"/>
        <v>InitUnitAdd('IF15',,,,,,,,,,)</v>
      </c>
      <c r="CR231" s="13" t="str">
        <f t="shared" si="3569"/>
        <v>InitEquipData('IF15',,"",,,,,'','','','','','',"")</v>
      </c>
      <c r="CU231" s="72" t="str">
        <f t="shared" si="3570"/>
        <v>|n</v>
      </c>
      <c r="CW231" s="7"/>
      <c r="CX231" s="7"/>
      <c r="CY231" s="7"/>
      <c r="CZ231" s="7"/>
      <c r="DA231" s="7"/>
      <c r="DB231" s="44" t="str">
        <f t="shared" si="3571"/>
        <v/>
      </c>
      <c r="DC231" s="44" t="str">
        <f t="shared" si="3572"/>
        <v/>
      </c>
      <c r="DD231" s="44" t="str">
        <f t="shared" si="3573"/>
        <v/>
      </c>
      <c r="DE231" s="44" t="str">
        <f t="shared" si="3574"/>
        <v/>
      </c>
      <c r="DF231" s="44" t="str">
        <f t="shared" si="3575"/>
        <v/>
      </c>
      <c r="DG231" s="44" t="str">
        <f t="shared" si="3576"/>
        <v/>
      </c>
      <c r="DH231" s="44" t="str">
        <f t="shared" si="3577"/>
        <v/>
      </c>
      <c r="DI231" s="44" t="str">
        <f t="shared" si="3578"/>
        <v/>
      </c>
      <c r="DJ231" s="44" t="str">
        <f t="shared" si="3579"/>
        <v/>
      </c>
      <c r="DK231" s="44" t="str">
        <f t="shared" si="3580"/>
        <v/>
      </c>
      <c r="DL231" s="44" t="str">
        <f t="shared" si="3581"/>
        <v/>
      </c>
      <c r="DM231" s="44" t="str">
        <f t="shared" si="3582"/>
        <v/>
      </c>
      <c r="DN231" s="44" t="str">
        <f t="shared" si="3583"/>
        <v/>
      </c>
      <c r="DO231" s="44" t="str">
        <f t="shared" si="3584"/>
        <v/>
      </c>
      <c r="DP231" s="44" t="str">
        <f t="shared" si="3585"/>
        <v/>
      </c>
      <c r="DQ231" s="44" t="str">
        <f t="shared" si="3586"/>
        <v/>
      </c>
      <c r="DR231" s="44" t="str">
        <f t="shared" si="3587"/>
        <v/>
      </c>
      <c r="DS231" s="44" t="str">
        <f t="shared" si="3588"/>
        <v/>
      </c>
      <c r="DT231" s="44" t="str">
        <f t="shared" si="3589"/>
        <v/>
      </c>
      <c r="DU231" s="44" t="str">
        <f t="shared" si="3590"/>
        <v/>
      </c>
      <c r="DV231" s="44" t="str">
        <f t="shared" si="3591"/>
        <v/>
      </c>
      <c r="DW231" s="44" t="str">
        <f t="shared" si="3592"/>
        <v/>
      </c>
      <c r="DX231" s="44" t="str">
        <f t="shared" si="3593"/>
        <v/>
      </c>
      <c r="DY231" s="44" t="str">
        <f t="shared" si="3594"/>
        <v/>
      </c>
      <c r="DZ231" s="44" t="str">
        <f t="shared" si="3595"/>
        <v/>
      </c>
      <c r="EA231" s="44" t="str">
        <f t="shared" si="3596"/>
        <v/>
      </c>
      <c r="EB231" s="44" t="str">
        <f t="shared" si="3597"/>
        <v/>
      </c>
      <c r="EC231" s="44" t="str">
        <f t="shared" si="3598"/>
        <v/>
      </c>
      <c r="ED231" s="44" t="str">
        <f t="shared" si="3599"/>
        <v/>
      </c>
      <c r="EE231" s="44" t="str">
        <f t="shared" si="3600"/>
        <v/>
      </c>
      <c r="EF231" s="44" t="str">
        <f t="shared" si="3601"/>
        <v/>
      </c>
      <c r="EG231" s="44" t="str">
        <f t="shared" si="3602"/>
        <v/>
      </c>
      <c r="EH231" s="44" t="str">
        <f t="shared" si="3603"/>
        <v/>
      </c>
      <c r="EI231" s="44" t="str">
        <f t="shared" si="3604"/>
        <v/>
      </c>
      <c r="EJ231" s="44" t="str">
        <f t="shared" si="3605"/>
        <v/>
      </c>
      <c r="EK231" s="44" t="str">
        <f t="shared" si="3606"/>
        <v/>
      </c>
      <c r="EL231" s="44" t="str">
        <f t="shared" si="3607"/>
        <v/>
      </c>
      <c r="EM231" s="44" t="str">
        <f t="shared" si="3608"/>
        <v/>
      </c>
      <c r="EN231" s="44" t="str">
        <f t="shared" si="3609"/>
        <v/>
      </c>
      <c r="EO231" s="44" t="str">
        <f t="shared" si="3610"/>
        <v/>
      </c>
      <c r="EP231" s="44" t="str">
        <f t="shared" si="3611"/>
        <v/>
      </c>
      <c r="EQ231" s="44" t="str">
        <f t="shared" si="3612"/>
        <v/>
      </c>
      <c r="ER231" s="44" t="str">
        <f t="shared" si="3613"/>
        <v/>
      </c>
      <c r="ES231" s="44" t="str">
        <f t="shared" si="3614"/>
        <v/>
      </c>
      <c r="ET231" s="44" t="str">
        <f t="shared" si="3615"/>
        <v/>
      </c>
      <c r="EU231" s="44" t="str">
        <f t="shared" si="3616"/>
        <v/>
      </c>
      <c r="EV231" s="44" t="str">
        <f t="shared" si="3617"/>
        <v/>
      </c>
      <c r="EW231" s="44" t="str">
        <f t="shared" si="3618"/>
        <v/>
      </c>
      <c r="EX231" s="44" t="str">
        <f t="shared" si="3619"/>
        <v/>
      </c>
      <c r="EY231" s="44" t="str">
        <f t="shared" si="3620"/>
        <v/>
      </c>
      <c r="EZ231" s="44" t="str">
        <f t="shared" si="3621"/>
        <v/>
      </c>
      <c r="FA231" s="44" t="str">
        <f t="shared" si="3622"/>
        <v/>
      </c>
      <c r="FB231" s="44" t="str">
        <f t="shared" si="3623"/>
        <v/>
      </c>
      <c r="FC231" s="44" t="str">
        <f t="shared" si="3624"/>
        <v/>
      </c>
      <c r="FD231" s="44" t="str">
        <f t="shared" si="3625"/>
        <v/>
      </c>
      <c r="FE231" s="44" t="str">
        <f t="shared" si="3626"/>
        <v/>
      </c>
      <c r="FF231" s="44" t="str">
        <f t="shared" si="3627"/>
        <v/>
      </c>
      <c r="FG231" s="44" t="str">
        <f t="shared" si="3628"/>
        <v/>
      </c>
      <c r="FH231" s="44" t="str">
        <f t="shared" si="3629"/>
        <v/>
      </c>
      <c r="FI231" s="44" t="str">
        <f t="shared" si="3630"/>
        <v/>
      </c>
      <c r="FJ231" s="44" t="str">
        <f t="shared" si="3631"/>
        <v/>
      </c>
      <c r="FK231" s="44" t="str">
        <f t="shared" si="3632"/>
        <v/>
      </c>
      <c r="FL231" s="44" t="str">
        <f t="shared" si="3633"/>
        <v/>
      </c>
      <c r="FM231" s="44" t="str">
        <f t="shared" si="3634"/>
        <v/>
      </c>
      <c r="FN231" s="44" t="str">
        <f t="shared" si="3635"/>
        <v/>
      </c>
      <c r="FO231" s="44" t="str">
        <f t="shared" si="3636"/>
        <v/>
      </c>
      <c r="FP231" s="44" t="str">
        <f t="shared" si="3637"/>
        <v/>
      </c>
      <c r="FQ231" s="44" t="str">
        <f t="shared" si="3638"/>
        <v/>
      </c>
      <c r="FR231" s="44" t="str">
        <f t="shared" si="3639"/>
        <v/>
      </c>
      <c r="FS231" s="44" t="str">
        <f t="shared" si="3640"/>
        <v/>
      </c>
    </row>
    <row r="232" ht="15" spans="1:175">
      <c r="A232" s="100"/>
      <c r="B232" s="8" t="s">
        <v>715</v>
      </c>
      <c r="C232" s="6" t="s">
        <v>139</v>
      </c>
      <c r="T232" s="108"/>
      <c r="U232" s="60"/>
      <c r="CN232" s="13" t="str">
        <f t="shared" si="3565"/>
        <v>InitUnitState('IF16',,,,,,,,,,)</v>
      </c>
      <c r="CO232" s="13" t="str">
        <f t="shared" si="3566"/>
        <v>InitUnitNormal('IF16',,,,,,,,,,)</v>
      </c>
      <c r="CP232" s="13" t="str">
        <f t="shared" si="3567"/>
        <v>InitUnitMagic('IF16',,,,,,,,,,)</v>
      </c>
      <c r="CQ232" s="13" t="str">
        <f t="shared" si="3568"/>
        <v>InitUnitAdd('IF16',,,,,,,,,,)</v>
      </c>
      <c r="CR232" s="13" t="str">
        <f t="shared" si="3569"/>
        <v>InitEquipData('IF16',,"",,,,,'','','','','','',"")</v>
      </c>
      <c r="CU232" s="72" t="str">
        <f t="shared" si="3570"/>
        <v>|n</v>
      </c>
      <c r="CW232" s="7"/>
      <c r="CX232" s="7"/>
      <c r="CY232" s="7"/>
      <c r="CZ232" s="7"/>
      <c r="DA232" s="7"/>
      <c r="DB232" s="44" t="str">
        <f t="shared" si="3571"/>
        <v/>
      </c>
      <c r="DC232" s="44" t="str">
        <f t="shared" si="3572"/>
        <v/>
      </c>
      <c r="DD232" s="44" t="str">
        <f t="shared" si="3573"/>
        <v/>
      </c>
      <c r="DE232" s="44" t="str">
        <f t="shared" si="3574"/>
        <v/>
      </c>
      <c r="DF232" s="44" t="str">
        <f t="shared" si="3575"/>
        <v/>
      </c>
      <c r="DG232" s="44" t="str">
        <f t="shared" si="3576"/>
        <v/>
      </c>
      <c r="DH232" s="44" t="str">
        <f t="shared" si="3577"/>
        <v/>
      </c>
      <c r="DI232" s="44" t="str">
        <f t="shared" si="3578"/>
        <v/>
      </c>
      <c r="DJ232" s="44" t="str">
        <f t="shared" si="3579"/>
        <v/>
      </c>
      <c r="DK232" s="44" t="str">
        <f t="shared" si="3580"/>
        <v/>
      </c>
      <c r="DL232" s="44" t="str">
        <f t="shared" si="3581"/>
        <v/>
      </c>
      <c r="DM232" s="44" t="str">
        <f t="shared" si="3582"/>
        <v/>
      </c>
      <c r="DN232" s="44" t="str">
        <f t="shared" si="3583"/>
        <v/>
      </c>
      <c r="DO232" s="44" t="str">
        <f t="shared" si="3584"/>
        <v/>
      </c>
      <c r="DP232" s="44" t="str">
        <f t="shared" si="3585"/>
        <v/>
      </c>
      <c r="DQ232" s="44" t="str">
        <f t="shared" si="3586"/>
        <v/>
      </c>
      <c r="DR232" s="44" t="str">
        <f t="shared" si="3587"/>
        <v/>
      </c>
      <c r="DS232" s="44" t="str">
        <f t="shared" si="3588"/>
        <v/>
      </c>
      <c r="DT232" s="44" t="str">
        <f t="shared" si="3589"/>
        <v/>
      </c>
      <c r="DU232" s="44" t="str">
        <f t="shared" si="3590"/>
        <v/>
      </c>
      <c r="DV232" s="44" t="str">
        <f t="shared" si="3591"/>
        <v/>
      </c>
      <c r="DW232" s="44" t="str">
        <f t="shared" si="3592"/>
        <v/>
      </c>
      <c r="DX232" s="44" t="str">
        <f t="shared" si="3593"/>
        <v/>
      </c>
      <c r="DY232" s="44" t="str">
        <f t="shared" si="3594"/>
        <v/>
      </c>
      <c r="DZ232" s="44" t="str">
        <f t="shared" si="3595"/>
        <v/>
      </c>
      <c r="EA232" s="44" t="str">
        <f t="shared" si="3596"/>
        <v/>
      </c>
      <c r="EB232" s="44" t="str">
        <f t="shared" si="3597"/>
        <v/>
      </c>
      <c r="EC232" s="44" t="str">
        <f t="shared" si="3598"/>
        <v/>
      </c>
      <c r="ED232" s="44" t="str">
        <f t="shared" si="3599"/>
        <v/>
      </c>
      <c r="EE232" s="44" t="str">
        <f t="shared" si="3600"/>
        <v/>
      </c>
      <c r="EF232" s="44" t="str">
        <f t="shared" si="3601"/>
        <v/>
      </c>
      <c r="EG232" s="44" t="str">
        <f t="shared" si="3602"/>
        <v/>
      </c>
      <c r="EH232" s="44" t="str">
        <f t="shared" si="3603"/>
        <v/>
      </c>
      <c r="EI232" s="44" t="str">
        <f t="shared" si="3604"/>
        <v/>
      </c>
      <c r="EJ232" s="44" t="str">
        <f t="shared" si="3605"/>
        <v/>
      </c>
      <c r="EK232" s="44" t="str">
        <f t="shared" si="3606"/>
        <v/>
      </c>
      <c r="EL232" s="44" t="str">
        <f t="shared" si="3607"/>
        <v/>
      </c>
      <c r="EM232" s="44" t="str">
        <f t="shared" si="3608"/>
        <v/>
      </c>
      <c r="EN232" s="44" t="str">
        <f t="shared" si="3609"/>
        <v/>
      </c>
      <c r="EO232" s="44" t="str">
        <f t="shared" si="3610"/>
        <v/>
      </c>
      <c r="EP232" s="44" t="str">
        <f t="shared" si="3611"/>
        <v/>
      </c>
      <c r="EQ232" s="44" t="str">
        <f t="shared" si="3612"/>
        <v/>
      </c>
      <c r="ER232" s="44" t="str">
        <f t="shared" si="3613"/>
        <v/>
      </c>
      <c r="ES232" s="44" t="str">
        <f t="shared" si="3614"/>
        <v/>
      </c>
      <c r="ET232" s="44" t="str">
        <f t="shared" si="3615"/>
        <v/>
      </c>
      <c r="EU232" s="44" t="str">
        <f t="shared" si="3616"/>
        <v/>
      </c>
      <c r="EV232" s="44" t="str">
        <f t="shared" si="3617"/>
        <v/>
      </c>
      <c r="EW232" s="44" t="str">
        <f t="shared" si="3618"/>
        <v/>
      </c>
      <c r="EX232" s="44" t="str">
        <f t="shared" si="3619"/>
        <v/>
      </c>
      <c r="EY232" s="44" t="str">
        <f t="shared" si="3620"/>
        <v/>
      </c>
      <c r="EZ232" s="44" t="str">
        <f t="shared" si="3621"/>
        <v/>
      </c>
      <c r="FA232" s="44" t="str">
        <f t="shared" si="3622"/>
        <v/>
      </c>
      <c r="FB232" s="44" t="str">
        <f t="shared" si="3623"/>
        <v/>
      </c>
      <c r="FC232" s="44" t="str">
        <f t="shared" si="3624"/>
        <v/>
      </c>
      <c r="FD232" s="44" t="str">
        <f t="shared" si="3625"/>
        <v/>
      </c>
      <c r="FE232" s="44" t="str">
        <f t="shared" si="3626"/>
        <v/>
      </c>
      <c r="FF232" s="44" t="str">
        <f t="shared" si="3627"/>
        <v/>
      </c>
      <c r="FG232" s="44" t="str">
        <f t="shared" si="3628"/>
        <v/>
      </c>
      <c r="FH232" s="44" t="str">
        <f t="shared" si="3629"/>
        <v/>
      </c>
      <c r="FI232" s="44" t="str">
        <f t="shared" si="3630"/>
        <v/>
      </c>
      <c r="FJ232" s="44" t="str">
        <f t="shared" si="3631"/>
        <v/>
      </c>
      <c r="FK232" s="44" t="str">
        <f t="shared" si="3632"/>
        <v/>
      </c>
      <c r="FL232" s="44" t="str">
        <f t="shared" si="3633"/>
        <v/>
      </c>
      <c r="FM232" s="44" t="str">
        <f t="shared" si="3634"/>
        <v/>
      </c>
      <c r="FN232" s="44" t="str">
        <f t="shared" si="3635"/>
        <v/>
      </c>
      <c r="FO232" s="44" t="str">
        <f t="shared" si="3636"/>
        <v/>
      </c>
      <c r="FP232" s="44" t="str">
        <f t="shared" si="3637"/>
        <v/>
      </c>
      <c r="FQ232" s="44" t="str">
        <f t="shared" si="3638"/>
        <v/>
      </c>
      <c r="FR232" s="44" t="str">
        <f t="shared" si="3639"/>
        <v/>
      </c>
      <c r="FS232" s="44" t="str">
        <f t="shared" si="3640"/>
        <v/>
      </c>
    </row>
    <row r="233" ht="15" spans="1:175">
      <c r="A233" s="100"/>
      <c r="B233" s="8" t="s">
        <v>716</v>
      </c>
      <c r="C233" s="6" t="s">
        <v>139</v>
      </c>
      <c r="T233" s="108"/>
      <c r="U233" s="60"/>
      <c r="CN233" s="13" t="str">
        <f t="shared" si="3565"/>
        <v>InitUnitState('IF17',,,,,,,,,,)</v>
      </c>
      <c r="CO233" s="13" t="str">
        <f t="shared" si="3566"/>
        <v>InitUnitNormal('IF17',,,,,,,,,,)</v>
      </c>
      <c r="CP233" s="13" t="str">
        <f t="shared" si="3567"/>
        <v>InitUnitMagic('IF17',,,,,,,,,,)</v>
      </c>
      <c r="CQ233" s="13" t="str">
        <f t="shared" si="3568"/>
        <v>InitUnitAdd('IF17',,,,,,,,,,)</v>
      </c>
      <c r="CR233" s="13" t="str">
        <f t="shared" si="3569"/>
        <v>InitEquipData('IF17',,"",,,,,'','','','','','',"")</v>
      </c>
      <c r="CU233" s="72" t="str">
        <f t="shared" si="3570"/>
        <v>|n</v>
      </c>
      <c r="CW233" s="7"/>
      <c r="CX233" s="7"/>
      <c r="CY233" s="7"/>
      <c r="CZ233" s="7"/>
      <c r="DA233" s="7"/>
      <c r="DB233" s="44" t="str">
        <f t="shared" si="3571"/>
        <v/>
      </c>
      <c r="DC233" s="44" t="str">
        <f t="shared" si="3572"/>
        <v/>
      </c>
      <c r="DD233" s="44" t="str">
        <f t="shared" si="3573"/>
        <v/>
      </c>
      <c r="DE233" s="44" t="str">
        <f t="shared" si="3574"/>
        <v/>
      </c>
      <c r="DF233" s="44" t="str">
        <f t="shared" si="3575"/>
        <v/>
      </c>
      <c r="DG233" s="44" t="str">
        <f t="shared" si="3576"/>
        <v/>
      </c>
      <c r="DH233" s="44" t="str">
        <f t="shared" si="3577"/>
        <v/>
      </c>
      <c r="DI233" s="44" t="str">
        <f t="shared" si="3578"/>
        <v/>
      </c>
      <c r="DJ233" s="44" t="str">
        <f t="shared" si="3579"/>
        <v/>
      </c>
      <c r="DK233" s="44" t="str">
        <f t="shared" si="3580"/>
        <v/>
      </c>
      <c r="DL233" s="44" t="str">
        <f t="shared" si="3581"/>
        <v/>
      </c>
      <c r="DM233" s="44" t="str">
        <f t="shared" si="3582"/>
        <v/>
      </c>
      <c r="DN233" s="44" t="str">
        <f t="shared" si="3583"/>
        <v/>
      </c>
      <c r="DO233" s="44" t="str">
        <f t="shared" si="3584"/>
        <v/>
      </c>
      <c r="DP233" s="44" t="str">
        <f t="shared" si="3585"/>
        <v/>
      </c>
      <c r="DQ233" s="44" t="str">
        <f t="shared" si="3586"/>
        <v/>
      </c>
      <c r="DR233" s="44" t="str">
        <f t="shared" si="3587"/>
        <v/>
      </c>
      <c r="DS233" s="44" t="str">
        <f t="shared" si="3588"/>
        <v/>
      </c>
      <c r="DT233" s="44" t="str">
        <f t="shared" si="3589"/>
        <v/>
      </c>
      <c r="DU233" s="44" t="str">
        <f t="shared" si="3590"/>
        <v/>
      </c>
      <c r="DV233" s="44" t="str">
        <f t="shared" si="3591"/>
        <v/>
      </c>
      <c r="DW233" s="44" t="str">
        <f t="shared" si="3592"/>
        <v/>
      </c>
      <c r="DX233" s="44" t="str">
        <f t="shared" si="3593"/>
        <v/>
      </c>
      <c r="DY233" s="44" t="str">
        <f t="shared" si="3594"/>
        <v/>
      </c>
      <c r="DZ233" s="44" t="str">
        <f t="shared" si="3595"/>
        <v/>
      </c>
      <c r="EA233" s="44" t="str">
        <f t="shared" si="3596"/>
        <v/>
      </c>
      <c r="EB233" s="44" t="str">
        <f t="shared" si="3597"/>
        <v/>
      </c>
      <c r="EC233" s="44" t="str">
        <f t="shared" si="3598"/>
        <v/>
      </c>
      <c r="ED233" s="44" t="str">
        <f t="shared" si="3599"/>
        <v/>
      </c>
      <c r="EE233" s="44" t="str">
        <f t="shared" si="3600"/>
        <v/>
      </c>
      <c r="EF233" s="44" t="str">
        <f t="shared" si="3601"/>
        <v/>
      </c>
      <c r="EG233" s="44" t="str">
        <f t="shared" si="3602"/>
        <v/>
      </c>
      <c r="EH233" s="44" t="str">
        <f t="shared" si="3603"/>
        <v/>
      </c>
      <c r="EI233" s="44" t="str">
        <f t="shared" si="3604"/>
        <v/>
      </c>
      <c r="EJ233" s="44" t="str">
        <f t="shared" si="3605"/>
        <v/>
      </c>
      <c r="EK233" s="44" t="str">
        <f t="shared" si="3606"/>
        <v/>
      </c>
      <c r="EL233" s="44" t="str">
        <f t="shared" si="3607"/>
        <v/>
      </c>
      <c r="EM233" s="44" t="str">
        <f t="shared" si="3608"/>
        <v/>
      </c>
      <c r="EN233" s="44" t="str">
        <f t="shared" si="3609"/>
        <v/>
      </c>
      <c r="EO233" s="44" t="str">
        <f t="shared" si="3610"/>
        <v/>
      </c>
      <c r="EP233" s="44" t="str">
        <f t="shared" si="3611"/>
        <v/>
      </c>
      <c r="EQ233" s="44" t="str">
        <f t="shared" si="3612"/>
        <v/>
      </c>
      <c r="ER233" s="44" t="str">
        <f t="shared" si="3613"/>
        <v/>
      </c>
      <c r="ES233" s="44" t="str">
        <f t="shared" si="3614"/>
        <v/>
      </c>
      <c r="ET233" s="44" t="str">
        <f t="shared" si="3615"/>
        <v/>
      </c>
      <c r="EU233" s="44" t="str">
        <f t="shared" si="3616"/>
        <v/>
      </c>
      <c r="EV233" s="44" t="str">
        <f t="shared" si="3617"/>
        <v/>
      </c>
      <c r="EW233" s="44" t="str">
        <f t="shared" si="3618"/>
        <v/>
      </c>
      <c r="EX233" s="44" t="str">
        <f t="shared" si="3619"/>
        <v/>
      </c>
      <c r="EY233" s="44" t="str">
        <f t="shared" si="3620"/>
        <v/>
      </c>
      <c r="EZ233" s="44" t="str">
        <f t="shared" si="3621"/>
        <v/>
      </c>
      <c r="FA233" s="44" t="str">
        <f t="shared" si="3622"/>
        <v/>
      </c>
      <c r="FB233" s="44" t="str">
        <f t="shared" si="3623"/>
        <v/>
      </c>
      <c r="FC233" s="44" t="str">
        <f t="shared" si="3624"/>
        <v/>
      </c>
      <c r="FD233" s="44" t="str">
        <f t="shared" si="3625"/>
        <v/>
      </c>
      <c r="FE233" s="44" t="str">
        <f t="shared" si="3626"/>
        <v/>
      </c>
      <c r="FF233" s="44" t="str">
        <f t="shared" si="3627"/>
        <v/>
      </c>
      <c r="FG233" s="44" t="str">
        <f t="shared" si="3628"/>
        <v/>
      </c>
      <c r="FH233" s="44" t="str">
        <f t="shared" si="3629"/>
        <v/>
      </c>
      <c r="FI233" s="44" t="str">
        <f t="shared" si="3630"/>
        <v/>
      </c>
      <c r="FJ233" s="44" t="str">
        <f t="shared" si="3631"/>
        <v/>
      </c>
      <c r="FK233" s="44" t="str">
        <f t="shared" si="3632"/>
        <v/>
      </c>
      <c r="FL233" s="44" t="str">
        <f t="shared" si="3633"/>
        <v/>
      </c>
      <c r="FM233" s="44" t="str">
        <f t="shared" si="3634"/>
        <v/>
      </c>
      <c r="FN233" s="44" t="str">
        <f t="shared" si="3635"/>
        <v/>
      </c>
      <c r="FO233" s="44" t="str">
        <f t="shared" si="3636"/>
        <v/>
      </c>
      <c r="FP233" s="44" t="str">
        <f t="shared" si="3637"/>
        <v/>
      </c>
      <c r="FQ233" s="44" t="str">
        <f t="shared" si="3638"/>
        <v/>
      </c>
      <c r="FR233" s="44" t="str">
        <f t="shared" si="3639"/>
        <v/>
      </c>
      <c r="FS233" s="44" t="str">
        <f t="shared" si="3640"/>
        <v/>
      </c>
    </row>
    <row r="234" ht="15" spans="1:175">
      <c r="A234" s="100"/>
      <c r="B234" s="8" t="s">
        <v>717</v>
      </c>
      <c r="C234" s="6" t="s">
        <v>718</v>
      </c>
      <c r="T234" s="109"/>
      <c r="U234" s="60"/>
      <c r="CN234" s="13" t="str">
        <f t="shared" si="3565"/>
        <v>InitUnitState('IF18',,,,,,,,,,)</v>
      </c>
      <c r="CO234" s="13" t="str">
        <f t="shared" si="3566"/>
        <v>InitUnitNormal('IF18',,,,,,,,,,)</v>
      </c>
      <c r="CP234" s="13" t="str">
        <f t="shared" si="3567"/>
        <v>InitUnitMagic('IF18',,,,,,,,,,)</v>
      </c>
      <c r="CQ234" s="13" t="str">
        <f t="shared" si="3568"/>
        <v>InitUnitAdd('IF18',,,,,,,,,,)</v>
      </c>
      <c r="CR234" s="13" t="str">
        <f t="shared" si="3569"/>
        <v>InitEquipData('IF18',,"",,,,,'','','','','','',"")</v>
      </c>
      <c r="CU234" s="72" t="str">
        <f t="shared" si="3570"/>
        <v>|n</v>
      </c>
      <c r="CW234" s="7"/>
      <c r="CX234" s="7"/>
      <c r="CY234" s="7"/>
      <c r="CZ234" s="7"/>
      <c r="DA234" s="7"/>
      <c r="DB234" s="44" t="str">
        <f t="shared" si="3571"/>
        <v/>
      </c>
      <c r="DC234" s="44" t="str">
        <f t="shared" si="3572"/>
        <v/>
      </c>
      <c r="DD234" s="44" t="str">
        <f t="shared" si="3573"/>
        <v/>
      </c>
      <c r="DE234" s="44" t="str">
        <f t="shared" si="3574"/>
        <v/>
      </c>
      <c r="DF234" s="44" t="str">
        <f t="shared" si="3575"/>
        <v/>
      </c>
      <c r="DG234" s="44" t="str">
        <f t="shared" si="3576"/>
        <v/>
      </c>
      <c r="DH234" s="44" t="str">
        <f t="shared" si="3577"/>
        <v/>
      </c>
      <c r="DI234" s="44" t="str">
        <f t="shared" si="3578"/>
        <v/>
      </c>
      <c r="DJ234" s="44" t="str">
        <f t="shared" si="3579"/>
        <v/>
      </c>
      <c r="DK234" s="44" t="str">
        <f t="shared" si="3580"/>
        <v/>
      </c>
      <c r="DL234" s="44" t="str">
        <f t="shared" si="3581"/>
        <v/>
      </c>
      <c r="DM234" s="44" t="str">
        <f t="shared" si="3582"/>
        <v/>
      </c>
      <c r="DN234" s="44" t="str">
        <f t="shared" si="3583"/>
        <v/>
      </c>
      <c r="DO234" s="44" t="str">
        <f t="shared" si="3584"/>
        <v/>
      </c>
      <c r="DP234" s="44" t="str">
        <f t="shared" si="3585"/>
        <v/>
      </c>
      <c r="DQ234" s="44" t="str">
        <f t="shared" si="3586"/>
        <v/>
      </c>
      <c r="DR234" s="44" t="str">
        <f t="shared" si="3587"/>
        <v/>
      </c>
      <c r="DS234" s="44" t="str">
        <f t="shared" si="3588"/>
        <v/>
      </c>
      <c r="DT234" s="44" t="str">
        <f t="shared" si="3589"/>
        <v/>
      </c>
      <c r="DU234" s="44" t="str">
        <f t="shared" si="3590"/>
        <v/>
      </c>
      <c r="DV234" s="44" t="str">
        <f t="shared" si="3591"/>
        <v/>
      </c>
      <c r="DW234" s="44" t="str">
        <f t="shared" si="3592"/>
        <v/>
      </c>
      <c r="DX234" s="44" t="str">
        <f t="shared" si="3593"/>
        <v/>
      </c>
      <c r="DY234" s="44" t="str">
        <f t="shared" si="3594"/>
        <v/>
      </c>
      <c r="DZ234" s="44" t="str">
        <f t="shared" si="3595"/>
        <v/>
      </c>
      <c r="EA234" s="44" t="str">
        <f t="shared" si="3596"/>
        <v/>
      </c>
      <c r="EB234" s="44" t="str">
        <f t="shared" si="3597"/>
        <v/>
      </c>
      <c r="EC234" s="44" t="str">
        <f t="shared" si="3598"/>
        <v/>
      </c>
      <c r="ED234" s="44" t="str">
        <f t="shared" si="3599"/>
        <v/>
      </c>
      <c r="EE234" s="44" t="str">
        <f t="shared" si="3600"/>
        <v/>
      </c>
      <c r="EF234" s="44" t="str">
        <f t="shared" si="3601"/>
        <v/>
      </c>
      <c r="EG234" s="44" t="str">
        <f t="shared" si="3602"/>
        <v/>
      </c>
      <c r="EH234" s="44" t="str">
        <f t="shared" si="3603"/>
        <v/>
      </c>
      <c r="EI234" s="44" t="str">
        <f t="shared" si="3604"/>
        <v/>
      </c>
      <c r="EJ234" s="44" t="str">
        <f t="shared" si="3605"/>
        <v/>
      </c>
      <c r="EK234" s="44" t="str">
        <f t="shared" si="3606"/>
        <v/>
      </c>
      <c r="EL234" s="44" t="str">
        <f t="shared" si="3607"/>
        <v/>
      </c>
      <c r="EM234" s="44" t="str">
        <f t="shared" si="3608"/>
        <v/>
      </c>
      <c r="EN234" s="44" t="str">
        <f t="shared" si="3609"/>
        <v/>
      </c>
      <c r="EO234" s="44" t="str">
        <f t="shared" si="3610"/>
        <v/>
      </c>
      <c r="EP234" s="44" t="str">
        <f t="shared" si="3611"/>
        <v/>
      </c>
      <c r="EQ234" s="44" t="str">
        <f t="shared" si="3612"/>
        <v/>
      </c>
      <c r="ER234" s="44" t="str">
        <f t="shared" si="3613"/>
        <v/>
      </c>
      <c r="ES234" s="44" t="str">
        <f t="shared" si="3614"/>
        <v/>
      </c>
      <c r="ET234" s="44" t="str">
        <f t="shared" si="3615"/>
        <v/>
      </c>
      <c r="EU234" s="44" t="str">
        <f t="shared" si="3616"/>
        <v/>
      </c>
      <c r="EV234" s="44" t="str">
        <f t="shared" si="3617"/>
        <v/>
      </c>
      <c r="EW234" s="44" t="str">
        <f t="shared" si="3618"/>
        <v/>
      </c>
      <c r="EX234" s="44" t="str">
        <f t="shared" si="3619"/>
        <v/>
      </c>
      <c r="EY234" s="44" t="str">
        <f t="shared" si="3620"/>
        <v/>
      </c>
      <c r="EZ234" s="44" t="str">
        <f t="shared" si="3621"/>
        <v/>
      </c>
      <c r="FA234" s="44" t="str">
        <f t="shared" si="3622"/>
        <v/>
      </c>
      <c r="FB234" s="44" t="str">
        <f t="shared" si="3623"/>
        <v/>
      </c>
      <c r="FC234" s="44" t="str">
        <f t="shared" si="3624"/>
        <v/>
      </c>
      <c r="FD234" s="44" t="str">
        <f t="shared" si="3625"/>
        <v/>
      </c>
      <c r="FE234" s="44" t="str">
        <f t="shared" si="3626"/>
        <v/>
      </c>
      <c r="FF234" s="44" t="str">
        <f t="shared" si="3627"/>
        <v/>
      </c>
      <c r="FG234" s="44" t="str">
        <f t="shared" si="3628"/>
        <v/>
      </c>
      <c r="FH234" s="44" t="str">
        <f t="shared" si="3629"/>
        <v/>
      </c>
      <c r="FI234" s="44" t="str">
        <f t="shared" si="3630"/>
        <v/>
      </c>
      <c r="FJ234" s="44" t="str">
        <f t="shared" si="3631"/>
        <v/>
      </c>
      <c r="FK234" s="44" t="str">
        <f t="shared" si="3632"/>
        <v/>
      </c>
      <c r="FL234" s="44" t="str">
        <f t="shared" si="3633"/>
        <v/>
      </c>
      <c r="FM234" s="44" t="str">
        <f t="shared" si="3634"/>
        <v/>
      </c>
      <c r="FN234" s="44" t="str">
        <f t="shared" si="3635"/>
        <v/>
      </c>
      <c r="FO234" s="44" t="str">
        <f t="shared" si="3636"/>
        <v/>
      </c>
      <c r="FP234" s="44" t="str">
        <f t="shared" si="3637"/>
        <v/>
      </c>
      <c r="FQ234" s="44" t="str">
        <f t="shared" si="3638"/>
        <v/>
      </c>
      <c r="FR234" s="44" t="str">
        <f t="shared" si="3639"/>
        <v/>
      </c>
      <c r="FS234" s="44" t="str">
        <f t="shared" si="3640"/>
        <v/>
      </c>
    </row>
    <row r="235" ht="15" spans="1:175">
      <c r="A235" s="100"/>
      <c r="B235" s="8" t="s">
        <v>719</v>
      </c>
      <c r="C235" s="6" t="s">
        <v>718</v>
      </c>
      <c r="T235" s="109"/>
      <c r="U235" s="60"/>
      <c r="CN235" s="13" t="str">
        <f t="shared" si="3565"/>
        <v>InitUnitState('IF19',,,,,,,,,,)</v>
      </c>
      <c r="CO235" s="13" t="str">
        <f t="shared" si="3566"/>
        <v>InitUnitNormal('IF19',,,,,,,,,,)</v>
      </c>
      <c r="CP235" s="13" t="str">
        <f t="shared" si="3567"/>
        <v>InitUnitMagic('IF19',,,,,,,,,,)</v>
      </c>
      <c r="CQ235" s="13" t="str">
        <f t="shared" si="3568"/>
        <v>InitUnitAdd('IF19',,,,,,,,,,)</v>
      </c>
      <c r="CR235" s="13" t="str">
        <f t="shared" si="3569"/>
        <v>InitEquipData('IF19',,"",,,,,'','','','','','',"")</v>
      </c>
      <c r="CU235" s="72" t="str">
        <f t="shared" si="3570"/>
        <v>|n</v>
      </c>
      <c r="CW235" s="7"/>
      <c r="CX235" s="7"/>
      <c r="CY235" s="7"/>
      <c r="CZ235" s="7"/>
      <c r="DA235" s="7"/>
      <c r="DB235" s="44" t="str">
        <f t="shared" si="3571"/>
        <v/>
      </c>
      <c r="DC235" s="44" t="str">
        <f t="shared" si="3572"/>
        <v/>
      </c>
      <c r="DD235" s="44" t="str">
        <f t="shared" si="3573"/>
        <v/>
      </c>
      <c r="DE235" s="44" t="str">
        <f t="shared" si="3574"/>
        <v/>
      </c>
      <c r="DF235" s="44" t="str">
        <f t="shared" si="3575"/>
        <v/>
      </c>
      <c r="DG235" s="44" t="str">
        <f t="shared" si="3576"/>
        <v/>
      </c>
      <c r="DH235" s="44" t="str">
        <f t="shared" si="3577"/>
        <v/>
      </c>
      <c r="DI235" s="44" t="str">
        <f t="shared" si="3578"/>
        <v/>
      </c>
      <c r="DJ235" s="44" t="str">
        <f t="shared" si="3579"/>
        <v/>
      </c>
      <c r="DK235" s="44" t="str">
        <f t="shared" si="3580"/>
        <v/>
      </c>
      <c r="DL235" s="44" t="str">
        <f t="shared" si="3581"/>
        <v/>
      </c>
      <c r="DM235" s="44" t="str">
        <f t="shared" si="3582"/>
        <v/>
      </c>
      <c r="DN235" s="44" t="str">
        <f t="shared" si="3583"/>
        <v/>
      </c>
      <c r="DO235" s="44" t="str">
        <f t="shared" si="3584"/>
        <v/>
      </c>
      <c r="DP235" s="44" t="str">
        <f t="shared" si="3585"/>
        <v/>
      </c>
      <c r="DQ235" s="44" t="str">
        <f t="shared" si="3586"/>
        <v/>
      </c>
      <c r="DR235" s="44" t="str">
        <f t="shared" si="3587"/>
        <v/>
      </c>
      <c r="DS235" s="44" t="str">
        <f t="shared" si="3588"/>
        <v/>
      </c>
      <c r="DT235" s="44" t="str">
        <f t="shared" si="3589"/>
        <v/>
      </c>
      <c r="DU235" s="44" t="str">
        <f t="shared" si="3590"/>
        <v/>
      </c>
      <c r="DV235" s="44" t="str">
        <f t="shared" si="3591"/>
        <v/>
      </c>
      <c r="DW235" s="44" t="str">
        <f t="shared" si="3592"/>
        <v/>
      </c>
      <c r="DX235" s="44" t="str">
        <f t="shared" si="3593"/>
        <v/>
      </c>
      <c r="DY235" s="44" t="str">
        <f t="shared" si="3594"/>
        <v/>
      </c>
      <c r="DZ235" s="44" t="str">
        <f t="shared" si="3595"/>
        <v/>
      </c>
      <c r="EA235" s="44" t="str">
        <f t="shared" si="3596"/>
        <v/>
      </c>
      <c r="EB235" s="44" t="str">
        <f t="shared" si="3597"/>
        <v/>
      </c>
      <c r="EC235" s="44" t="str">
        <f t="shared" si="3598"/>
        <v/>
      </c>
      <c r="ED235" s="44" t="str">
        <f t="shared" si="3599"/>
        <v/>
      </c>
      <c r="EE235" s="44" t="str">
        <f t="shared" si="3600"/>
        <v/>
      </c>
      <c r="EF235" s="44" t="str">
        <f t="shared" si="3601"/>
        <v/>
      </c>
      <c r="EG235" s="44" t="str">
        <f t="shared" si="3602"/>
        <v/>
      </c>
      <c r="EH235" s="44" t="str">
        <f t="shared" si="3603"/>
        <v/>
      </c>
      <c r="EI235" s="44" t="str">
        <f t="shared" si="3604"/>
        <v/>
      </c>
      <c r="EJ235" s="44" t="str">
        <f t="shared" si="3605"/>
        <v/>
      </c>
      <c r="EK235" s="44" t="str">
        <f t="shared" si="3606"/>
        <v/>
      </c>
      <c r="EL235" s="44" t="str">
        <f t="shared" si="3607"/>
        <v/>
      </c>
      <c r="EM235" s="44" t="str">
        <f t="shared" si="3608"/>
        <v/>
      </c>
      <c r="EN235" s="44" t="str">
        <f t="shared" si="3609"/>
        <v/>
      </c>
      <c r="EO235" s="44" t="str">
        <f t="shared" si="3610"/>
        <v/>
      </c>
      <c r="EP235" s="44" t="str">
        <f t="shared" si="3611"/>
        <v/>
      </c>
      <c r="EQ235" s="44" t="str">
        <f t="shared" si="3612"/>
        <v/>
      </c>
      <c r="ER235" s="44" t="str">
        <f t="shared" si="3613"/>
        <v/>
      </c>
      <c r="ES235" s="44" t="str">
        <f t="shared" si="3614"/>
        <v/>
      </c>
      <c r="ET235" s="44" t="str">
        <f t="shared" si="3615"/>
        <v/>
      </c>
      <c r="EU235" s="44" t="str">
        <f t="shared" si="3616"/>
        <v/>
      </c>
      <c r="EV235" s="44" t="str">
        <f t="shared" si="3617"/>
        <v/>
      </c>
      <c r="EW235" s="44" t="str">
        <f t="shared" si="3618"/>
        <v/>
      </c>
      <c r="EX235" s="44" t="str">
        <f t="shared" si="3619"/>
        <v/>
      </c>
      <c r="EY235" s="44" t="str">
        <f t="shared" si="3620"/>
        <v/>
      </c>
      <c r="EZ235" s="44" t="str">
        <f t="shared" si="3621"/>
        <v/>
      </c>
      <c r="FA235" s="44" t="str">
        <f t="shared" si="3622"/>
        <v/>
      </c>
      <c r="FB235" s="44" t="str">
        <f t="shared" si="3623"/>
        <v/>
      </c>
      <c r="FC235" s="44" t="str">
        <f t="shared" si="3624"/>
        <v/>
      </c>
      <c r="FD235" s="44" t="str">
        <f t="shared" si="3625"/>
        <v/>
      </c>
      <c r="FE235" s="44" t="str">
        <f t="shared" si="3626"/>
        <v/>
      </c>
      <c r="FF235" s="44" t="str">
        <f t="shared" si="3627"/>
        <v/>
      </c>
      <c r="FG235" s="44" t="str">
        <f t="shared" si="3628"/>
        <v/>
      </c>
      <c r="FH235" s="44" t="str">
        <f t="shared" si="3629"/>
        <v/>
      </c>
      <c r="FI235" s="44" t="str">
        <f t="shared" si="3630"/>
        <v/>
      </c>
      <c r="FJ235" s="44" t="str">
        <f t="shared" si="3631"/>
        <v/>
      </c>
      <c r="FK235" s="44" t="str">
        <f t="shared" si="3632"/>
        <v/>
      </c>
      <c r="FL235" s="44" t="str">
        <f t="shared" si="3633"/>
        <v/>
      </c>
      <c r="FM235" s="44" t="str">
        <f t="shared" si="3634"/>
        <v/>
      </c>
      <c r="FN235" s="44" t="str">
        <f t="shared" si="3635"/>
        <v/>
      </c>
      <c r="FO235" s="44" t="str">
        <f t="shared" si="3636"/>
        <v/>
      </c>
      <c r="FP235" s="44" t="str">
        <f t="shared" si="3637"/>
        <v/>
      </c>
      <c r="FQ235" s="44" t="str">
        <f t="shared" si="3638"/>
        <v/>
      </c>
      <c r="FR235" s="44" t="str">
        <f t="shared" si="3639"/>
        <v/>
      </c>
      <c r="FS235" s="44" t="str">
        <f t="shared" si="3640"/>
        <v/>
      </c>
    </row>
    <row r="236" ht="15" spans="1:175">
      <c r="A236" s="100"/>
      <c r="B236" s="8" t="s">
        <v>720</v>
      </c>
      <c r="C236" s="6" t="s">
        <v>126</v>
      </c>
      <c r="T236" s="109"/>
      <c r="U236" s="60"/>
      <c r="CN236" s="13" t="str">
        <f t="shared" si="3565"/>
        <v>InitUnitState('IF20',,,,,,,,,,)</v>
      </c>
      <c r="CO236" s="13" t="str">
        <f t="shared" si="3566"/>
        <v>InitUnitNormal('IF20',,,,,,,,,,)</v>
      </c>
      <c r="CP236" s="13" t="str">
        <f t="shared" si="3567"/>
        <v>InitUnitMagic('IF20',,,,,,,,,,)</v>
      </c>
      <c r="CQ236" s="13" t="str">
        <f t="shared" si="3568"/>
        <v>InitUnitAdd('IF20',,,,,,,,,,)</v>
      </c>
      <c r="CR236" s="13" t="str">
        <f t="shared" si="3569"/>
        <v>InitEquipData('IF20',,"",,,,,'','','','','','',"")</v>
      </c>
      <c r="CU236" s="72" t="str">
        <f t="shared" si="3570"/>
        <v>|n</v>
      </c>
      <c r="CW236" s="7"/>
      <c r="CX236" s="7"/>
      <c r="CY236" s="7"/>
      <c r="CZ236" s="7"/>
      <c r="DA236" s="7"/>
      <c r="DB236" s="44" t="str">
        <f t="shared" si="3571"/>
        <v/>
      </c>
      <c r="DC236" s="44" t="str">
        <f t="shared" si="3572"/>
        <v/>
      </c>
      <c r="DD236" s="44" t="str">
        <f t="shared" si="3573"/>
        <v/>
      </c>
      <c r="DE236" s="44" t="str">
        <f t="shared" si="3574"/>
        <v/>
      </c>
      <c r="DF236" s="44" t="str">
        <f t="shared" si="3575"/>
        <v/>
      </c>
      <c r="DG236" s="44" t="str">
        <f t="shared" si="3576"/>
        <v/>
      </c>
      <c r="DH236" s="44" t="str">
        <f t="shared" si="3577"/>
        <v/>
      </c>
      <c r="DI236" s="44" t="str">
        <f t="shared" si="3578"/>
        <v/>
      </c>
      <c r="DJ236" s="44" t="str">
        <f t="shared" si="3579"/>
        <v/>
      </c>
      <c r="DK236" s="44" t="str">
        <f t="shared" si="3580"/>
        <v/>
      </c>
      <c r="DL236" s="44" t="str">
        <f t="shared" si="3581"/>
        <v/>
      </c>
      <c r="DM236" s="44" t="str">
        <f t="shared" si="3582"/>
        <v/>
      </c>
      <c r="DN236" s="44" t="str">
        <f t="shared" si="3583"/>
        <v/>
      </c>
      <c r="DO236" s="44" t="str">
        <f t="shared" si="3584"/>
        <v/>
      </c>
      <c r="DP236" s="44" t="str">
        <f t="shared" si="3585"/>
        <v/>
      </c>
      <c r="DQ236" s="44" t="str">
        <f t="shared" si="3586"/>
        <v/>
      </c>
      <c r="DR236" s="44" t="str">
        <f t="shared" si="3587"/>
        <v/>
      </c>
      <c r="DS236" s="44" t="str">
        <f t="shared" si="3588"/>
        <v/>
      </c>
      <c r="DT236" s="44" t="str">
        <f t="shared" si="3589"/>
        <v/>
      </c>
      <c r="DU236" s="44" t="str">
        <f t="shared" si="3590"/>
        <v/>
      </c>
      <c r="DV236" s="44" t="str">
        <f t="shared" si="3591"/>
        <v/>
      </c>
      <c r="DW236" s="44" t="str">
        <f t="shared" si="3592"/>
        <v/>
      </c>
      <c r="DX236" s="44" t="str">
        <f t="shared" si="3593"/>
        <v/>
      </c>
      <c r="DY236" s="44" t="str">
        <f t="shared" si="3594"/>
        <v/>
      </c>
      <c r="DZ236" s="44" t="str">
        <f t="shared" si="3595"/>
        <v/>
      </c>
      <c r="EA236" s="44" t="str">
        <f t="shared" si="3596"/>
        <v/>
      </c>
      <c r="EB236" s="44" t="str">
        <f t="shared" si="3597"/>
        <v/>
      </c>
      <c r="EC236" s="44" t="str">
        <f t="shared" si="3598"/>
        <v/>
      </c>
      <c r="ED236" s="44" t="str">
        <f t="shared" si="3599"/>
        <v/>
      </c>
      <c r="EE236" s="44" t="str">
        <f t="shared" si="3600"/>
        <v/>
      </c>
      <c r="EF236" s="44" t="str">
        <f t="shared" si="3601"/>
        <v/>
      </c>
      <c r="EG236" s="44" t="str">
        <f t="shared" si="3602"/>
        <v/>
      </c>
      <c r="EH236" s="44" t="str">
        <f t="shared" si="3603"/>
        <v/>
      </c>
      <c r="EI236" s="44" t="str">
        <f t="shared" si="3604"/>
        <v/>
      </c>
      <c r="EJ236" s="44" t="str">
        <f t="shared" si="3605"/>
        <v/>
      </c>
      <c r="EK236" s="44" t="str">
        <f t="shared" si="3606"/>
        <v/>
      </c>
      <c r="EL236" s="44" t="str">
        <f t="shared" si="3607"/>
        <v/>
      </c>
      <c r="EM236" s="44" t="str">
        <f t="shared" si="3608"/>
        <v/>
      </c>
      <c r="EN236" s="44" t="str">
        <f t="shared" si="3609"/>
        <v/>
      </c>
      <c r="EO236" s="44" t="str">
        <f t="shared" si="3610"/>
        <v/>
      </c>
      <c r="EP236" s="44" t="str">
        <f t="shared" si="3611"/>
        <v/>
      </c>
      <c r="EQ236" s="44" t="str">
        <f t="shared" si="3612"/>
        <v/>
      </c>
      <c r="ER236" s="44" t="str">
        <f t="shared" si="3613"/>
        <v/>
      </c>
      <c r="ES236" s="44" t="str">
        <f t="shared" si="3614"/>
        <v/>
      </c>
      <c r="ET236" s="44" t="str">
        <f t="shared" si="3615"/>
        <v/>
      </c>
      <c r="EU236" s="44" t="str">
        <f t="shared" si="3616"/>
        <v/>
      </c>
      <c r="EV236" s="44" t="str">
        <f t="shared" si="3617"/>
        <v/>
      </c>
      <c r="EW236" s="44" t="str">
        <f t="shared" si="3618"/>
        <v/>
      </c>
      <c r="EX236" s="44" t="str">
        <f t="shared" si="3619"/>
        <v/>
      </c>
      <c r="EY236" s="44" t="str">
        <f t="shared" si="3620"/>
        <v/>
      </c>
      <c r="EZ236" s="44" t="str">
        <f t="shared" si="3621"/>
        <v/>
      </c>
      <c r="FA236" s="44" t="str">
        <f t="shared" si="3622"/>
        <v/>
      </c>
      <c r="FB236" s="44" t="str">
        <f t="shared" si="3623"/>
        <v/>
      </c>
      <c r="FC236" s="44" t="str">
        <f t="shared" si="3624"/>
        <v/>
      </c>
      <c r="FD236" s="44" t="str">
        <f t="shared" si="3625"/>
        <v/>
      </c>
      <c r="FE236" s="44" t="str">
        <f t="shared" si="3626"/>
        <v/>
      </c>
      <c r="FF236" s="44" t="str">
        <f t="shared" si="3627"/>
        <v/>
      </c>
      <c r="FG236" s="44" t="str">
        <f t="shared" si="3628"/>
        <v/>
      </c>
      <c r="FH236" s="44" t="str">
        <f t="shared" si="3629"/>
        <v/>
      </c>
      <c r="FI236" s="44" t="str">
        <f t="shared" si="3630"/>
        <v/>
      </c>
      <c r="FJ236" s="44" t="str">
        <f t="shared" si="3631"/>
        <v/>
      </c>
      <c r="FK236" s="44" t="str">
        <f t="shared" si="3632"/>
        <v/>
      </c>
      <c r="FL236" s="44" t="str">
        <f t="shared" si="3633"/>
        <v/>
      </c>
      <c r="FM236" s="44" t="str">
        <f t="shared" si="3634"/>
        <v/>
      </c>
      <c r="FN236" s="44" t="str">
        <f t="shared" si="3635"/>
        <v/>
      </c>
      <c r="FO236" s="44" t="str">
        <f t="shared" si="3636"/>
        <v/>
      </c>
      <c r="FP236" s="44" t="str">
        <f t="shared" si="3637"/>
        <v/>
      </c>
      <c r="FQ236" s="44" t="str">
        <f t="shared" si="3638"/>
        <v/>
      </c>
      <c r="FR236" s="44" t="str">
        <f t="shared" si="3639"/>
        <v/>
      </c>
      <c r="FS236" s="44" t="str">
        <f t="shared" si="3640"/>
        <v/>
      </c>
    </row>
    <row r="237" spans="1:175">
      <c r="A237" s="8"/>
      <c r="B237" s="8" t="s">
        <v>721</v>
      </c>
      <c r="C237" s="6" t="s">
        <v>126</v>
      </c>
      <c r="T237" s="110"/>
      <c r="U237" s="60"/>
      <c r="CN237" s="13" t="str">
        <f t="shared" si="3565"/>
        <v>InitUnitState('IF21',,,,,,,,,,)</v>
      </c>
      <c r="CO237" s="13" t="str">
        <f t="shared" si="3566"/>
        <v>InitUnitNormal('IF21',,,,,,,,,,)</v>
      </c>
      <c r="CP237" s="13" t="str">
        <f t="shared" si="3567"/>
        <v>InitUnitMagic('IF21',,,,,,,,,,)</v>
      </c>
      <c r="CQ237" s="13" t="str">
        <f t="shared" si="3568"/>
        <v>InitUnitAdd('IF21',,,,,,,,,,)</v>
      </c>
      <c r="CR237" s="13" t="str">
        <f t="shared" si="3569"/>
        <v>InitEquipData('IF21',,"",,,,,'','','','','','',"")</v>
      </c>
      <c r="CU237" s="72" t="str">
        <f t="shared" si="3570"/>
        <v>|n</v>
      </c>
      <c r="CW237" s="7"/>
      <c r="CX237" s="7"/>
      <c r="CY237" s="7"/>
      <c r="CZ237" s="7"/>
      <c r="DA237" s="7"/>
      <c r="DB237" s="44" t="str">
        <f t="shared" si="3571"/>
        <v/>
      </c>
      <c r="DC237" s="44" t="str">
        <f t="shared" si="3572"/>
        <v/>
      </c>
      <c r="DD237" s="44" t="str">
        <f t="shared" si="3573"/>
        <v/>
      </c>
      <c r="DE237" s="44" t="str">
        <f t="shared" si="3574"/>
        <v/>
      </c>
      <c r="DF237" s="44" t="str">
        <f t="shared" si="3575"/>
        <v/>
      </c>
      <c r="DG237" s="44" t="str">
        <f t="shared" si="3576"/>
        <v/>
      </c>
      <c r="DH237" s="44" t="str">
        <f t="shared" si="3577"/>
        <v/>
      </c>
      <c r="DI237" s="44" t="str">
        <f t="shared" si="3578"/>
        <v/>
      </c>
      <c r="DJ237" s="44" t="str">
        <f t="shared" si="3579"/>
        <v/>
      </c>
      <c r="DK237" s="44" t="str">
        <f t="shared" si="3580"/>
        <v/>
      </c>
      <c r="DL237" s="44" t="str">
        <f t="shared" si="3581"/>
        <v/>
      </c>
      <c r="DM237" s="44" t="str">
        <f t="shared" si="3582"/>
        <v/>
      </c>
      <c r="DN237" s="44" t="str">
        <f t="shared" si="3583"/>
        <v/>
      </c>
      <c r="DO237" s="44" t="str">
        <f t="shared" si="3584"/>
        <v/>
      </c>
      <c r="DP237" s="44" t="str">
        <f t="shared" si="3585"/>
        <v/>
      </c>
      <c r="DQ237" s="44" t="str">
        <f t="shared" si="3586"/>
        <v/>
      </c>
      <c r="DR237" s="44" t="str">
        <f t="shared" si="3587"/>
        <v/>
      </c>
      <c r="DS237" s="44" t="str">
        <f t="shared" si="3588"/>
        <v/>
      </c>
      <c r="DT237" s="44" t="str">
        <f t="shared" si="3589"/>
        <v/>
      </c>
      <c r="DU237" s="44" t="str">
        <f t="shared" si="3590"/>
        <v/>
      </c>
      <c r="DV237" s="44" t="str">
        <f t="shared" si="3591"/>
        <v/>
      </c>
      <c r="DW237" s="44" t="str">
        <f t="shared" si="3592"/>
        <v/>
      </c>
      <c r="DX237" s="44" t="str">
        <f t="shared" si="3593"/>
        <v/>
      </c>
      <c r="DY237" s="44" t="str">
        <f t="shared" si="3594"/>
        <v/>
      </c>
      <c r="DZ237" s="44" t="str">
        <f t="shared" si="3595"/>
        <v/>
      </c>
      <c r="EA237" s="44" t="str">
        <f t="shared" si="3596"/>
        <v/>
      </c>
      <c r="EB237" s="44" t="str">
        <f t="shared" si="3597"/>
        <v/>
      </c>
      <c r="EC237" s="44" t="str">
        <f t="shared" si="3598"/>
        <v/>
      </c>
      <c r="ED237" s="44" t="str">
        <f t="shared" si="3599"/>
        <v/>
      </c>
      <c r="EE237" s="44" t="str">
        <f t="shared" si="3600"/>
        <v/>
      </c>
      <c r="EF237" s="44" t="str">
        <f t="shared" si="3601"/>
        <v/>
      </c>
      <c r="EG237" s="44" t="str">
        <f t="shared" si="3602"/>
        <v/>
      </c>
      <c r="EH237" s="44" t="str">
        <f t="shared" si="3603"/>
        <v/>
      </c>
      <c r="EI237" s="44" t="str">
        <f t="shared" si="3604"/>
        <v/>
      </c>
      <c r="EJ237" s="44" t="str">
        <f t="shared" si="3605"/>
        <v/>
      </c>
      <c r="EK237" s="44" t="str">
        <f t="shared" si="3606"/>
        <v/>
      </c>
      <c r="EL237" s="44" t="str">
        <f t="shared" si="3607"/>
        <v/>
      </c>
      <c r="EM237" s="44" t="str">
        <f t="shared" si="3608"/>
        <v/>
      </c>
      <c r="EN237" s="44" t="str">
        <f t="shared" si="3609"/>
        <v/>
      </c>
      <c r="EO237" s="44" t="str">
        <f t="shared" si="3610"/>
        <v/>
      </c>
      <c r="EP237" s="44" t="str">
        <f t="shared" si="3611"/>
        <v/>
      </c>
      <c r="EQ237" s="44" t="str">
        <f t="shared" si="3612"/>
        <v/>
      </c>
      <c r="ER237" s="44" t="str">
        <f t="shared" si="3613"/>
        <v/>
      </c>
      <c r="ES237" s="44" t="str">
        <f t="shared" si="3614"/>
        <v/>
      </c>
      <c r="ET237" s="44" t="str">
        <f t="shared" si="3615"/>
        <v/>
      </c>
      <c r="EU237" s="44" t="str">
        <f t="shared" si="3616"/>
        <v/>
      </c>
      <c r="EV237" s="44" t="str">
        <f t="shared" si="3617"/>
        <v/>
      </c>
      <c r="EW237" s="44" t="str">
        <f t="shared" si="3618"/>
        <v/>
      </c>
      <c r="EX237" s="44" t="str">
        <f t="shared" si="3619"/>
        <v/>
      </c>
      <c r="EY237" s="44" t="str">
        <f t="shared" si="3620"/>
        <v/>
      </c>
      <c r="EZ237" s="44" t="str">
        <f t="shared" si="3621"/>
        <v/>
      </c>
      <c r="FA237" s="44" t="str">
        <f t="shared" si="3622"/>
        <v/>
      </c>
      <c r="FB237" s="44" t="str">
        <f t="shared" si="3623"/>
        <v/>
      </c>
      <c r="FC237" s="44" t="str">
        <f t="shared" si="3624"/>
        <v/>
      </c>
      <c r="FD237" s="44" t="str">
        <f t="shared" si="3625"/>
        <v/>
      </c>
      <c r="FE237" s="44" t="str">
        <f t="shared" si="3626"/>
        <v/>
      </c>
      <c r="FF237" s="44" t="str">
        <f t="shared" si="3627"/>
        <v/>
      </c>
      <c r="FG237" s="44" t="str">
        <f t="shared" si="3628"/>
        <v/>
      </c>
      <c r="FH237" s="44" t="str">
        <f t="shared" si="3629"/>
        <v/>
      </c>
      <c r="FI237" s="44" t="str">
        <f t="shared" si="3630"/>
        <v/>
      </c>
      <c r="FJ237" s="44" t="str">
        <f t="shared" si="3631"/>
        <v/>
      </c>
      <c r="FK237" s="44" t="str">
        <f t="shared" si="3632"/>
        <v/>
      </c>
      <c r="FL237" s="44" t="str">
        <f t="shared" si="3633"/>
        <v/>
      </c>
      <c r="FM237" s="44" t="str">
        <f t="shared" si="3634"/>
        <v/>
      </c>
      <c r="FN237" s="44" t="str">
        <f t="shared" si="3635"/>
        <v/>
      </c>
      <c r="FO237" s="44" t="str">
        <f t="shared" si="3636"/>
        <v/>
      </c>
      <c r="FP237" s="44" t="str">
        <f t="shared" si="3637"/>
        <v/>
      </c>
      <c r="FQ237" s="44" t="str">
        <f t="shared" si="3638"/>
        <v/>
      </c>
      <c r="FR237" s="44" t="str">
        <f t="shared" si="3639"/>
        <v/>
      </c>
      <c r="FS237" s="44" t="str">
        <f t="shared" si="3640"/>
        <v/>
      </c>
    </row>
    <row r="238" spans="1:175">
      <c r="A238" s="8"/>
      <c r="B238" s="8" t="s">
        <v>722</v>
      </c>
      <c r="C238" s="6" t="s">
        <v>723</v>
      </c>
      <c r="T238" s="110"/>
      <c r="U238" s="60"/>
      <c r="CN238" s="13" t="str">
        <f t="shared" si="3565"/>
        <v>InitUnitState('IF22',,,,,,,,,,)</v>
      </c>
      <c r="CO238" s="13" t="str">
        <f t="shared" si="3566"/>
        <v>InitUnitNormal('IF22',,,,,,,,,,)</v>
      </c>
      <c r="CP238" s="13" t="str">
        <f t="shared" si="3567"/>
        <v>InitUnitMagic('IF22',,,,,,,,,,)</v>
      </c>
      <c r="CQ238" s="13" t="str">
        <f t="shared" si="3568"/>
        <v>InitUnitAdd('IF22',,,,,,,,,,)</v>
      </c>
      <c r="CR238" s="13" t="str">
        <f t="shared" si="3569"/>
        <v>InitEquipData('IF22',,"",,,,,'','','','','','',"")</v>
      </c>
      <c r="CU238" s="72" t="str">
        <f t="shared" si="3570"/>
        <v>|n</v>
      </c>
      <c r="CW238" s="7"/>
      <c r="CX238" s="7"/>
      <c r="CY238" s="7"/>
      <c r="CZ238" s="7"/>
      <c r="DA238" s="7"/>
      <c r="DB238" s="44" t="str">
        <f t="shared" si="3571"/>
        <v/>
      </c>
      <c r="DC238" s="44" t="str">
        <f t="shared" si="3572"/>
        <v/>
      </c>
      <c r="DD238" s="44" t="str">
        <f t="shared" si="3573"/>
        <v/>
      </c>
      <c r="DE238" s="44" t="str">
        <f t="shared" si="3574"/>
        <v/>
      </c>
      <c r="DF238" s="44" t="str">
        <f t="shared" si="3575"/>
        <v/>
      </c>
      <c r="DG238" s="44" t="str">
        <f t="shared" si="3576"/>
        <v/>
      </c>
      <c r="DH238" s="44" t="str">
        <f t="shared" si="3577"/>
        <v/>
      </c>
      <c r="DI238" s="44" t="str">
        <f t="shared" si="3578"/>
        <v/>
      </c>
      <c r="DJ238" s="44" t="str">
        <f t="shared" si="3579"/>
        <v/>
      </c>
      <c r="DK238" s="44" t="str">
        <f t="shared" si="3580"/>
        <v/>
      </c>
      <c r="DL238" s="44" t="str">
        <f t="shared" si="3581"/>
        <v/>
      </c>
      <c r="DM238" s="44" t="str">
        <f t="shared" si="3582"/>
        <v/>
      </c>
      <c r="DN238" s="44" t="str">
        <f t="shared" si="3583"/>
        <v/>
      </c>
      <c r="DO238" s="44" t="str">
        <f t="shared" si="3584"/>
        <v/>
      </c>
      <c r="DP238" s="44" t="str">
        <f t="shared" si="3585"/>
        <v/>
      </c>
      <c r="DQ238" s="44" t="str">
        <f t="shared" si="3586"/>
        <v/>
      </c>
      <c r="DR238" s="44" t="str">
        <f t="shared" si="3587"/>
        <v/>
      </c>
      <c r="DS238" s="44" t="str">
        <f t="shared" si="3588"/>
        <v/>
      </c>
      <c r="DT238" s="44" t="str">
        <f t="shared" si="3589"/>
        <v/>
      </c>
      <c r="DU238" s="44" t="str">
        <f t="shared" si="3590"/>
        <v/>
      </c>
      <c r="DV238" s="44" t="str">
        <f t="shared" si="3591"/>
        <v/>
      </c>
      <c r="DW238" s="44" t="str">
        <f t="shared" si="3592"/>
        <v/>
      </c>
      <c r="DX238" s="44" t="str">
        <f t="shared" si="3593"/>
        <v/>
      </c>
      <c r="DY238" s="44" t="str">
        <f t="shared" si="3594"/>
        <v/>
      </c>
      <c r="DZ238" s="44" t="str">
        <f t="shared" si="3595"/>
        <v/>
      </c>
      <c r="EA238" s="44" t="str">
        <f t="shared" si="3596"/>
        <v/>
      </c>
      <c r="EB238" s="44" t="str">
        <f t="shared" si="3597"/>
        <v/>
      </c>
      <c r="EC238" s="44" t="str">
        <f t="shared" si="3598"/>
        <v/>
      </c>
      <c r="ED238" s="44" t="str">
        <f t="shared" si="3599"/>
        <v/>
      </c>
      <c r="EE238" s="44" t="str">
        <f t="shared" si="3600"/>
        <v/>
      </c>
      <c r="EF238" s="44" t="str">
        <f t="shared" si="3601"/>
        <v/>
      </c>
      <c r="EG238" s="44" t="str">
        <f t="shared" si="3602"/>
        <v/>
      </c>
      <c r="EH238" s="44" t="str">
        <f t="shared" si="3603"/>
        <v/>
      </c>
      <c r="EI238" s="44" t="str">
        <f t="shared" si="3604"/>
        <v/>
      </c>
      <c r="EJ238" s="44" t="str">
        <f t="shared" si="3605"/>
        <v/>
      </c>
      <c r="EK238" s="44" t="str">
        <f t="shared" si="3606"/>
        <v/>
      </c>
      <c r="EL238" s="44" t="str">
        <f t="shared" si="3607"/>
        <v/>
      </c>
      <c r="EM238" s="44" t="str">
        <f t="shared" si="3608"/>
        <v/>
      </c>
      <c r="EN238" s="44" t="str">
        <f t="shared" si="3609"/>
        <v/>
      </c>
      <c r="EO238" s="44" t="str">
        <f t="shared" si="3610"/>
        <v/>
      </c>
      <c r="EP238" s="44" t="str">
        <f t="shared" si="3611"/>
        <v/>
      </c>
      <c r="EQ238" s="44" t="str">
        <f t="shared" si="3612"/>
        <v/>
      </c>
      <c r="ER238" s="44" t="str">
        <f t="shared" si="3613"/>
        <v/>
      </c>
      <c r="ES238" s="44" t="str">
        <f t="shared" si="3614"/>
        <v/>
      </c>
      <c r="ET238" s="44" t="str">
        <f t="shared" si="3615"/>
        <v/>
      </c>
      <c r="EU238" s="44" t="str">
        <f t="shared" si="3616"/>
        <v/>
      </c>
      <c r="EV238" s="44" t="str">
        <f t="shared" si="3617"/>
        <v/>
      </c>
      <c r="EW238" s="44" t="str">
        <f t="shared" si="3618"/>
        <v/>
      </c>
      <c r="EX238" s="44" t="str">
        <f t="shared" si="3619"/>
        <v/>
      </c>
      <c r="EY238" s="44" t="str">
        <f t="shared" si="3620"/>
        <v/>
      </c>
      <c r="EZ238" s="44" t="str">
        <f t="shared" si="3621"/>
        <v/>
      </c>
      <c r="FA238" s="44" t="str">
        <f t="shared" si="3622"/>
        <v/>
      </c>
      <c r="FB238" s="44" t="str">
        <f t="shared" si="3623"/>
        <v/>
      </c>
      <c r="FC238" s="44" t="str">
        <f t="shared" si="3624"/>
        <v/>
      </c>
      <c r="FD238" s="44" t="str">
        <f t="shared" si="3625"/>
        <v/>
      </c>
      <c r="FE238" s="44" t="str">
        <f t="shared" si="3626"/>
        <v/>
      </c>
      <c r="FF238" s="44" t="str">
        <f t="shared" si="3627"/>
        <v/>
      </c>
      <c r="FG238" s="44" t="str">
        <f t="shared" si="3628"/>
        <v/>
      </c>
      <c r="FH238" s="44" t="str">
        <f t="shared" si="3629"/>
        <v/>
      </c>
      <c r="FI238" s="44" t="str">
        <f t="shared" si="3630"/>
        <v/>
      </c>
      <c r="FJ238" s="44" t="str">
        <f t="shared" si="3631"/>
        <v/>
      </c>
      <c r="FK238" s="44" t="str">
        <f t="shared" si="3632"/>
        <v/>
      </c>
      <c r="FL238" s="44" t="str">
        <f t="shared" si="3633"/>
        <v/>
      </c>
      <c r="FM238" s="44" t="str">
        <f t="shared" si="3634"/>
        <v/>
      </c>
      <c r="FN238" s="44" t="str">
        <f t="shared" si="3635"/>
        <v/>
      </c>
      <c r="FO238" s="44" t="str">
        <f t="shared" si="3636"/>
        <v/>
      </c>
      <c r="FP238" s="44" t="str">
        <f t="shared" si="3637"/>
        <v/>
      </c>
      <c r="FQ238" s="44" t="str">
        <f t="shared" si="3638"/>
        <v/>
      </c>
      <c r="FR238" s="44" t="str">
        <f t="shared" si="3639"/>
        <v/>
      </c>
      <c r="FS238" s="44" t="str">
        <f t="shared" si="3640"/>
        <v/>
      </c>
    </row>
    <row r="239" spans="1:175">
      <c r="A239" s="8"/>
      <c r="B239" s="8" t="s">
        <v>724</v>
      </c>
      <c r="C239" s="6" t="s">
        <v>723</v>
      </c>
      <c r="T239" s="110"/>
      <c r="U239" s="60"/>
      <c r="CN239" s="13" t="str">
        <f t="shared" si="3565"/>
        <v>InitUnitState('IF23',,,,,,,,,,)</v>
      </c>
      <c r="CO239" s="13" t="str">
        <f t="shared" si="3566"/>
        <v>InitUnitNormal('IF23',,,,,,,,,,)</v>
      </c>
      <c r="CP239" s="13" t="str">
        <f t="shared" si="3567"/>
        <v>InitUnitMagic('IF23',,,,,,,,,,)</v>
      </c>
      <c r="CQ239" s="13" t="str">
        <f t="shared" si="3568"/>
        <v>InitUnitAdd('IF23',,,,,,,,,,)</v>
      </c>
      <c r="CR239" s="13" t="str">
        <f t="shared" si="3569"/>
        <v>InitEquipData('IF23',,"",,,,,'','','','','','',"")</v>
      </c>
      <c r="CU239" s="72" t="str">
        <f t="shared" si="3570"/>
        <v>|n</v>
      </c>
      <c r="CW239" s="7"/>
      <c r="CX239" s="7"/>
      <c r="CY239" s="7"/>
      <c r="CZ239" s="7"/>
      <c r="DA239" s="7"/>
      <c r="DB239" s="44" t="str">
        <f t="shared" si="3571"/>
        <v/>
      </c>
      <c r="DC239" s="44" t="str">
        <f t="shared" si="3572"/>
        <v/>
      </c>
      <c r="DD239" s="44" t="str">
        <f t="shared" si="3573"/>
        <v/>
      </c>
      <c r="DE239" s="44" t="str">
        <f t="shared" si="3574"/>
        <v/>
      </c>
      <c r="DF239" s="44" t="str">
        <f t="shared" si="3575"/>
        <v/>
      </c>
      <c r="DG239" s="44" t="str">
        <f t="shared" si="3576"/>
        <v/>
      </c>
      <c r="DH239" s="44" t="str">
        <f t="shared" si="3577"/>
        <v/>
      </c>
      <c r="DI239" s="44" t="str">
        <f t="shared" si="3578"/>
        <v/>
      </c>
      <c r="DJ239" s="44" t="str">
        <f t="shared" si="3579"/>
        <v/>
      </c>
      <c r="DK239" s="44" t="str">
        <f t="shared" si="3580"/>
        <v/>
      </c>
      <c r="DL239" s="44" t="str">
        <f t="shared" si="3581"/>
        <v/>
      </c>
      <c r="DM239" s="44" t="str">
        <f t="shared" si="3582"/>
        <v/>
      </c>
      <c r="DN239" s="44" t="str">
        <f t="shared" si="3583"/>
        <v/>
      </c>
      <c r="DO239" s="44" t="str">
        <f t="shared" si="3584"/>
        <v/>
      </c>
      <c r="DP239" s="44" t="str">
        <f t="shared" si="3585"/>
        <v/>
      </c>
      <c r="DQ239" s="44" t="str">
        <f t="shared" si="3586"/>
        <v/>
      </c>
      <c r="DR239" s="44" t="str">
        <f t="shared" si="3587"/>
        <v/>
      </c>
      <c r="DS239" s="44" t="str">
        <f t="shared" si="3588"/>
        <v/>
      </c>
      <c r="DT239" s="44" t="str">
        <f t="shared" si="3589"/>
        <v/>
      </c>
      <c r="DU239" s="44" t="str">
        <f t="shared" si="3590"/>
        <v/>
      </c>
      <c r="DV239" s="44" t="str">
        <f t="shared" si="3591"/>
        <v/>
      </c>
      <c r="DW239" s="44" t="str">
        <f t="shared" si="3592"/>
        <v/>
      </c>
      <c r="DX239" s="44" t="str">
        <f t="shared" si="3593"/>
        <v/>
      </c>
      <c r="DY239" s="44" t="str">
        <f t="shared" si="3594"/>
        <v/>
      </c>
      <c r="DZ239" s="44" t="str">
        <f t="shared" si="3595"/>
        <v/>
      </c>
      <c r="EA239" s="44" t="str">
        <f t="shared" si="3596"/>
        <v/>
      </c>
      <c r="EB239" s="44" t="str">
        <f t="shared" si="3597"/>
        <v/>
      </c>
      <c r="EC239" s="44" t="str">
        <f t="shared" si="3598"/>
        <v/>
      </c>
      <c r="ED239" s="44" t="str">
        <f t="shared" si="3599"/>
        <v/>
      </c>
      <c r="EE239" s="44" t="str">
        <f t="shared" si="3600"/>
        <v/>
      </c>
      <c r="EF239" s="44" t="str">
        <f t="shared" si="3601"/>
        <v/>
      </c>
      <c r="EG239" s="44" t="str">
        <f t="shared" si="3602"/>
        <v/>
      </c>
      <c r="EH239" s="44" t="str">
        <f t="shared" si="3603"/>
        <v/>
      </c>
      <c r="EI239" s="44" t="str">
        <f t="shared" si="3604"/>
        <v/>
      </c>
      <c r="EJ239" s="44" t="str">
        <f t="shared" si="3605"/>
        <v/>
      </c>
      <c r="EK239" s="44" t="str">
        <f t="shared" si="3606"/>
        <v/>
      </c>
      <c r="EL239" s="44" t="str">
        <f t="shared" si="3607"/>
        <v/>
      </c>
      <c r="EM239" s="44" t="str">
        <f t="shared" si="3608"/>
        <v/>
      </c>
      <c r="EN239" s="44" t="str">
        <f t="shared" si="3609"/>
        <v/>
      </c>
      <c r="EO239" s="44" t="str">
        <f t="shared" si="3610"/>
        <v/>
      </c>
      <c r="EP239" s="44" t="str">
        <f t="shared" si="3611"/>
        <v/>
      </c>
      <c r="EQ239" s="44" t="str">
        <f t="shared" si="3612"/>
        <v/>
      </c>
      <c r="ER239" s="44" t="str">
        <f t="shared" si="3613"/>
        <v/>
      </c>
      <c r="ES239" s="44" t="str">
        <f t="shared" si="3614"/>
        <v/>
      </c>
      <c r="ET239" s="44" t="str">
        <f t="shared" si="3615"/>
        <v/>
      </c>
      <c r="EU239" s="44" t="str">
        <f t="shared" si="3616"/>
        <v/>
      </c>
      <c r="EV239" s="44" t="str">
        <f t="shared" si="3617"/>
        <v/>
      </c>
      <c r="EW239" s="44" t="str">
        <f t="shared" si="3618"/>
        <v/>
      </c>
      <c r="EX239" s="44" t="str">
        <f t="shared" si="3619"/>
        <v/>
      </c>
      <c r="EY239" s="44" t="str">
        <f t="shared" si="3620"/>
        <v/>
      </c>
      <c r="EZ239" s="44" t="str">
        <f t="shared" si="3621"/>
        <v/>
      </c>
      <c r="FA239" s="44" t="str">
        <f t="shared" si="3622"/>
        <v/>
      </c>
      <c r="FB239" s="44" t="str">
        <f t="shared" si="3623"/>
        <v/>
      </c>
      <c r="FC239" s="44" t="str">
        <f t="shared" si="3624"/>
        <v/>
      </c>
      <c r="FD239" s="44" t="str">
        <f t="shared" si="3625"/>
        <v/>
      </c>
      <c r="FE239" s="44" t="str">
        <f t="shared" si="3626"/>
        <v/>
      </c>
      <c r="FF239" s="44" t="str">
        <f t="shared" si="3627"/>
        <v/>
      </c>
      <c r="FG239" s="44" t="str">
        <f t="shared" si="3628"/>
        <v/>
      </c>
      <c r="FH239" s="44" t="str">
        <f t="shared" si="3629"/>
        <v/>
      </c>
      <c r="FI239" s="44" t="str">
        <f t="shared" si="3630"/>
        <v/>
      </c>
      <c r="FJ239" s="44" t="str">
        <f t="shared" si="3631"/>
        <v/>
      </c>
      <c r="FK239" s="44" t="str">
        <f t="shared" si="3632"/>
        <v/>
      </c>
      <c r="FL239" s="44" t="str">
        <f t="shared" si="3633"/>
        <v/>
      </c>
      <c r="FM239" s="44" t="str">
        <f t="shared" si="3634"/>
        <v/>
      </c>
      <c r="FN239" s="44" t="str">
        <f t="shared" si="3635"/>
        <v/>
      </c>
      <c r="FO239" s="44" t="str">
        <f t="shared" si="3636"/>
        <v/>
      </c>
      <c r="FP239" s="44" t="str">
        <f t="shared" si="3637"/>
        <v/>
      </c>
      <c r="FQ239" s="44" t="str">
        <f t="shared" si="3638"/>
        <v/>
      </c>
      <c r="FR239" s="44" t="str">
        <f t="shared" si="3639"/>
        <v/>
      </c>
      <c r="FS239" s="44" t="str">
        <f t="shared" si="3640"/>
        <v/>
      </c>
    </row>
    <row r="240" spans="1:175">
      <c r="A240" s="8"/>
      <c r="B240" s="8" t="s">
        <v>725</v>
      </c>
      <c r="C240" s="6" t="s">
        <v>121</v>
      </c>
      <c r="T240" s="110"/>
      <c r="U240" s="60"/>
      <c r="CN240" s="13" t="str">
        <f t="shared" si="3565"/>
        <v>InitUnitState('IF24',,,,,,,,,,)</v>
      </c>
      <c r="CO240" s="13" t="str">
        <f t="shared" si="3566"/>
        <v>InitUnitNormal('IF24',,,,,,,,,,)</v>
      </c>
      <c r="CP240" s="13" t="str">
        <f t="shared" si="3567"/>
        <v>InitUnitMagic('IF24',,,,,,,,,,)</v>
      </c>
      <c r="CQ240" s="13" t="str">
        <f t="shared" si="3568"/>
        <v>InitUnitAdd('IF24',,,,,,,,,,)</v>
      </c>
      <c r="CR240" s="13" t="str">
        <f t="shared" si="3569"/>
        <v>InitEquipData('IF24',,"",,,,,'','','','','','',"")</v>
      </c>
      <c r="CU240" s="72" t="str">
        <f t="shared" ref="CU240:CU281" si="3641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W240" s="7"/>
      <c r="CX240" s="7"/>
      <c r="CY240" s="7"/>
      <c r="CZ240" s="7"/>
      <c r="DA240" s="7"/>
      <c r="DB240" s="44" t="str">
        <f t="shared" ref="DB240:DB281" si="3642">IF(V240="","","|n"&amp;DB$2&amp;"+"&amp;V240&amp;DB$1)</f>
        <v/>
      </c>
      <c r="DC240" s="44" t="str">
        <f t="shared" ref="DC240:DC281" si="3643">IF(W240="","","|n"&amp;DC$2&amp;"+"&amp;W240&amp;DC$1)</f>
        <v/>
      </c>
      <c r="DD240" s="44" t="str">
        <f t="shared" ref="DD240:DD281" si="3644">IF(X240="","","|n"&amp;DD$2&amp;"+"&amp;X240&amp;DD$1)</f>
        <v/>
      </c>
      <c r="DE240" s="44" t="str">
        <f t="shared" ref="DE240:DE281" si="3645">IF(Y240="","","|n"&amp;DE$2&amp;"+"&amp;Y240&amp;DE$1)</f>
        <v/>
      </c>
      <c r="DF240" s="44" t="str">
        <f t="shared" ref="DF240:DF281" si="3646">IF(Z240="","","|n"&amp;DF$2&amp;"+"&amp;Z240&amp;DF$1)</f>
        <v/>
      </c>
      <c r="DG240" s="44" t="str">
        <f t="shared" ref="DG240:DG281" si="3647">IF(AA240="","","|n"&amp;DG$2&amp;"+"&amp;AA240&amp;DG$1)</f>
        <v/>
      </c>
      <c r="DH240" s="44" t="str">
        <f t="shared" ref="DH240:DH281" si="3648">IF(AB240="","","|n"&amp;DH$2&amp;"+"&amp;AB240&amp;DH$1)</f>
        <v/>
      </c>
      <c r="DI240" s="44" t="str">
        <f t="shared" ref="DI240:DI281" si="3649">IF(AC240="","","|n"&amp;DI$2&amp;"+"&amp;AC240&amp;DI$1)</f>
        <v/>
      </c>
      <c r="DJ240" s="44" t="str">
        <f t="shared" ref="DJ240:DJ281" si="3650">IF(AD240="","","|n"&amp;DJ$2&amp;"+"&amp;AD240&amp;DJ$1)</f>
        <v/>
      </c>
      <c r="DK240" s="44" t="str">
        <f t="shared" ref="DK240:DK281" si="3651">IF(AE240="","","|n"&amp;DK$2&amp;"+"&amp;AE240&amp;DK$1)</f>
        <v/>
      </c>
      <c r="DL240" s="44" t="str">
        <f t="shared" ref="DL240:DL281" si="3652">IF(AF240="","","|n"&amp;DL$2&amp;"+"&amp;AF240&amp;DL$1)</f>
        <v/>
      </c>
      <c r="DM240" s="44" t="str">
        <f t="shared" ref="DM240:DM281" si="3653">IF(AG240="","","|n"&amp;DM$2&amp;"+"&amp;AG240&amp;DM$1)</f>
        <v/>
      </c>
      <c r="DN240" s="44" t="str">
        <f t="shared" ref="DN240:DN281" si="3654">IF(AH240="","","|n"&amp;DN$2&amp;"+"&amp;AH240&amp;DN$1)</f>
        <v/>
      </c>
      <c r="DO240" s="44" t="str">
        <f t="shared" ref="DO240:DO281" si="3655">IF(AI240="","","|n"&amp;DO$2&amp;"+"&amp;AI240&amp;DO$1)</f>
        <v/>
      </c>
      <c r="DP240" s="44" t="str">
        <f t="shared" ref="DP240:DP281" si="3656">IF(AJ240="","","|n"&amp;DP$2&amp;"+"&amp;AJ240&amp;DP$1)</f>
        <v/>
      </c>
      <c r="DQ240" s="44" t="str">
        <f t="shared" ref="DQ240:DQ281" si="3657">IF(AK240="","","|n"&amp;DQ$2&amp;"+"&amp;AK240&amp;DQ$1)</f>
        <v/>
      </c>
      <c r="DR240" s="44" t="str">
        <f t="shared" ref="DR240:DR281" si="3658">IF(AL240="","","|n"&amp;DR$2&amp;"+"&amp;AL240&amp;DR$1)</f>
        <v/>
      </c>
      <c r="DS240" s="44" t="str">
        <f t="shared" ref="DS240:DS281" si="3659">IF(AM240="","","|n"&amp;DS$2&amp;"+"&amp;AM240&amp;DS$1)</f>
        <v/>
      </c>
      <c r="DT240" s="44" t="str">
        <f t="shared" ref="DT240:DT281" si="3660">IF(AN240="","","|n"&amp;DT$2&amp;"+"&amp;AN240&amp;DT$1)</f>
        <v/>
      </c>
      <c r="DU240" s="44" t="str">
        <f t="shared" ref="DU240:DU281" si="3661">IF(AO240="","","|n"&amp;DU$2&amp;"+"&amp;AO240&amp;DU$1)</f>
        <v/>
      </c>
      <c r="DV240" s="44" t="str">
        <f t="shared" ref="DV240:DV281" si="3662">IF(AP240="","","|n"&amp;DV$2&amp;"+"&amp;AP240&amp;DV$1)</f>
        <v/>
      </c>
      <c r="DW240" s="44" t="str">
        <f t="shared" ref="DW240:DW281" si="3663">IF(AQ240="","","|n"&amp;DW$2&amp;"+"&amp;AQ240&amp;DW$1)</f>
        <v/>
      </c>
      <c r="DX240" s="44" t="str">
        <f t="shared" ref="DX240:DX281" si="3664">IF(AR240="","","|n"&amp;DX$2&amp;"+"&amp;AR240&amp;DX$1)</f>
        <v/>
      </c>
      <c r="DY240" s="44" t="str">
        <f t="shared" ref="DY240:DY281" si="3665">IF(AS240="","","|n"&amp;DY$2&amp;"+"&amp;AS240&amp;DY$1)</f>
        <v/>
      </c>
      <c r="DZ240" s="44" t="str">
        <f t="shared" ref="DZ240:DZ281" si="3666">IF(AT240="","","|n"&amp;DZ$2&amp;"+"&amp;AT240&amp;DZ$1)</f>
        <v/>
      </c>
      <c r="EA240" s="44" t="str">
        <f t="shared" ref="EA240:EA281" si="3667">IF(AU240="","","|n"&amp;EA$2&amp;"+"&amp;AU240&amp;EA$1)</f>
        <v/>
      </c>
      <c r="EB240" s="44" t="str">
        <f t="shared" ref="EB240:EB281" si="3668">IF(AV240="","","|n"&amp;EB$2&amp;"+"&amp;AV240&amp;EB$1)</f>
        <v/>
      </c>
      <c r="EC240" s="44" t="str">
        <f t="shared" ref="EC240:EC281" si="3669">IF(AW240="","","|n"&amp;EC$2&amp;"+"&amp;AW240&amp;EC$1)</f>
        <v/>
      </c>
      <c r="ED240" s="44" t="str">
        <f t="shared" ref="ED240:ED281" si="3670">IF(AX240="","","|n"&amp;ED$2&amp;"+"&amp;AX240&amp;ED$1)</f>
        <v/>
      </c>
      <c r="EE240" s="44" t="str">
        <f t="shared" ref="EE240:EE281" si="3671">IF(AY240="","","|n"&amp;EE$2&amp;"+"&amp;AY240&amp;EE$1)</f>
        <v/>
      </c>
      <c r="EF240" s="44" t="str">
        <f t="shared" ref="EF240:EF281" si="3672">IF(AZ240="","","|n"&amp;EF$2&amp;"+"&amp;AZ240&amp;EF$1)</f>
        <v/>
      </c>
      <c r="EG240" s="44" t="str">
        <f t="shared" ref="EG240:EG281" si="3673">IF(BA240="","","|n"&amp;EG$2&amp;"+"&amp;BA240&amp;EG$1)</f>
        <v/>
      </c>
      <c r="EH240" s="44" t="str">
        <f t="shared" ref="EH240:EH281" si="3674">IF(BB240="","","|n"&amp;EH$2&amp;"+"&amp;BB240&amp;EH$1)</f>
        <v/>
      </c>
      <c r="EI240" s="44" t="str">
        <f t="shared" ref="EI240:EI281" si="3675">IF(BC240="","","|n"&amp;EI$2&amp;"+"&amp;BC240&amp;EI$1)</f>
        <v/>
      </c>
      <c r="EJ240" s="44" t="str">
        <f t="shared" ref="EJ240:EJ281" si="3676">IF(BD240="","","|n"&amp;EJ$2&amp;"+"&amp;BD240&amp;EJ$1)</f>
        <v/>
      </c>
      <c r="EK240" s="44" t="str">
        <f t="shared" ref="EK240:EK281" si="3677">IF(BE240="","","|n"&amp;EK$2&amp;"+"&amp;BE240&amp;EK$1)</f>
        <v/>
      </c>
      <c r="EL240" s="44" t="str">
        <f t="shared" ref="EL240:EL281" si="3678">IF(BF240="","","|n"&amp;EL$2&amp;"+"&amp;BF240&amp;EL$1)</f>
        <v/>
      </c>
      <c r="EM240" s="44" t="str">
        <f t="shared" ref="EM240:EM281" si="3679">IF(BG240="","","|n"&amp;EM$2&amp;"+"&amp;BG240&amp;EM$1)</f>
        <v/>
      </c>
      <c r="EN240" s="44" t="str">
        <f t="shared" ref="EN240:EN281" si="3680">IF(BH240="","","|n"&amp;EN$2&amp;"+"&amp;BH240&amp;EN$1)</f>
        <v/>
      </c>
      <c r="EO240" s="44" t="str">
        <f t="shared" ref="EO240:EO281" si="3681">IF(BI240="","","|n"&amp;EO$2&amp;"+"&amp;BI240&amp;EO$1)</f>
        <v/>
      </c>
      <c r="EP240" s="44" t="str">
        <f t="shared" ref="EP240:EP281" si="3682">IF(BJ240="","","|n"&amp;EP$2&amp;"+"&amp;BJ240&amp;EP$1)</f>
        <v/>
      </c>
      <c r="EQ240" s="44" t="str">
        <f t="shared" ref="EQ240:EQ281" si="3683">IF(BK240="","","|n"&amp;EQ$2&amp;"+"&amp;BK240&amp;EQ$1)</f>
        <v/>
      </c>
      <c r="ER240" s="44" t="str">
        <f t="shared" ref="ER240:ER281" si="3684">IF(BL240="","","|n"&amp;ER$2&amp;"+"&amp;BL240&amp;ER$1)</f>
        <v/>
      </c>
      <c r="ES240" s="44" t="str">
        <f t="shared" ref="ES240:ES281" si="3685">IF(BM240="","","|n"&amp;ES$2&amp;"+"&amp;BM240&amp;ES$1)</f>
        <v/>
      </c>
      <c r="ET240" s="44" t="str">
        <f t="shared" ref="ET240:ET281" si="3686">IF(BN240="","","|n"&amp;ET$2&amp;"+"&amp;BN240&amp;ET$1)</f>
        <v/>
      </c>
      <c r="EU240" s="44" t="str">
        <f t="shared" ref="EU240:EU281" si="3687">IF(BO240="","","|n"&amp;EU$2&amp;"+"&amp;BO240&amp;EU$1)</f>
        <v/>
      </c>
      <c r="EV240" s="44" t="str">
        <f t="shared" ref="EV240:EV281" si="3688">IF(BP240="","","|n"&amp;EV$2&amp;"+"&amp;BP240&amp;EV$1)</f>
        <v/>
      </c>
      <c r="EW240" s="44" t="str">
        <f t="shared" ref="EW240:EW281" si="3689">IF(BQ240="","","|n"&amp;EW$2&amp;"+"&amp;BQ240&amp;EW$1)</f>
        <v/>
      </c>
      <c r="EX240" s="44" t="str">
        <f t="shared" ref="EX240:EX281" si="3690">IF(BR240="","","|n"&amp;EX$2&amp;"+"&amp;BR240&amp;EX$1)</f>
        <v/>
      </c>
      <c r="EY240" s="44" t="str">
        <f t="shared" ref="EY240:EY281" si="3691">IF(BS240="","","|n"&amp;EY$2&amp;"+"&amp;BS240&amp;EY$1)</f>
        <v/>
      </c>
      <c r="EZ240" s="44" t="str">
        <f t="shared" ref="EZ240:EZ281" si="3692">IF(BT240="","","|n"&amp;EZ$2&amp;"+"&amp;BT240&amp;EZ$1)</f>
        <v/>
      </c>
      <c r="FA240" s="44" t="str">
        <f t="shared" ref="FA240:FA281" si="3693">IF(BU240="","","|n"&amp;FA$2&amp;"+"&amp;BU240&amp;FA$1)</f>
        <v/>
      </c>
      <c r="FB240" s="44" t="str">
        <f t="shared" ref="FB240:FB281" si="3694">IF(BV240="","","|n"&amp;FB$2&amp;"+"&amp;BV240&amp;FB$1)</f>
        <v/>
      </c>
      <c r="FC240" s="44" t="str">
        <f t="shared" ref="FC240:FC281" si="3695">IF(BW240="","","|n"&amp;FC$2&amp;"+"&amp;BW240&amp;FC$1)</f>
        <v/>
      </c>
      <c r="FD240" s="44" t="str">
        <f t="shared" ref="FD240:FD281" si="3696">IF(BX240="","","|n"&amp;FD$2&amp;"+"&amp;BX240&amp;FD$1)</f>
        <v/>
      </c>
      <c r="FE240" s="44" t="str">
        <f t="shared" ref="FE240:FE281" si="3697">IF(BY240="","","|n"&amp;FE$2&amp;"+"&amp;BY240&amp;FE$1)</f>
        <v/>
      </c>
      <c r="FF240" s="44" t="str">
        <f t="shared" ref="FF240:FF281" si="3698">IF(BZ240="","","|n"&amp;FF$2&amp;"+"&amp;BZ240&amp;FF$1)</f>
        <v/>
      </c>
      <c r="FG240" s="44" t="str">
        <f t="shared" ref="FG240:FG281" si="3699">IF(CA240="","","|n"&amp;FG$2&amp;"+"&amp;CA240&amp;FG$1)</f>
        <v/>
      </c>
      <c r="FH240" s="44" t="str">
        <f t="shared" ref="FH240:FH281" si="3700">IF(CB240="","","|n"&amp;FH$2&amp;"+"&amp;CB240&amp;FH$1)</f>
        <v/>
      </c>
      <c r="FI240" s="44" t="str">
        <f t="shared" ref="FI240:FI281" si="3701">IF(CC240="","","|n"&amp;FI$2&amp;"+"&amp;CC240&amp;FI$1)</f>
        <v/>
      </c>
      <c r="FJ240" s="44" t="str">
        <f t="shared" ref="FJ240:FJ281" si="3702">IF(CD240="","","|n"&amp;FJ$2&amp;"+"&amp;CD240&amp;FJ$1)</f>
        <v/>
      </c>
      <c r="FK240" s="44" t="str">
        <f t="shared" ref="FK240:FK281" si="3703">IF(CE240="","","|n"&amp;FK$2&amp;"+"&amp;CE240&amp;FK$1)</f>
        <v/>
      </c>
      <c r="FL240" s="44" t="str">
        <f t="shared" ref="FL240:FL281" si="3704">IF(CF240="","","|n"&amp;FL$2&amp;"+"&amp;CF240&amp;FL$1)</f>
        <v/>
      </c>
      <c r="FM240" s="44" t="str">
        <f t="shared" ref="FM240:FM281" si="3705">IF(CG240="","","|n"&amp;FM$2&amp;"+"&amp;CG240&amp;FM$1)</f>
        <v/>
      </c>
      <c r="FN240" s="44" t="str">
        <f t="shared" ref="FN240:FN281" si="3706">IF(CH240="","","|n"&amp;FN$2&amp;"+"&amp;CH240&amp;FN$1)</f>
        <v/>
      </c>
      <c r="FO240" s="44" t="str">
        <f t="shared" ref="FO240:FO281" si="3707">IF(CI240="","","|n"&amp;FO$2&amp;"+"&amp;CI240&amp;FO$1)</f>
        <v/>
      </c>
      <c r="FP240" s="44" t="str">
        <f t="shared" ref="FP240:FP281" si="3708">IF(CJ240="","","|n"&amp;FP$2&amp;"+"&amp;CJ240&amp;FP$1)</f>
        <v/>
      </c>
      <c r="FQ240" s="44" t="str">
        <f t="shared" ref="FQ240:FQ281" si="3709">IF(CK240="","","|n"&amp;FQ$2&amp;"+"&amp;CK240&amp;FQ$1)</f>
        <v/>
      </c>
      <c r="FR240" s="44" t="str">
        <f t="shared" ref="FR240:FR281" si="3710">IF(CL240="","","|n"&amp;FR$2&amp;"+"&amp;CL240&amp;FR$1)</f>
        <v/>
      </c>
      <c r="FS240" s="44" t="str">
        <f t="shared" ref="FS240:FS281" si="3711">IF(CM240="","","|n"&amp;FS$2&amp;"+"&amp;CM240&amp;FS$1)</f>
        <v/>
      </c>
    </row>
    <row r="241" spans="1:175">
      <c r="A241" s="8"/>
      <c r="B241" s="8" t="s">
        <v>726</v>
      </c>
      <c r="C241" s="6" t="s">
        <v>727</v>
      </c>
      <c r="T241" s="110"/>
      <c r="U241" s="60"/>
      <c r="CN241" s="13" t="str">
        <f t="shared" si="3565"/>
        <v>InitUnitState('IF25',,,,,,,,,,)</v>
      </c>
      <c r="CO241" s="13" t="str">
        <f t="shared" si="3566"/>
        <v>InitUnitNormal('IF25',,,,,,,,,,)</v>
      </c>
      <c r="CP241" s="13" t="str">
        <f t="shared" si="3567"/>
        <v>InitUnitMagic('IF25',,,,,,,,,,)</v>
      </c>
      <c r="CQ241" s="13" t="str">
        <f t="shared" si="3568"/>
        <v>InitUnitAdd('IF25',,,,,,,,,,)</v>
      </c>
      <c r="CR241" s="13" t="str">
        <f t="shared" si="3569"/>
        <v>InitEquipData('IF25',,"",,,,,'','','','','','',"")</v>
      </c>
      <c r="CU241" s="72" t="str">
        <f t="shared" si="3641"/>
        <v>|n</v>
      </c>
      <c r="CW241" s="7"/>
      <c r="CX241" s="7"/>
      <c r="CY241" s="7"/>
      <c r="CZ241" s="7"/>
      <c r="DA241" s="7"/>
      <c r="DB241" s="44" t="str">
        <f t="shared" si="3642"/>
        <v/>
      </c>
      <c r="DC241" s="44" t="str">
        <f t="shared" si="3643"/>
        <v/>
      </c>
      <c r="DD241" s="44" t="str">
        <f t="shared" si="3644"/>
        <v/>
      </c>
      <c r="DE241" s="44" t="str">
        <f t="shared" si="3645"/>
        <v/>
      </c>
      <c r="DF241" s="44" t="str">
        <f t="shared" si="3646"/>
        <v/>
      </c>
      <c r="DG241" s="44" t="str">
        <f t="shared" si="3647"/>
        <v/>
      </c>
      <c r="DH241" s="44" t="str">
        <f t="shared" si="3648"/>
        <v/>
      </c>
      <c r="DI241" s="44" t="str">
        <f t="shared" si="3649"/>
        <v/>
      </c>
      <c r="DJ241" s="44" t="str">
        <f t="shared" si="3650"/>
        <v/>
      </c>
      <c r="DK241" s="44" t="str">
        <f t="shared" si="3651"/>
        <v/>
      </c>
      <c r="DL241" s="44" t="str">
        <f t="shared" si="3652"/>
        <v/>
      </c>
      <c r="DM241" s="44" t="str">
        <f t="shared" si="3653"/>
        <v/>
      </c>
      <c r="DN241" s="44" t="str">
        <f t="shared" si="3654"/>
        <v/>
      </c>
      <c r="DO241" s="44" t="str">
        <f t="shared" si="3655"/>
        <v/>
      </c>
      <c r="DP241" s="44" t="str">
        <f t="shared" si="3656"/>
        <v/>
      </c>
      <c r="DQ241" s="44" t="str">
        <f t="shared" si="3657"/>
        <v/>
      </c>
      <c r="DR241" s="44" t="str">
        <f t="shared" si="3658"/>
        <v/>
      </c>
      <c r="DS241" s="44" t="str">
        <f t="shared" si="3659"/>
        <v/>
      </c>
      <c r="DT241" s="44" t="str">
        <f t="shared" si="3660"/>
        <v/>
      </c>
      <c r="DU241" s="44" t="str">
        <f t="shared" si="3661"/>
        <v/>
      </c>
      <c r="DV241" s="44" t="str">
        <f t="shared" si="3662"/>
        <v/>
      </c>
      <c r="DW241" s="44" t="str">
        <f t="shared" si="3663"/>
        <v/>
      </c>
      <c r="DX241" s="44" t="str">
        <f t="shared" si="3664"/>
        <v/>
      </c>
      <c r="DY241" s="44" t="str">
        <f t="shared" si="3665"/>
        <v/>
      </c>
      <c r="DZ241" s="44" t="str">
        <f t="shared" si="3666"/>
        <v/>
      </c>
      <c r="EA241" s="44" t="str">
        <f t="shared" si="3667"/>
        <v/>
      </c>
      <c r="EB241" s="44" t="str">
        <f t="shared" si="3668"/>
        <v/>
      </c>
      <c r="EC241" s="44" t="str">
        <f t="shared" si="3669"/>
        <v/>
      </c>
      <c r="ED241" s="44" t="str">
        <f t="shared" si="3670"/>
        <v/>
      </c>
      <c r="EE241" s="44" t="str">
        <f t="shared" si="3671"/>
        <v/>
      </c>
      <c r="EF241" s="44" t="str">
        <f t="shared" si="3672"/>
        <v/>
      </c>
      <c r="EG241" s="44" t="str">
        <f t="shared" si="3673"/>
        <v/>
      </c>
      <c r="EH241" s="44" t="str">
        <f t="shared" si="3674"/>
        <v/>
      </c>
      <c r="EI241" s="44" t="str">
        <f t="shared" si="3675"/>
        <v/>
      </c>
      <c r="EJ241" s="44" t="str">
        <f t="shared" si="3676"/>
        <v/>
      </c>
      <c r="EK241" s="44" t="str">
        <f t="shared" si="3677"/>
        <v/>
      </c>
      <c r="EL241" s="44" t="str">
        <f t="shared" si="3678"/>
        <v/>
      </c>
      <c r="EM241" s="44" t="str">
        <f t="shared" si="3679"/>
        <v/>
      </c>
      <c r="EN241" s="44" t="str">
        <f t="shared" si="3680"/>
        <v/>
      </c>
      <c r="EO241" s="44" t="str">
        <f t="shared" si="3681"/>
        <v/>
      </c>
      <c r="EP241" s="44" t="str">
        <f t="shared" si="3682"/>
        <v/>
      </c>
      <c r="EQ241" s="44" t="str">
        <f t="shared" si="3683"/>
        <v/>
      </c>
      <c r="ER241" s="44" t="str">
        <f t="shared" si="3684"/>
        <v/>
      </c>
      <c r="ES241" s="44" t="str">
        <f t="shared" si="3685"/>
        <v/>
      </c>
      <c r="ET241" s="44" t="str">
        <f t="shared" si="3686"/>
        <v/>
      </c>
      <c r="EU241" s="44" t="str">
        <f t="shared" si="3687"/>
        <v/>
      </c>
      <c r="EV241" s="44" t="str">
        <f t="shared" si="3688"/>
        <v/>
      </c>
      <c r="EW241" s="44" t="str">
        <f t="shared" si="3689"/>
        <v/>
      </c>
      <c r="EX241" s="44" t="str">
        <f t="shared" si="3690"/>
        <v/>
      </c>
      <c r="EY241" s="44" t="str">
        <f t="shared" si="3691"/>
        <v/>
      </c>
      <c r="EZ241" s="44" t="str">
        <f t="shared" si="3692"/>
        <v/>
      </c>
      <c r="FA241" s="44" t="str">
        <f t="shared" si="3693"/>
        <v/>
      </c>
      <c r="FB241" s="44" t="str">
        <f t="shared" si="3694"/>
        <v/>
      </c>
      <c r="FC241" s="44" t="str">
        <f t="shared" si="3695"/>
        <v/>
      </c>
      <c r="FD241" s="44" t="str">
        <f t="shared" si="3696"/>
        <v/>
      </c>
      <c r="FE241" s="44" t="str">
        <f t="shared" si="3697"/>
        <v/>
      </c>
      <c r="FF241" s="44" t="str">
        <f t="shared" si="3698"/>
        <v/>
      </c>
      <c r="FG241" s="44" t="str">
        <f t="shared" si="3699"/>
        <v/>
      </c>
      <c r="FH241" s="44" t="str">
        <f t="shared" si="3700"/>
        <v/>
      </c>
      <c r="FI241" s="44" t="str">
        <f t="shared" si="3701"/>
        <v/>
      </c>
      <c r="FJ241" s="44" t="str">
        <f t="shared" si="3702"/>
        <v/>
      </c>
      <c r="FK241" s="44" t="str">
        <f t="shared" si="3703"/>
        <v/>
      </c>
      <c r="FL241" s="44" t="str">
        <f t="shared" si="3704"/>
        <v/>
      </c>
      <c r="FM241" s="44" t="str">
        <f t="shared" si="3705"/>
        <v/>
      </c>
      <c r="FN241" s="44" t="str">
        <f t="shared" si="3706"/>
        <v/>
      </c>
      <c r="FO241" s="44" t="str">
        <f t="shared" si="3707"/>
        <v/>
      </c>
      <c r="FP241" s="44" t="str">
        <f t="shared" si="3708"/>
        <v/>
      </c>
      <c r="FQ241" s="44" t="str">
        <f t="shared" si="3709"/>
        <v/>
      </c>
      <c r="FR241" s="44" t="str">
        <f t="shared" si="3710"/>
        <v/>
      </c>
      <c r="FS241" s="44" t="str">
        <f t="shared" si="3711"/>
        <v/>
      </c>
    </row>
    <row r="242" spans="1:175">
      <c r="A242" s="8"/>
      <c r="B242" s="8" t="s">
        <v>728</v>
      </c>
      <c r="C242" s="6" t="s">
        <v>124</v>
      </c>
      <c r="T242" s="110"/>
      <c r="U242" s="60"/>
      <c r="CN242" s="13" t="str">
        <f t="shared" si="3565"/>
        <v>InitUnitState('IF26',,,,,,,,,,)</v>
      </c>
      <c r="CO242" s="13" t="str">
        <f t="shared" si="3566"/>
        <v>InitUnitNormal('IF26',,,,,,,,,,)</v>
      </c>
      <c r="CP242" s="13" t="str">
        <f t="shared" si="3567"/>
        <v>InitUnitMagic('IF26',,,,,,,,,,)</v>
      </c>
      <c r="CQ242" s="13" t="str">
        <f t="shared" si="3568"/>
        <v>InitUnitAdd('IF26',,,,,,,,,,)</v>
      </c>
      <c r="CR242" s="13" t="str">
        <f t="shared" si="3569"/>
        <v>InitEquipData('IF26',,"",,,,,'','','','','','',"")</v>
      </c>
      <c r="CU242" s="72" t="str">
        <f t="shared" si="3641"/>
        <v>|n</v>
      </c>
      <c r="CW242" s="7"/>
      <c r="CX242" s="7"/>
      <c r="CY242" s="7"/>
      <c r="CZ242" s="7"/>
      <c r="DA242" s="7"/>
      <c r="DB242" s="44" t="str">
        <f t="shared" si="3642"/>
        <v/>
      </c>
      <c r="DC242" s="44" t="str">
        <f t="shared" si="3643"/>
        <v/>
      </c>
      <c r="DD242" s="44" t="str">
        <f t="shared" si="3644"/>
        <v/>
      </c>
      <c r="DE242" s="44" t="str">
        <f t="shared" si="3645"/>
        <v/>
      </c>
      <c r="DF242" s="44" t="str">
        <f t="shared" si="3646"/>
        <v/>
      </c>
      <c r="DG242" s="44" t="str">
        <f t="shared" si="3647"/>
        <v/>
      </c>
      <c r="DH242" s="44" t="str">
        <f t="shared" si="3648"/>
        <v/>
      </c>
      <c r="DI242" s="44" t="str">
        <f t="shared" si="3649"/>
        <v/>
      </c>
      <c r="DJ242" s="44" t="str">
        <f t="shared" si="3650"/>
        <v/>
      </c>
      <c r="DK242" s="44" t="str">
        <f t="shared" si="3651"/>
        <v/>
      </c>
      <c r="DL242" s="44" t="str">
        <f t="shared" si="3652"/>
        <v/>
      </c>
      <c r="DM242" s="44" t="str">
        <f t="shared" si="3653"/>
        <v/>
      </c>
      <c r="DN242" s="44" t="str">
        <f t="shared" si="3654"/>
        <v/>
      </c>
      <c r="DO242" s="44" t="str">
        <f t="shared" si="3655"/>
        <v/>
      </c>
      <c r="DP242" s="44" t="str">
        <f t="shared" si="3656"/>
        <v/>
      </c>
      <c r="DQ242" s="44" t="str">
        <f t="shared" si="3657"/>
        <v/>
      </c>
      <c r="DR242" s="44" t="str">
        <f t="shared" si="3658"/>
        <v/>
      </c>
      <c r="DS242" s="44" t="str">
        <f t="shared" si="3659"/>
        <v/>
      </c>
      <c r="DT242" s="44" t="str">
        <f t="shared" si="3660"/>
        <v/>
      </c>
      <c r="DU242" s="44" t="str">
        <f t="shared" si="3661"/>
        <v/>
      </c>
      <c r="DV242" s="44" t="str">
        <f t="shared" si="3662"/>
        <v/>
      </c>
      <c r="DW242" s="44" t="str">
        <f t="shared" si="3663"/>
        <v/>
      </c>
      <c r="DX242" s="44" t="str">
        <f t="shared" si="3664"/>
        <v/>
      </c>
      <c r="DY242" s="44" t="str">
        <f t="shared" si="3665"/>
        <v/>
      </c>
      <c r="DZ242" s="44" t="str">
        <f t="shared" si="3666"/>
        <v/>
      </c>
      <c r="EA242" s="44" t="str">
        <f t="shared" si="3667"/>
        <v/>
      </c>
      <c r="EB242" s="44" t="str">
        <f t="shared" si="3668"/>
        <v/>
      </c>
      <c r="EC242" s="44" t="str">
        <f t="shared" si="3669"/>
        <v/>
      </c>
      <c r="ED242" s="44" t="str">
        <f t="shared" si="3670"/>
        <v/>
      </c>
      <c r="EE242" s="44" t="str">
        <f t="shared" si="3671"/>
        <v/>
      </c>
      <c r="EF242" s="44" t="str">
        <f t="shared" si="3672"/>
        <v/>
      </c>
      <c r="EG242" s="44" t="str">
        <f t="shared" si="3673"/>
        <v/>
      </c>
      <c r="EH242" s="44" t="str">
        <f t="shared" si="3674"/>
        <v/>
      </c>
      <c r="EI242" s="44" t="str">
        <f t="shared" si="3675"/>
        <v/>
      </c>
      <c r="EJ242" s="44" t="str">
        <f t="shared" si="3676"/>
        <v/>
      </c>
      <c r="EK242" s="44" t="str">
        <f t="shared" si="3677"/>
        <v/>
      </c>
      <c r="EL242" s="44" t="str">
        <f t="shared" si="3678"/>
        <v/>
      </c>
      <c r="EM242" s="44" t="str">
        <f t="shared" si="3679"/>
        <v/>
      </c>
      <c r="EN242" s="44" t="str">
        <f t="shared" si="3680"/>
        <v/>
      </c>
      <c r="EO242" s="44" t="str">
        <f t="shared" si="3681"/>
        <v/>
      </c>
      <c r="EP242" s="44" t="str">
        <f t="shared" si="3682"/>
        <v/>
      </c>
      <c r="EQ242" s="44" t="str">
        <f t="shared" si="3683"/>
        <v/>
      </c>
      <c r="ER242" s="44" t="str">
        <f t="shared" si="3684"/>
        <v/>
      </c>
      <c r="ES242" s="44" t="str">
        <f t="shared" si="3685"/>
        <v/>
      </c>
      <c r="ET242" s="44" t="str">
        <f t="shared" si="3686"/>
        <v/>
      </c>
      <c r="EU242" s="44" t="str">
        <f t="shared" si="3687"/>
        <v/>
      </c>
      <c r="EV242" s="44" t="str">
        <f t="shared" si="3688"/>
        <v/>
      </c>
      <c r="EW242" s="44" t="str">
        <f t="shared" si="3689"/>
        <v/>
      </c>
      <c r="EX242" s="44" t="str">
        <f t="shared" si="3690"/>
        <v/>
      </c>
      <c r="EY242" s="44" t="str">
        <f t="shared" si="3691"/>
        <v/>
      </c>
      <c r="EZ242" s="44" t="str">
        <f t="shared" si="3692"/>
        <v/>
      </c>
      <c r="FA242" s="44" t="str">
        <f t="shared" si="3693"/>
        <v/>
      </c>
      <c r="FB242" s="44" t="str">
        <f t="shared" si="3694"/>
        <v/>
      </c>
      <c r="FC242" s="44" t="str">
        <f t="shared" si="3695"/>
        <v/>
      </c>
      <c r="FD242" s="44" t="str">
        <f t="shared" si="3696"/>
        <v/>
      </c>
      <c r="FE242" s="44" t="str">
        <f t="shared" si="3697"/>
        <v/>
      </c>
      <c r="FF242" s="44" t="str">
        <f t="shared" si="3698"/>
        <v/>
      </c>
      <c r="FG242" s="44" t="str">
        <f t="shared" si="3699"/>
        <v/>
      </c>
      <c r="FH242" s="44" t="str">
        <f t="shared" si="3700"/>
        <v/>
      </c>
      <c r="FI242" s="44" t="str">
        <f t="shared" si="3701"/>
        <v/>
      </c>
      <c r="FJ242" s="44" t="str">
        <f t="shared" si="3702"/>
        <v/>
      </c>
      <c r="FK242" s="44" t="str">
        <f t="shared" si="3703"/>
        <v/>
      </c>
      <c r="FL242" s="44" t="str">
        <f t="shared" si="3704"/>
        <v/>
      </c>
      <c r="FM242" s="44" t="str">
        <f t="shared" si="3705"/>
        <v/>
      </c>
      <c r="FN242" s="44" t="str">
        <f t="shared" si="3706"/>
        <v/>
      </c>
      <c r="FO242" s="44" t="str">
        <f t="shared" si="3707"/>
        <v/>
      </c>
      <c r="FP242" s="44" t="str">
        <f t="shared" si="3708"/>
        <v/>
      </c>
      <c r="FQ242" s="44" t="str">
        <f t="shared" si="3709"/>
        <v/>
      </c>
      <c r="FR242" s="44" t="str">
        <f t="shared" si="3710"/>
        <v/>
      </c>
      <c r="FS242" s="44" t="str">
        <f t="shared" si="3711"/>
        <v/>
      </c>
    </row>
    <row r="243" spans="1:175">
      <c r="A243" s="8"/>
      <c r="B243" s="8" t="s">
        <v>729</v>
      </c>
      <c r="C243" s="6" t="s">
        <v>132</v>
      </c>
      <c r="T243" s="110"/>
      <c r="U243" s="60"/>
      <c r="CN243" s="13" t="str">
        <f t="shared" si="3565"/>
        <v>InitUnitState('IF27',,,,,,,,,,)</v>
      </c>
      <c r="CO243" s="13" t="str">
        <f t="shared" si="3566"/>
        <v>InitUnitNormal('IF27',,,,,,,,,,)</v>
      </c>
      <c r="CP243" s="13" t="str">
        <f t="shared" si="3567"/>
        <v>InitUnitMagic('IF27',,,,,,,,,,)</v>
      </c>
      <c r="CQ243" s="13" t="str">
        <f t="shared" si="3568"/>
        <v>InitUnitAdd('IF27',,,,,,,,,,)</v>
      </c>
      <c r="CR243" s="13" t="str">
        <f t="shared" si="3569"/>
        <v>InitEquipData('IF27',,"",,,,,'','','','','','',"")</v>
      </c>
      <c r="CU243" s="72" t="str">
        <f t="shared" si="3641"/>
        <v>|n</v>
      </c>
      <c r="CW243" s="7"/>
      <c r="CX243" s="7"/>
      <c r="CY243" s="7"/>
      <c r="CZ243" s="7"/>
      <c r="DA243" s="7"/>
      <c r="DB243" s="44" t="str">
        <f t="shared" si="3642"/>
        <v/>
      </c>
      <c r="DC243" s="44" t="str">
        <f t="shared" si="3643"/>
        <v/>
      </c>
      <c r="DD243" s="44" t="str">
        <f t="shared" si="3644"/>
        <v/>
      </c>
      <c r="DE243" s="44" t="str">
        <f t="shared" si="3645"/>
        <v/>
      </c>
      <c r="DF243" s="44" t="str">
        <f t="shared" si="3646"/>
        <v/>
      </c>
      <c r="DG243" s="44" t="str">
        <f t="shared" si="3647"/>
        <v/>
      </c>
      <c r="DH243" s="44" t="str">
        <f t="shared" si="3648"/>
        <v/>
      </c>
      <c r="DI243" s="44" t="str">
        <f t="shared" si="3649"/>
        <v/>
      </c>
      <c r="DJ243" s="44" t="str">
        <f t="shared" si="3650"/>
        <v/>
      </c>
      <c r="DK243" s="44" t="str">
        <f t="shared" si="3651"/>
        <v/>
      </c>
      <c r="DL243" s="44" t="str">
        <f t="shared" si="3652"/>
        <v/>
      </c>
      <c r="DM243" s="44" t="str">
        <f t="shared" si="3653"/>
        <v/>
      </c>
      <c r="DN243" s="44" t="str">
        <f t="shared" si="3654"/>
        <v/>
      </c>
      <c r="DO243" s="44" t="str">
        <f t="shared" si="3655"/>
        <v/>
      </c>
      <c r="DP243" s="44" t="str">
        <f t="shared" si="3656"/>
        <v/>
      </c>
      <c r="DQ243" s="44" t="str">
        <f t="shared" si="3657"/>
        <v/>
      </c>
      <c r="DR243" s="44" t="str">
        <f t="shared" si="3658"/>
        <v/>
      </c>
      <c r="DS243" s="44" t="str">
        <f t="shared" si="3659"/>
        <v/>
      </c>
      <c r="DT243" s="44" t="str">
        <f t="shared" si="3660"/>
        <v/>
      </c>
      <c r="DU243" s="44" t="str">
        <f t="shared" si="3661"/>
        <v/>
      </c>
      <c r="DV243" s="44" t="str">
        <f t="shared" si="3662"/>
        <v/>
      </c>
      <c r="DW243" s="44" t="str">
        <f t="shared" si="3663"/>
        <v/>
      </c>
      <c r="DX243" s="44" t="str">
        <f t="shared" si="3664"/>
        <v/>
      </c>
      <c r="DY243" s="44" t="str">
        <f t="shared" si="3665"/>
        <v/>
      </c>
      <c r="DZ243" s="44" t="str">
        <f t="shared" si="3666"/>
        <v/>
      </c>
      <c r="EA243" s="44" t="str">
        <f t="shared" si="3667"/>
        <v/>
      </c>
      <c r="EB243" s="44" t="str">
        <f t="shared" si="3668"/>
        <v/>
      </c>
      <c r="EC243" s="44" t="str">
        <f t="shared" si="3669"/>
        <v/>
      </c>
      <c r="ED243" s="44" t="str">
        <f t="shared" si="3670"/>
        <v/>
      </c>
      <c r="EE243" s="44" t="str">
        <f t="shared" si="3671"/>
        <v/>
      </c>
      <c r="EF243" s="44" t="str">
        <f t="shared" si="3672"/>
        <v/>
      </c>
      <c r="EG243" s="44" t="str">
        <f t="shared" si="3673"/>
        <v/>
      </c>
      <c r="EH243" s="44" t="str">
        <f t="shared" si="3674"/>
        <v/>
      </c>
      <c r="EI243" s="44" t="str">
        <f t="shared" si="3675"/>
        <v/>
      </c>
      <c r="EJ243" s="44" t="str">
        <f t="shared" si="3676"/>
        <v/>
      </c>
      <c r="EK243" s="44" t="str">
        <f t="shared" si="3677"/>
        <v/>
      </c>
      <c r="EL243" s="44" t="str">
        <f t="shared" si="3678"/>
        <v/>
      </c>
      <c r="EM243" s="44" t="str">
        <f t="shared" si="3679"/>
        <v/>
      </c>
      <c r="EN243" s="44" t="str">
        <f t="shared" si="3680"/>
        <v/>
      </c>
      <c r="EO243" s="44" t="str">
        <f t="shared" si="3681"/>
        <v/>
      </c>
      <c r="EP243" s="44" t="str">
        <f t="shared" si="3682"/>
        <v/>
      </c>
      <c r="EQ243" s="44" t="str">
        <f t="shared" si="3683"/>
        <v/>
      </c>
      <c r="ER243" s="44" t="str">
        <f t="shared" si="3684"/>
        <v/>
      </c>
      <c r="ES243" s="44" t="str">
        <f t="shared" si="3685"/>
        <v/>
      </c>
      <c r="ET243" s="44" t="str">
        <f t="shared" si="3686"/>
        <v/>
      </c>
      <c r="EU243" s="44" t="str">
        <f t="shared" si="3687"/>
        <v/>
      </c>
      <c r="EV243" s="44" t="str">
        <f t="shared" si="3688"/>
        <v/>
      </c>
      <c r="EW243" s="44" t="str">
        <f t="shared" si="3689"/>
        <v/>
      </c>
      <c r="EX243" s="44" t="str">
        <f t="shared" si="3690"/>
        <v/>
      </c>
      <c r="EY243" s="44" t="str">
        <f t="shared" si="3691"/>
        <v/>
      </c>
      <c r="EZ243" s="44" t="str">
        <f t="shared" si="3692"/>
        <v/>
      </c>
      <c r="FA243" s="44" t="str">
        <f t="shared" si="3693"/>
        <v/>
      </c>
      <c r="FB243" s="44" t="str">
        <f t="shared" si="3694"/>
        <v/>
      </c>
      <c r="FC243" s="44" t="str">
        <f t="shared" si="3695"/>
        <v/>
      </c>
      <c r="FD243" s="44" t="str">
        <f t="shared" si="3696"/>
        <v/>
      </c>
      <c r="FE243" s="44" t="str">
        <f t="shared" si="3697"/>
        <v/>
      </c>
      <c r="FF243" s="44" t="str">
        <f t="shared" si="3698"/>
        <v/>
      </c>
      <c r="FG243" s="44" t="str">
        <f t="shared" si="3699"/>
        <v/>
      </c>
      <c r="FH243" s="44" t="str">
        <f t="shared" si="3700"/>
        <v/>
      </c>
      <c r="FI243" s="44" t="str">
        <f t="shared" si="3701"/>
        <v/>
      </c>
      <c r="FJ243" s="44" t="str">
        <f t="shared" si="3702"/>
        <v/>
      </c>
      <c r="FK243" s="44" t="str">
        <f t="shared" si="3703"/>
        <v/>
      </c>
      <c r="FL243" s="44" t="str">
        <f t="shared" si="3704"/>
        <v/>
      </c>
      <c r="FM243" s="44" t="str">
        <f t="shared" si="3705"/>
        <v/>
      </c>
      <c r="FN243" s="44" t="str">
        <f t="shared" si="3706"/>
        <v/>
      </c>
      <c r="FO243" s="44" t="str">
        <f t="shared" si="3707"/>
        <v/>
      </c>
      <c r="FP243" s="44" t="str">
        <f t="shared" si="3708"/>
        <v/>
      </c>
      <c r="FQ243" s="44" t="str">
        <f t="shared" si="3709"/>
        <v/>
      </c>
      <c r="FR243" s="44" t="str">
        <f t="shared" si="3710"/>
        <v/>
      </c>
      <c r="FS243" s="44" t="str">
        <f t="shared" si="3711"/>
        <v/>
      </c>
    </row>
    <row r="244" spans="1:175">
      <c r="A244" s="8"/>
      <c r="B244" s="8"/>
      <c r="C244" s="8"/>
      <c r="T244" s="110"/>
      <c r="U244" s="60"/>
      <c r="CN244" s="13" t="str">
        <f t="shared" si="3565"/>
        <v>InitUnitState('',,,,,,,,,,)</v>
      </c>
      <c r="CO244" s="13" t="str">
        <f t="shared" si="3566"/>
        <v>InitUnitNormal('',,,,,,,,,,)</v>
      </c>
      <c r="CP244" s="13" t="str">
        <f t="shared" si="3567"/>
        <v>InitUnitMagic('',,,,,,,,,,)</v>
      </c>
      <c r="CQ244" s="13" t="str">
        <f t="shared" si="3568"/>
        <v>InitUnitAdd('',,,,,,,,,,)</v>
      </c>
      <c r="CR244" s="13" t="str">
        <f t="shared" si="3569"/>
        <v>InitEquipData('',,"",,,,,'','','','','','',"")</v>
      </c>
      <c r="CU244" s="72" t="str">
        <f t="shared" si="3641"/>
        <v>|n</v>
      </c>
      <c r="CW244" s="7"/>
      <c r="CX244" s="7"/>
      <c r="CY244" s="7"/>
      <c r="CZ244" s="7"/>
      <c r="DA244" s="7"/>
      <c r="DB244" s="44" t="str">
        <f t="shared" si="3642"/>
        <v/>
      </c>
      <c r="DC244" s="44" t="str">
        <f t="shared" si="3643"/>
        <v/>
      </c>
      <c r="DD244" s="44" t="str">
        <f t="shared" si="3644"/>
        <v/>
      </c>
      <c r="DE244" s="44" t="str">
        <f t="shared" si="3645"/>
        <v/>
      </c>
      <c r="DF244" s="44" t="str">
        <f t="shared" si="3646"/>
        <v/>
      </c>
      <c r="DG244" s="44" t="str">
        <f t="shared" si="3647"/>
        <v/>
      </c>
      <c r="DH244" s="44" t="str">
        <f t="shared" si="3648"/>
        <v/>
      </c>
      <c r="DI244" s="44" t="str">
        <f t="shared" si="3649"/>
        <v/>
      </c>
      <c r="DJ244" s="44" t="str">
        <f t="shared" si="3650"/>
        <v/>
      </c>
      <c r="DK244" s="44" t="str">
        <f t="shared" si="3651"/>
        <v/>
      </c>
      <c r="DL244" s="44" t="str">
        <f t="shared" si="3652"/>
        <v/>
      </c>
      <c r="DM244" s="44" t="str">
        <f t="shared" si="3653"/>
        <v/>
      </c>
      <c r="DN244" s="44" t="str">
        <f t="shared" si="3654"/>
        <v/>
      </c>
      <c r="DO244" s="44" t="str">
        <f t="shared" si="3655"/>
        <v/>
      </c>
      <c r="DP244" s="44" t="str">
        <f t="shared" si="3656"/>
        <v/>
      </c>
      <c r="DQ244" s="44" t="str">
        <f t="shared" si="3657"/>
        <v/>
      </c>
      <c r="DR244" s="44" t="str">
        <f t="shared" si="3658"/>
        <v/>
      </c>
      <c r="DS244" s="44" t="str">
        <f t="shared" si="3659"/>
        <v/>
      </c>
      <c r="DT244" s="44" t="str">
        <f t="shared" si="3660"/>
        <v/>
      </c>
      <c r="DU244" s="44" t="str">
        <f t="shared" si="3661"/>
        <v/>
      </c>
      <c r="DV244" s="44" t="str">
        <f t="shared" si="3662"/>
        <v/>
      </c>
      <c r="DW244" s="44" t="str">
        <f t="shared" si="3663"/>
        <v/>
      </c>
      <c r="DX244" s="44" t="str">
        <f t="shared" si="3664"/>
        <v/>
      </c>
      <c r="DY244" s="44" t="str">
        <f t="shared" si="3665"/>
        <v/>
      </c>
      <c r="DZ244" s="44" t="str">
        <f t="shared" si="3666"/>
        <v/>
      </c>
      <c r="EA244" s="44" t="str">
        <f t="shared" si="3667"/>
        <v/>
      </c>
      <c r="EB244" s="44" t="str">
        <f t="shared" si="3668"/>
        <v/>
      </c>
      <c r="EC244" s="44" t="str">
        <f t="shared" si="3669"/>
        <v/>
      </c>
      <c r="ED244" s="44" t="str">
        <f t="shared" si="3670"/>
        <v/>
      </c>
      <c r="EE244" s="44" t="str">
        <f t="shared" si="3671"/>
        <v/>
      </c>
      <c r="EF244" s="44" t="str">
        <f t="shared" si="3672"/>
        <v/>
      </c>
      <c r="EG244" s="44" t="str">
        <f t="shared" si="3673"/>
        <v/>
      </c>
      <c r="EH244" s="44" t="str">
        <f t="shared" si="3674"/>
        <v/>
      </c>
      <c r="EI244" s="44" t="str">
        <f t="shared" si="3675"/>
        <v/>
      </c>
      <c r="EJ244" s="44" t="str">
        <f t="shared" si="3676"/>
        <v/>
      </c>
      <c r="EK244" s="44" t="str">
        <f t="shared" si="3677"/>
        <v/>
      </c>
      <c r="EL244" s="44" t="str">
        <f t="shared" si="3678"/>
        <v/>
      </c>
      <c r="EM244" s="44" t="str">
        <f t="shared" si="3679"/>
        <v/>
      </c>
      <c r="EN244" s="44" t="str">
        <f t="shared" si="3680"/>
        <v/>
      </c>
      <c r="EO244" s="44" t="str">
        <f t="shared" si="3681"/>
        <v/>
      </c>
      <c r="EP244" s="44" t="str">
        <f t="shared" si="3682"/>
        <v/>
      </c>
      <c r="EQ244" s="44" t="str">
        <f t="shared" si="3683"/>
        <v/>
      </c>
      <c r="ER244" s="44" t="str">
        <f t="shared" si="3684"/>
        <v/>
      </c>
      <c r="ES244" s="44" t="str">
        <f t="shared" si="3685"/>
        <v/>
      </c>
      <c r="ET244" s="44" t="str">
        <f t="shared" si="3686"/>
        <v/>
      </c>
      <c r="EU244" s="44" t="str">
        <f t="shared" si="3687"/>
        <v/>
      </c>
      <c r="EV244" s="44" t="str">
        <f t="shared" si="3688"/>
        <v/>
      </c>
      <c r="EW244" s="44" t="str">
        <f t="shared" si="3689"/>
        <v/>
      </c>
      <c r="EX244" s="44" t="str">
        <f t="shared" si="3690"/>
        <v/>
      </c>
      <c r="EY244" s="44" t="str">
        <f t="shared" si="3691"/>
        <v/>
      </c>
      <c r="EZ244" s="44" t="str">
        <f t="shared" si="3692"/>
        <v/>
      </c>
      <c r="FA244" s="44" t="str">
        <f t="shared" si="3693"/>
        <v/>
      </c>
      <c r="FB244" s="44" t="str">
        <f t="shared" si="3694"/>
        <v/>
      </c>
      <c r="FC244" s="44" t="str">
        <f t="shared" si="3695"/>
        <v/>
      </c>
      <c r="FD244" s="44" t="str">
        <f t="shared" si="3696"/>
        <v/>
      </c>
      <c r="FE244" s="44" t="str">
        <f t="shared" si="3697"/>
        <v/>
      </c>
      <c r="FF244" s="44" t="str">
        <f t="shared" si="3698"/>
        <v/>
      </c>
      <c r="FG244" s="44" t="str">
        <f t="shared" si="3699"/>
        <v/>
      </c>
      <c r="FH244" s="44" t="str">
        <f t="shared" si="3700"/>
        <v/>
      </c>
      <c r="FI244" s="44" t="str">
        <f t="shared" si="3701"/>
        <v/>
      </c>
      <c r="FJ244" s="44" t="str">
        <f t="shared" si="3702"/>
        <v/>
      </c>
      <c r="FK244" s="44" t="str">
        <f t="shared" si="3703"/>
        <v/>
      </c>
      <c r="FL244" s="44" t="str">
        <f t="shared" si="3704"/>
        <v/>
      </c>
      <c r="FM244" s="44" t="str">
        <f t="shared" si="3705"/>
        <v/>
      </c>
      <c r="FN244" s="44" t="str">
        <f t="shared" si="3706"/>
        <v/>
      </c>
      <c r="FO244" s="44" t="str">
        <f t="shared" si="3707"/>
        <v/>
      </c>
      <c r="FP244" s="44" t="str">
        <f t="shared" si="3708"/>
        <v/>
      </c>
      <c r="FQ244" s="44" t="str">
        <f t="shared" si="3709"/>
        <v/>
      </c>
      <c r="FR244" s="44" t="str">
        <f t="shared" si="3710"/>
        <v/>
      </c>
      <c r="FS244" s="44" t="str">
        <f t="shared" si="3711"/>
        <v/>
      </c>
    </row>
    <row r="245" spans="1:175">
      <c r="A245" s="8"/>
      <c r="B245" s="8"/>
      <c r="C245" s="8"/>
      <c r="T245" s="110"/>
      <c r="U245" s="60"/>
      <c r="CN245" s="13" t="str">
        <f t="shared" ref="CN245:CN253" si="3712">"InitUnitState('"&amp;B245&amp;"',"&amp;V245&amp;","&amp;W245&amp;","&amp;X245&amp;","&amp;Y245&amp;","&amp;Z245&amp;","&amp;AA245&amp;","&amp;AB245&amp;","&amp;AC245&amp;","&amp;AD245&amp;","&amp;AE245&amp;")"</f>
        <v>InitUnitState('',,,,,,,,,,)</v>
      </c>
      <c r="CO245" s="13" t="str">
        <f t="shared" ref="CO245:CO253" si="3713">"InitUnitNormal('"&amp;B245&amp;"',"&amp;AF245&amp;","&amp;AG245&amp;","&amp;AH245&amp;","&amp;AI245&amp;","&amp;AJ245&amp;","&amp;AK245&amp;","&amp;AL245&amp;","&amp;AM245&amp;","&amp;AN245&amp;","&amp;AO245&amp;")"</f>
        <v>InitUnitNormal('',,,,,,,,,,)</v>
      </c>
      <c r="CP245" s="13" t="str">
        <f t="shared" ref="CP245:CP253" si="3714">"InitUnitMagic('"&amp;B245&amp;"',"&amp;AP245&amp;","&amp;AQ245&amp;","&amp;AR245&amp;","&amp;AS245&amp;","&amp;AT245&amp;","&amp;AU245&amp;","&amp;AV245&amp;","&amp;AW245&amp;","&amp;BI245&amp;","&amp;BJ245&amp;")"</f>
        <v>InitUnitMagic('',,,,,,,,,,)</v>
      </c>
      <c r="CQ245" s="13" t="str">
        <f t="shared" ref="CQ245:CQ253" si="3715">"InitUnitAdd('"&amp;B245&amp;"',"&amp;BK245&amp;","&amp;BL245&amp;","&amp;BM245&amp;","&amp;BN245&amp;","&amp;BO245&amp;","&amp;BP245&amp;","&amp;BQ245&amp;","&amp;BR245&amp;","&amp;BS245&amp;","&amp;BT245&amp;")"</f>
        <v>InitUnitAdd('',,,,,,,,,,)</v>
      </c>
      <c r="CR245" s="13" t="str">
        <f t="shared" si="3569"/>
        <v>InitEquipData('',,"",,,,,'','','','','','',"")</v>
      </c>
      <c r="CU245" s="72" t="str">
        <f t="shared" si="3641"/>
        <v>|n</v>
      </c>
      <c r="CW245" s="7"/>
      <c r="CX245" s="7"/>
      <c r="CY245" s="7"/>
      <c r="CZ245" s="7"/>
      <c r="DA245" s="7"/>
      <c r="DB245" s="44" t="str">
        <f t="shared" si="3642"/>
        <v/>
      </c>
      <c r="DC245" s="44" t="str">
        <f t="shared" si="3643"/>
        <v/>
      </c>
      <c r="DD245" s="44" t="str">
        <f t="shared" si="3644"/>
        <v/>
      </c>
      <c r="DE245" s="44" t="str">
        <f t="shared" si="3645"/>
        <v/>
      </c>
      <c r="DF245" s="44" t="str">
        <f t="shared" si="3646"/>
        <v/>
      </c>
      <c r="DG245" s="44" t="str">
        <f t="shared" si="3647"/>
        <v/>
      </c>
      <c r="DH245" s="44" t="str">
        <f t="shared" si="3648"/>
        <v/>
      </c>
      <c r="DI245" s="44" t="str">
        <f t="shared" si="3649"/>
        <v/>
      </c>
      <c r="DJ245" s="44" t="str">
        <f t="shared" si="3650"/>
        <v/>
      </c>
      <c r="DK245" s="44" t="str">
        <f t="shared" si="3651"/>
        <v/>
      </c>
      <c r="DL245" s="44" t="str">
        <f t="shared" si="3652"/>
        <v/>
      </c>
      <c r="DM245" s="44" t="str">
        <f t="shared" si="3653"/>
        <v/>
      </c>
      <c r="DN245" s="44" t="str">
        <f t="shared" si="3654"/>
        <v/>
      </c>
      <c r="DO245" s="44" t="str">
        <f t="shared" si="3655"/>
        <v/>
      </c>
      <c r="DP245" s="44" t="str">
        <f t="shared" si="3656"/>
        <v/>
      </c>
      <c r="DQ245" s="44" t="str">
        <f t="shared" si="3657"/>
        <v/>
      </c>
      <c r="DR245" s="44" t="str">
        <f t="shared" si="3658"/>
        <v/>
      </c>
      <c r="DS245" s="44" t="str">
        <f t="shared" si="3659"/>
        <v/>
      </c>
      <c r="DT245" s="44" t="str">
        <f t="shared" si="3660"/>
        <v/>
      </c>
      <c r="DU245" s="44" t="str">
        <f t="shared" si="3661"/>
        <v/>
      </c>
      <c r="DV245" s="44" t="str">
        <f t="shared" si="3662"/>
        <v/>
      </c>
      <c r="DW245" s="44" t="str">
        <f t="shared" si="3663"/>
        <v/>
      </c>
      <c r="DX245" s="44" t="str">
        <f t="shared" si="3664"/>
        <v/>
      </c>
      <c r="DY245" s="44" t="str">
        <f t="shared" si="3665"/>
        <v/>
      </c>
      <c r="DZ245" s="44" t="str">
        <f t="shared" si="3666"/>
        <v/>
      </c>
      <c r="EA245" s="44" t="str">
        <f t="shared" si="3667"/>
        <v/>
      </c>
      <c r="EB245" s="44" t="str">
        <f t="shared" si="3668"/>
        <v/>
      </c>
      <c r="EC245" s="44" t="str">
        <f t="shared" si="3669"/>
        <v/>
      </c>
      <c r="ED245" s="44" t="str">
        <f t="shared" si="3670"/>
        <v/>
      </c>
      <c r="EE245" s="44" t="str">
        <f t="shared" si="3671"/>
        <v/>
      </c>
      <c r="EF245" s="44" t="str">
        <f t="shared" si="3672"/>
        <v/>
      </c>
      <c r="EG245" s="44" t="str">
        <f t="shared" si="3673"/>
        <v/>
      </c>
      <c r="EH245" s="44" t="str">
        <f t="shared" si="3674"/>
        <v/>
      </c>
      <c r="EI245" s="44" t="str">
        <f t="shared" si="3675"/>
        <v/>
      </c>
      <c r="EJ245" s="44" t="str">
        <f t="shared" si="3676"/>
        <v/>
      </c>
      <c r="EK245" s="44" t="str">
        <f t="shared" si="3677"/>
        <v/>
      </c>
      <c r="EL245" s="44" t="str">
        <f t="shared" si="3678"/>
        <v/>
      </c>
      <c r="EM245" s="44" t="str">
        <f t="shared" si="3679"/>
        <v/>
      </c>
      <c r="EN245" s="44" t="str">
        <f t="shared" si="3680"/>
        <v/>
      </c>
      <c r="EO245" s="44" t="str">
        <f t="shared" si="3681"/>
        <v/>
      </c>
      <c r="EP245" s="44" t="str">
        <f t="shared" si="3682"/>
        <v/>
      </c>
      <c r="EQ245" s="44" t="str">
        <f t="shared" si="3683"/>
        <v/>
      </c>
      <c r="ER245" s="44" t="str">
        <f t="shared" si="3684"/>
        <v/>
      </c>
      <c r="ES245" s="44" t="str">
        <f t="shared" si="3685"/>
        <v/>
      </c>
      <c r="ET245" s="44" t="str">
        <f t="shared" si="3686"/>
        <v/>
      </c>
      <c r="EU245" s="44" t="str">
        <f t="shared" si="3687"/>
        <v/>
      </c>
      <c r="EV245" s="44" t="str">
        <f t="shared" si="3688"/>
        <v/>
      </c>
      <c r="EW245" s="44" t="str">
        <f t="shared" si="3689"/>
        <v/>
      </c>
      <c r="EX245" s="44" t="str">
        <f t="shared" si="3690"/>
        <v/>
      </c>
      <c r="EY245" s="44" t="str">
        <f t="shared" si="3691"/>
        <v/>
      </c>
      <c r="EZ245" s="44" t="str">
        <f t="shared" si="3692"/>
        <v/>
      </c>
      <c r="FA245" s="44" t="str">
        <f t="shared" si="3693"/>
        <v/>
      </c>
      <c r="FB245" s="44" t="str">
        <f t="shared" si="3694"/>
        <v/>
      </c>
      <c r="FC245" s="44" t="str">
        <f t="shared" si="3695"/>
        <v/>
      </c>
      <c r="FD245" s="44" t="str">
        <f t="shared" si="3696"/>
        <v/>
      </c>
      <c r="FE245" s="44" t="str">
        <f t="shared" si="3697"/>
        <v/>
      </c>
      <c r="FF245" s="44" t="str">
        <f t="shared" si="3698"/>
        <v/>
      </c>
      <c r="FG245" s="44" t="str">
        <f t="shared" si="3699"/>
        <v/>
      </c>
      <c r="FH245" s="44" t="str">
        <f t="shared" si="3700"/>
        <v/>
      </c>
      <c r="FI245" s="44" t="str">
        <f t="shared" si="3701"/>
        <v/>
      </c>
      <c r="FJ245" s="44" t="str">
        <f t="shared" si="3702"/>
        <v/>
      </c>
      <c r="FK245" s="44" t="str">
        <f t="shared" si="3703"/>
        <v/>
      </c>
      <c r="FL245" s="44" t="str">
        <f t="shared" si="3704"/>
        <v/>
      </c>
      <c r="FM245" s="44" t="str">
        <f t="shared" si="3705"/>
        <v/>
      </c>
      <c r="FN245" s="44" t="str">
        <f t="shared" si="3706"/>
        <v/>
      </c>
      <c r="FO245" s="44" t="str">
        <f t="shared" si="3707"/>
        <v/>
      </c>
      <c r="FP245" s="44" t="str">
        <f t="shared" si="3708"/>
        <v/>
      </c>
      <c r="FQ245" s="44" t="str">
        <f t="shared" si="3709"/>
        <v/>
      </c>
      <c r="FR245" s="44" t="str">
        <f t="shared" si="3710"/>
        <v/>
      </c>
      <c r="FS245" s="44" t="str">
        <f t="shared" si="3711"/>
        <v/>
      </c>
    </row>
    <row r="246" s="7" customFormat="1" ht="15" spans="1:175">
      <c r="A246" s="102"/>
      <c r="B246" s="46"/>
      <c r="C246" s="102"/>
      <c r="D246" s="47"/>
      <c r="E246" s="48"/>
      <c r="F246" s="103"/>
      <c r="G246" s="104"/>
      <c r="H246" s="104"/>
      <c r="I246" s="104"/>
      <c r="J246" s="104"/>
      <c r="K246" s="104"/>
      <c r="L246" s="104"/>
      <c r="M246" s="104"/>
      <c r="N246" s="104"/>
      <c r="O246" s="104"/>
      <c r="P246" s="54"/>
      <c r="Q246" s="54"/>
      <c r="R246" s="54"/>
      <c r="S246" s="54"/>
      <c r="T246" s="63"/>
      <c r="U246" s="60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  <c r="AL246" s="61"/>
      <c r="AM246" s="61"/>
      <c r="AN246" s="61"/>
      <c r="AO246" s="61"/>
      <c r="AP246" s="61"/>
      <c r="AQ246" s="61"/>
      <c r="AR246" s="67"/>
      <c r="AS246" s="67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70" t="str">
        <f t="shared" si="3712"/>
        <v>InitUnitState('',,,,,,,,,,)</v>
      </c>
      <c r="CO246" s="70" t="str">
        <f t="shared" si="3713"/>
        <v>InitUnitNormal('',,,,,,,,,,)</v>
      </c>
      <c r="CP246" s="70" t="str">
        <f t="shared" si="3714"/>
        <v>InitUnitMagic('',,,,,,,,,,)</v>
      </c>
      <c r="CQ246" s="70" t="str">
        <f t="shared" si="3715"/>
        <v>InitUnitAdd('',,,,,,,,,,)</v>
      </c>
      <c r="CR246" s="70" t="str">
        <f t="shared" si="3569"/>
        <v>InitEquipData('',,"",,,,,'','','','','','',"")</v>
      </c>
      <c r="CS246" s="70"/>
      <c r="CT246" s="70"/>
      <c r="CU246" s="72" t="str">
        <f t="shared" si="3641"/>
        <v>|n</v>
      </c>
      <c r="CV246" s="6"/>
      <c r="DB246" s="44" t="str">
        <f t="shared" si="3642"/>
        <v/>
      </c>
      <c r="DC246" s="44" t="str">
        <f t="shared" si="3643"/>
        <v/>
      </c>
      <c r="DD246" s="44" t="str">
        <f t="shared" si="3644"/>
        <v/>
      </c>
      <c r="DE246" s="44" t="str">
        <f t="shared" si="3645"/>
        <v/>
      </c>
      <c r="DF246" s="44" t="str">
        <f t="shared" si="3646"/>
        <v/>
      </c>
      <c r="DG246" s="44" t="str">
        <f t="shared" si="3647"/>
        <v/>
      </c>
      <c r="DH246" s="44" t="str">
        <f t="shared" si="3648"/>
        <v/>
      </c>
      <c r="DI246" s="44" t="str">
        <f t="shared" si="3649"/>
        <v/>
      </c>
      <c r="DJ246" s="44" t="str">
        <f t="shared" si="3650"/>
        <v/>
      </c>
      <c r="DK246" s="44" t="str">
        <f t="shared" si="3651"/>
        <v/>
      </c>
      <c r="DL246" s="44" t="str">
        <f t="shared" si="3652"/>
        <v/>
      </c>
      <c r="DM246" s="44" t="str">
        <f t="shared" si="3653"/>
        <v/>
      </c>
      <c r="DN246" s="44" t="str">
        <f t="shared" si="3654"/>
        <v/>
      </c>
      <c r="DO246" s="44" t="str">
        <f t="shared" si="3655"/>
        <v/>
      </c>
      <c r="DP246" s="44" t="str">
        <f t="shared" si="3656"/>
        <v/>
      </c>
      <c r="DQ246" s="44" t="str">
        <f t="shared" si="3657"/>
        <v/>
      </c>
      <c r="DR246" s="44" t="str">
        <f t="shared" si="3658"/>
        <v/>
      </c>
      <c r="DS246" s="44" t="str">
        <f t="shared" si="3659"/>
        <v/>
      </c>
      <c r="DT246" s="44" t="str">
        <f t="shared" si="3660"/>
        <v/>
      </c>
      <c r="DU246" s="44" t="str">
        <f t="shared" si="3661"/>
        <v/>
      </c>
      <c r="DV246" s="44" t="str">
        <f t="shared" si="3662"/>
        <v/>
      </c>
      <c r="DW246" s="44" t="str">
        <f t="shared" si="3663"/>
        <v/>
      </c>
      <c r="DX246" s="44" t="str">
        <f t="shared" si="3664"/>
        <v/>
      </c>
      <c r="DY246" s="44" t="str">
        <f t="shared" si="3665"/>
        <v/>
      </c>
      <c r="DZ246" s="44" t="str">
        <f t="shared" si="3666"/>
        <v/>
      </c>
      <c r="EA246" s="44" t="str">
        <f t="shared" si="3667"/>
        <v/>
      </c>
      <c r="EB246" s="44" t="str">
        <f t="shared" si="3668"/>
        <v/>
      </c>
      <c r="EC246" s="44" t="str">
        <f t="shared" si="3669"/>
        <v/>
      </c>
      <c r="ED246" s="44" t="str">
        <f t="shared" si="3670"/>
        <v/>
      </c>
      <c r="EE246" s="44" t="str">
        <f t="shared" si="3671"/>
        <v/>
      </c>
      <c r="EF246" s="44" t="str">
        <f t="shared" si="3672"/>
        <v/>
      </c>
      <c r="EG246" s="44" t="str">
        <f t="shared" si="3673"/>
        <v/>
      </c>
      <c r="EH246" s="44" t="str">
        <f t="shared" si="3674"/>
        <v/>
      </c>
      <c r="EI246" s="44" t="str">
        <f t="shared" si="3675"/>
        <v/>
      </c>
      <c r="EJ246" s="44" t="str">
        <f t="shared" si="3676"/>
        <v/>
      </c>
      <c r="EK246" s="44" t="str">
        <f t="shared" si="3677"/>
        <v/>
      </c>
      <c r="EL246" s="44" t="str">
        <f t="shared" si="3678"/>
        <v/>
      </c>
      <c r="EM246" s="44" t="str">
        <f t="shared" si="3679"/>
        <v/>
      </c>
      <c r="EN246" s="44" t="str">
        <f t="shared" si="3680"/>
        <v/>
      </c>
      <c r="EO246" s="44" t="str">
        <f t="shared" si="3681"/>
        <v/>
      </c>
      <c r="EP246" s="44" t="str">
        <f t="shared" si="3682"/>
        <v/>
      </c>
      <c r="EQ246" s="44" t="str">
        <f t="shared" si="3683"/>
        <v/>
      </c>
      <c r="ER246" s="44" t="str">
        <f t="shared" si="3684"/>
        <v/>
      </c>
      <c r="ES246" s="44" t="str">
        <f t="shared" si="3685"/>
        <v/>
      </c>
      <c r="ET246" s="44" t="str">
        <f t="shared" si="3686"/>
        <v/>
      </c>
      <c r="EU246" s="44" t="str">
        <f t="shared" si="3687"/>
        <v/>
      </c>
      <c r="EV246" s="44" t="str">
        <f t="shared" si="3688"/>
        <v/>
      </c>
      <c r="EW246" s="44" t="str">
        <f t="shared" si="3689"/>
        <v/>
      </c>
      <c r="EX246" s="44" t="str">
        <f t="shared" si="3690"/>
        <v/>
      </c>
      <c r="EY246" s="44" t="str">
        <f t="shared" si="3691"/>
        <v/>
      </c>
      <c r="EZ246" s="44" t="str">
        <f t="shared" si="3692"/>
        <v/>
      </c>
      <c r="FA246" s="44" t="str">
        <f t="shared" si="3693"/>
        <v/>
      </c>
      <c r="FB246" s="44" t="str">
        <f t="shared" si="3694"/>
        <v/>
      </c>
      <c r="FC246" s="44" t="str">
        <f t="shared" si="3695"/>
        <v/>
      </c>
      <c r="FD246" s="44" t="str">
        <f t="shared" si="3696"/>
        <v/>
      </c>
      <c r="FE246" s="44" t="str">
        <f t="shared" si="3697"/>
        <v/>
      </c>
      <c r="FF246" s="44" t="str">
        <f t="shared" si="3698"/>
        <v/>
      </c>
      <c r="FG246" s="44" t="str">
        <f t="shared" si="3699"/>
        <v/>
      </c>
      <c r="FH246" s="44" t="str">
        <f t="shared" si="3700"/>
        <v/>
      </c>
      <c r="FI246" s="44" t="str">
        <f t="shared" si="3701"/>
        <v/>
      </c>
      <c r="FJ246" s="44" t="str">
        <f t="shared" si="3702"/>
        <v/>
      </c>
      <c r="FK246" s="44" t="str">
        <f t="shared" si="3703"/>
        <v/>
      </c>
      <c r="FL246" s="44" t="str">
        <f t="shared" si="3704"/>
        <v/>
      </c>
      <c r="FM246" s="44" t="str">
        <f t="shared" si="3705"/>
        <v/>
      </c>
      <c r="FN246" s="44" t="str">
        <f t="shared" si="3706"/>
        <v/>
      </c>
      <c r="FO246" s="44" t="str">
        <f t="shared" si="3707"/>
        <v/>
      </c>
      <c r="FP246" s="44" t="str">
        <f t="shared" si="3708"/>
        <v/>
      </c>
      <c r="FQ246" s="44" t="str">
        <f t="shared" si="3709"/>
        <v/>
      </c>
      <c r="FR246" s="44" t="str">
        <f t="shared" si="3710"/>
        <v/>
      </c>
      <c r="FS246" s="44" t="str">
        <f t="shared" si="3711"/>
        <v/>
      </c>
    </row>
    <row r="247" s="7" customFormat="1" ht="15" spans="1:175">
      <c r="A247" s="102"/>
      <c r="B247" s="46"/>
      <c r="C247" s="102"/>
      <c r="D247" s="47"/>
      <c r="E247" s="48"/>
      <c r="F247" s="103"/>
      <c r="G247" s="104"/>
      <c r="H247" s="104"/>
      <c r="I247" s="104"/>
      <c r="J247" s="104"/>
      <c r="K247" s="104"/>
      <c r="L247" s="104"/>
      <c r="M247" s="104"/>
      <c r="N247" s="104"/>
      <c r="O247" s="104"/>
      <c r="P247" s="54"/>
      <c r="Q247" s="54"/>
      <c r="R247" s="54"/>
      <c r="S247" s="54"/>
      <c r="T247" s="63"/>
      <c r="U247" s="60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7"/>
      <c r="AS247" s="67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70" t="str">
        <f t="shared" si="3712"/>
        <v>InitUnitState('',,,,,,,,,,)</v>
      </c>
      <c r="CO247" s="70" t="str">
        <f t="shared" si="3713"/>
        <v>InitUnitNormal('',,,,,,,,,,)</v>
      </c>
      <c r="CP247" s="70" t="str">
        <f t="shared" si="3714"/>
        <v>InitUnitMagic('',,,,,,,,,,)</v>
      </c>
      <c r="CQ247" s="70" t="str">
        <f t="shared" si="3715"/>
        <v>InitUnitAdd('',,,,,,,,,,)</v>
      </c>
      <c r="CR247" s="70" t="str">
        <f t="shared" si="3569"/>
        <v>InitEquipData('',,"",,,,,'','','','','','',"")</v>
      </c>
      <c r="CS247" s="70"/>
      <c r="CT247" s="70"/>
      <c r="CU247" s="72" t="str">
        <f t="shared" si="3641"/>
        <v>|n</v>
      </c>
      <c r="CV247" s="6"/>
      <c r="DB247" s="44" t="str">
        <f t="shared" si="3642"/>
        <v/>
      </c>
      <c r="DC247" s="44" t="str">
        <f t="shared" si="3643"/>
        <v/>
      </c>
      <c r="DD247" s="44" t="str">
        <f t="shared" si="3644"/>
        <v/>
      </c>
      <c r="DE247" s="44" t="str">
        <f t="shared" si="3645"/>
        <v/>
      </c>
      <c r="DF247" s="44" t="str">
        <f t="shared" si="3646"/>
        <v/>
      </c>
      <c r="DG247" s="44" t="str">
        <f t="shared" si="3647"/>
        <v/>
      </c>
      <c r="DH247" s="44" t="str">
        <f t="shared" si="3648"/>
        <v/>
      </c>
      <c r="DI247" s="44" t="str">
        <f t="shared" si="3649"/>
        <v/>
      </c>
      <c r="DJ247" s="44" t="str">
        <f t="shared" si="3650"/>
        <v/>
      </c>
      <c r="DK247" s="44" t="str">
        <f t="shared" si="3651"/>
        <v/>
      </c>
      <c r="DL247" s="44" t="str">
        <f t="shared" si="3652"/>
        <v/>
      </c>
      <c r="DM247" s="44" t="str">
        <f t="shared" si="3653"/>
        <v/>
      </c>
      <c r="DN247" s="44" t="str">
        <f t="shared" si="3654"/>
        <v/>
      </c>
      <c r="DO247" s="44" t="str">
        <f t="shared" si="3655"/>
        <v/>
      </c>
      <c r="DP247" s="44" t="str">
        <f t="shared" si="3656"/>
        <v/>
      </c>
      <c r="DQ247" s="44" t="str">
        <f t="shared" si="3657"/>
        <v/>
      </c>
      <c r="DR247" s="44" t="str">
        <f t="shared" si="3658"/>
        <v/>
      </c>
      <c r="DS247" s="44" t="str">
        <f t="shared" si="3659"/>
        <v/>
      </c>
      <c r="DT247" s="44" t="str">
        <f t="shared" si="3660"/>
        <v/>
      </c>
      <c r="DU247" s="44" t="str">
        <f t="shared" si="3661"/>
        <v/>
      </c>
      <c r="DV247" s="44" t="str">
        <f t="shared" si="3662"/>
        <v/>
      </c>
      <c r="DW247" s="44" t="str">
        <f t="shared" si="3663"/>
        <v/>
      </c>
      <c r="DX247" s="44" t="str">
        <f t="shared" si="3664"/>
        <v/>
      </c>
      <c r="DY247" s="44" t="str">
        <f t="shared" si="3665"/>
        <v/>
      </c>
      <c r="DZ247" s="44" t="str">
        <f t="shared" si="3666"/>
        <v/>
      </c>
      <c r="EA247" s="44" t="str">
        <f t="shared" si="3667"/>
        <v/>
      </c>
      <c r="EB247" s="44" t="str">
        <f t="shared" si="3668"/>
        <v/>
      </c>
      <c r="EC247" s="44" t="str">
        <f t="shared" si="3669"/>
        <v/>
      </c>
      <c r="ED247" s="44" t="str">
        <f t="shared" si="3670"/>
        <v/>
      </c>
      <c r="EE247" s="44" t="str">
        <f t="shared" si="3671"/>
        <v/>
      </c>
      <c r="EF247" s="44" t="str">
        <f t="shared" si="3672"/>
        <v/>
      </c>
      <c r="EG247" s="44" t="str">
        <f t="shared" si="3673"/>
        <v/>
      </c>
      <c r="EH247" s="44" t="str">
        <f t="shared" si="3674"/>
        <v/>
      </c>
      <c r="EI247" s="44" t="str">
        <f t="shared" si="3675"/>
        <v/>
      </c>
      <c r="EJ247" s="44" t="str">
        <f t="shared" si="3676"/>
        <v/>
      </c>
      <c r="EK247" s="44" t="str">
        <f t="shared" si="3677"/>
        <v/>
      </c>
      <c r="EL247" s="44" t="str">
        <f t="shared" si="3678"/>
        <v/>
      </c>
      <c r="EM247" s="44" t="str">
        <f t="shared" si="3679"/>
        <v/>
      </c>
      <c r="EN247" s="44" t="str">
        <f t="shared" si="3680"/>
        <v/>
      </c>
      <c r="EO247" s="44" t="str">
        <f t="shared" si="3681"/>
        <v/>
      </c>
      <c r="EP247" s="44" t="str">
        <f t="shared" si="3682"/>
        <v/>
      </c>
      <c r="EQ247" s="44" t="str">
        <f t="shared" si="3683"/>
        <v/>
      </c>
      <c r="ER247" s="44" t="str">
        <f t="shared" si="3684"/>
        <v/>
      </c>
      <c r="ES247" s="44" t="str">
        <f t="shared" si="3685"/>
        <v/>
      </c>
      <c r="ET247" s="44" t="str">
        <f t="shared" si="3686"/>
        <v/>
      </c>
      <c r="EU247" s="44" t="str">
        <f t="shared" si="3687"/>
        <v/>
      </c>
      <c r="EV247" s="44" t="str">
        <f t="shared" si="3688"/>
        <v/>
      </c>
      <c r="EW247" s="44" t="str">
        <f t="shared" si="3689"/>
        <v/>
      </c>
      <c r="EX247" s="44" t="str">
        <f t="shared" si="3690"/>
        <v/>
      </c>
      <c r="EY247" s="44" t="str">
        <f t="shared" si="3691"/>
        <v/>
      </c>
      <c r="EZ247" s="44" t="str">
        <f t="shared" si="3692"/>
        <v/>
      </c>
      <c r="FA247" s="44" t="str">
        <f t="shared" si="3693"/>
        <v/>
      </c>
      <c r="FB247" s="44" t="str">
        <f t="shared" si="3694"/>
        <v/>
      </c>
      <c r="FC247" s="44" t="str">
        <f t="shared" si="3695"/>
        <v/>
      </c>
      <c r="FD247" s="44" t="str">
        <f t="shared" si="3696"/>
        <v/>
      </c>
      <c r="FE247" s="44" t="str">
        <f t="shared" si="3697"/>
        <v/>
      </c>
      <c r="FF247" s="44" t="str">
        <f t="shared" si="3698"/>
        <v/>
      </c>
      <c r="FG247" s="44" t="str">
        <f t="shared" si="3699"/>
        <v/>
      </c>
      <c r="FH247" s="44" t="str">
        <f t="shared" si="3700"/>
        <v/>
      </c>
      <c r="FI247" s="44" t="str">
        <f t="shared" si="3701"/>
        <v/>
      </c>
      <c r="FJ247" s="44" t="str">
        <f t="shared" si="3702"/>
        <v/>
      </c>
      <c r="FK247" s="44" t="str">
        <f t="shared" si="3703"/>
        <v/>
      </c>
      <c r="FL247" s="44" t="str">
        <f t="shared" si="3704"/>
        <v/>
      </c>
      <c r="FM247" s="44" t="str">
        <f t="shared" si="3705"/>
        <v/>
      </c>
      <c r="FN247" s="44" t="str">
        <f t="shared" si="3706"/>
        <v/>
      </c>
      <c r="FO247" s="44" t="str">
        <f t="shared" si="3707"/>
        <v/>
      </c>
      <c r="FP247" s="44" t="str">
        <f t="shared" si="3708"/>
        <v/>
      </c>
      <c r="FQ247" s="44" t="str">
        <f t="shared" si="3709"/>
        <v/>
      </c>
      <c r="FR247" s="44" t="str">
        <f t="shared" si="3710"/>
        <v/>
      </c>
      <c r="FS247" s="44" t="str">
        <f t="shared" si="3711"/>
        <v/>
      </c>
    </row>
    <row r="248" s="7" customFormat="1" ht="15" spans="1:175">
      <c r="A248" s="102"/>
      <c r="B248" s="46"/>
      <c r="C248" s="102"/>
      <c r="D248" s="47"/>
      <c r="E248" s="48"/>
      <c r="F248" s="103"/>
      <c r="G248" s="104"/>
      <c r="H248" s="104"/>
      <c r="I248" s="104"/>
      <c r="J248" s="104"/>
      <c r="K248" s="104"/>
      <c r="L248" s="104"/>
      <c r="M248" s="104"/>
      <c r="N248" s="104"/>
      <c r="O248" s="104"/>
      <c r="P248" s="54"/>
      <c r="Q248" s="54"/>
      <c r="R248" s="54"/>
      <c r="S248" s="54"/>
      <c r="T248" s="63"/>
      <c r="U248" s="60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7"/>
      <c r="AS248" s="67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70" t="str">
        <f t="shared" si="3712"/>
        <v>InitUnitState('',,,,,,,,,,)</v>
      </c>
      <c r="CO248" s="70" t="str">
        <f t="shared" si="3713"/>
        <v>InitUnitNormal('',,,,,,,,,,)</v>
      </c>
      <c r="CP248" s="70" t="str">
        <f t="shared" si="3714"/>
        <v>InitUnitMagic('',,,,,,,,,,)</v>
      </c>
      <c r="CQ248" s="70" t="str">
        <f t="shared" si="3715"/>
        <v>InitUnitAdd('',,,,,,,,,,)</v>
      </c>
      <c r="CR248" s="70" t="str">
        <f t="shared" si="3569"/>
        <v>InitEquipData('',,"",,,,,'','','','','','',"")</v>
      </c>
      <c r="CS248" s="70"/>
      <c r="CT248" s="70"/>
      <c r="CU248" s="72" t="str">
        <f t="shared" si="3641"/>
        <v>|n</v>
      </c>
      <c r="CV248" s="6"/>
      <c r="DB248" s="44" t="str">
        <f t="shared" si="3642"/>
        <v/>
      </c>
      <c r="DC248" s="44" t="str">
        <f t="shared" si="3643"/>
        <v/>
      </c>
      <c r="DD248" s="44" t="str">
        <f t="shared" si="3644"/>
        <v/>
      </c>
      <c r="DE248" s="44" t="str">
        <f t="shared" si="3645"/>
        <v/>
      </c>
      <c r="DF248" s="44" t="str">
        <f t="shared" si="3646"/>
        <v/>
      </c>
      <c r="DG248" s="44" t="str">
        <f t="shared" si="3647"/>
        <v/>
      </c>
      <c r="DH248" s="44" t="str">
        <f t="shared" si="3648"/>
        <v/>
      </c>
      <c r="DI248" s="44" t="str">
        <f t="shared" si="3649"/>
        <v/>
      </c>
      <c r="DJ248" s="44" t="str">
        <f t="shared" si="3650"/>
        <v/>
      </c>
      <c r="DK248" s="44" t="str">
        <f t="shared" si="3651"/>
        <v/>
      </c>
      <c r="DL248" s="44" t="str">
        <f t="shared" si="3652"/>
        <v/>
      </c>
      <c r="DM248" s="44" t="str">
        <f t="shared" si="3653"/>
        <v/>
      </c>
      <c r="DN248" s="44" t="str">
        <f t="shared" si="3654"/>
        <v/>
      </c>
      <c r="DO248" s="44" t="str">
        <f t="shared" si="3655"/>
        <v/>
      </c>
      <c r="DP248" s="44" t="str">
        <f t="shared" si="3656"/>
        <v/>
      </c>
      <c r="DQ248" s="44" t="str">
        <f t="shared" si="3657"/>
        <v/>
      </c>
      <c r="DR248" s="44" t="str">
        <f t="shared" si="3658"/>
        <v/>
      </c>
      <c r="DS248" s="44" t="str">
        <f t="shared" si="3659"/>
        <v/>
      </c>
      <c r="DT248" s="44" t="str">
        <f t="shared" si="3660"/>
        <v/>
      </c>
      <c r="DU248" s="44" t="str">
        <f t="shared" si="3661"/>
        <v/>
      </c>
      <c r="DV248" s="44" t="str">
        <f t="shared" si="3662"/>
        <v/>
      </c>
      <c r="DW248" s="44" t="str">
        <f t="shared" si="3663"/>
        <v/>
      </c>
      <c r="DX248" s="44" t="str">
        <f t="shared" si="3664"/>
        <v/>
      </c>
      <c r="DY248" s="44" t="str">
        <f t="shared" si="3665"/>
        <v/>
      </c>
      <c r="DZ248" s="44" t="str">
        <f t="shared" si="3666"/>
        <v/>
      </c>
      <c r="EA248" s="44" t="str">
        <f t="shared" si="3667"/>
        <v/>
      </c>
      <c r="EB248" s="44" t="str">
        <f t="shared" si="3668"/>
        <v/>
      </c>
      <c r="EC248" s="44" t="str">
        <f t="shared" si="3669"/>
        <v/>
      </c>
      <c r="ED248" s="44" t="str">
        <f t="shared" si="3670"/>
        <v/>
      </c>
      <c r="EE248" s="44" t="str">
        <f t="shared" si="3671"/>
        <v/>
      </c>
      <c r="EF248" s="44" t="str">
        <f t="shared" si="3672"/>
        <v/>
      </c>
      <c r="EG248" s="44" t="str">
        <f t="shared" si="3673"/>
        <v/>
      </c>
      <c r="EH248" s="44" t="str">
        <f t="shared" si="3674"/>
        <v/>
      </c>
      <c r="EI248" s="44" t="str">
        <f t="shared" si="3675"/>
        <v/>
      </c>
      <c r="EJ248" s="44" t="str">
        <f t="shared" si="3676"/>
        <v/>
      </c>
      <c r="EK248" s="44" t="str">
        <f t="shared" si="3677"/>
        <v/>
      </c>
      <c r="EL248" s="44" t="str">
        <f t="shared" si="3678"/>
        <v/>
      </c>
      <c r="EM248" s="44" t="str">
        <f t="shared" si="3679"/>
        <v/>
      </c>
      <c r="EN248" s="44" t="str">
        <f t="shared" si="3680"/>
        <v/>
      </c>
      <c r="EO248" s="44" t="str">
        <f t="shared" si="3681"/>
        <v/>
      </c>
      <c r="EP248" s="44" t="str">
        <f t="shared" si="3682"/>
        <v/>
      </c>
      <c r="EQ248" s="44" t="str">
        <f t="shared" si="3683"/>
        <v/>
      </c>
      <c r="ER248" s="44" t="str">
        <f t="shared" si="3684"/>
        <v/>
      </c>
      <c r="ES248" s="44" t="str">
        <f t="shared" si="3685"/>
        <v/>
      </c>
      <c r="ET248" s="44" t="str">
        <f t="shared" si="3686"/>
        <v/>
      </c>
      <c r="EU248" s="44" t="str">
        <f t="shared" si="3687"/>
        <v/>
      </c>
      <c r="EV248" s="44" t="str">
        <f t="shared" si="3688"/>
        <v/>
      </c>
      <c r="EW248" s="44" t="str">
        <f t="shared" si="3689"/>
        <v/>
      </c>
      <c r="EX248" s="44" t="str">
        <f t="shared" si="3690"/>
        <v/>
      </c>
      <c r="EY248" s="44" t="str">
        <f t="shared" si="3691"/>
        <v/>
      </c>
      <c r="EZ248" s="44" t="str">
        <f t="shared" si="3692"/>
        <v/>
      </c>
      <c r="FA248" s="44" t="str">
        <f t="shared" si="3693"/>
        <v/>
      </c>
      <c r="FB248" s="44" t="str">
        <f t="shared" si="3694"/>
        <v/>
      </c>
      <c r="FC248" s="44" t="str">
        <f t="shared" si="3695"/>
        <v/>
      </c>
      <c r="FD248" s="44" t="str">
        <f t="shared" si="3696"/>
        <v/>
      </c>
      <c r="FE248" s="44" t="str">
        <f t="shared" si="3697"/>
        <v/>
      </c>
      <c r="FF248" s="44" t="str">
        <f t="shared" si="3698"/>
        <v/>
      </c>
      <c r="FG248" s="44" t="str">
        <f t="shared" si="3699"/>
        <v/>
      </c>
      <c r="FH248" s="44" t="str">
        <f t="shared" si="3700"/>
        <v/>
      </c>
      <c r="FI248" s="44" t="str">
        <f t="shared" si="3701"/>
        <v/>
      </c>
      <c r="FJ248" s="44" t="str">
        <f t="shared" si="3702"/>
        <v/>
      </c>
      <c r="FK248" s="44" t="str">
        <f t="shared" si="3703"/>
        <v/>
      </c>
      <c r="FL248" s="44" t="str">
        <f t="shared" si="3704"/>
        <v/>
      </c>
      <c r="FM248" s="44" t="str">
        <f t="shared" si="3705"/>
        <v/>
      </c>
      <c r="FN248" s="44" t="str">
        <f t="shared" si="3706"/>
        <v/>
      </c>
      <c r="FO248" s="44" t="str">
        <f t="shared" si="3707"/>
        <v/>
      </c>
      <c r="FP248" s="44" t="str">
        <f t="shared" si="3708"/>
        <v/>
      </c>
      <c r="FQ248" s="44" t="str">
        <f t="shared" si="3709"/>
        <v/>
      </c>
      <c r="FR248" s="44" t="str">
        <f t="shared" si="3710"/>
        <v/>
      </c>
      <c r="FS248" s="44" t="str">
        <f t="shared" si="3711"/>
        <v/>
      </c>
    </row>
    <row r="249" s="7" customFormat="1" ht="15" spans="1:175">
      <c r="A249" s="102"/>
      <c r="B249" s="46"/>
      <c r="C249" s="102"/>
      <c r="D249" s="47"/>
      <c r="E249" s="48"/>
      <c r="F249" s="103"/>
      <c r="G249" s="104"/>
      <c r="H249" s="104"/>
      <c r="I249" s="104"/>
      <c r="J249" s="104"/>
      <c r="K249" s="104"/>
      <c r="L249" s="104"/>
      <c r="M249" s="104"/>
      <c r="N249" s="104"/>
      <c r="O249" s="104"/>
      <c r="P249" s="54"/>
      <c r="Q249" s="54"/>
      <c r="R249" s="54"/>
      <c r="S249" s="54"/>
      <c r="T249" s="63"/>
      <c r="U249" s="60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7"/>
      <c r="AS249" s="67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1"/>
      <c r="CC249" s="61"/>
      <c r="CD249" s="61"/>
      <c r="CE249" s="61"/>
      <c r="CF249" s="61"/>
      <c r="CG249" s="61"/>
      <c r="CH249" s="61"/>
      <c r="CI249" s="61"/>
      <c r="CJ249" s="61"/>
      <c r="CK249" s="61"/>
      <c r="CL249" s="61"/>
      <c r="CM249" s="61"/>
      <c r="CN249" s="70" t="str">
        <f t="shared" si="3712"/>
        <v>InitUnitState('',,,,,,,,,,)</v>
      </c>
      <c r="CO249" s="70" t="str">
        <f t="shared" si="3713"/>
        <v>InitUnitNormal('',,,,,,,,,,)</v>
      </c>
      <c r="CP249" s="70" t="str">
        <f t="shared" si="3714"/>
        <v>InitUnitMagic('',,,,,,,,,,)</v>
      </c>
      <c r="CQ249" s="70" t="str">
        <f t="shared" si="3715"/>
        <v>InitUnitAdd('',,,,,,,,,,)</v>
      </c>
      <c r="CR249" s="70" t="str">
        <f t="shared" si="3569"/>
        <v>InitEquipData('',,"",,,,,'','','','','','',"")</v>
      </c>
      <c r="CS249" s="70"/>
      <c r="CT249" s="70"/>
      <c r="CU249" s="72" t="str">
        <f t="shared" si="3641"/>
        <v>|n</v>
      </c>
      <c r="CV249" s="6"/>
      <c r="DB249" s="44" t="str">
        <f t="shared" si="3642"/>
        <v/>
      </c>
      <c r="DC249" s="44" t="str">
        <f t="shared" si="3643"/>
        <v/>
      </c>
      <c r="DD249" s="44" t="str">
        <f t="shared" si="3644"/>
        <v/>
      </c>
      <c r="DE249" s="44" t="str">
        <f t="shared" si="3645"/>
        <v/>
      </c>
      <c r="DF249" s="44" t="str">
        <f t="shared" si="3646"/>
        <v/>
      </c>
      <c r="DG249" s="44" t="str">
        <f t="shared" si="3647"/>
        <v/>
      </c>
      <c r="DH249" s="44" t="str">
        <f t="shared" si="3648"/>
        <v/>
      </c>
      <c r="DI249" s="44" t="str">
        <f t="shared" si="3649"/>
        <v/>
      </c>
      <c r="DJ249" s="44" t="str">
        <f t="shared" si="3650"/>
        <v/>
      </c>
      <c r="DK249" s="44" t="str">
        <f t="shared" si="3651"/>
        <v/>
      </c>
      <c r="DL249" s="44" t="str">
        <f t="shared" si="3652"/>
        <v/>
      </c>
      <c r="DM249" s="44" t="str">
        <f t="shared" si="3653"/>
        <v/>
      </c>
      <c r="DN249" s="44" t="str">
        <f t="shared" si="3654"/>
        <v/>
      </c>
      <c r="DO249" s="44" t="str">
        <f t="shared" si="3655"/>
        <v/>
      </c>
      <c r="DP249" s="44" t="str">
        <f t="shared" si="3656"/>
        <v/>
      </c>
      <c r="DQ249" s="44" t="str">
        <f t="shared" si="3657"/>
        <v/>
      </c>
      <c r="DR249" s="44" t="str">
        <f t="shared" si="3658"/>
        <v/>
      </c>
      <c r="DS249" s="44" t="str">
        <f t="shared" si="3659"/>
        <v/>
      </c>
      <c r="DT249" s="44" t="str">
        <f t="shared" si="3660"/>
        <v/>
      </c>
      <c r="DU249" s="44" t="str">
        <f t="shared" si="3661"/>
        <v/>
      </c>
      <c r="DV249" s="44" t="str">
        <f t="shared" si="3662"/>
        <v/>
      </c>
      <c r="DW249" s="44" t="str">
        <f t="shared" si="3663"/>
        <v/>
      </c>
      <c r="DX249" s="44" t="str">
        <f t="shared" si="3664"/>
        <v/>
      </c>
      <c r="DY249" s="44" t="str">
        <f t="shared" si="3665"/>
        <v/>
      </c>
      <c r="DZ249" s="44" t="str">
        <f t="shared" si="3666"/>
        <v/>
      </c>
      <c r="EA249" s="44" t="str">
        <f t="shared" si="3667"/>
        <v/>
      </c>
      <c r="EB249" s="44" t="str">
        <f t="shared" si="3668"/>
        <v/>
      </c>
      <c r="EC249" s="44" t="str">
        <f t="shared" si="3669"/>
        <v/>
      </c>
      <c r="ED249" s="44" t="str">
        <f t="shared" si="3670"/>
        <v/>
      </c>
      <c r="EE249" s="44" t="str">
        <f t="shared" si="3671"/>
        <v/>
      </c>
      <c r="EF249" s="44" t="str">
        <f t="shared" si="3672"/>
        <v/>
      </c>
      <c r="EG249" s="44" t="str">
        <f t="shared" si="3673"/>
        <v/>
      </c>
      <c r="EH249" s="44" t="str">
        <f t="shared" si="3674"/>
        <v/>
      </c>
      <c r="EI249" s="44" t="str">
        <f t="shared" si="3675"/>
        <v/>
      </c>
      <c r="EJ249" s="44" t="str">
        <f t="shared" si="3676"/>
        <v/>
      </c>
      <c r="EK249" s="44" t="str">
        <f t="shared" si="3677"/>
        <v/>
      </c>
      <c r="EL249" s="44" t="str">
        <f t="shared" si="3678"/>
        <v/>
      </c>
      <c r="EM249" s="44" t="str">
        <f t="shared" si="3679"/>
        <v/>
      </c>
      <c r="EN249" s="44" t="str">
        <f t="shared" si="3680"/>
        <v/>
      </c>
      <c r="EO249" s="44" t="str">
        <f t="shared" si="3681"/>
        <v/>
      </c>
      <c r="EP249" s="44" t="str">
        <f t="shared" si="3682"/>
        <v/>
      </c>
      <c r="EQ249" s="44" t="str">
        <f t="shared" si="3683"/>
        <v/>
      </c>
      <c r="ER249" s="44" t="str">
        <f t="shared" si="3684"/>
        <v/>
      </c>
      <c r="ES249" s="44" t="str">
        <f t="shared" si="3685"/>
        <v/>
      </c>
      <c r="ET249" s="44" t="str">
        <f t="shared" si="3686"/>
        <v/>
      </c>
      <c r="EU249" s="44" t="str">
        <f t="shared" si="3687"/>
        <v/>
      </c>
      <c r="EV249" s="44" t="str">
        <f t="shared" si="3688"/>
        <v/>
      </c>
      <c r="EW249" s="44" t="str">
        <f t="shared" si="3689"/>
        <v/>
      </c>
      <c r="EX249" s="44" t="str">
        <f t="shared" si="3690"/>
        <v/>
      </c>
      <c r="EY249" s="44" t="str">
        <f t="shared" si="3691"/>
        <v/>
      </c>
      <c r="EZ249" s="44" t="str">
        <f t="shared" si="3692"/>
        <v/>
      </c>
      <c r="FA249" s="44" t="str">
        <f t="shared" si="3693"/>
        <v/>
      </c>
      <c r="FB249" s="44" t="str">
        <f t="shared" si="3694"/>
        <v/>
      </c>
      <c r="FC249" s="44" t="str">
        <f t="shared" si="3695"/>
        <v/>
      </c>
      <c r="FD249" s="44" t="str">
        <f t="shared" si="3696"/>
        <v/>
      </c>
      <c r="FE249" s="44" t="str">
        <f t="shared" si="3697"/>
        <v/>
      </c>
      <c r="FF249" s="44" t="str">
        <f t="shared" si="3698"/>
        <v/>
      </c>
      <c r="FG249" s="44" t="str">
        <f t="shared" si="3699"/>
        <v/>
      </c>
      <c r="FH249" s="44" t="str">
        <f t="shared" si="3700"/>
        <v/>
      </c>
      <c r="FI249" s="44" t="str">
        <f t="shared" si="3701"/>
        <v/>
      </c>
      <c r="FJ249" s="44" t="str">
        <f t="shared" si="3702"/>
        <v/>
      </c>
      <c r="FK249" s="44" t="str">
        <f t="shared" si="3703"/>
        <v/>
      </c>
      <c r="FL249" s="44" t="str">
        <f t="shared" si="3704"/>
        <v/>
      </c>
      <c r="FM249" s="44" t="str">
        <f t="shared" si="3705"/>
        <v/>
      </c>
      <c r="FN249" s="44" t="str">
        <f t="shared" si="3706"/>
        <v/>
      </c>
      <c r="FO249" s="44" t="str">
        <f t="shared" si="3707"/>
        <v/>
      </c>
      <c r="FP249" s="44" t="str">
        <f t="shared" si="3708"/>
        <v/>
      </c>
      <c r="FQ249" s="44" t="str">
        <f t="shared" si="3709"/>
        <v/>
      </c>
      <c r="FR249" s="44" t="str">
        <f t="shared" si="3710"/>
        <v/>
      </c>
      <c r="FS249" s="44" t="str">
        <f t="shared" si="3711"/>
        <v/>
      </c>
    </row>
    <row r="250" s="7" customFormat="1" ht="15" spans="1:175">
      <c r="A250" s="102"/>
      <c r="B250" s="46"/>
      <c r="C250" s="102"/>
      <c r="D250" s="47"/>
      <c r="E250" s="48"/>
      <c r="F250" s="103"/>
      <c r="G250" s="104"/>
      <c r="H250" s="104"/>
      <c r="I250" s="104"/>
      <c r="J250" s="104"/>
      <c r="K250" s="104"/>
      <c r="L250" s="104"/>
      <c r="M250" s="104"/>
      <c r="N250" s="104"/>
      <c r="O250" s="104"/>
      <c r="P250" s="54"/>
      <c r="Q250" s="54"/>
      <c r="R250" s="54"/>
      <c r="S250" s="54"/>
      <c r="T250" s="63"/>
      <c r="U250" s="60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7"/>
      <c r="AS250" s="67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1"/>
      <c r="CC250" s="61"/>
      <c r="CD250" s="61"/>
      <c r="CE250" s="61"/>
      <c r="CF250" s="61"/>
      <c r="CG250" s="61"/>
      <c r="CH250" s="61"/>
      <c r="CI250" s="61"/>
      <c r="CJ250" s="61"/>
      <c r="CK250" s="61"/>
      <c r="CL250" s="61"/>
      <c r="CM250" s="61"/>
      <c r="CN250" s="70" t="str">
        <f t="shared" si="3712"/>
        <v>InitUnitState('',,,,,,,,,,)</v>
      </c>
      <c r="CO250" s="70" t="str">
        <f t="shared" si="3713"/>
        <v>InitUnitNormal('',,,,,,,,,,)</v>
      </c>
      <c r="CP250" s="70" t="str">
        <f t="shared" si="3714"/>
        <v>InitUnitMagic('',,,,,,,,,,)</v>
      </c>
      <c r="CQ250" s="70" t="str">
        <f t="shared" si="3715"/>
        <v>InitUnitAdd('',,,,,,,,,,)</v>
      </c>
      <c r="CR250" s="70" t="str">
        <f t="shared" si="3569"/>
        <v>InitEquipData('',,"",,,,,'','','','','','',"")</v>
      </c>
      <c r="CS250" s="70"/>
      <c r="CT250" s="70"/>
      <c r="CU250" s="72" t="str">
        <f t="shared" si="3641"/>
        <v>|n</v>
      </c>
      <c r="CV250" s="6"/>
      <c r="DB250" s="44" t="str">
        <f t="shared" si="3642"/>
        <v/>
      </c>
      <c r="DC250" s="44" t="str">
        <f t="shared" si="3643"/>
        <v/>
      </c>
      <c r="DD250" s="44" t="str">
        <f t="shared" si="3644"/>
        <v/>
      </c>
      <c r="DE250" s="44" t="str">
        <f t="shared" si="3645"/>
        <v/>
      </c>
      <c r="DF250" s="44" t="str">
        <f t="shared" si="3646"/>
        <v/>
      </c>
      <c r="DG250" s="44" t="str">
        <f t="shared" si="3647"/>
        <v/>
      </c>
      <c r="DH250" s="44" t="str">
        <f t="shared" si="3648"/>
        <v/>
      </c>
      <c r="DI250" s="44" t="str">
        <f t="shared" si="3649"/>
        <v/>
      </c>
      <c r="DJ250" s="44" t="str">
        <f t="shared" si="3650"/>
        <v/>
      </c>
      <c r="DK250" s="44" t="str">
        <f t="shared" si="3651"/>
        <v/>
      </c>
      <c r="DL250" s="44" t="str">
        <f t="shared" si="3652"/>
        <v/>
      </c>
      <c r="DM250" s="44" t="str">
        <f t="shared" si="3653"/>
        <v/>
      </c>
      <c r="DN250" s="44" t="str">
        <f t="shared" si="3654"/>
        <v/>
      </c>
      <c r="DO250" s="44" t="str">
        <f t="shared" si="3655"/>
        <v/>
      </c>
      <c r="DP250" s="44" t="str">
        <f t="shared" si="3656"/>
        <v/>
      </c>
      <c r="DQ250" s="44" t="str">
        <f t="shared" si="3657"/>
        <v/>
      </c>
      <c r="DR250" s="44" t="str">
        <f t="shared" si="3658"/>
        <v/>
      </c>
      <c r="DS250" s="44" t="str">
        <f t="shared" si="3659"/>
        <v/>
      </c>
      <c r="DT250" s="44" t="str">
        <f t="shared" si="3660"/>
        <v/>
      </c>
      <c r="DU250" s="44" t="str">
        <f t="shared" si="3661"/>
        <v/>
      </c>
      <c r="DV250" s="44" t="str">
        <f t="shared" si="3662"/>
        <v/>
      </c>
      <c r="DW250" s="44" t="str">
        <f t="shared" si="3663"/>
        <v/>
      </c>
      <c r="DX250" s="44" t="str">
        <f t="shared" si="3664"/>
        <v/>
      </c>
      <c r="DY250" s="44" t="str">
        <f t="shared" si="3665"/>
        <v/>
      </c>
      <c r="DZ250" s="44" t="str">
        <f t="shared" si="3666"/>
        <v/>
      </c>
      <c r="EA250" s="44" t="str">
        <f t="shared" si="3667"/>
        <v/>
      </c>
      <c r="EB250" s="44" t="str">
        <f t="shared" si="3668"/>
        <v/>
      </c>
      <c r="EC250" s="44" t="str">
        <f t="shared" si="3669"/>
        <v/>
      </c>
      <c r="ED250" s="44" t="str">
        <f t="shared" si="3670"/>
        <v/>
      </c>
      <c r="EE250" s="44" t="str">
        <f t="shared" si="3671"/>
        <v/>
      </c>
      <c r="EF250" s="44" t="str">
        <f t="shared" si="3672"/>
        <v/>
      </c>
      <c r="EG250" s="44" t="str">
        <f t="shared" si="3673"/>
        <v/>
      </c>
      <c r="EH250" s="44" t="str">
        <f t="shared" si="3674"/>
        <v/>
      </c>
      <c r="EI250" s="44" t="str">
        <f t="shared" si="3675"/>
        <v/>
      </c>
      <c r="EJ250" s="44" t="str">
        <f t="shared" si="3676"/>
        <v/>
      </c>
      <c r="EK250" s="44" t="str">
        <f t="shared" si="3677"/>
        <v/>
      </c>
      <c r="EL250" s="44" t="str">
        <f t="shared" si="3678"/>
        <v/>
      </c>
      <c r="EM250" s="44" t="str">
        <f t="shared" si="3679"/>
        <v/>
      </c>
      <c r="EN250" s="44" t="str">
        <f t="shared" si="3680"/>
        <v/>
      </c>
      <c r="EO250" s="44" t="str">
        <f t="shared" si="3681"/>
        <v/>
      </c>
      <c r="EP250" s="44" t="str">
        <f t="shared" si="3682"/>
        <v/>
      </c>
      <c r="EQ250" s="44" t="str">
        <f t="shared" si="3683"/>
        <v/>
      </c>
      <c r="ER250" s="44" t="str">
        <f t="shared" si="3684"/>
        <v/>
      </c>
      <c r="ES250" s="44" t="str">
        <f t="shared" si="3685"/>
        <v/>
      </c>
      <c r="ET250" s="44" t="str">
        <f t="shared" si="3686"/>
        <v/>
      </c>
      <c r="EU250" s="44" t="str">
        <f t="shared" si="3687"/>
        <v/>
      </c>
      <c r="EV250" s="44" t="str">
        <f t="shared" si="3688"/>
        <v/>
      </c>
      <c r="EW250" s="44" t="str">
        <f t="shared" si="3689"/>
        <v/>
      </c>
      <c r="EX250" s="44" t="str">
        <f t="shared" si="3690"/>
        <v/>
      </c>
      <c r="EY250" s="44" t="str">
        <f t="shared" si="3691"/>
        <v/>
      </c>
      <c r="EZ250" s="44" t="str">
        <f t="shared" si="3692"/>
        <v/>
      </c>
      <c r="FA250" s="44" t="str">
        <f t="shared" si="3693"/>
        <v/>
      </c>
      <c r="FB250" s="44" t="str">
        <f t="shared" si="3694"/>
        <v/>
      </c>
      <c r="FC250" s="44" t="str">
        <f t="shared" si="3695"/>
        <v/>
      </c>
      <c r="FD250" s="44" t="str">
        <f t="shared" si="3696"/>
        <v/>
      </c>
      <c r="FE250" s="44" t="str">
        <f t="shared" si="3697"/>
        <v/>
      </c>
      <c r="FF250" s="44" t="str">
        <f t="shared" si="3698"/>
        <v/>
      </c>
      <c r="FG250" s="44" t="str">
        <f t="shared" si="3699"/>
        <v/>
      </c>
      <c r="FH250" s="44" t="str">
        <f t="shared" si="3700"/>
        <v/>
      </c>
      <c r="FI250" s="44" t="str">
        <f t="shared" si="3701"/>
        <v/>
      </c>
      <c r="FJ250" s="44" t="str">
        <f t="shared" si="3702"/>
        <v/>
      </c>
      <c r="FK250" s="44" t="str">
        <f t="shared" si="3703"/>
        <v/>
      </c>
      <c r="FL250" s="44" t="str">
        <f t="shared" si="3704"/>
        <v/>
      </c>
      <c r="FM250" s="44" t="str">
        <f t="shared" si="3705"/>
        <v/>
      </c>
      <c r="FN250" s="44" t="str">
        <f t="shared" si="3706"/>
        <v/>
      </c>
      <c r="FO250" s="44" t="str">
        <f t="shared" si="3707"/>
        <v/>
      </c>
      <c r="FP250" s="44" t="str">
        <f t="shared" si="3708"/>
        <v/>
      </c>
      <c r="FQ250" s="44" t="str">
        <f t="shared" si="3709"/>
        <v/>
      </c>
      <c r="FR250" s="44" t="str">
        <f t="shared" si="3710"/>
        <v/>
      </c>
      <c r="FS250" s="44" t="str">
        <f t="shared" si="3711"/>
        <v/>
      </c>
    </row>
    <row r="251" s="7" customFormat="1" ht="15" spans="1:175">
      <c r="A251" s="102"/>
      <c r="B251" s="46"/>
      <c r="C251" s="102"/>
      <c r="D251" s="47"/>
      <c r="E251" s="48"/>
      <c r="F251" s="103"/>
      <c r="G251" s="104"/>
      <c r="H251" s="104"/>
      <c r="I251" s="104"/>
      <c r="J251" s="104"/>
      <c r="K251" s="104"/>
      <c r="L251" s="104"/>
      <c r="M251" s="104"/>
      <c r="N251" s="104"/>
      <c r="O251" s="104"/>
      <c r="P251" s="54"/>
      <c r="Q251" s="54"/>
      <c r="R251" s="54"/>
      <c r="S251" s="54"/>
      <c r="T251" s="63"/>
      <c r="U251" s="60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  <c r="AL251" s="61"/>
      <c r="AM251" s="61"/>
      <c r="AN251" s="61"/>
      <c r="AO251" s="61"/>
      <c r="AP251" s="61"/>
      <c r="AQ251" s="61"/>
      <c r="AR251" s="67"/>
      <c r="AS251" s="67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1"/>
      <c r="CC251" s="61"/>
      <c r="CD251" s="61"/>
      <c r="CE251" s="61"/>
      <c r="CF251" s="61"/>
      <c r="CG251" s="61"/>
      <c r="CH251" s="61"/>
      <c r="CI251" s="61"/>
      <c r="CJ251" s="61"/>
      <c r="CK251" s="61"/>
      <c r="CL251" s="61"/>
      <c r="CM251" s="61"/>
      <c r="CN251" s="70" t="str">
        <f t="shared" si="3712"/>
        <v>InitUnitState('',,,,,,,,,,)</v>
      </c>
      <c r="CO251" s="70" t="str">
        <f t="shared" si="3713"/>
        <v>InitUnitNormal('',,,,,,,,,,)</v>
      </c>
      <c r="CP251" s="70" t="str">
        <f t="shared" si="3714"/>
        <v>InitUnitMagic('',,,,,,,,,,)</v>
      </c>
      <c r="CQ251" s="70" t="str">
        <f t="shared" si="3715"/>
        <v>InitUnitAdd('',,,,,,,,,,)</v>
      </c>
      <c r="CR251" s="70" t="str">
        <f t="shared" si="3569"/>
        <v>InitEquipData('',,"",,,,,'','','','','','',"")</v>
      </c>
      <c r="CS251" s="70"/>
      <c r="CT251" s="70"/>
      <c r="CU251" s="72" t="str">
        <f t="shared" si="3641"/>
        <v>|n</v>
      </c>
      <c r="CV251" s="6"/>
      <c r="DB251" s="44" t="str">
        <f t="shared" si="3642"/>
        <v/>
      </c>
      <c r="DC251" s="44" t="str">
        <f t="shared" si="3643"/>
        <v/>
      </c>
      <c r="DD251" s="44" t="str">
        <f t="shared" si="3644"/>
        <v/>
      </c>
      <c r="DE251" s="44" t="str">
        <f t="shared" si="3645"/>
        <v/>
      </c>
      <c r="DF251" s="44" t="str">
        <f t="shared" si="3646"/>
        <v/>
      </c>
      <c r="DG251" s="44" t="str">
        <f t="shared" si="3647"/>
        <v/>
      </c>
      <c r="DH251" s="44" t="str">
        <f t="shared" si="3648"/>
        <v/>
      </c>
      <c r="DI251" s="44" t="str">
        <f t="shared" si="3649"/>
        <v/>
      </c>
      <c r="DJ251" s="44" t="str">
        <f t="shared" si="3650"/>
        <v/>
      </c>
      <c r="DK251" s="44" t="str">
        <f t="shared" si="3651"/>
        <v/>
      </c>
      <c r="DL251" s="44" t="str">
        <f t="shared" si="3652"/>
        <v/>
      </c>
      <c r="DM251" s="44" t="str">
        <f t="shared" si="3653"/>
        <v/>
      </c>
      <c r="DN251" s="44" t="str">
        <f t="shared" si="3654"/>
        <v/>
      </c>
      <c r="DO251" s="44" t="str">
        <f t="shared" si="3655"/>
        <v/>
      </c>
      <c r="DP251" s="44" t="str">
        <f t="shared" si="3656"/>
        <v/>
      </c>
      <c r="DQ251" s="44" t="str">
        <f t="shared" si="3657"/>
        <v/>
      </c>
      <c r="DR251" s="44" t="str">
        <f t="shared" si="3658"/>
        <v/>
      </c>
      <c r="DS251" s="44" t="str">
        <f t="shared" si="3659"/>
        <v/>
      </c>
      <c r="DT251" s="44" t="str">
        <f t="shared" si="3660"/>
        <v/>
      </c>
      <c r="DU251" s="44" t="str">
        <f t="shared" si="3661"/>
        <v/>
      </c>
      <c r="DV251" s="44" t="str">
        <f t="shared" si="3662"/>
        <v/>
      </c>
      <c r="DW251" s="44" t="str">
        <f t="shared" si="3663"/>
        <v/>
      </c>
      <c r="DX251" s="44" t="str">
        <f t="shared" si="3664"/>
        <v/>
      </c>
      <c r="DY251" s="44" t="str">
        <f t="shared" si="3665"/>
        <v/>
      </c>
      <c r="DZ251" s="44" t="str">
        <f t="shared" si="3666"/>
        <v/>
      </c>
      <c r="EA251" s="44" t="str">
        <f t="shared" si="3667"/>
        <v/>
      </c>
      <c r="EB251" s="44" t="str">
        <f t="shared" si="3668"/>
        <v/>
      </c>
      <c r="EC251" s="44" t="str">
        <f t="shared" si="3669"/>
        <v/>
      </c>
      <c r="ED251" s="44" t="str">
        <f t="shared" si="3670"/>
        <v/>
      </c>
      <c r="EE251" s="44" t="str">
        <f t="shared" si="3671"/>
        <v/>
      </c>
      <c r="EF251" s="44" t="str">
        <f t="shared" si="3672"/>
        <v/>
      </c>
      <c r="EG251" s="44" t="str">
        <f t="shared" si="3673"/>
        <v/>
      </c>
      <c r="EH251" s="44" t="str">
        <f t="shared" si="3674"/>
        <v/>
      </c>
      <c r="EI251" s="44" t="str">
        <f t="shared" si="3675"/>
        <v/>
      </c>
      <c r="EJ251" s="44" t="str">
        <f t="shared" si="3676"/>
        <v/>
      </c>
      <c r="EK251" s="44" t="str">
        <f t="shared" si="3677"/>
        <v/>
      </c>
      <c r="EL251" s="44" t="str">
        <f t="shared" si="3678"/>
        <v/>
      </c>
      <c r="EM251" s="44" t="str">
        <f t="shared" si="3679"/>
        <v/>
      </c>
      <c r="EN251" s="44" t="str">
        <f t="shared" si="3680"/>
        <v/>
      </c>
      <c r="EO251" s="44" t="str">
        <f t="shared" si="3681"/>
        <v/>
      </c>
      <c r="EP251" s="44" t="str">
        <f t="shared" si="3682"/>
        <v/>
      </c>
      <c r="EQ251" s="44" t="str">
        <f t="shared" si="3683"/>
        <v/>
      </c>
      <c r="ER251" s="44" t="str">
        <f t="shared" si="3684"/>
        <v/>
      </c>
      <c r="ES251" s="44" t="str">
        <f t="shared" si="3685"/>
        <v/>
      </c>
      <c r="ET251" s="44" t="str">
        <f t="shared" si="3686"/>
        <v/>
      </c>
      <c r="EU251" s="44" t="str">
        <f t="shared" si="3687"/>
        <v/>
      </c>
      <c r="EV251" s="44" t="str">
        <f t="shared" si="3688"/>
        <v/>
      </c>
      <c r="EW251" s="44" t="str">
        <f t="shared" si="3689"/>
        <v/>
      </c>
      <c r="EX251" s="44" t="str">
        <f t="shared" si="3690"/>
        <v/>
      </c>
      <c r="EY251" s="44" t="str">
        <f t="shared" si="3691"/>
        <v/>
      </c>
      <c r="EZ251" s="44" t="str">
        <f t="shared" si="3692"/>
        <v/>
      </c>
      <c r="FA251" s="44" t="str">
        <f t="shared" si="3693"/>
        <v/>
      </c>
      <c r="FB251" s="44" t="str">
        <f t="shared" si="3694"/>
        <v/>
      </c>
      <c r="FC251" s="44" t="str">
        <f t="shared" si="3695"/>
        <v/>
      </c>
      <c r="FD251" s="44" t="str">
        <f t="shared" si="3696"/>
        <v/>
      </c>
      <c r="FE251" s="44" t="str">
        <f t="shared" si="3697"/>
        <v/>
      </c>
      <c r="FF251" s="44" t="str">
        <f t="shared" si="3698"/>
        <v/>
      </c>
      <c r="FG251" s="44" t="str">
        <f t="shared" si="3699"/>
        <v/>
      </c>
      <c r="FH251" s="44" t="str">
        <f t="shared" si="3700"/>
        <v/>
      </c>
      <c r="FI251" s="44" t="str">
        <f t="shared" si="3701"/>
        <v/>
      </c>
      <c r="FJ251" s="44" t="str">
        <f t="shared" si="3702"/>
        <v/>
      </c>
      <c r="FK251" s="44" t="str">
        <f t="shared" si="3703"/>
        <v/>
      </c>
      <c r="FL251" s="44" t="str">
        <f t="shared" si="3704"/>
        <v/>
      </c>
      <c r="FM251" s="44" t="str">
        <f t="shared" si="3705"/>
        <v/>
      </c>
      <c r="FN251" s="44" t="str">
        <f t="shared" si="3706"/>
        <v/>
      </c>
      <c r="FO251" s="44" t="str">
        <f t="shared" si="3707"/>
        <v/>
      </c>
      <c r="FP251" s="44" t="str">
        <f t="shared" si="3708"/>
        <v/>
      </c>
      <c r="FQ251" s="44" t="str">
        <f t="shared" si="3709"/>
        <v/>
      </c>
      <c r="FR251" s="44" t="str">
        <f t="shared" si="3710"/>
        <v/>
      </c>
      <c r="FS251" s="44" t="str">
        <f t="shared" si="3711"/>
        <v/>
      </c>
    </row>
    <row r="252" s="7" customFormat="1" ht="15" spans="1:175">
      <c r="A252" s="102"/>
      <c r="B252" s="46"/>
      <c r="C252" s="102"/>
      <c r="D252" s="47"/>
      <c r="E252" s="48"/>
      <c r="F252" s="103"/>
      <c r="G252" s="104"/>
      <c r="H252" s="104"/>
      <c r="I252" s="104"/>
      <c r="J252" s="104"/>
      <c r="K252" s="104"/>
      <c r="L252" s="104"/>
      <c r="M252" s="104"/>
      <c r="N252" s="104"/>
      <c r="O252" s="104"/>
      <c r="P252" s="54"/>
      <c r="Q252" s="54"/>
      <c r="R252" s="54"/>
      <c r="S252" s="54"/>
      <c r="T252" s="63"/>
      <c r="U252" s="60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  <c r="AL252" s="61"/>
      <c r="AM252" s="61"/>
      <c r="AN252" s="61"/>
      <c r="AO252" s="61"/>
      <c r="AP252" s="61"/>
      <c r="AQ252" s="61"/>
      <c r="AR252" s="67"/>
      <c r="AS252" s="67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1"/>
      <c r="CC252" s="61"/>
      <c r="CD252" s="61"/>
      <c r="CE252" s="61"/>
      <c r="CF252" s="61"/>
      <c r="CG252" s="61"/>
      <c r="CH252" s="61"/>
      <c r="CI252" s="61"/>
      <c r="CJ252" s="61"/>
      <c r="CK252" s="61"/>
      <c r="CL252" s="61"/>
      <c r="CM252" s="61"/>
      <c r="CN252" s="70" t="str">
        <f t="shared" si="3712"/>
        <v>InitUnitState('',,,,,,,,,,)</v>
      </c>
      <c r="CO252" s="70" t="str">
        <f t="shared" si="3713"/>
        <v>InitUnitNormal('',,,,,,,,,,)</v>
      </c>
      <c r="CP252" s="70" t="str">
        <f t="shared" si="3714"/>
        <v>InitUnitMagic('',,,,,,,,,,)</v>
      </c>
      <c r="CQ252" s="70" t="str">
        <f t="shared" si="3715"/>
        <v>InitUnitAdd('',,,,,,,,,,)</v>
      </c>
      <c r="CR252" s="70" t="str">
        <f t="shared" si="3569"/>
        <v>InitEquipData('',,"",,,,,'','','','','','',"")</v>
      </c>
      <c r="CS252" s="70"/>
      <c r="CT252" s="70"/>
      <c r="CU252" s="72" t="str">
        <f t="shared" si="3641"/>
        <v>|n</v>
      </c>
      <c r="CV252" s="6"/>
      <c r="DB252" s="44" t="str">
        <f t="shared" si="3642"/>
        <v/>
      </c>
      <c r="DC252" s="44" t="str">
        <f t="shared" si="3643"/>
        <v/>
      </c>
      <c r="DD252" s="44" t="str">
        <f t="shared" si="3644"/>
        <v/>
      </c>
      <c r="DE252" s="44" t="str">
        <f t="shared" si="3645"/>
        <v/>
      </c>
      <c r="DF252" s="44" t="str">
        <f t="shared" si="3646"/>
        <v/>
      </c>
      <c r="DG252" s="44" t="str">
        <f t="shared" si="3647"/>
        <v/>
      </c>
      <c r="DH252" s="44" t="str">
        <f t="shared" si="3648"/>
        <v/>
      </c>
      <c r="DI252" s="44" t="str">
        <f t="shared" si="3649"/>
        <v/>
      </c>
      <c r="DJ252" s="44" t="str">
        <f t="shared" si="3650"/>
        <v/>
      </c>
      <c r="DK252" s="44" t="str">
        <f t="shared" si="3651"/>
        <v/>
      </c>
      <c r="DL252" s="44" t="str">
        <f t="shared" si="3652"/>
        <v/>
      </c>
      <c r="DM252" s="44" t="str">
        <f t="shared" si="3653"/>
        <v/>
      </c>
      <c r="DN252" s="44" t="str">
        <f t="shared" si="3654"/>
        <v/>
      </c>
      <c r="DO252" s="44" t="str">
        <f t="shared" si="3655"/>
        <v/>
      </c>
      <c r="DP252" s="44" t="str">
        <f t="shared" si="3656"/>
        <v/>
      </c>
      <c r="DQ252" s="44" t="str">
        <f t="shared" si="3657"/>
        <v/>
      </c>
      <c r="DR252" s="44" t="str">
        <f t="shared" si="3658"/>
        <v/>
      </c>
      <c r="DS252" s="44" t="str">
        <f t="shared" si="3659"/>
        <v/>
      </c>
      <c r="DT252" s="44" t="str">
        <f t="shared" si="3660"/>
        <v/>
      </c>
      <c r="DU252" s="44" t="str">
        <f t="shared" si="3661"/>
        <v/>
      </c>
      <c r="DV252" s="44" t="str">
        <f t="shared" si="3662"/>
        <v/>
      </c>
      <c r="DW252" s="44" t="str">
        <f t="shared" si="3663"/>
        <v/>
      </c>
      <c r="DX252" s="44" t="str">
        <f t="shared" si="3664"/>
        <v/>
      </c>
      <c r="DY252" s="44" t="str">
        <f t="shared" si="3665"/>
        <v/>
      </c>
      <c r="DZ252" s="44" t="str">
        <f t="shared" si="3666"/>
        <v/>
      </c>
      <c r="EA252" s="44" t="str">
        <f t="shared" si="3667"/>
        <v/>
      </c>
      <c r="EB252" s="44" t="str">
        <f t="shared" si="3668"/>
        <v/>
      </c>
      <c r="EC252" s="44" t="str">
        <f t="shared" si="3669"/>
        <v/>
      </c>
      <c r="ED252" s="44" t="str">
        <f t="shared" si="3670"/>
        <v/>
      </c>
      <c r="EE252" s="44" t="str">
        <f t="shared" si="3671"/>
        <v/>
      </c>
      <c r="EF252" s="44" t="str">
        <f t="shared" si="3672"/>
        <v/>
      </c>
      <c r="EG252" s="44" t="str">
        <f t="shared" si="3673"/>
        <v/>
      </c>
      <c r="EH252" s="44" t="str">
        <f t="shared" si="3674"/>
        <v/>
      </c>
      <c r="EI252" s="44" t="str">
        <f t="shared" si="3675"/>
        <v/>
      </c>
      <c r="EJ252" s="44" t="str">
        <f t="shared" si="3676"/>
        <v/>
      </c>
      <c r="EK252" s="44" t="str">
        <f t="shared" si="3677"/>
        <v/>
      </c>
      <c r="EL252" s="44" t="str">
        <f t="shared" si="3678"/>
        <v/>
      </c>
      <c r="EM252" s="44" t="str">
        <f t="shared" si="3679"/>
        <v/>
      </c>
      <c r="EN252" s="44" t="str">
        <f t="shared" si="3680"/>
        <v/>
      </c>
      <c r="EO252" s="44" t="str">
        <f t="shared" si="3681"/>
        <v/>
      </c>
      <c r="EP252" s="44" t="str">
        <f t="shared" si="3682"/>
        <v/>
      </c>
      <c r="EQ252" s="44" t="str">
        <f t="shared" si="3683"/>
        <v/>
      </c>
      <c r="ER252" s="44" t="str">
        <f t="shared" si="3684"/>
        <v/>
      </c>
      <c r="ES252" s="44" t="str">
        <f t="shared" si="3685"/>
        <v/>
      </c>
      <c r="ET252" s="44" t="str">
        <f t="shared" si="3686"/>
        <v/>
      </c>
      <c r="EU252" s="44" t="str">
        <f t="shared" si="3687"/>
        <v/>
      </c>
      <c r="EV252" s="44" t="str">
        <f t="shared" si="3688"/>
        <v/>
      </c>
      <c r="EW252" s="44" t="str">
        <f t="shared" si="3689"/>
        <v/>
      </c>
      <c r="EX252" s="44" t="str">
        <f t="shared" si="3690"/>
        <v/>
      </c>
      <c r="EY252" s="44" t="str">
        <f t="shared" si="3691"/>
        <v/>
      </c>
      <c r="EZ252" s="44" t="str">
        <f t="shared" si="3692"/>
        <v/>
      </c>
      <c r="FA252" s="44" t="str">
        <f t="shared" si="3693"/>
        <v/>
      </c>
      <c r="FB252" s="44" t="str">
        <f t="shared" si="3694"/>
        <v/>
      </c>
      <c r="FC252" s="44" t="str">
        <f t="shared" si="3695"/>
        <v/>
      </c>
      <c r="FD252" s="44" t="str">
        <f t="shared" si="3696"/>
        <v/>
      </c>
      <c r="FE252" s="44" t="str">
        <f t="shared" si="3697"/>
        <v/>
      </c>
      <c r="FF252" s="44" t="str">
        <f t="shared" si="3698"/>
        <v/>
      </c>
      <c r="FG252" s="44" t="str">
        <f t="shared" si="3699"/>
        <v/>
      </c>
      <c r="FH252" s="44" t="str">
        <f t="shared" si="3700"/>
        <v/>
      </c>
      <c r="FI252" s="44" t="str">
        <f t="shared" si="3701"/>
        <v/>
      </c>
      <c r="FJ252" s="44" t="str">
        <f t="shared" si="3702"/>
        <v/>
      </c>
      <c r="FK252" s="44" t="str">
        <f t="shared" si="3703"/>
        <v/>
      </c>
      <c r="FL252" s="44" t="str">
        <f t="shared" si="3704"/>
        <v/>
      </c>
      <c r="FM252" s="44" t="str">
        <f t="shared" si="3705"/>
        <v/>
      </c>
      <c r="FN252" s="44" t="str">
        <f t="shared" si="3706"/>
        <v/>
      </c>
      <c r="FO252" s="44" t="str">
        <f t="shared" si="3707"/>
        <v/>
      </c>
      <c r="FP252" s="44" t="str">
        <f t="shared" si="3708"/>
        <v/>
      </c>
      <c r="FQ252" s="44" t="str">
        <f t="shared" si="3709"/>
        <v/>
      </c>
      <c r="FR252" s="44" t="str">
        <f t="shared" si="3710"/>
        <v/>
      </c>
      <c r="FS252" s="44" t="str">
        <f t="shared" si="3711"/>
        <v/>
      </c>
    </row>
    <row r="253" s="7" customFormat="1" ht="15" spans="1:175">
      <c r="A253" s="102"/>
      <c r="B253" s="46"/>
      <c r="C253" s="102"/>
      <c r="D253" s="47"/>
      <c r="E253" s="48"/>
      <c r="F253" s="103"/>
      <c r="G253" s="104"/>
      <c r="H253" s="104"/>
      <c r="I253" s="104"/>
      <c r="J253" s="104"/>
      <c r="K253" s="104"/>
      <c r="L253" s="104"/>
      <c r="M253" s="104"/>
      <c r="N253" s="104"/>
      <c r="O253" s="104"/>
      <c r="P253" s="54"/>
      <c r="Q253" s="54"/>
      <c r="R253" s="54"/>
      <c r="S253" s="54"/>
      <c r="T253" s="63"/>
      <c r="U253" s="60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  <c r="AL253" s="61"/>
      <c r="AM253" s="61"/>
      <c r="AN253" s="61"/>
      <c r="AO253" s="61"/>
      <c r="AP253" s="61"/>
      <c r="AQ253" s="61"/>
      <c r="AR253" s="67"/>
      <c r="AS253" s="67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1"/>
      <c r="CC253" s="61"/>
      <c r="CD253" s="61"/>
      <c r="CE253" s="61"/>
      <c r="CF253" s="61"/>
      <c r="CG253" s="61"/>
      <c r="CH253" s="61"/>
      <c r="CI253" s="61"/>
      <c r="CJ253" s="61"/>
      <c r="CK253" s="61"/>
      <c r="CL253" s="61"/>
      <c r="CM253" s="61"/>
      <c r="CN253" s="70" t="str">
        <f t="shared" si="3712"/>
        <v>InitUnitState('',,,,,,,,,,)</v>
      </c>
      <c r="CO253" s="70" t="str">
        <f t="shared" si="3713"/>
        <v>InitUnitNormal('',,,,,,,,,,)</v>
      </c>
      <c r="CP253" s="70" t="str">
        <f t="shared" si="3714"/>
        <v>InitUnitMagic('',,,,,,,,,,)</v>
      </c>
      <c r="CQ253" s="70" t="str">
        <f t="shared" si="3715"/>
        <v>InitUnitAdd('',,,,,,,,,,)</v>
      </c>
      <c r="CR253" s="70" t="str">
        <f t="shared" si="3569"/>
        <v>InitEquipData('',,"",,,,,'','','','','','',"")</v>
      </c>
      <c r="CS253" s="70"/>
      <c r="CT253" s="70"/>
      <c r="CU253" s="72" t="str">
        <f t="shared" si="3641"/>
        <v>|n</v>
      </c>
      <c r="CV253" s="6"/>
      <c r="DB253" s="44" t="str">
        <f t="shared" si="3642"/>
        <v/>
      </c>
      <c r="DC253" s="44" t="str">
        <f t="shared" si="3643"/>
        <v/>
      </c>
      <c r="DD253" s="44" t="str">
        <f t="shared" si="3644"/>
        <v/>
      </c>
      <c r="DE253" s="44" t="str">
        <f t="shared" si="3645"/>
        <v/>
      </c>
      <c r="DF253" s="44" t="str">
        <f t="shared" si="3646"/>
        <v/>
      </c>
      <c r="DG253" s="44" t="str">
        <f t="shared" si="3647"/>
        <v/>
      </c>
      <c r="DH253" s="44" t="str">
        <f t="shared" si="3648"/>
        <v/>
      </c>
      <c r="DI253" s="44" t="str">
        <f t="shared" si="3649"/>
        <v/>
      </c>
      <c r="DJ253" s="44" t="str">
        <f t="shared" si="3650"/>
        <v/>
      </c>
      <c r="DK253" s="44" t="str">
        <f t="shared" si="3651"/>
        <v/>
      </c>
      <c r="DL253" s="44" t="str">
        <f t="shared" si="3652"/>
        <v/>
      </c>
      <c r="DM253" s="44" t="str">
        <f t="shared" si="3653"/>
        <v/>
      </c>
      <c r="DN253" s="44" t="str">
        <f t="shared" si="3654"/>
        <v/>
      </c>
      <c r="DO253" s="44" t="str">
        <f t="shared" si="3655"/>
        <v/>
      </c>
      <c r="DP253" s="44" t="str">
        <f t="shared" si="3656"/>
        <v/>
      </c>
      <c r="DQ253" s="44" t="str">
        <f t="shared" si="3657"/>
        <v/>
      </c>
      <c r="DR253" s="44" t="str">
        <f t="shared" si="3658"/>
        <v/>
      </c>
      <c r="DS253" s="44" t="str">
        <f t="shared" si="3659"/>
        <v/>
      </c>
      <c r="DT253" s="44" t="str">
        <f t="shared" si="3660"/>
        <v/>
      </c>
      <c r="DU253" s="44" t="str">
        <f t="shared" si="3661"/>
        <v/>
      </c>
      <c r="DV253" s="44" t="str">
        <f t="shared" si="3662"/>
        <v/>
      </c>
      <c r="DW253" s="44" t="str">
        <f t="shared" si="3663"/>
        <v/>
      </c>
      <c r="DX253" s="44" t="str">
        <f t="shared" si="3664"/>
        <v/>
      </c>
      <c r="DY253" s="44" t="str">
        <f t="shared" si="3665"/>
        <v/>
      </c>
      <c r="DZ253" s="44" t="str">
        <f t="shared" si="3666"/>
        <v/>
      </c>
      <c r="EA253" s="44" t="str">
        <f t="shared" si="3667"/>
        <v/>
      </c>
      <c r="EB253" s="44" t="str">
        <f t="shared" si="3668"/>
        <v/>
      </c>
      <c r="EC253" s="44" t="str">
        <f t="shared" si="3669"/>
        <v/>
      </c>
      <c r="ED253" s="44" t="str">
        <f t="shared" si="3670"/>
        <v/>
      </c>
      <c r="EE253" s="44" t="str">
        <f t="shared" si="3671"/>
        <v/>
      </c>
      <c r="EF253" s="44" t="str">
        <f t="shared" si="3672"/>
        <v/>
      </c>
      <c r="EG253" s="44" t="str">
        <f t="shared" si="3673"/>
        <v/>
      </c>
      <c r="EH253" s="44" t="str">
        <f t="shared" si="3674"/>
        <v/>
      </c>
      <c r="EI253" s="44" t="str">
        <f t="shared" si="3675"/>
        <v/>
      </c>
      <c r="EJ253" s="44" t="str">
        <f t="shared" si="3676"/>
        <v/>
      </c>
      <c r="EK253" s="44" t="str">
        <f t="shared" si="3677"/>
        <v/>
      </c>
      <c r="EL253" s="44" t="str">
        <f t="shared" si="3678"/>
        <v/>
      </c>
      <c r="EM253" s="44" t="str">
        <f t="shared" si="3679"/>
        <v/>
      </c>
      <c r="EN253" s="44" t="str">
        <f t="shared" si="3680"/>
        <v/>
      </c>
      <c r="EO253" s="44" t="str">
        <f t="shared" si="3681"/>
        <v/>
      </c>
      <c r="EP253" s="44" t="str">
        <f t="shared" si="3682"/>
        <v/>
      </c>
      <c r="EQ253" s="44" t="str">
        <f t="shared" si="3683"/>
        <v/>
      </c>
      <c r="ER253" s="44" t="str">
        <f t="shared" si="3684"/>
        <v/>
      </c>
      <c r="ES253" s="44" t="str">
        <f t="shared" si="3685"/>
        <v/>
      </c>
      <c r="ET253" s="44" t="str">
        <f t="shared" si="3686"/>
        <v/>
      </c>
      <c r="EU253" s="44" t="str">
        <f t="shared" si="3687"/>
        <v/>
      </c>
      <c r="EV253" s="44" t="str">
        <f t="shared" si="3688"/>
        <v/>
      </c>
      <c r="EW253" s="44" t="str">
        <f t="shared" si="3689"/>
        <v/>
      </c>
      <c r="EX253" s="44" t="str">
        <f t="shared" si="3690"/>
        <v/>
      </c>
      <c r="EY253" s="44" t="str">
        <f t="shared" si="3691"/>
        <v/>
      </c>
      <c r="EZ253" s="44" t="str">
        <f t="shared" si="3692"/>
        <v/>
      </c>
      <c r="FA253" s="44" t="str">
        <f t="shared" si="3693"/>
        <v/>
      </c>
      <c r="FB253" s="44" t="str">
        <f t="shared" si="3694"/>
        <v/>
      </c>
      <c r="FC253" s="44" t="str">
        <f t="shared" si="3695"/>
        <v/>
      </c>
      <c r="FD253" s="44" t="str">
        <f t="shared" si="3696"/>
        <v/>
      </c>
      <c r="FE253" s="44" t="str">
        <f t="shared" si="3697"/>
        <v/>
      </c>
      <c r="FF253" s="44" t="str">
        <f t="shared" si="3698"/>
        <v/>
      </c>
      <c r="FG253" s="44" t="str">
        <f t="shared" si="3699"/>
        <v/>
      </c>
      <c r="FH253" s="44" t="str">
        <f t="shared" si="3700"/>
        <v/>
      </c>
      <c r="FI253" s="44" t="str">
        <f t="shared" si="3701"/>
        <v/>
      </c>
      <c r="FJ253" s="44" t="str">
        <f t="shared" si="3702"/>
        <v/>
      </c>
      <c r="FK253" s="44" t="str">
        <f t="shared" si="3703"/>
        <v/>
      </c>
      <c r="FL253" s="44" t="str">
        <f t="shared" si="3704"/>
        <v/>
      </c>
      <c r="FM253" s="44" t="str">
        <f t="shared" si="3705"/>
        <v/>
      </c>
      <c r="FN253" s="44" t="str">
        <f t="shared" si="3706"/>
        <v/>
      </c>
      <c r="FO253" s="44" t="str">
        <f t="shared" si="3707"/>
        <v/>
      </c>
      <c r="FP253" s="44" t="str">
        <f t="shared" si="3708"/>
        <v/>
      </c>
      <c r="FQ253" s="44" t="str">
        <f t="shared" si="3709"/>
        <v/>
      </c>
      <c r="FR253" s="44" t="str">
        <f t="shared" si="3710"/>
        <v/>
      </c>
      <c r="FS253" s="44" t="str">
        <f t="shared" si="3711"/>
        <v/>
      </c>
    </row>
    <row r="254" ht="15" spans="1:175">
      <c r="A254" s="11"/>
      <c r="B254" s="46"/>
      <c r="C254" s="11"/>
      <c r="E254" s="105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80"/>
      <c r="Q254" s="80"/>
      <c r="R254" s="80"/>
      <c r="S254" s="80"/>
      <c r="T254" s="111"/>
      <c r="U254" s="60"/>
      <c r="CU254" s="72" t="str">
        <f t="shared" si="3641"/>
        <v>|n</v>
      </c>
      <c r="CW254" s="7"/>
      <c r="CX254" s="7"/>
      <c r="CY254" s="7"/>
      <c r="CZ254" s="7"/>
      <c r="DA254" s="7"/>
      <c r="DB254" s="44" t="str">
        <f t="shared" si="3642"/>
        <v/>
      </c>
      <c r="DC254" s="44" t="str">
        <f t="shared" si="3643"/>
        <v/>
      </c>
      <c r="DD254" s="44" t="str">
        <f t="shared" si="3644"/>
        <v/>
      </c>
      <c r="DE254" s="44" t="str">
        <f t="shared" si="3645"/>
        <v/>
      </c>
      <c r="DF254" s="44" t="str">
        <f t="shared" si="3646"/>
        <v/>
      </c>
      <c r="DG254" s="44" t="str">
        <f t="shared" si="3647"/>
        <v/>
      </c>
      <c r="DH254" s="44" t="str">
        <f t="shared" si="3648"/>
        <v/>
      </c>
      <c r="DI254" s="44" t="str">
        <f t="shared" si="3649"/>
        <v/>
      </c>
      <c r="DJ254" s="44" t="str">
        <f t="shared" si="3650"/>
        <v/>
      </c>
      <c r="DK254" s="44" t="str">
        <f t="shared" si="3651"/>
        <v/>
      </c>
      <c r="DL254" s="44" t="str">
        <f t="shared" si="3652"/>
        <v/>
      </c>
      <c r="DM254" s="44" t="str">
        <f t="shared" si="3653"/>
        <v/>
      </c>
      <c r="DN254" s="44" t="str">
        <f t="shared" si="3654"/>
        <v/>
      </c>
      <c r="DO254" s="44" t="str">
        <f t="shared" si="3655"/>
        <v/>
      </c>
      <c r="DP254" s="44" t="str">
        <f t="shared" si="3656"/>
        <v/>
      </c>
      <c r="DQ254" s="44" t="str">
        <f t="shared" si="3657"/>
        <v/>
      </c>
      <c r="DR254" s="44" t="str">
        <f t="shared" si="3658"/>
        <v/>
      </c>
      <c r="DS254" s="44" t="str">
        <f t="shared" si="3659"/>
        <v/>
      </c>
      <c r="DT254" s="44" t="str">
        <f t="shared" si="3660"/>
        <v/>
      </c>
      <c r="DU254" s="44" t="str">
        <f t="shared" si="3661"/>
        <v/>
      </c>
      <c r="DV254" s="44" t="str">
        <f t="shared" si="3662"/>
        <v/>
      </c>
      <c r="DW254" s="44" t="str">
        <f t="shared" si="3663"/>
        <v/>
      </c>
      <c r="DX254" s="44" t="str">
        <f t="shared" si="3664"/>
        <v/>
      </c>
      <c r="DY254" s="44" t="str">
        <f t="shared" si="3665"/>
        <v/>
      </c>
      <c r="DZ254" s="44" t="str">
        <f t="shared" si="3666"/>
        <v/>
      </c>
      <c r="EA254" s="44" t="str">
        <f t="shared" si="3667"/>
        <v/>
      </c>
      <c r="EB254" s="44" t="str">
        <f t="shared" si="3668"/>
        <v/>
      </c>
      <c r="EC254" s="44" t="str">
        <f t="shared" si="3669"/>
        <v/>
      </c>
      <c r="ED254" s="44" t="str">
        <f t="shared" si="3670"/>
        <v/>
      </c>
      <c r="EE254" s="44" t="str">
        <f t="shared" si="3671"/>
        <v/>
      </c>
      <c r="EF254" s="44" t="str">
        <f t="shared" si="3672"/>
        <v/>
      </c>
      <c r="EG254" s="44" t="str">
        <f t="shared" si="3673"/>
        <v/>
      </c>
      <c r="EH254" s="44" t="str">
        <f t="shared" si="3674"/>
        <v/>
      </c>
      <c r="EI254" s="44" t="str">
        <f t="shared" si="3675"/>
        <v/>
      </c>
      <c r="EJ254" s="44" t="str">
        <f t="shared" si="3676"/>
        <v/>
      </c>
      <c r="EK254" s="44" t="str">
        <f t="shared" si="3677"/>
        <v/>
      </c>
      <c r="EL254" s="44" t="str">
        <f t="shared" si="3678"/>
        <v/>
      </c>
      <c r="EM254" s="44" t="str">
        <f t="shared" si="3679"/>
        <v/>
      </c>
      <c r="EN254" s="44" t="str">
        <f t="shared" si="3680"/>
        <v/>
      </c>
      <c r="EO254" s="44" t="str">
        <f t="shared" si="3681"/>
        <v/>
      </c>
      <c r="EP254" s="44" t="str">
        <f t="shared" si="3682"/>
        <v/>
      </c>
      <c r="EQ254" s="44" t="str">
        <f t="shared" si="3683"/>
        <v/>
      </c>
      <c r="ER254" s="44" t="str">
        <f t="shared" si="3684"/>
        <v/>
      </c>
      <c r="ES254" s="44" t="str">
        <f t="shared" si="3685"/>
        <v/>
      </c>
      <c r="ET254" s="44" t="str">
        <f t="shared" si="3686"/>
        <v/>
      </c>
      <c r="EU254" s="44" t="str">
        <f t="shared" si="3687"/>
        <v/>
      </c>
      <c r="EV254" s="44" t="str">
        <f t="shared" si="3688"/>
        <v/>
      </c>
      <c r="EW254" s="44" t="str">
        <f t="shared" si="3689"/>
        <v/>
      </c>
      <c r="EX254" s="44" t="str">
        <f t="shared" si="3690"/>
        <v/>
      </c>
      <c r="EY254" s="44" t="str">
        <f t="shared" si="3691"/>
        <v/>
      </c>
      <c r="EZ254" s="44" t="str">
        <f t="shared" si="3692"/>
        <v/>
      </c>
      <c r="FA254" s="44" t="str">
        <f t="shared" si="3693"/>
        <v/>
      </c>
      <c r="FB254" s="44" t="str">
        <f t="shared" si="3694"/>
        <v/>
      </c>
      <c r="FC254" s="44" t="str">
        <f t="shared" si="3695"/>
        <v/>
      </c>
      <c r="FD254" s="44" t="str">
        <f t="shared" si="3696"/>
        <v/>
      </c>
      <c r="FE254" s="44" t="str">
        <f t="shared" si="3697"/>
        <v/>
      </c>
      <c r="FF254" s="44" t="str">
        <f t="shared" si="3698"/>
        <v/>
      </c>
      <c r="FG254" s="44" t="str">
        <f t="shared" si="3699"/>
        <v/>
      </c>
      <c r="FH254" s="44" t="str">
        <f t="shared" si="3700"/>
        <v/>
      </c>
      <c r="FI254" s="44" t="str">
        <f t="shared" si="3701"/>
        <v/>
      </c>
      <c r="FJ254" s="44" t="str">
        <f t="shared" si="3702"/>
        <v/>
      </c>
      <c r="FK254" s="44" t="str">
        <f t="shared" si="3703"/>
        <v/>
      </c>
      <c r="FL254" s="44" t="str">
        <f t="shared" si="3704"/>
        <v/>
      </c>
      <c r="FM254" s="44" t="str">
        <f t="shared" si="3705"/>
        <v/>
      </c>
      <c r="FN254" s="44" t="str">
        <f t="shared" si="3706"/>
        <v/>
      </c>
      <c r="FO254" s="44" t="str">
        <f t="shared" si="3707"/>
        <v/>
      </c>
      <c r="FP254" s="44" t="str">
        <f t="shared" si="3708"/>
        <v/>
      </c>
      <c r="FQ254" s="44" t="str">
        <f t="shared" si="3709"/>
        <v/>
      </c>
      <c r="FR254" s="44" t="str">
        <f t="shared" si="3710"/>
        <v/>
      </c>
      <c r="FS254" s="44" t="str">
        <f t="shared" si="3711"/>
        <v/>
      </c>
    </row>
    <row r="255" ht="15" spans="1:175">
      <c r="A255" s="11"/>
      <c r="B255" s="46"/>
      <c r="C255" s="11"/>
      <c r="E255" s="105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80"/>
      <c r="Q255" s="80"/>
      <c r="R255" s="80"/>
      <c r="S255" s="80"/>
      <c r="T255" s="111"/>
      <c r="U255" s="60"/>
      <c r="CU255" s="72" t="str">
        <f t="shared" si="3641"/>
        <v>|n</v>
      </c>
      <c r="CW255" s="7"/>
      <c r="CX255" s="7"/>
      <c r="CY255" s="7"/>
      <c r="CZ255" s="7"/>
      <c r="DA255" s="7"/>
      <c r="DB255" s="44" t="str">
        <f t="shared" si="3642"/>
        <v/>
      </c>
      <c r="DC255" s="44" t="str">
        <f t="shared" si="3643"/>
        <v/>
      </c>
      <c r="DD255" s="44" t="str">
        <f t="shared" si="3644"/>
        <v/>
      </c>
      <c r="DE255" s="44" t="str">
        <f t="shared" si="3645"/>
        <v/>
      </c>
      <c r="DF255" s="44" t="str">
        <f t="shared" si="3646"/>
        <v/>
      </c>
      <c r="DG255" s="44" t="str">
        <f t="shared" si="3647"/>
        <v/>
      </c>
      <c r="DH255" s="44" t="str">
        <f t="shared" si="3648"/>
        <v/>
      </c>
      <c r="DI255" s="44" t="str">
        <f t="shared" si="3649"/>
        <v/>
      </c>
      <c r="DJ255" s="44" t="str">
        <f t="shared" si="3650"/>
        <v/>
      </c>
      <c r="DK255" s="44" t="str">
        <f t="shared" si="3651"/>
        <v/>
      </c>
      <c r="DL255" s="44" t="str">
        <f t="shared" si="3652"/>
        <v/>
      </c>
      <c r="DM255" s="44" t="str">
        <f t="shared" si="3653"/>
        <v/>
      </c>
      <c r="DN255" s="44" t="str">
        <f t="shared" si="3654"/>
        <v/>
      </c>
      <c r="DO255" s="44" t="str">
        <f t="shared" si="3655"/>
        <v/>
      </c>
      <c r="DP255" s="44" t="str">
        <f t="shared" si="3656"/>
        <v/>
      </c>
      <c r="DQ255" s="44" t="str">
        <f t="shared" si="3657"/>
        <v/>
      </c>
      <c r="DR255" s="44" t="str">
        <f t="shared" si="3658"/>
        <v/>
      </c>
      <c r="DS255" s="44" t="str">
        <f t="shared" si="3659"/>
        <v/>
      </c>
      <c r="DT255" s="44" t="str">
        <f t="shared" si="3660"/>
        <v/>
      </c>
      <c r="DU255" s="44" t="str">
        <f t="shared" si="3661"/>
        <v/>
      </c>
      <c r="DV255" s="44" t="str">
        <f t="shared" si="3662"/>
        <v/>
      </c>
      <c r="DW255" s="44" t="str">
        <f t="shared" si="3663"/>
        <v/>
      </c>
      <c r="DX255" s="44" t="str">
        <f t="shared" si="3664"/>
        <v/>
      </c>
      <c r="DY255" s="44" t="str">
        <f t="shared" si="3665"/>
        <v/>
      </c>
      <c r="DZ255" s="44" t="str">
        <f t="shared" si="3666"/>
        <v/>
      </c>
      <c r="EA255" s="44" t="str">
        <f t="shared" si="3667"/>
        <v/>
      </c>
      <c r="EB255" s="44" t="str">
        <f t="shared" si="3668"/>
        <v/>
      </c>
      <c r="EC255" s="44" t="str">
        <f t="shared" si="3669"/>
        <v/>
      </c>
      <c r="ED255" s="44" t="str">
        <f t="shared" si="3670"/>
        <v/>
      </c>
      <c r="EE255" s="44" t="str">
        <f t="shared" si="3671"/>
        <v/>
      </c>
      <c r="EF255" s="44" t="str">
        <f t="shared" si="3672"/>
        <v/>
      </c>
      <c r="EG255" s="44" t="str">
        <f t="shared" si="3673"/>
        <v/>
      </c>
      <c r="EH255" s="44" t="str">
        <f t="shared" si="3674"/>
        <v/>
      </c>
      <c r="EI255" s="44" t="str">
        <f t="shared" si="3675"/>
        <v/>
      </c>
      <c r="EJ255" s="44" t="str">
        <f t="shared" si="3676"/>
        <v/>
      </c>
      <c r="EK255" s="44" t="str">
        <f t="shared" si="3677"/>
        <v/>
      </c>
      <c r="EL255" s="44" t="str">
        <f t="shared" si="3678"/>
        <v/>
      </c>
      <c r="EM255" s="44" t="str">
        <f t="shared" si="3679"/>
        <v/>
      </c>
      <c r="EN255" s="44" t="str">
        <f t="shared" si="3680"/>
        <v/>
      </c>
      <c r="EO255" s="44" t="str">
        <f t="shared" si="3681"/>
        <v/>
      </c>
      <c r="EP255" s="44" t="str">
        <f t="shared" si="3682"/>
        <v/>
      </c>
      <c r="EQ255" s="44" t="str">
        <f t="shared" si="3683"/>
        <v/>
      </c>
      <c r="ER255" s="44" t="str">
        <f t="shared" si="3684"/>
        <v/>
      </c>
      <c r="ES255" s="44" t="str">
        <f t="shared" si="3685"/>
        <v/>
      </c>
      <c r="ET255" s="44" t="str">
        <f t="shared" si="3686"/>
        <v/>
      </c>
      <c r="EU255" s="44" t="str">
        <f t="shared" si="3687"/>
        <v/>
      </c>
      <c r="EV255" s="44" t="str">
        <f t="shared" si="3688"/>
        <v/>
      </c>
      <c r="EW255" s="44" t="str">
        <f t="shared" si="3689"/>
        <v/>
      </c>
      <c r="EX255" s="44" t="str">
        <f t="shared" si="3690"/>
        <v/>
      </c>
      <c r="EY255" s="44" t="str">
        <f t="shared" si="3691"/>
        <v/>
      </c>
      <c r="EZ255" s="44" t="str">
        <f t="shared" si="3692"/>
        <v/>
      </c>
      <c r="FA255" s="44" t="str">
        <f t="shared" si="3693"/>
        <v/>
      </c>
      <c r="FB255" s="44" t="str">
        <f t="shared" si="3694"/>
        <v/>
      </c>
      <c r="FC255" s="44" t="str">
        <f t="shared" si="3695"/>
        <v/>
      </c>
      <c r="FD255" s="44" t="str">
        <f t="shared" si="3696"/>
        <v/>
      </c>
      <c r="FE255" s="44" t="str">
        <f t="shared" si="3697"/>
        <v/>
      </c>
      <c r="FF255" s="44" t="str">
        <f t="shared" si="3698"/>
        <v/>
      </c>
      <c r="FG255" s="44" t="str">
        <f t="shared" si="3699"/>
        <v/>
      </c>
      <c r="FH255" s="44" t="str">
        <f t="shared" si="3700"/>
        <v/>
      </c>
      <c r="FI255" s="44" t="str">
        <f t="shared" si="3701"/>
        <v/>
      </c>
      <c r="FJ255" s="44" t="str">
        <f t="shared" si="3702"/>
        <v/>
      </c>
      <c r="FK255" s="44" t="str">
        <f t="shared" si="3703"/>
        <v/>
      </c>
      <c r="FL255" s="44" t="str">
        <f t="shared" si="3704"/>
        <v/>
      </c>
      <c r="FM255" s="44" t="str">
        <f t="shared" si="3705"/>
        <v/>
      </c>
      <c r="FN255" s="44" t="str">
        <f t="shared" si="3706"/>
        <v/>
      </c>
      <c r="FO255" s="44" t="str">
        <f t="shared" si="3707"/>
        <v/>
      </c>
      <c r="FP255" s="44" t="str">
        <f t="shared" si="3708"/>
        <v/>
      </c>
      <c r="FQ255" s="44" t="str">
        <f t="shared" si="3709"/>
        <v/>
      </c>
      <c r="FR255" s="44" t="str">
        <f t="shared" si="3710"/>
        <v/>
      </c>
      <c r="FS255" s="44" t="str">
        <f t="shared" si="3711"/>
        <v/>
      </c>
    </row>
    <row r="256" ht="15" spans="1:175">
      <c r="A256" s="11"/>
      <c r="B256" s="46"/>
      <c r="C256" s="11"/>
      <c r="E256" s="105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80"/>
      <c r="Q256" s="80"/>
      <c r="R256" s="80"/>
      <c r="S256" s="80"/>
      <c r="T256" s="111"/>
      <c r="U256" s="60"/>
      <c r="CU256" s="72" t="str">
        <f t="shared" si="3641"/>
        <v>|n</v>
      </c>
      <c r="CW256" s="7"/>
      <c r="CX256" s="7"/>
      <c r="CY256" s="7"/>
      <c r="CZ256" s="7"/>
      <c r="DA256" s="7"/>
      <c r="DB256" s="44" t="str">
        <f t="shared" si="3642"/>
        <v/>
      </c>
      <c r="DC256" s="44" t="str">
        <f t="shared" si="3643"/>
        <v/>
      </c>
      <c r="DD256" s="44" t="str">
        <f t="shared" si="3644"/>
        <v/>
      </c>
      <c r="DE256" s="44" t="str">
        <f t="shared" si="3645"/>
        <v/>
      </c>
      <c r="DF256" s="44" t="str">
        <f t="shared" si="3646"/>
        <v/>
      </c>
      <c r="DG256" s="44" t="str">
        <f t="shared" si="3647"/>
        <v/>
      </c>
      <c r="DH256" s="44" t="str">
        <f t="shared" si="3648"/>
        <v/>
      </c>
      <c r="DI256" s="44" t="str">
        <f t="shared" si="3649"/>
        <v/>
      </c>
      <c r="DJ256" s="44" t="str">
        <f t="shared" si="3650"/>
        <v/>
      </c>
      <c r="DK256" s="44" t="str">
        <f t="shared" si="3651"/>
        <v/>
      </c>
      <c r="DL256" s="44" t="str">
        <f t="shared" si="3652"/>
        <v/>
      </c>
      <c r="DM256" s="44" t="str">
        <f t="shared" si="3653"/>
        <v/>
      </c>
      <c r="DN256" s="44" t="str">
        <f t="shared" si="3654"/>
        <v/>
      </c>
      <c r="DO256" s="44" t="str">
        <f t="shared" si="3655"/>
        <v/>
      </c>
      <c r="DP256" s="44" t="str">
        <f t="shared" si="3656"/>
        <v/>
      </c>
      <c r="DQ256" s="44" t="str">
        <f t="shared" si="3657"/>
        <v/>
      </c>
      <c r="DR256" s="44" t="str">
        <f t="shared" si="3658"/>
        <v/>
      </c>
      <c r="DS256" s="44" t="str">
        <f t="shared" si="3659"/>
        <v/>
      </c>
      <c r="DT256" s="44" t="str">
        <f t="shared" si="3660"/>
        <v/>
      </c>
      <c r="DU256" s="44" t="str">
        <f t="shared" si="3661"/>
        <v/>
      </c>
      <c r="DV256" s="44" t="str">
        <f t="shared" si="3662"/>
        <v/>
      </c>
      <c r="DW256" s="44" t="str">
        <f t="shared" si="3663"/>
        <v/>
      </c>
      <c r="DX256" s="44" t="str">
        <f t="shared" si="3664"/>
        <v/>
      </c>
      <c r="DY256" s="44" t="str">
        <f t="shared" si="3665"/>
        <v/>
      </c>
      <c r="DZ256" s="44" t="str">
        <f t="shared" si="3666"/>
        <v/>
      </c>
      <c r="EA256" s="44" t="str">
        <f t="shared" si="3667"/>
        <v/>
      </c>
      <c r="EB256" s="44" t="str">
        <f t="shared" si="3668"/>
        <v/>
      </c>
      <c r="EC256" s="44" t="str">
        <f t="shared" si="3669"/>
        <v/>
      </c>
      <c r="ED256" s="44" t="str">
        <f t="shared" si="3670"/>
        <v/>
      </c>
      <c r="EE256" s="44" t="str">
        <f t="shared" si="3671"/>
        <v/>
      </c>
      <c r="EF256" s="44" t="str">
        <f t="shared" si="3672"/>
        <v/>
      </c>
      <c r="EG256" s="44" t="str">
        <f t="shared" si="3673"/>
        <v/>
      </c>
      <c r="EH256" s="44" t="str">
        <f t="shared" si="3674"/>
        <v/>
      </c>
      <c r="EI256" s="44" t="str">
        <f t="shared" si="3675"/>
        <v/>
      </c>
      <c r="EJ256" s="44" t="str">
        <f t="shared" si="3676"/>
        <v/>
      </c>
      <c r="EK256" s="44" t="str">
        <f t="shared" si="3677"/>
        <v/>
      </c>
      <c r="EL256" s="44" t="str">
        <f t="shared" si="3678"/>
        <v/>
      </c>
      <c r="EM256" s="44" t="str">
        <f t="shared" si="3679"/>
        <v/>
      </c>
      <c r="EN256" s="44" t="str">
        <f t="shared" si="3680"/>
        <v/>
      </c>
      <c r="EO256" s="44" t="str">
        <f t="shared" si="3681"/>
        <v/>
      </c>
      <c r="EP256" s="44" t="str">
        <f t="shared" si="3682"/>
        <v/>
      </c>
      <c r="EQ256" s="44" t="str">
        <f t="shared" si="3683"/>
        <v/>
      </c>
      <c r="ER256" s="44" t="str">
        <f t="shared" si="3684"/>
        <v/>
      </c>
      <c r="ES256" s="44" t="str">
        <f t="shared" si="3685"/>
        <v/>
      </c>
      <c r="ET256" s="44" t="str">
        <f t="shared" si="3686"/>
        <v/>
      </c>
      <c r="EU256" s="44" t="str">
        <f t="shared" si="3687"/>
        <v/>
      </c>
      <c r="EV256" s="44" t="str">
        <f t="shared" si="3688"/>
        <v/>
      </c>
      <c r="EW256" s="44" t="str">
        <f t="shared" si="3689"/>
        <v/>
      </c>
      <c r="EX256" s="44" t="str">
        <f t="shared" si="3690"/>
        <v/>
      </c>
      <c r="EY256" s="44" t="str">
        <f t="shared" si="3691"/>
        <v/>
      </c>
      <c r="EZ256" s="44" t="str">
        <f t="shared" si="3692"/>
        <v/>
      </c>
      <c r="FA256" s="44" t="str">
        <f t="shared" si="3693"/>
        <v/>
      </c>
      <c r="FB256" s="44" t="str">
        <f t="shared" si="3694"/>
        <v/>
      </c>
      <c r="FC256" s="44" t="str">
        <f t="shared" si="3695"/>
        <v/>
      </c>
      <c r="FD256" s="44" t="str">
        <f t="shared" si="3696"/>
        <v/>
      </c>
      <c r="FE256" s="44" t="str">
        <f t="shared" si="3697"/>
        <v/>
      </c>
      <c r="FF256" s="44" t="str">
        <f t="shared" si="3698"/>
        <v/>
      </c>
      <c r="FG256" s="44" t="str">
        <f t="shared" si="3699"/>
        <v/>
      </c>
      <c r="FH256" s="44" t="str">
        <f t="shared" si="3700"/>
        <v/>
      </c>
      <c r="FI256" s="44" t="str">
        <f t="shared" si="3701"/>
        <v/>
      </c>
      <c r="FJ256" s="44" t="str">
        <f t="shared" si="3702"/>
        <v/>
      </c>
      <c r="FK256" s="44" t="str">
        <f t="shared" si="3703"/>
        <v/>
      </c>
      <c r="FL256" s="44" t="str">
        <f t="shared" si="3704"/>
        <v/>
      </c>
      <c r="FM256" s="44" t="str">
        <f t="shared" si="3705"/>
        <v/>
      </c>
      <c r="FN256" s="44" t="str">
        <f t="shared" si="3706"/>
        <v/>
      </c>
      <c r="FO256" s="44" t="str">
        <f t="shared" si="3707"/>
        <v/>
      </c>
      <c r="FP256" s="44" t="str">
        <f t="shared" si="3708"/>
        <v/>
      </c>
      <c r="FQ256" s="44" t="str">
        <f t="shared" si="3709"/>
        <v/>
      </c>
      <c r="FR256" s="44" t="str">
        <f t="shared" si="3710"/>
        <v/>
      </c>
      <c r="FS256" s="44" t="str">
        <f t="shared" si="3711"/>
        <v/>
      </c>
    </row>
    <row r="257" ht="15" spans="1:175">
      <c r="A257" s="11"/>
      <c r="B257" s="46"/>
      <c r="C257" s="11"/>
      <c r="E257" s="105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80"/>
      <c r="Q257" s="80"/>
      <c r="R257" s="80"/>
      <c r="S257" s="80"/>
      <c r="T257" s="111"/>
      <c r="U257" s="60"/>
      <c r="CU257" s="72" t="str">
        <f t="shared" si="3641"/>
        <v>|n</v>
      </c>
      <c r="CW257" s="7"/>
      <c r="CX257" s="7"/>
      <c r="CY257" s="7"/>
      <c r="CZ257" s="7"/>
      <c r="DA257" s="7"/>
      <c r="DB257" s="44" t="str">
        <f t="shared" si="3642"/>
        <v/>
      </c>
      <c r="DC257" s="44" t="str">
        <f t="shared" si="3643"/>
        <v/>
      </c>
      <c r="DD257" s="44" t="str">
        <f t="shared" si="3644"/>
        <v/>
      </c>
      <c r="DE257" s="44" t="str">
        <f t="shared" si="3645"/>
        <v/>
      </c>
      <c r="DF257" s="44" t="str">
        <f t="shared" si="3646"/>
        <v/>
      </c>
      <c r="DG257" s="44" t="str">
        <f t="shared" si="3647"/>
        <v/>
      </c>
      <c r="DH257" s="44" t="str">
        <f t="shared" si="3648"/>
        <v/>
      </c>
      <c r="DI257" s="44" t="str">
        <f t="shared" si="3649"/>
        <v/>
      </c>
      <c r="DJ257" s="44" t="str">
        <f t="shared" si="3650"/>
        <v/>
      </c>
      <c r="DK257" s="44" t="str">
        <f t="shared" si="3651"/>
        <v/>
      </c>
      <c r="DL257" s="44" t="str">
        <f t="shared" si="3652"/>
        <v/>
      </c>
      <c r="DM257" s="44" t="str">
        <f t="shared" si="3653"/>
        <v/>
      </c>
      <c r="DN257" s="44" t="str">
        <f t="shared" si="3654"/>
        <v/>
      </c>
      <c r="DO257" s="44" t="str">
        <f t="shared" si="3655"/>
        <v/>
      </c>
      <c r="DP257" s="44" t="str">
        <f t="shared" si="3656"/>
        <v/>
      </c>
      <c r="DQ257" s="44" t="str">
        <f t="shared" si="3657"/>
        <v/>
      </c>
      <c r="DR257" s="44" t="str">
        <f t="shared" si="3658"/>
        <v/>
      </c>
      <c r="DS257" s="44" t="str">
        <f t="shared" si="3659"/>
        <v/>
      </c>
      <c r="DT257" s="44" t="str">
        <f t="shared" si="3660"/>
        <v/>
      </c>
      <c r="DU257" s="44" t="str">
        <f t="shared" si="3661"/>
        <v/>
      </c>
      <c r="DV257" s="44" t="str">
        <f t="shared" si="3662"/>
        <v/>
      </c>
      <c r="DW257" s="44" t="str">
        <f t="shared" si="3663"/>
        <v/>
      </c>
      <c r="DX257" s="44" t="str">
        <f t="shared" si="3664"/>
        <v/>
      </c>
      <c r="DY257" s="44" t="str">
        <f t="shared" si="3665"/>
        <v/>
      </c>
      <c r="DZ257" s="44" t="str">
        <f t="shared" si="3666"/>
        <v/>
      </c>
      <c r="EA257" s="44" t="str">
        <f t="shared" si="3667"/>
        <v/>
      </c>
      <c r="EB257" s="44" t="str">
        <f t="shared" si="3668"/>
        <v/>
      </c>
      <c r="EC257" s="44" t="str">
        <f t="shared" si="3669"/>
        <v/>
      </c>
      <c r="ED257" s="44" t="str">
        <f t="shared" si="3670"/>
        <v/>
      </c>
      <c r="EE257" s="44" t="str">
        <f t="shared" si="3671"/>
        <v/>
      </c>
      <c r="EF257" s="44" t="str">
        <f t="shared" si="3672"/>
        <v/>
      </c>
      <c r="EG257" s="44" t="str">
        <f t="shared" si="3673"/>
        <v/>
      </c>
      <c r="EH257" s="44" t="str">
        <f t="shared" si="3674"/>
        <v/>
      </c>
      <c r="EI257" s="44" t="str">
        <f t="shared" si="3675"/>
        <v/>
      </c>
      <c r="EJ257" s="44" t="str">
        <f t="shared" si="3676"/>
        <v/>
      </c>
      <c r="EK257" s="44" t="str">
        <f t="shared" si="3677"/>
        <v/>
      </c>
      <c r="EL257" s="44" t="str">
        <f t="shared" si="3678"/>
        <v/>
      </c>
      <c r="EM257" s="44" t="str">
        <f t="shared" si="3679"/>
        <v/>
      </c>
      <c r="EN257" s="44" t="str">
        <f t="shared" si="3680"/>
        <v/>
      </c>
      <c r="EO257" s="44" t="str">
        <f t="shared" si="3681"/>
        <v/>
      </c>
      <c r="EP257" s="44" t="str">
        <f t="shared" si="3682"/>
        <v/>
      </c>
      <c r="EQ257" s="44" t="str">
        <f t="shared" si="3683"/>
        <v/>
      </c>
      <c r="ER257" s="44" t="str">
        <f t="shared" si="3684"/>
        <v/>
      </c>
      <c r="ES257" s="44" t="str">
        <f t="shared" si="3685"/>
        <v/>
      </c>
      <c r="ET257" s="44" t="str">
        <f t="shared" si="3686"/>
        <v/>
      </c>
      <c r="EU257" s="44" t="str">
        <f t="shared" si="3687"/>
        <v/>
      </c>
      <c r="EV257" s="44" t="str">
        <f t="shared" si="3688"/>
        <v/>
      </c>
      <c r="EW257" s="44" t="str">
        <f t="shared" si="3689"/>
        <v/>
      </c>
      <c r="EX257" s="44" t="str">
        <f t="shared" si="3690"/>
        <v/>
      </c>
      <c r="EY257" s="44" t="str">
        <f t="shared" si="3691"/>
        <v/>
      </c>
      <c r="EZ257" s="44" t="str">
        <f t="shared" si="3692"/>
        <v/>
      </c>
      <c r="FA257" s="44" t="str">
        <f t="shared" si="3693"/>
        <v/>
      </c>
      <c r="FB257" s="44" t="str">
        <f t="shared" si="3694"/>
        <v/>
      </c>
      <c r="FC257" s="44" t="str">
        <f t="shared" si="3695"/>
        <v/>
      </c>
      <c r="FD257" s="44" t="str">
        <f t="shared" si="3696"/>
        <v/>
      </c>
      <c r="FE257" s="44" t="str">
        <f t="shared" si="3697"/>
        <v/>
      </c>
      <c r="FF257" s="44" t="str">
        <f t="shared" si="3698"/>
        <v/>
      </c>
      <c r="FG257" s="44" t="str">
        <f t="shared" si="3699"/>
        <v/>
      </c>
      <c r="FH257" s="44" t="str">
        <f t="shared" si="3700"/>
        <v/>
      </c>
      <c r="FI257" s="44" t="str">
        <f t="shared" si="3701"/>
        <v/>
      </c>
      <c r="FJ257" s="44" t="str">
        <f t="shared" si="3702"/>
        <v/>
      </c>
      <c r="FK257" s="44" t="str">
        <f t="shared" si="3703"/>
        <v/>
      </c>
      <c r="FL257" s="44" t="str">
        <f t="shared" si="3704"/>
        <v/>
      </c>
      <c r="FM257" s="44" t="str">
        <f t="shared" si="3705"/>
        <v/>
      </c>
      <c r="FN257" s="44" t="str">
        <f t="shared" si="3706"/>
        <v/>
      </c>
      <c r="FO257" s="44" t="str">
        <f t="shared" si="3707"/>
        <v/>
      </c>
      <c r="FP257" s="44" t="str">
        <f t="shared" si="3708"/>
        <v/>
      </c>
      <c r="FQ257" s="44" t="str">
        <f t="shared" si="3709"/>
        <v/>
      </c>
      <c r="FR257" s="44" t="str">
        <f t="shared" si="3710"/>
        <v/>
      </c>
      <c r="FS257" s="44" t="str">
        <f t="shared" si="3711"/>
        <v/>
      </c>
    </row>
    <row r="258" ht="15" spans="1:175">
      <c r="A258" s="11"/>
      <c r="B258" s="46"/>
      <c r="C258" s="11"/>
      <c r="E258" s="105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80"/>
      <c r="Q258" s="80"/>
      <c r="R258" s="80"/>
      <c r="S258" s="80"/>
      <c r="T258" s="111"/>
      <c r="U258" s="60"/>
      <c r="CU258" s="72" t="str">
        <f t="shared" si="3641"/>
        <v>|n</v>
      </c>
      <c r="CW258" s="7"/>
      <c r="CX258" s="7"/>
      <c r="CY258" s="7"/>
      <c r="CZ258" s="7"/>
      <c r="DA258" s="7"/>
      <c r="DB258" s="44" t="str">
        <f t="shared" si="3642"/>
        <v/>
      </c>
      <c r="DC258" s="44" t="str">
        <f t="shared" si="3643"/>
        <v/>
      </c>
      <c r="DD258" s="44" t="str">
        <f t="shared" si="3644"/>
        <v/>
      </c>
      <c r="DE258" s="44" t="str">
        <f t="shared" si="3645"/>
        <v/>
      </c>
      <c r="DF258" s="44" t="str">
        <f t="shared" si="3646"/>
        <v/>
      </c>
      <c r="DG258" s="44" t="str">
        <f t="shared" si="3647"/>
        <v/>
      </c>
      <c r="DH258" s="44" t="str">
        <f t="shared" si="3648"/>
        <v/>
      </c>
      <c r="DI258" s="44" t="str">
        <f t="shared" si="3649"/>
        <v/>
      </c>
      <c r="DJ258" s="44" t="str">
        <f t="shared" si="3650"/>
        <v/>
      </c>
      <c r="DK258" s="44" t="str">
        <f t="shared" si="3651"/>
        <v/>
      </c>
      <c r="DL258" s="44" t="str">
        <f t="shared" si="3652"/>
        <v/>
      </c>
      <c r="DM258" s="44" t="str">
        <f t="shared" si="3653"/>
        <v/>
      </c>
      <c r="DN258" s="44" t="str">
        <f t="shared" si="3654"/>
        <v/>
      </c>
      <c r="DO258" s="44" t="str">
        <f t="shared" si="3655"/>
        <v/>
      </c>
      <c r="DP258" s="44" t="str">
        <f t="shared" si="3656"/>
        <v/>
      </c>
      <c r="DQ258" s="44" t="str">
        <f t="shared" si="3657"/>
        <v/>
      </c>
      <c r="DR258" s="44" t="str">
        <f t="shared" si="3658"/>
        <v/>
      </c>
      <c r="DS258" s="44" t="str">
        <f t="shared" si="3659"/>
        <v/>
      </c>
      <c r="DT258" s="44" t="str">
        <f t="shared" si="3660"/>
        <v/>
      </c>
      <c r="DU258" s="44" t="str">
        <f t="shared" si="3661"/>
        <v/>
      </c>
      <c r="DV258" s="44" t="str">
        <f t="shared" si="3662"/>
        <v/>
      </c>
      <c r="DW258" s="44" t="str">
        <f t="shared" si="3663"/>
        <v/>
      </c>
      <c r="DX258" s="44" t="str">
        <f t="shared" si="3664"/>
        <v/>
      </c>
      <c r="DY258" s="44" t="str">
        <f t="shared" si="3665"/>
        <v/>
      </c>
      <c r="DZ258" s="44" t="str">
        <f t="shared" si="3666"/>
        <v/>
      </c>
      <c r="EA258" s="44" t="str">
        <f t="shared" si="3667"/>
        <v/>
      </c>
      <c r="EB258" s="44" t="str">
        <f t="shared" si="3668"/>
        <v/>
      </c>
      <c r="EC258" s="44" t="str">
        <f t="shared" si="3669"/>
        <v/>
      </c>
      <c r="ED258" s="44" t="str">
        <f t="shared" si="3670"/>
        <v/>
      </c>
      <c r="EE258" s="44" t="str">
        <f t="shared" si="3671"/>
        <v/>
      </c>
      <c r="EF258" s="44" t="str">
        <f t="shared" si="3672"/>
        <v/>
      </c>
      <c r="EG258" s="44" t="str">
        <f t="shared" si="3673"/>
        <v/>
      </c>
      <c r="EH258" s="44" t="str">
        <f t="shared" si="3674"/>
        <v/>
      </c>
      <c r="EI258" s="44" t="str">
        <f t="shared" si="3675"/>
        <v/>
      </c>
      <c r="EJ258" s="44" t="str">
        <f t="shared" si="3676"/>
        <v/>
      </c>
      <c r="EK258" s="44" t="str">
        <f t="shared" si="3677"/>
        <v/>
      </c>
      <c r="EL258" s="44" t="str">
        <f t="shared" si="3678"/>
        <v/>
      </c>
      <c r="EM258" s="44" t="str">
        <f t="shared" si="3679"/>
        <v/>
      </c>
      <c r="EN258" s="44" t="str">
        <f t="shared" si="3680"/>
        <v/>
      </c>
      <c r="EO258" s="44" t="str">
        <f t="shared" si="3681"/>
        <v/>
      </c>
      <c r="EP258" s="44" t="str">
        <f t="shared" si="3682"/>
        <v/>
      </c>
      <c r="EQ258" s="44" t="str">
        <f t="shared" si="3683"/>
        <v/>
      </c>
      <c r="ER258" s="44" t="str">
        <f t="shared" si="3684"/>
        <v/>
      </c>
      <c r="ES258" s="44" t="str">
        <f t="shared" si="3685"/>
        <v/>
      </c>
      <c r="ET258" s="44" t="str">
        <f t="shared" si="3686"/>
        <v/>
      </c>
      <c r="EU258" s="44" t="str">
        <f t="shared" si="3687"/>
        <v/>
      </c>
      <c r="EV258" s="44" t="str">
        <f t="shared" si="3688"/>
        <v/>
      </c>
      <c r="EW258" s="44" t="str">
        <f t="shared" si="3689"/>
        <v/>
      </c>
      <c r="EX258" s="44" t="str">
        <f t="shared" si="3690"/>
        <v/>
      </c>
      <c r="EY258" s="44" t="str">
        <f t="shared" si="3691"/>
        <v/>
      </c>
      <c r="EZ258" s="44" t="str">
        <f t="shared" si="3692"/>
        <v/>
      </c>
      <c r="FA258" s="44" t="str">
        <f t="shared" si="3693"/>
        <v/>
      </c>
      <c r="FB258" s="44" t="str">
        <f t="shared" si="3694"/>
        <v/>
      </c>
      <c r="FC258" s="44" t="str">
        <f t="shared" si="3695"/>
        <v/>
      </c>
      <c r="FD258" s="44" t="str">
        <f t="shared" si="3696"/>
        <v/>
      </c>
      <c r="FE258" s="44" t="str">
        <f t="shared" si="3697"/>
        <v/>
      </c>
      <c r="FF258" s="44" t="str">
        <f t="shared" si="3698"/>
        <v/>
      </c>
      <c r="FG258" s="44" t="str">
        <f t="shared" si="3699"/>
        <v/>
      </c>
      <c r="FH258" s="44" t="str">
        <f t="shared" si="3700"/>
        <v/>
      </c>
      <c r="FI258" s="44" t="str">
        <f t="shared" si="3701"/>
        <v/>
      </c>
      <c r="FJ258" s="44" t="str">
        <f t="shared" si="3702"/>
        <v/>
      </c>
      <c r="FK258" s="44" t="str">
        <f t="shared" si="3703"/>
        <v/>
      </c>
      <c r="FL258" s="44" t="str">
        <f t="shared" si="3704"/>
        <v/>
      </c>
      <c r="FM258" s="44" t="str">
        <f t="shared" si="3705"/>
        <v/>
      </c>
      <c r="FN258" s="44" t="str">
        <f t="shared" si="3706"/>
        <v/>
      </c>
      <c r="FO258" s="44" t="str">
        <f t="shared" si="3707"/>
        <v/>
      </c>
      <c r="FP258" s="44" t="str">
        <f t="shared" si="3708"/>
        <v/>
      </c>
      <c r="FQ258" s="44" t="str">
        <f t="shared" si="3709"/>
        <v/>
      </c>
      <c r="FR258" s="44" t="str">
        <f t="shared" si="3710"/>
        <v/>
      </c>
      <c r="FS258" s="44" t="str">
        <f t="shared" si="3711"/>
        <v/>
      </c>
    </row>
    <row r="259" ht="15" spans="1:175">
      <c r="A259" s="11"/>
      <c r="B259" s="46"/>
      <c r="C259" s="11"/>
      <c r="E259" s="105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80"/>
      <c r="Q259" s="80"/>
      <c r="R259" s="80"/>
      <c r="S259" s="80"/>
      <c r="T259" s="111"/>
      <c r="U259" s="60"/>
      <c r="CU259" s="72" t="str">
        <f t="shared" si="3641"/>
        <v>|n</v>
      </c>
      <c r="CW259" s="7"/>
      <c r="CX259" s="7"/>
      <c r="CY259" s="7"/>
      <c r="CZ259" s="7"/>
      <c r="DA259" s="7"/>
      <c r="DB259" s="44" t="str">
        <f t="shared" si="3642"/>
        <v/>
      </c>
      <c r="DC259" s="44" t="str">
        <f t="shared" si="3643"/>
        <v/>
      </c>
      <c r="DD259" s="44" t="str">
        <f t="shared" si="3644"/>
        <v/>
      </c>
      <c r="DE259" s="44" t="str">
        <f t="shared" si="3645"/>
        <v/>
      </c>
      <c r="DF259" s="44" t="str">
        <f t="shared" si="3646"/>
        <v/>
      </c>
      <c r="DG259" s="44" t="str">
        <f t="shared" si="3647"/>
        <v/>
      </c>
      <c r="DH259" s="44" t="str">
        <f t="shared" si="3648"/>
        <v/>
      </c>
      <c r="DI259" s="44" t="str">
        <f t="shared" si="3649"/>
        <v/>
      </c>
      <c r="DJ259" s="44" t="str">
        <f t="shared" si="3650"/>
        <v/>
      </c>
      <c r="DK259" s="44" t="str">
        <f t="shared" si="3651"/>
        <v/>
      </c>
      <c r="DL259" s="44" t="str">
        <f t="shared" si="3652"/>
        <v/>
      </c>
      <c r="DM259" s="44" t="str">
        <f t="shared" si="3653"/>
        <v/>
      </c>
      <c r="DN259" s="44" t="str">
        <f t="shared" si="3654"/>
        <v/>
      </c>
      <c r="DO259" s="44" t="str">
        <f t="shared" si="3655"/>
        <v/>
      </c>
      <c r="DP259" s="44" t="str">
        <f t="shared" si="3656"/>
        <v/>
      </c>
      <c r="DQ259" s="44" t="str">
        <f t="shared" si="3657"/>
        <v/>
      </c>
      <c r="DR259" s="44" t="str">
        <f t="shared" si="3658"/>
        <v/>
      </c>
      <c r="DS259" s="44" t="str">
        <f t="shared" si="3659"/>
        <v/>
      </c>
      <c r="DT259" s="44" t="str">
        <f t="shared" si="3660"/>
        <v/>
      </c>
      <c r="DU259" s="44" t="str">
        <f t="shared" si="3661"/>
        <v/>
      </c>
      <c r="DV259" s="44" t="str">
        <f t="shared" si="3662"/>
        <v/>
      </c>
      <c r="DW259" s="44" t="str">
        <f t="shared" si="3663"/>
        <v/>
      </c>
      <c r="DX259" s="44" t="str">
        <f t="shared" si="3664"/>
        <v/>
      </c>
      <c r="DY259" s="44" t="str">
        <f t="shared" si="3665"/>
        <v/>
      </c>
      <c r="DZ259" s="44" t="str">
        <f t="shared" si="3666"/>
        <v/>
      </c>
      <c r="EA259" s="44" t="str">
        <f t="shared" si="3667"/>
        <v/>
      </c>
      <c r="EB259" s="44" t="str">
        <f t="shared" si="3668"/>
        <v/>
      </c>
      <c r="EC259" s="44" t="str">
        <f t="shared" si="3669"/>
        <v/>
      </c>
      <c r="ED259" s="44" t="str">
        <f t="shared" si="3670"/>
        <v/>
      </c>
      <c r="EE259" s="44" t="str">
        <f t="shared" si="3671"/>
        <v/>
      </c>
      <c r="EF259" s="44" t="str">
        <f t="shared" si="3672"/>
        <v/>
      </c>
      <c r="EG259" s="44" t="str">
        <f t="shared" si="3673"/>
        <v/>
      </c>
      <c r="EH259" s="44" t="str">
        <f t="shared" si="3674"/>
        <v/>
      </c>
      <c r="EI259" s="44" t="str">
        <f t="shared" si="3675"/>
        <v/>
      </c>
      <c r="EJ259" s="44" t="str">
        <f t="shared" si="3676"/>
        <v/>
      </c>
      <c r="EK259" s="44" t="str">
        <f t="shared" si="3677"/>
        <v/>
      </c>
      <c r="EL259" s="44" t="str">
        <f t="shared" si="3678"/>
        <v/>
      </c>
      <c r="EM259" s="44" t="str">
        <f t="shared" si="3679"/>
        <v/>
      </c>
      <c r="EN259" s="44" t="str">
        <f t="shared" si="3680"/>
        <v/>
      </c>
      <c r="EO259" s="44" t="str">
        <f t="shared" si="3681"/>
        <v/>
      </c>
      <c r="EP259" s="44" t="str">
        <f t="shared" si="3682"/>
        <v/>
      </c>
      <c r="EQ259" s="44" t="str">
        <f t="shared" si="3683"/>
        <v/>
      </c>
      <c r="ER259" s="44" t="str">
        <f t="shared" si="3684"/>
        <v/>
      </c>
      <c r="ES259" s="44" t="str">
        <f t="shared" si="3685"/>
        <v/>
      </c>
      <c r="ET259" s="44" t="str">
        <f t="shared" si="3686"/>
        <v/>
      </c>
      <c r="EU259" s="44" t="str">
        <f t="shared" si="3687"/>
        <v/>
      </c>
      <c r="EV259" s="44" t="str">
        <f t="shared" si="3688"/>
        <v/>
      </c>
      <c r="EW259" s="44" t="str">
        <f t="shared" si="3689"/>
        <v/>
      </c>
      <c r="EX259" s="44" t="str">
        <f t="shared" si="3690"/>
        <v/>
      </c>
      <c r="EY259" s="44" t="str">
        <f t="shared" si="3691"/>
        <v/>
      </c>
      <c r="EZ259" s="44" t="str">
        <f t="shared" si="3692"/>
        <v/>
      </c>
      <c r="FA259" s="44" t="str">
        <f t="shared" si="3693"/>
        <v/>
      </c>
      <c r="FB259" s="44" t="str">
        <f t="shared" si="3694"/>
        <v/>
      </c>
      <c r="FC259" s="44" t="str">
        <f t="shared" si="3695"/>
        <v/>
      </c>
      <c r="FD259" s="44" t="str">
        <f t="shared" si="3696"/>
        <v/>
      </c>
      <c r="FE259" s="44" t="str">
        <f t="shared" si="3697"/>
        <v/>
      </c>
      <c r="FF259" s="44" t="str">
        <f t="shared" si="3698"/>
        <v/>
      </c>
      <c r="FG259" s="44" t="str">
        <f t="shared" si="3699"/>
        <v/>
      </c>
      <c r="FH259" s="44" t="str">
        <f t="shared" si="3700"/>
        <v/>
      </c>
      <c r="FI259" s="44" t="str">
        <f t="shared" si="3701"/>
        <v/>
      </c>
      <c r="FJ259" s="44" t="str">
        <f t="shared" si="3702"/>
        <v/>
      </c>
      <c r="FK259" s="44" t="str">
        <f t="shared" si="3703"/>
        <v/>
      </c>
      <c r="FL259" s="44" t="str">
        <f t="shared" si="3704"/>
        <v/>
      </c>
      <c r="FM259" s="44" t="str">
        <f t="shared" si="3705"/>
        <v/>
      </c>
      <c r="FN259" s="44" t="str">
        <f t="shared" si="3706"/>
        <v/>
      </c>
      <c r="FO259" s="44" t="str">
        <f t="shared" si="3707"/>
        <v/>
      </c>
      <c r="FP259" s="44" t="str">
        <f t="shared" si="3708"/>
        <v/>
      </c>
      <c r="FQ259" s="44" t="str">
        <f t="shared" si="3709"/>
        <v/>
      </c>
      <c r="FR259" s="44" t="str">
        <f t="shared" si="3710"/>
        <v/>
      </c>
      <c r="FS259" s="44" t="str">
        <f t="shared" si="3711"/>
        <v/>
      </c>
    </row>
    <row r="260" ht="15" spans="1:175">
      <c r="A260" s="11"/>
      <c r="B260" s="46"/>
      <c r="C260" s="11"/>
      <c r="E260" s="105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80"/>
      <c r="Q260" s="80"/>
      <c r="R260" s="80"/>
      <c r="S260" s="80"/>
      <c r="T260" s="111"/>
      <c r="U260" s="60"/>
      <c r="CU260" s="72" t="str">
        <f t="shared" si="3641"/>
        <v>|n</v>
      </c>
      <c r="CW260" s="7"/>
      <c r="CX260" s="7"/>
      <c r="CY260" s="7"/>
      <c r="CZ260" s="7"/>
      <c r="DA260" s="7"/>
      <c r="DB260" s="44" t="str">
        <f t="shared" si="3642"/>
        <v/>
      </c>
      <c r="DC260" s="44" t="str">
        <f t="shared" si="3643"/>
        <v/>
      </c>
      <c r="DD260" s="44" t="str">
        <f t="shared" si="3644"/>
        <v/>
      </c>
      <c r="DE260" s="44" t="str">
        <f t="shared" si="3645"/>
        <v/>
      </c>
      <c r="DF260" s="44" t="str">
        <f t="shared" si="3646"/>
        <v/>
      </c>
      <c r="DG260" s="44" t="str">
        <f t="shared" si="3647"/>
        <v/>
      </c>
      <c r="DH260" s="44" t="str">
        <f t="shared" si="3648"/>
        <v/>
      </c>
      <c r="DI260" s="44" t="str">
        <f t="shared" si="3649"/>
        <v/>
      </c>
      <c r="DJ260" s="44" t="str">
        <f t="shared" si="3650"/>
        <v/>
      </c>
      <c r="DK260" s="44" t="str">
        <f t="shared" si="3651"/>
        <v/>
      </c>
      <c r="DL260" s="44" t="str">
        <f t="shared" si="3652"/>
        <v/>
      </c>
      <c r="DM260" s="44" t="str">
        <f t="shared" si="3653"/>
        <v/>
      </c>
      <c r="DN260" s="44" t="str">
        <f t="shared" si="3654"/>
        <v/>
      </c>
      <c r="DO260" s="44" t="str">
        <f t="shared" si="3655"/>
        <v/>
      </c>
      <c r="DP260" s="44" t="str">
        <f t="shared" si="3656"/>
        <v/>
      </c>
      <c r="DQ260" s="44" t="str">
        <f t="shared" si="3657"/>
        <v/>
      </c>
      <c r="DR260" s="44" t="str">
        <f t="shared" si="3658"/>
        <v/>
      </c>
      <c r="DS260" s="44" t="str">
        <f t="shared" si="3659"/>
        <v/>
      </c>
      <c r="DT260" s="44" t="str">
        <f t="shared" si="3660"/>
        <v/>
      </c>
      <c r="DU260" s="44" t="str">
        <f t="shared" si="3661"/>
        <v/>
      </c>
      <c r="DV260" s="44" t="str">
        <f t="shared" si="3662"/>
        <v/>
      </c>
      <c r="DW260" s="44" t="str">
        <f t="shared" si="3663"/>
        <v/>
      </c>
      <c r="DX260" s="44" t="str">
        <f t="shared" si="3664"/>
        <v/>
      </c>
      <c r="DY260" s="44" t="str">
        <f t="shared" si="3665"/>
        <v/>
      </c>
      <c r="DZ260" s="44" t="str">
        <f t="shared" si="3666"/>
        <v/>
      </c>
      <c r="EA260" s="44" t="str">
        <f t="shared" si="3667"/>
        <v/>
      </c>
      <c r="EB260" s="44" t="str">
        <f t="shared" si="3668"/>
        <v/>
      </c>
      <c r="EC260" s="44" t="str">
        <f t="shared" si="3669"/>
        <v/>
      </c>
      <c r="ED260" s="44" t="str">
        <f t="shared" si="3670"/>
        <v/>
      </c>
      <c r="EE260" s="44" t="str">
        <f t="shared" si="3671"/>
        <v/>
      </c>
      <c r="EF260" s="44" t="str">
        <f t="shared" si="3672"/>
        <v/>
      </c>
      <c r="EG260" s="44" t="str">
        <f t="shared" si="3673"/>
        <v/>
      </c>
      <c r="EH260" s="44" t="str">
        <f t="shared" si="3674"/>
        <v/>
      </c>
      <c r="EI260" s="44" t="str">
        <f t="shared" si="3675"/>
        <v/>
      </c>
      <c r="EJ260" s="44" t="str">
        <f t="shared" si="3676"/>
        <v/>
      </c>
      <c r="EK260" s="44" t="str">
        <f t="shared" si="3677"/>
        <v/>
      </c>
      <c r="EL260" s="44" t="str">
        <f t="shared" si="3678"/>
        <v/>
      </c>
      <c r="EM260" s="44" t="str">
        <f t="shared" si="3679"/>
        <v/>
      </c>
      <c r="EN260" s="44" t="str">
        <f t="shared" si="3680"/>
        <v/>
      </c>
      <c r="EO260" s="44" t="str">
        <f t="shared" si="3681"/>
        <v/>
      </c>
      <c r="EP260" s="44" t="str">
        <f t="shared" si="3682"/>
        <v/>
      </c>
      <c r="EQ260" s="44" t="str">
        <f t="shared" si="3683"/>
        <v/>
      </c>
      <c r="ER260" s="44" t="str">
        <f t="shared" si="3684"/>
        <v/>
      </c>
      <c r="ES260" s="44" t="str">
        <f t="shared" si="3685"/>
        <v/>
      </c>
      <c r="ET260" s="44" t="str">
        <f t="shared" si="3686"/>
        <v/>
      </c>
      <c r="EU260" s="44" t="str">
        <f t="shared" si="3687"/>
        <v/>
      </c>
      <c r="EV260" s="44" t="str">
        <f t="shared" si="3688"/>
        <v/>
      </c>
      <c r="EW260" s="44" t="str">
        <f t="shared" si="3689"/>
        <v/>
      </c>
      <c r="EX260" s="44" t="str">
        <f t="shared" si="3690"/>
        <v/>
      </c>
      <c r="EY260" s="44" t="str">
        <f t="shared" si="3691"/>
        <v/>
      </c>
      <c r="EZ260" s="44" t="str">
        <f t="shared" si="3692"/>
        <v/>
      </c>
      <c r="FA260" s="44" t="str">
        <f t="shared" si="3693"/>
        <v/>
      </c>
      <c r="FB260" s="44" t="str">
        <f t="shared" si="3694"/>
        <v/>
      </c>
      <c r="FC260" s="44" t="str">
        <f t="shared" si="3695"/>
        <v/>
      </c>
      <c r="FD260" s="44" t="str">
        <f t="shared" si="3696"/>
        <v/>
      </c>
      <c r="FE260" s="44" t="str">
        <f t="shared" si="3697"/>
        <v/>
      </c>
      <c r="FF260" s="44" t="str">
        <f t="shared" si="3698"/>
        <v/>
      </c>
      <c r="FG260" s="44" t="str">
        <f t="shared" si="3699"/>
        <v/>
      </c>
      <c r="FH260" s="44" t="str">
        <f t="shared" si="3700"/>
        <v/>
      </c>
      <c r="FI260" s="44" t="str">
        <f t="shared" si="3701"/>
        <v/>
      </c>
      <c r="FJ260" s="44" t="str">
        <f t="shared" si="3702"/>
        <v/>
      </c>
      <c r="FK260" s="44" t="str">
        <f t="shared" si="3703"/>
        <v/>
      </c>
      <c r="FL260" s="44" t="str">
        <f t="shared" si="3704"/>
        <v/>
      </c>
      <c r="FM260" s="44" t="str">
        <f t="shared" si="3705"/>
        <v/>
      </c>
      <c r="FN260" s="44" t="str">
        <f t="shared" si="3706"/>
        <v/>
      </c>
      <c r="FO260" s="44" t="str">
        <f t="shared" si="3707"/>
        <v/>
      </c>
      <c r="FP260" s="44" t="str">
        <f t="shared" si="3708"/>
        <v/>
      </c>
      <c r="FQ260" s="44" t="str">
        <f t="shared" si="3709"/>
        <v/>
      </c>
      <c r="FR260" s="44" t="str">
        <f t="shared" si="3710"/>
        <v/>
      </c>
      <c r="FS260" s="44" t="str">
        <f t="shared" si="3711"/>
        <v/>
      </c>
    </row>
    <row r="261" ht="15" spans="1:175">
      <c r="A261" s="11"/>
      <c r="B261" s="46"/>
      <c r="C261" s="11"/>
      <c r="E261" s="105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80"/>
      <c r="Q261" s="80"/>
      <c r="R261" s="80"/>
      <c r="S261" s="80"/>
      <c r="T261" s="111"/>
      <c r="U261" s="60"/>
      <c r="CU261" s="72" t="str">
        <f t="shared" si="3641"/>
        <v>|n</v>
      </c>
      <c r="CW261" s="7"/>
      <c r="CX261" s="7"/>
      <c r="CY261" s="7"/>
      <c r="CZ261" s="7"/>
      <c r="DA261" s="7"/>
      <c r="DB261" s="44" t="str">
        <f t="shared" si="3642"/>
        <v/>
      </c>
      <c r="DC261" s="44" t="str">
        <f t="shared" si="3643"/>
        <v/>
      </c>
      <c r="DD261" s="44" t="str">
        <f t="shared" si="3644"/>
        <v/>
      </c>
      <c r="DE261" s="44" t="str">
        <f t="shared" si="3645"/>
        <v/>
      </c>
      <c r="DF261" s="44" t="str">
        <f t="shared" si="3646"/>
        <v/>
      </c>
      <c r="DG261" s="44" t="str">
        <f t="shared" si="3647"/>
        <v/>
      </c>
      <c r="DH261" s="44" t="str">
        <f t="shared" si="3648"/>
        <v/>
      </c>
      <c r="DI261" s="44" t="str">
        <f t="shared" si="3649"/>
        <v/>
      </c>
      <c r="DJ261" s="44" t="str">
        <f t="shared" si="3650"/>
        <v/>
      </c>
      <c r="DK261" s="44" t="str">
        <f t="shared" si="3651"/>
        <v/>
      </c>
      <c r="DL261" s="44" t="str">
        <f t="shared" si="3652"/>
        <v/>
      </c>
      <c r="DM261" s="44" t="str">
        <f t="shared" si="3653"/>
        <v/>
      </c>
      <c r="DN261" s="44" t="str">
        <f t="shared" si="3654"/>
        <v/>
      </c>
      <c r="DO261" s="44" t="str">
        <f t="shared" si="3655"/>
        <v/>
      </c>
      <c r="DP261" s="44" t="str">
        <f t="shared" si="3656"/>
        <v/>
      </c>
      <c r="DQ261" s="44" t="str">
        <f t="shared" si="3657"/>
        <v/>
      </c>
      <c r="DR261" s="44" t="str">
        <f t="shared" si="3658"/>
        <v/>
      </c>
      <c r="DS261" s="44" t="str">
        <f t="shared" si="3659"/>
        <v/>
      </c>
      <c r="DT261" s="44" t="str">
        <f t="shared" si="3660"/>
        <v/>
      </c>
      <c r="DU261" s="44" t="str">
        <f t="shared" si="3661"/>
        <v/>
      </c>
      <c r="DV261" s="44" t="str">
        <f t="shared" si="3662"/>
        <v/>
      </c>
      <c r="DW261" s="44" t="str">
        <f t="shared" si="3663"/>
        <v/>
      </c>
      <c r="DX261" s="44" t="str">
        <f t="shared" si="3664"/>
        <v/>
      </c>
      <c r="DY261" s="44" t="str">
        <f t="shared" si="3665"/>
        <v/>
      </c>
      <c r="DZ261" s="44" t="str">
        <f t="shared" si="3666"/>
        <v/>
      </c>
      <c r="EA261" s="44" t="str">
        <f t="shared" si="3667"/>
        <v/>
      </c>
      <c r="EB261" s="44" t="str">
        <f t="shared" si="3668"/>
        <v/>
      </c>
      <c r="EC261" s="44" t="str">
        <f t="shared" si="3669"/>
        <v/>
      </c>
      <c r="ED261" s="44" t="str">
        <f t="shared" si="3670"/>
        <v/>
      </c>
      <c r="EE261" s="44" t="str">
        <f t="shared" si="3671"/>
        <v/>
      </c>
      <c r="EF261" s="44" t="str">
        <f t="shared" si="3672"/>
        <v/>
      </c>
      <c r="EG261" s="44" t="str">
        <f t="shared" si="3673"/>
        <v/>
      </c>
      <c r="EH261" s="44" t="str">
        <f t="shared" si="3674"/>
        <v/>
      </c>
      <c r="EI261" s="44" t="str">
        <f t="shared" si="3675"/>
        <v/>
      </c>
      <c r="EJ261" s="44" t="str">
        <f t="shared" si="3676"/>
        <v/>
      </c>
      <c r="EK261" s="44" t="str">
        <f t="shared" si="3677"/>
        <v/>
      </c>
      <c r="EL261" s="44" t="str">
        <f t="shared" si="3678"/>
        <v/>
      </c>
      <c r="EM261" s="44" t="str">
        <f t="shared" si="3679"/>
        <v/>
      </c>
      <c r="EN261" s="44" t="str">
        <f t="shared" si="3680"/>
        <v/>
      </c>
      <c r="EO261" s="44" t="str">
        <f t="shared" si="3681"/>
        <v/>
      </c>
      <c r="EP261" s="44" t="str">
        <f t="shared" si="3682"/>
        <v/>
      </c>
      <c r="EQ261" s="44" t="str">
        <f t="shared" si="3683"/>
        <v/>
      </c>
      <c r="ER261" s="44" t="str">
        <f t="shared" si="3684"/>
        <v/>
      </c>
      <c r="ES261" s="44" t="str">
        <f t="shared" si="3685"/>
        <v/>
      </c>
      <c r="ET261" s="44" t="str">
        <f t="shared" si="3686"/>
        <v/>
      </c>
      <c r="EU261" s="44" t="str">
        <f t="shared" si="3687"/>
        <v/>
      </c>
      <c r="EV261" s="44" t="str">
        <f t="shared" si="3688"/>
        <v/>
      </c>
      <c r="EW261" s="44" t="str">
        <f t="shared" si="3689"/>
        <v/>
      </c>
      <c r="EX261" s="44" t="str">
        <f t="shared" si="3690"/>
        <v/>
      </c>
      <c r="EY261" s="44" t="str">
        <f t="shared" si="3691"/>
        <v/>
      </c>
      <c r="EZ261" s="44" t="str">
        <f t="shared" si="3692"/>
        <v/>
      </c>
      <c r="FA261" s="44" t="str">
        <f t="shared" si="3693"/>
        <v/>
      </c>
      <c r="FB261" s="44" t="str">
        <f t="shared" si="3694"/>
        <v/>
      </c>
      <c r="FC261" s="44" t="str">
        <f t="shared" si="3695"/>
        <v/>
      </c>
      <c r="FD261" s="44" t="str">
        <f t="shared" si="3696"/>
        <v/>
      </c>
      <c r="FE261" s="44" t="str">
        <f t="shared" si="3697"/>
        <v/>
      </c>
      <c r="FF261" s="44" t="str">
        <f t="shared" si="3698"/>
        <v/>
      </c>
      <c r="FG261" s="44" t="str">
        <f t="shared" si="3699"/>
        <v/>
      </c>
      <c r="FH261" s="44" t="str">
        <f t="shared" si="3700"/>
        <v/>
      </c>
      <c r="FI261" s="44" t="str">
        <f t="shared" si="3701"/>
        <v/>
      </c>
      <c r="FJ261" s="44" t="str">
        <f t="shared" si="3702"/>
        <v/>
      </c>
      <c r="FK261" s="44" t="str">
        <f t="shared" si="3703"/>
        <v/>
      </c>
      <c r="FL261" s="44" t="str">
        <f t="shared" si="3704"/>
        <v/>
      </c>
      <c r="FM261" s="44" t="str">
        <f t="shared" si="3705"/>
        <v/>
      </c>
      <c r="FN261" s="44" t="str">
        <f t="shared" si="3706"/>
        <v/>
      </c>
      <c r="FO261" s="44" t="str">
        <f t="shared" si="3707"/>
        <v/>
      </c>
      <c r="FP261" s="44" t="str">
        <f t="shared" si="3708"/>
        <v/>
      </c>
      <c r="FQ261" s="44" t="str">
        <f t="shared" si="3709"/>
        <v/>
      </c>
      <c r="FR261" s="44" t="str">
        <f t="shared" si="3710"/>
        <v/>
      </c>
      <c r="FS261" s="44" t="str">
        <f t="shared" si="3711"/>
        <v/>
      </c>
    </row>
    <row r="262" spans="1:175">
      <c r="A262" s="8"/>
      <c r="B262" s="8"/>
      <c r="C262" s="8"/>
      <c r="E262" s="112"/>
      <c r="T262" s="110"/>
      <c r="U262" s="60"/>
      <c r="CU262" s="72" t="str">
        <f t="shared" si="3641"/>
        <v>|n</v>
      </c>
      <c r="CW262" s="7"/>
      <c r="CX262" s="7"/>
      <c r="CY262" s="7"/>
      <c r="CZ262" s="7"/>
      <c r="DA262" s="7"/>
      <c r="DB262" s="44" t="str">
        <f t="shared" si="3642"/>
        <v/>
      </c>
      <c r="DC262" s="44" t="str">
        <f t="shared" si="3643"/>
        <v/>
      </c>
      <c r="DD262" s="44" t="str">
        <f t="shared" si="3644"/>
        <v/>
      </c>
      <c r="DE262" s="44" t="str">
        <f t="shared" si="3645"/>
        <v/>
      </c>
      <c r="DF262" s="44" t="str">
        <f t="shared" si="3646"/>
        <v/>
      </c>
      <c r="DG262" s="44" t="str">
        <f t="shared" si="3647"/>
        <v/>
      </c>
      <c r="DH262" s="44" t="str">
        <f t="shared" si="3648"/>
        <v/>
      </c>
      <c r="DI262" s="44" t="str">
        <f t="shared" si="3649"/>
        <v/>
      </c>
      <c r="DJ262" s="44" t="str">
        <f t="shared" si="3650"/>
        <v/>
      </c>
      <c r="DK262" s="44" t="str">
        <f t="shared" si="3651"/>
        <v/>
      </c>
      <c r="DL262" s="44" t="str">
        <f t="shared" si="3652"/>
        <v/>
      </c>
      <c r="DM262" s="44" t="str">
        <f t="shared" si="3653"/>
        <v/>
      </c>
      <c r="DN262" s="44" t="str">
        <f t="shared" si="3654"/>
        <v/>
      </c>
      <c r="DO262" s="44" t="str">
        <f t="shared" si="3655"/>
        <v/>
      </c>
      <c r="DP262" s="44" t="str">
        <f t="shared" si="3656"/>
        <v/>
      </c>
      <c r="DQ262" s="44" t="str">
        <f t="shared" si="3657"/>
        <v/>
      </c>
      <c r="DR262" s="44" t="str">
        <f t="shared" si="3658"/>
        <v/>
      </c>
      <c r="DS262" s="44" t="str">
        <f t="shared" si="3659"/>
        <v/>
      </c>
      <c r="DT262" s="44" t="str">
        <f t="shared" si="3660"/>
        <v/>
      </c>
      <c r="DU262" s="44" t="str">
        <f t="shared" si="3661"/>
        <v/>
      </c>
      <c r="DV262" s="44" t="str">
        <f t="shared" si="3662"/>
        <v/>
      </c>
      <c r="DW262" s="44" t="str">
        <f t="shared" si="3663"/>
        <v/>
      </c>
      <c r="DX262" s="44" t="str">
        <f t="shared" si="3664"/>
        <v/>
      </c>
      <c r="DY262" s="44" t="str">
        <f t="shared" si="3665"/>
        <v/>
      </c>
      <c r="DZ262" s="44" t="str">
        <f t="shared" si="3666"/>
        <v/>
      </c>
      <c r="EA262" s="44" t="str">
        <f t="shared" si="3667"/>
        <v/>
      </c>
      <c r="EB262" s="44" t="str">
        <f t="shared" si="3668"/>
        <v/>
      </c>
      <c r="EC262" s="44" t="str">
        <f t="shared" si="3669"/>
        <v/>
      </c>
      <c r="ED262" s="44" t="str">
        <f t="shared" si="3670"/>
        <v/>
      </c>
      <c r="EE262" s="44" t="str">
        <f t="shared" si="3671"/>
        <v/>
      </c>
      <c r="EF262" s="44" t="str">
        <f t="shared" si="3672"/>
        <v/>
      </c>
      <c r="EG262" s="44" t="str">
        <f t="shared" si="3673"/>
        <v/>
      </c>
      <c r="EH262" s="44" t="str">
        <f t="shared" si="3674"/>
        <v/>
      </c>
      <c r="EI262" s="44" t="str">
        <f t="shared" si="3675"/>
        <v/>
      </c>
      <c r="EJ262" s="44" t="str">
        <f t="shared" si="3676"/>
        <v/>
      </c>
      <c r="EK262" s="44" t="str">
        <f t="shared" si="3677"/>
        <v/>
      </c>
      <c r="EL262" s="44" t="str">
        <f t="shared" si="3678"/>
        <v/>
      </c>
      <c r="EM262" s="44" t="str">
        <f t="shared" si="3679"/>
        <v/>
      </c>
      <c r="EN262" s="44" t="str">
        <f t="shared" si="3680"/>
        <v/>
      </c>
      <c r="EO262" s="44" t="str">
        <f t="shared" si="3681"/>
        <v/>
      </c>
      <c r="EP262" s="44" t="str">
        <f t="shared" si="3682"/>
        <v/>
      </c>
      <c r="EQ262" s="44" t="str">
        <f t="shared" si="3683"/>
        <v/>
      </c>
      <c r="ER262" s="44" t="str">
        <f t="shared" si="3684"/>
        <v/>
      </c>
      <c r="ES262" s="44" t="str">
        <f t="shared" si="3685"/>
        <v/>
      </c>
      <c r="ET262" s="44" t="str">
        <f t="shared" si="3686"/>
        <v/>
      </c>
      <c r="EU262" s="44" t="str">
        <f t="shared" si="3687"/>
        <v/>
      </c>
      <c r="EV262" s="44" t="str">
        <f t="shared" si="3688"/>
        <v/>
      </c>
      <c r="EW262" s="44" t="str">
        <f t="shared" si="3689"/>
        <v/>
      </c>
      <c r="EX262" s="44" t="str">
        <f t="shared" si="3690"/>
        <v/>
      </c>
      <c r="EY262" s="44" t="str">
        <f t="shared" si="3691"/>
        <v/>
      </c>
      <c r="EZ262" s="44" t="str">
        <f t="shared" si="3692"/>
        <v/>
      </c>
      <c r="FA262" s="44" t="str">
        <f t="shared" si="3693"/>
        <v/>
      </c>
      <c r="FB262" s="44" t="str">
        <f t="shared" si="3694"/>
        <v/>
      </c>
      <c r="FC262" s="44" t="str">
        <f t="shared" si="3695"/>
        <v/>
      </c>
      <c r="FD262" s="44" t="str">
        <f t="shared" si="3696"/>
        <v/>
      </c>
      <c r="FE262" s="44" t="str">
        <f t="shared" si="3697"/>
        <v/>
      </c>
      <c r="FF262" s="44" t="str">
        <f t="shared" si="3698"/>
        <v/>
      </c>
      <c r="FG262" s="44" t="str">
        <f t="shared" si="3699"/>
        <v/>
      </c>
      <c r="FH262" s="44" t="str">
        <f t="shared" si="3700"/>
        <v/>
      </c>
      <c r="FI262" s="44" t="str">
        <f t="shared" si="3701"/>
        <v/>
      </c>
      <c r="FJ262" s="44" t="str">
        <f t="shared" si="3702"/>
        <v/>
      </c>
      <c r="FK262" s="44" t="str">
        <f t="shared" si="3703"/>
        <v/>
      </c>
      <c r="FL262" s="44" t="str">
        <f t="shared" si="3704"/>
        <v/>
      </c>
      <c r="FM262" s="44" t="str">
        <f t="shared" si="3705"/>
        <v/>
      </c>
      <c r="FN262" s="44" t="str">
        <f t="shared" si="3706"/>
        <v/>
      </c>
      <c r="FO262" s="44" t="str">
        <f t="shared" si="3707"/>
        <v/>
      </c>
      <c r="FP262" s="44" t="str">
        <f t="shared" si="3708"/>
        <v/>
      </c>
      <c r="FQ262" s="44" t="str">
        <f t="shared" si="3709"/>
        <v/>
      </c>
      <c r="FR262" s="44" t="str">
        <f t="shared" si="3710"/>
        <v/>
      </c>
      <c r="FS262" s="44" t="str">
        <f t="shared" si="3711"/>
        <v/>
      </c>
    </row>
    <row r="263" spans="1:175">
      <c r="A263" s="8"/>
      <c r="B263" s="8"/>
      <c r="C263" s="8"/>
      <c r="E263" s="112"/>
      <c r="T263" s="110"/>
      <c r="U263" s="60"/>
      <c r="CU263" s="72" t="str">
        <f t="shared" si="3641"/>
        <v>|n</v>
      </c>
      <c r="CW263" s="7"/>
      <c r="CX263" s="7"/>
      <c r="CY263" s="7"/>
      <c r="CZ263" s="7"/>
      <c r="DA263" s="7"/>
      <c r="DB263" s="44" t="str">
        <f t="shared" si="3642"/>
        <v/>
      </c>
      <c r="DC263" s="44" t="str">
        <f t="shared" si="3643"/>
        <v/>
      </c>
      <c r="DD263" s="44" t="str">
        <f t="shared" si="3644"/>
        <v/>
      </c>
      <c r="DE263" s="44" t="str">
        <f t="shared" si="3645"/>
        <v/>
      </c>
      <c r="DF263" s="44" t="str">
        <f t="shared" si="3646"/>
        <v/>
      </c>
      <c r="DG263" s="44" t="str">
        <f t="shared" si="3647"/>
        <v/>
      </c>
      <c r="DH263" s="44" t="str">
        <f t="shared" si="3648"/>
        <v/>
      </c>
      <c r="DI263" s="44" t="str">
        <f t="shared" si="3649"/>
        <v/>
      </c>
      <c r="DJ263" s="44" t="str">
        <f t="shared" si="3650"/>
        <v/>
      </c>
      <c r="DK263" s="44" t="str">
        <f t="shared" si="3651"/>
        <v/>
      </c>
      <c r="DL263" s="44" t="str">
        <f t="shared" si="3652"/>
        <v/>
      </c>
      <c r="DM263" s="44" t="str">
        <f t="shared" si="3653"/>
        <v/>
      </c>
      <c r="DN263" s="44" t="str">
        <f t="shared" si="3654"/>
        <v/>
      </c>
      <c r="DO263" s="44" t="str">
        <f t="shared" si="3655"/>
        <v/>
      </c>
      <c r="DP263" s="44" t="str">
        <f t="shared" si="3656"/>
        <v/>
      </c>
      <c r="DQ263" s="44" t="str">
        <f t="shared" si="3657"/>
        <v/>
      </c>
      <c r="DR263" s="44" t="str">
        <f t="shared" si="3658"/>
        <v/>
      </c>
      <c r="DS263" s="44" t="str">
        <f t="shared" si="3659"/>
        <v/>
      </c>
      <c r="DT263" s="44" t="str">
        <f t="shared" si="3660"/>
        <v/>
      </c>
      <c r="DU263" s="44" t="str">
        <f t="shared" si="3661"/>
        <v/>
      </c>
      <c r="DV263" s="44" t="str">
        <f t="shared" si="3662"/>
        <v/>
      </c>
      <c r="DW263" s="44" t="str">
        <f t="shared" si="3663"/>
        <v/>
      </c>
      <c r="DX263" s="44" t="str">
        <f t="shared" si="3664"/>
        <v/>
      </c>
      <c r="DY263" s="44" t="str">
        <f t="shared" si="3665"/>
        <v/>
      </c>
      <c r="DZ263" s="44" t="str">
        <f t="shared" si="3666"/>
        <v/>
      </c>
      <c r="EA263" s="44" t="str">
        <f t="shared" si="3667"/>
        <v/>
      </c>
      <c r="EB263" s="44" t="str">
        <f t="shared" si="3668"/>
        <v/>
      </c>
      <c r="EC263" s="44" t="str">
        <f t="shared" si="3669"/>
        <v/>
      </c>
      <c r="ED263" s="44" t="str">
        <f t="shared" si="3670"/>
        <v/>
      </c>
      <c r="EE263" s="44" t="str">
        <f t="shared" si="3671"/>
        <v/>
      </c>
      <c r="EF263" s="44" t="str">
        <f t="shared" si="3672"/>
        <v/>
      </c>
      <c r="EG263" s="44" t="str">
        <f t="shared" si="3673"/>
        <v/>
      </c>
      <c r="EH263" s="44" t="str">
        <f t="shared" si="3674"/>
        <v/>
      </c>
      <c r="EI263" s="44" t="str">
        <f t="shared" si="3675"/>
        <v/>
      </c>
      <c r="EJ263" s="44" t="str">
        <f t="shared" si="3676"/>
        <v/>
      </c>
      <c r="EK263" s="44" t="str">
        <f t="shared" si="3677"/>
        <v/>
      </c>
      <c r="EL263" s="44" t="str">
        <f t="shared" si="3678"/>
        <v/>
      </c>
      <c r="EM263" s="44" t="str">
        <f t="shared" si="3679"/>
        <v/>
      </c>
      <c r="EN263" s="44" t="str">
        <f t="shared" si="3680"/>
        <v/>
      </c>
      <c r="EO263" s="44" t="str">
        <f t="shared" si="3681"/>
        <v/>
      </c>
      <c r="EP263" s="44" t="str">
        <f t="shared" si="3682"/>
        <v/>
      </c>
      <c r="EQ263" s="44" t="str">
        <f t="shared" si="3683"/>
        <v/>
      </c>
      <c r="ER263" s="44" t="str">
        <f t="shared" si="3684"/>
        <v/>
      </c>
      <c r="ES263" s="44" t="str">
        <f t="shared" si="3685"/>
        <v/>
      </c>
      <c r="ET263" s="44" t="str">
        <f t="shared" si="3686"/>
        <v/>
      </c>
      <c r="EU263" s="44" t="str">
        <f t="shared" si="3687"/>
        <v/>
      </c>
      <c r="EV263" s="44" t="str">
        <f t="shared" si="3688"/>
        <v/>
      </c>
      <c r="EW263" s="44" t="str">
        <f t="shared" si="3689"/>
        <v/>
      </c>
      <c r="EX263" s="44" t="str">
        <f t="shared" si="3690"/>
        <v/>
      </c>
      <c r="EY263" s="44" t="str">
        <f t="shared" si="3691"/>
        <v/>
      </c>
      <c r="EZ263" s="44" t="str">
        <f t="shared" si="3692"/>
        <v/>
      </c>
      <c r="FA263" s="44" t="str">
        <f t="shared" si="3693"/>
        <v/>
      </c>
      <c r="FB263" s="44" t="str">
        <f t="shared" si="3694"/>
        <v/>
      </c>
      <c r="FC263" s="44" t="str">
        <f t="shared" si="3695"/>
        <v/>
      </c>
      <c r="FD263" s="44" t="str">
        <f t="shared" si="3696"/>
        <v/>
      </c>
      <c r="FE263" s="44" t="str">
        <f t="shared" si="3697"/>
        <v/>
      </c>
      <c r="FF263" s="44" t="str">
        <f t="shared" si="3698"/>
        <v/>
      </c>
      <c r="FG263" s="44" t="str">
        <f t="shared" si="3699"/>
        <v/>
      </c>
      <c r="FH263" s="44" t="str">
        <f t="shared" si="3700"/>
        <v/>
      </c>
      <c r="FI263" s="44" t="str">
        <f t="shared" si="3701"/>
        <v/>
      </c>
      <c r="FJ263" s="44" t="str">
        <f t="shared" si="3702"/>
        <v/>
      </c>
      <c r="FK263" s="44" t="str">
        <f t="shared" si="3703"/>
        <v/>
      </c>
      <c r="FL263" s="44" t="str">
        <f t="shared" si="3704"/>
        <v/>
      </c>
      <c r="FM263" s="44" t="str">
        <f t="shared" si="3705"/>
        <v/>
      </c>
      <c r="FN263" s="44" t="str">
        <f t="shared" si="3706"/>
        <v/>
      </c>
      <c r="FO263" s="44" t="str">
        <f t="shared" si="3707"/>
        <v/>
      </c>
      <c r="FP263" s="44" t="str">
        <f t="shared" si="3708"/>
        <v/>
      </c>
      <c r="FQ263" s="44" t="str">
        <f t="shared" si="3709"/>
        <v/>
      </c>
      <c r="FR263" s="44" t="str">
        <f t="shared" si="3710"/>
        <v/>
      </c>
      <c r="FS263" s="44" t="str">
        <f t="shared" si="3711"/>
        <v/>
      </c>
    </row>
    <row r="264" s="7" customFormat="1" ht="15" spans="1:175">
      <c r="A264" s="102"/>
      <c r="B264" s="46"/>
      <c r="C264" s="102"/>
      <c r="D264" s="47"/>
      <c r="E264" s="48"/>
      <c r="F264" s="103"/>
      <c r="G264" s="104"/>
      <c r="H264" s="104"/>
      <c r="I264" s="104"/>
      <c r="J264" s="104"/>
      <c r="K264" s="104"/>
      <c r="L264" s="104"/>
      <c r="M264" s="104"/>
      <c r="N264" s="104"/>
      <c r="O264" s="104"/>
      <c r="P264" s="54"/>
      <c r="Q264" s="54"/>
      <c r="R264" s="54"/>
      <c r="S264" s="54"/>
      <c r="T264" s="63"/>
      <c r="U264" s="60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7"/>
      <c r="AS264" s="67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70" t="str">
        <f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70" t="str">
        <f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70" t="str">
        <f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70" t="str">
        <f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70"/>
      <c r="CT264" s="70"/>
      <c r="CU264" s="72" t="str">
        <f t="shared" si="3641"/>
        <v>|n</v>
      </c>
      <c r="CV264" s="6"/>
      <c r="DB264" s="44" t="str">
        <f t="shared" si="3642"/>
        <v/>
      </c>
      <c r="DC264" s="44" t="str">
        <f t="shared" si="3643"/>
        <v/>
      </c>
      <c r="DD264" s="44" t="str">
        <f t="shared" si="3644"/>
        <v/>
      </c>
      <c r="DE264" s="44" t="str">
        <f t="shared" si="3645"/>
        <v/>
      </c>
      <c r="DF264" s="44" t="str">
        <f t="shared" si="3646"/>
        <v/>
      </c>
      <c r="DG264" s="44" t="str">
        <f t="shared" si="3647"/>
        <v/>
      </c>
      <c r="DH264" s="44" t="str">
        <f t="shared" si="3648"/>
        <v/>
      </c>
      <c r="DI264" s="44" t="str">
        <f t="shared" si="3649"/>
        <v/>
      </c>
      <c r="DJ264" s="44" t="str">
        <f t="shared" si="3650"/>
        <v/>
      </c>
      <c r="DK264" s="44" t="str">
        <f t="shared" si="3651"/>
        <v/>
      </c>
      <c r="DL264" s="44" t="str">
        <f t="shared" si="3652"/>
        <v/>
      </c>
      <c r="DM264" s="44" t="str">
        <f t="shared" si="3653"/>
        <v/>
      </c>
      <c r="DN264" s="44" t="str">
        <f t="shared" si="3654"/>
        <v/>
      </c>
      <c r="DO264" s="44" t="str">
        <f t="shared" si="3655"/>
        <v/>
      </c>
      <c r="DP264" s="44" t="str">
        <f t="shared" si="3656"/>
        <v/>
      </c>
      <c r="DQ264" s="44" t="str">
        <f t="shared" si="3657"/>
        <v/>
      </c>
      <c r="DR264" s="44" t="str">
        <f t="shared" si="3658"/>
        <v/>
      </c>
      <c r="DS264" s="44" t="str">
        <f t="shared" si="3659"/>
        <v/>
      </c>
      <c r="DT264" s="44" t="str">
        <f t="shared" si="3660"/>
        <v/>
      </c>
      <c r="DU264" s="44" t="str">
        <f t="shared" si="3661"/>
        <v/>
      </c>
      <c r="DV264" s="44" t="str">
        <f t="shared" si="3662"/>
        <v/>
      </c>
      <c r="DW264" s="44" t="str">
        <f t="shared" si="3663"/>
        <v/>
      </c>
      <c r="DX264" s="44" t="str">
        <f t="shared" si="3664"/>
        <v/>
      </c>
      <c r="DY264" s="44" t="str">
        <f t="shared" si="3665"/>
        <v/>
      </c>
      <c r="DZ264" s="44" t="str">
        <f t="shared" si="3666"/>
        <v/>
      </c>
      <c r="EA264" s="44" t="str">
        <f t="shared" si="3667"/>
        <v/>
      </c>
      <c r="EB264" s="44" t="str">
        <f t="shared" si="3668"/>
        <v/>
      </c>
      <c r="EC264" s="44" t="str">
        <f t="shared" si="3669"/>
        <v/>
      </c>
      <c r="ED264" s="44" t="str">
        <f t="shared" si="3670"/>
        <v/>
      </c>
      <c r="EE264" s="44" t="str">
        <f t="shared" si="3671"/>
        <v/>
      </c>
      <c r="EF264" s="44" t="str">
        <f t="shared" si="3672"/>
        <v/>
      </c>
      <c r="EG264" s="44" t="str">
        <f t="shared" si="3673"/>
        <v/>
      </c>
      <c r="EH264" s="44" t="str">
        <f t="shared" si="3674"/>
        <v/>
      </c>
      <c r="EI264" s="44" t="str">
        <f t="shared" si="3675"/>
        <v/>
      </c>
      <c r="EJ264" s="44" t="str">
        <f t="shared" si="3676"/>
        <v/>
      </c>
      <c r="EK264" s="44" t="str">
        <f t="shared" si="3677"/>
        <v/>
      </c>
      <c r="EL264" s="44" t="str">
        <f t="shared" si="3678"/>
        <v/>
      </c>
      <c r="EM264" s="44" t="str">
        <f t="shared" si="3679"/>
        <v/>
      </c>
      <c r="EN264" s="44" t="str">
        <f t="shared" si="3680"/>
        <v/>
      </c>
      <c r="EO264" s="44" t="str">
        <f t="shared" si="3681"/>
        <v/>
      </c>
      <c r="EP264" s="44" t="str">
        <f t="shared" si="3682"/>
        <v/>
      </c>
      <c r="EQ264" s="44" t="str">
        <f t="shared" si="3683"/>
        <v/>
      </c>
      <c r="ER264" s="44" t="str">
        <f t="shared" si="3684"/>
        <v/>
      </c>
      <c r="ES264" s="44" t="str">
        <f t="shared" si="3685"/>
        <v/>
      </c>
      <c r="ET264" s="44" t="str">
        <f t="shared" si="3686"/>
        <v/>
      </c>
      <c r="EU264" s="44" t="str">
        <f t="shared" si="3687"/>
        <v/>
      </c>
      <c r="EV264" s="44" t="str">
        <f t="shared" si="3688"/>
        <v/>
      </c>
      <c r="EW264" s="44" t="str">
        <f t="shared" si="3689"/>
        <v/>
      </c>
      <c r="EX264" s="44" t="str">
        <f t="shared" si="3690"/>
        <v/>
      </c>
      <c r="EY264" s="44" t="str">
        <f t="shared" si="3691"/>
        <v/>
      </c>
      <c r="EZ264" s="44" t="str">
        <f t="shared" si="3692"/>
        <v/>
      </c>
      <c r="FA264" s="44" t="str">
        <f t="shared" si="3693"/>
        <v/>
      </c>
      <c r="FB264" s="44" t="str">
        <f t="shared" si="3694"/>
        <v/>
      </c>
      <c r="FC264" s="44" t="str">
        <f t="shared" si="3695"/>
        <v/>
      </c>
      <c r="FD264" s="44" t="str">
        <f t="shared" si="3696"/>
        <v/>
      </c>
      <c r="FE264" s="44" t="str">
        <f t="shared" si="3697"/>
        <v/>
      </c>
      <c r="FF264" s="44" t="str">
        <f t="shared" si="3698"/>
        <v/>
      </c>
      <c r="FG264" s="44" t="str">
        <f t="shared" si="3699"/>
        <v/>
      </c>
      <c r="FH264" s="44" t="str">
        <f t="shared" si="3700"/>
        <v/>
      </c>
      <c r="FI264" s="44" t="str">
        <f t="shared" si="3701"/>
        <v/>
      </c>
      <c r="FJ264" s="44" t="str">
        <f t="shared" si="3702"/>
        <v/>
      </c>
      <c r="FK264" s="44" t="str">
        <f t="shared" si="3703"/>
        <v/>
      </c>
      <c r="FL264" s="44" t="str">
        <f t="shared" si="3704"/>
        <v/>
      </c>
      <c r="FM264" s="44" t="str">
        <f t="shared" si="3705"/>
        <v/>
      </c>
      <c r="FN264" s="44" t="str">
        <f t="shared" si="3706"/>
        <v/>
      </c>
      <c r="FO264" s="44" t="str">
        <f t="shared" si="3707"/>
        <v/>
      </c>
      <c r="FP264" s="44" t="str">
        <f t="shared" si="3708"/>
        <v/>
      </c>
      <c r="FQ264" s="44" t="str">
        <f t="shared" si="3709"/>
        <v/>
      </c>
      <c r="FR264" s="44" t="str">
        <f t="shared" si="3710"/>
        <v/>
      </c>
      <c r="FS264" s="44" t="str">
        <f t="shared" si="3711"/>
        <v/>
      </c>
    </row>
    <row r="265" s="7" customFormat="1" ht="15" spans="1:175">
      <c r="A265" s="102"/>
      <c r="B265" s="46"/>
      <c r="C265" s="102"/>
      <c r="D265" s="47"/>
      <c r="E265" s="48"/>
      <c r="F265" s="103"/>
      <c r="G265" s="104"/>
      <c r="H265" s="104"/>
      <c r="I265" s="104"/>
      <c r="J265" s="104"/>
      <c r="K265" s="104"/>
      <c r="L265" s="104"/>
      <c r="M265" s="104"/>
      <c r="N265" s="104"/>
      <c r="O265" s="104"/>
      <c r="P265" s="54"/>
      <c r="Q265" s="54"/>
      <c r="R265" s="54"/>
      <c r="S265" s="54"/>
      <c r="T265" s="63"/>
      <c r="U265" s="60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7"/>
      <c r="AS265" s="67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70" t="str">
        <f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70" t="str">
        <f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70" t="str">
        <f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70" t="str">
        <f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70"/>
      <c r="CT265" s="70"/>
      <c r="CU265" s="72" t="str">
        <f t="shared" si="3641"/>
        <v>|n</v>
      </c>
      <c r="CV265" s="6"/>
      <c r="DB265" s="44" t="str">
        <f t="shared" si="3642"/>
        <v/>
      </c>
      <c r="DC265" s="44" t="str">
        <f t="shared" si="3643"/>
        <v/>
      </c>
      <c r="DD265" s="44" t="str">
        <f t="shared" si="3644"/>
        <v/>
      </c>
      <c r="DE265" s="44" t="str">
        <f t="shared" si="3645"/>
        <v/>
      </c>
      <c r="DF265" s="44" t="str">
        <f t="shared" si="3646"/>
        <v/>
      </c>
      <c r="DG265" s="44" t="str">
        <f t="shared" si="3647"/>
        <v/>
      </c>
      <c r="DH265" s="44" t="str">
        <f t="shared" si="3648"/>
        <v/>
      </c>
      <c r="DI265" s="44" t="str">
        <f t="shared" si="3649"/>
        <v/>
      </c>
      <c r="DJ265" s="44" t="str">
        <f t="shared" si="3650"/>
        <v/>
      </c>
      <c r="DK265" s="44" t="str">
        <f t="shared" si="3651"/>
        <v/>
      </c>
      <c r="DL265" s="44" t="str">
        <f t="shared" si="3652"/>
        <v/>
      </c>
      <c r="DM265" s="44" t="str">
        <f t="shared" si="3653"/>
        <v/>
      </c>
      <c r="DN265" s="44" t="str">
        <f t="shared" si="3654"/>
        <v/>
      </c>
      <c r="DO265" s="44" t="str">
        <f t="shared" si="3655"/>
        <v/>
      </c>
      <c r="DP265" s="44" t="str">
        <f t="shared" si="3656"/>
        <v/>
      </c>
      <c r="DQ265" s="44" t="str">
        <f t="shared" si="3657"/>
        <v/>
      </c>
      <c r="DR265" s="44" t="str">
        <f t="shared" si="3658"/>
        <v/>
      </c>
      <c r="DS265" s="44" t="str">
        <f t="shared" si="3659"/>
        <v/>
      </c>
      <c r="DT265" s="44" t="str">
        <f t="shared" si="3660"/>
        <v/>
      </c>
      <c r="DU265" s="44" t="str">
        <f t="shared" si="3661"/>
        <v/>
      </c>
      <c r="DV265" s="44" t="str">
        <f t="shared" si="3662"/>
        <v/>
      </c>
      <c r="DW265" s="44" t="str">
        <f t="shared" si="3663"/>
        <v/>
      </c>
      <c r="DX265" s="44" t="str">
        <f t="shared" si="3664"/>
        <v/>
      </c>
      <c r="DY265" s="44" t="str">
        <f t="shared" si="3665"/>
        <v/>
      </c>
      <c r="DZ265" s="44" t="str">
        <f t="shared" si="3666"/>
        <v/>
      </c>
      <c r="EA265" s="44" t="str">
        <f t="shared" si="3667"/>
        <v/>
      </c>
      <c r="EB265" s="44" t="str">
        <f t="shared" si="3668"/>
        <v/>
      </c>
      <c r="EC265" s="44" t="str">
        <f t="shared" si="3669"/>
        <v/>
      </c>
      <c r="ED265" s="44" t="str">
        <f t="shared" si="3670"/>
        <v/>
      </c>
      <c r="EE265" s="44" t="str">
        <f t="shared" si="3671"/>
        <v/>
      </c>
      <c r="EF265" s="44" t="str">
        <f t="shared" si="3672"/>
        <v/>
      </c>
      <c r="EG265" s="44" t="str">
        <f t="shared" si="3673"/>
        <v/>
      </c>
      <c r="EH265" s="44" t="str">
        <f t="shared" si="3674"/>
        <v/>
      </c>
      <c r="EI265" s="44" t="str">
        <f t="shared" si="3675"/>
        <v/>
      </c>
      <c r="EJ265" s="44" t="str">
        <f t="shared" si="3676"/>
        <v/>
      </c>
      <c r="EK265" s="44" t="str">
        <f t="shared" si="3677"/>
        <v/>
      </c>
      <c r="EL265" s="44" t="str">
        <f t="shared" si="3678"/>
        <v/>
      </c>
      <c r="EM265" s="44" t="str">
        <f t="shared" si="3679"/>
        <v/>
      </c>
      <c r="EN265" s="44" t="str">
        <f t="shared" si="3680"/>
        <v/>
      </c>
      <c r="EO265" s="44" t="str">
        <f t="shared" si="3681"/>
        <v/>
      </c>
      <c r="EP265" s="44" t="str">
        <f t="shared" si="3682"/>
        <v/>
      </c>
      <c r="EQ265" s="44" t="str">
        <f t="shared" si="3683"/>
        <v/>
      </c>
      <c r="ER265" s="44" t="str">
        <f t="shared" si="3684"/>
        <v/>
      </c>
      <c r="ES265" s="44" t="str">
        <f t="shared" si="3685"/>
        <v/>
      </c>
      <c r="ET265" s="44" t="str">
        <f t="shared" si="3686"/>
        <v/>
      </c>
      <c r="EU265" s="44" t="str">
        <f t="shared" si="3687"/>
        <v/>
      </c>
      <c r="EV265" s="44" t="str">
        <f t="shared" si="3688"/>
        <v/>
      </c>
      <c r="EW265" s="44" t="str">
        <f t="shared" si="3689"/>
        <v/>
      </c>
      <c r="EX265" s="44" t="str">
        <f t="shared" si="3690"/>
        <v/>
      </c>
      <c r="EY265" s="44" t="str">
        <f t="shared" si="3691"/>
        <v/>
      </c>
      <c r="EZ265" s="44" t="str">
        <f t="shared" si="3692"/>
        <v/>
      </c>
      <c r="FA265" s="44" t="str">
        <f t="shared" si="3693"/>
        <v/>
      </c>
      <c r="FB265" s="44" t="str">
        <f t="shared" si="3694"/>
        <v/>
      </c>
      <c r="FC265" s="44" t="str">
        <f t="shared" si="3695"/>
        <v/>
      </c>
      <c r="FD265" s="44" t="str">
        <f t="shared" si="3696"/>
        <v/>
      </c>
      <c r="FE265" s="44" t="str">
        <f t="shared" si="3697"/>
        <v/>
      </c>
      <c r="FF265" s="44" t="str">
        <f t="shared" si="3698"/>
        <v/>
      </c>
      <c r="FG265" s="44" t="str">
        <f t="shared" si="3699"/>
        <v/>
      </c>
      <c r="FH265" s="44" t="str">
        <f t="shared" si="3700"/>
        <v/>
      </c>
      <c r="FI265" s="44" t="str">
        <f t="shared" si="3701"/>
        <v/>
      </c>
      <c r="FJ265" s="44" t="str">
        <f t="shared" si="3702"/>
        <v/>
      </c>
      <c r="FK265" s="44" t="str">
        <f t="shared" si="3703"/>
        <v/>
      </c>
      <c r="FL265" s="44" t="str">
        <f t="shared" si="3704"/>
        <v/>
      </c>
      <c r="FM265" s="44" t="str">
        <f t="shared" si="3705"/>
        <v/>
      </c>
      <c r="FN265" s="44" t="str">
        <f t="shared" si="3706"/>
        <v/>
      </c>
      <c r="FO265" s="44" t="str">
        <f t="shared" si="3707"/>
        <v/>
      </c>
      <c r="FP265" s="44" t="str">
        <f t="shared" si="3708"/>
        <v/>
      </c>
      <c r="FQ265" s="44" t="str">
        <f t="shared" si="3709"/>
        <v/>
      </c>
      <c r="FR265" s="44" t="str">
        <f t="shared" si="3710"/>
        <v/>
      </c>
      <c r="FS265" s="44" t="str">
        <f t="shared" si="3711"/>
        <v/>
      </c>
    </row>
    <row r="266" s="7" customFormat="1" ht="15" spans="1:175">
      <c r="A266" s="102"/>
      <c r="B266" s="46"/>
      <c r="C266" s="102"/>
      <c r="D266" s="47"/>
      <c r="E266" s="48"/>
      <c r="F266" s="103"/>
      <c r="G266" s="104"/>
      <c r="H266" s="104"/>
      <c r="I266" s="104"/>
      <c r="J266" s="104"/>
      <c r="K266" s="104"/>
      <c r="L266" s="104"/>
      <c r="M266" s="104"/>
      <c r="N266" s="104"/>
      <c r="O266" s="104"/>
      <c r="P266" s="54"/>
      <c r="Q266" s="54"/>
      <c r="R266" s="54"/>
      <c r="S266" s="54"/>
      <c r="T266" s="63"/>
      <c r="U266" s="60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7"/>
      <c r="AS266" s="67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70" t="str">
        <f>"InitUnitState('"&amp;B266&amp;"',"&amp;V266&amp;","&amp;W266&amp;","&amp;X266&amp;","&amp;Y266&amp;","&amp;Z266&amp;","&amp;AA266&amp;","&amp;AB266&amp;","&amp;AC266&amp;","&amp;AD266&amp;","&amp;AE266&amp;")"</f>
        <v>InitUnitState('',,,,,,,,,,)</v>
      </c>
      <c r="CO266" s="70" t="str">
        <f>"InitUnitNormal('"&amp;B266&amp;"',"&amp;AF266&amp;","&amp;AG266&amp;","&amp;AH266&amp;","&amp;AI266&amp;","&amp;AJ266&amp;","&amp;AK266&amp;","&amp;AL266&amp;","&amp;AM266&amp;","&amp;AN266&amp;","&amp;AO266&amp;")"</f>
        <v>InitUnitNormal('',,,,,,,,,,)</v>
      </c>
      <c r="CP266" s="70" t="str">
        <f>"InitUnitMagic('"&amp;B266&amp;"',"&amp;AP266&amp;","&amp;AQ266&amp;","&amp;AR266&amp;","&amp;AS266&amp;","&amp;AT266&amp;","&amp;AU266&amp;","&amp;AV266&amp;","&amp;AW266&amp;","&amp;BI266&amp;","&amp;BJ266&amp;")"</f>
        <v>InitUnitMagic('',,,,,,,,,,)</v>
      </c>
      <c r="CQ266" s="70" t="str">
        <f>"InitUnitAdd('"&amp;B266&amp;"',"&amp;BK266&amp;","&amp;BL266&amp;","&amp;BM266&amp;","&amp;BN266&amp;","&amp;BO266&amp;","&amp;BP266&amp;","&amp;BQ266&amp;","&amp;BR266&amp;","&amp;BS266&amp;","&amp;BT266&amp;")"</f>
        <v>InitUnitAdd('',,,,,,,,,,)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70"/>
      <c r="CT266" s="70"/>
      <c r="CU266" s="72" t="str">
        <f t="shared" si="3641"/>
        <v>|n</v>
      </c>
      <c r="CV266" s="6"/>
      <c r="DB266" s="44" t="str">
        <f t="shared" si="3642"/>
        <v/>
      </c>
      <c r="DC266" s="44" t="str">
        <f t="shared" si="3643"/>
        <v/>
      </c>
      <c r="DD266" s="44" t="str">
        <f t="shared" si="3644"/>
        <v/>
      </c>
      <c r="DE266" s="44" t="str">
        <f t="shared" si="3645"/>
        <v/>
      </c>
      <c r="DF266" s="44" t="str">
        <f t="shared" si="3646"/>
        <v/>
      </c>
      <c r="DG266" s="44" t="str">
        <f t="shared" si="3647"/>
        <v/>
      </c>
      <c r="DH266" s="44" t="str">
        <f t="shared" si="3648"/>
        <v/>
      </c>
      <c r="DI266" s="44" t="str">
        <f t="shared" si="3649"/>
        <v/>
      </c>
      <c r="DJ266" s="44" t="str">
        <f t="shared" si="3650"/>
        <v/>
      </c>
      <c r="DK266" s="44" t="str">
        <f t="shared" si="3651"/>
        <v/>
      </c>
      <c r="DL266" s="44" t="str">
        <f t="shared" si="3652"/>
        <v/>
      </c>
      <c r="DM266" s="44" t="str">
        <f t="shared" si="3653"/>
        <v/>
      </c>
      <c r="DN266" s="44" t="str">
        <f t="shared" si="3654"/>
        <v/>
      </c>
      <c r="DO266" s="44" t="str">
        <f t="shared" si="3655"/>
        <v/>
      </c>
      <c r="DP266" s="44" t="str">
        <f t="shared" si="3656"/>
        <v/>
      </c>
      <c r="DQ266" s="44" t="str">
        <f t="shared" si="3657"/>
        <v/>
      </c>
      <c r="DR266" s="44" t="str">
        <f t="shared" si="3658"/>
        <v/>
      </c>
      <c r="DS266" s="44" t="str">
        <f t="shared" si="3659"/>
        <v/>
      </c>
      <c r="DT266" s="44" t="str">
        <f t="shared" si="3660"/>
        <v/>
      </c>
      <c r="DU266" s="44" t="str">
        <f t="shared" si="3661"/>
        <v/>
      </c>
      <c r="DV266" s="44" t="str">
        <f t="shared" si="3662"/>
        <v/>
      </c>
      <c r="DW266" s="44" t="str">
        <f t="shared" si="3663"/>
        <v/>
      </c>
      <c r="DX266" s="44" t="str">
        <f t="shared" si="3664"/>
        <v/>
      </c>
      <c r="DY266" s="44" t="str">
        <f t="shared" si="3665"/>
        <v/>
      </c>
      <c r="DZ266" s="44" t="str">
        <f t="shared" si="3666"/>
        <v/>
      </c>
      <c r="EA266" s="44" t="str">
        <f t="shared" si="3667"/>
        <v/>
      </c>
      <c r="EB266" s="44" t="str">
        <f t="shared" si="3668"/>
        <v/>
      </c>
      <c r="EC266" s="44" t="str">
        <f t="shared" si="3669"/>
        <v/>
      </c>
      <c r="ED266" s="44" t="str">
        <f t="shared" si="3670"/>
        <v/>
      </c>
      <c r="EE266" s="44" t="str">
        <f t="shared" si="3671"/>
        <v/>
      </c>
      <c r="EF266" s="44" t="str">
        <f t="shared" si="3672"/>
        <v/>
      </c>
      <c r="EG266" s="44" t="str">
        <f t="shared" si="3673"/>
        <v/>
      </c>
      <c r="EH266" s="44" t="str">
        <f t="shared" si="3674"/>
        <v/>
      </c>
      <c r="EI266" s="44" t="str">
        <f t="shared" si="3675"/>
        <v/>
      </c>
      <c r="EJ266" s="44" t="str">
        <f t="shared" si="3676"/>
        <v/>
      </c>
      <c r="EK266" s="44" t="str">
        <f t="shared" si="3677"/>
        <v/>
      </c>
      <c r="EL266" s="44" t="str">
        <f t="shared" si="3678"/>
        <v/>
      </c>
      <c r="EM266" s="44" t="str">
        <f t="shared" si="3679"/>
        <v/>
      </c>
      <c r="EN266" s="44" t="str">
        <f t="shared" si="3680"/>
        <v/>
      </c>
      <c r="EO266" s="44" t="str">
        <f t="shared" si="3681"/>
        <v/>
      </c>
      <c r="EP266" s="44" t="str">
        <f t="shared" si="3682"/>
        <v/>
      </c>
      <c r="EQ266" s="44" t="str">
        <f t="shared" si="3683"/>
        <v/>
      </c>
      <c r="ER266" s="44" t="str">
        <f t="shared" si="3684"/>
        <v/>
      </c>
      <c r="ES266" s="44" t="str">
        <f t="shared" si="3685"/>
        <v/>
      </c>
      <c r="ET266" s="44" t="str">
        <f t="shared" si="3686"/>
        <v/>
      </c>
      <c r="EU266" s="44" t="str">
        <f t="shared" si="3687"/>
        <v/>
      </c>
      <c r="EV266" s="44" t="str">
        <f t="shared" si="3688"/>
        <v/>
      </c>
      <c r="EW266" s="44" t="str">
        <f t="shared" si="3689"/>
        <v/>
      </c>
      <c r="EX266" s="44" t="str">
        <f t="shared" si="3690"/>
        <v/>
      </c>
      <c r="EY266" s="44" t="str">
        <f t="shared" si="3691"/>
        <v/>
      </c>
      <c r="EZ266" s="44" t="str">
        <f t="shared" si="3692"/>
        <v/>
      </c>
      <c r="FA266" s="44" t="str">
        <f t="shared" si="3693"/>
        <v/>
      </c>
      <c r="FB266" s="44" t="str">
        <f t="shared" si="3694"/>
        <v/>
      </c>
      <c r="FC266" s="44" t="str">
        <f t="shared" si="3695"/>
        <v/>
      </c>
      <c r="FD266" s="44" t="str">
        <f t="shared" si="3696"/>
        <v/>
      </c>
      <c r="FE266" s="44" t="str">
        <f t="shared" si="3697"/>
        <v/>
      </c>
      <c r="FF266" s="44" t="str">
        <f t="shared" si="3698"/>
        <v/>
      </c>
      <c r="FG266" s="44" t="str">
        <f t="shared" si="3699"/>
        <v/>
      </c>
      <c r="FH266" s="44" t="str">
        <f t="shared" si="3700"/>
        <v/>
      </c>
      <c r="FI266" s="44" t="str">
        <f t="shared" si="3701"/>
        <v/>
      </c>
      <c r="FJ266" s="44" t="str">
        <f t="shared" si="3702"/>
        <v/>
      </c>
      <c r="FK266" s="44" t="str">
        <f t="shared" si="3703"/>
        <v/>
      </c>
      <c r="FL266" s="44" t="str">
        <f t="shared" si="3704"/>
        <v/>
      </c>
      <c r="FM266" s="44" t="str">
        <f t="shared" si="3705"/>
        <v/>
      </c>
      <c r="FN266" s="44" t="str">
        <f t="shared" si="3706"/>
        <v/>
      </c>
      <c r="FO266" s="44" t="str">
        <f t="shared" si="3707"/>
        <v/>
      </c>
      <c r="FP266" s="44" t="str">
        <f t="shared" si="3708"/>
        <v/>
      </c>
      <c r="FQ266" s="44" t="str">
        <f t="shared" si="3709"/>
        <v/>
      </c>
      <c r="FR266" s="44" t="str">
        <f t="shared" si="3710"/>
        <v/>
      </c>
      <c r="FS266" s="44" t="str">
        <f t="shared" si="3711"/>
        <v/>
      </c>
    </row>
    <row r="267" s="7" customFormat="1" ht="15" spans="1:175">
      <c r="A267" s="102"/>
      <c r="B267" s="46"/>
      <c r="C267" s="102"/>
      <c r="D267" s="47"/>
      <c r="E267" s="48"/>
      <c r="F267" s="103"/>
      <c r="G267" s="104"/>
      <c r="H267" s="104"/>
      <c r="I267" s="104"/>
      <c r="J267" s="104"/>
      <c r="K267" s="104"/>
      <c r="L267" s="104"/>
      <c r="M267" s="104"/>
      <c r="N267" s="104"/>
      <c r="O267" s="104"/>
      <c r="P267" s="54"/>
      <c r="Q267" s="54"/>
      <c r="R267" s="54"/>
      <c r="S267" s="54"/>
      <c r="T267" s="63"/>
      <c r="U267" s="60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7"/>
      <c r="AS267" s="67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70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70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70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70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70"/>
      <c r="CT267" s="70"/>
      <c r="CU267" s="72" t="str">
        <f t="shared" si="3641"/>
        <v>|n</v>
      </c>
      <c r="CV267" s="6"/>
      <c r="DB267" s="44" t="str">
        <f t="shared" si="3642"/>
        <v/>
      </c>
      <c r="DC267" s="44" t="str">
        <f t="shared" si="3643"/>
        <v/>
      </c>
      <c r="DD267" s="44" t="str">
        <f t="shared" si="3644"/>
        <v/>
      </c>
      <c r="DE267" s="44" t="str">
        <f t="shared" si="3645"/>
        <v/>
      </c>
      <c r="DF267" s="44" t="str">
        <f t="shared" si="3646"/>
        <v/>
      </c>
      <c r="DG267" s="44" t="str">
        <f t="shared" si="3647"/>
        <v/>
      </c>
      <c r="DH267" s="44" t="str">
        <f t="shared" si="3648"/>
        <v/>
      </c>
      <c r="DI267" s="44" t="str">
        <f t="shared" si="3649"/>
        <v/>
      </c>
      <c r="DJ267" s="44" t="str">
        <f t="shared" si="3650"/>
        <v/>
      </c>
      <c r="DK267" s="44" t="str">
        <f t="shared" si="3651"/>
        <v/>
      </c>
      <c r="DL267" s="44" t="str">
        <f t="shared" si="3652"/>
        <v/>
      </c>
      <c r="DM267" s="44" t="str">
        <f t="shared" si="3653"/>
        <v/>
      </c>
      <c r="DN267" s="44" t="str">
        <f t="shared" si="3654"/>
        <v/>
      </c>
      <c r="DO267" s="44" t="str">
        <f t="shared" si="3655"/>
        <v/>
      </c>
      <c r="DP267" s="44" t="str">
        <f t="shared" si="3656"/>
        <v/>
      </c>
      <c r="DQ267" s="44" t="str">
        <f t="shared" si="3657"/>
        <v/>
      </c>
      <c r="DR267" s="44" t="str">
        <f t="shared" si="3658"/>
        <v/>
      </c>
      <c r="DS267" s="44" t="str">
        <f t="shared" si="3659"/>
        <v/>
      </c>
      <c r="DT267" s="44" t="str">
        <f t="shared" si="3660"/>
        <v/>
      </c>
      <c r="DU267" s="44" t="str">
        <f t="shared" si="3661"/>
        <v/>
      </c>
      <c r="DV267" s="44" t="str">
        <f t="shared" si="3662"/>
        <v/>
      </c>
      <c r="DW267" s="44" t="str">
        <f t="shared" si="3663"/>
        <v/>
      </c>
      <c r="DX267" s="44" t="str">
        <f t="shared" si="3664"/>
        <v/>
      </c>
      <c r="DY267" s="44" t="str">
        <f t="shared" si="3665"/>
        <v/>
      </c>
      <c r="DZ267" s="44" t="str">
        <f t="shared" si="3666"/>
        <v/>
      </c>
      <c r="EA267" s="44" t="str">
        <f t="shared" si="3667"/>
        <v/>
      </c>
      <c r="EB267" s="44" t="str">
        <f t="shared" si="3668"/>
        <v/>
      </c>
      <c r="EC267" s="44" t="str">
        <f t="shared" si="3669"/>
        <v/>
      </c>
      <c r="ED267" s="44" t="str">
        <f t="shared" si="3670"/>
        <v/>
      </c>
      <c r="EE267" s="44" t="str">
        <f t="shared" si="3671"/>
        <v/>
      </c>
      <c r="EF267" s="44" t="str">
        <f t="shared" si="3672"/>
        <v/>
      </c>
      <c r="EG267" s="44" t="str">
        <f t="shared" si="3673"/>
        <v/>
      </c>
      <c r="EH267" s="44" t="str">
        <f t="shared" si="3674"/>
        <v/>
      </c>
      <c r="EI267" s="44" t="str">
        <f t="shared" si="3675"/>
        <v/>
      </c>
      <c r="EJ267" s="44" t="str">
        <f t="shared" si="3676"/>
        <v/>
      </c>
      <c r="EK267" s="44" t="str">
        <f t="shared" si="3677"/>
        <v/>
      </c>
      <c r="EL267" s="44" t="str">
        <f t="shared" si="3678"/>
        <v/>
      </c>
      <c r="EM267" s="44" t="str">
        <f t="shared" si="3679"/>
        <v/>
      </c>
      <c r="EN267" s="44" t="str">
        <f t="shared" si="3680"/>
        <v/>
      </c>
      <c r="EO267" s="44" t="str">
        <f t="shared" si="3681"/>
        <v/>
      </c>
      <c r="EP267" s="44" t="str">
        <f t="shared" si="3682"/>
        <v/>
      </c>
      <c r="EQ267" s="44" t="str">
        <f t="shared" si="3683"/>
        <v/>
      </c>
      <c r="ER267" s="44" t="str">
        <f t="shared" si="3684"/>
        <v/>
      </c>
      <c r="ES267" s="44" t="str">
        <f t="shared" si="3685"/>
        <v/>
      </c>
      <c r="ET267" s="44" t="str">
        <f t="shared" si="3686"/>
        <v/>
      </c>
      <c r="EU267" s="44" t="str">
        <f t="shared" si="3687"/>
        <v/>
      </c>
      <c r="EV267" s="44" t="str">
        <f t="shared" si="3688"/>
        <v/>
      </c>
      <c r="EW267" s="44" t="str">
        <f t="shared" si="3689"/>
        <v/>
      </c>
      <c r="EX267" s="44" t="str">
        <f t="shared" si="3690"/>
        <v/>
      </c>
      <c r="EY267" s="44" t="str">
        <f t="shared" si="3691"/>
        <v/>
      </c>
      <c r="EZ267" s="44" t="str">
        <f t="shared" si="3692"/>
        <v/>
      </c>
      <c r="FA267" s="44" t="str">
        <f t="shared" si="3693"/>
        <v/>
      </c>
      <c r="FB267" s="44" t="str">
        <f t="shared" si="3694"/>
        <v/>
      </c>
      <c r="FC267" s="44" t="str">
        <f t="shared" si="3695"/>
        <v/>
      </c>
      <c r="FD267" s="44" t="str">
        <f t="shared" si="3696"/>
        <v/>
      </c>
      <c r="FE267" s="44" t="str">
        <f t="shared" si="3697"/>
        <v/>
      </c>
      <c r="FF267" s="44" t="str">
        <f t="shared" si="3698"/>
        <v/>
      </c>
      <c r="FG267" s="44" t="str">
        <f t="shared" si="3699"/>
        <v/>
      </c>
      <c r="FH267" s="44" t="str">
        <f t="shared" si="3700"/>
        <v/>
      </c>
      <c r="FI267" s="44" t="str">
        <f t="shared" si="3701"/>
        <v/>
      </c>
      <c r="FJ267" s="44" t="str">
        <f t="shared" si="3702"/>
        <v/>
      </c>
      <c r="FK267" s="44" t="str">
        <f t="shared" si="3703"/>
        <v/>
      </c>
      <c r="FL267" s="44" t="str">
        <f t="shared" si="3704"/>
        <v/>
      </c>
      <c r="FM267" s="44" t="str">
        <f t="shared" si="3705"/>
        <v/>
      </c>
      <c r="FN267" s="44" t="str">
        <f t="shared" si="3706"/>
        <v/>
      </c>
      <c r="FO267" s="44" t="str">
        <f t="shared" si="3707"/>
        <v/>
      </c>
      <c r="FP267" s="44" t="str">
        <f t="shared" si="3708"/>
        <v/>
      </c>
      <c r="FQ267" s="44" t="str">
        <f t="shared" si="3709"/>
        <v/>
      </c>
      <c r="FR267" s="44" t="str">
        <f t="shared" si="3710"/>
        <v/>
      </c>
      <c r="FS267" s="44" t="str">
        <f t="shared" si="3711"/>
        <v/>
      </c>
    </row>
    <row r="268" ht="15" spans="1:175">
      <c r="A268" s="11"/>
      <c r="B268" s="12"/>
      <c r="C268" s="11"/>
      <c r="E268" s="112"/>
      <c r="T268" s="113"/>
      <c r="U268" s="60"/>
      <c r="CU268" s="72" t="str">
        <f t="shared" si="3641"/>
        <v>|n</v>
      </c>
      <c r="CW268" s="7"/>
      <c r="CX268" s="7"/>
      <c r="CY268" s="7"/>
      <c r="CZ268" s="7"/>
      <c r="DA268" s="7"/>
      <c r="DB268" s="44" t="str">
        <f t="shared" si="3642"/>
        <v/>
      </c>
      <c r="DC268" s="44" t="str">
        <f t="shared" si="3643"/>
        <v/>
      </c>
      <c r="DD268" s="44" t="str">
        <f t="shared" si="3644"/>
        <v/>
      </c>
      <c r="DE268" s="44" t="str">
        <f t="shared" si="3645"/>
        <v/>
      </c>
      <c r="DF268" s="44" t="str">
        <f t="shared" si="3646"/>
        <v/>
      </c>
      <c r="DG268" s="44" t="str">
        <f t="shared" si="3647"/>
        <v/>
      </c>
      <c r="DH268" s="44" t="str">
        <f t="shared" si="3648"/>
        <v/>
      </c>
      <c r="DI268" s="44" t="str">
        <f t="shared" si="3649"/>
        <v/>
      </c>
      <c r="DJ268" s="44" t="str">
        <f t="shared" si="3650"/>
        <v/>
      </c>
      <c r="DK268" s="44" t="str">
        <f t="shared" si="3651"/>
        <v/>
      </c>
      <c r="DL268" s="44" t="str">
        <f t="shared" si="3652"/>
        <v/>
      </c>
      <c r="DM268" s="44" t="str">
        <f t="shared" si="3653"/>
        <v/>
      </c>
      <c r="DN268" s="44" t="str">
        <f t="shared" si="3654"/>
        <v/>
      </c>
      <c r="DO268" s="44" t="str">
        <f t="shared" si="3655"/>
        <v/>
      </c>
      <c r="DP268" s="44" t="str">
        <f t="shared" si="3656"/>
        <v/>
      </c>
      <c r="DQ268" s="44" t="str">
        <f t="shared" si="3657"/>
        <v/>
      </c>
      <c r="DR268" s="44" t="str">
        <f t="shared" si="3658"/>
        <v/>
      </c>
      <c r="DS268" s="44" t="str">
        <f t="shared" si="3659"/>
        <v/>
      </c>
      <c r="DT268" s="44" t="str">
        <f t="shared" si="3660"/>
        <v/>
      </c>
      <c r="DU268" s="44" t="str">
        <f t="shared" si="3661"/>
        <v/>
      </c>
      <c r="DV268" s="44" t="str">
        <f t="shared" si="3662"/>
        <v/>
      </c>
      <c r="DW268" s="44" t="str">
        <f t="shared" si="3663"/>
        <v/>
      </c>
      <c r="DX268" s="44" t="str">
        <f t="shared" si="3664"/>
        <v/>
      </c>
      <c r="DY268" s="44" t="str">
        <f t="shared" si="3665"/>
        <v/>
      </c>
      <c r="DZ268" s="44" t="str">
        <f t="shared" si="3666"/>
        <v/>
      </c>
      <c r="EA268" s="44" t="str">
        <f t="shared" si="3667"/>
        <v/>
      </c>
      <c r="EB268" s="44" t="str">
        <f t="shared" si="3668"/>
        <v/>
      </c>
      <c r="EC268" s="44" t="str">
        <f t="shared" si="3669"/>
        <v/>
      </c>
      <c r="ED268" s="44" t="str">
        <f t="shared" si="3670"/>
        <v/>
      </c>
      <c r="EE268" s="44" t="str">
        <f t="shared" si="3671"/>
        <v/>
      </c>
      <c r="EF268" s="44" t="str">
        <f t="shared" si="3672"/>
        <v/>
      </c>
      <c r="EG268" s="44" t="str">
        <f t="shared" si="3673"/>
        <v/>
      </c>
      <c r="EH268" s="44" t="str">
        <f t="shared" si="3674"/>
        <v/>
      </c>
      <c r="EI268" s="44" t="str">
        <f t="shared" si="3675"/>
        <v/>
      </c>
      <c r="EJ268" s="44" t="str">
        <f t="shared" si="3676"/>
        <v/>
      </c>
      <c r="EK268" s="44" t="str">
        <f t="shared" si="3677"/>
        <v/>
      </c>
      <c r="EL268" s="44" t="str">
        <f t="shared" si="3678"/>
        <v/>
      </c>
      <c r="EM268" s="44" t="str">
        <f t="shared" si="3679"/>
        <v/>
      </c>
      <c r="EN268" s="44" t="str">
        <f t="shared" si="3680"/>
        <v/>
      </c>
      <c r="EO268" s="44" t="str">
        <f t="shared" si="3681"/>
        <v/>
      </c>
      <c r="EP268" s="44" t="str">
        <f t="shared" si="3682"/>
        <v/>
      </c>
      <c r="EQ268" s="44" t="str">
        <f t="shared" si="3683"/>
        <v/>
      </c>
      <c r="ER268" s="44" t="str">
        <f t="shared" si="3684"/>
        <v/>
      </c>
      <c r="ES268" s="44" t="str">
        <f t="shared" si="3685"/>
        <v/>
      </c>
      <c r="ET268" s="44" t="str">
        <f t="shared" si="3686"/>
        <v/>
      </c>
      <c r="EU268" s="44" t="str">
        <f t="shared" si="3687"/>
        <v/>
      </c>
      <c r="EV268" s="44" t="str">
        <f t="shared" si="3688"/>
        <v/>
      </c>
      <c r="EW268" s="44" t="str">
        <f t="shared" si="3689"/>
        <v/>
      </c>
      <c r="EX268" s="44" t="str">
        <f t="shared" si="3690"/>
        <v/>
      </c>
      <c r="EY268" s="44" t="str">
        <f t="shared" si="3691"/>
        <v/>
      </c>
      <c r="EZ268" s="44" t="str">
        <f t="shared" si="3692"/>
        <v/>
      </c>
      <c r="FA268" s="44" t="str">
        <f t="shared" si="3693"/>
        <v/>
      </c>
      <c r="FB268" s="44" t="str">
        <f t="shared" si="3694"/>
        <v/>
      </c>
      <c r="FC268" s="44" t="str">
        <f t="shared" si="3695"/>
        <v/>
      </c>
      <c r="FD268" s="44" t="str">
        <f t="shared" si="3696"/>
        <v/>
      </c>
      <c r="FE268" s="44" t="str">
        <f t="shared" si="3697"/>
        <v/>
      </c>
      <c r="FF268" s="44" t="str">
        <f t="shared" si="3698"/>
        <v/>
      </c>
      <c r="FG268" s="44" t="str">
        <f t="shared" si="3699"/>
        <v/>
      </c>
      <c r="FH268" s="44" t="str">
        <f t="shared" si="3700"/>
        <v/>
      </c>
      <c r="FI268" s="44" t="str">
        <f t="shared" si="3701"/>
        <v/>
      </c>
      <c r="FJ268" s="44" t="str">
        <f t="shared" si="3702"/>
        <v/>
      </c>
      <c r="FK268" s="44" t="str">
        <f t="shared" si="3703"/>
        <v/>
      </c>
      <c r="FL268" s="44" t="str">
        <f t="shared" si="3704"/>
        <v/>
      </c>
      <c r="FM268" s="44" t="str">
        <f t="shared" si="3705"/>
        <v/>
      </c>
      <c r="FN268" s="44" t="str">
        <f t="shared" si="3706"/>
        <v/>
      </c>
      <c r="FO268" s="44" t="str">
        <f t="shared" si="3707"/>
        <v/>
      </c>
      <c r="FP268" s="44" t="str">
        <f t="shared" si="3708"/>
        <v/>
      </c>
      <c r="FQ268" s="44" t="str">
        <f t="shared" si="3709"/>
        <v/>
      </c>
      <c r="FR268" s="44" t="str">
        <f t="shared" si="3710"/>
        <v/>
      </c>
      <c r="FS268" s="44" t="str">
        <f t="shared" si="3711"/>
        <v/>
      </c>
    </row>
    <row r="269" ht="15" spans="1:175">
      <c r="A269" s="11"/>
      <c r="B269" s="12"/>
      <c r="C269" s="11"/>
      <c r="E269" s="112"/>
      <c r="T269" s="113"/>
      <c r="U269" s="60"/>
      <c r="CU269" s="72" t="str">
        <f t="shared" si="3641"/>
        <v>|n</v>
      </c>
      <c r="CW269" s="7"/>
      <c r="CX269" s="7"/>
      <c r="CY269" s="7"/>
      <c r="CZ269" s="7"/>
      <c r="DA269" s="7"/>
      <c r="DB269" s="44" t="str">
        <f t="shared" si="3642"/>
        <v/>
      </c>
      <c r="DC269" s="44" t="str">
        <f t="shared" si="3643"/>
        <v/>
      </c>
      <c r="DD269" s="44" t="str">
        <f t="shared" si="3644"/>
        <v/>
      </c>
      <c r="DE269" s="44" t="str">
        <f t="shared" si="3645"/>
        <v/>
      </c>
      <c r="DF269" s="44" t="str">
        <f t="shared" si="3646"/>
        <v/>
      </c>
      <c r="DG269" s="44" t="str">
        <f t="shared" si="3647"/>
        <v/>
      </c>
      <c r="DH269" s="44" t="str">
        <f t="shared" si="3648"/>
        <v/>
      </c>
      <c r="DI269" s="44" t="str">
        <f t="shared" si="3649"/>
        <v/>
      </c>
      <c r="DJ269" s="44" t="str">
        <f t="shared" si="3650"/>
        <v/>
      </c>
      <c r="DK269" s="44" t="str">
        <f t="shared" si="3651"/>
        <v/>
      </c>
      <c r="DL269" s="44" t="str">
        <f t="shared" si="3652"/>
        <v/>
      </c>
      <c r="DM269" s="44" t="str">
        <f t="shared" si="3653"/>
        <v/>
      </c>
      <c r="DN269" s="44" t="str">
        <f t="shared" si="3654"/>
        <v/>
      </c>
      <c r="DO269" s="44" t="str">
        <f t="shared" si="3655"/>
        <v/>
      </c>
      <c r="DP269" s="44" t="str">
        <f t="shared" si="3656"/>
        <v/>
      </c>
      <c r="DQ269" s="44" t="str">
        <f t="shared" si="3657"/>
        <v/>
      </c>
      <c r="DR269" s="44" t="str">
        <f t="shared" si="3658"/>
        <v/>
      </c>
      <c r="DS269" s="44" t="str">
        <f t="shared" si="3659"/>
        <v/>
      </c>
      <c r="DT269" s="44" t="str">
        <f t="shared" si="3660"/>
        <v/>
      </c>
      <c r="DU269" s="44" t="str">
        <f t="shared" si="3661"/>
        <v/>
      </c>
      <c r="DV269" s="44" t="str">
        <f t="shared" si="3662"/>
        <v/>
      </c>
      <c r="DW269" s="44" t="str">
        <f t="shared" si="3663"/>
        <v/>
      </c>
      <c r="DX269" s="44" t="str">
        <f t="shared" si="3664"/>
        <v/>
      </c>
      <c r="DY269" s="44" t="str">
        <f t="shared" si="3665"/>
        <v/>
      </c>
      <c r="DZ269" s="44" t="str">
        <f t="shared" si="3666"/>
        <v/>
      </c>
      <c r="EA269" s="44" t="str">
        <f t="shared" si="3667"/>
        <v/>
      </c>
      <c r="EB269" s="44" t="str">
        <f t="shared" si="3668"/>
        <v/>
      </c>
      <c r="EC269" s="44" t="str">
        <f t="shared" si="3669"/>
        <v/>
      </c>
      <c r="ED269" s="44" t="str">
        <f t="shared" si="3670"/>
        <v/>
      </c>
      <c r="EE269" s="44" t="str">
        <f t="shared" si="3671"/>
        <v/>
      </c>
      <c r="EF269" s="44" t="str">
        <f t="shared" si="3672"/>
        <v/>
      </c>
      <c r="EG269" s="44" t="str">
        <f t="shared" si="3673"/>
        <v/>
      </c>
      <c r="EH269" s="44" t="str">
        <f t="shared" si="3674"/>
        <v/>
      </c>
      <c r="EI269" s="44" t="str">
        <f t="shared" si="3675"/>
        <v/>
      </c>
      <c r="EJ269" s="44" t="str">
        <f t="shared" si="3676"/>
        <v/>
      </c>
      <c r="EK269" s="44" t="str">
        <f t="shared" si="3677"/>
        <v/>
      </c>
      <c r="EL269" s="44" t="str">
        <f t="shared" si="3678"/>
        <v/>
      </c>
      <c r="EM269" s="44" t="str">
        <f t="shared" si="3679"/>
        <v/>
      </c>
      <c r="EN269" s="44" t="str">
        <f t="shared" si="3680"/>
        <v/>
      </c>
      <c r="EO269" s="44" t="str">
        <f t="shared" si="3681"/>
        <v/>
      </c>
      <c r="EP269" s="44" t="str">
        <f t="shared" si="3682"/>
        <v/>
      </c>
      <c r="EQ269" s="44" t="str">
        <f t="shared" si="3683"/>
        <v/>
      </c>
      <c r="ER269" s="44" t="str">
        <f t="shared" si="3684"/>
        <v/>
      </c>
      <c r="ES269" s="44" t="str">
        <f t="shared" si="3685"/>
        <v/>
      </c>
      <c r="ET269" s="44" t="str">
        <f t="shared" si="3686"/>
        <v/>
      </c>
      <c r="EU269" s="44" t="str">
        <f t="shared" si="3687"/>
        <v/>
      </c>
      <c r="EV269" s="44" t="str">
        <f t="shared" si="3688"/>
        <v/>
      </c>
      <c r="EW269" s="44" t="str">
        <f t="shared" si="3689"/>
        <v/>
      </c>
      <c r="EX269" s="44" t="str">
        <f t="shared" si="3690"/>
        <v/>
      </c>
      <c r="EY269" s="44" t="str">
        <f t="shared" si="3691"/>
        <v/>
      </c>
      <c r="EZ269" s="44" t="str">
        <f t="shared" si="3692"/>
        <v/>
      </c>
      <c r="FA269" s="44" t="str">
        <f t="shared" si="3693"/>
        <v/>
      </c>
      <c r="FB269" s="44" t="str">
        <f t="shared" si="3694"/>
        <v/>
      </c>
      <c r="FC269" s="44" t="str">
        <f t="shared" si="3695"/>
        <v/>
      </c>
      <c r="FD269" s="44" t="str">
        <f t="shared" si="3696"/>
        <v/>
      </c>
      <c r="FE269" s="44" t="str">
        <f t="shared" si="3697"/>
        <v/>
      </c>
      <c r="FF269" s="44" t="str">
        <f t="shared" si="3698"/>
        <v/>
      </c>
      <c r="FG269" s="44" t="str">
        <f t="shared" si="3699"/>
        <v/>
      </c>
      <c r="FH269" s="44" t="str">
        <f t="shared" si="3700"/>
        <v/>
      </c>
      <c r="FI269" s="44" t="str">
        <f t="shared" si="3701"/>
        <v/>
      </c>
      <c r="FJ269" s="44" t="str">
        <f t="shared" si="3702"/>
        <v/>
      </c>
      <c r="FK269" s="44" t="str">
        <f t="shared" si="3703"/>
        <v/>
      </c>
      <c r="FL269" s="44" t="str">
        <f t="shared" si="3704"/>
        <v/>
      </c>
      <c r="FM269" s="44" t="str">
        <f t="shared" si="3705"/>
        <v/>
      </c>
      <c r="FN269" s="44" t="str">
        <f t="shared" si="3706"/>
        <v/>
      </c>
      <c r="FO269" s="44" t="str">
        <f t="shared" si="3707"/>
        <v/>
      </c>
      <c r="FP269" s="44" t="str">
        <f t="shared" si="3708"/>
        <v/>
      </c>
      <c r="FQ269" s="44" t="str">
        <f t="shared" si="3709"/>
        <v/>
      </c>
      <c r="FR269" s="44" t="str">
        <f t="shared" si="3710"/>
        <v/>
      </c>
      <c r="FS269" s="44" t="str">
        <f t="shared" si="3711"/>
        <v/>
      </c>
    </row>
    <row r="270" ht="15" spans="1:175">
      <c r="A270" s="11"/>
      <c r="B270" s="12"/>
      <c r="C270" s="11"/>
      <c r="E270" s="112"/>
      <c r="T270" s="113"/>
      <c r="U270" s="60"/>
      <c r="CU270" s="72" t="str">
        <f t="shared" si="3641"/>
        <v>|n</v>
      </c>
      <c r="CW270" s="7"/>
      <c r="CX270" s="7"/>
      <c r="CY270" s="7"/>
      <c r="CZ270" s="7"/>
      <c r="DA270" s="7"/>
      <c r="DB270" s="44" t="str">
        <f t="shared" si="3642"/>
        <v/>
      </c>
      <c r="DC270" s="44" t="str">
        <f t="shared" si="3643"/>
        <v/>
      </c>
      <c r="DD270" s="44" t="str">
        <f t="shared" si="3644"/>
        <v/>
      </c>
      <c r="DE270" s="44" t="str">
        <f t="shared" si="3645"/>
        <v/>
      </c>
      <c r="DF270" s="44" t="str">
        <f t="shared" si="3646"/>
        <v/>
      </c>
      <c r="DG270" s="44" t="str">
        <f t="shared" si="3647"/>
        <v/>
      </c>
      <c r="DH270" s="44" t="str">
        <f t="shared" si="3648"/>
        <v/>
      </c>
      <c r="DI270" s="44" t="str">
        <f t="shared" si="3649"/>
        <v/>
      </c>
      <c r="DJ270" s="44" t="str">
        <f t="shared" si="3650"/>
        <v/>
      </c>
      <c r="DK270" s="44" t="str">
        <f t="shared" si="3651"/>
        <v/>
      </c>
      <c r="DL270" s="44" t="str">
        <f t="shared" si="3652"/>
        <v/>
      </c>
      <c r="DM270" s="44" t="str">
        <f t="shared" si="3653"/>
        <v/>
      </c>
      <c r="DN270" s="44" t="str">
        <f t="shared" si="3654"/>
        <v/>
      </c>
      <c r="DO270" s="44" t="str">
        <f t="shared" si="3655"/>
        <v/>
      </c>
      <c r="DP270" s="44" t="str">
        <f t="shared" si="3656"/>
        <v/>
      </c>
      <c r="DQ270" s="44" t="str">
        <f t="shared" si="3657"/>
        <v/>
      </c>
      <c r="DR270" s="44" t="str">
        <f t="shared" si="3658"/>
        <v/>
      </c>
      <c r="DS270" s="44" t="str">
        <f t="shared" si="3659"/>
        <v/>
      </c>
      <c r="DT270" s="44" t="str">
        <f t="shared" si="3660"/>
        <v/>
      </c>
      <c r="DU270" s="44" t="str">
        <f t="shared" si="3661"/>
        <v/>
      </c>
      <c r="DV270" s="44" t="str">
        <f t="shared" si="3662"/>
        <v/>
      </c>
      <c r="DW270" s="44" t="str">
        <f t="shared" si="3663"/>
        <v/>
      </c>
      <c r="DX270" s="44" t="str">
        <f t="shared" si="3664"/>
        <v/>
      </c>
      <c r="DY270" s="44" t="str">
        <f t="shared" si="3665"/>
        <v/>
      </c>
      <c r="DZ270" s="44" t="str">
        <f t="shared" si="3666"/>
        <v/>
      </c>
      <c r="EA270" s="44" t="str">
        <f t="shared" si="3667"/>
        <v/>
      </c>
      <c r="EB270" s="44" t="str">
        <f t="shared" si="3668"/>
        <v/>
      </c>
      <c r="EC270" s="44" t="str">
        <f t="shared" si="3669"/>
        <v/>
      </c>
      <c r="ED270" s="44" t="str">
        <f t="shared" si="3670"/>
        <v/>
      </c>
      <c r="EE270" s="44" t="str">
        <f t="shared" si="3671"/>
        <v/>
      </c>
      <c r="EF270" s="44" t="str">
        <f t="shared" si="3672"/>
        <v/>
      </c>
      <c r="EG270" s="44" t="str">
        <f t="shared" si="3673"/>
        <v/>
      </c>
      <c r="EH270" s="44" t="str">
        <f t="shared" si="3674"/>
        <v/>
      </c>
      <c r="EI270" s="44" t="str">
        <f t="shared" si="3675"/>
        <v/>
      </c>
      <c r="EJ270" s="44" t="str">
        <f t="shared" si="3676"/>
        <v/>
      </c>
      <c r="EK270" s="44" t="str">
        <f t="shared" si="3677"/>
        <v/>
      </c>
      <c r="EL270" s="44" t="str">
        <f t="shared" si="3678"/>
        <v/>
      </c>
      <c r="EM270" s="44" t="str">
        <f t="shared" si="3679"/>
        <v/>
      </c>
      <c r="EN270" s="44" t="str">
        <f t="shared" si="3680"/>
        <v/>
      </c>
      <c r="EO270" s="44" t="str">
        <f t="shared" si="3681"/>
        <v/>
      </c>
      <c r="EP270" s="44" t="str">
        <f t="shared" si="3682"/>
        <v/>
      </c>
      <c r="EQ270" s="44" t="str">
        <f t="shared" si="3683"/>
        <v/>
      </c>
      <c r="ER270" s="44" t="str">
        <f t="shared" si="3684"/>
        <v/>
      </c>
      <c r="ES270" s="44" t="str">
        <f t="shared" si="3685"/>
        <v/>
      </c>
      <c r="ET270" s="44" t="str">
        <f t="shared" si="3686"/>
        <v/>
      </c>
      <c r="EU270" s="44" t="str">
        <f t="shared" si="3687"/>
        <v/>
      </c>
      <c r="EV270" s="44" t="str">
        <f t="shared" si="3688"/>
        <v/>
      </c>
      <c r="EW270" s="44" t="str">
        <f t="shared" si="3689"/>
        <v/>
      </c>
      <c r="EX270" s="44" t="str">
        <f t="shared" si="3690"/>
        <v/>
      </c>
      <c r="EY270" s="44" t="str">
        <f t="shared" si="3691"/>
        <v/>
      </c>
      <c r="EZ270" s="44" t="str">
        <f t="shared" si="3692"/>
        <v/>
      </c>
      <c r="FA270" s="44" t="str">
        <f t="shared" si="3693"/>
        <v/>
      </c>
      <c r="FB270" s="44" t="str">
        <f t="shared" si="3694"/>
        <v/>
      </c>
      <c r="FC270" s="44" t="str">
        <f t="shared" si="3695"/>
        <v/>
      </c>
      <c r="FD270" s="44" t="str">
        <f t="shared" si="3696"/>
        <v/>
      </c>
      <c r="FE270" s="44" t="str">
        <f t="shared" si="3697"/>
        <v/>
      </c>
      <c r="FF270" s="44" t="str">
        <f t="shared" si="3698"/>
        <v/>
      </c>
      <c r="FG270" s="44" t="str">
        <f t="shared" si="3699"/>
        <v/>
      </c>
      <c r="FH270" s="44" t="str">
        <f t="shared" si="3700"/>
        <v/>
      </c>
      <c r="FI270" s="44" t="str">
        <f t="shared" si="3701"/>
        <v/>
      </c>
      <c r="FJ270" s="44" t="str">
        <f t="shared" si="3702"/>
        <v/>
      </c>
      <c r="FK270" s="44" t="str">
        <f t="shared" si="3703"/>
        <v/>
      </c>
      <c r="FL270" s="44" t="str">
        <f t="shared" si="3704"/>
        <v/>
      </c>
      <c r="FM270" s="44" t="str">
        <f t="shared" si="3705"/>
        <v/>
      </c>
      <c r="FN270" s="44" t="str">
        <f t="shared" si="3706"/>
        <v/>
      </c>
      <c r="FO270" s="44" t="str">
        <f t="shared" si="3707"/>
        <v/>
      </c>
      <c r="FP270" s="44" t="str">
        <f t="shared" si="3708"/>
        <v/>
      </c>
      <c r="FQ270" s="44" t="str">
        <f t="shared" si="3709"/>
        <v/>
      </c>
      <c r="FR270" s="44" t="str">
        <f t="shared" si="3710"/>
        <v/>
      </c>
      <c r="FS270" s="44" t="str">
        <f t="shared" si="3711"/>
        <v/>
      </c>
    </row>
    <row r="271" ht="15" spans="1:175">
      <c r="A271" s="11"/>
      <c r="B271" s="12"/>
      <c r="C271" s="11"/>
      <c r="E271" s="112"/>
      <c r="T271" s="113"/>
      <c r="U271" s="60"/>
      <c r="CU271" s="72" t="str">
        <f t="shared" si="3641"/>
        <v>|n</v>
      </c>
      <c r="CW271" s="7"/>
      <c r="CX271" s="7"/>
      <c r="CY271" s="7"/>
      <c r="CZ271" s="7"/>
      <c r="DA271" s="7"/>
      <c r="DB271" s="44" t="str">
        <f t="shared" si="3642"/>
        <v/>
      </c>
      <c r="DC271" s="44" t="str">
        <f t="shared" si="3643"/>
        <v/>
      </c>
      <c r="DD271" s="44" t="str">
        <f t="shared" si="3644"/>
        <v/>
      </c>
      <c r="DE271" s="44" t="str">
        <f t="shared" si="3645"/>
        <v/>
      </c>
      <c r="DF271" s="44" t="str">
        <f t="shared" si="3646"/>
        <v/>
      </c>
      <c r="DG271" s="44" t="str">
        <f t="shared" si="3647"/>
        <v/>
      </c>
      <c r="DH271" s="44" t="str">
        <f t="shared" si="3648"/>
        <v/>
      </c>
      <c r="DI271" s="44" t="str">
        <f t="shared" si="3649"/>
        <v/>
      </c>
      <c r="DJ271" s="44" t="str">
        <f t="shared" si="3650"/>
        <v/>
      </c>
      <c r="DK271" s="44" t="str">
        <f t="shared" si="3651"/>
        <v/>
      </c>
      <c r="DL271" s="44" t="str">
        <f t="shared" si="3652"/>
        <v/>
      </c>
      <c r="DM271" s="44" t="str">
        <f t="shared" si="3653"/>
        <v/>
      </c>
      <c r="DN271" s="44" t="str">
        <f t="shared" si="3654"/>
        <v/>
      </c>
      <c r="DO271" s="44" t="str">
        <f t="shared" si="3655"/>
        <v/>
      </c>
      <c r="DP271" s="44" t="str">
        <f t="shared" si="3656"/>
        <v/>
      </c>
      <c r="DQ271" s="44" t="str">
        <f t="shared" si="3657"/>
        <v/>
      </c>
      <c r="DR271" s="44" t="str">
        <f t="shared" si="3658"/>
        <v/>
      </c>
      <c r="DS271" s="44" t="str">
        <f t="shared" si="3659"/>
        <v/>
      </c>
      <c r="DT271" s="44" t="str">
        <f t="shared" si="3660"/>
        <v/>
      </c>
      <c r="DU271" s="44" t="str">
        <f t="shared" si="3661"/>
        <v/>
      </c>
      <c r="DV271" s="44" t="str">
        <f t="shared" si="3662"/>
        <v/>
      </c>
      <c r="DW271" s="44" t="str">
        <f t="shared" si="3663"/>
        <v/>
      </c>
      <c r="DX271" s="44" t="str">
        <f t="shared" si="3664"/>
        <v/>
      </c>
      <c r="DY271" s="44" t="str">
        <f t="shared" si="3665"/>
        <v/>
      </c>
      <c r="DZ271" s="44" t="str">
        <f t="shared" si="3666"/>
        <v/>
      </c>
      <c r="EA271" s="44" t="str">
        <f t="shared" si="3667"/>
        <v/>
      </c>
      <c r="EB271" s="44" t="str">
        <f t="shared" si="3668"/>
        <v/>
      </c>
      <c r="EC271" s="44" t="str">
        <f t="shared" si="3669"/>
        <v/>
      </c>
      <c r="ED271" s="44" t="str">
        <f t="shared" si="3670"/>
        <v/>
      </c>
      <c r="EE271" s="44" t="str">
        <f t="shared" si="3671"/>
        <v/>
      </c>
      <c r="EF271" s="44" t="str">
        <f t="shared" si="3672"/>
        <v/>
      </c>
      <c r="EG271" s="44" t="str">
        <f t="shared" si="3673"/>
        <v/>
      </c>
      <c r="EH271" s="44" t="str">
        <f t="shared" si="3674"/>
        <v/>
      </c>
      <c r="EI271" s="44" t="str">
        <f t="shared" si="3675"/>
        <v/>
      </c>
      <c r="EJ271" s="44" t="str">
        <f t="shared" si="3676"/>
        <v/>
      </c>
      <c r="EK271" s="44" t="str">
        <f t="shared" si="3677"/>
        <v/>
      </c>
      <c r="EL271" s="44" t="str">
        <f t="shared" si="3678"/>
        <v/>
      </c>
      <c r="EM271" s="44" t="str">
        <f t="shared" si="3679"/>
        <v/>
      </c>
      <c r="EN271" s="44" t="str">
        <f t="shared" si="3680"/>
        <v/>
      </c>
      <c r="EO271" s="44" t="str">
        <f t="shared" si="3681"/>
        <v/>
      </c>
      <c r="EP271" s="44" t="str">
        <f t="shared" si="3682"/>
        <v/>
      </c>
      <c r="EQ271" s="44" t="str">
        <f t="shared" si="3683"/>
        <v/>
      </c>
      <c r="ER271" s="44" t="str">
        <f t="shared" si="3684"/>
        <v/>
      </c>
      <c r="ES271" s="44" t="str">
        <f t="shared" si="3685"/>
        <v/>
      </c>
      <c r="ET271" s="44" t="str">
        <f t="shared" si="3686"/>
        <v/>
      </c>
      <c r="EU271" s="44" t="str">
        <f t="shared" si="3687"/>
        <v/>
      </c>
      <c r="EV271" s="44" t="str">
        <f t="shared" si="3688"/>
        <v/>
      </c>
      <c r="EW271" s="44" t="str">
        <f t="shared" si="3689"/>
        <v/>
      </c>
      <c r="EX271" s="44" t="str">
        <f t="shared" si="3690"/>
        <v/>
      </c>
      <c r="EY271" s="44" t="str">
        <f t="shared" si="3691"/>
        <v/>
      </c>
      <c r="EZ271" s="44" t="str">
        <f t="shared" si="3692"/>
        <v/>
      </c>
      <c r="FA271" s="44" t="str">
        <f t="shared" si="3693"/>
        <v/>
      </c>
      <c r="FB271" s="44" t="str">
        <f t="shared" si="3694"/>
        <v/>
      </c>
      <c r="FC271" s="44" t="str">
        <f t="shared" si="3695"/>
        <v/>
      </c>
      <c r="FD271" s="44" t="str">
        <f t="shared" si="3696"/>
        <v/>
      </c>
      <c r="FE271" s="44" t="str">
        <f t="shared" si="3697"/>
        <v/>
      </c>
      <c r="FF271" s="44" t="str">
        <f t="shared" si="3698"/>
        <v/>
      </c>
      <c r="FG271" s="44" t="str">
        <f t="shared" si="3699"/>
        <v/>
      </c>
      <c r="FH271" s="44" t="str">
        <f t="shared" si="3700"/>
        <v/>
      </c>
      <c r="FI271" s="44" t="str">
        <f t="shared" si="3701"/>
        <v/>
      </c>
      <c r="FJ271" s="44" t="str">
        <f t="shared" si="3702"/>
        <v/>
      </c>
      <c r="FK271" s="44" t="str">
        <f t="shared" si="3703"/>
        <v/>
      </c>
      <c r="FL271" s="44" t="str">
        <f t="shared" si="3704"/>
        <v/>
      </c>
      <c r="FM271" s="44" t="str">
        <f t="shared" si="3705"/>
        <v/>
      </c>
      <c r="FN271" s="44" t="str">
        <f t="shared" si="3706"/>
        <v/>
      </c>
      <c r="FO271" s="44" t="str">
        <f t="shared" si="3707"/>
        <v/>
      </c>
      <c r="FP271" s="44" t="str">
        <f t="shared" si="3708"/>
        <v/>
      </c>
      <c r="FQ271" s="44" t="str">
        <f t="shared" si="3709"/>
        <v/>
      </c>
      <c r="FR271" s="44" t="str">
        <f t="shared" si="3710"/>
        <v/>
      </c>
      <c r="FS271" s="44" t="str">
        <f t="shared" si="3711"/>
        <v/>
      </c>
    </row>
    <row r="272" ht="15" spans="1:175">
      <c r="A272" s="11"/>
      <c r="B272" s="12"/>
      <c r="C272" s="11"/>
      <c r="E272" s="112"/>
      <c r="T272" s="113"/>
      <c r="U272" s="60"/>
      <c r="CU272" s="72" t="str">
        <f t="shared" si="3641"/>
        <v>|n</v>
      </c>
      <c r="CW272" s="7"/>
      <c r="CX272" s="7"/>
      <c r="CY272" s="7"/>
      <c r="CZ272" s="7"/>
      <c r="DA272" s="7"/>
      <c r="DB272" s="44" t="str">
        <f t="shared" si="3642"/>
        <v/>
      </c>
      <c r="DC272" s="44" t="str">
        <f t="shared" si="3643"/>
        <v/>
      </c>
      <c r="DD272" s="44" t="str">
        <f t="shared" si="3644"/>
        <v/>
      </c>
      <c r="DE272" s="44" t="str">
        <f t="shared" si="3645"/>
        <v/>
      </c>
      <c r="DF272" s="44" t="str">
        <f t="shared" si="3646"/>
        <v/>
      </c>
      <c r="DG272" s="44" t="str">
        <f t="shared" si="3647"/>
        <v/>
      </c>
      <c r="DH272" s="44" t="str">
        <f t="shared" si="3648"/>
        <v/>
      </c>
      <c r="DI272" s="44" t="str">
        <f t="shared" si="3649"/>
        <v/>
      </c>
      <c r="DJ272" s="44" t="str">
        <f t="shared" si="3650"/>
        <v/>
      </c>
      <c r="DK272" s="44" t="str">
        <f t="shared" si="3651"/>
        <v/>
      </c>
      <c r="DL272" s="44" t="str">
        <f t="shared" si="3652"/>
        <v/>
      </c>
      <c r="DM272" s="44" t="str">
        <f t="shared" si="3653"/>
        <v/>
      </c>
      <c r="DN272" s="44" t="str">
        <f t="shared" si="3654"/>
        <v/>
      </c>
      <c r="DO272" s="44" t="str">
        <f t="shared" si="3655"/>
        <v/>
      </c>
      <c r="DP272" s="44" t="str">
        <f t="shared" si="3656"/>
        <v/>
      </c>
      <c r="DQ272" s="44" t="str">
        <f t="shared" si="3657"/>
        <v/>
      </c>
      <c r="DR272" s="44" t="str">
        <f t="shared" si="3658"/>
        <v/>
      </c>
      <c r="DS272" s="44" t="str">
        <f t="shared" si="3659"/>
        <v/>
      </c>
      <c r="DT272" s="44" t="str">
        <f t="shared" si="3660"/>
        <v/>
      </c>
      <c r="DU272" s="44" t="str">
        <f t="shared" si="3661"/>
        <v/>
      </c>
      <c r="DV272" s="44" t="str">
        <f t="shared" si="3662"/>
        <v/>
      </c>
      <c r="DW272" s="44" t="str">
        <f t="shared" si="3663"/>
        <v/>
      </c>
      <c r="DX272" s="44" t="str">
        <f t="shared" si="3664"/>
        <v/>
      </c>
      <c r="DY272" s="44" t="str">
        <f t="shared" si="3665"/>
        <v/>
      </c>
      <c r="DZ272" s="44" t="str">
        <f t="shared" si="3666"/>
        <v/>
      </c>
      <c r="EA272" s="44" t="str">
        <f t="shared" si="3667"/>
        <v/>
      </c>
      <c r="EB272" s="44" t="str">
        <f t="shared" si="3668"/>
        <v/>
      </c>
      <c r="EC272" s="44" t="str">
        <f t="shared" si="3669"/>
        <v/>
      </c>
      <c r="ED272" s="44" t="str">
        <f t="shared" si="3670"/>
        <v/>
      </c>
      <c r="EE272" s="44" t="str">
        <f t="shared" si="3671"/>
        <v/>
      </c>
      <c r="EF272" s="44" t="str">
        <f t="shared" si="3672"/>
        <v/>
      </c>
      <c r="EG272" s="44" t="str">
        <f t="shared" si="3673"/>
        <v/>
      </c>
      <c r="EH272" s="44" t="str">
        <f t="shared" si="3674"/>
        <v/>
      </c>
      <c r="EI272" s="44" t="str">
        <f t="shared" si="3675"/>
        <v/>
      </c>
      <c r="EJ272" s="44" t="str">
        <f t="shared" si="3676"/>
        <v/>
      </c>
      <c r="EK272" s="44" t="str">
        <f t="shared" si="3677"/>
        <v/>
      </c>
      <c r="EL272" s="44" t="str">
        <f t="shared" si="3678"/>
        <v/>
      </c>
      <c r="EM272" s="44" t="str">
        <f t="shared" si="3679"/>
        <v/>
      </c>
      <c r="EN272" s="44" t="str">
        <f t="shared" si="3680"/>
        <v/>
      </c>
      <c r="EO272" s="44" t="str">
        <f t="shared" si="3681"/>
        <v/>
      </c>
      <c r="EP272" s="44" t="str">
        <f t="shared" si="3682"/>
        <v/>
      </c>
      <c r="EQ272" s="44" t="str">
        <f t="shared" si="3683"/>
        <v/>
      </c>
      <c r="ER272" s="44" t="str">
        <f t="shared" si="3684"/>
        <v/>
      </c>
      <c r="ES272" s="44" t="str">
        <f t="shared" si="3685"/>
        <v/>
      </c>
      <c r="ET272" s="44" t="str">
        <f t="shared" si="3686"/>
        <v/>
      </c>
      <c r="EU272" s="44" t="str">
        <f t="shared" si="3687"/>
        <v/>
      </c>
      <c r="EV272" s="44" t="str">
        <f t="shared" si="3688"/>
        <v/>
      </c>
      <c r="EW272" s="44" t="str">
        <f t="shared" si="3689"/>
        <v/>
      </c>
      <c r="EX272" s="44" t="str">
        <f t="shared" si="3690"/>
        <v/>
      </c>
      <c r="EY272" s="44" t="str">
        <f t="shared" si="3691"/>
        <v/>
      </c>
      <c r="EZ272" s="44" t="str">
        <f t="shared" si="3692"/>
        <v/>
      </c>
      <c r="FA272" s="44" t="str">
        <f t="shared" si="3693"/>
        <v/>
      </c>
      <c r="FB272" s="44" t="str">
        <f t="shared" si="3694"/>
        <v/>
      </c>
      <c r="FC272" s="44" t="str">
        <f t="shared" si="3695"/>
        <v/>
      </c>
      <c r="FD272" s="44" t="str">
        <f t="shared" si="3696"/>
        <v/>
      </c>
      <c r="FE272" s="44" t="str">
        <f t="shared" si="3697"/>
        <v/>
      </c>
      <c r="FF272" s="44" t="str">
        <f t="shared" si="3698"/>
        <v/>
      </c>
      <c r="FG272" s="44" t="str">
        <f t="shared" si="3699"/>
        <v/>
      </c>
      <c r="FH272" s="44" t="str">
        <f t="shared" si="3700"/>
        <v/>
      </c>
      <c r="FI272" s="44" t="str">
        <f t="shared" si="3701"/>
        <v/>
      </c>
      <c r="FJ272" s="44" t="str">
        <f t="shared" si="3702"/>
        <v/>
      </c>
      <c r="FK272" s="44" t="str">
        <f t="shared" si="3703"/>
        <v/>
      </c>
      <c r="FL272" s="44" t="str">
        <f t="shared" si="3704"/>
        <v/>
      </c>
      <c r="FM272" s="44" t="str">
        <f t="shared" si="3705"/>
        <v/>
      </c>
      <c r="FN272" s="44" t="str">
        <f t="shared" si="3706"/>
        <v/>
      </c>
      <c r="FO272" s="44" t="str">
        <f t="shared" si="3707"/>
        <v/>
      </c>
      <c r="FP272" s="44" t="str">
        <f t="shared" si="3708"/>
        <v/>
      </c>
      <c r="FQ272" s="44" t="str">
        <f t="shared" si="3709"/>
        <v/>
      </c>
      <c r="FR272" s="44" t="str">
        <f t="shared" si="3710"/>
        <v/>
      </c>
      <c r="FS272" s="44" t="str">
        <f t="shared" si="3711"/>
        <v/>
      </c>
    </row>
    <row r="273" ht="15" spans="1:175">
      <c r="A273" s="11"/>
      <c r="B273" s="12"/>
      <c r="C273" s="11"/>
      <c r="E273" s="112"/>
      <c r="T273" s="113"/>
      <c r="U273" s="60"/>
      <c r="CU273" s="72" t="str">
        <f t="shared" si="3641"/>
        <v>|n</v>
      </c>
      <c r="CW273" s="7"/>
      <c r="CX273" s="7"/>
      <c r="CY273" s="7"/>
      <c r="CZ273" s="7"/>
      <c r="DA273" s="7"/>
      <c r="DB273" s="44" t="str">
        <f t="shared" si="3642"/>
        <v/>
      </c>
      <c r="DC273" s="44" t="str">
        <f t="shared" si="3643"/>
        <v/>
      </c>
      <c r="DD273" s="44" t="str">
        <f t="shared" si="3644"/>
        <v/>
      </c>
      <c r="DE273" s="44" t="str">
        <f t="shared" si="3645"/>
        <v/>
      </c>
      <c r="DF273" s="44" t="str">
        <f t="shared" si="3646"/>
        <v/>
      </c>
      <c r="DG273" s="44" t="str">
        <f t="shared" si="3647"/>
        <v/>
      </c>
      <c r="DH273" s="44" t="str">
        <f t="shared" si="3648"/>
        <v/>
      </c>
      <c r="DI273" s="44" t="str">
        <f t="shared" si="3649"/>
        <v/>
      </c>
      <c r="DJ273" s="44" t="str">
        <f t="shared" si="3650"/>
        <v/>
      </c>
      <c r="DK273" s="44" t="str">
        <f t="shared" si="3651"/>
        <v/>
      </c>
      <c r="DL273" s="44" t="str">
        <f t="shared" si="3652"/>
        <v/>
      </c>
      <c r="DM273" s="44" t="str">
        <f t="shared" si="3653"/>
        <v/>
      </c>
      <c r="DN273" s="44" t="str">
        <f t="shared" si="3654"/>
        <v/>
      </c>
      <c r="DO273" s="44" t="str">
        <f t="shared" si="3655"/>
        <v/>
      </c>
      <c r="DP273" s="44" t="str">
        <f t="shared" si="3656"/>
        <v/>
      </c>
      <c r="DQ273" s="44" t="str">
        <f t="shared" si="3657"/>
        <v/>
      </c>
      <c r="DR273" s="44" t="str">
        <f t="shared" si="3658"/>
        <v/>
      </c>
      <c r="DS273" s="44" t="str">
        <f t="shared" si="3659"/>
        <v/>
      </c>
      <c r="DT273" s="44" t="str">
        <f t="shared" si="3660"/>
        <v/>
      </c>
      <c r="DU273" s="44" t="str">
        <f t="shared" si="3661"/>
        <v/>
      </c>
      <c r="DV273" s="44" t="str">
        <f t="shared" si="3662"/>
        <v/>
      </c>
      <c r="DW273" s="44" t="str">
        <f t="shared" si="3663"/>
        <v/>
      </c>
      <c r="DX273" s="44" t="str">
        <f t="shared" si="3664"/>
        <v/>
      </c>
      <c r="DY273" s="44" t="str">
        <f t="shared" si="3665"/>
        <v/>
      </c>
      <c r="DZ273" s="44" t="str">
        <f t="shared" si="3666"/>
        <v/>
      </c>
      <c r="EA273" s="44" t="str">
        <f t="shared" si="3667"/>
        <v/>
      </c>
      <c r="EB273" s="44" t="str">
        <f t="shared" si="3668"/>
        <v/>
      </c>
      <c r="EC273" s="44" t="str">
        <f t="shared" si="3669"/>
        <v/>
      </c>
      <c r="ED273" s="44" t="str">
        <f t="shared" si="3670"/>
        <v/>
      </c>
      <c r="EE273" s="44" t="str">
        <f t="shared" si="3671"/>
        <v/>
      </c>
      <c r="EF273" s="44" t="str">
        <f t="shared" si="3672"/>
        <v/>
      </c>
      <c r="EG273" s="44" t="str">
        <f t="shared" si="3673"/>
        <v/>
      </c>
      <c r="EH273" s="44" t="str">
        <f t="shared" si="3674"/>
        <v/>
      </c>
      <c r="EI273" s="44" t="str">
        <f t="shared" si="3675"/>
        <v/>
      </c>
      <c r="EJ273" s="44" t="str">
        <f t="shared" si="3676"/>
        <v/>
      </c>
      <c r="EK273" s="44" t="str">
        <f t="shared" si="3677"/>
        <v/>
      </c>
      <c r="EL273" s="44" t="str">
        <f t="shared" si="3678"/>
        <v/>
      </c>
      <c r="EM273" s="44" t="str">
        <f t="shared" si="3679"/>
        <v/>
      </c>
      <c r="EN273" s="44" t="str">
        <f t="shared" si="3680"/>
        <v/>
      </c>
      <c r="EO273" s="44" t="str">
        <f t="shared" si="3681"/>
        <v/>
      </c>
      <c r="EP273" s="44" t="str">
        <f t="shared" si="3682"/>
        <v/>
      </c>
      <c r="EQ273" s="44" t="str">
        <f t="shared" si="3683"/>
        <v/>
      </c>
      <c r="ER273" s="44" t="str">
        <f t="shared" si="3684"/>
        <v/>
      </c>
      <c r="ES273" s="44" t="str">
        <f t="shared" si="3685"/>
        <v/>
      </c>
      <c r="ET273" s="44" t="str">
        <f t="shared" si="3686"/>
        <v/>
      </c>
      <c r="EU273" s="44" t="str">
        <f t="shared" si="3687"/>
        <v/>
      </c>
      <c r="EV273" s="44" t="str">
        <f t="shared" si="3688"/>
        <v/>
      </c>
      <c r="EW273" s="44" t="str">
        <f t="shared" si="3689"/>
        <v/>
      </c>
      <c r="EX273" s="44" t="str">
        <f t="shared" si="3690"/>
        <v/>
      </c>
      <c r="EY273" s="44" t="str">
        <f t="shared" si="3691"/>
        <v/>
      </c>
      <c r="EZ273" s="44" t="str">
        <f t="shared" si="3692"/>
        <v/>
      </c>
      <c r="FA273" s="44" t="str">
        <f t="shared" si="3693"/>
        <v/>
      </c>
      <c r="FB273" s="44" t="str">
        <f t="shared" si="3694"/>
        <v/>
      </c>
      <c r="FC273" s="44" t="str">
        <f t="shared" si="3695"/>
        <v/>
      </c>
      <c r="FD273" s="44" t="str">
        <f t="shared" si="3696"/>
        <v/>
      </c>
      <c r="FE273" s="44" t="str">
        <f t="shared" si="3697"/>
        <v/>
      </c>
      <c r="FF273" s="44" t="str">
        <f t="shared" si="3698"/>
        <v/>
      </c>
      <c r="FG273" s="44" t="str">
        <f t="shared" si="3699"/>
        <v/>
      </c>
      <c r="FH273" s="44" t="str">
        <f t="shared" si="3700"/>
        <v/>
      </c>
      <c r="FI273" s="44" t="str">
        <f t="shared" si="3701"/>
        <v/>
      </c>
      <c r="FJ273" s="44" t="str">
        <f t="shared" si="3702"/>
        <v/>
      </c>
      <c r="FK273" s="44" t="str">
        <f t="shared" si="3703"/>
        <v/>
      </c>
      <c r="FL273" s="44" t="str">
        <f t="shared" si="3704"/>
        <v/>
      </c>
      <c r="FM273" s="44" t="str">
        <f t="shared" si="3705"/>
        <v/>
      </c>
      <c r="FN273" s="44" t="str">
        <f t="shared" si="3706"/>
        <v/>
      </c>
      <c r="FO273" s="44" t="str">
        <f t="shared" si="3707"/>
        <v/>
      </c>
      <c r="FP273" s="44" t="str">
        <f t="shared" si="3708"/>
        <v/>
      </c>
      <c r="FQ273" s="44" t="str">
        <f t="shared" si="3709"/>
        <v/>
      </c>
      <c r="FR273" s="44" t="str">
        <f t="shared" si="3710"/>
        <v/>
      </c>
      <c r="FS273" s="44" t="str">
        <f t="shared" si="3711"/>
        <v/>
      </c>
    </row>
    <row r="274" ht="15" spans="1:175">
      <c r="A274" s="11"/>
      <c r="B274" s="12"/>
      <c r="C274" s="11"/>
      <c r="E274" s="112"/>
      <c r="T274" s="113"/>
      <c r="U274" s="60"/>
      <c r="CU274" s="72" t="str">
        <f t="shared" si="3641"/>
        <v>|n</v>
      </c>
      <c r="CW274" s="7"/>
      <c r="CX274" s="7"/>
      <c r="CY274" s="7"/>
      <c r="CZ274" s="7"/>
      <c r="DA274" s="7"/>
      <c r="DB274" s="44" t="str">
        <f t="shared" si="3642"/>
        <v/>
      </c>
      <c r="DC274" s="44" t="str">
        <f t="shared" si="3643"/>
        <v/>
      </c>
      <c r="DD274" s="44" t="str">
        <f t="shared" si="3644"/>
        <v/>
      </c>
      <c r="DE274" s="44" t="str">
        <f t="shared" si="3645"/>
        <v/>
      </c>
      <c r="DF274" s="44" t="str">
        <f t="shared" si="3646"/>
        <v/>
      </c>
      <c r="DG274" s="44" t="str">
        <f t="shared" si="3647"/>
        <v/>
      </c>
      <c r="DH274" s="44" t="str">
        <f t="shared" si="3648"/>
        <v/>
      </c>
      <c r="DI274" s="44" t="str">
        <f t="shared" si="3649"/>
        <v/>
      </c>
      <c r="DJ274" s="44" t="str">
        <f t="shared" si="3650"/>
        <v/>
      </c>
      <c r="DK274" s="44" t="str">
        <f t="shared" si="3651"/>
        <v/>
      </c>
      <c r="DL274" s="44" t="str">
        <f t="shared" si="3652"/>
        <v/>
      </c>
      <c r="DM274" s="44" t="str">
        <f t="shared" si="3653"/>
        <v/>
      </c>
      <c r="DN274" s="44" t="str">
        <f t="shared" si="3654"/>
        <v/>
      </c>
      <c r="DO274" s="44" t="str">
        <f t="shared" si="3655"/>
        <v/>
      </c>
      <c r="DP274" s="44" t="str">
        <f t="shared" si="3656"/>
        <v/>
      </c>
      <c r="DQ274" s="44" t="str">
        <f t="shared" si="3657"/>
        <v/>
      </c>
      <c r="DR274" s="44" t="str">
        <f t="shared" si="3658"/>
        <v/>
      </c>
      <c r="DS274" s="44" t="str">
        <f t="shared" si="3659"/>
        <v/>
      </c>
      <c r="DT274" s="44" t="str">
        <f t="shared" si="3660"/>
        <v/>
      </c>
      <c r="DU274" s="44" t="str">
        <f t="shared" si="3661"/>
        <v/>
      </c>
      <c r="DV274" s="44" t="str">
        <f t="shared" si="3662"/>
        <v/>
      </c>
      <c r="DW274" s="44" t="str">
        <f t="shared" si="3663"/>
        <v/>
      </c>
      <c r="DX274" s="44" t="str">
        <f t="shared" si="3664"/>
        <v/>
      </c>
      <c r="DY274" s="44" t="str">
        <f t="shared" si="3665"/>
        <v/>
      </c>
      <c r="DZ274" s="44" t="str">
        <f t="shared" si="3666"/>
        <v/>
      </c>
      <c r="EA274" s="44" t="str">
        <f t="shared" si="3667"/>
        <v/>
      </c>
      <c r="EB274" s="44" t="str">
        <f t="shared" si="3668"/>
        <v/>
      </c>
      <c r="EC274" s="44" t="str">
        <f t="shared" si="3669"/>
        <v/>
      </c>
      <c r="ED274" s="44" t="str">
        <f t="shared" si="3670"/>
        <v/>
      </c>
      <c r="EE274" s="44" t="str">
        <f t="shared" si="3671"/>
        <v/>
      </c>
      <c r="EF274" s="44" t="str">
        <f t="shared" si="3672"/>
        <v/>
      </c>
      <c r="EG274" s="44" t="str">
        <f t="shared" si="3673"/>
        <v/>
      </c>
      <c r="EH274" s="44" t="str">
        <f t="shared" si="3674"/>
        <v/>
      </c>
      <c r="EI274" s="44" t="str">
        <f t="shared" si="3675"/>
        <v/>
      </c>
      <c r="EJ274" s="44" t="str">
        <f t="shared" si="3676"/>
        <v/>
      </c>
      <c r="EK274" s="44" t="str">
        <f t="shared" si="3677"/>
        <v/>
      </c>
      <c r="EL274" s="44" t="str">
        <f t="shared" si="3678"/>
        <v/>
      </c>
      <c r="EM274" s="44" t="str">
        <f t="shared" si="3679"/>
        <v/>
      </c>
      <c r="EN274" s="44" t="str">
        <f t="shared" si="3680"/>
        <v/>
      </c>
      <c r="EO274" s="44" t="str">
        <f t="shared" si="3681"/>
        <v/>
      </c>
      <c r="EP274" s="44" t="str">
        <f t="shared" si="3682"/>
        <v/>
      </c>
      <c r="EQ274" s="44" t="str">
        <f t="shared" si="3683"/>
        <v/>
      </c>
      <c r="ER274" s="44" t="str">
        <f t="shared" si="3684"/>
        <v/>
      </c>
      <c r="ES274" s="44" t="str">
        <f t="shared" si="3685"/>
        <v/>
      </c>
      <c r="ET274" s="44" t="str">
        <f t="shared" si="3686"/>
        <v/>
      </c>
      <c r="EU274" s="44" t="str">
        <f t="shared" si="3687"/>
        <v/>
      </c>
      <c r="EV274" s="44" t="str">
        <f t="shared" si="3688"/>
        <v/>
      </c>
      <c r="EW274" s="44" t="str">
        <f t="shared" si="3689"/>
        <v/>
      </c>
      <c r="EX274" s="44" t="str">
        <f t="shared" si="3690"/>
        <v/>
      </c>
      <c r="EY274" s="44" t="str">
        <f t="shared" si="3691"/>
        <v/>
      </c>
      <c r="EZ274" s="44" t="str">
        <f t="shared" si="3692"/>
        <v/>
      </c>
      <c r="FA274" s="44" t="str">
        <f t="shared" si="3693"/>
        <v/>
      </c>
      <c r="FB274" s="44" t="str">
        <f t="shared" si="3694"/>
        <v/>
      </c>
      <c r="FC274" s="44" t="str">
        <f t="shared" si="3695"/>
        <v/>
      </c>
      <c r="FD274" s="44" t="str">
        <f t="shared" si="3696"/>
        <v/>
      </c>
      <c r="FE274" s="44" t="str">
        <f t="shared" si="3697"/>
        <v/>
      </c>
      <c r="FF274" s="44" t="str">
        <f t="shared" si="3698"/>
        <v/>
      </c>
      <c r="FG274" s="44" t="str">
        <f t="shared" si="3699"/>
        <v/>
      </c>
      <c r="FH274" s="44" t="str">
        <f t="shared" si="3700"/>
        <v/>
      </c>
      <c r="FI274" s="44" t="str">
        <f t="shared" si="3701"/>
        <v/>
      </c>
      <c r="FJ274" s="44" t="str">
        <f t="shared" si="3702"/>
        <v/>
      </c>
      <c r="FK274" s="44" t="str">
        <f t="shared" si="3703"/>
        <v/>
      </c>
      <c r="FL274" s="44" t="str">
        <f t="shared" si="3704"/>
        <v/>
      </c>
      <c r="FM274" s="44" t="str">
        <f t="shared" si="3705"/>
        <v/>
      </c>
      <c r="FN274" s="44" t="str">
        <f t="shared" si="3706"/>
        <v/>
      </c>
      <c r="FO274" s="44" t="str">
        <f t="shared" si="3707"/>
        <v/>
      </c>
      <c r="FP274" s="44" t="str">
        <f t="shared" si="3708"/>
        <v/>
      </c>
      <c r="FQ274" s="44" t="str">
        <f t="shared" si="3709"/>
        <v/>
      </c>
      <c r="FR274" s="44" t="str">
        <f t="shared" si="3710"/>
        <v/>
      </c>
      <c r="FS274" s="44" t="str">
        <f t="shared" si="3711"/>
        <v/>
      </c>
    </row>
    <row r="275" ht="15" spans="1:175">
      <c r="A275" s="11"/>
      <c r="B275" s="12"/>
      <c r="C275" s="11"/>
      <c r="E275" s="112"/>
      <c r="T275" s="113"/>
      <c r="U275" s="60"/>
      <c r="CU275" s="72" t="str">
        <f t="shared" si="3641"/>
        <v>|n</v>
      </c>
      <c r="CW275" s="7"/>
      <c r="CX275" s="7"/>
      <c r="CY275" s="7"/>
      <c r="CZ275" s="7"/>
      <c r="DA275" s="7"/>
      <c r="DB275" s="44" t="str">
        <f t="shared" si="3642"/>
        <v/>
      </c>
      <c r="DC275" s="44" t="str">
        <f t="shared" si="3643"/>
        <v/>
      </c>
      <c r="DD275" s="44" t="str">
        <f t="shared" si="3644"/>
        <v/>
      </c>
      <c r="DE275" s="44" t="str">
        <f t="shared" si="3645"/>
        <v/>
      </c>
      <c r="DF275" s="44" t="str">
        <f t="shared" si="3646"/>
        <v/>
      </c>
      <c r="DG275" s="44" t="str">
        <f t="shared" si="3647"/>
        <v/>
      </c>
      <c r="DH275" s="44" t="str">
        <f t="shared" si="3648"/>
        <v/>
      </c>
      <c r="DI275" s="44" t="str">
        <f t="shared" si="3649"/>
        <v/>
      </c>
      <c r="DJ275" s="44" t="str">
        <f t="shared" si="3650"/>
        <v/>
      </c>
      <c r="DK275" s="44" t="str">
        <f t="shared" si="3651"/>
        <v/>
      </c>
      <c r="DL275" s="44" t="str">
        <f t="shared" si="3652"/>
        <v/>
      </c>
      <c r="DM275" s="44" t="str">
        <f t="shared" si="3653"/>
        <v/>
      </c>
      <c r="DN275" s="44" t="str">
        <f t="shared" si="3654"/>
        <v/>
      </c>
      <c r="DO275" s="44" t="str">
        <f t="shared" si="3655"/>
        <v/>
      </c>
      <c r="DP275" s="44" t="str">
        <f t="shared" si="3656"/>
        <v/>
      </c>
      <c r="DQ275" s="44" t="str">
        <f t="shared" si="3657"/>
        <v/>
      </c>
      <c r="DR275" s="44" t="str">
        <f t="shared" si="3658"/>
        <v/>
      </c>
      <c r="DS275" s="44" t="str">
        <f t="shared" si="3659"/>
        <v/>
      </c>
      <c r="DT275" s="44" t="str">
        <f t="shared" si="3660"/>
        <v/>
      </c>
      <c r="DU275" s="44" t="str">
        <f t="shared" si="3661"/>
        <v/>
      </c>
      <c r="DV275" s="44" t="str">
        <f t="shared" si="3662"/>
        <v/>
      </c>
      <c r="DW275" s="44" t="str">
        <f t="shared" si="3663"/>
        <v/>
      </c>
      <c r="DX275" s="44" t="str">
        <f t="shared" si="3664"/>
        <v/>
      </c>
      <c r="DY275" s="44" t="str">
        <f t="shared" si="3665"/>
        <v/>
      </c>
      <c r="DZ275" s="44" t="str">
        <f t="shared" si="3666"/>
        <v/>
      </c>
      <c r="EA275" s="44" t="str">
        <f t="shared" si="3667"/>
        <v/>
      </c>
      <c r="EB275" s="44" t="str">
        <f t="shared" si="3668"/>
        <v/>
      </c>
      <c r="EC275" s="44" t="str">
        <f t="shared" si="3669"/>
        <v/>
      </c>
      <c r="ED275" s="44" t="str">
        <f t="shared" si="3670"/>
        <v/>
      </c>
      <c r="EE275" s="44" t="str">
        <f t="shared" si="3671"/>
        <v/>
      </c>
      <c r="EF275" s="44" t="str">
        <f t="shared" si="3672"/>
        <v/>
      </c>
      <c r="EG275" s="44" t="str">
        <f t="shared" si="3673"/>
        <v/>
      </c>
      <c r="EH275" s="44" t="str">
        <f t="shared" si="3674"/>
        <v/>
      </c>
      <c r="EI275" s="44" t="str">
        <f t="shared" si="3675"/>
        <v/>
      </c>
      <c r="EJ275" s="44" t="str">
        <f t="shared" si="3676"/>
        <v/>
      </c>
      <c r="EK275" s="44" t="str">
        <f t="shared" si="3677"/>
        <v/>
      </c>
      <c r="EL275" s="44" t="str">
        <f t="shared" si="3678"/>
        <v/>
      </c>
      <c r="EM275" s="44" t="str">
        <f t="shared" si="3679"/>
        <v/>
      </c>
      <c r="EN275" s="44" t="str">
        <f t="shared" si="3680"/>
        <v/>
      </c>
      <c r="EO275" s="44" t="str">
        <f t="shared" si="3681"/>
        <v/>
      </c>
      <c r="EP275" s="44" t="str">
        <f t="shared" si="3682"/>
        <v/>
      </c>
      <c r="EQ275" s="44" t="str">
        <f t="shared" si="3683"/>
        <v/>
      </c>
      <c r="ER275" s="44" t="str">
        <f t="shared" si="3684"/>
        <v/>
      </c>
      <c r="ES275" s="44" t="str">
        <f t="shared" si="3685"/>
        <v/>
      </c>
      <c r="ET275" s="44" t="str">
        <f t="shared" si="3686"/>
        <v/>
      </c>
      <c r="EU275" s="44" t="str">
        <f t="shared" si="3687"/>
        <v/>
      </c>
      <c r="EV275" s="44" t="str">
        <f t="shared" si="3688"/>
        <v/>
      </c>
      <c r="EW275" s="44" t="str">
        <f t="shared" si="3689"/>
        <v/>
      </c>
      <c r="EX275" s="44" t="str">
        <f t="shared" si="3690"/>
        <v/>
      </c>
      <c r="EY275" s="44" t="str">
        <f t="shared" si="3691"/>
        <v/>
      </c>
      <c r="EZ275" s="44" t="str">
        <f t="shared" si="3692"/>
        <v/>
      </c>
      <c r="FA275" s="44" t="str">
        <f t="shared" si="3693"/>
        <v/>
      </c>
      <c r="FB275" s="44" t="str">
        <f t="shared" si="3694"/>
        <v/>
      </c>
      <c r="FC275" s="44" t="str">
        <f t="shared" si="3695"/>
        <v/>
      </c>
      <c r="FD275" s="44" t="str">
        <f t="shared" si="3696"/>
        <v/>
      </c>
      <c r="FE275" s="44" t="str">
        <f t="shared" si="3697"/>
        <v/>
      </c>
      <c r="FF275" s="44" t="str">
        <f t="shared" si="3698"/>
        <v/>
      </c>
      <c r="FG275" s="44" t="str">
        <f t="shared" si="3699"/>
        <v/>
      </c>
      <c r="FH275" s="44" t="str">
        <f t="shared" si="3700"/>
        <v/>
      </c>
      <c r="FI275" s="44" t="str">
        <f t="shared" si="3701"/>
        <v/>
      </c>
      <c r="FJ275" s="44" t="str">
        <f t="shared" si="3702"/>
        <v/>
      </c>
      <c r="FK275" s="44" t="str">
        <f t="shared" si="3703"/>
        <v/>
      </c>
      <c r="FL275" s="44" t="str">
        <f t="shared" si="3704"/>
        <v/>
      </c>
      <c r="FM275" s="44" t="str">
        <f t="shared" si="3705"/>
        <v/>
      </c>
      <c r="FN275" s="44" t="str">
        <f t="shared" si="3706"/>
        <v/>
      </c>
      <c r="FO275" s="44" t="str">
        <f t="shared" si="3707"/>
        <v/>
      </c>
      <c r="FP275" s="44" t="str">
        <f t="shared" si="3708"/>
        <v/>
      </c>
      <c r="FQ275" s="44" t="str">
        <f t="shared" si="3709"/>
        <v/>
      </c>
      <c r="FR275" s="44" t="str">
        <f t="shared" si="3710"/>
        <v/>
      </c>
      <c r="FS275" s="44" t="str">
        <f t="shared" si="3711"/>
        <v/>
      </c>
    </row>
    <row r="276" ht="15" spans="1:175">
      <c r="A276" s="11"/>
      <c r="B276" s="12"/>
      <c r="C276" s="11"/>
      <c r="E276" s="112"/>
      <c r="T276" s="113"/>
      <c r="U276" s="60"/>
      <c r="CU276" s="72" t="str">
        <f t="shared" si="3641"/>
        <v>|n</v>
      </c>
      <c r="CW276" s="7"/>
      <c r="CX276" s="7"/>
      <c r="CY276" s="7"/>
      <c r="CZ276" s="7"/>
      <c r="DA276" s="7"/>
      <c r="DB276" s="44" t="str">
        <f t="shared" si="3642"/>
        <v/>
      </c>
      <c r="DC276" s="44" t="str">
        <f t="shared" si="3643"/>
        <v/>
      </c>
      <c r="DD276" s="44" t="str">
        <f t="shared" si="3644"/>
        <v/>
      </c>
      <c r="DE276" s="44" t="str">
        <f t="shared" si="3645"/>
        <v/>
      </c>
      <c r="DF276" s="44" t="str">
        <f t="shared" si="3646"/>
        <v/>
      </c>
      <c r="DG276" s="44" t="str">
        <f t="shared" si="3647"/>
        <v/>
      </c>
      <c r="DH276" s="44" t="str">
        <f t="shared" si="3648"/>
        <v/>
      </c>
      <c r="DI276" s="44" t="str">
        <f t="shared" si="3649"/>
        <v/>
      </c>
      <c r="DJ276" s="44" t="str">
        <f t="shared" si="3650"/>
        <v/>
      </c>
      <c r="DK276" s="44" t="str">
        <f t="shared" si="3651"/>
        <v/>
      </c>
      <c r="DL276" s="44" t="str">
        <f t="shared" si="3652"/>
        <v/>
      </c>
      <c r="DM276" s="44" t="str">
        <f t="shared" si="3653"/>
        <v/>
      </c>
      <c r="DN276" s="44" t="str">
        <f t="shared" si="3654"/>
        <v/>
      </c>
      <c r="DO276" s="44" t="str">
        <f t="shared" si="3655"/>
        <v/>
      </c>
      <c r="DP276" s="44" t="str">
        <f t="shared" si="3656"/>
        <v/>
      </c>
      <c r="DQ276" s="44" t="str">
        <f t="shared" si="3657"/>
        <v/>
      </c>
      <c r="DR276" s="44" t="str">
        <f t="shared" si="3658"/>
        <v/>
      </c>
      <c r="DS276" s="44" t="str">
        <f t="shared" si="3659"/>
        <v/>
      </c>
      <c r="DT276" s="44" t="str">
        <f t="shared" si="3660"/>
        <v/>
      </c>
      <c r="DU276" s="44" t="str">
        <f t="shared" si="3661"/>
        <v/>
      </c>
      <c r="DV276" s="44" t="str">
        <f t="shared" si="3662"/>
        <v/>
      </c>
      <c r="DW276" s="44" t="str">
        <f t="shared" si="3663"/>
        <v/>
      </c>
      <c r="DX276" s="44" t="str">
        <f t="shared" si="3664"/>
        <v/>
      </c>
      <c r="DY276" s="44" t="str">
        <f t="shared" si="3665"/>
        <v/>
      </c>
      <c r="DZ276" s="44" t="str">
        <f t="shared" si="3666"/>
        <v/>
      </c>
      <c r="EA276" s="44" t="str">
        <f t="shared" si="3667"/>
        <v/>
      </c>
      <c r="EB276" s="44" t="str">
        <f t="shared" si="3668"/>
        <v/>
      </c>
      <c r="EC276" s="44" t="str">
        <f t="shared" si="3669"/>
        <v/>
      </c>
      <c r="ED276" s="44" t="str">
        <f t="shared" si="3670"/>
        <v/>
      </c>
      <c r="EE276" s="44" t="str">
        <f t="shared" si="3671"/>
        <v/>
      </c>
      <c r="EF276" s="44" t="str">
        <f t="shared" si="3672"/>
        <v/>
      </c>
      <c r="EG276" s="44" t="str">
        <f t="shared" si="3673"/>
        <v/>
      </c>
      <c r="EH276" s="44" t="str">
        <f t="shared" si="3674"/>
        <v/>
      </c>
      <c r="EI276" s="44" t="str">
        <f t="shared" si="3675"/>
        <v/>
      </c>
      <c r="EJ276" s="44" t="str">
        <f t="shared" si="3676"/>
        <v/>
      </c>
      <c r="EK276" s="44" t="str">
        <f t="shared" si="3677"/>
        <v/>
      </c>
      <c r="EL276" s="44" t="str">
        <f t="shared" si="3678"/>
        <v/>
      </c>
      <c r="EM276" s="44" t="str">
        <f t="shared" si="3679"/>
        <v/>
      </c>
      <c r="EN276" s="44" t="str">
        <f t="shared" si="3680"/>
        <v/>
      </c>
      <c r="EO276" s="44" t="str">
        <f t="shared" si="3681"/>
        <v/>
      </c>
      <c r="EP276" s="44" t="str">
        <f t="shared" si="3682"/>
        <v/>
      </c>
      <c r="EQ276" s="44" t="str">
        <f t="shared" si="3683"/>
        <v/>
      </c>
      <c r="ER276" s="44" t="str">
        <f t="shared" si="3684"/>
        <v/>
      </c>
      <c r="ES276" s="44" t="str">
        <f t="shared" si="3685"/>
        <v/>
      </c>
      <c r="ET276" s="44" t="str">
        <f t="shared" si="3686"/>
        <v/>
      </c>
      <c r="EU276" s="44" t="str">
        <f t="shared" si="3687"/>
        <v/>
      </c>
      <c r="EV276" s="44" t="str">
        <f t="shared" si="3688"/>
        <v/>
      </c>
      <c r="EW276" s="44" t="str">
        <f t="shared" si="3689"/>
        <v/>
      </c>
      <c r="EX276" s="44" t="str">
        <f t="shared" si="3690"/>
        <v/>
      </c>
      <c r="EY276" s="44" t="str">
        <f t="shared" si="3691"/>
        <v/>
      </c>
      <c r="EZ276" s="44" t="str">
        <f t="shared" si="3692"/>
        <v/>
      </c>
      <c r="FA276" s="44" t="str">
        <f t="shared" si="3693"/>
        <v/>
      </c>
      <c r="FB276" s="44" t="str">
        <f t="shared" si="3694"/>
        <v/>
      </c>
      <c r="FC276" s="44" t="str">
        <f t="shared" si="3695"/>
        <v/>
      </c>
      <c r="FD276" s="44" t="str">
        <f t="shared" si="3696"/>
        <v/>
      </c>
      <c r="FE276" s="44" t="str">
        <f t="shared" si="3697"/>
        <v/>
      </c>
      <c r="FF276" s="44" t="str">
        <f t="shared" si="3698"/>
        <v/>
      </c>
      <c r="FG276" s="44" t="str">
        <f t="shared" si="3699"/>
        <v/>
      </c>
      <c r="FH276" s="44" t="str">
        <f t="shared" si="3700"/>
        <v/>
      </c>
      <c r="FI276" s="44" t="str">
        <f t="shared" si="3701"/>
        <v/>
      </c>
      <c r="FJ276" s="44" t="str">
        <f t="shared" si="3702"/>
        <v/>
      </c>
      <c r="FK276" s="44" t="str">
        <f t="shared" si="3703"/>
        <v/>
      </c>
      <c r="FL276" s="44" t="str">
        <f t="shared" si="3704"/>
        <v/>
      </c>
      <c r="FM276" s="44" t="str">
        <f t="shared" si="3705"/>
        <v/>
      </c>
      <c r="FN276" s="44" t="str">
        <f t="shared" si="3706"/>
        <v/>
      </c>
      <c r="FO276" s="44" t="str">
        <f t="shared" si="3707"/>
        <v/>
      </c>
      <c r="FP276" s="44" t="str">
        <f t="shared" si="3708"/>
        <v/>
      </c>
      <c r="FQ276" s="44" t="str">
        <f t="shared" si="3709"/>
        <v/>
      </c>
      <c r="FR276" s="44" t="str">
        <f t="shared" si="3710"/>
        <v/>
      </c>
      <c r="FS276" s="44" t="str">
        <f t="shared" si="3711"/>
        <v/>
      </c>
    </row>
    <row r="277" ht="15" spans="1:175">
      <c r="A277" s="11"/>
      <c r="B277" s="12"/>
      <c r="C277" s="11"/>
      <c r="E277" s="112"/>
      <c r="T277" s="113"/>
      <c r="U277" s="60"/>
      <c r="CU277" s="72" t="str">
        <f t="shared" si="3641"/>
        <v>|n</v>
      </c>
      <c r="CW277" s="7"/>
      <c r="CX277" s="7"/>
      <c r="CY277" s="7"/>
      <c r="CZ277" s="7"/>
      <c r="DA277" s="7"/>
      <c r="DB277" s="44" t="str">
        <f t="shared" si="3642"/>
        <v/>
      </c>
      <c r="DC277" s="44" t="str">
        <f t="shared" si="3643"/>
        <v/>
      </c>
      <c r="DD277" s="44" t="str">
        <f t="shared" si="3644"/>
        <v/>
      </c>
      <c r="DE277" s="44" t="str">
        <f t="shared" si="3645"/>
        <v/>
      </c>
      <c r="DF277" s="44" t="str">
        <f t="shared" si="3646"/>
        <v/>
      </c>
      <c r="DG277" s="44" t="str">
        <f t="shared" si="3647"/>
        <v/>
      </c>
      <c r="DH277" s="44" t="str">
        <f t="shared" si="3648"/>
        <v/>
      </c>
      <c r="DI277" s="44" t="str">
        <f t="shared" si="3649"/>
        <v/>
      </c>
      <c r="DJ277" s="44" t="str">
        <f t="shared" si="3650"/>
        <v/>
      </c>
      <c r="DK277" s="44" t="str">
        <f t="shared" si="3651"/>
        <v/>
      </c>
      <c r="DL277" s="44" t="str">
        <f t="shared" si="3652"/>
        <v/>
      </c>
      <c r="DM277" s="44" t="str">
        <f t="shared" si="3653"/>
        <v/>
      </c>
      <c r="DN277" s="44" t="str">
        <f t="shared" si="3654"/>
        <v/>
      </c>
      <c r="DO277" s="44" t="str">
        <f t="shared" si="3655"/>
        <v/>
      </c>
      <c r="DP277" s="44" t="str">
        <f t="shared" si="3656"/>
        <v/>
      </c>
      <c r="DQ277" s="44" t="str">
        <f t="shared" si="3657"/>
        <v/>
      </c>
      <c r="DR277" s="44" t="str">
        <f t="shared" si="3658"/>
        <v/>
      </c>
      <c r="DS277" s="44" t="str">
        <f t="shared" si="3659"/>
        <v/>
      </c>
      <c r="DT277" s="44" t="str">
        <f t="shared" si="3660"/>
        <v/>
      </c>
      <c r="DU277" s="44" t="str">
        <f t="shared" si="3661"/>
        <v/>
      </c>
      <c r="DV277" s="44" t="str">
        <f t="shared" si="3662"/>
        <v/>
      </c>
      <c r="DW277" s="44" t="str">
        <f t="shared" si="3663"/>
        <v/>
      </c>
      <c r="DX277" s="44" t="str">
        <f t="shared" si="3664"/>
        <v/>
      </c>
      <c r="DY277" s="44" t="str">
        <f t="shared" si="3665"/>
        <v/>
      </c>
      <c r="DZ277" s="44" t="str">
        <f t="shared" si="3666"/>
        <v/>
      </c>
      <c r="EA277" s="44" t="str">
        <f t="shared" si="3667"/>
        <v/>
      </c>
      <c r="EB277" s="44" t="str">
        <f t="shared" si="3668"/>
        <v/>
      </c>
      <c r="EC277" s="44" t="str">
        <f t="shared" si="3669"/>
        <v/>
      </c>
      <c r="ED277" s="44" t="str">
        <f t="shared" si="3670"/>
        <v/>
      </c>
      <c r="EE277" s="44" t="str">
        <f t="shared" si="3671"/>
        <v/>
      </c>
      <c r="EF277" s="44" t="str">
        <f t="shared" si="3672"/>
        <v/>
      </c>
      <c r="EG277" s="44" t="str">
        <f t="shared" si="3673"/>
        <v/>
      </c>
      <c r="EH277" s="44" t="str">
        <f t="shared" si="3674"/>
        <v/>
      </c>
      <c r="EI277" s="44" t="str">
        <f t="shared" si="3675"/>
        <v/>
      </c>
      <c r="EJ277" s="44" t="str">
        <f t="shared" si="3676"/>
        <v/>
      </c>
      <c r="EK277" s="44" t="str">
        <f t="shared" si="3677"/>
        <v/>
      </c>
      <c r="EL277" s="44" t="str">
        <f t="shared" si="3678"/>
        <v/>
      </c>
      <c r="EM277" s="44" t="str">
        <f t="shared" si="3679"/>
        <v/>
      </c>
      <c r="EN277" s="44" t="str">
        <f t="shared" si="3680"/>
        <v/>
      </c>
      <c r="EO277" s="44" t="str">
        <f t="shared" si="3681"/>
        <v/>
      </c>
      <c r="EP277" s="44" t="str">
        <f t="shared" si="3682"/>
        <v/>
      </c>
      <c r="EQ277" s="44" t="str">
        <f t="shared" si="3683"/>
        <v/>
      </c>
      <c r="ER277" s="44" t="str">
        <f t="shared" si="3684"/>
        <v/>
      </c>
      <c r="ES277" s="44" t="str">
        <f t="shared" si="3685"/>
        <v/>
      </c>
      <c r="ET277" s="44" t="str">
        <f t="shared" si="3686"/>
        <v/>
      </c>
      <c r="EU277" s="44" t="str">
        <f t="shared" si="3687"/>
        <v/>
      </c>
      <c r="EV277" s="44" t="str">
        <f t="shared" si="3688"/>
        <v/>
      </c>
      <c r="EW277" s="44" t="str">
        <f t="shared" si="3689"/>
        <v/>
      </c>
      <c r="EX277" s="44" t="str">
        <f t="shared" si="3690"/>
        <v/>
      </c>
      <c r="EY277" s="44" t="str">
        <f t="shared" si="3691"/>
        <v/>
      </c>
      <c r="EZ277" s="44" t="str">
        <f t="shared" si="3692"/>
        <v/>
      </c>
      <c r="FA277" s="44" t="str">
        <f t="shared" si="3693"/>
        <v/>
      </c>
      <c r="FB277" s="44" t="str">
        <f t="shared" si="3694"/>
        <v/>
      </c>
      <c r="FC277" s="44" t="str">
        <f t="shared" si="3695"/>
        <v/>
      </c>
      <c r="FD277" s="44" t="str">
        <f t="shared" si="3696"/>
        <v/>
      </c>
      <c r="FE277" s="44" t="str">
        <f t="shared" si="3697"/>
        <v/>
      </c>
      <c r="FF277" s="44" t="str">
        <f t="shared" si="3698"/>
        <v/>
      </c>
      <c r="FG277" s="44" t="str">
        <f t="shared" si="3699"/>
        <v/>
      </c>
      <c r="FH277" s="44" t="str">
        <f t="shared" si="3700"/>
        <v/>
      </c>
      <c r="FI277" s="44" t="str">
        <f t="shared" si="3701"/>
        <v/>
      </c>
      <c r="FJ277" s="44" t="str">
        <f t="shared" si="3702"/>
        <v/>
      </c>
      <c r="FK277" s="44" t="str">
        <f t="shared" si="3703"/>
        <v/>
      </c>
      <c r="FL277" s="44" t="str">
        <f t="shared" si="3704"/>
        <v/>
      </c>
      <c r="FM277" s="44" t="str">
        <f t="shared" si="3705"/>
        <v/>
      </c>
      <c r="FN277" s="44" t="str">
        <f t="shared" si="3706"/>
        <v/>
      </c>
      <c r="FO277" s="44" t="str">
        <f t="shared" si="3707"/>
        <v/>
      </c>
      <c r="FP277" s="44" t="str">
        <f t="shared" si="3708"/>
        <v/>
      </c>
      <c r="FQ277" s="44" t="str">
        <f t="shared" si="3709"/>
        <v/>
      </c>
      <c r="FR277" s="44" t="str">
        <f t="shared" si="3710"/>
        <v/>
      </c>
      <c r="FS277" s="44" t="str">
        <f t="shared" si="3711"/>
        <v/>
      </c>
    </row>
    <row r="278" ht="15" spans="1:175">
      <c r="A278" s="11"/>
      <c r="B278" s="12"/>
      <c r="C278" s="11"/>
      <c r="E278" s="112"/>
      <c r="T278" s="113"/>
      <c r="U278" s="60"/>
      <c r="CU278" s="72" t="str">
        <f t="shared" si="3641"/>
        <v>|n</v>
      </c>
      <c r="CW278" s="7"/>
      <c r="CX278" s="7"/>
      <c r="CY278" s="7"/>
      <c r="CZ278" s="7"/>
      <c r="DA278" s="7"/>
      <c r="DB278" s="44" t="str">
        <f t="shared" si="3642"/>
        <v/>
      </c>
      <c r="DC278" s="44" t="str">
        <f t="shared" si="3643"/>
        <v/>
      </c>
      <c r="DD278" s="44" t="str">
        <f t="shared" si="3644"/>
        <v/>
      </c>
      <c r="DE278" s="44" t="str">
        <f t="shared" si="3645"/>
        <v/>
      </c>
      <c r="DF278" s="44" t="str">
        <f t="shared" si="3646"/>
        <v/>
      </c>
      <c r="DG278" s="44" t="str">
        <f t="shared" si="3647"/>
        <v/>
      </c>
      <c r="DH278" s="44" t="str">
        <f t="shared" si="3648"/>
        <v/>
      </c>
      <c r="DI278" s="44" t="str">
        <f t="shared" si="3649"/>
        <v/>
      </c>
      <c r="DJ278" s="44" t="str">
        <f t="shared" si="3650"/>
        <v/>
      </c>
      <c r="DK278" s="44" t="str">
        <f t="shared" si="3651"/>
        <v/>
      </c>
      <c r="DL278" s="44" t="str">
        <f t="shared" si="3652"/>
        <v/>
      </c>
      <c r="DM278" s="44" t="str">
        <f t="shared" si="3653"/>
        <v/>
      </c>
      <c r="DN278" s="44" t="str">
        <f t="shared" si="3654"/>
        <v/>
      </c>
      <c r="DO278" s="44" t="str">
        <f t="shared" si="3655"/>
        <v/>
      </c>
      <c r="DP278" s="44" t="str">
        <f t="shared" si="3656"/>
        <v/>
      </c>
      <c r="DQ278" s="44" t="str">
        <f t="shared" si="3657"/>
        <v/>
      </c>
      <c r="DR278" s="44" t="str">
        <f t="shared" si="3658"/>
        <v/>
      </c>
      <c r="DS278" s="44" t="str">
        <f t="shared" si="3659"/>
        <v/>
      </c>
      <c r="DT278" s="44" t="str">
        <f t="shared" si="3660"/>
        <v/>
      </c>
      <c r="DU278" s="44" t="str">
        <f t="shared" si="3661"/>
        <v/>
      </c>
      <c r="DV278" s="44" t="str">
        <f t="shared" si="3662"/>
        <v/>
      </c>
      <c r="DW278" s="44" t="str">
        <f t="shared" si="3663"/>
        <v/>
      </c>
      <c r="DX278" s="44" t="str">
        <f t="shared" si="3664"/>
        <v/>
      </c>
      <c r="DY278" s="44" t="str">
        <f t="shared" si="3665"/>
        <v/>
      </c>
      <c r="DZ278" s="44" t="str">
        <f t="shared" si="3666"/>
        <v/>
      </c>
      <c r="EA278" s="44" t="str">
        <f t="shared" si="3667"/>
        <v/>
      </c>
      <c r="EB278" s="44" t="str">
        <f t="shared" si="3668"/>
        <v/>
      </c>
      <c r="EC278" s="44" t="str">
        <f t="shared" si="3669"/>
        <v/>
      </c>
      <c r="ED278" s="44" t="str">
        <f t="shared" si="3670"/>
        <v/>
      </c>
      <c r="EE278" s="44" t="str">
        <f t="shared" si="3671"/>
        <v/>
      </c>
      <c r="EF278" s="44" t="str">
        <f t="shared" si="3672"/>
        <v/>
      </c>
      <c r="EG278" s="44" t="str">
        <f t="shared" si="3673"/>
        <v/>
      </c>
      <c r="EH278" s="44" t="str">
        <f t="shared" si="3674"/>
        <v/>
      </c>
      <c r="EI278" s="44" t="str">
        <f t="shared" si="3675"/>
        <v/>
      </c>
      <c r="EJ278" s="44" t="str">
        <f t="shared" si="3676"/>
        <v/>
      </c>
      <c r="EK278" s="44" t="str">
        <f t="shared" si="3677"/>
        <v/>
      </c>
      <c r="EL278" s="44" t="str">
        <f t="shared" si="3678"/>
        <v/>
      </c>
      <c r="EM278" s="44" t="str">
        <f t="shared" si="3679"/>
        <v/>
      </c>
      <c r="EN278" s="44" t="str">
        <f t="shared" si="3680"/>
        <v/>
      </c>
      <c r="EO278" s="44" t="str">
        <f t="shared" si="3681"/>
        <v/>
      </c>
      <c r="EP278" s="44" t="str">
        <f t="shared" si="3682"/>
        <v/>
      </c>
      <c r="EQ278" s="44" t="str">
        <f t="shared" si="3683"/>
        <v/>
      </c>
      <c r="ER278" s="44" t="str">
        <f t="shared" si="3684"/>
        <v/>
      </c>
      <c r="ES278" s="44" t="str">
        <f t="shared" si="3685"/>
        <v/>
      </c>
      <c r="ET278" s="44" t="str">
        <f t="shared" si="3686"/>
        <v/>
      </c>
      <c r="EU278" s="44" t="str">
        <f t="shared" si="3687"/>
        <v/>
      </c>
      <c r="EV278" s="44" t="str">
        <f t="shared" si="3688"/>
        <v/>
      </c>
      <c r="EW278" s="44" t="str">
        <f t="shared" si="3689"/>
        <v/>
      </c>
      <c r="EX278" s="44" t="str">
        <f t="shared" si="3690"/>
        <v/>
      </c>
      <c r="EY278" s="44" t="str">
        <f t="shared" si="3691"/>
        <v/>
      </c>
      <c r="EZ278" s="44" t="str">
        <f t="shared" si="3692"/>
        <v/>
      </c>
      <c r="FA278" s="44" t="str">
        <f t="shared" si="3693"/>
        <v/>
      </c>
      <c r="FB278" s="44" t="str">
        <f t="shared" si="3694"/>
        <v/>
      </c>
      <c r="FC278" s="44" t="str">
        <f t="shared" si="3695"/>
        <v/>
      </c>
      <c r="FD278" s="44" t="str">
        <f t="shared" si="3696"/>
        <v/>
      </c>
      <c r="FE278" s="44" t="str">
        <f t="shared" si="3697"/>
        <v/>
      </c>
      <c r="FF278" s="44" t="str">
        <f t="shared" si="3698"/>
        <v/>
      </c>
      <c r="FG278" s="44" t="str">
        <f t="shared" si="3699"/>
        <v/>
      </c>
      <c r="FH278" s="44" t="str">
        <f t="shared" si="3700"/>
        <v/>
      </c>
      <c r="FI278" s="44" t="str">
        <f t="shared" si="3701"/>
        <v/>
      </c>
      <c r="FJ278" s="44" t="str">
        <f t="shared" si="3702"/>
        <v/>
      </c>
      <c r="FK278" s="44" t="str">
        <f t="shared" si="3703"/>
        <v/>
      </c>
      <c r="FL278" s="44" t="str">
        <f t="shared" si="3704"/>
        <v/>
      </c>
      <c r="FM278" s="44" t="str">
        <f t="shared" si="3705"/>
        <v/>
      </c>
      <c r="FN278" s="44" t="str">
        <f t="shared" si="3706"/>
        <v/>
      </c>
      <c r="FO278" s="44" t="str">
        <f t="shared" si="3707"/>
        <v/>
      </c>
      <c r="FP278" s="44" t="str">
        <f t="shared" si="3708"/>
        <v/>
      </c>
      <c r="FQ278" s="44" t="str">
        <f t="shared" si="3709"/>
        <v/>
      </c>
      <c r="FR278" s="44" t="str">
        <f t="shared" si="3710"/>
        <v/>
      </c>
      <c r="FS278" s="44" t="str">
        <f t="shared" si="3711"/>
        <v/>
      </c>
    </row>
    <row r="279" ht="15" spans="1:175">
      <c r="A279" s="11"/>
      <c r="B279" s="12"/>
      <c r="C279" s="11"/>
      <c r="E279" s="112"/>
      <c r="T279" s="113"/>
      <c r="U279" s="60"/>
      <c r="CU279" s="72" t="str">
        <f t="shared" si="3641"/>
        <v>|n</v>
      </c>
      <c r="CW279" s="7"/>
      <c r="CX279" s="7"/>
      <c r="CY279" s="7"/>
      <c r="CZ279" s="7"/>
      <c r="DA279" s="7"/>
      <c r="DB279" s="44" t="str">
        <f t="shared" si="3642"/>
        <v/>
      </c>
      <c r="DC279" s="44" t="str">
        <f t="shared" si="3643"/>
        <v/>
      </c>
      <c r="DD279" s="44" t="str">
        <f t="shared" si="3644"/>
        <v/>
      </c>
      <c r="DE279" s="44" t="str">
        <f t="shared" si="3645"/>
        <v/>
      </c>
      <c r="DF279" s="44" t="str">
        <f t="shared" si="3646"/>
        <v/>
      </c>
      <c r="DG279" s="44" t="str">
        <f t="shared" si="3647"/>
        <v/>
      </c>
      <c r="DH279" s="44" t="str">
        <f t="shared" si="3648"/>
        <v/>
      </c>
      <c r="DI279" s="44" t="str">
        <f t="shared" si="3649"/>
        <v/>
      </c>
      <c r="DJ279" s="44" t="str">
        <f t="shared" si="3650"/>
        <v/>
      </c>
      <c r="DK279" s="44" t="str">
        <f t="shared" si="3651"/>
        <v/>
      </c>
      <c r="DL279" s="44" t="str">
        <f t="shared" si="3652"/>
        <v/>
      </c>
      <c r="DM279" s="44" t="str">
        <f t="shared" si="3653"/>
        <v/>
      </c>
      <c r="DN279" s="44" t="str">
        <f t="shared" si="3654"/>
        <v/>
      </c>
      <c r="DO279" s="44" t="str">
        <f t="shared" si="3655"/>
        <v/>
      </c>
      <c r="DP279" s="44" t="str">
        <f t="shared" si="3656"/>
        <v/>
      </c>
      <c r="DQ279" s="44" t="str">
        <f t="shared" si="3657"/>
        <v/>
      </c>
      <c r="DR279" s="44" t="str">
        <f t="shared" si="3658"/>
        <v/>
      </c>
      <c r="DS279" s="44" t="str">
        <f t="shared" si="3659"/>
        <v/>
      </c>
      <c r="DT279" s="44" t="str">
        <f t="shared" si="3660"/>
        <v/>
      </c>
      <c r="DU279" s="44" t="str">
        <f t="shared" si="3661"/>
        <v/>
      </c>
      <c r="DV279" s="44" t="str">
        <f t="shared" si="3662"/>
        <v/>
      </c>
      <c r="DW279" s="44" t="str">
        <f t="shared" si="3663"/>
        <v/>
      </c>
      <c r="DX279" s="44" t="str">
        <f t="shared" si="3664"/>
        <v/>
      </c>
      <c r="DY279" s="44" t="str">
        <f t="shared" si="3665"/>
        <v/>
      </c>
      <c r="DZ279" s="44" t="str">
        <f t="shared" si="3666"/>
        <v/>
      </c>
      <c r="EA279" s="44" t="str">
        <f t="shared" si="3667"/>
        <v/>
      </c>
      <c r="EB279" s="44" t="str">
        <f t="shared" si="3668"/>
        <v/>
      </c>
      <c r="EC279" s="44" t="str">
        <f t="shared" si="3669"/>
        <v/>
      </c>
      <c r="ED279" s="44" t="str">
        <f t="shared" si="3670"/>
        <v/>
      </c>
      <c r="EE279" s="44" t="str">
        <f t="shared" si="3671"/>
        <v/>
      </c>
      <c r="EF279" s="44" t="str">
        <f t="shared" si="3672"/>
        <v/>
      </c>
      <c r="EG279" s="44" t="str">
        <f t="shared" si="3673"/>
        <v/>
      </c>
      <c r="EH279" s="44" t="str">
        <f t="shared" si="3674"/>
        <v/>
      </c>
      <c r="EI279" s="44" t="str">
        <f t="shared" si="3675"/>
        <v/>
      </c>
      <c r="EJ279" s="44" t="str">
        <f t="shared" si="3676"/>
        <v/>
      </c>
      <c r="EK279" s="44" t="str">
        <f t="shared" si="3677"/>
        <v/>
      </c>
      <c r="EL279" s="44" t="str">
        <f t="shared" si="3678"/>
        <v/>
      </c>
      <c r="EM279" s="44" t="str">
        <f t="shared" si="3679"/>
        <v/>
      </c>
      <c r="EN279" s="44" t="str">
        <f t="shared" si="3680"/>
        <v/>
      </c>
      <c r="EO279" s="44" t="str">
        <f t="shared" si="3681"/>
        <v/>
      </c>
      <c r="EP279" s="44" t="str">
        <f t="shared" si="3682"/>
        <v/>
      </c>
      <c r="EQ279" s="44" t="str">
        <f t="shared" si="3683"/>
        <v/>
      </c>
      <c r="ER279" s="44" t="str">
        <f t="shared" si="3684"/>
        <v/>
      </c>
      <c r="ES279" s="44" t="str">
        <f t="shared" si="3685"/>
        <v/>
      </c>
      <c r="ET279" s="44" t="str">
        <f t="shared" si="3686"/>
        <v/>
      </c>
      <c r="EU279" s="44" t="str">
        <f t="shared" si="3687"/>
        <v/>
      </c>
      <c r="EV279" s="44" t="str">
        <f t="shared" si="3688"/>
        <v/>
      </c>
      <c r="EW279" s="44" t="str">
        <f t="shared" si="3689"/>
        <v/>
      </c>
      <c r="EX279" s="44" t="str">
        <f t="shared" si="3690"/>
        <v/>
      </c>
      <c r="EY279" s="44" t="str">
        <f t="shared" si="3691"/>
        <v/>
      </c>
      <c r="EZ279" s="44" t="str">
        <f t="shared" si="3692"/>
        <v/>
      </c>
      <c r="FA279" s="44" t="str">
        <f t="shared" si="3693"/>
        <v/>
      </c>
      <c r="FB279" s="44" t="str">
        <f t="shared" si="3694"/>
        <v/>
      </c>
      <c r="FC279" s="44" t="str">
        <f t="shared" si="3695"/>
        <v/>
      </c>
      <c r="FD279" s="44" t="str">
        <f t="shared" si="3696"/>
        <v/>
      </c>
      <c r="FE279" s="44" t="str">
        <f t="shared" si="3697"/>
        <v/>
      </c>
      <c r="FF279" s="44" t="str">
        <f t="shared" si="3698"/>
        <v/>
      </c>
      <c r="FG279" s="44" t="str">
        <f t="shared" si="3699"/>
        <v/>
      </c>
      <c r="FH279" s="44" t="str">
        <f t="shared" si="3700"/>
        <v/>
      </c>
      <c r="FI279" s="44" t="str">
        <f t="shared" si="3701"/>
        <v/>
      </c>
      <c r="FJ279" s="44" t="str">
        <f t="shared" si="3702"/>
        <v/>
      </c>
      <c r="FK279" s="44" t="str">
        <f t="shared" si="3703"/>
        <v/>
      </c>
      <c r="FL279" s="44" t="str">
        <f t="shared" si="3704"/>
        <v/>
      </c>
      <c r="FM279" s="44" t="str">
        <f t="shared" si="3705"/>
        <v/>
      </c>
      <c r="FN279" s="44" t="str">
        <f t="shared" si="3706"/>
        <v/>
      </c>
      <c r="FO279" s="44" t="str">
        <f t="shared" si="3707"/>
        <v/>
      </c>
      <c r="FP279" s="44" t="str">
        <f t="shared" si="3708"/>
        <v/>
      </c>
      <c r="FQ279" s="44" t="str">
        <f t="shared" si="3709"/>
        <v/>
      </c>
      <c r="FR279" s="44" t="str">
        <f t="shared" si="3710"/>
        <v/>
      </c>
      <c r="FS279" s="44" t="str">
        <f t="shared" si="3711"/>
        <v/>
      </c>
    </row>
    <row r="280" ht="15" spans="1:175">
      <c r="A280" s="11"/>
      <c r="B280" s="12"/>
      <c r="C280" s="11"/>
      <c r="E280" s="112"/>
      <c r="T280" s="113"/>
      <c r="U280" s="60"/>
      <c r="CU280" s="72" t="str">
        <f t="shared" si="3641"/>
        <v>|n</v>
      </c>
      <c r="CW280" s="7"/>
      <c r="CX280" s="7"/>
      <c r="CY280" s="7"/>
      <c r="CZ280" s="7"/>
      <c r="DA280" s="7"/>
      <c r="DB280" s="44" t="str">
        <f t="shared" si="3642"/>
        <v/>
      </c>
      <c r="DC280" s="44" t="str">
        <f t="shared" si="3643"/>
        <v/>
      </c>
      <c r="DD280" s="44" t="str">
        <f t="shared" si="3644"/>
        <v/>
      </c>
      <c r="DE280" s="44" t="str">
        <f t="shared" si="3645"/>
        <v/>
      </c>
      <c r="DF280" s="44" t="str">
        <f t="shared" si="3646"/>
        <v/>
      </c>
      <c r="DG280" s="44" t="str">
        <f t="shared" si="3647"/>
        <v/>
      </c>
      <c r="DH280" s="44" t="str">
        <f t="shared" si="3648"/>
        <v/>
      </c>
      <c r="DI280" s="44" t="str">
        <f t="shared" si="3649"/>
        <v/>
      </c>
      <c r="DJ280" s="44" t="str">
        <f t="shared" si="3650"/>
        <v/>
      </c>
      <c r="DK280" s="44" t="str">
        <f t="shared" si="3651"/>
        <v/>
      </c>
      <c r="DL280" s="44" t="str">
        <f t="shared" si="3652"/>
        <v/>
      </c>
      <c r="DM280" s="44" t="str">
        <f t="shared" si="3653"/>
        <v/>
      </c>
      <c r="DN280" s="44" t="str">
        <f t="shared" si="3654"/>
        <v/>
      </c>
      <c r="DO280" s="44" t="str">
        <f t="shared" si="3655"/>
        <v/>
      </c>
      <c r="DP280" s="44" t="str">
        <f t="shared" si="3656"/>
        <v/>
      </c>
      <c r="DQ280" s="44" t="str">
        <f t="shared" si="3657"/>
        <v/>
      </c>
      <c r="DR280" s="44" t="str">
        <f t="shared" si="3658"/>
        <v/>
      </c>
      <c r="DS280" s="44" t="str">
        <f t="shared" si="3659"/>
        <v/>
      </c>
      <c r="DT280" s="44" t="str">
        <f t="shared" si="3660"/>
        <v/>
      </c>
      <c r="DU280" s="44" t="str">
        <f t="shared" si="3661"/>
        <v/>
      </c>
      <c r="DV280" s="44" t="str">
        <f t="shared" si="3662"/>
        <v/>
      </c>
      <c r="DW280" s="44" t="str">
        <f t="shared" si="3663"/>
        <v/>
      </c>
      <c r="DX280" s="44" t="str">
        <f t="shared" si="3664"/>
        <v/>
      </c>
      <c r="DY280" s="44" t="str">
        <f t="shared" si="3665"/>
        <v/>
      </c>
      <c r="DZ280" s="44" t="str">
        <f t="shared" si="3666"/>
        <v/>
      </c>
      <c r="EA280" s="44" t="str">
        <f t="shared" si="3667"/>
        <v/>
      </c>
      <c r="EB280" s="44" t="str">
        <f t="shared" si="3668"/>
        <v/>
      </c>
      <c r="EC280" s="44" t="str">
        <f t="shared" si="3669"/>
        <v/>
      </c>
      <c r="ED280" s="44" t="str">
        <f t="shared" si="3670"/>
        <v/>
      </c>
      <c r="EE280" s="44" t="str">
        <f t="shared" si="3671"/>
        <v/>
      </c>
      <c r="EF280" s="44" t="str">
        <f t="shared" si="3672"/>
        <v/>
      </c>
      <c r="EG280" s="44" t="str">
        <f t="shared" si="3673"/>
        <v/>
      </c>
      <c r="EH280" s="44" t="str">
        <f t="shared" si="3674"/>
        <v/>
      </c>
      <c r="EI280" s="44" t="str">
        <f t="shared" si="3675"/>
        <v/>
      </c>
      <c r="EJ280" s="44" t="str">
        <f t="shared" si="3676"/>
        <v/>
      </c>
      <c r="EK280" s="44" t="str">
        <f t="shared" si="3677"/>
        <v/>
      </c>
      <c r="EL280" s="44" t="str">
        <f t="shared" si="3678"/>
        <v/>
      </c>
      <c r="EM280" s="44" t="str">
        <f t="shared" si="3679"/>
        <v/>
      </c>
      <c r="EN280" s="44" t="str">
        <f t="shared" si="3680"/>
        <v/>
      </c>
      <c r="EO280" s="44" t="str">
        <f t="shared" si="3681"/>
        <v/>
      </c>
      <c r="EP280" s="44" t="str">
        <f t="shared" si="3682"/>
        <v/>
      </c>
      <c r="EQ280" s="44" t="str">
        <f t="shared" si="3683"/>
        <v/>
      </c>
      <c r="ER280" s="44" t="str">
        <f t="shared" si="3684"/>
        <v/>
      </c>
      <c r="ES280" s="44" t="str">
        <f t="shared" si="3685"/>
        <v/>
      </c>
      <c r="ET280" s="44" t="str">
        <f t="shared" si="3686"/>
        <v/>
      </c>
      <c r="EU280" s="44" t="str">
        <f t="shared" si="3687"/>
        <v/>
      </c>
      <c r="EV280" s="44" t="str">
        <f t="shared" si="3688"/>
        <v/>
      </c>
      <c r="EW280" s="44" t="str">
        <f t="shared" si="3689"/>
        <v/>
      </c>
      <c r="EX280" s="44" t="str">
        <f t="shared" si="3690"/>
        <v/>
      </c>
      <c r="EY280" s="44" t="str">
        <f t="shared" si="3691"/>
        <v/>
      </c>
      <c r="EZ280" s="44" t="str">
        <f t="shared" si="3692"/>
        <v/>
      </c>
      <c r="FA280" s="44" t="str">
        <f t="shared" si="3693"/>
        <v/>
      </c>
      <c r="FB280" s="44" t="str">
        <f t="shared" si="3694"/>
        <v/>
      </c>
      <c r="FC280" s="44" t="str">
        <f t="shared" si="3695"/>
        <v/>
      </c>
      <c r="FD280" s="44" t="str">
        <f t="shared" si="3696"/>
        <v/>
      </c>
      <c r="FE280" s="44" t="str">
        <f t="shared" si="3697"/>
        <v/>
      </c>
      <c r="FF280" s="44" t="str">
        <f t="shared" si="3698"/>
        <v/>
      </c>
      <c r="FG280" s="44" t="str">
        <f t="shared" si="3699"/>
        <v/>
      </c>
      <c r="FH280" s="44" t="str">
        <f t="shared" si="3700"/>
        <v/>
      </c>
      <c r="FI280" s="44" t="str">
        <f t="shared" si="3701"/>
        <v/>
      </c>
      <c r="FJ280" s="44" t="str">
        <f t="shared" si="3702"/>
        <v/>
      </c>
      <c r="FK280" s="44" t="str">
        <f t="shared" si="3703"/>
        <v/>
      </c>
      <c r="FL280" s="44" t="str">
        <f t="shared" si="3704"/>
        <v/>
      </c>
      <c r="FM280" s="44" t="str">
        <f t="shared" si="3705"/>
        <v/>
      </c>
      <c r="FN280" s="44" t="str">
        <f t="shared" si="3706"/>
        <v/>
      </c>
      <c r="FO280" s="44" t="str">
        <f t="shared" si="3707"/>
        <v/>
      </c>
      <c r="FP280" s="44" t="str">
        <f t="shared" si="3708"/>
        <v/>
      </c>
      <c r="FQ280" s="44" t="str">
        <f t="shared" si="3709"/>
        <v/>
      </c>
      <c r="FR280" s="44" t="str">
        <f t="shared" si="3710"/>
        <v/>
      </c>
      <c r="FS280" s="44" t="str">
        <f t="shared" si="3711"/>
        <v/>
      </c>
    </row>
    <row r="281" ht="15" spans="1:175">
      <c r="A281" s="11"/>
      <c r="B281" s="12"/>
      <c r="C281" s="11"/>
      <c r="E281" s="112"/>
      <c r="T281" s="113"/>
      <c r="U281" s="60"/>
      <c r="CU281" s="72" t="str">
        <f t="shared" si="3641"/>
        <v>|n</v>
      </c>
      <c r="CW281" s="7"/>
      <c r="CX281" s="7"/>
      <c r="CY281" s="7"/>
      <c r="CZ281" s="7"/>
      <c r="DA281" s="7"/>
      <c r="DB281" s="44" t="str">
        <f t="shared" si="3642"/>
        <v/>
      </c>
      <c r="DC281" s="44" t="str">
        <f t="shared" si="3643"/>
        <v/>
      </c>
      <c r="DD281" s="44" t="str">
        <f t="shared" si="3644"/>
        <v/>
      </c>
      <c r="DE281" s="44" t="str">
        <f t="shared" si="3645"/>
        <v/>
      </c>
      <c r="DF281" s="44" t="str">
        <f t="shared" si="3646"/>
        <v/>
      </c>
      <c r="DG281" s="44" t="str">
        <f t="shared" si="3647"/>
        <v/>
      </c>
      <c r="DH281" s="44" t="str">
        <f t="shared" si="3648"/>
        <v/>
      </c>
      <c r="DI281" s="44" t="str">
        <f t="shared" si="3649"/>
        <v/>
      </c>
      <c r="DJ281" s="44" t="str">
        <f t="shared" si="3650"/>
        <v/>
      </c>
      <c r="DK281" s="44" t="str">
        <f t="shared" si="3651"/>
        <v/>
      </c>
      <c r="DL281" s="44" t="str">
        <f t="shared" si="3652"/>
        <v/>
      </c>
      <c r="DM281" s="44" t="str">
        <f t="shared" si="3653"/>
        <v/>
      </c>
      <c r="DN281" s="44" t="str">
        <f t="shared" si="3654"/>
        <v/>
      </c>
      <c r="DO281" s="44" t="str">
        <f t="shared" si="3655"/>
        <v/>
      </c>
      <c r="DP281" s="44" t="str">
        <f t="shared" si="3656"/>
        <v/>
      </c>
      <c r="DQ281" s="44" t="str">
        <f t="shared" si="3657"/>
        <v/>
      </c>
      <c r="DR281" s="44" t="str">
        <f t="shared" si="3658"/>
        <v/>
      </c>
      <c r="DS281" s="44" t="str">
        <f t="shared" si="3659"/>
        <v/>
      </c>
      <c r="DT281" s="44" t="str">
        <f t="shared" si="3660"/>
        <v/>
      </c>
      <c r="DU281" s="44" t="str">
        <f t="shared" si="3661"/>
        <v/>
      </c>
      <c r="DV281" s="44" t="str">
        <f t="shared" si="3662"/>
        <v/>
      </c>
      <c r="DW281" s="44" t="str">
        <f t="shared" si="3663"/>
        <v/>
      </c>
      <c r="DX281" s="44" t="str">
        <f t="shared" si="3664"/>
        <v/>
      </c>
      <c r="DY281" s="44" t="str">
        <f t="shared" si="3665"/>
        <v/>
      </c>
      <c r="DZ281" s="44" t="str">
        <f t="shared" si="3666"/>
        <v/>
      </c>
      <c r="EA281" s="44" t="str">
        <f t="shared" si="3667"/>
        <v/>
      </c>
      <c r="EB281" s="44" t="str">
        <f t="shared" si="3668"/>
        <v/>
      </c>
      <c r="EC281" s="44" t="str">
        <f t="shared" si="3669"/>
        <v/>
      </c>
      <c r="ED281" s="44" t="str">
        <f t="shared" si="3670"/>
        <v/>
      </c>
      <c r="EE281" s="44" t="str">
        <f t="shared" si="3671"/>
        <v/>
      </c>
      <c r="EF281" s="44" t="str">
        <f t="shared" si="3672"/>
        <v/>
      </c>
      <c r="EG281" s="44" t="str">
        <f t="shared" si="3673"/>
        <v/>
      </c>
      <c r="EH281" s="44" t="str">
        <f t="shared" si="3674"/>
        <v/>
      </c>
      <c r="EI281" s="44" t="str">
        <f t="shared" si="3675"/>
        <v/>
      </c>
      <c r="EJ281" s="44" t="str">
        <f t="shared" si="3676"/>
        <v/>
      </c>
      <c r="EK281" s="44" t="str">
        <f t="shared" si="3677"/>
        <v/>
      </c>
      <c r="EL281" s="44" t="str">
        <f t="shared" si="3678"/>
        <v/>
      </c>
      <c r="EM281" s="44" t="str">
        <f t="shared" si="3679"/>
        <v/>
      </c>
      <c r="EN281" s="44" t="str">
        <f t="shared" si="3680"/>
        <v/>
      </c>
      <c r="EO281" s="44" t="str">
        <f t="shared" si="3681"/>
        <v/>
      </c>
      <c r="EP281" s="44" t="str">
        <f t="shared" si="3682"/>
        <v/>
      </c>
      <c r="EQ281" s="44" t="str">
        <f t="shared" si="3683"/>
        <v/>
      </c>
      <c r="ER281" s="44" t="str">
        <f t="shared" si="3684"/>
        <v/>
      </c>
      <c r="ES281" s="44" t="str">
        <f t="shared" si="3685"/>
        <v/>
      </c>
      <c r="ET281" s="44" t="str">
        <f t="shared" si="3686"/>
        <v/>
      </c>
      <c r="EU281" s="44" t="str">
        <f t="shared" si="3687"/>
        <v/>
      </c>
      <c r="EV281" s="44" t="str">
        <f t="shared" si="3688"/>
        <v/>
      </c>
      <c r="EW281" s="44" t="str">
        <f t="shared" si="3689"/>
        <v/>
      </c>
      <c r="EX281" s="44" t="str">
        <f t="shared" si="3690"/>
        <v/>
      </c>
      <c r="EY281" s="44" t="str">
        <f t="shared" si="3691"/>
        <v/>
      </c>
      <c r="EZ281" s="44" t="str">
        <f t="shared" si="3692"/>
        <v/>
      </c>
      <c r="FA281" s="44" t="str">
        <f t="shared" si="3693"/>
        <v/>
      </c>
      <c r="FB281" s="44" t="str">
        <f t="shared" si="3694"/>
        <v/>
      </c>
      <c r="FC281" s="44" t="str">
        <f t="shared" si="3695"/>
        <v/>
      </c>
      <c r="FD281" s="44" t="str">
        <f t="shared" si="3696"/>
        <v/>
      </c>
      <c r="FE281" s="44" t="str">
        <f t="shared" si="3697"/>
        <v/>
      </c>
      <c r="FF281" s="44" t="str">
        <f t="shared" si="3698"/>
        <v/>
      </c>
      <c r="FG281" s="44" t="str">
        <f t="shared" si="3699"/>
        <v/>
      </c>
      <c r="FH281" s="44" t="str">
        <f t="shared" si="3700"/>
        <v/>
      </c>
      <c r="FI281" s="44" t="str">
        <f t="shared" si="3701"/>
        <v/>
      </c>
      <c r="FJ281" s="44" t="str">
        <f t="shared" si="3702"/>
        <v/>
      </c>
      <c r="FK281" s="44" t="str">
        <f t="shared" si="3703"/>
        <v/>
      </c>
      <c r="FL281" s="44" t="str">
        <f t="shared" si="3704"/>
        <v/>
      </c>
      <c r="FM281" s="44" t="str">
        <f t="shared" si="3705"/>
        <v/>
      </c>
      <c r="FN281" s="44" t="str">
        <f t="shared" si="3706"/>
        <v/>
      </c>
      <c r="FO281" s="44" t="str">
        <f t="shared" si="3707"/>
        <v/>
      </c>
      <c r="FP281" s="44" t="str">
        <f t="shared" si="3708"/>
        <v/>
      </c>
      <c r="FQ281" s="44" t="str">
        <f t="shared" si="3709"/>
        <v/>
      </c>
      <c r="FR281" s="44" t="str">
        <f t="shared" si="3710"/>
        <v/>
      </c>
      <c r="FS281" s="44" t="str">
        <f t="shared" si="3711"/>
        <v/>
      </c>
    </row>
    <row r="282" spans="92:175">
      <c r="CN282" s="13" t="str">
        <f t="shared" ref="CN282:CN313" si="3716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3" t="str">
        <f t="shared" ref="CO282:CO313" si="3717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3" t="str">
        <f t="shared" ref="CP282:CP313" si="3718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3" t="str">
        <f t="shared" ref="CQ282:CQ313" si="3719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3" t="str">
        <f t="shared" ref="CR282:CR313" si="3720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6" t="str">
        <f t="shared" ref="CU282:CU294" si="3721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7"/>
      <c r="CX282" s="7"/>
      <c r="CY282" s="7"/>
      <c r="CZ282" s="7"/>
      <c r="DA282" s="7"/>
      <c r="DB282" s="44" t="str">
        <f t="shared" ref="DB282:DB302" si="3722">IF(V282="","","|n"&amp;DB$2&amp;"+"&amp;V282&amp;DB$1)</f>
        <v/>
      </c>
      <c r="DC282" s="44" t="str">
        <f t="shared" ref="DC282:DC302" si="3723">IF(W282="","","|n"&amp;DC$2&amp;"+"&amp;W282&amp;DC$1)</f>
        <v/>
      </c>
      <c r="DD282" s="44" t="str">
        <f t="shared" ref="DD282:DD302" si="3724">IF(X282="","","|n"&amp;DD$2&amp;"+"&amp;X282&amp;DD$1)</f>
        <v/>
      </c>
      <c r="DE282" s="44" t="str">
        <f t="shared" ref="DE282:DE302" si="3725">IF(Y282="","","|n"&amp;DE$2&amp;"+"&amp;Y282&amp;DE$1)</f>
        <v/>
      </c>
      <c r="DF282" s="44" t="str">
        <f t="shared" ref="DF282:DF302" si="3726">IF(Z282="","","|n"&amp;DF$2&amp;"+"&amp;Z282&amp;DF$1)</f>
        <v/>
      </c>
      <c r="DG282" s="44" t="str">
        <f t="shared" ref="DG282:DG302" si="3727">IF(AA282="","","|n"&amp;DG$2&amp;"+"&amp;AA282&amp;DG$1)</f>
        <v/>
      </c>
      <c r="DH282" s="44" t="str">
        <f t="shared" ref="DH282:DH302" si="3728">IF(AB282="","","|n"&amp;DH$2&amp;"+"&amp;AB282&amp;DH$1)</f>
        <v/>
      </c>
      <c r="DI282" s="44" t="str">
        <f t="shared" ref="DI282:DI302" si="3729">IF(AC282="","","|n"&amp;DI$2&amp;"+"&amp;AC282&amp;DI$1)</f>
        <v/>
      </c>
      <c r="DJ282" s="44" t="str">
        <f t="shared" ref="DJ282:DJ302" si="3730">IF(AD282="","","|n"&amp;DJ$2&amp;"+"&amp;AD282&amp;DJ$1)</f>
        <v/>
      </c>
      <c r="DK282" s="44" t="str">
        <f t="shared" ref="DK282:DK302" si="3731">IF(AE282="","","|n"&amp;DK$2&amp;"+"&amp;AE282&amp;DK$1)</f>
        <v/>
      </c>
      <c r="DL282" s="44" t="str">
        <f t="shared" ref="DL282:DL302" si="3732">IF(AF282="","","|n"&amp;DL$2&amp;"+"&amp;AF282&amp;DL$1)</f>
        <v/>
      </c>
      <c r="DM282" s="44" t="str">
        <f t="shared" ref="DM282:DM302" si="3733">IF(AG282="","","|n"&amp;DM$2&amp;"+"&amp;AG282&amp;DM$1)</f>
        <v/>
      </c>
      <c r="DN282" s="44" t="str">
        <f t="shared" ref="DN282:DN302" si="3734">IF(AH282="","","|n"&amp;DN$2&amp;"+"&amp;AH282&amp;DN$1)</f>
        <v/>
      </c>
      <c r="DO282" s="44" t="str">
        <f t="shared" ref="DO282:DO302" si="3735">IF(AI282="","","|n"&amp;DO$2&amp;"+"&amp;AI282&amp;DO$1)</f>
        <v/>
      </c>
      <c r="DP282" s="44" t="str">
        <f t="shared" ref="DP282:DP302" si="3736">IF(AJ282="","","|n"&amp;DP$2&amp;"+"&amp;AJ282&amp;DP$1)</f>
        <v/>
      </c>
      <c r="DQ282" s="44" t="str">
        <f t="shared" ref="DQ282:DQ302" si="3737">IF(AK282="","","|n"&amp;DQ$2&amp;"+"&amp;AK282&amp;DQ$1)</f>
        <v/>
      </c>
      <c r="DR282" s="44" t="str">
        <f t="shared" ref="DR282:DR302" si="3738">IF(AL282="","","|n"&amp;DR$2&amp;"+"&amp;AL282&amp;DR$1)</f>
        <v/>
      </c>
      <c r="DS282" s="44" t="str">
        <f t="shared" ref="DS282:DS302" si="3739">IF(AM282="","","|n"&amp;DS$2&amp;"+"&amp;AM282&amp;DS$1)</f>
        <v/>
      </c>
      <c r="DT282" s="44" t="str">
        <f t="shared" ref="DT282:DT302" si="3740">IF(AN282="","","|n"&amp;DT$2&amp;"+"&amp;AN282&amp;DT$1)</f>
        <v/>
      </c>
      <c r="DU282" s="44" t="str">
        <f t="shared" ref="DU282:DU302" si="3741">IF(AO282="","","|n"&amp;DU$2&amp;"+"&amp;AO282&amp;DU$1)</f>
        <v/>
      </c>
      <c r="DV282" s="44" t="str">
        <f t="shared" ref="DV282:DV302" si="3742">IF(AP282="","","|n"&amp;DV$2&amp;"+"&amp;AP282&amp;DV$1)</f>
        <v/>
      </c>
      <c r="DW282" s="44" t="str">
        <f t="shared" ref="DW282:DW302" si="3743">IF(AQ282="","","|n"&amp;DW$2&amp;"+"&amp;AQ282&amp;DW$1)</f>
        <v/>
      </c>
      <c r="DX282" s="44" t="str">
        <f t="shared" ref="DX282:DX302" si="3744">IF(AR282="","","|n"&amp;DX$2&amp;"+"&amp;AR282&amp;DX$1)</f>
        <v/>
      </c>
      <c r="DY282" s="44" t="str">
        <f t="shared" ref="DY282:DY302" si="3745">IF(AS282="","","|n"&amp;DY$2&amp;"+"&amp;AS282&amp;DY$1)</f>
        <v/>
      </c>
      <c r="DZ282" s="44" t="str">
        <f t="shared" ref="DZ282:DZ302" si="3746">IF(AT282="","","|n"&amp;DZ$2&amp;"+"&amp;AT282&amp;DZ$1)</f>
        <v/>
      </c>
      <c r="EA282" s="44" t="str">
        <f t="shared" ref="EA282:EA302" si="3747">IF(AU282="","","|n"&amp;EA$2&amp;"+"&amp;AU282&amp;EA$1)</f>
        <v/>
      </c>
      <c r="EB282" s="44" t="str">
        <f t="shared" ref="EB282:EB302" si="3748">IF(AV282="","","|n"&amp;EB$2&amp;"+"&amp;AV282&amp;EB$1)</f>
        <v/>
      </c>
      <c r="EC282" s="44" t="str">
        <f t="shared" ref="EC282:EC302" si="3749">IF(AW282="","","|n"&amp;EC$2&amp;"+"&amp;AW282&amp;EC$1)</f>
        <v/>
      </c>
      <c r="ED282" s="44" t="str">
        <f t="shared" ref="ED282:ED302" si="3750">IF(AX282="","","|n"&amp;ED$2&amp;"+"&amp;AX282&amp;ED$1)</f>
        <v/>
      </c>
      <c r="EE282" s="44" t="str">
        <f t="shared" ref="EE282:EE302" si="3751">IF(AY282="","","|n"&amp;EE$2&amp;"+"&amp;AY282&amp;EE$1)</f>
        <v/>
      </c>
      <c r="EF282" s="44" t="str">
        <f t="shared" ref="EF282:EF302" si="3752">IF(AZ282="","","|n"&amp;EF$2&amp;"+"&amp;AZ282&amp;EF$1)</f>
        <v/>
      </c>
      <c r="EG282" s="44" t="str">
        <f t="shared" ref="EG282:EG302" si="3753">IF(BA282="","","|n"&amp;EG$2&amp;"+"&amp;BA282&amp;EG$1)</f>
        <v/>
      </c>
      <c r="EH282" s="44" t="str">
        <f t="shared" ref="EH282:EH302" si="3754">IF(BB282="","","|n"&amp;EH$2&amp;"+"&amp;BB282&amp;EH$1)</f>
        <v/>
      </c>
      <c r="EI282" s="44" t="str">
        <f t="shared" ref="EI282:EI302" si="3755">IF(BC282="","","|n"&amp;EI$2&amp;"+"&amp;BC282&amp;EI$1)</f>
        <v/>
      </c>
      <c r="EJ282" s="44" t="str">
        <f t="shared" ref="EJ282:EJ302" si="3756">IF(BD282="","","|n"&amp;EJ$2&amp;"+"&amp;BD282&amp;EJ$1)</f>
        <v/>
      </c>
      <c r="EK282" s="44" t="str">
        <f t="shared" ref="EK282:EK302" si="3757">IF(BE282="","","|n"&amp;EK$2&amp;"+"&amp;BE282&amp;EK$1)</f>
        <v/>
      </c>
      <c r="EL282" s="44" t="str">
        <f t="shared" ref="EL282:EL302" si="3758">IF(BF282="","","|n"&amp;EL$2&amp;"+"&amp;BF282&amp;EL$1)</f>
        <v/>
      </c>
      <c r="EM282" s="44" t="str">
        <f t="shared" ref="EM282:EM302" si="3759">IF(BG282="","","|n"&amp;EM$2&amp;"+"&amp;BG282&amp;EM$1)</f>
        <v/>
      </c>
      <c r="EN282" s="44" t="str">
        <f t="shared" ref="EN282:EN302" si="3760">IF(BH282="","","|n"&amp;EN$2&amp;"+"&amp;BH282&amp;EN$1)</f>
        <v/>
      </c>
      <c r="EO282" s="44" t="str">
        <f t="shared" ref="EO282:EO302" si="3761">IF(BI282="","","|n"&amp;EO$2&amp;"+"&amp;BI282&amp;EO$1)</f>
        <v/>
      </c>
      <c r="EP282" s="44" t="str">
        <f t="shared" ref="EP282:EP302" si="3762">IF(BJ282="","","|n"&amp;EP$2&amp;"+"&amp;BJ282&amp;EP$1)</f>
        <v/>
      </c>
      <c r="EQ282" s="44" t="str">
        <f t="shared" ref="EQ282:EQ302" si="3763">IF(BK282="","","|n"&amp;EQ$2&amp;"+"&amp;BK282&amp;EQ$1)</f>
        <v/>
      </c>
      <c r="ER282" s="44" t="str">
        <f t="shared" ref="ER282:ER302" si="3764">IF(BL282="","","|n"&amp;ER$2&amp;"+"&amp;BL282&amp;ER$1)</f>
        <v/>
      </c>
      <c r="ES282" s="44" t="str">
        <f t="shared" ref="ES282:ES302" si="3765">IF(BM282="","","|n"&amp;ES$2&amp;"+"&amp;BM282&amp;ES$1)</f>
        <v/>
      </c>
      <c r="ET282" s="44" t="str">
        <f t="shared" ref="ET282:ET302" si="3766">IF(BN282="","","|n"&amp;ET$2&amp;"+"&amp;BN282&amp;ET$1)</f>
        <v/>
      </c>
      <c r="EU282" s="44" t="str">
        <f t="shared" ref="EU282:EU302" si="3767">IF(BO282="","","|n"&amp;EU$2&amp;"+"&amp;BO282&amp;EU$1)</f>
        <v/>
      </c>
      <c r="EV282" s="44" t="str">
        <f t="shared" ref="EV282:EV302" si="3768">IF(BP282="","","|n"&amp;EV$2&amp;"+"&amp;BP282&amp;EV$1)</f>
        <v/>
      </c>
      <c r="EW282" s="44" t="str">
        <f t="shared" ref="EW282:EW302" si="3769">IF(BQ282="","","|n"&amp;EW$2&amp;"+"&amp;BQ282&amp;EW$1)</f>
        <v/>
      </c>
      <c r="EX282" s="44" t="str">
        <f t="shared" ref="EX282:EX302" si="3770">IF(BR282="","","|n"&amp;EX$2&amp;"+"&amp;BR282&amp;EX$1)</f>
        <v/>
      </c>
      <c r="EY282" s="44" t="str">
        <f t="shared" ref="EY282:EY302" si="3771">IF(BS282="","","|n"&amp;EY$2&amp;"+"&amp;BS282&amp;EY$1)</f>
        <v/>
      </c>
      <c r="EZ282" s="44" t="str">
        <f t="shared" ref="EZ282:EZ302" si="3772">IF(BT282="","","|n"&amp;EZ$2&amp;"+"&amp;BT282&amp;EZ$1)</f>
        <v/>
      </c>
      <c r="FA282" s="44" t="str">
        <f t="shared" ref="FA282:FA302" si="3773">IF(BU282="","","|n"&amp;FA$2&amp;"+"&amp;BU282&amp;FA$1)</f>
        <v/>
      </c>
      <c r="FB282" s="44" t="str">
        <f t="shared" ref="FB282:FB302" si="3774">IF(BV282="","","|n"&amp;FB$2&amp;"+"&amp;BV282&amp;FB$1)</f>
        <v/>
      </c>
      <c r="FC282" s="44" t="str">
        <f t="shared" ref="FC282:FC302" si="3775">IF(BW282="","","|n"&amp;FC$2&amp;"+"&amp;BW282&amp;FC$1)</f>
        <v/>
      </c>
      <c r="FD282" s="44" t="str">
        <f t="shared" ref="FD282:FD302" si="3776">IF(BX282="","","|n"&amp;FD$2&amp;"+"&amp;BX282&amp;FD$1)</f>
        <v/>
      </c>
      <c r="FE282" s="44" t="str">
        <f t="shared" ref="FE282:FE302" si="3777">IF(BY282="","","|n"&amp;FE$2&amp;"+"&amp;BY282&amp;FE$1)</f>
        <v/>
      </c>
      <c r="FF282" s="44" t="str">
        <f t="shared" ref="FF282:FF302" si="3778">IF(BZ282="","","|n"&amp;FF$2&amp;"+"&amp;BZ282&amp;FF$1)</f>
        <v/>
      </c>
      <c r="FG282" s="44" t="str">
        <f t="shared" ref="FG282:FG302" si="3779">IF(CA282="","","|n"&amp;FG$2&amp;"+"&amp;CA282&amp;FG$1)</f>
        <v/>
      </c>
      <c r="FH282" s="44" t="str">
        <f t="shared" ref="FH282:FH302" si="3780">IF(CB282="","","|n"&amp;FH$2&amp;"+"&amp;CB282&amp;FH$1)</f>
        <v/>
      </c>
      <c r="FI282" s="44" t="str">
        <f t="shared" ref="FI282:FI302" si="3781">IF(CC282="","","|n"&amp;FI$2&amp;"+"&amp;CC282&amp;FI$1)</f>
        <v/>
      </c>
      <c r="FJ282" s="44" t="str">
        <f t="shared" ref="FJ282:FJ302" si="3782">IF(CD282="","","|n"&amp;FJ$2&amp;"+"&amp;CD282&amp;FJ$1)</f>
        <v/>
      </c>
      <c r="FK282" s="44" t="str">
        <f t="shared" ref="FK282:FK302" si="3783">IF(CE282="","","|n"&amp;FK$2&amp;"+"&amp;CE282&amp;FK$1)</f>
        <v/>
      </c>
      <c r="FL282" s="44" t="str">
        <f t="shared" ref="FL282:FL302" si="3784">IF(CF282="","","|n"&amp;FL$2&amp;"+"&amp;CF282&amp;FL$1)</f>
        <v/>
      </c>
      <c r="FM282" s="44" t="str">
        <f t="shared" ref="FM282:FM302" si="3785">IF(CG282="","","|n"&amp;FM$2&amp;"+"&amp;CG282&amp;FM$1)</f>
        <v/>
      </c>
      <c r="FN282" s="44" t="str">
        <f t="shared" ref="FN282:FN302" si="3786">IF(CH282="","","|n"&amp;FN$2&amp;"+"&amp;CH282&amp;FN$1)</f>
        <v/>
      </c>
      <c r="FO282" s="44" t="str">
        <f t="shared" ref="FO282:FO302" si="3787">IF(CI282="","","|n"&amp;FO$2&amp;"+"&amp;CI282&amp;FO$1)</f>
        <v/>
      </c>
      <c r="FP282" s="44" t="str">
        <f t="shared" ref="FP282:FP302" si="3788">IF(CJ282="","","|n"&amp;FP$2&amp;"+"&amp;CJ282&amp;FP$1)</f>
        <v/>
      </c>
      <c r="FQ282" s="44" t="str">
        <f t="shared" ref="FQ282:FQ302" si="3789">IF(CK282="","","|n"&amp;FQ$2&amp;"+"&amp;CK282&amp;FQ$1)</f>
        <v/>
      </c>
      <c r="FR282" s="44" t="str">
        <f t="shared" ref="FR282:FR302" si="3790">IF(CL282="","","|n"&amp;FR$2&amp;"+"&amp;CL282&amp;FR$1)</f>
        <v/>
      </c>
      <c r="FS282" s="44" t="str">
        <f t="shared" ref="FS282:FS302" si="3791">IF(CM282="","","|n"&amp;FS$2&amp;"+"&amp;CM282&amp;FS$1)</f>
        <v/>
      </c>
    </row>
    <row r="283" spans="92:175">
      <c r="CN283" s="13" t="str">
        <f t="shared" si="3716"/>
        <v>InitUnitState('',,,,,,,,,,)</v>
      </c>
      <c r="CO283" s="13" t="str">
        <f t="shared" si="3717"/>
        <v>InitUnitNormal('',,,,,,,,,,)</v>
      </c>
      <c r="CP283" s="13" t="str">
        <f t="shared" si="3718"/>
        <v>InitUnitMagic('',,,,,,,,,,)</v>
      </c>
      <c r="CQ283" s="13" t="str">
        <f t="shared" si="3719"/>
        <v>InitUnitAdd('',,,,,,,,,,)</v>
      </c>
      <c r="CR283" s="13" t="str">
        <f t="shared" si="3720"/>
        <v>InitEquipData('',,"",,,,,'','','','','','',"")</v>
      </c>
      <c r="CU283" s="6" t="str">
        <f t="shared" si="3721"/>
        <v>|n</v>
      </c>
      <c r="CW283" s="7"/>
      <c r="CX283" s="7"/>
      <c r="CY283" s="7"/>
      <c r="CZ283" s="7"/>
      <c r="DA283" s="7"/>
      <c r="DB283" s="44" t="str">
        <f t="shared" si="3722"/>
        <v/>
      </c>
      <c r="DC283" s="44" t="str">
        <f t="shared" si="3723"/>
        <v/>
      </c>
      <c r="DD283" s="44" t="str">
        <f t="shared" si="3724"/>
        <v/>
      </c>
      <c r="DE283" s="44" t="str">
        <f t="shared" si="3725"/>
        <v/>
      </c>
      <c r="DF283" s="44" t="str">
        <f t="shared" si="3726"/>
        <v/>
      </c>
      <c r="DG283" s="44" t="str">
        <f t="shared" si="3727"/>
        <v/>
      </c>
      <c r="DH283" s="44" t="str">
        <f t="shared" si="3728"/>
        <v/>
      </c>
      <c r="DI283" s="44" t="str">
        <f t="shared" si="3729"/>
        <v/>
      </c>
      <c r="DJ283" s="44" t="str">
        <f t="shared" si="3730"/>
        <v/>
      </c>
      <c r="DK283" s="44" t="str">
        <f t="shared" si="3731"/>
        <v/>
      </c>
      <c r="DL283" s="44" t="str">
        <f t="shared" si="3732"/>
        <v/>
      </c>
      <c r="DM283" s="44" t="str">
        <f t="shared" si="3733"/>
        <v/>
      </c>
      <c r="DN283" s="44" t="str">
        <f t="shared" si="3734"/>
        <v/>
      </c>
      <c r="DO283" s="44" t="str">
        <f t="shared" si="3735"/>
        <v/>
      </c>
      <c r="DP283" s="44" t="str">
        <f t="shared" si="3736"/>
        <v/>
      </c>
      <c r="DQ283" s="44" t="str">
        <f t="shared" si="3737"/>
        <v/>
      </c>
      <c r="DR283" s="44" t="str">
        <f t="shared" si="3738"/>
        <v/>
      </c>
      <c r="DS283" s="44" t="str">
        <f t="shared" si="3739"/>
        <v/>
      </c>
      <c r="DT283" s="44" t="str">
        <f t="shared" si="3740"/>
        <v/>
      </c>
      <c r="DU283" s="44" t="str">
        <f t="shared" si="3741"/>
        <v/>
      </c>
      <c r="DV283" s="44" t="str">
        <f t="shared" si="3742"/>
        <v/>
      </c>
      <c r="DW283" s="44" t="str">
        <f t="shared" si="3743"/>
        <v/>
      </c>
      <c r="DX283" s="44" t="str">
        <f t="shared" si="3744"/>
        <v/>
      </c>
      <c r="DY283" s="44" t="str">
        <f t="shared" si="3745"/>
        <v/>
      </c>
      <c r="DZ283" s="44" t="str">
        <f t="shared" si="3746"/>
        <v/>
      </c>
      <c r="EA283" s="44" t="str">
        <f t="shared" si="3747"/>
        <v/>
      </c>
      <c r="EB283" s="44" t="str">
        <f t="shared" si="3748"/>
        <v/>
      </c>
      <c r="EC283" s="44" t="str">
        <f t="shared" si="3749"/>
        <v/>
      </c>
      <c r="ED283" s="44" t="str">
        <f t="shared" si="3750"/>
        <v/>
      </c>
      <c r="EE283" s="44" t="str">
        <f t="shared" si="3751"/>
        <v/>
      </c>
      <c r="EF283" s="44" t="str">
        <f t="shared" si="3752"/>
        <v/>
      </c>
      <c r="EG283" s="44" t="str">
        <f t="shared" si="3753"/>
        <v/>
      </c>
      <c r="EH283" s="44" t="str">
        <f t="shared" si="3754"/>
        <v/>
      </c>
      <c r="EI283" s="44" t="str">
        <f t="shared" si="3755"/>
        <v/>
      </c>
      <c r="EJ283" s="44" t="str">
        <f t="shared" si="3756"/>
        <v/>
      </c>
      <c r="EK283" s="44" t="str">
        <f t="shared" si="3757"/>
        <v/>
      </c>
      <c r="EL283" s="44" t="str">
        <f t="shared" si="3758"/>
        <v/>
      </c>
      <c r="EM283" s="44" t="str">
        <f t="shared" si="3759"/>
        <v/>
      </c>
      <c r="EN283" s="44" t="str">
        <f t="shared" si="3760"/>
        <v/>
      </c>
      <c r="EO283" s="44" t="str">
        <f t="shared" si="3761"/>
        <v/>
      </c>
      <c r="EP283" s="44" t="str">
        <f t="shared" si="3762"/>
        <v/>
      </c>
      <c r="EQ283" s="44" t="str">
        <f t="shared" si="3763"/>
        <v/>
      </c>
      <c r="ER283" s="44" t="str">
        <f t="shared" si="3764"/>
        <v/>
      </c>
      <c r="ES283" s="44" t="str">
        <f t="shared" si="3765"/>
        <v/>
      </c>
      <c r="ET283" s="44" t="str">
        <f t="shared" si="3766"/>
        <v/>
      </c>
      <c r="EU283" s="44" t="str">
        <f t="shared" si="3767"/>
        <v/>
      </c>
      <c r="EV283" s="44" t="str">
        <f t="shared" si="3768"/>
        <v/>
      </c>
      <c r="EW283" s="44" t="str">
        <f t="shared" si="3769"/>
        <v/>
      </c>
      <c r="EX283" s="44" t="str">
        <f t="shared" si="3770"/>
        <v/>
      </c>
      <c r="EY283" s="44" t="str">
        <f t="shared" si="3771"/>
        <v/>
      </c>
      <c r="EZ283" s="44" t="str">
        <f t="shared" si="3772"/>
        <v/>
      </c>
      <c r="FA283" s="44" t="str">
        <f t="shared" si="3773"/>
        <v/>
      </c>
      <c r="FB283" s="44" t="str">
        <f t="shared" si="3774"/>
        <v/>
      </c>
      <c r="FC283" s="44" t="str">
        <f t="shared" si="3775"/>
        <v/>
      </c>
      <c r="FD283" s="44" t="str">
        <f t="shared" si="3776"/>
        <v/>
      </c>
      <c r="FE283" s="44" t="str">
        <f t="shared" si="3777"/>
        <v/>
      </c>
      <c r="FF283" s="44" t="str">
        <f t="shared" si="3778"/>
        <v/>
      </c>
      <c r="FG283" s="44" t="str">
        <f t="shared" si="3779"/>
        <v/>
      </c>
      <c r="FH283" s="44" t="str">
        <f t="shared" si="3780"/>
        <v/>
      </c>
      <c r="FI283" s="44" t="str">
        <f t="shared" si="3781"/>
        <v/>
      </c>
      <c r="FJ283" s="44" t="str">
        <f t="shared" si="3782"/>
        <v/>
      </c>
      <c r="FK283" s="44" t="str">
        <f t="shared" si="3783"/>
        <v/>
      </c>
      <c r="FL283" s="44" t="str">
        <f t="shared" si="3784"/>
        <v/>
      </c>
      <c r="FM283" s="44" t="str">
        <f t="shared" si="3785"/>
        <v/>
      </c>
      <c r="FN283" s="44" t="str">
        <f t="shared" si="3786"/>
        <v/>
      </c>
      <c r="FO283" s="44" t="str">
        <f t="shared" si="3787"/>
        <v/>
      </c>
      <c r="FP283" s="44" t="str">
        <f t="shared" si="3788"/>
        <v/>
      </c>
      <c r="FQ283" s="44" t="str">
        <f t="shared" si="3789"/>
        <v/>
      </c>
      <c r="FR283" s="44" t="str">
        <f t="shared" si="3790"/>
        <v/>
      </c>
      <c r="FS283" s="44" t="str">
        <f t="shared" si="3791"/>
        <v/>
      </c>
    </row>
    <row r="284" spans="92:175">
      <c r="CN284" s="13" t="str">
        <f t="shared" si="3716"/>
        <v>InitUnitState('',,,,,,,,,,)</v>
      </c>
      <c r="CO284" s="13" t="str">
        <f t="shared" si="3717"/>
        <v>InitUnitNormal('',,,,,,,,,,)</v>
      </c>
      <c r="CP284" s="13" t="str">
        <f t="shared" si="3718"/>
        <v>InitUnitMagic('',,,,,,,,,,)</v>
      </c>
      <c r="CQ284" s="13" t="str">
        <f t="shared" si="3719"/>
        <v>InitUnitAdd('',,,,,,,,,,)</v>
      </c>
      <c r="CR284" s="13" t="str">
        <f t="shared" si="3720"/>
        <v>InitEquipData('',,"",,,,,'','','','','','',"")</v>
      </c>
      <c r="CU284" s="6" t="str">
        <f t="shared" si="3721"/>
        <v>|n</v>
      </c>
      <c r="CW284" s="7"/>
      <c r="CX284" s="7"/>
      <c r="CY284" s="7"/>
      <c r="CZ284" s="7"/>
      <c r="DA284" s="7"/>
      <c r="DB284" s="44" t="str">
        <f t="shared" si="3722"/>
        <v/>
      </c>
      <c r="DC284" s="44" t="str">
        <f t="shared" si="3723"/>
        <v/>
      </c>
      <c r="DD284" s="44" t="str">
        <f t="shared" si="3724"/>
        <v/>
      </c>
      <c r="DE284" s="44" t="str">
        <f t="shared" si="3725"/>
        <v/>
      </c>
      <c r="DF284" s="44" t="str">
        <f t="shared" si="3726"/>
        <v/>
      </c>
      <c r="DG284" s="44" t="str">
        <f t="shared" si="3727"/>
        <v/>
      </c>
      <c r="DH284" s="44" t="str">
        <f t="shared" si="3728"/>
        <v/>
      </c>
      <c r="DI284" s="44" t="str">
        <f t="shared" si="3729"/>
        <v/>
      </c>
      <c r="DJ284" s="44" t="str">
        <f t="shared" si="3730"/>
        <v/>
      </c>
      <c r="DK284" s="44" t="str">
        <f t="shared" si="3731"/>
        <v/>
      </c>
      <c r="DL284" s="44" t="str">
        <f t="shared" si="3732"/>
        <v/>
      </c>
      <c r="DM284" s="44" t="str">
        <f t="shared" si="3733"/>
        <v/>
      </c>
      <c r="DN284" s="44" t="str">
        <f t="shared" si="3734"/>
        <v/>
      </c>
      <c r="DO284" s="44" t="str">
        <f t="shared" si="3735"/>
        <v/>
      </c>
      <c r="DP284" s="44" t="str">
        <f t="shared" si="3736"/>
        <v/>
      </c>
      <c r="DQ284" s="44" t="str">
        <f t="shared" si="3737"/>
        <v/>
      </c>
      <c r="DR284" s="44" t="str">
        <f t="shared" si="3738"/>
        <v/>
      </c>
      <c r="DS284" s="44" t="str">
        <f t="shared" si="3739"/>
        <v/>
      </c>
      <c r="DT284" s="44" t="str">
        <f t="shared" si="3740"/>
        <v/>
      </c>
      <c r="DU284" s="44" t="str">
        <f t="shared" si="3741"/>
        <v/>
      </c>
      <c r="DV284" s="44" t="str">
        <f t="shared" si="3742"/>
        <v/>
      </c>
      <c r="DW284" s="44" t="str">
        <f t="shared" si="3743"/>
        <v/>
      </c>
      <c r="DX284" s="44" t="str">
        <f t="shared" si="3744"/>
        <v/>
      </c>
      <c r="DY284" s="44" t="str">
        <f t="shared" si="3745"/>
        <v/>
      </c>
      <c r="DZ284" s="44" t="str">
        <f t="shared" si="3746"/>
        <v/>
      </c>
      <c r="EA284" s="44" t="str">
        <f t="shared" si="3747"/>
        <v/>
      </c>
      <c r="EB284" s="44" t="str">
        <f t="shared" si="3748"/>
        <v/>
      </c>
      <c r="EC284" s="44" t="str">
        <f t="shared" si="3749"/>
        <v/>
      </c>
      <c r="ED284" s="44" t="str">
        <f t="shared" si="3750"/>
        <v/>
      </c>
      <c r="EE284" s="44" t="str">
        <f t="shared" si="3751"/>
        <v/>
      </c>
      <c r="EF284" s="44" t="str">
        <f t="shared" si="3752"/>
        <v/>
      </c>
      <c r="EG284" s="44" t="str">
        <f t="shared" si="3753"/>
        <v/>
      </c>
      <c r="EH284" s="44" t="str">
        <f t="shared" si="3754"/>
        <v/>
      </c>
      <c r="EI284" s="44" t="str">
        <f t="shared" si="3755"/>
        <v/>
      </c>
      <c r="EJ284" s="44" t="str">
        <f t="shared" si="3756"/>
        <v/>
      </c>
      <c r="EK284" s="44" t="str">
        <f t="shared" si="3757"/>
        <v/>
      </c>
      <c r="EL284" s="44" t="str">
        <f t="shared" si="3758"/>
        <v/>
      </c>
      <c r="EM284" s="44" t="str">
        <f t="shared" si="3759"/>
        <v/>
      </c>
      <c r="EN284" s="44" t="str">
        <f t="shared" si="3760"/>
        <v/>
      </c>
      <c r="EO284" s="44" t="str">
        <f t="shared" si="3761"/>
        <v/>
      </c>
      <c r="EP284" s="44" t="str">
        <f t="shared" si="3762"/>
        <v/>
      </c>
      <c r="EQ284" s="44" t="str">
        <f t="shared" si="3763"/>
        <v/>
      </c>
      <c r="ER284" s="44" t="str">
        <f t="shared" si="3764"/>
        <v/>
      </c>
      <c r="ES284" s="44" t="str">
        <f t="shared" si="3765"/>
        <v/>
      </c>
      <c r="ET284" s="44" t="str">
        <f t="shared" si="3766"/>
        <v/>
      </c>
      <c r="EU284" s="44" t="str">
        <f t="shared" si="3767"/>
        <v/>
      </c>
      <c r="EV284" s="44" t="str">
        <f t="shared" si="3768"/>
        <v/>
      </c>
      <c r="EW284" s="44" t="str">
        <f t="shared" si="3769"/>
        <v/>
      </c>
      <c r="EX284" s="44" t="str">
        <f t="shared" si="3770"/>
        <v/>
      </c>
      <c r="EY284" s="44" t="str">
        <f t="shared" si="3771"/>
        <v/>
      </c>
      <c r="EZ284" s="44" t="str">
        <f t="shared" si="3772"/>
        <v/>
      </c>
      <c r="FA284" s="44" t="str">
        <f t="shared" si="3773"/>
        <v/>
      </c>
      <c r="FB284" s="44" t="str">
        <f t="shared" si="3774"/>
        <v/>
      </c>
      <c r="FC284" s="44" t="str">
        <f t="shared" si="3775"/>
        <v/>
      </c>
      <c r="FD284" s="44" t="str">
        <f t="shared" si="3776"/>
        <v/>
      </c>
      <c r="FE284" s="44" t="str">
        <f t="shared" si="3777"/>
        <v/>
      </c>
      <c r="FF284" s="44" t="str">
        <f t="shared" si="3778"/>
        <v/>
      </c>
      <c r="FG284" s="44" t="str">
        <f t="shared" si="3779"/>
        <v/>
      </c>
      <c r="FH284" s="44" t="str">
        <f t="shared" si="3780"/>
        <v/>
      </c>
      <c r="FI284" s="44" t="str">
        <f t="shared" si="3781"/>
        <v/>
      </c>
      <c r="FJ284" s="44" t="str">
        <f t="shared" si="3782"/>
        <v/>
      </c>
      <c r="FK284" s="44" t="str">
        <f t="shared" si="3783"/>
        <v/>
      </c>
      <c r="FL284" s="44" t="str">
        <f t="shared" si="3784"/>
        <v/>
      </c>
      <c r="FM284" s="44" t="str">
        <f t="shared" si="3785"/>
        <v/>
      </c>
      <c r="FN284" s="44" t="str">
        <f t="shared" si="3786"/>
        <v/>
      </c>
      <c r="FO284" s="44" t="str">
        <f t="shared" si="3787"/>
        <v/>
      </c>
      <c r="FP284" s="44" t="str">
        <f t="shared" si="3788"/>
        <v/>
      </c>
      <c r="FQ284" s="44" t="str">
        <f t="shared" si="3789"/>
        <v/>
      </c>
      <c r="FR284" s="44" t="str">
        <f t="shared" si="3790"/>
        <v/>
      </c>
      <c r="FS284" s="44" t="str">
        <f t="shared" si="3791"/>
        <v/>
      </c>
    </row>
    <row r="285" spans="92:175">
      <c r="CN285" s="13" t="str">
        <f t="shared" si="3716"/>
        <v>InitUnitState('',,,,,,,,,,)</v>
      </c>
      <c r="CO285" s="13" t="str">
        <f t="shared" si="3717"/>
        <v>InitUnitNormal('',,,,,,,,,,)</v>
      </c>
      <c r="CP285" s="13" t="str">
        <f t="shared" si="3718"/>
        <v>InitUnitMagic('',,,,,,,,,,)</v>
      </c>
      <c r="CQ285" s="13" t="str">
        <f t="shared" si="3719"/>
        <v>InitUnitAdd('',,,,,,,,,,)</v>
      </c>
      <c r="CR285" s="13" t="str">
        <f t="shared" si="3720"/>
        <v>InitEquipData('',,"",,,,,'','','','','','',"")</v>
      </c>
      <c r="CU285" s="6" t="str">
        <f t="shared" si="3721"/>
        <v>|n</v>
      </c>
      <c r="CW285" s="7"/>
      <c r="CX285" s="7"/>
      <c r="CY285" s="7"/>
      <c r="CZ285" s="7"/>
      <c r="DA285" s="7"/>
      <c r="DB285" s="44" t="str">
        <f t="shared" si="3722"/>
        <v/>
      </c>
      <c r="DC285" s="44" t="str">
        <f t="shared" si="3723"/>
        <v/>
      </c>
      <c r="DD285" s="44" t="str">
        <f t="shared" si="3724"/>
        <v/>
      </c>
      <c r="DE285" s="44" t="str">
        <f t="shared" si="3725"/>
        <v/>
      </c>
      <c r="DF285" s="44" t="str">
        <f t="shared" si="3726"/>
        <v/>
      </c>
      <c r="DG285" s="44" t="str">
        <f t="shared" si="3727"/>
        <v/>
      </c>
      <c r="DH285" s="44" t="str">
        <f t="shared" si="3728"/>
        <v/>
      </c>
      <c r="DI285" s="44" t="str">
        <f t="shared" si="3729"/>
        <v/>
      </c>
      <c r="DJ285" s="44" t="str">
        <f t="shared" si="3730"/>
        <v/>
      </c>
      <c r="DK285" s="44" t="str">
        <f t="shared" si="3731"/>
        <v/>
      </c>
      <c r="DL285" s="44" t="str">
        <f t="shared" si="3732"/>
        <v/>
      </c>
      <c r="DM285" s="44" t="str">
        <f t="shared" si="3733"/>
        <v/>
      </c>
      <c r="DN285" s="44" t="str">
        <f t="shared" si="3734"/>
        <v/>
      </c>
      <c r="DO285" s="44" t="str">
        <f t="shared" si="3735"/>
        <v/>
      </c>
      <c r="DP285" s="44" t="str">
        <f t="shared" si="3736"/>
        <v/>
      </c>
      <c r="DQ285" s="44" t="str">
        <f t="shared" si="3737"/>
        <v/>
      </c>
      <c r="DR285" s="44" t="str">
        <f t="shared" si="3738"/>
        <v/>
      </c>
      <c r="DS285" s="44" t="str">
        <f t="shared" si="3739"/>
        <v/>
      </c>
      <c r="DT285" s="44" t="str">
        <f t="shared" si="3740"/>
        <v/>
      </c>
      <c r="DU285" s="44" t="str">
        <f t="shared" si="3741"/>
        <v/>
      </c>
      <c r="DV285" s="44" t="str">
        <f t="shared" si="3742"/>
        <v/>
      </c>
      <c r="DW285" s="44" t="str">
        <f t="shared" si="3743"/>
        <v/>
      </c>
      <c r="DX285" s="44" t="str">
        <f t="shared" si="3744"/>
        <v/>
      </c>
      <c r="DY285" s="44" t="str">
        <f t="shared" si="3745"/>
        <v/>
      </c>
      <c r="DZ285" s="44" t="str">
        <f t="shared" si="3746"/>
        <v/>
      </c>
      <c r="EA285" s="44" t="str">
        <f t="shared" si="3747"/>
        <v/>
      </c>
      <c r="EB285" s="44" t="str">
        <f t="shared" si="3748"/>
        <v/>
      </c>
      <c r="EC285" s="44" t="str">
        <f t="shared" si="3749"/>
        <v/>
      </c>
      <c r="ED285" s="44" t="str">
        <f t="shared" si="3750"/>
        <v/>
      </c>
      <c r="EE285" s="44" t="str">
        <f t="shared" si="3751"/>
        <v/>
      </c>
      <c r="EF285" s="44" t="str">
        <f t="shared" si="3752"/>
        <v/>
      </c>
      <c r="EG285" s="44" t="str">
        <f t="shared" si="3753"/>
        <v/>
      </c>
      <c r="EH285" s="44" t="str">
        <f t="shared" si="3754"/>
        <v/>
      </c>
      <c r="EI285" s="44" t="str">
        <f t="shared" si="3755"/>
        <v/>
      </c>
      <c r="EJ285" s="44" t="str">
        <f t="shared" si="3756"/>
        <v/>
      </c>
      <c r="EK285" s="44" t="str">
        <f t="shared" si="3757"/>
        <v/>
      </c>
      <c r="EL285" s="44" t="str">
        <f t="shared" si="3758"/>
        <v/>
      </c>
      <c r="EM285" s="44" t="str">
        <f t="shared" si="3759"/>
        <v/>
      </c>
      <c r="EN285" s="44" t="str">
        <f t="shared" si="3760"/>
        <v/>
      </c>
      <c r="EO285" s="44" t="str">
        <f t="shared" si="3761"/>
        <v/>
      </c>
      <c r="EP285" s="44" t="str">
        <f t="shared" si="3762"/>
        <v/>
      </c>
      <c r="EQ285" s="44" t="str">
        <f t="shared" si="3763"/>
        <v/>
      </c>
      <c r="ER285" s="44" t="str">
        <f t="shared" si="3764"/>
        <v/>
      </c>
      <c r="ES285" s="44" t="str">
        <f t="shared" si="3765"/>
        <v/>
      </c>
      <c r="ET285" s="44" t="str">
        <f t="shared" si="3766"/>
        <v/>
      </c>
      <c r="EU285" s="44" t="str">
        <f t="shared" si="3767"/>
        <v/>
      </c>
      <c r="EV285" s="44" t="str">
        <f t="shared" si="3768"/>
        <v/>
      </c>
      <c r="EW285" s="44" t="str">
        <f t="shared" si="3769"/>
        <v/>
      </c>
      <c r="EX285" s="44" t="str">
        <f t="shared" si="3770"/>
        <v/>
      </c>
      <c r="EY285" s="44" t="str">
        <f t="shared" si="3771"/>
        <v/>
      </c>
      <c r="EZ285" s="44" t="str">
        <f t="shared" si="3772"/>
        <v/>
      </c>
      <c r="FA285" s="44" t="str">
        <f t="shared" si="3773"/>
        <v/>
      </c>
      <c r="FB285" s="44" t="str">
        <f t="shared" si="3774"/>
        <v/>
      </c>
      <c r="FC285" s="44" t="str">
        <f t="shared" si="3775"/>
        <v/>
      </c>
      <c r="FD285" s="44" t="str">
        <f t="shared" si="3776"/>
        <v/>
      </c>
      <c r="FE285" s="44" t="str">
        <f t="shared" si="3777"/>
        <v/>
      </c>
      <c r="FF285" s="44" t="str">
        <f t="shared" si="3778"/>
        <v/>
      </c>
      <c r="FG285" s="44" t="str">
        <f t="shared" si="3779"/>
        <v/>
      </c>
      <c r="FH285" s="44" t="str">
        <f t="shared" si="3780"/>
        <v/>
      </c>
      <c r="FI285" s="44" t="str">
        <f t="shared" si="3781"/>
        <v/>
      </c>
      <c r="FJ285" s="44" t="str">
        <f t="shared" si="3782"/>
        <v/>
      </c>
      <c r="FK285" s="44" t="str">
        <f t="shared" si="3783"/>
        <v/>
      </c>
      <c r="FL285" s="44" t="str">
        <f t="shared" si="3784"/>
        <v/>
      </c>
      <c r="FM285" s="44" t="str">
        <f t="shared" si="3785"/>
        <v/>
      </c>
      <c r="FN285" s="44" t="str">
        <f t="shared" si="3786"/>
        <v/>
      </c>
      <c r="FO285" s="44" t="str">
        <f t="shared" si="3787"/>
        <v/>
      </c>
      <c r="FP285" s="44" t="str">
        <f t="shared" si="3788"/>
        <v/>
      </c>
      <c r="FQ285" s="44" t="str">
        <f t="shared" si="3789"/>
        <v/>
      </c>
      <c r="FR285" s="44" t="str">
        <f t="shared" si="3790"/>
        <v/>
      </c>
      <c r="FS285" s="44" t="str">
        <f t="shared" si="3791"/>
        <v/>
      </c>
    </row>
    <row r="286" spans="92:175">
      <c r="CN286" s="13" t="str">
        <f t="shared" si="3716"/>
        <v>InitUnitState('',,,,,,,,,,)</v>
      </c>
      <c r="CO286" s="13" t="str">
        <f t="shared" si="3717"/>
        <v>InitUnitNormal('',,,,,,,,,,)</v>
      </c>
      <c r="CP286" s="13" t="str">
        <f t="shared" si="3718"/>
        <v>InitUnitMagic('',,,,,,,,,,)</v>
      </c>
      <c r="CQ286" s="13" t="str">
        <f t="shared" si="3719"/>
        <v>InitUnitAdd('',,,,,,,,,,)</v>
      </c>
      <c r="CR286" s="13" t="str">
        <f t="shared" si="3720"/>
        <v>InitEquipData('',,"",,,,,'','','','','','',"")</v>
      </c>
      <c r="CU286" s="6" t="str">
        <f t="shared" si="3721"/>
        <v>|n</v>
      </c>
      <c r="CW286" s="7"/>
      <c r="CX286" s="7"/>
      <c r="CY286" s="7"/>
      <c r="CZ286" s="7"/>
      <c r="DA286" s="7"/>
      <c r="DB286" s="44" t="str">
        <f t="shared" si="3722"/>
        <v/>
      </c>
      <c r="DC286" s="44" t="str">
        <f t="shared" si="3723"/>
        <v/>
      </c>
      <c r="DD286" s="44" t="str">
        <f t="shared" si="3724"/>
        <v/>
      </c>
      <c r="DE286" s="44" t="str">
        <f t="shared" si="3725"/>
        <v/>
      </c>
      <c r="DF286" s="44" t="str">
        <f t="shared" si="3726"/>
        <v/>
      </c>
      <c r="DG286" s="44" t="str">
        <f t="shared" si="3727"/>
        <v/>
      </c>
      <c r="DH286" s="44" t="str">
        <f t="shared" si="3728"/>
        <v/>
      </c>
      <c r="DI286" s="44" t="str">
        <f t="shared" si="3729"/>
        <v/>
      </c>
      <c r="DJ286" s="44" t="str">
        <f t="shared" si="3730"/>
        <v/>
      </c>
      <c r="DK286" s="44" t="str">
        <f t="shared" si="3731"/>
        <v/>
      </c>
      <c r="DL286" s="44" t="str">
        <f t="shared" si="3732"/>
        <v/>
      </c>
      <c r="DM286" s="44" t="str">
        <f t="shared" si="3733"/>
        <v/>
      </c>
      <c r="DN286" s="44" t="str">
        <f t="shared" si="3734"/>
        <v/>
      </c>
      <c r="DO286" s="44" t="str">
        <f t="shared" si="3735"/>
        <v/>
      </c>
      <c r="DP286" s="44" t="str">
        <f t="shared" si="3736"/>
        <v/>
      </c>
      <c r="DQ286" s="44" t="str">
        <f t="shared" si="3737"/>
        <v/>
      </c>
      <c r="DR286" s="44" t="str">
        <f t="shared" si="3738"/>
        <v/>
      </c>
      <c r="DS286" s="44" t="str">
        <f t="shared" si="3739"/>
        <v/>
      </c>
      <c r="DT286" s="44" t="str">
        <f t="shared" si="3740"/>
        <v/>
      </c>
      <c r="DU286" s="44" t="str">
        <f t="shared" si="3741"/>
        <v/>
      </c>
      <c r="DV286" s="44" t="str">
        <f t="shared" si="3742"/>
        <v/>
      </c>
      <c r="DW286" s="44" t="str">
        <f t="shared" si="3743"/>
        <v/>
      </c>
      <c r="DX286" s="44" t="str">
        <f t="shared" si="3744"/>
        <v/>
      </c>
      <c r="DY286" s="44" t="str">
        <f t="shared" si="3745"/>
        <v/>
      </c>
      <c r="DZ286" s="44" t="str">
        <f t="shared" si="3746"/>
        <v/>
      </c>
      <c r="EA286" s="44" t="str">
        <f t="shared" si="3747"/>
        <v/>
      </c>
      <c r="EB286" s="44" t="str">
        <f t="shared" si="3748"/>
        <v/>
      </c>
      <c r="EC286" s="44" t="str">
        <f t="shared" si="3749"/>
        <v/>
      </c>
      <c r="ED286" s="44" t="str">
        <f t="shared" si="3750"/>
        <v/>
      </c>
      <c r="EE286" s="44" t="str">
        <f t="shared" si="3751"/>
        <v/>
      </c>
      <c r="EF286" s="44" t="str">
        <f t="shared" si="3752"/>
        <v/>
      </c>
      <c r="EG286" s="44" t="str">
        <f t="shared" si="3753"/>
        <v/>
      </c>
      <c r="EH286" s="44" t="str">
        <f t="shared" si="3754"/>
        <v/>
      </c>
      <c r="EI286" s="44" t="str">
        <f t="shared" si="3755"/>
        <v/>
      </c>
      <c r="EJ286" s="44" t="str">
        <f t="shared" si="3756"/>
        <v/>
      </c>
      <c r="EK286" s="44" t="str">
        <f t="shared" si="3757"/>
        <v/>
      </c>
      <c r="EL286" s="44" t="str">
        <f t="shared" si="3758"/>
        <v/>
      </c>
      <c r="EM286" s="44" t="str">
        <f t="shared" si="3759"/>
        <v/>
      </c>
      <c r="EN286" s="44" t="str">
        <f t="shared" si="3760"/>
        <v/>
      </c>
      <c r="EO286" s="44" t="str">
        <f t="shared" si="3761"/>
        <v/>
      </c>
      <c r="EP286" s="44" t="str">
        <f t="shared" si="3762"/>
        <v/>
      </c>
      <c r="EQ286" s="44" t="str">
        <f t="shared" si="3763"/>
        <v/>
      </c>
      <c r="ER286" s="44" t="str">
        <f t="shared" si="3764"/>
        <v/>
      </c>
      <c r="ES286" s="44" t="str">
        <f t="shared" si="3765"/>
        <v/>
      </c>
      <c r="ET286" s="44" t="str">
        <f t="shared" si="3766"/>
        <v/>
      </c>
      <c r="EU286" s="44" t="str">
        <f t="shared" si="3767"/>
        <v/>
      </c>
      <c r="EV286" s="44" t="str">
        <f t="shared" si="3768"/>
        <v/>
      </c>
      <c r="EW286" s="44" t="str">
        <f t="shared" si="3769"/>
        <v/>
      </c>
      <c r="EX286" s="44" t="str">
        <f t="shared" si="3770"/>
        <v/>
      </c>
      <c r="EY286" s="44" t="str">
        <f t="shared" si="3771"/>
        <v/>
      </c>
      <c r="EZ286" s="44" t="str">
        <f t="shared" si="3772"/>
        <v/>
      </c>
      <c r="FA286" s="44" t="str">
        <f t="shared" si="3773"/>
        <v/>
      </c>
      <c r="FB286" s="44" t="str">
        <f t="shared" si="3774"/>
        <v/>
      </c>
      <c r="FC286" s="44" t="str">
        <f t="shared" si="3775"/>
        <v/>
      </c>
      <c r="FD286" s="44" t="str">
        <f t="shared" si="3776"/>
        <v/>
      </c>
      <c r="FE286" s="44" t="str">
        <f t="shared" si="3777"/>
        <v/>
      </c>
      <c r="FF286" s="44" t="str">
        <f t="shared" si="3778"/>
        <v/>
      </c>
      <c r="FG286" s="44" t="str">
        <f t="shared" si="3779"/>
        <v/>
      </c>
      <c r="FH286" s="44" t="str">
        <f t="shared" si="3780"/>
        <v/>
      </c>
      <c r="FI286" s="44" t="str">
        <f t="shared" si="3781"/>
        <v/>
      </c>
      <c r="FJ286" s="44" t="str">
        <f t="shared" si="3782"/>
        <v/>
      </c>
      <c r="FK286" s="44" t="str">
        <f t="shared" si="3783"/>
        <v/>
      </c>
      <c r="FL286" s="44" t="str">
        <f t="shared" si="3784"/>
        <v/>
      </c>
      <c r="FM286" s="44" t="str">
        <f t="shared" si="3785"/>
        <v/>
      </c>
      <c r="FN286" s="44" t="str">
        <f t="shared" si="3786"/>
        <v/>
      </c>
      <c r="FO286" s="44" t="str">
        <f t="shared" si="3787"/>
        <v/>
      </c>
      <c r="FP286" s="44" t="str">
        <f t="shared" si="3788"/>
        <v/>
      </c>
      <c r="FQ286" s="44" t="str">
        <f t="shared" si="3789"/>
        <v/>
      </c>
      <c r="FR286" s="44" t="str">
        <f t="shared" si="3790"/>
        <v/>
      </c>
      <c r="FS286" s="44" t="str">
        <f t="shared" si="3791"/>
        <v/>
      </c>
    </row>
    <row r="287" spans="92:175">
      <c r="CN287" s="13" t="str">
        <f t="shared" si="3716"/>
        <v>InitUnitState('',,,,,,,,,,)</v>
      </c>
      <c r="CO287" s="13" t="str">
        <f t="shared" si="3717"/>
        <v>InitUnitNormal('',,,,,,,,,,)</v>
      </c>
      <c r="CP287" s="13" t="str">
        <f t="shared" si="3718"/>
        <v>InitUnitMagic('',,,,,,,,,,)</v>
      </c>
      <c r="CQ287" s="13" t="str">
        <f t="shared" si="3719"/>
        <v>InitUnitAdd('',,,,,,,,,,)</v>
      </c>
      <c r="CR287" s="13" t="str">
        <f t="shared" si="3720"/>
        <v>InitEquipData('',,"",,,,,'','','','','','',"")</v>
      </c>
      <c r="CU287" s="6" t="str">
        <f t="shared" si="3721"/>
        <v>|n</v>
      </c>
      <c r="CW287" s="7"/>
      <c r="CX287" s="7"/>
      <c r="CY287" s="7"/>
      <c r="CZ287" s="7"/>
      <c r="DA287" s="7"/>
      <c r="DB287" s="44" t="str">
        <f t="shared" si="3722"/>
        <v/>
      </c>
      <c r="DC287" s="44" t="str">
        <f t="shared" si="3723"/>
        <v/>
      </c>
      <c r="DD287" s="44" t="str">
        <f t="shared" si="3724"/>
        <v/>
      </c>
      <c r="DE287" s="44" t="str">
        <f t="shared" si="3725"/>
        <v/>
      </c>
      <c r="DF287" s="44" t="str">
        <f t="shared" si="3726"/>
        <v/>
      </c>
      <c r="DG287" s="44" t="str">
        <f t="shared" si="3727"/>
        <v/>
      </c>
      <c r="DH287" s="44" t="str">
        <f t="shared" si="3728"/>
        <v/>
      </c>
      <c r="DI287" s="44" t="str">
        <f t="shared" si="3729"/>
        <v/>
      </c>
      <c r="DJ287" s="44" t="str">
        <f t="shared" si="3730"/>
        <v/>
      </c>
      <c r="DK287" s="44" t="str">
        <f t="shared" si="3731"/>
        <v/>
      </c>
      <c r="DL287" s="44" t="str">
        <f t="shared" si="3732"/>
        <v/>
      </c>
      <c r="DM287" s="44" t="str">
        <f t="shared" si="3733"/>
        <v/>
      </c>
      <c r="DN287" s="44" t="str">
        <f t="shared" si="3734"/>
        <v/>
      </c>
      <c r="DO287" s="44" t="str">
        <f t="shared" si="3735"/>
        <v/>
      </c>
      <c r="DP287" s="44" t="str">
        <f t="shared" si="3736"/>
        <v/>
      </c>
      <c r="DQ287" s="44" t="str">
        <f t="shared" si="3737"/>
        <v/>
      </c>
      <c r="DR287" s="44" t="str">
        <f t="shared" si="3738"/>
        <v/>
      </c>
      <c r="DS287" s="44" t="str">
        <f t="shared" si="3739"/>
        <v/>
      </c>
      <c r="DT287" s="44" t="str">
        <f t="shared" si="3740"/>
        <v/>
      </c>
      <c r="DU287" s="44" t="str">
        <f t="shared" si="3741"/>
        <v/>
      </c>
      <c r="DV287" s="44" t="str">
        <f t="shared" si="3742"/>
        <v/>
      </c>
      <c r="DW287" s="44" t="str">
        <f t="shared" si="3743"/>
        <v/>
      </c>
      <c r="DX287" s="44" t="str">
        <f t="shared" si="3744"/>
        <v/>
      </c>
      <c r="DY287" s="44" t="str">
        <f t="shared" si="3745"/>
        <v/>
      </c>
      <c r="DZ287" s="44" t="str">
        <f t="shared" si="3746"/>
        <v/>
      </c>
      <c r="EA287" s="44" t="str">
        <f t="shared" si="3747"/>
        <v/>
      </c>
      <c r="EB287" s="44" t="str">
        <f t="shared" si="3748"/>
        <v/>
      </c>
      <c r="EC287" s="44" t="str">
        <f t="shared" si="3749"/>
        <v/>
      </c>
      <c r="ED287" s="44" t="str">
        <f t="shared" si="3750"/>
        <v/>
      </c>
      <c r="EE287" s="44" t="str">
        <f t="shared" si="3751"/>
        <v/>
      </c>
      <c r="EF287" s="44" t="str">
        <f t="shared" si="3752"/>
        <v/>
      </c>
      <c r="EG287" s="44" t="str">
        <f t="shared" si="3753"/>
        <v/>
      </c>
      <c r="EH287" s="44" t="str">
        <f t="shared" si="3754"/>
        <v/>
      </c>
      <c r="EI287" s="44" t="str">
        <f t="shared" si="3755"/>
        <v/>
      </c>
      <c r="EJ287" s="44" t="str">
        <f t="shared" si="3756"/>
        <v/>
      </c>
      <c r="EK287" s="44" t="str">
        <f t="shared" si="3757"/>
        <v/>
      </c>
      <c r="EL287" s="44" t="str">
        <f t="shared" si="3758"/>
        <v/>
      </c>
      <c r="EM287" s="44" t="str">
        <f t="shared" si="3759"/>
        <v/>
      </c>
      <c r="EN287" s="44" t="str">
        <f t="shared" si="3760"/>
        <v/>
      </c>
      <c r="EO287" s="44" t="str">
        <f t="shared" si="3761"/>
        <v/>
      </c>
      <c r="EP287" s="44" t="str">
        <f t="shared" si="3762"/>
        <v/>
      </c>
      <c r="EQ287" s="44" t="str">
        <f t="shared" si="3763"/>
        <v/>
      </c>
      <c r="ER287" s="44" t="str">
        <f t="shared" si="3764"/>
        <v/>
      </c>
      <c r="ES287" s="44" t="str">
        <f t="shared" si="3765"/>
        <v/>
      </c>
      <c r="ET287" s="44" t="str">
        <f t="shared" si="3766"/>
        <v/>
      </c>
      <c r="EU287" s="44" t="str">
        <f t="shared" si="3767"/>
        <v/>
      </c>
      <c r="EV287" s="44" t="str">
        <f t="shared" si="3768"/>
        <v/>
      </c>
      <c r="EW287" s="44" t="str">
        <f t="shared" si="3769"/>
        <v/>
      </c>
      <c r="EX287" s="44" t="str">
        <f t="shared" si="3770"/>
        <v/>
      </c>
      <c r="EY287" s="44" t="str">
        <f t="shared" si="3771"/>
        <v/>
      </c>
      <c r="EZ287" s="44" t="str">
        <f t="shared" si="3772"/>
        <v/>
      </c>
      <c r="FA287" s="44" t="str">
        <f t="shared" si="3773"/>
        <v/>
      </c>
      <c r="FB287" s="44" t="str">
        <f t="shared" si="3774"/>
        <v/>
      </c>
      <c r="FC287" s="44" t="str">
        <f t="shared" si="3775"/>
        <v/>
      </c>
      <c r="FD287" s="44" t="str">
        <f t="shared" si="3776"/>
        <v/>
      </c>
      <c r="FE287" s="44" t="str">
        <f t="shared" si="3777"/>
        <v/>
      </c>
      <c r="FF287" s="44" t="str">
        <f t="shared" si="3778"/>
        <v/>
      </c>
      <c r="FG287" s="44" t="str">
        <f t="shared" si="3779"/>
        <v/>
      </c>
      <c r="FH287" s="44" t="str">
        <f t="shared" si="3780"/>
        <v/>
      </c>
      <c r="FI287" s="44" t="str">
        <f t="shared" si="3781"/>
        <v/>
      </c>
      <c r="FJ287" s="44" t="str">
        <f t="shared" si="3782"/>
        <v/>
      </c>
      <c r="FK287" s="44" t="str">
        <f t="shared" si="3783"/>
        <v/>
      </c>
      <c r="FL287" s="44" t="str">
        <f t="shared" si="3784"/>
        <v/>
      </c>
      <c r="FM287" s="44" t="str">
        <f t="shared" si="3785"/>
        <v/>
      </c>
      <c r="FN287" s="44" t="str">
        <f t="shared" si="3786"/>
        <v/>
      </c>
      <c r="FO287" s="44" t="str">
        <f t="shared" si="3787"/>
        <v/>
      </c>
      <c r="FP287" s="44" t="str">
        <f t="shared" si="3788"/>
        <v/>
      </c>
      <c r="FQ287" s="44" t="str">
        <f t="shared" si="3789"/>
        <v/>
      </c>
      <c r="FR287" s="44" t="str">
        <f t="shared" si="3790"/>
        <v/>
      </c>
      <c r="FS287" s="44" t="str">
        <f t="shared" si="3791"/>
        <v/>
      </c>
    </row>
    <row r="288" spans="92:175">
      <c r="CN288" s="13" t="str">
        <f t="shared" si="3716"/>
        <v>InitUnitState('',,,,,,,,,,)</v>
      </c>
      <c r="CO288" s="13" t="str">
        <f t="shared" si="3717"/>
        <v>InitUnitNormal('',,,,,,,,,,)</v>
      </c>
      <c r="CP288" s="13" t="str">
        <f t="shared" si="3718"/>
        <v>InitUnitMagic('',,,,,,,,,,)</v>
      </c>
      <c r="CQ288" s="13" t="str">
        <f t="shared" si="3719"/>
        <v>InitUnitAdd('',,,,,,,,,,)</v>
      </c>
      <c r="CR288" s="13" t="str">
        <f t="shared" si="3720"/>
        <v>InitEquipData('',,"",,,,,'','','','','','',"")</v>
      </c>
      <c r="CU288" s="6" t="str">
        <f t="shared" si="3721"/>
        <v>|n</v>
      </c>
      <c r="CW288" s="7"/>
      <c r="CX288" s="7"/>
      <c r="CY288" s="7"/>
      <c r="CZ288" s="7"/>
      <c r="DA288" s="7"/>
      <c r="DB288" s="44" t="str">
        <f t="shared" si="3722"/>
        <v/>
      </c>
      <c r="DC288" s="44" t="str">
        <f t="shared" si="3723"/>
        <v/>
      </c>
      <c r="DD288" s="44" t="str">
        <f t="shared" si="3724"/>
        <v/>
      </c>
      <c r="DE288" s="44" t="str">
        <f t="shared" si="3725"/>
        <v/>
      </c>
      <c r="DF288" s="44" t="str">
        <f t="shared" si="3726"/>
        <v/>
      </c>
      <c r="DG288" s="44" t="str">
        <f t="shared" si="3727"/>
        <v/>
      </c>
      <c r="DH288" s="44" t="str">
        <f t="shared" si="3728"/>
        <v/>
      </c>
      <c r="DI288" s="44" t="str">
        <f t="shared" si="3729"/>
        <v/>
      </c>
      <c r="DJ288" s="44" t="str">
        <f t="shared" si="3730"/>
        <v/>
      </c>
      <c r="DK288" s="44" t="str">
        <f t="shared" si="3731"/>
        <v/>
      </c>
      <c r="DL288" s="44" t="str">
        <f t="shared" si="3732"/>
        <v/>
      </c>
      <c r="DM288" s="44" t="str">
        <f t="shared" si="3733"/>
        <v/>
      </c>
      <c r="DN288" s="44" t="str">
        <f t="shared" si="3734"/>
        <v/>
      </c>
      <c r="DO288" s="44" t="str">
        <f t="shared" si="3735"/>
        <v/>
      </c>
      <c r="DP288" s="44" t="str">
        <f t="shared" si="3736"/>
        <v/>
      </c>
      <c r="DQ288" s="44" t="str">
        <f t="shared" si="3737"/>
        <v/>
      </c>
      <c r="DR288" s="44" t="str">
        <f t="shared" si="3738"/>
        <v/>
      </c>
      <c r="DS288" s="44" t="str">
        <f t="shared" si="3739"/>
        <v/>
      </c>
      <c r="DT288" s="44" t="str">
        <f t="shared" si="3740"/>
        <v/>
      </c>
      <c r="DU288" s="44" t="str">
        <f t="shared" si="3741"/>
        <v/>
      </c>
      <c r="DV288" s="44" t="str">
        <f t="shared" si="3742"/>
        <v/>
      </c>
      <c r="DW288" s="44" t="str">
        <f t="shared" si="3743"/>
        <v/>
      </c>
      <c r="DX288" s="44" t="str">
        <f t="shared" si="3744"/>
        <v/>
      </c>
      <c r="DY288" s="44" t="str">
        <f t="shared" si="3745"/>
        <v/>
      </c>
      <c r="DZ288" s="44" t="str">
        <f t="shared" si="3746"/>
        <v/>
      </c>
      <c r="EA288" s="44" t="str">
        <f t="shared" si="3747"/>
        <v/>
      </c>
      <c r="EB288" s="44" t="str">
        <f t="shared" si="3748"/>
        <v/>
      </c>
      <c r="EC288" s="44" t="str">
        <f t="shared" si="3749"/>
        <v/>
      </c>
      <c r="ED288" s="44" t="str">
        <f t="shared" si="3750"/>
        <v/>
      </c>
      <c r="EE288" s="44" t="str">
        <f t="shared" si="3751"/>
        <v/>
      </c>
      <c r="EF288" s="44" t="str">
        <f t="shared" si="3752"/>
        <v/>
      </c>
      <c r="EG288" s="44" t="str">
        <f t="shared" si="3753"/>
        <v/>
      </c>
      <c r="EH288" s="44" t="str">
        <f t="shared" si="3754"/>
        <v/>
      </c>
      <c r="EI288" s="44" t="str">
        <f t="shared" si="3755"/>
        <v/>
      </c>
      <c r="EJ288" s="44" t="str">
        <f t="shared" si="3756"/>
        <v/>
      </c>
      <c r="EK288" s="44" t="str">
        <f t="shared" si="3757"/>
        <v/>
      </c>
      <c r="EL288" s="44" t="str">
        <f t="shared" si="3758"/>
        <v/>
      </c>
      <c r="EM288" s="44" t="str">
        <f t="shared" si="3759"/>
        <v/>
      </c>
      <c r="EN288" s="44" t="str">
        <f t="shared" si="3760"/>
        <v/>
      </c>
      <c r="EO288" s="44" t="str">
        <f t="shared" si="3761"/>
        <v/>
      </c>
      <c r="EP288" s="44" t="str">
        <f t="shared" si="3762"/>
        <v/>
      </c>
      <c r="EQ288" s="44" t="str">
        <f t="shared" si="3763"/>
        <v/>
      </c>
      <c r="ER288" s="44" t="str">
        <f t="shared" si="3764"/>
        <v/>
      </c>
      <c r="ES288" s="44" t="str">
        <f t="shared" si="3765"/>
        <v/>
      </c>
      <c r="ET288" s="44" t="str">
        <f t="shared" si="3766"/>
        <v/>
      </c>
      <c r="EU288" s="44" t="str">
        <f t="shared" si="3767"/>
        <v/>
      </c>
      <c r="EV288" s="44" t="str">
        <f t="shared" si="3768"/>
        <v/>
      </c>
      <c r="EW288" s="44" t="str">
        <f t="shared" si="3769"/>
        <v/>
      </c>
      <c r="EX288" s="44" t="str">
        <f t="shared" si="3770"/>
        <v/>
      </c>
      <c r="EY288" s="44" t="str">
        <f t="shared" si="3771"/>
        <v/>
      </c>
      <c r="EZ288" s="44" t="str">
        <f t="shared" si="3772"/>
        <v/>
      </c>
      <c r="FA288" s="44" t="str">
        <f t="shared" si="3773"/>
        <v/>
      </c>
      <c r="FB288" s="44" t="str">
        <f t="shared" si="3774"/>
        <v/>
      </c>
      <c r="FC288" s="44" t="str">
        <f t="shared" si="3775"/>
        <v/>
      </c>
      <c r="FD288" s="44" t="str">
        <f t="shared" si="3776"/>
        <v/>
      </c>
      <c r="FE288" s="44" t="str">
        <f t="shared" si="3777"/>
        <v/>
      </c>
      <c r="FF288" s="44" t="str">
        <f t="shared" si="3778"/>
        <v/>
      </c>
      <c r="FG288" s="44" t="str">
        <f t="shared" si="3779"/>
        <v/>
      </c>
      <c r="FH288" s="44" t="str">
        <f t="shared" si="3780"/>
        <v/>
      </c>
      <c r="FI288" s="44" t="str">
        <f t="shared" si="3781"/>
        <v/>
      </c>
      <c r="FJ288" s="44" t="str">
        <f t="shared" si="3782"/>
        <v/>
      </c>
      <c r="FK288" s="44" t="str">
        <f t="shared" si="3783"/>
        <v/>
      </c>
      <c r="FL288" s="44" t="str">
        <f t="shared" si="3784"/>
        <v/>
      </c>
      <c r="FM288" s="44" t="str">
        <f t="shared" si="3785"/>
        <v/>
      </c>
      <c r="FN288" s="44" t="str">
        <f t="shared" si="3786"/>
        <v/>
      </c>
      <c r="FO288" s="44" t="str">
        <f t="shared" si="3787"/>
        <v/>
      </c>
      <c r="FP288" s="44" t="str">
        <f t="shared" si="3788"/>
        <v/>
      </c>
      <c r="FQ288" s="44" t="str">
        <f t="shared" si="3789"/>
        <v/>
      </c>
      <c r="FR288" s="44" t="str">
        <f t="shared" si="3790"/>
        <v/>
      </c>
      <c r="FS288" s="44" t="str">
        <f t="shared" si="3791"/>
        <v/>
      </c>
    </row>
    <row r="289" spans="92:175">
      <c r="CN289" s="13" t="str">
        <f t="shared" si="3716"/>
        <v>InitUnitState('',,,,,,,,,,)</v>
      </c>
      <c r="CO289" s="13" t="str">
        <f t="shared" si="3717"/>
        <v>InitUnitNormal('',,,,,,,,,,)</v>
      </c>
      <c r="CP289" s="13" t="str">
        <f t="shared" si="3718"/>
        <v>InitUnitMagic('',,,,,,,,,,)</v>
      </c>
      <c r="CQ289" s="13" t="str">
        <f t="shared" si="3719"/>
        <v>InitUnitAdd('',,,,,,,,,,)</v>
      </c>
      <c r="CR289" s="13" t="str">
        <f t="shared" si="3720"/>
        <v>InitEquipData('',,"",,,,,'','','','','','',"")</v>
      </c>
      <c r="CU289" s="6" t="str">
        <f t="shared" si="3721"/>
        <v>|n</v>
      </c>
      <c r="CW289" s="7"/>
      <c r="CX289" s="7"/>
      <c r="CY289" s="7"/>
      <c r="CZ289" s="7"/>
      <c r="DA289" s="7"/>
      <c r="DB289" s="44" t="str">
        <f t="shared" si="3722"/>
        <v/>
      </c>
      <c r="DC289" s="44" t="str">
        <f t="shared" si="3723"/>
        <v/>
      </c>
      <c r="DD289" s="44" t="str">
        <f t="shared" si="3724"/>
        <v/>
      </c>
      <c r="DE289" s="44" t="str">
        <f t="shared" si="3725"/>
        <v/>
      </c>
      <c r="DF289" s="44" t="str">
        <f t="shared" si="3726"/>
        <v/>
      </c>
      <c r="DG289" s="44" t="str">
        <f t="shared" si="3727"/>
        <v/>
      </c>
      <c r="DH289" s="44" t="str">
        <f t="shared" si="3728"/>
        <v/>
      </c>
      <c r="DI289" s="44" t="str">
        <f t="shared" si="3729"/>
        <v/>
      </c>
      <c r="DJ289" s="44" t="str">
        <f t="shared" si="3730"/>
        <v/>
      </c>
      <c r="DK289" s="44" t="str">
        <f t="shared" si="3731"/>
        <v/>
      </c>
      <c r="DL289" s="44" t="str">
        <f t="shared" si="3732"/>
        <v/>
      </c>
      <c r="DM289" s="44" t="str">
        <f t="shared" si="3733"/>
        <v/>
      </c>
      <c r="DN289" s="44" t="str">
        <f t="shared" si="3734"/>
        <v/>
      </c>
      <c r="DO289" s="44" t="str">
        <f t="shared" si="3735"/>
        <v/>
      </c>
      <c r="DP289" s="44" t="str">
        <f t="shared" si="3736"/>
        <v/>
      </c>
      <c r="DQ289" s="44" t="str">
        <f t="shared" si="3737"/>
        <v/>
      </c>
      <c r="DR289" s="44" t="str">
        <f t="shared" si="3738"/>
        <v/>
      </c>
      <c r="DS289" s="44" t="str">
        <f t="shared" si="3739"/>
        <v/>
      </c>
      <c r="DT289" s="44" t="str">
        <f t="shared" si="3740"/>
        <v/>
      </c>
      <c r="DU289" s="44" t="str">
        <f t="shared" si="3741"/>
        <v/>
      </c>
      <c r="DV289" s="44" t="str">
        <f t="shared" si="3742"/>
        <v/>
      </c>
      <c r="DW289" s="44" t="str">
        <f t="shared" si="3743"/>
        <v/>
      </c>
      <c r="DX289" s="44" t="str">
        <f t="shared" si="3744"/>
        <v/>
      </c>
      <c r="DY289" s="44" t="str">
        <f t="shared" si="3745"/>
        <v/>
      </c>
      <c r="DZ289" s="44" t="str">
        <f t="shared" si="3746"/>
        <v/>
      </c>
      <c r="EA289" s="44" t="str">
        <f t="shared" si="3747"/>
        <v/>
      </c>
      <c r="EB289" s="44" t="str">
        <f t="shared" si="3748"/>
        <v/>
      </c>
      <c r="EC289" s="44" t="str">
        <f t="shared" si="3749"/>
        <v/>
      </c>
      <c r="ED289" s="44" t="str">
        <f t="shared" si="3750"/>
        <v/>
      </c>
      <c r="EE289" s="44" t="str">
        <f t="shared" si="3751"/>
        <v/>
      </c>
      <c r="EF289" s="44" t="str">
        <f t="shared" si="3752"/>
        <v/>
      </c>
      <c r="EG289" s="44" t="str">
        <f t="shared" si="3753"/>
        <v/>
      </c>
      <c r="EH289" s="44" t="str">
        <f t="shared" si="3754"/>
        <v/>
      </c>
      <c r="EI289" s="44" t="str">
        <f t="shared" si="3755"/>
        <v/>
      </c>
      <c r="EJ289" s="44" t="str">
        <f t="shared" si="3756"/>
        <v/>
      </c>
      <c r="EK289" s="44" t="str">
        <f t="shared" si="3757"/>
        <v/>
      </c>
      <c r="EL289" s="44" t="str">
        <f t="shared" si="3758"/>
        <v/>
      </c>
      <c r="EM289" s="44" t="str">
        <f t="shared" si="3759"/>
        <v/>
      </c>
      <c r="EN289" s="44" t="str">
        <f t="shared" si="3760"/>
        <v/>
      </c>
      <c r="EO289" s="44" t="str">
        <f t="shared" si="3761"/>
        <v/>
      </c>
      <c r="EP289" s="44" t="str">
        <f t="shared" si="3762"/>
        <v/>
      </c>
      <c r="EQ289" s="44" t="str">
        <f t="shared" si="3763"/>
        <v/>
      </c>
      <c r="ER289" s="44" t="str">
        <f t="shared" si="3764"/>
        <v/>
      </c>
      <c r="ES289" s="44" t="str">
        <f t="shared" si="3765"/>
        <v/>
      </c>
      <c r="ET289" s="44" t="str">
        <f t="shared" si="3766"/>
        <v/>
      </c>
      <c r="EU289" s="44" t="str">
        <f t="shared" si="3767"/>
        <v/>
      </c>
      <c r="EV289" s="44" t="str">
        <f t="shared" si="3768"/>
        <v/>
      </c>
      <c r="EW289" s="44" t="str">
        <f t="shared" si="3769"/>
        <v/>
      </c>
      <c r="EX289" s="44" t="str">
        <f t="shared" si="3770"/>
        <v/>
      </c>
      <c r="EY289" s="44" t="str">
        <f t="shared" si="3771"/>
        <v/>
      </c>
      <c r="EZ289" s="44" t="str">
        <f t="shared" si="3772"/>
        <v/>
      </c>
      <c r="FA289" s="44" t="str">
        <f t="shared" si="3773"/>
        <v/>
      </c>
      <c r="FB289" s="44" t="str">
        <f t="shared" si="3774"/>
        <v/>
      </c>
      <c r="FC289" s="44" t="str">
        <f t="shared" si="3775"/>
        <v/>
      </c>
      <c r="FD289" s="44" t="str">
        <f t="shared" si="3776"/>
        <v/>
      </c>
      <c r="FE289" s="44" t="str">
        <f t="shared" si="3777"/>
        <v/>
      </c>
      <c r="FF289" s="44" t="str">
        <f t="shared" si="3778"/>
        <v/>
      </c>
      <c r="FG289" s="44" t="str">
        <f t="shared" si="3779"/>
        <v/>
      </c>
      <c r="FH289" s="44" t="str">
        <f t="shared" si="3780"/>
        <v/>
      </c>
      <c r="FI289" s="44" t="str">
        <f t="shared" si="3781"/>
        <v/>
      </c>
      <c r="FJ289" s="44" t="str">
        <f t="shared" si="3782"/>
        <v/>
      </c>
      <c r="FK289" s="44" t="str">
        <f t="shared" si="3783"/>
        <v/>
      </c>
      <c r="FL289" s="44" t="str">
        <f t="shared" si="3784"/>
        <v/>
      </c>
      <c r="FM289" s="44" t="str">
        <f t="shared" si="3785"/>
        <v/>
      </c>
      <c r="FN289" s="44" t="str">
        <f t="shared" si="3786"/>
        <v/>
      </c>
      <c r="FO289" s="44" t="str">
        <f t="shared" si="3787"/>
        <v/>
      </c>
      <c r="FP289" s="44" t="str">
        <f t="shared" si="3788"/>
        <v/>
      </c>
      <c r="FQ289" s="44" t="str">
        <f t="shared" si="3789"/>
        <v/>
      </c>
      <c r="FR289" s="44" t="str">
        <f t="shared" si="3790"/>
        <v/>
      </c>
      <c r="FS289" s="44" t="str">
        <f t="shared" si="3791"/>
        <v/>
      </c>
    </row>
    <row r="290" spans="92:175">
      <c r="CN290" s="13" t="str">
        <f t="shared" si="3716"/>
        <v>InitUnitState('',,,,,,,,,,)</v>
      </c>
      <c r="CO290" s="13" t="str">
        <f t="shared" si="3717"/>
        <v>InitUnitNormal('',,,,,,,,,,)</v>
      </c>
      <c r="CP290" s="13" t="str">
        <f t="shared" si="3718"/>
        <v>InitUnitMagic('',,,,,,,,,,)</v>
      </c>
      <c r="CQ290" s="13" t="str">
        <f t="shared" si="3719"/>
        <v>InitUnitAdd('',,,,,,,,,,)</v>
      </c>
      <c r="CR290" s="13" t="str">
        <f t="shared" si="3720"/>
        <v>InitEquipData('',,"",,,,,'','','','','','',"")</v>
      </c>
      <c r="CU290" s="6" t="str">
        <f t="shared" si="3721"/>
        <v>|n</v>
      </c>
      <c r="CW290" s="7"/>
      <c r="CX290" s="7"/>
      <c r="CY290" s="7"/>
      <c r="CZ290" s="7"/>
      <c r="DA290" s="7"/>
      <c r="DB290" s="44" t="str">
        <f t="shared" si="3722"/>
        <v/>
      </c>
      <c r="DC290" s="44" t="str">
        <f t="shared" si="3723"/>
        <v/>
      </c>
      <c r="DD290" s="44" t="str">
        <f t="shared" si="3724"/>
        <v/>
      </c>
      <c r="DE290" s="44" t="str">
        <f t="shared" si="3725"/>
        <v/>
      </c>
      <c r="DF290" s="44" t="str">
        <f t="shared" si="3726"/>
        <v/>
      </c>
      <c r="DG290" s="44" t="str">
        <f t="shared" si="3727"/>
        <v/>
      </c>
      <c r="DH290" s="44" t="str">
        <f t="shared" si="3728"/>
        <v/>
      </c>
      <c r="DI290" s="44" t="str">
        <f t="shared" si="3729"/>
        <v/>
      </c>
      <c r="DJ290" s="44" t="str">
        <f t="shared" si="3730"/>
        <v/>
      </c>
      <c r="DK290" s="44" t="str">
        <f t="shared" si="3731"/>
        <v/>
      </c>
      <c r="DL290" s="44" t="str">
        <f t="shared" si="3732"/>
        <v/>
      </c>
      <c r="DM290" s="44" t="str">
        <f t="shared" si="3733"/>
        <v/>
      </c>
      <c r="DN290" s="44" t="str">
        <f t="shared" si="3734"/>
        <v/>
      </c>
      <c r="DO290" s="44" t="str">
        <f t="shared" si="3735"/>
        <v/>
      </c>
      <c r="DP290" s="44" t="str">
        <f t="shared" si="3736"/>
        <v/>
      </c>
      <c r="DQ290" s="44" t="str">
        <f t="shared" si="3737"/>
        <v/>
      </c>
      <c r="DR290" s="44" t="str">
        <f t="shared" si="3738"/>
        <v/>
      </c>
      <c r="DS290" s="44" t="str">
        <f t="shared" si="3739"/>
        <v/>
      </c>
      <c r="DT290" s="44" t="str">
        <f t="shared" si="3740"/>
        <v/>
      </c>
      <c r="DU290" s="44" t="str">
        <f t="shared" si="3741"/>
        <v/>
      </c>
      <c r="DV290" s="44" t="str">
        <f t="shared" si="3742"/>
        <v/>
      </c>
      <c r="DW290" s="44" t="str">
        <f t="shared" si="3743"/>
        <v/>
      </c>
      <c r="DX290" s="44" t="str">
        <f t="shared" si="3744"/>
        <v/>
      </c>
      <c r="DY290" s="44" t="str">
        <f t="shared" si="3745"/>
        <v/>
      </c>
      <c r="DZ290" s="44" t="str">
        <f t="shared" si="3746"/>
        <v/>
      </c>
      <c r="EA290" s="44" t="str">
        <f t="shared" si="3747"/>
        <v/>
      </c>
      <c r="EB290" s="44" t="str">
        <f t="shared" si="3748"/>
        <v/>
      </c>
      <c r="EC290" s="44" t="str">
        <f t="shared" si="3749"/>
        <v/>
      </c>
      <c r="ED290" s="44" t="str">
        <f t="shared" si="3750"/>
        <v/>
      </c>
      <c r="EE290" s="44" t="str">
        <f t="shared" si="3751"/>
        <v/>
      </c>
      <c r="EF290" s="44" t="str">
        <f t="shared" si="3752"/>
        <v/>
      </c>
      <c r="EG290" s="44" t="str">
        <f t="shared" si="3753"/>
        <v/>
      </c>
      <c r="EH290" s="44" t="str">
        <f t="shared" si="3754"/>
        <v/>
      </c>
      <c r="EI290" s="44" t="str">
        <f t="shared" si="3755"/>
        <v/>
      </c>
      <c r="EJ290" s="44" t="str">
        <f t="shared" si="3756"/>
        <v/>
      </c>
      <c r="EK290" s="44" t="str">
        <f t="shared" si="3757"/>
        <v/>
      </c>
      <c r="EL290" s="44" t="str">
        <f t="shared" si="3758"/>
        <v/>
      </c>
      <c r="EM290" s="44" t="str">
        <f t="shared" si="3759"/>
        <v/>
      </c>
      <c r="EN290" s="44" t="str">
        <f t="shared" si="3760"/>
        <v/>
      </c>
      <c r="EO290" s="44" t="str">
        <f t="shared" si="3761"/>
        <v/>
      </c>
      <c r="EP290" s="44" t="str">
        <f t="shared" si="3762"/>
        <v/>
      </c>
      <c r="EQ290" s="44" t="str">
        <f t="shared" si="3763"/>
        <v/>
      </c>
      <c r="ER290" s="44" t="str">
        <f t="shared" si="3764"/>
        <v/>
      </c>
      <c r="ES290" s="44" t="str">
        <f t="shared" si="3765"/>
        <v/>
      </c>
      <c r="ET290" s="44" t="str">
        <f t="shared" si="3766"/>
        <v/>
      </c>
      <c r="EU290" s="44" t="str">
        <f t="shared" si="3767"/>
        <v/>
      </c>
      <c r="EV290" s="44" t="str">
        <f t="shared" si="3768"/>
        <v/>
      </c>
      <c r="EW290" s="44" t="str">
        <f t="shared" si="3769"/>
        <v/>
      </c>
      <c r="EX290" s="44" t="str">
        <f t="shared" si="3770"/>
        <v/>
      </c>
      <c r="EY290" s="44" t="str">
        <f t="shared" si="3771"/>
        <v/>
      </c>
      <c r="EZ290" s="44" t="str">
        <f t="shared" si="3772"/>
        <v/>
      </c>
      <c r="FA290" s="44" t="str">
        <f t="shared" si="3773"/>
        <v/>
      </c>
      <c r="FB290" s="44" t="str">
        <f t="shared" si="3774"/>
        <v/>
      </c>
      <c r="FC290" s="44" t="str">
        <f t="shared" si="3775"/>
        <v/>
      </c>
      <c r="FD290" s="44" t="str">
        <f t="shared" si="3776"/>
        <v/>
      </c>
      <c r="FE290" s="44" t="str">
        <f t="shared" si="3777"/>
        <v/>
      </c>
      <c r="FF290" s="44" t="str">
        <f t="shared" si="3778"/>
        <v/>
      </c>
      <c r="FG290" s="44" t="str">
        <f t="shared" si="3779"/>
        <v/>
      </c>
      <c r="FH290" s="44" t="str">
        <f t="shared" si="3780"/>
        <v/>
      </c>
      <c r="FI290" s="44" t="str">
        <f t="shared" si="3781"/>
        <v/>
      </c>
      <c r="FJ290" s="44" t="str">
        <f t="shared" si="3782"/>
        <v/>
      </c>
      <c r="FK290" s="44" t="str">
        <f t="shared" si="3783"/>
        <v/>
      </c>
      <c r="FL290" s="44" t="str">
        <f t="shared" si="3784"/>
        <v/>
      </c>
      <c r="FM290" s="44" t="str">
        <f t="shared" si="3785"/>
        <v/>
      </c>
      <c r="FN290" s="44" t="str">
        <f t="shared" si="3786"/>
        <v/>
      </c>
      <c r="FO290" s="44" t="str">
        <f t="shared" si="3787"/>
        <v/>
      </c>
      <c r="FP290" s="44" t="str">
        <f t="shared" si="3788"/>
        <v/>
      </c>
      <c r="FQ290" s="44" t="str">
        <f t="shared" si="3789"/>
        <v/>
      </c>
      <c r="FR290" s="44" t="str">
        <f t="shared" si="3790"/>
        <v/>
      </c>
      <c r="FS290" s="44" t="str">
        <f t="shared" si="3791"/>
        <v/>
      </c>
    </row>
    <row r="291" spans="92:175">
      <c r="CN291" s="13" t="str">
        <f t="shared" si="3716"/>
        <v>InitUnitState('',,,,,,,,,,)</v>
      </c>
      <c r="CO291" s="13" t="str">
        <f t="shared" si="3717"/>
        <v>InitUnitNormal('',,,,,,,,,,)</v>
      </c>
      <c r="CP291" s="13" t="str">
        <f t="shared" si="3718"/>
        <v>InitUnitMagic('',,,,,,,,,,)</v>
      </c>
      <c r="CQ291" s="13" t="str">
        <f t="shared" si="3719"/>
        <v>InitUnitAdd('',,,,,,,,,,)</v>
      </c>
      <c r="CR291" s="13" t="str">
        <f t="shared" si="3720"/>
        <v>InitEquipData('',,"",,,,,'','','','','','',"")</v>
      </c>
      <c r="CU291" s="6" t="str">
        <f t="shared" si="3721"/>
        <v>|n</v>
      </c>
      <c r="CW291" s="7"/>
      <c r="CX291" s="7"/>
      <c r="CY291" s="7"/>
      <c r="CZ291" s="7"/>
      <c r="DA291" s="7"/>
      <c r="DB291" s="44" t="str">
        <f t="shared" si="3722"/>
        <v/>
      </c>
      <c r="DC291" s="44" t="str">
        <f t="shared" si="3723"/>
        <v/>
      </c>
      <c r="DD291" s="44" t="str">
        <f t="shared" si="3724"/>
        <v/>
      </c>
      <c r="DE291" s="44" t="str">
        <f t="shared" si="3725"/>
        <v/>
      </c>
      <c r="DF291" s="44" t="str">
        <f t="shared" si="3726"/>
        <v/>
      </c>
      <c r="DG291" s="44" t="str">
        <f t="shared" si="3727"/>
        <v/>
      </c>
      <c r="DH291" s="44" t="str">
        <f t="shared" si="3728"/>
        <v/>
      </c>
      <c r="DI291" s="44" t="str">
        <f t="shared" si="3729"/>
        <v/>
      </c>
      <c r="DJ291" s="44" t="str">
        <f t="shared" si="3730"/>
        <v/>
      </c>
      <c r="DK291" s="44" t="str">
        <f t="shared" si="3731"/>
        <v/>
      </c>
      <c r="DL291" s="44" t="str">
        <f t="shared" si="3732"/>
        <v/>
      </c>
      <c r="DM291" s="44" t="str">
        <f t="shared" si="3733"/>
        <v/>
      </c>
      <c r="DN291" s="44" t="str">
        <f t="shared" si="3734"/>
        <v/>
      </c>
      <c r="DO291" s="44" t="str">
        <f t="shared" si="3735"/>
        <v/>
      </c>
      <c r="DP291" s="44" t="str">
        <f t="shared" si="3736"/>
        <v/>
      </c>
      <c r="DQ291" s="44" t="str">
        <f t="shared" si="3737"/>
        <v/>
      </c>
      <c r="DR291" s="44" t="str">
        <f t="shared" si="3738"/>
        <v/>
      </c>
      <c r="DS291" s="44" t="str">
        <f t="shared" si="3739"/>
        <v/>
      </c>
      <c r="DT291" s="44" t="str">
        <f t="shared" si="3740"/>
        <v/>
      </c>
      <c r="DU291" s="44" t="str">
        <f t="shared" si="3741"/>
        <v/>
      </c>
      <c r="DV291" s="44" t="str">
        <f t="shared" si="3742"/>
        <v/>
      </c>
      <c r="DW291" s="44" t="str">
        <f t="shared" si="3743"/>
        <v/>
      </c>
      <c r="DX291" s="44" t="str">
        <f t="shared" si="3744"/>
        <v/>
      </c>
      <c r="DY291" s="44" t="str">
        <f t="shared" si="3745"/>
        <v/>
      </c>
      <c r="DZ291" s="44" t="str">
        <f t="shared" si="3746"/>
        <v/>
      </c>
      <c r="EA291" s="44" t="str">
        <f t="shared" si="3747"/>
        <v/>
      </c>
      <c r="EB291" s="44" t="str">
        <f t="shared" si="3748"/>
        <v/>
      </c>
      <c r="EC291" s="44" t="str">
        <f t="shared" si="3749"/>
        <v/>
      </c>
      <c r="ED291" s="44" t="str">
        <f t="shared" si="3750"/>
        <v/>
      </c>
      <c r="EE291" s="44" t="str">
        <f t="shared" si="3751"/>
        <v/>
      </c>
      <c r="EF291" s="44" t="str">
        <f t="shared" si="3752"/>
        <v/>
      </c>
      <c r="EG291" s="44" t="str">
        <f t="shared" si="3753"/>
        <v/>
      </c>
      <c r="EH291" s="44" t="str">
        <f t="shared" si="3754"/>
        <v/>
      </c>
      <c r="EI291" s="44" t="str">
        <f t="shared" si="3755"/>
        <v/>
      </c>
      <c r="EJ291" s="44" t="str">
        <f t="shared" si="3756"/>
        <v/>
      </c>
      <c r="EK291" s="44" t="str">
        <f t="shared" si="3757"/>
        <v/>
      </c>
      <c r="EL291" s="44" t="str">
        <f t="shared" si="3758"/>
        <v/>
      </c>
      <c r="EM291" s="44" t="str">
        <f t="shared" si="3759"/>
        <v/>
      </c>
      <c r="EN291" s="44" t="str">
        <f t="shared" si="3760"/>
        <v/>
      </c>
      <c r="EO291" s="44" t="str">
        <f t="shared" si="3761"/>
        <v/>
      </c>
      <c r="EP291" s="44" t="str">
        <f t="shared" si="3762"/>
        <v/>
      </c>
      <c r="EQ291" s="44" t="str">
        <f t="shared" si="3763"/>
        <v/>
      </c>
      <c r="ER291" s="44" t="str">
        <f t="shared" si="3764"/>
        <v/>
      </c>
      <c r="ES291" s="44" t="str">
        <f t="shared" si="3765"/>
        <v/>
      </c>
      <c r="ET291" s="44" t="str">
        <f t="shared" si="3766"/>
        <v/>
      </c>
      <c r="EU291" s="44" t="str">
        <f t="shared" si="3767"/>
        <v/>
      </c>
      <c r="EV291" s="44" t="str">
        <f t="shared" si="3768"/>
        <v/>
      </c>
      <c r="EW291" s="44" t="str">
        <f t="shared" si="3769"/>
        <v/>
      </c>
      <c r="EX291" s="44" t="str">
        <f t="shared" si="3770"/>
        <v/>
      </c>
      <c r="EY291" s="44" t="str">
        <f t="shared" si="3771"/>
        <v/>
      </c>
      <c r="EZ291" s="44" t="str">
        <f t="shared" si="3772"/>
        <v/>
      </c>
      <c r="FA291" s="44" t="str">
        <f t="shared" si="3773"/>
        <v/>
      </c>
      <c r="FB291" s="44" t="str">
        <f t="shared" si="3774"/>
        <v/>
      </c>
      <c r="FC291" s="44" t="str">
        <f t="shared" si="3775"/>
        <v/>
      </c>
      <c r="FD291" s="44" t="str">
        <f t="shared" si="3776"/>
        <v/>
      </c>
      <c r="FE291" s="44" t="str">
        <f t="shared" si="3777"/>
        <v/>
      </c>
      <c r="FF291" s="44" t="str">
        <f t="shared" si="3778"/>
        <v/>
      </c>
      <c r="FG291" s="44" t="str">
        <f t="shared" si="3779"/>
        <v/>
      </c>
      <c r="FH291" s="44" t="str">
        <f t="shared" si="3780"/>
        <v/>
      </c>
      <c r="FI291" s="44" t="str">
        <f t="shared" si="3781"/>
        <v/>
      </c>
      <c r="FJ291" s="44" t="str">
        <f t="shared" si="3782"/>
        <v/>
      </c>
      <c r="FK291" s="44" t="str">
        <f t="shared" si="3783"/>
        <v/>
      </c>
      <c r="FL291" s="44" t="str">
        <f t="shared" si="3784"/>
        <v/>
      </c>
      <c r="FM291" s="44" t="str">
        <f t="shared" si="3785"/>
        <v/>
      </c>
      <c r="FN291" s="44" t="str">
        <f t="shared" si="3786"/>
        <v/>
      </c>
      <c r="FO291" s="44" t="str">
        <f t="shared" si="3787"/>
        <v/>
      </c>
      <c r="FP291" s="44" t="str">
        <f t="shared" si="3788"/>
        <v/>
      </c>
      <c r="FQ291" s="44" t="str">
        <f t="shared" si="3789"/>
        <v/>
      </c>
      <c r="FR291" s="44" t="str">
        <f t="shared" si="3790"/>
        <v/>
      </c>
      <c r="FS291" s="44" t="str">
        <f t="shared" si="3791"/>
        <v/>
      </c>
    </row>
    <row r="292" spans="92:175">
      <c r="CN292" s="13" t="str">
        <f t="shared" si="3716"/>
        <v>InitUnitState('',,,,,,,,,,)</v>
      </c>
      <c r="CO292" s="13" t="str">
        <f t="shared" si="3717"/>
        <v>InitUnitNormal('',,,,,,,,,,)</v>
      </c>
      <c r="CP292" s="13" t="str">
        <f t="shared" si="3718"/>
        <v>InitUnitMagic('',,,,,,,,,,)</v>
      </c>
      <c r="CQ292" s="13" t="str">
        <f t="shared" si="3719"/>
        <v>InitUnitAdd('',,,,,,,,,,)</v>
      </c>
      <c r="CR292" s="13" t="str">
        <f t="shared" si="3720"/>
        <v>InitEquipData('',,"",,,,,'','','','','','',"")</v>
      </c>
      <c r="CU292" s="6" t="str">
        <f t="shared" si="3721"/>
        <v>|n</v>
      </c>
      <c r="CW292" s="7"/>
      <c r="CX292" s="7"/>
      <c r="CY292" s="7"/>
      <c r="CZ292" s="7"/>
      <c r="DA292" s="7"/>
      <c r="DB292" s="44" t="str">
        <f t="shared" si="3722"/>
        <v/>
      </c>
      <c r="DC292" s="44" t="str">
        <f t="shared" si="3723"/>
        <v/>
      </c>
      <c r="DD292" s="44" t="str">
        <f t="shared" si="3724"/>
        <v/>
      </c>
      <c r="DE292" s="44" t="str">
        <f t="shared" si="3725"/>
        <v/>
      </c>
      <c r="DF292" s="44" t="str">
        <f t="shared" si="3726"/>
        <v/>
      </c>
      <c r="DG292" s="44" t="str">
        <f t="shared" si="3727"/>
        <v/>
      </c>
      <c r="DH292" s="44" t="str">
        <f t="shared" si="3728"/>
        <v/>
      </c>
      <c r="DI292" s="44" t="str">
        <f t="shared" si="3729"/>
        <v/>
      </c>
      <c r="DJ292" s="44" t="str">
        <f t="shared" si="3730"/>
        <v/>
      </c>
      <c r="DK292" s="44" t="str">
        <f t="shared" si="3731"/>
        <v/>
      </c>
      <c r="DL292" s="44" t="str">
        <f t="shared" si="3732"/>
        <v/>
      </c>
      <c r="DM292" s="44" t="str">
        <f t="shared" si="3733"/>
        <v/>
      </c>
      <c r="DN292" s="44" t="str">
        <f t="shared" si="3734"/>
        <v/>
      </c>
      <c r="DO292" s="44" t="str">
        <f t="shared" si="3735"/>
        <v/>
      </c>
      <c r="DP292" s="44" t="str">
        <f t="shared" si="3736"/>
        <v/>
      </c>
      <c r="DQ292" s="44" t="str">
        <f t="shared" si="3737"/>
        <v/>
      </c>
      <c r="DR292" s="44" t="str">
        <f t="shared" si="3738"/>
        <v/>
      </c>
      <c r="DS292" s="44" t="str">
        <f t="shared" si="3739"/>
        <v/>
      </c>
      <c r="DT292" s="44" t="str">
        <f t="shared" si="3740"/>
        <v/>
      </c>
      <c r="DU292" s="44" t="str">
        <f t="shared" si="3741"/>
        <v/>
      </c>
      <c r="DV292" s="44" t="str">
        <f t="shared" si="3742"/>
        <v/>
      </c>
      <c r="DW292" s="44" t="str">
        <f t="shared" si="3743"/>
        <v/>
      </c>
      <c r="DX292" s="44" t="str">
        <f t="shared" si="3744"/>
        <v/>
      </c>
      <c r="DY292" s="44" t="str">
        <f t="shared" si="3745"/>
        <v/>
      </c>
      <c r="DZ292" s="44" t="str">
        <f t="shared" si="3746"/>
        <v/>
      </c>
      <c r="EA292" s="44" t="str">
        <f t="shared" si="3747"/>
        <v/>
      </c>
      <c r="EB292" s="44" t="str">
        <f t="shared" si="3748"/>
        <v/>
      </c>
      <c r="EC292" s="44" t="str">
        <f t="shared" si="3749"/>
        <v/>
      </c>
      <c r="ED292" s="44" t="str">
        <f t="shared" si="3750"/>
        <v/>
      </c>
      <c r="EE292" s="44" t="str">
        <f t="shared" si="3751"/>
        <v/>
      </c>
      <c r="EF292" s="44" t="str">
        <f t="shared" si="3752"/>
        <v/>
      </c>
      <c r="EG292" s="44" t="str">
        <f t="shared" si="3753"/>
        <v/>
      </c>
      <c r="EH292" s="44" t="str">
        <f t="shared" si="3754"/>
        <v/>
      </c>
      <c r="EI292" s="44" t="str">
        <f t="shared" si="3755"/>
        <v/>
      </c>
      <c r="EJ292" s="44" t="str">
        <f t="shared" si="3756"/>
        <v/>
      </c>
      <c r="EK292" s="44" t="str">
        <f t="shared" si="3757"/>
        <v/>
      </c>
      <c r="EL292" s="44" t="str">
        <f t="shared" si="3758"/>
        <v/>
      </c>
      <c r="EM292" s="44" t="str">
        <f t="shared" si="3759"/>
        <v/>
      </c>
      <c r="EN292" s="44" t="str">
        <f t="shared" si="3760"/>
        <v/>
      </c>
      <c r="EO292" s="44" t="str">
        <f t="shared" si="3761"/>
        <v/>
      </c>
      <c r="EP292" s="44" t="str">
        <f t="shared" si="3762"/>
        <v/>
      </c>
      <c r="EQ292" s="44" t="str">
        <f t="shared" si="3763"/>
        <v/>
      </c>
      <c r="ER292" s="44" t="str">
        <f t="shared" si="3764"/>
        <v/>
      </c>
      <c r="ES292" s="44" t="str">
        <f t="shared" si="3765"/>
        <v/>
      </c>
      <c r="ET292" s="44" t="str">
        <f t="shared" si="3766"/>
        <v/>
      </c>
      <c r="EU292" s="44" t="str">
        <f t="shared" si="3767"/>
        <v/>
      </c>
      <c r="EV292" s="44" t="str">
        <f t="shared" si="3768"/>
        <v/>
      </c>
      <c r="EW292" s="44" t="str">
        <f t="shared" si="3769"/>
        <v/>
      </c>
      <c r="EX292" s="44" t="str">
        <f t="shared" si="3770"/>
        <v/>
      </c>
      <c r="EY292" s="44" t="str">
        <f t="shared" si="3771"/>
        <v/>
      </c>
      <c r="EZ292" s="44" t="str">
        <f t="shared" si="3772"/>
        <v/>
      </c>
      <c r="FA292" s="44" t="str">
        <f t="shared" si="3773"/>
        <v/>
      </c>
      <c r="FB292" s="44" t="str">
        <f t="shared" si="3774"/>
        <v/>
      </c>
      <c r="FC292" s="44" t="str">
        <f t="shared" si="3775"/>
        <v/>
      </c>
      <c r="FD292" s="44" t="str">
        <f t="shared" si="3776"/>
        <v/>
      </c>
      <c r="FE292" s="44" t="str">
        <f t="shared" si="3777"/>
        <v/>
      </c>
      <c r="FF292" s="44" t="str">
        <f t="shared" si="3778"/>
        <v/>
      </c>
      <c r="FG292" s="44" t="str">
        <f t="shared" si="3779"/>
        <v/>
      </c>
      <c r="FH292" s="44" t="str">
        <f t="shared" si="3780"/>
        <v/>
      </c>
      <c r="FI292" s="44" t="str">
        <f t="shared" si="3781"/>
        <v/>
      </c>
      <c r="FJ292" s="44" t="str">
        <f t="shared" si="3782"/>
        <v/>
      </c>
      <c r="FK292" s="44" t="str">
        <f t="shared" si="3783"/>
        <v/>
      </c>
      <c r="FL292" s="44" t="str">
        <f t="shared" si="3784"/>
        <v/>
      </c>
      <c r="FM292" s="44" t="str">
        <f t="shared" si="3785"/>
        <v/>
      </c>
      <c r="FN292" s="44" t="str">
        <f t="shared" si="3786"/>
        <v/>
      </c>
      <c r="FO292" s="44" t="str">
        <f t="shared" si="3787"/>
        <v/>
      </c>
      <c r="FP292" s="44" t="str">
        <f t="shared" si="3788"/>
        <v/>
      </c>
      <c r="FQ292" s="44" t="str">
        <f t="shared" si="3789"/>
        <v/>
      </c>
      <c r="FR292" s="44" t="str">
        <f t="shared" si="3790"/>
        <v/>
      </c>
      <c r="FS292" s="44" t="str">
        <f t="shared" si="3791"/>
        <v/>
      </c>
    </row>
    <row r="293" spans="92:175">
      <c r="CN293" s="13" t="str">
        <f t="shared" si="3716"/>
        <v>InitUnitState('',,,,,,,,,,)</v>
      </c>
      <c r="CO293" s="13" t="str">
        <f t="shared" si="3717"/>
        <v>InitUnitNormal('',,,,,,,,,,)</v>
      </c>
      <c r="CP293" s="13" t="str">
        <f t="shared" si="3718"/>
        <v>InitUnitMagic('',,,,,,,,,,)</v>
      </c>
      <c r="CQ293" s="13" t="str">
        <f t="shared" si="3719"/>
        <v>InitUnitAdd('',,,,,,,,,,)</v>
      </c>
      <c r="CR293" s="13" t="str">
        <f t="shared" si="3720"/>
        <v>InitEquipData('',,"",,,,,'','','','','','',"")</v>
      </c>
      <c r="CU293" s="6" t="str">
        <f t="shared" si="3721"/>
        <v>|n</v>
      </c>
      <c r="CW293" s="7"/>
      <c r="CX293" s="7"/>
      <c r="CY293" s="7"/>
      <c r="CZ293" s="7"/>
      <c r="DA293" s="7"/>
      <c r="DB293" s="44" t="str">
        <f t="shared" si="3722"/>
        <v/>
      </c>
      <c r="DC293" s="44" t="str">
        <f t="shared" si="3723"/>
        <v/>
      </c>
      <c r="DD293" s="44" t="str">
        <f t="shared" si="3724"/>
        <v/>
      </c>
      <c r="DE293" s="44" t="str">
        <f t="shared" si="3725"/>
        <v/>
      </c>
      <c r="DF293" s="44" t="str">
        <f t="shared" si="3726"/>
        <v/>
      </c>
      <c r="DG293" s="44" t="str">
        <f t="shared" si="3727"/>
        <v/>
      </c>
      <c r="DH293" s="44" t="str">
        <f t="shared" si="3728"/>
        <v/>
      </c>
      <c r="DI293" s="44" t="str">
        <f t="shared" si="3729"/>
        <v/>
      </c>
      <c r="DJ293" s="44" t="str">
        <f t="shared" si="3730"/>
        <v/>
      </c>
      <c r="DK293" s="44" t="str">
        <f t="shared" si="3731"/>
        <v/>
      </c>
      <c r="DL293" s="44" t="str">
        <f t="shared" si="3732"/>
        <v/>
      </c>
      <c r="DM293" s="44" t="str">
        <f t="shared" si="3733"/>
        <v/>
      </c>
      <c r="DN293" s="44" t="str">
        <f t="shared" si="3734"/>
        <v/>
      </c>
      <c r="DO293" s="44" t="str">
        <f t="shared" si="3735"/>
        <v/>
      </c>
      <c r="DP293" s="44" t="str">
        <f t="shared" si="3736"/>
        <v/>
      </c>
      <c r="DQ293" s="44" t="str">
        <f t="shared" si="3737"/>
        <v/>
      </c>
      <c r="DR293" s="44" t="str">
        <f t="shared" si="3738"/>
        <v/>
      </c>
      <c r="DS293" s="44" t="str">
        <f t="shared" si="3739"/>
        <v/>
      </c>
      <c r="DT293" s="44" t="str">
        <f t="shared" si="3740"/>
        <v/>
      </c>
      <c r="DU293" s="44" t="str">
        <f t="shared" si="3741"/>
        <v/>
      </c>
      <c r="DV293" s="44" t="str">
        <f t="shared" si="3742"/>
        <v/>
      </c>
      <c r="DW293" s="44" t="str">
        <f t="shared" si="3743"/>
        <v/>
      </c>
      <c r="DX293" s="44" t="str">
        <f t="shared" si="3744"/>
        <v/>
      </c>
      <c r="DY293" s="44" t="str">
        <f t="shared" si="3745"/>
        <v/>
      </c>
      <c r="DZ293" s="44" t="str">
        <f t="shared" si="3746"/>
        <v/>
      </c>
      <c r="EA293" s="44" t="str">
        <f t="shared" si="3747"/>
        <v/>
      </c>
      <c r="EB293" s="44" t="str">
        <f t="shared" si="3748"/>
        <v/>
      </c>
      <c r="EC293" s="44" t="str">
        <f t="shared" si="3749"/>
        <v/>
      </c>
      <c r="ED293" s="44" t="str">
        <f t="shared" si="3750"/>
        <v/>
      </c>
      <c r="EE293" s="44" t="str">
        <f t="shared" si="3751"/>
        <v/>
      </c>
      <c r="EF293" s="44" t="str">
        <f t="shared" si="3752"/>
        <v/>
      </c>
      <c r="EG293" s="44" t="str">
        <f t="shared" si="3753"/>
        <v/>
      </c>
      <c r="EH293" s="44" t="str">
        <f t="shared" si="3754"/>
        <v/>
      </c>
      <c r="EI293" s="44" t="str">
        <f t="shared" si="3755"/>
        <v/>
      </c>
      <c r="EJ293" s="44" t="str">
        <f t="shared" si="3756"/>
        <v/>
      </c>
      <c r="EK293" s="44" t="str">
        <f t="shared" si="3757"/>
        <v/>
      </c>
      <c r="EL293" s="44" t="str">
        <f t="shared" si="3758"/>
        <v/>
      </c>
      <c r="EM293" s="44" t="str">
        <f t="shared" si="3759"/>
        <v/>
      </c>
      <c r="EN293" s="44" t="str">
        <f t="shared" si="3760"/>
        <v/>
      </c>
      <c r="EO293" s="44" t="str">
        <f t="shared" si="3761"/>
        <v/>
      </c>
      <c r="EP293" s="44" t="str">
        <f t="shared" si="3762"/>
        <v/>
      </c>
      <c r="EQ293" s="44" t="str">
        <f t="shared" si="3763"/>
        <v/>
      </c>
      <c r="ER293" s="44" t="str">
        <f t="shared" si="3764"/>
        <v/>
      </c>
      <c r="ES293" s="44" t="str">
        <f t="shared" si="3765"/>
        <v/>
      </c>
      <c r="ET293" s="44" t="str">
        <f t="shared" si="3766"/>
        <v/>
      </c>
      <c r="EU293" s="44" t="str">
        <f t="shared" si="3767"/>
        <v/>
      </c>
      <c r="EV293" s="44" t="str">
        <f t="shared" si="3768"/>
        <v/>
      </c>
      <c r="EW293" s="44" t="str">
        <f t="shared" si="3769"/>
        <v/>
      </c>
      <c r="EX293" s="44" t="str">
        <f t="shared" si="3770"/>
        <v/>
      </c>
      <c r="EY293" s="44" t="str">
        <f t="shared" si="3771"/>
        <v/>
      </c>
      <c r="EZ293" s="44" t="str">
        <f t="shared" si="3772"/>
        <v/>
      </c>
      <c r="FA293" s="44" t="str">
        <f t="shared" si="3773"/>
        <v/>
      </c>
      <c r="FB293" s="44" t="str">
        <f t="shared" si="3774"/>
        <v/>
      </c>
      <c r="FC293" s="44" t="str">
        <f t="shared" si="3775"/>
        <v/>
      </c>
      <c r="FD293" s="44" t="str">
        <f t="shared" si="3776"/>
        <v/>
      </c>
      <c r="FE293" s="44" t="str">
        <f t="shared" si="3777"/>
        <v/>
      </c>
      <c r="FF293" s="44" t="str">
        <f t="shared" si="3778"/>
        <v/>
      </c>
      <c r="FG293" s="44" t="str">
        <f t="shared" si="3779"/>
        <v/>
      </c>
      <c r="FH293" s="44" t="str">
        <f t="shared" si="3780"/>
        <v/>
      </c>
      <c r="FI293" s="44" t="str">
        <f t="shared" si="3781"/>
        <v/>
      </c>
      <c r="FJ293" s="44" t="str">
        <f t="shared" si="3782"/>
        <v/>
      </c>
      <c r="FK293" s="44" t="str">
        <f t="shared" si="3783"/>
        <v/>
      </c>
      <c r="FL293" s="44" t="str">
        <f t="shared" si="3784"/>
        <v/>
      </c>
      <c r="FM293" s="44" t="str">
        <f t="shared" si="3785"/>
        <v/>
      </c>
      <c r="FN293" s="44" t="str">
        <f t="shared" si="3786"/>
        <v/>
      </c>
      <c r="FO293" s="44" t="str">
        <f t="shared" si="3787"/>
        <v/>
      </c>
      <c r="FP293" s="44" t="str">
        <f t="shared" si="3788"/>
        <v/>
      </c>
      <c r="FQ293" s="44" t="str">
        <f t="shared" si="3789"/>
        <v/>
      </c>
      <c r="FR293" s="44" t="str">
        <f t="shared" si="3790"/>
        <v/>
      </c>
      <c r="FS293" s="44" t="str">
        <f t="shared" si="3791"/>
        <v/>
      </c>
    </row>
    <row r="294" spans="92:175">
      <c r="CN294" s="13" t="str">
        <f t="shared" si="3716"/>
        <v>InitUnitState('',,,,,,,,,,)</v>
      </c>
      <c r="CO294" s="13" t="str">
        <f t="shared" si="3717"/>
        <v>InitUnitNormal('',,,,,,,,,,)</v>
      </c>
      <c r="CP294" s="13" t="str">
        <f t="shared" si="3718"/>
        <v>InitUnitMagic('',,,,,,,,,,)</v>
      </c>
      <c r="CQ294" s="13" t="str">
        <f t="shared" si="3719"/>
        <v>InitUnitAdd('',,,,,,,,,,)</v>
      </c>
      <c r="CR294" s="13" t="str">
        <f t="shared" si="3720"/>
        <v>InitEquipData('',,"",,,,,'','','','','','',"")</v>
      </c>
      <c r="CU294" s="6" t="str">
        <f t="shared" si="3721"/>
        <v>|n</v>
      </c>
      <c r="CW294" s="7"/>
      <c r="CX294" s="7"/>
      <c r="CY294" s="7"/>
      <c r="CZ294" s="7"/>
      <c r="DA294" s="7"/>
      <c r="DB294" s="44" t="str">
        <f t="shared" si="3722"/>
        <v/>
      </c>
      <c r="DC294" s="44" t="str">
        <f t="shared" si="3723"/>
        <v/>
      </c>
      <c r="DD294" s="44" t="str">
        <f t="shared" si="3724"/>
        <v/>
      </c>
      <c r="DE294" s="44" t="str">
        <f t="shared" si="3725"/>
        <v/>
      </c>
      <c r="DF294" s="44" t="str">
        <f t="shared" si="3726"/>
        <v/>
      </c>
      <c r="DG294" s="44" t="str">
        <f t="shared" si="3727"/>
        <v/>
      </c>
      <c r="DH294" s="44" t="str">
        <f t="shared" si="3728"/>
        <v/>
      </c>
      <c r="DI294" s="44" t="str">
        <f t="shared" si="3729"/>
        <v/>
      </c>
      <c r="DJ294" s="44" t="str">
        <f t="shared" si="3730"/>
        <v/>
      </c>
      <c r="DK294" s="44" t="str">
        <f t="shared" si="3731"/>
        <v/>
      </c>
      <c r="DL294" s="44" t="str">
        <f t="shared" si="3732"/>
        <v/>
      </c>
      <c r="DM294" s="44" t="str">
        <f t="shared" si="3733"/>
        <v/>
      </c>
      <c r="DN294" s="44" t="str">
        <f t="shared" si="3734"/>
        <v/>
      </c>
      <c r="DO294" s="44" t="str">
        <f t="shared" si="3735"/>
        <v/>
      </c>
      <c r="DP294" s="44" t="str">
        <f t="shared" si="3736"/>
        <v/>
      </c>
      <c r="DQ294" s="44" t="str">
        <f t="shared" si="3737"/>
        <v/>
      </c>
      <c r="DR294" s="44" t="str">
        <f t="shared" si="3738"/>
        <v/>
      </c>
      <c r="DS294" s="44" t="str">
        <f t="shared" si="3739"/>
        <v/>
      </c>
      <c r="DT294" s="44" t="str">
        <f t="shared" si="3740"/>
        <v/>
      </c>
      <c r="DU294" s="44" t="str">
        <f t="shared" si="3741"/>
        <v/>
      </c>
      <c r="DV294" s="44" t="str">
        <f t="shared" si="3742"/>
        <v/>
      </c>
      <c r="DW294" s="44" t="str">
        <f t="shared" si="3743"/>
        <v/>
      </c>
      <c r="DX294" s="44" t="str">
        <f t="shared" si="3744"/>
        <v/>
      </c>
      <c r="DY294" s="44" t="str">
        <f t="shared" si="3745"/>
        <v/>
      </c>
      <c r="DZ294" s="44" t="str">
        <f t="shared" si="3746"/>
        <v/>
      </c>
      <c r="EA294" s="44" t="str">
        <f t="shared" si="3747"/>
        <v/>
      </c>
      <c r="EB294" s="44" t="str">
        <f t="shared" si="3748"/>
        <v/>
      </c>
      <c r="EC294" s="44" t="str">
        <f t="shared" si="3749"/>
        <v/>
      </c>
      <c r="ED294" s="44" t="str">
        <f t="shared" si="3750"/>
        <v/>
      </c>
      <c r="EE294" s="44" t="str">
        <f t="shared" si="3751"/>
        <v/>
      </c>
      <c r="EF294" s="44" t="str">
        <f t="shared" si="3752"/>
        <v/>
      </c>
      <c r="EG294" s="44" t="str">
        <f t="shared" si="3753"/>
        <v/>
      </c>
      <c r="EH294" s="44" t="str">
        <f t="shared" si="3754"/>
        <v/>
      </c>
      <c r="EI294" s="44" t="str">
        <f t="shared" si="3755"/>
        <v/>
      </c>
      <c r="EJ294" s="44" t="str">
        <f t="shared" si="3756"/>
        <v/>
      </c>
      <c r="EK294" s="44" t="str">
        <f t="shared" si="3757"/>
        <v/>
      </c>
      <c r="EL294" s="44" t="str">
        <f t="shared" si="3758"/>
        <v/>
      </c>
      <c r="EM294" s="44" t="str">
        <f t="shared" si="3759"/>
        <v/>
      </c>
      <c r="EN294" s="44" t="str">
        <f t="shared" si="3760"/>
        <v/>
      </c>
      <c r="EO294" s="44" t="str">
        <f t="shared" si="3761"/>
        <v/>
      </c>
      <c r="EP294" s="44" t="str">
        <f t="shared" si="3762"/>
        <v/>
      </c>
      <c r="EQ294" s="44" t="str">
        <f t="shared" si="3763"/>
        <v/>
      </c>
      <c r="ER294" s="44" t="str">
        <f t="shared" si="3764"/>
        <v/>
      </c>
      <c r="ES294" s="44" t="str">
        <f t="shared" si="3765"/>
        <v/>
      </c>
      <c r="ET294" s="44" t="str">
        <f t="shared" si="3766"/>
        <v/>
      </c>
      <c r="EU294" s="44" t="str">
        <f t="shared" si="3767"/>
        <v/>
      </c>
      <c r="EV294" s="44" t="str">
        <f t="shared" si="3768"/>
        <v/>
      </c>
      <c r="EW294" s="44" t="str">
        <f t="shared" si="3769"/>
        <v/>
      </c>
      <c r="EX294" s="44" t="str">
        <f t="shared" si="3770"/>
        <v/>
      </c>
      <c r="EY294" s="44" t="str">
        <f t="shared" si="3771"/>
        <v/>
      </c>
      <c r="EZ294" s="44" t="str">
        <f t="shared" si="3772"/>
        <v/>
      </c>
      <c r="FA294" s="44" t="str">
        <f t="shared" si="3773"/>
        <v/>
      </c>
      <c r="FB294" s="44" t="str">
        <f t="shared" si="3774"/>
        <v/>
      </c>
      <c r="FC294" s="44" t="str">
        <f t="shared" si="3775"/>
        <v/>
      </c>
      <c r="FD294" s="44" t="str">
        <f t="shared" si="3776"/>
        <v/>
      </c>
      <c r="FE294" s="44" t="str">
        <f t="shared" si="3777"/>
        <v/>
      </c>
      <c r="FF294" s="44" t="str">
        <f t="shared" si="3778"/>
        <v/>
      </c>
      <c r="FG294" s="44" t="str">
        <f t="shared" si="3779"/>
        <v/>
      </c>
      <c r="FH294" s="44" t="str">
        <f t="shared" si="3780"/>
        <v/>
      </c>
      <c r="FI294" s="44" t="str">
        <f t="shared" si="3781"/>
        <v/>
      </c>
      <c r="FJ294" s="44" t="str">
        <f t="shared" si="3782"/>
        <v/>
      </c>
      <c r="FK294" s="44" t="str">
        <f t="shared" si="3783"/>
        <v/>
      </c>
      <c r="FL294" s="44" t="str">
        <f t="shared" si="3784"/>
        <v/>
      </c>
      <c r="FM294" s="44" t="str">
        <f t="shared" si="3785"/>
        <v/>
      </c>
      <c r="FN294" s="44" t="str">
        <f t="shared" si="3786"/>
        <v/>
      </c>
      <c r="FO294" s="44" t="str">
        <f t="shared" si="3787"/>
        <v/>
      </c>
      <c r="FP294" s="44" t="str">
        <f t="shared" si="3788"/>
        <v/>
      </c>
      <c r="FQ294" s="44" t="str">
        <f t="shared" si="3789"/>
        <v/>
      </c>
      <c r="FR294" s="44" t="str">
        <f t="shared" si="3790"/>
        <v/>
      </c>
      <c r="FS294" s="44" t="str">
        <f t="shared" si="3791"/>
        <v/>
      </c>
    </row>
    <row r="295" spans="92:175">
      <c r="CN295" s="13" t="str">
        <f t="shared" si="3716"/>
        <v>InitUnitState('',,,,,,,,,,)</v>
      </c>
      <c r="CO295" s="13" t="str">
        <f t="shared" si="3717"/>
        <v>InitUnitNormal('',,,,,,,,,,)</v>
      </c>
      <c r="CP295" s="13" t="str">
        <f t="shared" si="3718"/>
        <v>InitUnitMagic('',,,,,,,,,,)</v>
      </c>
      <c r="CQ295" s="13" t="str">
        <f t="shared" si="3719"/>
        <v>InitUnitAdd('',,,,,,,,,,)</v>
      </c>
      <c r="CR295" s="13" t="str">
        <f t="shared" si="3720"/>
        <v>InitEquipData('',,"",,,,,'','','','','','',"")</v>
      </c>
      <c r="CU295" s="6" t="str">
        <f t="shared" ref="CU295:CU333" si="3792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7"/>
      <c r="CX295" s="7"/>
      <c r="CY295" s="7"/>
      <c r="CZ295" s="7"/>
      <c r="DA295" s="7"/>
      <c r="DB295" s="44" t="str">
        <f t="shared" si="3722"/>
        <v/>
      </c>
      <c r="DC295" s="44" t="str">
        <f t="shared" si="3723"/>
        <v/>
      </c>
      <c r="DD295" s="44" t="str">
        <f t="shared" si="3724"/>
        <v/>
      </c>
      <c r="DE295" s="44" t="str">
        <f t="shared" si="3725"/>
        <v/>
      </c>
      <c r="DF295" s="44" t="str">
        <f t="shared" si="3726"/>
        <v/>
      </c>
      <c r="DG295" s="44" t="str">
        <f t="shared" si="3727"/>
        <v/>
      </c>
      <c r="DH295" s="44" t="str">
        <f t="shared" si="3728"/>
        <v/>
      </c>
      <c r="DI295" s="44" t="str">
        <f t="shared" si="3729"/>
        <v/>
      </c>
      <c r="DJ295" s="44" t="str">
        <f t="shared" si="3730"/>
        <v/>
      </c>
      <c r="DK295" s="44" t="str">
        <f t="shared" si="3731"/>
        <v/>
      </c>
      <c r="DL295" s="44" t="str">
        <f t="shared" si="3732"/>
        <v/>
      </c>
      <c r="DM295" s="44" t="str">
        <f t="shared" si="3733"/>
        <v/>
      </c>
      <c r="DN295" s="44" t="str">
        <f t="shared" si="3734"/>
        <v/>
      </c>
      <c r="DO295" s="44" t="str">
        <f t="shared" si="3735"/>
        <v/>
      </c>
      <c r="DP295" s="44" t="str">
        <f t="shared" si="3736"/>
        <v/>
      </c>
      <c r="DQ295" s="44" t="str">
        <f t="shared" si="3737"/>
        <v/>
      </c>
      <c r="DR295" s="44" t="str">
        <f t="shared" si="3738"/>
        <v/>
      </c>
      <c r="DS295" s="44" t="str">
        <f t="shared" si="3739"/>
        <v/>
      </c>
      <c r="DT295" s="44" t="str">
        <f t="shared" si="3740"/>
        <v/>
      </c>
      <c r="DU295" s="44" t="str">
        <f t="shared" si="3741"/>
        <v/>
      </c>
      <c r="DV295" s="44" t="str">
        <f t="shared" si="3742"/>
        <v/>
      </c>
      <c r="DW295" s="44" t="str">
        <f t="shared" si="3743"/>
        <v/>
      </c>
      <c r="DX295" s="44" t="str">
        <f t="shared" si="3744"/>
        <v/>
      </c>
      <c r="DY295" s="44" t="str">
        <f t="shared" si="3745"/>
        <v/>
      </c>
      <c r="DZ295" s="44" t="str">
        <f t="shared" si="3746"/>
        <v/>
      </c>
      <c r="EA295" s="44" t="str">
        <f t="shared" si="3747"/>
        <v/>
      </c>
      <c r="EB295" s="44" t="str">
        <f t="shared" si="3748"/>
        <v/>
      </c>
      <c r="EC295" s="44" t="str">
        <f t="shared" si="3749"/>
        <v/>
      </c>
      <c r="ED295" s="44" t="str">
        <f t="shared" si="3750"/>
        <v/>
      </c>
      <c r="EE295" s="44" t="str">
        <f t="shared" si="3751"/>
        <v/>
      </c>
      <c r="EF295" s="44" t="str">
        <f t="shared" si="3752"/>
        <v/>
      </c>
      <c r="EG295" s="44" t="str">
        <f t="shared" si="3753"/>
        <v/>
      </c>
      <c r="EH295" s="44" t="str">
        <f t="shared" si="3754"/>
        <v/>
      </c>
      <c r="EI295" s="44" t="str">
        <f t="shared" si="3755"/>
        <v/>
      </c>
      <c r="EJ295" s="44" t="str">
        <f t="shared" si="3756"/>
        <v/>
      </c>
      <c r="EK295" s="44" t="str">
        <f t="shared" si="3757"/>
        <v/>
      </c>
      <c r="EL295" s="44" t="str">
        <f t="shared" si="3758"/>
        <v/>
      </c>
      <c r="EM295" s="44" t="str">
        <f t="shared" si="3759"/>
        <v/>
      </c>
      <c r="EN295" s="44" t="str">
        <f t="shared" si="3760"/>
        <v/>
      </c>
      <c r="EO295" s="44" t="str">
        <f t="shared" si="3761"/>
        <v/>
      </c>
      <c r="EP295" s="44" t="str">
        <f t="shared" si="3762"/>
        <v/>
      </c>
      <c r="EQ295" s="44" t="str">
        <f t="shared" si="3763"/>
        <v/>
      </c>
      <c r="ER295" s="44" t="str">
        <f t="shared" si="3764"/>
        <v/>
      </c>
      <c r="ES295" s="44" t="str">
        <f t="shared" si="3765"/>
        <v/>
      </c>
      <c r="ET295" s="44" t="str">
        <f t="shared" si="3766"/>
        <v/>
      </c>
      <c r="EU295" s="44" t="str">
        <f t="shared" si="3767"/>
        <v/>
      </c>
      <c r="EV295" s="44" t="str">
        <f t="shared" si="3768"/>
        <v/>
      </c>
      <c r="EW295" s="44" t="str">
        <f t="shared" si="3769"/>
        <v/>
      </c>
      <c r="EX295" s="44" t="str">
        <f t="shared" si="3770"/>
        <v/>
      </c>
      <c r="EY295" s="44" t="str">
        <f t="shared" si="3771"/>
        <v/>
      </c>
      <c r="EZ295" s="44" t="str">
        <f t="shared" si="3772"/>
        <v/>
      </c>
      <c r="FA295" s="44" t="str">
        <f t="shared" si="3773"/>
        <v/>
      </c>
      <c r="FB295" s="44" t="str">
        <f t="shared" si="3774"/>
        <v/>
      </c>
      <c r="FC295" s="44" t="str">
        <f t="shared" si="3775"/>
        <v/>
      </c>
      <c r="FD295" s="44" t="str">
        <f t="shared" si="3776"/>
        <v/>
      </c>
      <c r="FE295" s="44" t="str">
        <f t="shared" si="3777"/>
        <v/>
      </c>
      <c r="FF295" s="44" t="str">
        <f t="shared" si="3778"/>
        <v/>
      </c>
      <c r="FG295" s="44" t="str">
        <f t="shared" si="3779"/>
        <v/>
      </c>
      <c r="FH295" s="44" t="str">
        <f t="shared" si="3780"/>
        <v/>
      </c>
      <c r="FI295" s="44" t="str">
        <f t="shared" si="3781"/>
        <v/>
      </c>
      <c r="FJ295" s="44" t="str">
        <f t="shared" si="3782"/>
        <v/>
      </c>
      <c r="FK295" s="44" t="str">
        <f t="shared" si="3783"/>
        <v/>
      </c>
      <c r="FL295" s="44" t="str">
        <f t="shared" si="3784"/>
        <v/>
      </c>
      <c r="FM295" s="44" t="str">
        <f t="shared" si="3785"/>
        <v/>
      </c>
      <c r="FN295" s="44" t="str">
        <f t="shared" si="3786"/>
        <v/>
      </c>
      <c r="FO295" s="44" t="str">
        <f t="shared" si="3787"/>
        <v/>
      </c>
      <c r="FP295" s="44" t="str">
        <f t="shared" si="3788"/>
        <v/>
      </c>
      <c r="FQ295" s="44" t="str">
        <f t="shared" si="3789"/>
        <v/>
      </c>
      <c r="FR295" s="44" t="str">
        <f t="shared" si="3790"/>
        <v/>
      </c>
      <c r="FS295" s="44" t="str">
        <f t="shared" si="3791"/>
        <v/>
      </c>
    </row>
    <row r="296" spans="92:175">
      <c r="CN296" s="13" t="str">
        <f t="shared" si="3716"/>
        <v>InitUnitState('',,,,,,,,,,)</v>
      </c>
      <c r="CO296" s="13" t="str">
        <f t="shared" si="3717"/>
        <v>InitUnitNormal('',,,,,,,,,,)</v>
      </c>
      <c r="CP296" s="13" t="str">
        <f t="shared" si="3718"/>
        <v>InitUnitMagic('',,,,,,,,,,)</v>
      </c>
      <c r="CQ296" s="13" t="str">
        <f t="shared" si="3719"/>
        <v>InitUnitAdd('',,,,,,,,,,)</v>
      </c>
      <c r="CR296" s="13" t="str">
        <f t="shared" si="3720"/>
        <v>InitEquipData('',,"",,,,,'','','','','','',"")</v>
      </c>
      <c r="CU296" s="6" t="str">
        <f t="shared" si="3792"/>
        <v>|n</v>
      </c>
      <c r="CW296" s="7"/>
      <c r="CX296" s="7"/>
      <c r="CY296" s="7"/>
      <c r="CZ296" s="7"/>
      <c r="DA296" s="7"/>
      <c r="DB296" s="44" t="str">
        <f t="shared" si="3722"/>
        <v/>
      </c>
      <c r="DC296" s="44" t="str">
        <f t="shared" si="3723"/>
        <v/>
      </c>
      <c r="DD296" s="44" t="str">
        <f t="shared" si="3724"/>
        <v/>
      </c>
      <c r="DE296" s="44" t="str">
        <f t="shared" si="3725"/>
        <v/>
      </c>
      <c r="DF296" s="44" t="str">
        <f t="shared" si="3726"/>
        <v/>
      </c>
      <c r="DG296" s="44" t="str">
        <f t="shared" si="3727"/>
        <v/>
      </c>
      <c r="DH296" s="44" t="str">
        <f t="shared" si="3728"/>
        <v/>
      </c>
      <c r="DI296" s="44" t="str">
        <f t="shared" si="3729"/>
        <v/>
      </c>
      <c r="DJ296" s="44" t="str">
        <f t="shared" si="3730"/>
        <v/>
      </c>
      <c r="DK296" s="44" t="str">
        <f t="shared" si="3731"/>
        <v/>
      </c>
      <c r="DL296" s="44" t="str">
        <f t="shared" si="3732"/>
        <v/>
      </c>
      <c r="DM296" s="44" t="str">
        <f t="shared" si="3733"/>
        <v/>
      </c>
      <c r="DN296" s="44" t="str">
        <f t="shared" si="3734"/>
        <v/>
      </c>
      <c r="DO296" s="44" t="str">
        <f t="shared" si="3735"/>
        <v/>
      </c>
      <c r="DP296" s="44" t="str">
        <f t="shared" si="3736"/>
        <v/>
      </c>
      <c r="DQ296" s="44" t="str">
        <f t="shared" si="3737"/>
        <v/>
      </c>
      <c r="DR296" s="44" t="str">
        <f t="shared" si="3738"/>
        <v/>
      </c>
      <c r="DS296" s="44" t="str">
        <f t="shared" si="3739"/>
        <v/>
      </c>
      <c r="DT296" s="44" t="str">
        <f t="shared" si="3740"/>
        <v/>
      </c>
      <c r="DU296" s="44" t="str">
        <f t="shared" si="3741"/>
        <v/>
      </c>
      <c r="DV296" s="44" t="str">
        <f t="shared" si="3742"/>
        <v/>
      </c>
      <c r="DW296" s="44" t="str">
        <f t="shared" si="3743"/>
        <v/>
      </c>
      <c r="DX296" s="44" t="str">
        <f t="shared" si="3744"/>
        <v/>
      </c>
      <c r="DY296" s="44" t="str">
        <f t="shared" si="3745"/>
        <v/>
      </c>
      <c r="DZ296" s="44" t="str">
        <f t="shared" si="3746"/>
        <v/>
      </c>
      <c r="EA296" s="44" t="str">
        <f t="shared" si="3747"/>
        <v/>
      </c>
      <c r="EB296" s="44" t="str">
        <f t="shared" si="3748"/>
        <v/>
      </c>
      <c r="EC296" s="44" t="str">
        <f t="shared" si="3749"/>
        <v/>
      </c>
      <c r="ED296" s="44" t="str">
        <f t="shared" si="3750"/>
        <v/>
      </c>
      <c r="EE296" s="44" t="str">
        <f t="shared" si="3751"/>
        <v/>
      </c>
      <c r="EF296" s="44" t="str">
        <f t="shared" si="3752"/>
        <v/>
      </c>
      <c r="EG296" s="44" t="str">
        <f t="shared" si="3753"/>
        <v/>
      </c>
      <c r="EH296" s="44" t="str">
        <f t="shared" si="3754"/>
        <v/>
      </c>
      <c r="EI296" s="44" t="str">
        <f t="shared" si="3755"/>
        <v/>
      </c>
      <c r="EJ296" s="44" t="str">
        <f t="shared" si="3756"/>
        <v/>
      </c>
      <c r="EK296" s="44" t="str">
        <f t="shared" si="3757"/>
        <v/>
      </c>
      <c r="EL296" s="44" t="str">
        <f t="shared" si="3758"/>
        <v/>
      </c>
      <c r="EM296" s="44" t="str">
        <f t="shared" si="3759"/>
        <v/>
      </c>
      <c r="EN296" s="44" t="str">
        <f t="shared" si="3760"/>
        <v/>
      </c>
      <c r="EO296" s="44" t="str">
        <f t="shared" si="3761"/>
        <v/>
      </c>
      <c r="EP296" s="44" t="str">
        <f t="shared" si="3762"/>
        <v/>
      </c>
      <c r="EQ296" s="44" t="str">
        <f t="shared" si="3763"/>
        <v/>
      </c>
      <c r="ER296" s="44" t="str">
        <f t="shared" si="3764"/>
        <v/>
      </c>
      <c r="ES296" s="44" t="str">
        <f t="shared" si="3765"/>
        <v/>
      </c>
      <c r="ET296" s="44" t="str">
        <f t="shared" si="3766"/>
        <v/>
      </c>
      <c r="EU296" s="44" t="str">
        <f t="shared" si="3767"/>
        <v/>
      </c>
      <c r="EV296" s="44" t="str">
        <f t="shared" si="3768"/>
        <v/>
      </c>
      <c r="EW296" s="44" t="str">
        <f t="shared" si="3769"/>
        <v/>
      </c>
      <c r="EX296" s="44" t="str">
        <f t="shared" si="3770"/>
        <v/>
      </c>
      <c r="EY296" s="44" t="str">
        <f t="shared" si="3771"/>
        <v/>
      </c>
      <c r="EZ296" s="44" t="str">
        <f t="shared" si="3772"/>
        <v/>
      </c>
      <c r="FA296" s="44" t="str">
        <f t="shared" si="3773"/>
        <v/>
      </c>
      <c r="FB296" s="44" t="str">
        <f t="shared" si="3774"/>
        <v/>
      </c>
      <c r="FC296" s="44" t="str">
        <f t="shared" si="3775"/>
        <v/>
      </c>
      <c r="FD296" s="44" t="str">
        <f t="shared" si="3776"/>
        <v/>
      </c>
      <c r="FE296" s="44" t="str">
        <f t="shared" si="3777"/>
        <v/>
      </c>
      <c r="FF296" s="44" t="str">
        <f t="shared" si="3778"/>
        <v/>
      </c>
      <c r="FG296" s="44" t="str">
        <f t="shared" si="3779"/>
        <v/>
      </c>
      <c r="FH296" s="44" t="str">
        <f t="shared" si="3780"/>
        <v/>
      </c>
      <c r="FI296" s="44" t="str">
        <f t="shared" si="3781"/>
        <v/>
      </c>
      <c r="FJ296" s="44" t="str">
        <f t="shared" si="3782"/>
        <v/>
      </c>
      <c r="FK296" s="44" t="str">
        <f t="shared" si="3783"/>
        <v/>
      </c>
      <c r="FL296" s="44" t="str">
        <f t="shared" si="3784"/>
        <v/>
      </c>
      <c r="FM296" s="44" t="str">
        <f t="shared" si="3785"/>
        <v/>
      </c>
      <c r="FN296" s="44" t="str">
        <f t="shared" si="3786"/>
        <v/>
      </c>
      <c r="FO296" s="44" t="str">
        <f t="shared" si="3787"/>
        <v/>
      </c>
      <c r="FP296" s="44" t="str">
        <f t="shared" si="3788"/>
        <v/>
      </c>
      <c r="FQ296" s="44" t="str">
        <f t="shared" si="3789"/>
        <v/>
      </c>
      <c r="FR296" s="44" t="str">
        <f t="shared" si="3790"/>
        <v/>
      </c>
      <c r="FS296" s="44" t="str">
        <f t="shared" si="3791"/>
        <v/>
      </c>
    </row>
    <row r="297" spans="92:175">
      <c r="CN297" s="13" t="str">
        <f t="shared" si="3716"/>
        <v>InitUnitState('',,,,,,,,,,)</v>
      </c>
      <c r="CO297" s="13" t="str">
        <f t="shared" si="3717"/>
        <v>InitUnitNormal('',,,,,,,,,,)</v>
      </c>
      <c r="CP297" s="13" t="str">
        <f t="shared" si="3718"/>
        <v>InitUnitMagic('',,,,,,,,,,)</v>
      </c>
      <c r="CQ297" s="13" t="str">
        <f t="shared" si="3719"/>
        <v>InitUnitAdd('',,,,,,,,,,)</v>
      </c>
      <c r="CR297" s="13" t="str">
        <f t="shared" si="3720"/>
        <v>InitEquipData('',,"",,,,,'','','','','','',"")</v>
      </c>
      <c r="CU297" s="6" t="str">
        <f t="shared" si="3792"/>
        <v>|n</v>
      </c>
      <c r="CW297" s="7"/>
      <c r="CX297" s="7"/>
      <c r="CY297" s="7"/>
      <c r="CZ297" s="7"/>
      <c r="DA297" s="7"/>
      <c r="DB297" s="44" t="str">
        <f t="shared" si="3722"/>
        <v/>
      </c>
      <c r="DC297" s="44" t="str">
        <f t="shared" si="3723"/>
        <v/>
      </c>
      <c r="DD297" s="44" t="str">
        <f t="shared" si="3724"/>
        <v/>
      </c>
      <c r="DE297" s="44" t="str">
        <f t="shared" si="3725"/>
        <v/>
      </c>
      <c r="DF297" s="44" t="str">
        <f t="shared" si="3726"/>
        <v/>
      </c>
      <c r="DG297" s="44" t="str">
        <f t="shared" si="3727"/>
        <v/>
      </c>
      <c r="DH297" s="44" t="str">
        <f t="shared" si="3728"/>
        <v/>
      </c>
      <c r="DI297" s="44" t="str">
        <f t="shared" si="3729"/>
        <v/>
      </c>
      <c r="DJ297" s="44" t="str">
        <f t="shared" si="3730"/>
        <v/>
      </c>
      <c r="DK297" s="44" t="str">
        <f t="shared" si="3731"/>
        <v/>
      </c>
      <c r="DL297" s="44" t="str">
        <f t="shared" si="3732"/>
        <v/>
      </c>
      <c r="DM297" s="44" t="str">
        <f t="shared" si="3733"/>
        <v/>
      </c>
      <c r="DN297" s="44" t="str">
        <f t="shared" si="3734"/>
        <v/>
      </c>
      <c r="DO297" s="44" t="str">
        <f t="shared" si="3735"/>
        <v/>
      </c>
      <c r="DP297" s="44" t="str">
        <f t="shared" si="3736"/>
        <v/>
      </c>
      <c r="DQ297" s="44" t="str">
        <f t="shared" si="3737"/>
        <v/>
      </c>
      <c r="DR297" s="44" t="str">
        <f t="shared" si="3738"/>
        <v/>
      </c>
      <c r="DS297" s="44" t="str">
        <f t="shared" si="3739"/>
        <v/>
      </c>
      <c r="DT297" s="44" t="str">
        <f t="shared" si="3740"/>
        <v/>
      </c>
      <c r="DU297" s="44" t="str">
        <f t="shared" si="3741"/>
        <v/>
      </c>
      <c r="DV297" s="44" t="str">
        <f t="shared" si="3742"/>
        <v/>
      </c>
      <c r="DW297" s="44" t="str">
        <f t="shared" si="3743"/>
        <v/>
      </c>
      <c r="DX297" s="44" t="str">
        <f t="shared" si="3744"/>
        <v/>
      </c>
      <c r="DY297" s="44" t="str">
        <f t="shared" si="3745"/>
        <v/>
      </c>
      <c r="DZ297" s="44" t="str">
        <f t="shared" si="3746"/>
        <v/>
      </c>
      <c r="EA297" s="44" t="str">
        <f t="shared" si="3747"/>
        <v/>
      </c>
      <c r="EB297" s="44" t="str">
        <f t="shared" si="3748"/>
        <v/>
      </c>
      <c r="EC297" s="44" t="str">
        <f t="shared" si="3749"/>
        <v/>
      </c>
      <c r="ED297" s="44" t="str">
        <f t="shared" si="3750"/>
        <v/>
      </c>
      <c r="EE297" s="44" t="str">
        <f t="shared" si="3751"/>
        <v/>
      </c>
      <c r="EF297" s="44" t="str">
        <f t="shared" si="3752"/>
        <v/>
      </c>
      <c r="EG297" s="44" t="str">
        <f t="shared" si="3753"/>
        <v/>
      </c>
      <c r="EH297" s="44" t="str">
        <f t="shared" si="3754"/>
        <v/>
      </c>
      <c r="EI297" s="44" t="str">
        <f t="shared" si="3755"/>
        <v/>
      </c>
      <c r="EJ297" s="44" t="str">
        <f t="shared" si="3756"/>
        <v/>
      </c>
      <c r="EK297" s="44" t="str">
        <f t="shared" si="3757"/>
        <v/>
      </c>
      <c r="EL297" s="44" t="str">
        <f t="shared" si="3758"/>
        <v/>
      </c>
      <c r="EM297" s="44" t="str">
        <f t="shared" si="3759"/>
        <v/>
      </c>
      <c r="EN297" s="44" t="str">
        <f t="shared" si="3760"/>
        <v/>
      </c>
      <c r="EO297" s="44" t="str">
        <f t="shared" si="3761"/>
        <v/>
      </c>
      <c r="EP297" s="44" t="str">
        <f t="shared" si="3762"/>
        <v/>
      </c>
      <c r="EQ297" s="44" t="str">
        <f t="shared" si="3763"/>
        <v/>
      </c>
      <c r="ER297" s="44" t="str">
        <f t="shared" si="3764"/>
        <v/>
      </c>
      <c r="ES297" s="44" t="str">
        <f t="shared" si="3765"/>
        <v/>
      </c>
      <c r="ET297" s="44" t="str">
        <f t="shared" si="3766"/>
        <v/>
      </c>
      <c r="EU297" s="44" t="str">
        <f t="shared" si="3767"/>
        <v/>
      </c>
      <c r="EV297" s="44" t="str">
        <f t="shared" si="3768"/>
        <v/>
      </c>
      <c r="EW297" s="44" t="str">
        <f t="shared" si="3769"/>
        <v/>
      </c>
      <c r="EX297" s="44" t="str">
        <f t="shared" si="3770"/>
        <v/>
      </c>
      <c r="EY297" s="44" t="str">
        <f t="shared" si="3771"/>
        <v/>
      </c>
      <c r="EZ297" s="44" t="str">
        <f t="shared" si="3772"/>
        <v/>
      </c>
      <c r="FA297" s="44" t="str">
        <f t="shared" si="3773"/>
        <v/>
      </c>
      <c r="FB297" s="44" t="str">
        <f t="shared" si="3774"/>
        <v/>
      </c>
      <c r="FC297" s="44" t="str">
        <f t="shared" si="3775"/>
        <v/>
      </c>
      <c r="FD297" s="44" t="str">
        <f t="shared" si="3776"/>
        <v/>
      </c>
      <c r="FE297" s="44" t="str">
        <f t="shared" si="3777"/>
        <v/>
      </c>
      <c r="FF297" s="44" t="str">
        <f t="shared" si="3778"/>
        <v/>
      </c>
      <c r="FG297" s="44" t="str">
        <f t="shared" si="3779"/>
        <v/>
      </c>
      <c r="FH297" s="44" t="str">
        <f t="shared" si="3780"/>
        <v/>
      </c>
      <c r="FI297" s="44" t="str">
        <f t="shared" si="3781"/>
        <v/>
      </c>
      <c r="FJ297" s="44" t="str">
        <f t="shared" si="3782"/>
        <v/>
      </c>
      <c r="FK297" s="44" t="str">
        <f t="shared" si="3783"/>
        <v/>
      </c>
      <c r="FL297" s="44" t="str">
        <f t="shared" si="3784"/>
        <v/>
      </c>
      <c r="FM297" s="44" t="str">
        <f t="shared" si="3785"/>
        <v/>
      </c>
      <c r="FN297" s="44" t="str">
        <f t="shared" si="3786"/>
        <v/>
      </c>
      <c r="FO297" s="44" t="str">
        <f t="shared" si="3787"/>
        <v/>
      </c>
      <c r="FP297" s="44" t="str">
        <f t="shared" si="3788"/>
        <v/>
      </c>
      <c r="FQ297" s="44" t="str">
        <f t="shared" si="3789"/>
        <v/>
      </c>
      <c r="FR297" s="44" t="str">
        <f t="shared" si="3790"/>
        <v/>
      </c>
      <c r="FS297" s="44" t="str">
        <f t="shared" si="3791"/>
        <v/>
      </c>
    </row>
    <row r="298" spans="92:175">
      <c r="CN298" s="13" t="str">
        <f t="shared" si="3716"/>
        <v>InitUnitState('',,,,,,,,,,)</v>
      </c>
      <c r="CO298" s="13" t="str">
        <f t="shared" si="3717"/>
        <v>InitUnitNormal('',,,,,,,,,,)</v>
      </c>
      <c r="CP298" s="13" t="str">
        <f t="shared" si="3718"/>
        <v>InitUnitMagic('',,,,,,,,,,)</v>
      </c>
      <c r="CQ298" s="13" t="str">
        <f t="shared" si="3719"/>
        <v>InitUnitAdd('',,,,,,,,,,)</v>
      </c>
      <c r="CR298" s="13" t="str">
        <f t="shared" si="3720"/>
        <v>InitEquipData('',,"",,,,,'','','','','','',"")</v>
      </c>
      <c r="CU298" s="6" t="str">
        <f t="shared" si="3792"/>
        <v>|n</v>
      </c>
      <c r="CW298" s="7"/>
      <c r="CX298" s="7"/>
      <c r="CY298" s="7"/>
      <c r="CZ298" s="7"/>
      <c r="DA298" s="7"/>
      <c r="DB298" s="44" t="str">
        <f t="shared" si="3722"/>
        <v/>
      </c>
      <c r="DC298" s="44" t="str">
        <f t="shared" si="3723"/>
        <v/>
      </c>
      <c r="DD298" s="44" t="str">
        <f t="shared" si="3724"/>
        <v/>
      </c>
      <c r="DE298" s="44" t="str">
        <f t="shared" si="3725"/>
        <v/>
      </c>
      <c r="DF298" s="44" t="str">
        <f t="shared" si="3726"/>
        <v/>
      </c>
      <c r="DG298" s="44" t="str">
        <f t="shared" si="3727"/>
        <v/>
      </c>
      <c r="DH298" s="44" t="str">
        <f t="shared" si="3728"/>
        <v/>
      </c>
      <c r="DI298" s="44" t="str">
        <f t="shared" si="3729"/>
        <v/>
      </c>
      <c r="DJ298" s="44" t="str">
        <f t="shared" si="3730"/>
        <v/>
      </c>
      <c r="DK298" s="44" t="str">
        <f t="shared" si="3731"/>
        <v/>
      </c>
      <c r="DL298" s="44" t="str">
        <f t="shared" si="3732"/>
        <v/>
      </c>
      <c r="DM298" s="44" t="str">
        <f t="shared" si="3733"/>
        <v/>
      </c>
      <c r="DN298" s="44" t="str">
        <f t="shared" si="3734"/>
        <v/>
      </c>
      <c r="DO298" s="44" t="str">
        <f t="shared" si="3735"/>
        <v/>
      </c>
      <c r="DP298" s="44" t="str">
        <f t="shared" si="3736"/>
        <v/>
      </c>
      <c r="DQ298" s="44" t="str">
        <f t="shared" si="3737"/>
        <v/>
      </c>
      <c r="DR298" s="44" t="str">
        <f t="shared" si="3738"/>
        <v/>
      </c>
      <c r="DS298" s="44" t="str">
        <f t="shared" si="3739"/>
        <v/>
      </c>
      <c r="DT298" s="44" t="str">
        <f t="shared" si="3740"/>
        <v/>
      </c>
      <c r="DU298" s="44" t="str">
        <f t="shared" si="3741"/>
        <v/>
      </c>
      <c r="DV298" s="44" t="str">
        <f t="shared" si="3742"/>
        <v/>
      </c>
      <c r="DW298" s="44" t="str">
        <f t="shared" si="3743"/>
        <v/>
      </c>
      <c r="DX298" s="44" t="str">
        <f t="shared" si="3744"/>
        <v/>
      </c>
      <c r="DY298" s="44" t="str">
        <f t="shared" si="3745"/>
        <v/>
      </c>
      <c r="DZ298" s="44" t="str">
        <f t="shared" si="3746"/>
        <v/>
      </c>
      <c r="EA298" s="44" t="str">
        <f t="shared" si="3747"/>
        <v/>
      </c>
      <c r="EB298" s="44" t="str">
        <f t="shared" si="3748"/>
        <v/>
      </c>
      <c r="EC298" s="44" t="str">
        <f t="shared" si="3749"/>
        <v/>
      </c>
      <c r="ED298" s="44" t="str">
        <f t="shared" si="3750"/>
        <v/>
      </c>
      <c r="EE298" s="44" t="str">
        <f t="shared" si="3751"/>
        <v/>
      </c>
      <c r="EF298" s="44" t="str">
        <f t="shared" si="3752"/>
        <v/>
      </c>
      <c r="EG298" s="44" t="str">
        <f t="shared" si="3753"/>
        <v/>
      </c>
      <c r="EH298" s="44" t="str">
        <f t="shared" si="3754"/>
        <v/>
      </c>
      <c r="EI298" s="44" t="str">
        <f t="shared" si="3755"/>
        <v/>
      </c>
      <c r="EJ298" s="44" t="str">
        <f t="shared" si="3756"/>
        <v/>
      </c>
      <c r="EK298" s="44" t="str">
        <f t="shared" si="3757"/>
        <v/>
      </c>
      <c r="EL298" s="44" t="str">
        <f t="shared" si="3758"/>
        <v/>
      </c>
      <c r="EM298" s="44" t="str">
        <f t="shared" si="3759"/>
        <v/>
      </c>
      <c r="EN298" s="44" t="str">
        <f t="shared" si="3760"/>
        <v/>
      </c>
      <c r="EO298" s="44" t="str">
        <f t="shared" si="3761"/>
        <v/>
      </c>
      <c r="EP298" s="44" t="str">
        <f t="shared" si="3762"/>
        <v/>
      </c>
      <c r="EQ298" s="44" t="str">
        <f t="shared" si="3763"/>
        <v/>
      </c>
      <c r="ER298" s="44" t="str">
        <f t="shared" si="3764"/>
        <v/>
      </c>
      <c r="ES298" s="44" t="str">
        <f t="shared" si="3765"/>
        <v/>
      </c>
      <c r="ET298" s="44" t="str">
        <f t="shared" si="3766"/>
        <v/>
      </c>
      <c r="EU298" s="44" t="str">
        <f t="shared" si="3767"/>
        <v/>
      </c>
      <c r="EV298" s="44" t="str">
        <f t="shared" si="3768"/>
        <v/>
      </c>
      <c r="EW298" s="44" t="str">
        <f t="shared" si="3769"/>
        <v/>
      </c>
      <c r="EX298" s="44" t="str">
        <f t="shared" si="3770"/>
        <v/>
      </c>
      <c r="EY298" s="44" t="str">
        <f t="shared" si="3771"/>
        <v/>
      </c>
      <c r="EZ298" s="44" t="str">
        <f t="shared" si="3772"/>
        <v/>
      </c>
      <c r="FA298" s="44" t="str">
        <f t="shared" si="3773"/>
        <v/>
      </c>
      <c r="FB298" s="44" t="str">
        <f t="shared" si="3774"/>
        <v/>
      </c>
      <c r="FC298" s="44" t="str">
        <f t="shared" si="3775"/>
        <v/>
      </c>
      <c r="FD298" s="44" t="str">
        <f t="shared" si="3776"/>
        <v/>
      </c>
      <c r="FE298" s="44" t="str">
        <f t="shared" si="3777"/>
        <v/>
      </c>
      <c r="FF298" s="44" t="str">
        <f t="shared" si="3778"/>
        <v/>
      </c>
      <c r="FG298" s="44" t="str">
        <f t="shared" si="3779"/>
        <v/>
      </c>
      <c r="FH298" s="44" t="str">
        <f t="shared" si="3780"/>
        <v/>
      </c>
      <c r="FI298" s="44" t="str">
        <f t="shared" si="3781"/>
        <v/>
      </c>
      <c r="FJ298" s="44" t="str">
        <f t="shared" si="3782"/>
        <v/>
      </c>
      <c r="FK298" s="44" t="str">
        <f t="shared" si="3783"/>
        <v/>
      </c>
      <c r="FL298" s="44" t="str">
        <f t="shared" si="3784"/>
        <v/>
      </c>
      <c r="FM298" s="44" t="str">
        <f t="shared" si="3785"/>
        <v/>
      </c>
      <c r="FN298" s="44" t="str">
        <f t="shared" si="3786"/>
        <v/>
      </c>
      <c r="FO298" s="44" t="str">
        <f t="shared" si="3787"/>
        <v/>
      </c>
      <c r="FP298" s="44" t="str">
        <f t="shared" si="3788"/>
        <v/>
      </c>
      <c r="FQ298" s="44" t="str">
        <f t="shared" si="3789"/>
        <v/>
      </c>
      <c r="FR298" s="44" t="str">
        <f t="shared" si="3790"/>
        <v/>
      </c>
      <c r="FS298" s="44" t="str">
        <f t="shared" si="3791"/>
        <v/>
      </c>
    </row>
    <row r="299" spans="92:175">
      <c r="CN299" s="13" t="str">
        <f t="shared" si="3716"/>
        <v>InitUnitState('',,,,,,,,,,)</v>
      </c>
      <c r="CO299" s="13" t="str">
        <f t="shared" si="3717"/>
        <v>InitUnitNormal('',,,,,,,,,,)</v>
      </c>
      <c r="CP299" s="13" t="str">
        <f t="shared" si="3718"/>
        <v>InitUnitMagic('',,,,,,,,,,)</v>
      </c>
      <c r="CQ299" s="13" t="str">
        <f t="shared" si="3719"/>
        <v>InitUnitAdd('',,,,,,,,,,)</v>
      </c>
      <c r="CR299" s="13" t="str">
        <f t="shared" si="3720"/>
        <v>InitEquipData('',,"",,,,,'','','','','','',"")</v>
      </c>
      <c r="CU299" s="6" t="str">
        <f t="shared" si="3792"/>
        <v>|n</v>
      </c>
      <c r="CW299" s="7"/>
      <c r="CX299" s="7"/>
      <c r="CY299" s="7"/>
      <c r="CZ299" s="7"/>
      <c r="DA299" s="7"/>
      <c r="DB299" s="44" t="str">
        <f t="shared" si="3722"/>
        <v/>
      </c>
      <c r="DC299" s="44" t="str">
        <f t="shared" si="3723"/>
        <v/>
      </c>
      <c r="DD299" s="44" t="str">
        <f t="shared" si="3724"/>
        <v/>
      </c>
      <c r="DE299" s="44" t="str">
        <f t="shared" si="3725"/>
        <v/>
      </c>
      <c r="DF299" s="44" t="str">
        <f t="shared" si="3726"/>
        <v/>
      </c>
      <c r="DG299" s="44" t="str">
        <f t="shared" si="3727"/>
        <v/>
      </c>
      <c r="DH299" s="44" t="str">
        <f t="shared" si="3728"/>
        <v/>
      </c>
      <c r="DI299" s="44" t="str">
        <f t="shared" si="3729"/>
        <v/>
      </c>
      <c r="DJ299" s="44" t="str">
        <f t="shared" si="3730"/>
        <v/>
      </c>
      <c r="DK299" s="44" t="str">
        <f t="shared" si="3731"/>
        <v/>
      </c>
      <c r="DL299" s="44" t="str">
        <f t="shared" si="3732"/>
        <v/>
      </c>
      <c r="DM299" s="44" t="str">
        <f t="shared" si="3733"/>
        <v/>
      </c>
      <c r="DN299" s="44" t="str">
        <f t="shared" si="3734"/>
        <v/>
      </c>
      <c r="DO299" s="44" t="str">
        <f t="shared" si="3735"/>
        <v/>
      </c>
      <c r="DP299" s="44" t="str">
        <f t="shared" si="3736"/>
        <v/>
      </c>
      <c r="DQ299" s="44" t="str">
        <f t="shared" si="3737"/>
        <v/>
      </c>
      <c r="DR299" s="44" t="str">
        <f t="shared" si="3738"/>
        <v/>
      </c>
      <c r="DS299" s="44" t="str">
        <f t="shared" si="3739"/>
        <v/>
      </c>
      <c r="DT299" s="44" t="str">
        <f t="shared" si="3740"/>
        <v/>
      </c>
      <c r="DU299" s="44" t="str">
        <f t="shared" si="3741"/>
        <v/>
      </c>
      <c r="DV299" s="44" t="str">
        <f t="shared" si="3742"/>
        <v/>
      </c>
      <c r="DW299" s="44" t="str">
        <f t="shared" si="3743"/>
        <v/>
      </c>
      <c r="DX299" s="44" t="str">
        <f t="shared" si="3744"/>
        <v/>
      </c>
      <c r="DY299" s="44" t="str">
        <f t="shared" si="3745"/>
        <v/>
      </c>
      <c r="DZ299" s="44" t="str">
        <f t="shared" si="3746"/>
        <v/>
      </c>
      <c r="EA299" s="44" t="str">
        <f t="shared" si="3747"/>
        <v/>
      </c>
      <c r="EB299" s="44" t="str">
        <f t="shared" si="3748"/>
        <v/>
      </c>
      <c r="EC299" s="44" t="str">
        <f t="shared" si="3749"/>
        <v/>
      </c>
      <c r="ED299" s="44" t="str">
        <f t="shared" si="3750"/>
        <v/>
      </c>
      <c r="EE299" s="44" t="str">
        <f t="shared" si="3751"/>
        <v/>
      </c>
      <c r="EF299" s="44" t="str">
        <f t="shared" si="3752"/>
        <v/>
      </c>
      <c r="EG299" s="44" t="str">
        <f t="shared" si="3753"/>
        <v/>
      </c>
      <c r="EH299" s="44" t="str">
        <f t="shared" si="3754"/>
        <v/>
      </c>
      <c r="EI299" s="44" t="str">
        <f t="shared" si="3755"/>
        <v/>
      </c>
      <c r="EJ299" s="44" t="str">
        <f t="shared" si="3756"/>
        <v/>
      </c>
      <c r="EK299" s="44" t="str">
        <f t="shared" si="3757"/>
        <v/>
      </c>
      <c r="EL299" s="44" t="str">
        <f t="shared" si="3758"/>
        <v/>
      </c>
      <c r="EM299" s="44" t="str">
        <f t="shared" si="3759"/>
        <v/>
      </c>
      <c r="EN299" s="44" t="str">
        <f t="shared" si="3760"/>
        <v/>
      </c>
      <c r="EO299" s="44" t="str">
        <f t="shared" si="3761"/>
        <v/>
      </c>
      <c r="EP299" s="44" t="str">
        <f t="shared" si="3762"/>
        <v/>
      </c>
      <c r="EQ299" s="44" t="str">
        <f t="shared" si="3763"/>
        <v/>
      </c>
      <c r="ER299" s="44" t="str">
        <f t="shared" si="3764"/>
        <v/>
      </c>
      <c r="ES299" s="44" t="str">
        <f t="shared" si="3765"/>
        <v/>
      </c>
      <c r="ET299" s="44" t="str">
        <f t="shared" si="3766"/>
        <v/>
      </c>
      <c r="EU299" s="44" t="str">
        <f t="shared" si="3767"/>
        <v/>
      </c>
      <c r="EV299" s="44" t="str">
        <f t="shared" si="3768"/>
        <v/>
      </c>
      <c r="EW299" s="44" t="str">
        <f t="shared" si="3769"/>
        <v/>
      </c>
      <c r="EX299" s="44" t="str">
        <f t="shared" si="3770"/>
        <v/>
      </c>
      <c r="EY299" s="44" t="str">
        <f t="shared" si="3771"/>
        <v/>
      </c>
      <c r="EZ299" s="44" t="str">
        <f t="shared" si="3772"/>
        <v/>
      </c>
      <c r="FA299" s="44" t="str">
        <f t="shared" si="3773"/>
        <v/>
      </c>
      <c r="FB299" s="44" t="str">
        <f t="shared" si="3774"/>
        <v/>
      </c>
      <c r="FC299" s="44" t="str">
        <f t="shared" si="3775"/>
        <v/>
      </c>
      <c r="FD299" s="44" t="str">
        <f t="shared" si="3776"/>
        <v/>
      </c>
      <c r="FE299" s="44" t="str">
        <f t="shared" si="3777"/>
        <v/>
      </c>
      <c r="FF299" s="44" t="str">
        <f t="shared" si="3778"/>
        <v/>
      </c>
      <c r="FG299" s="44" t="str">
        <f t="shared" si="3779"/>
        <v/>
      </c>
      <c r="FH299" s="44" t="str">
        <f t="shared" si="3780"/>
        <v/>
      </c>
      <c r="FI299" s="44" t="str">
        <f t="shared" si="3781"/>
        <v/>
      </c>
      <c r="FJ299" s="44" t="str">
        <f t="shared" si="3782"/>
        <v/>
      </c>
      <c r="FK299" s="44" t="str">
        <f t="shared" si="3783"/>
        <v/>
      </c>
      <c r="FL299" s="44" t="str">
        <f t="shared" si="3784"/>
        <v/>
      </c>
      <c r="FM299" s="44" t="str">
        <f t="shared" si="3785"/>
        <v/>
      </c>
      <c r="FN299" s="44" t="str">
        <f t="shared" si="3786"/>
        <v/>
      </c>
      <c r="FO299" s="44" t="str">
        <f t="shared" si="3787"/>
        <v/>
      </c>
      <c r="FP299" s="44" t="str">
        <f t="shared" si="3788"/>
        <v/>
      </c>
      <c r="FQ299" s="44" t="str">
        <f t="shared" si="3789"/>
        <v/>
      </c>
      <c r="FR299" s="44" t="str">
        <f t="shared" si="3790"/>
        <v/>
      </c>
      <c r="FS299" s="44" t="str">
        <f t="shared" si="3791"/>
        <v/>
      </c>
    </row>
    <row r="300" spans="92:175">
      <c r="CN300" s="13" t="str">
        <f t="shared" si="3716"/>
        <v>InitUnitState('',,,,,,,,,,)</v>
      </c>
      <c r="CO300" s="13" t="str">
        <f t="shared" si="3717"/>
        <v>InitUnitNormal('',,,,,,,,,,)</v>
      </c>
      <c r="CP300" s="13" t="str">
        <f t="shared" si="3718"/>
        <v>InitUnitMagic('',,,,,,,,,,)</v>
      </c>
      <c r="CQ300" s="13" t="str">
        <f t="shared" si="3719"/>
        <v>InitUnitAdd('',,,,,,,,,,)</v>
      </c>
      <c r="CR300" s="13" t="str">
        <f t="shared" si="3720"/>
        <v>InitEquipData('',,"",,,,,'','','','','','',"")</v>
      </c>
      <c r="CU300" s="6" t="str">
        <f t="shared" si="3792"/>
        <v>|n</v>
      </c>
      <c r="CW300" s="7"/>
      <c r="CX300" s="7"/>
      <c r="CY300" s="7"/>
      <c r="CZ300" s="7"/>
      <c r="DA300" s="7"/>
      <c r="DB300" s="44" t="str">
        <f t="shared" si="3722"/>
        <v/>
      </c>
      <c r="DC300" s="44" t="str">
        <f t="shared" si="3723"/>
        <v/>
      </c>
      <c r="DD300" s="44" t="str">
        <f t="shared" si="3724"/>
        <v/>
      </c>
      <c r="DE300" s="44" t="str">
        <f t="shared" si="3725"/>
        <v/>
      </c>
      <c r="DF300" s="44" t="str">
        <f t="shared" si="3726"/>
        <v/>
      </c>
      <c r="DG300" s="44" t="str">
        <f t="shared" si="3727"/>
        <v/>
      </c>
      <c r="DH300" s="44" t="str">
        <f t="shared" si="3728"/>
        <v/>
      </c>
      <c r="DI300" s="44" t="str">
        <f t="shared" si="3729"/>
        <v/>
      </c>
      <c r="DJ300" s="44" t="str">
        <f t="shared" si="3730"/>
        <v/>
      </c>
      <c r="DK300" s="44" t="str">
        <f t="shared" si="3731"/>
        <v/>
      </c>
      <c r="DL300" s="44" t="str">
        <f t="shared" si="3732"/>
        <v/>
      </c>
      <c r="DM300" s="44" t="str">
        <f t="shared" si="3733"/>
        <v/>
      </c>
      <c r="DN300" s="44" t="str">
        <f t="shared" si="3734"/>
        <v/>
      </c>
      <c r="DO300" s="44" t="str">
        <f t="shared" si="3735"/>
        <v/>
      </c>
      <c r="DP300" s="44" t="str">
        <f t="shared" si="3736"/>
        <v/>
      </c>
      <c r="DQ300" s="44" t="str">
        <f t="shared" si="3737"/>
        <v/>
      </c>
      <c r="DR300" s="44" t="str">
        <f t="shared" si="3738"/>
        <v/>
      </c>
      <c r="DS300" s="44" t="str">
        <f t="shared" si="3739"/>
        <v/>
      </c>
      <c r="DT300" s="44" t="str">
        <f t="shared" si="3740"/>
        <v/>
      </c>
      <c r="DU300" s="44" t="str">
        <f t="shared" si="3741"/>
        <v/>
      </c>
      <c r="DV300" s="44" t="str">
        <f t="shared" si="3742"/>
        <v/>
      </c>
      <c r="DW300" s="44" t="str">
        <f t="shared" si="3743"/>
        <v/>
      </c>
      <c r="DX300" s="44" t="str">
        <f t="shared" si="3744"/>
        <v/>
      </c>
      <c r="DY300" s="44" t="str">
        <f t="shared" si="3745"/>
        <v/>
      </c>
      <c r="DZ300" s="44" t="str">
        <f t="shared" si="3746"/>
        <v/>
      </c>
      <c r="EA300" s="44" t="str">
        <f t="shared" si="3747"/>
        <v/>
      </c>
      <c r="EB300" s="44" t="str">
        <f t="shared" si="3748"/>
        <v/>
      </c>
      <c r="EC300" s="44" t="str">
        <f t="shared" si="3749"/>
        <v/>
      </c>
      <c r="ED300" s="44" t="str">
        <f t="shared" si="3750"/>
        <v/>
      </c>
      <c r="EE300" s="44" t="str">
        <f t="shared" si="3751"/>
        <v/>
      </c>
      <c r="EF300" s="44" t="str">
        <f t="shared" si="3752"/>
        <v/>
      </c>
      <c r="EG300" s="44" t="str">
        <f t="shared" si="3753"/>
        <v/>
      </c>
      <c r="EH300" s="44" t="str">
        <f t="shared" si="3754"/>
        <v/>
      </c>
      <c r="EI300" s="44" t="str">
        <f t="shared" si="3755"/>
        <v/>
      </c>
      <c r="EJ300" s="44" t="str">
        <f t="shared" si="3756"/>
        <v/>
      </c>
      <c r="EK300" s="44" t="str">
        <f t="shared" si="3757"/>
        <v/>
      </c>
      <c r="EL300" s="44" t="str">
        <f t="shared" si="3758"/>
        <v/>
      </c>
      <c r="EM300" s="44" t="str">
        <f t="shared" si="3759"/>
        <v/>
      </c>
      <c r="EN300" s="44" t="str">
        <f t="shared" si="3760"/>
        <v/>
      </c>
      <c r="EO300" s="44" t="str">
        <f t="shared" si="3761"/>
        <v/>
      </c>
      <c r="EP300" s="44" t="str">
        <f t="shared" si="3762"/>
        <v/>
      </c>
      <c r="EQ300" s="44" t="str">
        <f t="shared" si="3763"/>
        <v/>
      </c>
      <c r="ER300" s="44" t="str">
        <f t="shared" si="3764"/>
        <v/>
      </c>
      <c r="ES300" s="44" t="str">
        <f t="shared" si="3765"/>
        <v/>
      </c>
      <c r="ET300" s="44" t="str">
        <f t="shared" si="3766"/>
        <v/>
      </c>
      <c r="EU300" s="44" t="str">
        <f t="shared" si="3767"/>
        <v/>
      </c>
      <c r="EV300" s="44" t="str">
        <f t="shared" si="3768"/>
        <v/>
      </c>
      <c r="EW300" s="44" t="str">
        <f t="shared" si="3769"/>
        <v/>
      </c>
      <c r="EX300" s="44" t="str">
        <f t="shared" si="3770"/>
        <v/>
      </c>
      <c r="EY300" s="44" t="str">
        <f t="shared" si="3771"/>
        <v/>
      </c>
      <c r="EZ300" s="44" t="str">
        <f t="shared" si="3772"/>
        <v/>
      </c>
      <c r="FA300" s="44" t="str">
        <f t="shared" si="3773"/>
        <v/>
      </c>
      <c r="FB300" s="44" t="str">
        <f t="shared" si="3774"/>
        <v/>
      </c>
      <c r="FC300" s="44" t="str">
        <f t="shared" si="3775"/>
        <v/>
      </c>
      <c r="FD300" s="44" t="str">
        <f t="shared" si="3776"/>
        <v/>
      </c>
      <c r="FE300" s="44" t="str">
        <f t="shared" si="3777"/>
        <v/>
      </c>
      <c r="FF300" s="44" t="str">
        <f t="shared" si="3778"/>
        <v/>
      </c>
      <c r="FG300" s="44" t="str">
        <f t="shared" si="3779"/>
        <v/>
      </c>
      <c r="FH300" s="44" t="str">
        <f t="shared" si="3780"/>
        <v/>
      </c>
      <c r="FI300" s="44" t="str">
        <f t="shared" si="3781"/>
        <v/>
      </c>
      <c r="FJ300" s="44" t="str">
        <f t="shared" si="3782"/>
        <v/>
      </c>
      <c r="FK300" s="44" t="str">
        <f t="shared" si="3783"/>
        <v/>
      </c>
      <c r="FL300" s="44" t="str">
        <f t="shared" si="3784"/>
        <v/>
      </c>
      <c r="FM300" s="44" t="str">
        <f t="shared" si="3785"/>
        <v/>
      </c>
      <c r="FN300" s="44" t="str">
        <f t="shared" si="3786"/>
        <v/>
      </c>
      <c r="FO300" s="44" t="str">
        <f t="shared" si="3787"/>
        <v/>
      </c>
      <c r="FP300" s="44" t="str">
        <f t="shared" si="3788"/>
        <v/>
      </c>
      <c r="FQ300" s="44" t="str">
        <f t="shared" si="3789"/>
        <v/>
      </c>
      <c r="FR300" s="44" t="str">
        <f t="shared" si="3790"/>
        <v/>
      </c>
      <c r="FS300" s="44" t="str">
        <f t="shared" si="3791"/>
        <v/>
      </c>
    </row>
    <row r="301" spans="92:175">
      <c r="CN301" s="13" t="str">
        <f t="shared" si="3716"/>
        <v>InitUnitState('',,,,,,,,,,)</v>
      </c>
      <c r="CO301" s="13" t="str">
        <f t="shared" si="3717"/>
        <v>InitUnitNormal('',,,,,,,,,,)</v>
      </c>
      <c r="CP301" s="13" t="str">
        <f t="shared" si="3718"/>
        <v>InitUnitMagic('',,,,,,,,,,)</v>
      </c>
      <c r="CQ301" s="13" t="str">
        <f t="shared" si="3719"/>
        <v>InitUnitAdd('',,,,,,,,,,)</v>
      </c>
      <c r="CR301" s="13" t="str">
        <f t="shared" si="3720"/>
        <v>InitEquipData('',,"",,,,,'','','','','','',"")</v>
      </c>
      <c r="CU301" s="6" t="str">
        <f t="shared" si="3792"/>
        <v>|n</v>
      </c>
      <c r="CW301" s="7"/>
      <c r="CX301" s="7"/>
      <c r="CY301" s="7"/>
      <c r="CZ301" s="7"/>
      <c r="DA301" s="7"/>
      <c r="DB301" s="44" t="str">
        <f t="shared" si="3722"/>
        <v/>
      </c>
      <c r="DC301" s="44" t="str">
        <f t="shared" si="3723"/>
        <v/>
      </c>
      <c r="DD301" s="44" t="str">
        <f t="shared" si="3724"/>
        <v/>
      </c>
      <c r="DE301" s="44" t="str">
        <f t="shared" si="3725"/>
        <v/>
      </c>
      <c r="DF301" s="44" t="str">
        <f t="shared" si="3726"/>
        <v/>
      </c>
      <c r="DG301" s="44" t="str">
        <f t="shared" si="3727"/>
        <v/>
      </c>
      <c r="DH301" s="44" t="str">
        <f t="shared" si="3728"/>
        <v/>
      </c>
      <c r="DI301" s="44" t="str">
        <f t="shared" si="3729"/>
        <v/>
      </c>
      <c r="DJ301" s="44" t="str">
        <f t="shared" si="3730"/>
        <v/>
      </c>
      <c r="DK301" s="44" t="str">
        <f t="shared" si="3731"/>
        <v/>
      </c>
      <c r="DL301" s="44" t="str">
        <f t="shared" si="3732"/>
        <v/>
      </c>
      <c r="DM301" s="44" t="str">
        <f t="shared" si="3733"/>
        <v/>
      </c>
      <c r="DN301" s="44" t="str">
        <f t="shared" si="3734"/>
        <v/>
      </c>
      <c r="DO301" s="44" t="str">
        <f t="shared" si="3735"/>
        <v/>
      </c>
      <c r="DP301" s="44" t="str">
        <f t="shared" si="3736"/>
        <v/>
      </c>
      <c r="DQ301" s="44" t="str">
        <f t="shared" si="3737"/>
        <v/>
      </c>
      <c r="DR301" s="44" t="str">
        <f t="shared" si="3738"/>
        <v/>
      </c>
      <c r="DS301" s="44" t="str">
        <f t="shared" si="3739"/>
        <v/>
      </c>
      <c r="DT301" s="44" t="str">
        <f t="shared" si="3740"/>
        <v/>
      </c>
      <c r="DU301" s="44" t="str">
        <f t="shared" si="3741"/>
        <v/>
      </c>
      <c r="DV301" s="44" t="str">
        <f t="shared" si="3742"/>
        <v/>
      </c>
      <c r="DW301" s="44" t="str">
        <f t="shared" si="3743"/>
        <v/>
      </c>
      <c r="DX301" s="44" t="str">
        <f t="shared" si="3744"/>
        <v/>
      </c>
      <c r="DY301" s="44" t="str">
        <f t="shared" si="3745"/>
        <v/>
      </c>
      <c r="DZ301" s="44" t="str">
        <f t="shared" si="3746"/>
        <v/>
      </c>
      <c r="EA301" s="44" t="str">
        <f t="shared" si="3747"/>
        <v/>
      </c>
      <c r="EB301" s="44" t="str">
        <f t="shared" si="3748"/>
        <v/>
      </c>
      <c r="EC301" s="44" t="str">
        <f t="shared" si="3749"/>
        <v/>
      </c>
      <c r="ED301" s="44" t="str">
        <f t="shared" si="3750"/>
        <v/>
      </c>
      <c r="EE301" s="44" t="str">
        <f t="shared" si="3751"/>
        <v/>
      </c>
      <c r="EF301" s="44" t="str">
        <f t="shared" si="3752"/>
        <v/>
      </c>
      <c r="EG301" s="44" t="str">
        <f t="shared" si="3753"/>
        <v/>
      </c>
      <c r="EH301" s="44" t="str">
        <f t="shared" si="3754"/>
        <v/>
      </c>
      <c r="EI301" s="44" t="str">
        <f t="shared" si="3755"/>
        <v/>
      </c>
      <c r="EJ301" s="44" t="str">
        <f t="shared" si="3756"/>
        <v/>
      </c>
      <c r="EK301" s="44" t="str">
        <f t="shared" si="3757"/>
        <v/>
      </c>
      <c r="EL301" s="44" t="str">
        <f t="shared" si="3758"/>
        <v/>
      </c>
      <c r="EM301" s="44" t="str">
        <f t="shared" si="3759"/>
        <v/>
      </c>
      <c r="EN301" s="44" t="str">
        <f t="shared" si="3760"/>
        <v/>
      </c>
      <c r="EO301" s="44" t="str">
        <f t="shared" si="3761"/>
        <v/>
      </c>
      <c r="EP301" s="44" t="str">
        <f t="shared" si="3762"/>
        <v/>
      </c>
      <c r="EQ301" s="44" t="str">
        <f t="shared" si="3763"/>
        <v/>
      </c>
      <c r="ER301" s="44" t="str">
        <f t="shared" si="3764"/>
        <v/>
      </c>
      <c r="ES301" s="44" t="str">
        <f t="shared" si="3765"/>
        <v/>
      </c>
      <c r="ET301" s="44" t="str">
        <f t="shared" si="3766"/>
        <v/>
      </c>
      <c r="EU301" s="44" t="str">
        <f t="shared" si="3767"/>
        <v/>
      </c>
      <c r="EV301" s="44" t="str">
        <f t="shared" si="3768"/>
        <v/>
      </c>
      <c r="EW301" s="44" t="str">
        <f t="shared" si="3769"/>
        <v/>
      </c>
      <c r="EX301" s="44" t="str">
        <f t="shared" si="3770"/>
        <v/>
      </c>
      <c r="EY301" s="44" t="str">
        <f t="shared" si="3771"/>
        <v/>
      </c>
      <c r="EZ301" s="44" t="str">
        <f t="shared" si="3772"/>
        <v/>
      </c>
      <c r="FA301" s="44" t="str">
        <f t="shared" si="3773"/>
        <v/>
      </c>
      <c r="FB301" s="44" t="str">
        <f t="shared" si="3774"/>
        <v/>
      </c>
      <c r="FC301" s="44" t="str">
        <f t="shared" si="3775"/>
        <v/>
      </c>
      <c r="FD301" s="44" t="str">
        <f t="shared" si="3776"/>
        <v/>
      </c>
      <c r="FE301" s="44" t="str">
        <f t="shared" si="3777"/>
        <v/>
      </c>
      <c r="FF301" s="44" t="str">
        <f t="shared" si="3778"/>
        <v/>
      </c>
      <c r="FG301" s="44" t="str">
        <f t="shared" si="3779"/>
        <v/>
      </c>
      <c r="FH301" s="44" t="str">
        <f t="shared" si="3780"/>
        <v/>
      </c>
      <c r="FI301" s="44" t="str">
        <f t="shared" si="3781"/>
        <v/>
      </c>
      <c r="FJ301" s="44" t="str">
        <f t="shared" si="3782"/>
        <v/>
      </c>
      <c r="FK301" s="44" t="str">
        <f t="shared" si="3783"/>
        <v/>
      </c>
      <c r="FL301" s="44" t="str">
        <f t="shared" si="3784"/>
        <v/>
      </c>
      <c r="FM301" s="44" t="str">
        <f t="shared" si="3785"/>
        <v/>
      </c>
      <c r="FN301" s="44" t="str">
        <f t="shared" si="3786"/>
        <v/>
      </c>
      <c r="FO301" s="44" t="str">
        <f t="shared" si="3787"/>
        <v/>
      </c>
      <c r="FP301" s="44" t="str">
        <f t="shared" si="3788"/>
        <v/>
      </c>
      <c r="FQ301" s="44" t="str">
        <f t="shared" si="3789"/>
        <v/>
      </c>
      <c r="FR301" s="44" t="str">
        <f t="shared" si="3790"/>
        <v/>
      </c>
      <c r="FS301" s="44" t="str">
        <f t="shared" si="3791"/>
        <v/>
      </c>
    </row>
    <row r="302" spans="92:175">
      <c r="CN302" s="13" t="str">
        <f t="shared" si="3716"/>
        <v>InitUnitState('',,,,,,,,,,)</v>
      </c>
      <c r="CO302" s="13" t="str">
        <f t="shared" si="3717"/>
        <v>InitUnitNormal('',,,,,,,,,,)</v>
      </c>
      <c r="CP302" s="13" t="str">
        <f t="shared" si="3718"/>
        <v>InitUnitMagic('',,,,,,,,,,)</v>
      </c>
      <c r="CQ302" s="13" t="str">
        <f t="shared" si="3719"/>
        <v>InitUnitAdd('',,,,,,,,,,)</v>
      </c>
      <c r="CR302" s="13" t="str">
        <f t="shared" si="3720"/>
        <v>InitEquipData('',,"",,,,,'','','','','','',"")</v>
      </c>
      <c r="CU302" s="6" t="str">
        <f t="shared" si="3792"/>
        <v>|n</v>
      </c>
      <c r="CW302" s="7"/>
      <c r="CX302" s="7"/>
      <c r="CY302" s="7"/>
      <c r="CZ302" s="7"/>
      <c r="DA302" s="7"/>
      <c r="DB302" s="44" t="str">
        <f t="shared" si="3722"/>
        <v/>
      </c>
      <c r="DC302" s="44" t="str">
        <f t="shared" si="3723"/>
        <v/>
      </c>
      <c r="DD302" s="44" t="str">
        <f t="shared" si="3724"/>
        <v/>
      </c>
      <c r="DE302" s="44" t="str">
        <f t="shared" si="3725"/>
        <v/>
      </c>
      <c r="DF302" s="44" t="str">
        <f t="shared" si="3726"/>
        <v/>
      </c>
      <c r="DG302" s="44" t="str">
        <f t="shared" si="3727"/>
        <v/>
      </c>
      <c r="DH302" s="44" t="str">
        <f t="shared" si="3728"/>
        <v/>
      </c>
      <c r="DI302" s="44" t="str">
        <f t="shared" si="3729"/>
        <v/>
      </c>
      <c r="DJ302" s="44" t="str">
        <f t="shared" si="3730"/>
        <v/>
      </c>
      <c r="DK302" s="44" t="str">
        <f t="shared" si="3731"/>
        <v/>
      </c>
      <c r="DL302" s="44" t="str">
        <f t="shared" si="3732"/>
        <v/>
      </c>
      <c r="DM302" s="44" t="str">
        <f t="shared" si="3733"/>
        <v/>
      </c>
      <c r="DN302" s="44" t="str">
        <f t="shared" si="3734"/>
        <v/>
      </c>
      <c r="DO302" s="44" t="str">
        <f t="shared" si="3735"/>
        <v/>
      </c>
      <c r="DP302" s="44" t="str">
        <f t="shared" si="3736"/>
        <v/>
      </c>
      <c r="DQ302" s="44" t="str">
        <f t="shared" si="3737"/>
        <v/>
      </c>
      <c r="DR302" s="44" t="str">
        <f t="shared" si="3738"/>
        <v/>
      </c>
      <c r="DS302" s="44" t="str">
        <f t="shared" si="3739"/>
        <v/>
      </c>
      <c r="DT302" s="44" t="str">
        <f t="shared" si="3740"/>
        <v/>
      </c>
      <c r="DU302" s="44" t="str">
        <f t="shared" si="3741"/>
        <v/>
      </c>
      <c r="DV302" s="44" t="str">
        <f t="shared" si="3742"/>
        <v/>
      </c>
      <c r="DW302" s="44" t="str">
        <f t="shared" si="3743"/>
        <v/>
      </c>
      <c r="DX302" s="44" t="str">
        <f t="shared" si="3744"/>
        <v/>
      </c>
      <c r="DY302" s="44" t="str">
        <f t="shared" si="3745"/>
        <v/>
      </c>
      <c r="DZ302" s="44" t="str">
        <f t="shared" si="3746"/>
        <v/>
      </c>
      <c r="EA302" s="44" t="str">
        <f t="shared" si="3747"/>
        <v/>
      </c>
      <c r="EB302" s="44" t="str">
        <f t="shared" si="3748"/>
        <v/>
      </c>
      <c r="EC302" s="44" t="str">
        <f t="shared" si="3749"/>
        <v/>
      </c>
      <c r="ED302" s="44" t="str">
        <f t="shared" si="3750"/>
        <v/>
      </c>
      <c r="EE302" s="44" t="str">
        <f t="shared" si="3751"/>
        <v/>
      </c>
      <c r="EF302" s="44" t="str">
        <f t="shared" si="3752"/>
        <v/>
      </c>
      <c r="EG302" s="44" t="str">
        <f t="shared" si="3753"/>
        <v/>
      </c>
      <c r="EH302" s="44" t="str">
        <f t="shared" si="3754"/>
        <v/>
      </c>
      <c r="EI302" s="44" t="str">
        <f t="shared" si="3755"/>
        <v/>
      </c>
      <c r="EJ302" s="44" t="str">
        <f t="shared" si="3756"/>
        <v/>
      </c>
      <c r="EK302" s="44" t="str">
        <f t="shared" si="3757"/>
        <v/>
      </c>
      <c r="EL302" s="44" t="str">
        <f t="shared" si="3758"/>
        <v/>
      </c>
      <c r="EM302" s="44" t="str">
        <f t="shared" si="3759"/>
        <v/>
      </c>
      <c r="EN302" s="44" t="str">
        <f t="shared" si="3760"/>
        <v/>
      </c>
      <c r="EO302" s="44" t="str">
        <f t="shared" si="3761"/>
        <v/>
      </c>
      <c r="EP302" s="44" t="str">
        <f t="shared" si="3762"/>
        <v/>
      </c>
      <c r="EQ302" s="44" t="str">
        <f t="shared" si="3763"/>
        <v/>
      </c>
      <c r="ER302" s="44" t="str">
        <f t="shared" si="3764"/>
        <v/>
      </c>
      <c r="ES302" s="44" t="str">
        <f t="shared" si="3765"/>
        <v/>
      </c>
      <c r="ET302" s="44" t="str">
        <f t="shared" si="3766"/>
        <v/>
      </c>
      <c r="EU302" s="44" t="str">
        <f t="shared" si="3767"/>
        <v/>
      </c>
      <c r="EV302" s="44" t="str">
        <f t="shared" si="3768"/>
        <v/>
      </c>
      <c r="EW302" s="44" t="str">
        <f t="shared" si="3769"/>
        <v/>
      </c>
      <c r="EX302" s="44" t="str">
        <f t="shared" si="3770"/>
        <v/>
      </c>
      <c r="EY302" s="44" t="str">
        <f t="shared" si="3771"/>
        <v/>
      </c>
      <c r="EZ302" s="44" t="str">
        <f t="shared" si="3772"/>
        <v/>
      </c>
      <c r="FA302" s="44" t="str">
        <f t="shared" si="3773"/>
        <v/>
      </c>
      <c r="FB302" s="44" t="str">
        <f t="shared" si="3774"/>
        <v/>
      </c>
      <c r="FC302" s="44" t="str">
        <f t="shared" si="3775"/>
        <v/>
      </c>
      <c r="FD302" s="44" t="str">
        <f t="shared" si="3776"/>
        <v/>
      </c>
      <c r="FE302" s="44" t="str">
        <f t="shared" si="3777"/>
        <v/>
      </c>
      <c r="FF302" s="44" t="str">
        <f t="shared" si="3778"/>
        <v/>
      </c>
      <c r="FG302" s="44" t="str">
        <f t="shared" si="3779"/>
        <v/>
      </c>
      <c r="FH302" s="44" t="str">
        <f t="shared" si="3780"/>
        <v/>
      </c>
      <c r="FI302" s="44" t="str">
        <f t="shared" si="3781"/>
        <v/>
      </c>
      <c r="FJ302" s="44" t="str">
        <f t="shared" si="3782"/>
        <v/>
      </c>
      <c r="FK302" s="44" t="str">
        <f t="shared" si="3783"/>
        <v/>
      </c>
      <c r="FL302" s="44" t="str">
        <f t="shared" si="3784"/>
        <v/>
      </c>
      <c r="FM302" s="44" t="str">
        <f t="shared" si="3785"/>
        <v/>
      </c>
      <c r="FN302" s="44" t="str">
        <f t="shared" si="3786"/>
        <v/>
      </c>
      <c r="FO302" s="44" t="str">
        <f t="shared" si="3787"/>
        <v/>
      </c>
      <c r="FP302" s="44" t="str">
        <f t="shared" si="3788"/>
        <v/>
      </c>
      <c r="FQ302" s="44" t="str">
        <f t="shared" si="3789"/>
        <v/>
      </c>
      <c r="FR302" s="44" t="str">
        <f t="shared" si="3790"/>
        <v/>
      </c>
      <c r="FS302" s="44" t="str">
        <f t="shared" si="3791"/>
        <v/>
      </c>
    </row>
    <row r="303" spans="92:120">
      <c r="CN303" s="13" t="str">
        <f t="shared" si="3716"/>
        <v>InitUnitState('',,,,,,,,,,)</v>
      </c>
      <c r="CO303" s="13" t="str">
        <f t="shared" si="3717"/>
        <v>InitUnitNormal('',,,,,,,,,,)</v>
      </c>
      <c r="CP303" s="13" t="str">
        <f t="shared" si="3718"/>
        <v>InitUnitMagic('',,,,,,,,,,)</v>
      </c>
      <c r="CQ303" s="13" t="str">
        <f t="shared" si="3719"/>
        <v>InitUnitAdd('',,,,,,,,,,)</v>
      </c>
      <c r="CR303" s="13" t="str">
        <f t="shared" si="3720"/>
        <v>InitEquipData('',,"",,,,,'','','','','','',"")</v>
      </c>
      <c r="CU303" s="6" t="str">
        <f t="shared" si="3792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20">
      <c r="CN304" s="13" t="str">
        <f t="shared" si="3716"/>
        <v>InitUnitState('',,,,,,,,,,)</v>
      </c>
      <c r="CO304" s="13" t="str">
        <f t="shared" si="3717"/>
        <v>InitUnitNormal('',,,,,,,,,,)</v>
      </c>
      <c r="CP304" s="13" t="str">
        <f t="shared" si="3718"/>
        <v>InitUnitMagic('',,,,,,,,,,)</v>
      </c>
      <c r="CQ304" s="13" t="str">
        <f t="shared" si="3719"/>
        <v>InitUnitAdd('',,,,,,,,,,)</v>
      </c>
      <c r="CR304" s="13" t="str">
        <f t="shared" si="3720"/>
        <v>InitEquipData('',,"",,,,,'','','','','','',"")</v>
      </c>
      <c r="CU304" s="6" t="str">
        <f t="shared" si="3792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716"/>
        <v>InitUnitState('',,,,,,,,,,)</v>
      </c>
      <c r="CO305" s="13" t="str">
        <f t="shared" si="3717"/>
        <v>InitUnitNormal('',,,,,,,,,,)</v>
      </c>
      <c r="CP305" s="13" t="str">
        <f t="shared" si="3718"/>
        <v>InitUnitMagic('',,,,,,,,,,)</v>
      </c>
      <c r="CQ305" s="13" t="str">
        <f t="shared" si="3719"/>
        <v>InitUnitAdd('',,,,,,,,,,)</v>
      </c>
      <c r="CR305" s="13" t="str">
        <f t="shared" si="3720"/>
        <v>InitEquipData('',,"",,,,,'','','','','','',"")</v>
      </c>
      <c r="CU305" s="6" t="str">
        <f t="shared" si="3792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716"/>
        <v>InitUnitState('',,,,,,,,,,)</v>
      </c>
      <c r="CO306" s="13" t="str">
        <f t="shared" si="3717"/>
        <v>InitUnitNormal('',,,,,,,,,,)</v>
      </c>
      <c r="CP306" s="13" t="str">
        <f t="shared" si="3718"/>
        <v>InitUnitMagic('',,,,,,,,,,)</v>
      </c>
      <c r="CQ306" s="13" t="str">
        <f t="shared" si="3719"/>
        <v>InitUnitAdd('',,,,,,,,,,)</v>
      </c>
      <c r="CR306" s="13" t="str">
        <f t="shared" si="3720"/>
        <v>InitEquipData('',,"",,,,,'','','','','','',"")</v>
      </c>
      <c r="CU306" s="6" t="str">
        <f t="shared" si="3792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716"/>
        <v>InitUnitState('',,,,,,,,,,)</v>
      </c>
      <c r="CO307" s="13" t="str">
        <f t="shared" si="3717"/>
        <v>InitUnitNormal('',,,,,,,,,,)</v>
      </c>
      <c r="CP307" s="13" t="str">
        <f t="shared" si="3718"/>
        <v>InitUnitMagic('',,,,,,,,,,)</v>
      </c>
      <c r="CQ307" s="13" t="str">
        <f t="shared" si="3719"/>
        <v>InitUnitAdd('',,,,,,,,,,)</v>
      </c>
      <c r="CR307" s="13" t="str">
        <f t="shared" si="3720"/>
        <v>InitEquipData('',,"",,,,,'','','','','','',"")</v>
      </c>
      <c r="CU307" s="6" t="str">
        <f t="shared" si="3792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716"/>
        <v>InitUnitState('',,,,,,,,,,)</v>
      </c>
      <c r="CO308" s="13" t="str">
        <f t="shared" si="3717"/>
        <v>InitUnitNormal('',,,,,,,,,,)</v>
      </c>
      <c r="CP308" s="13" t="str">
        <f t="shared" si="3718"/>
        <v>InitUnitMagic('',,,,,,,,,,)</v>
      </c>
      <c r="CQ308" s="13" t="str">
        <f t="shared" si="3719"/>
        <v>InitUnitAdd('',,,,,,,,,,)</v>
      </c>
      <c r="CR308" s="13" t="str">
        <f t="shared" si="3720"/>
        <v>InitEquipData('',,"",,,,,'','','','','','',"")</v>
      </c>
      <c r="CU308" s="6" t="str">
        <f t="shared" si="3792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716"/>
        <v>InitUnitState('',,,,,,,,,,)</v>
      </c>
      <c r="CO309" s="13" t="str">
        <f t="shared" si="3717"/>
        <v>InitUnitNormal('',,,,,,,,,,)</v>
      </c>
      <c r="CP309" s="13" t="str">
        <f t="shared" si="3718"/>
        <v>InitUnitMagic('',,,,,,,,,,)</v>
      </c>
      <c r="CQ309" s="13" t="str">
        <f t="shared" si="3719"/>
        <v>InitUnitAdd('',,,,,,,,,,)</v>
      </c>
      <c r="CR309" s="13" t="str">
        <f t="shared" si="3720"/>
        <v>InitEquipData('',,"",,,,,'','','','','','',"")</v>
      </c>
      <c r="CU309" s="6" t="str">
        <f t="shared" si="3792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16"/>
        <v>InitUnitState('',,,,,,,,,,)</v>
      </c>
      <c r="CO310" s="13" t="str">
        <f t="shared" si="3717"/>
        <v>InitUnitNormal('',,,,,,,,,,)</v>
      </c>
      <c r="CP310" s="13" t="str">
        <f t="shared" si="3718"/>
        <v>InitUnitMagic('',,,,,,,,,,)</v>
      </c>
      <c r="CQ310" s="13" t="str">
        <f t="shared" si="3719"/>
        <v>InitUnitAdd('',,,,,,,,,,)</v>
      </c>
      <c r="CR310" s="13" t="str">
        <f t="shared" si="3720"/>
        <v>InitEquipData('',,"",,,,,'','','','','','',"")</v>
      </c>
      <c r="CU310" s="6" t="str">
        <f t="shared" si="3792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16"/>
        <v>InitUnitState('',,,,,,,,,,)</v>
      </c>
      <c r="CO311" s="13" t="str">
        <f t="shared" si="3717"/>
        <v>InitUnitNormal('',,,,,,,,,,)</v>
      </c>
      <c r="CP311" s="13" t="str">
        <f t="shared" si="3718"/>
        <v>InitUnitMagic('',,,,,,,,,,)</v>
      </c>
      <c r="CQ311" s="13" t="str">
        <f t="shared" si="3719"/>
        <v>InitUnitAdd('',,,,,,,,,,)</v>
      </c>
      <c r="CR311" s="13" t="str">
        <f t="shared" si="3720"/>
        <v>InitEquipData('',,"",,,,,'','','','','','',"")</v>
      </c>
      <c r="CU311" s="6" t="str">
        <f t="shared" si="3792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16"/>
        <v>InitUnitState('',,,,,,,,,,)</v>
      </c>
      <c r="CO312" s="13" t="str">
        <f t="shared" si="3717"/>
        <v>InitUnitNormal('',,,,,,,,,,)</v>
      </c>
      <c r="CP312" s="13" t="str">
        <f t="shared" si="3718"/>
        <v>InitUnitMagic('',,,,,,,,,,)</v>
      </c>
      <c r="CQ312" s="13" t="str">
        <f t="shared" si="3719"/>
        <v>InitUnitAdd('',,,,,,,,,,)</v>
      </c>
      <c r="CR312" s="13" t="str">
        <f t="shared" si="3720"/>
        <v>InitEquipData('',,"",,,,,'','','','','','',"")</v>
      </c>
      <c r="CU312" s="6" t="str">
        <f t="shared" si="3792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16"/>
        <v>InitUnitState('',,,,,,,,,,)</v>
      </c>
      <c r="CO313" s="13" t="str">
        <f t="shared" si="3717"/>
        <v>InitUnitNormal('',,,,,,,,,,)</v>
      </c>
      <c r="CP313" s="13" t="str">
        <f t="shared" si="3718"/>
        <v>InitUnitMagic('',,,,,,,,,,)</v>
      </c>
      <c r="CQ313" s="13" t="str">
        <f t="shared" si="3719"/>
        <v>InitUnitAdd('',,,,,,,,,,)</v>
      </c>
      <c r="CR313" s="13" t="str">
        <f t="shared" si="3720"/>
        <v>InitEquipData('',,"",,,,,'','','','','','',"")</v>
      </c>
      <c r="CU313" s="6" t="str">
        <f t="shared" si="3792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ref="CN314:CN333" si="3793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13" t="str">
        <f t="shared" ref="CO314:CO333" si="3794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13" t="str">
        <f t="shared" ref="CP314:CP333" si="3795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13" t="str">
        <f t="shared" ref="CQ314:CQ333" si="3796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13" t="str">
        <f t="shared" ref="CR314:CR333" si="3797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6" t="str">
        <f t="shared" si="3792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93"/>
        <v>InitUnitState('',,,,,,,,,,)</v>
      </c>
      <c r="CO315" s="13" t="str">
        <f t="shared" si="3794"/>
        <v>InitUnitNormal('',,,,,,,,,,)</v>
      </c>
      <c r="CP315" s="13" t="str">
        <f t="shared" si="3795"/>
        <v>InitUnitMagic('',,,,,,,,,,)</v>
      </c>
      <c r="CQ315" s="13" t="str">
        <f t="shared" si="3796"/>
        <v>InitUnitAdd('',,,,,,,,,,)</v>
      </c>
      <c r="CR315" s="13" t="str">
        <f t="shared" si="3797"/>
        <v>InitEquipData('',,"",,,,,'','','','','','',"")</v>
      </c>
      <c r="CU315" s="6" t="str">
        <f t="shared" si="3792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93"/>
        <v>InitUnitState('',,,,,,,,,,)</v>
      </c>
      <c r="CO316" s="13" t="str">
        <f t="shared" si="3794"/>
        <v>InitUnitNormal('',,,,,,,,,,)</v>
      </c>
      <c r="CP316" s="13" t="str">
        <f t="shared" si="3795"/>
        <v>InitUnitMagic('',,,,,,,,,,)</v>
      </c>
      <c r="CQ316" s="13" t="str">
        <f t="shared" si="3796"/>
        <v>InitUnitAdd('',,,,,,,,,,)</v>
      </c>
      <c r="CR316" s="13" t="str">
        <f t="shared" si="3797"/>
        <v>InitEquipData('',,"",,,,,'','','','','','',"")</v>
      </c>
      <c r="CU316" s="6" t="str">
        <f t="shared" si="3792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93"/>
        <v>InitUnitState('',,,,,,,,,,)</v>
      </c>
      <c r="CO317" s="13" t="str">
        <f t="shared" si="3794"/>
        <v>InitUnitNormal('',,,,,,,,,,)</v>
      </c>
      <c r="CP317" s="13" t="str">
        <f t="shared" si="3795"/>
        <v>InitUnitMagic('',,,,,,,,,,)</v>
      </c>
      <c r="CQ317" s="13" t="str">
        <f t="shared" si="3796"/>
        <v>InitUnitAdd('',,,,,,,,,,)</v>
      </c>
      <c r="CR317" s="13" t="str">
        <f t="shared" si="3797"/>
        <v>InitEquipData('',,"",,,,,'','','','','','',"")</v>
      </c>
      <c r="CU317" s="6" t="str">
        <f t="shared" si="3792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93"/>
        <v>InitUnitState('',,,,,,,,,,)</v>
      </c>
      <c r="CO318" s="13" t="str">
        <f t="shared" si="3794"/>
        <v>InitUnitNormal('',,,,,,,,,,)</v>
      </c>
      <c r="CP318" s="13" t="str">
        <f t="shared" si="3795"/>
        <v>InitUnitMagic('',,,,,,,,,,)</v>
      </c>
      <c r="CQ318" s="13" t="str">
        <f t="shared" si="3796"/>
        <v>InitUnitAdd('',,,,,,,,,,)</v>
      </c>
      <c r="CR318" s="13" t="str">
        <f t="shared" si="3797"/>
        <v>InitEquipData('',,"",,,,,'','','','','','',"")</v>
      </c>
      <c r="CU318" s="6" t="str">
        <f t="shared" si="3792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93"/>
        <v>InitUnitState('',,,,,,,,,,)</v>
      </c>
      <c r="CO319" s="13" t="str">
        <f t="shared" si="3794"/>
        <v>InitUnitNormal('',,,,,,,,,,)</v>
      </c>
      <c r="CP319" s="13" t="str">
        <f t="shared" si="3795"/>
        <v>InitUnitMagic('',,,,,,,,,,)</v>
      </c>
      <c r="CQ319" s="13" t="str">
        <f t="shared" si="3796"/>
        <v>InitUnitAdd('',,,,,,,,,,)</v>
      </c>
      <c r="CR319" s="13" t="str">
        <f t="shared" si="3797"/>
        <v>InitEquipData('',,"",,,,,'','','','','','',"")</v>
      </c>
      <c r="CU319" s="6" t="str">
        <f t="shared" si="3792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93"/>
        <v>InitUnitState('',,,,,,,,,,)</v>
      </c>
      <c r="CO320" s="13" t="str">
        <f t="shared" si="3794"/>
        <v>InitUnitNormal('',,,,,,,,,,)</v>
      </c>
      <c r="CP320" s="13" t="str">
        <f t="shared" si="3795"/>
        <v>InitUnitMagic('',,,,,,,,,,)</v>
      </c>
      <c r="CQ320" s="13" t="str">
        <f t="shared" si="3796"/>
        <v>InitUnitAdd('',,,,,,,,,,)</v>
      </c>
      <c r="CR320" s="13" t="str">
        <f t="shared" si="3797"/>
        <v>InitEquipData('',,"",,,,,'','','','','','',"")</v>
      </c>
      <c r="CU320" s="6" t="str">
        <f t="shared" si="3792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93"/>
        <v>InitUnitState('',,,,,,,,,,)</v>
      </c>
      <c r="CO321" s="13" t="str">
        <f t="shared" si="3794"/>
        <v>InitUnitNormal('',,,,,,,,,,)</v>
      </c>
      <c r="CP321" s="13" t="str">
        <f t="shared" si="3795"/>
        <v>InitUnitMagic('',,,,,,,,,,)</v>
      </c>
      <c r="CQ321" s="13" t="str">
        <f t="shared" si="3796"/>
        <v>InitUnitAdd('',,,,,,,,,,)</v>
      </c>
      <c r="CR321" s="13" t="str">
        <f t="shared" si="3797"/>
        <v>InitEquipData('',,"",,,,,'','','','','','',"")</v>
      </c>
      <c r="CU321" s="6" t="str">
        <f t="shared" si="3792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93"/>
        <v>InitUnitState('',,,,,,,,,,)</v>
      </c>
      <c r="CO322" s="13" t="str">
        <f t="shared" si="3794"/>
        <v>InitUnitNormal('',,,,,,,,,,)</v>
      </c>
      <c r="CP322" s="13" t="str">
        <f t="shared" si="3795"/>
        <v>InitUnitMagic('',,,,,,,,,,)</v>
      </c>
      <c r="CQ322" s="13" t="str">
        <f t="shared" si="3796"/>
        <v>InitUnitAdd('',,,,,,,,,,)</v>
      </c>
      <c r="CR322" s="13" t="str">
        <f t="shared" si="3797"/>
        <v>InitEquipData('',,"",,,,,'','','','','','',"")</v>
      </c>
      <c r="CU322" s="6" t="str">
        <f t="shared" si="3792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93"/>
        <v>InitUnitState('',,,,,,,,,,)</v>
      </c>
      <c r="CO323" s="13" t="str">
        <f t="shared" si="3794"/>
        <v>InitUnitNormal('',,,,,,,,,,)</v>
      </c>
      <c r="CP323" s="13" t="str">
        <f t="shared" si="3795"/>
        <v>InitUnitMagic('',,,,,,,,,,)</v>
      </c>
      <c r="CQ323" s="13" t="str">
        <f t="shared" si="3796"/>
        <v>InitUnitAdd('',,,,,,,,,,)</v>
      </c>
      <c r="CR323" s="13" t="str">
        <f t="shared" si="3797"/>
        <v>InitEquipData('',,"",,,,,'','','','','','',"")</v>
      </c>
      <c r="CU323" s="6" t="str">
        <f t="shared" si="3792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93"/>
        <v>InitUnitState('',,,,,,,,,,)</v>
      </c>
      <c r="CO324" s="13" t="str">
        <f t="shared" si="3794"/>
        <v>InitUnitNormal('',,,,,,,,,,)</v>
      </c>
      <c r="CP324" s="13" t="str">
        <f t="shared" si="3795"/>
        <v>InitUnitMagic('',,,,,,,,,,)</v>
      </c>
      <c r="CQ324" s="13" t="str">
        <f t="shared" si="3796"/>
        <v>InitUnitAdd('',,,,,,,,,,)</v>
      </c>
      <c r="CR324" s="13" t="str">
        <f t="shared" si="3797"/>
        <v>InitEquipData('',,"",,,,,'','','','','','',"")</v>
      </c>
      <c r="CU324" s="6" t="str">
        <f t="shared" si="3792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93"/>
        <v>InitUnitState('',,,,,,,,,,)</v>
      </c>
      <c r="CO325" s="13" t="str">
        <f t="shared" si="3794"/>
        <v>InitUnitNormal('',,,,,,,,,,)</v>
      </c>
      <c r="CP325" s="13" t="str">
        <f t="shared" si="3795"/>
        <v>InitUnitMagic('',,,,,,,,,,)</v>
      </c>
      <c r="CQ325" s="13" t="str">
        <f t="shared" si="3796"/>
        <v>InitUnitAdd('',,,,,,,,,,)</v>
      </c>
      <c r="CR325" s="13" t="str">
        <f t="shared" si="3797"/>
        <v>InitEquipData('',,"",,,,,'','','','','','',"")</v>
      </c>
      <c r="CU325" s="6" t="str">
        <f t="shared" si="3792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93"/>
        <v>InitUnitState('',,,,,,,,,,)</v>
      </c>
      <c r="CO326" s="13" t="str">
        <f t="shared" si="3794"/>
        <v>InitUnitNormal('',,,,,,,,,,)</v>
      </c>
      <c r="CP326" s="13" t="str">
        <f t="shared" si="3795"/>
        <v>InitUnitMagic('',,,,,,,,,,)</v>
      </c>
      <c r="CQ326" s="13" t="str">
        <f t="shared" si="3796"/>
        <v>InitUnitAdd('',,,,,,,,,,)</v>
      </c>
      <c r="CR326" s="13" t="str">
        <f t="shared" si="3797"/>
        <v>InitEquipData('',,"",,,,,'','','','','','',"")</v>
      </c>
      <c r="CU326" s="6" t="str">
        <f t="shared" si="3792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93"/>
        <v>InitUnitState('',,,,,,,,,,)</v>
      </c>
      <c r="CO327" s="13" t="str">
        <f t="shared" si="3794"/>
        <v>InitUnitNormal('',,,,,,,,,,)</v>
      </c>
      <c r="CP327" s="13" t="str">
        <f t="shared" si="3795"/>
        <v>InitUnitMagic('',,,,,,,,,,)</v>
      </c>
      <c r="CQ327" s="13" t="str">
        <f t="shared" si="3796"/>
        <v>InitUnitAdd('',,,,,,,,,,)</v>
      </c>
      <c r="CR327" s="13" t="str">
        <f t="shared" si="3797"/>
        <v>InitEquipData('',,"",,,,,'','','','','','',"")</v>
      </c>
      <c r="CU327" s="6" t="str">
        <f t="shared" si="3792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93"/>
        <v>InitUnitState('',,,,,,,,,,)</v>
      </c>
      <c r="CO328" s="13" t="str">
        <f t="shared" si="3794"/>
        <v>InitUnitNormal('',,,,,,,,,,)</v>
      </c>
      <c r="CP328" s="13" t="str">
        <f t="shared" si="3795"/>
        <v>InitUnitMagic('',,,,,,,,,,)</v>
      </c>
      <c r="CQ328" s="13" t="str">
        <f t="shared" si="3796"/>
        <v>InitUnitAdd('',,,,,,,,,,)</v>
      </c>
      <c r="CR328" s="13" t="str">
        <f t="shared" si="3797"/>
        <v>InitEquipData('',,"",,,,,'','','','','','',"")</v>
      </c>
      <c r="CU328" s="6" t="str">
        <f t="shared" si="3792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93"/>
        <v>InitUnitState('',,,,,,,,,,)</v>
      </c>
      <c r="CO329" s="13" t="str">
        <f t="shared" si="3794"/>
        <v>InitUnitNormal('',,,,,,,,,,)</v>
      </c>
      <c r="CP329" s="13" t="str">
        <f t="shared" si="3795"/>
        <v>InitUnitMagic('',,,,,,,,,,)</v>
      </c>
      <c r="CQ329" s="13" t="str">
        <f t="shared" si="3796"/>
        <v>InitUnitAdd('',,,,,,,,,,)</v>
      </c>
      <c r="CR329" s="13" t="str">
        <f t="shared" si="3797"/>
        <v>InitEquipData('',,"",,,,,'','','','','','',"")</v>
      </c>
      <c r="CU329" s="6" t="str">
        <f t="shared" si="3792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793"/>
        <v>InitUnitState('',,,,,,,,,,)</v>
      </c>
      <c r="CO330" s="13" t="str">
        <f t="shared" si="3794"/>
        <v>InitUnitNormal('',,,,,,,,,,)</v>
      </c>
      <c r="CP330" s="13" t="str">
        <f t="shared" si="3795"/>
        <v>InitUnitMagic('',,,,,,,,,,)</v>
      </c>
      <c r="CQ330" s="13" t="str">
        <f t="shared" si="3796"/>
        <v>InitUnitAdd('',,,,,,,,,,)</v>
      </c>
      <c r="CR330" s="13" t="str">
        <f t="shared" si="3797"/>
        <v>InitEquipData('',,"",,,,,'','','','','','',"")</v>
      </c>
      <c r="CU330" s="6" t="str">
        <f t="shared" si="3792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  <row r="331" spans="92:120">
      <c r="CN331" s="13" t="str">
        <f t="shared" si="3793"/>
        <v>InitUnitState('',,,,,,,,,,)</v>
      </c>
      <c r="CO331" s="13" t="str">
        <f t="shared" si="3794"/>
        <v>InitUnitNormal('',,,,,,,,,,)</v>
      </c>
      <c r="CP331" s="13" t="str">
        <f t="shared" si="3795"/>
        <v>InitUnitMagic('',,,,,,,,,,)</v>
      </c>
      <c r="CQ331" s="13" t="str">
        <f t="shared" si="3796"/>
        <v>InitUnitAdd('',,,,,,,,,,)</v>
      </c>
      <c r="CR331" s="13" t="str">
        <f t="shared" si="3797"/>
        <v>InitEquipData('',,"",,,,,'','','','','','',"")</v>
      </c>
      <c r="CU331" s="6" t="str">
        <f t="shared" si="3792"/>
        <v>|n</v>
      </c>
      <c r="DB331" s="44" t="str">
        <f>IF(V331="","","|n"&amp;#REF!&amp;"+"&amp;V331)</f>
        <v/>
      </c>
      <c r="DC331" s="44" t="str">
        <f>IF(W331="","","|n"&amp;#REF!&amp;"+"&amp;W331)</f>
        <v/>
      </c>
      <c r="DD331" s="44" t="str">
        <f>IF(X331="","","|n"&amp;#REF!&amp;"+"&amp;X331)</f>
        <v/>
      </c>
      <c r="DE331" s="44" t="str">
        <f>IF(Y331="","","|n"&amp;#REF!&amp;"+"&amp;Y331)</f>
        <v/>
      </c>
      <c r="DF331" s="44" t="str">
        <f>IF(Z331="","","|n"&amp;#REF!&amp;"+"&amp;Z331)</f>
        <v/>
      </c>
      <c r="DG331" s="44" t="str">
        <f>IF(AA331="","","|n"&amp;#REF!&amp;"+"&amp;AA331)</f>
        <v/>
      </c>
      <c r="DH331" s="44" t="str">
        <f>IF(AB331="","","|n"&amp;#REF!&amp;"+"&amp;AB331)</f>
        <v/>
      </c>
      <c r="DI331" s="44" t="str">
        <f>IF(AC331="","","|n"&amp;#REF!&amp;"+"&amp;AC331&amp;"%")</f>
        <v/>
      </c>
      <c r="DJ331" s="44" t="str">
        <f>IF(AD331="","","|n"&amp;#REF!&amp;"+"&amp;AD331)</f>
        <v/>
      </c>
      <c r="DK331" s="44" t="str">
        <f>IF(AE331="","","|n"&amp;#REF!&amp;"+"&amp;AE331)</f>
        <v/>
      </c>
      <c r="DL331" s="44" t="str">
        <f>IF(AF331="","","|n"&amp;#REF!&amp;"+"&amp;AF331)</f>
        <v/>
      </c>
      <c r="DM331" s="44" t="str">
        <f>IF(AG331="","","|n"&amp;#REF!&amp;"+"&amp;AG331&amp;"%")</f>
        <v/>
      </c>
      <c r="DN331" s="44" t="str">
        <f>IF(AH331="","","|n"&amp;#REF!&amp;"+"&amp;AH331)</f>
        <v/>
      </c>
      <c r="DO331" s="44" t="str">
        <f>IF(AI331="","","|n"&amp;#REF!&amp;"+"&amp;AI331)</f>
        <v/>
      </c>
      <c r="DP331" s="44" t="str">
        <f>IF(AJ331="","","|n"&amp;#REF!&amp;"+"&amp;AJ331)</f>
        <v/>
      </c>
    </row>
    <row r="332" spans="92:120">
      <c r="CN332" s="13" t="str">
        <f t="shared" si="3793"/>
        <v>InitUnitState('',,,,,,,,,,)</v>
      </c>
      <c r="CO332" s="13" t="str">
        <f t="shared" si="3794"/>
        <v>InitUnitNormal('',,,,,,,,,,)</v>
      </c>
      <c r="CP332" s="13" t="str">
        <f t="shared" si="3795"/>
        <v>InitUnitMagic('',,,,,,,,,,)</v>
      </c>
      <c r="CQ332" s="13" t="str">
        <f t="shared" si="3796"/>
        <v>InitUnitAdd('',,,,,,,,,,)</v>
      </c>
      <c r="CR332" s="13" t="str">
        <f t="shared" si="3797"/>
        <v>InitEquipData('',,"",,,,,'','','','','','',"")</v>
      </c>
      <c r="CU332" s="6" t="str">
        <f t="shared" si="3792"/>
        <v>|n</v>
      </c>
      <c r="DB332" s="44" t="str">
        <f>IF(V332="","","|n"&amp;#REF!&amp;"+"&amp;V332)</f>
        <v/>
      </c>
      <c r="DC332" s="44" t="str">
        <f>IF(W332="","","|n"&amp;#REF!&amp;"+"&amp;W332)</f>
        <v/>
      </c>
      <c r="DD332" s="44" t="str">
        <f>IF(X332="","","|n"&amp;#REF!&amp;"+"&amp;X332)</f>
        <v/>
      </c>
      <c r="DE332" s="44" t="str">
        <f>IF(Y332="","","|n"&amp;#REF!&amp;"+"&amp;Y332)</f>
        <v/>
      </c>
      <c r="DF332" s="44" t="str">
        <f>IF(Z332="","","|n"&amp;#REF!&amp;"+"&amp;Z332)</f>
        <v/>
      </c>
      <c r="DG332" s="44" t="str">
        <f>IF(AA332="","","|n"&amp;#REF!&amp;"+"&amp;AA332)</f>
        <v/>
      </c>
      <c r="DH332" s="44" t="str">
        <f>IF(AB332="","","|n"&amp;#REF!&amp;"+"&amp;AB332)</f>
        <v/>
      </c>
      <c r="DI332" s="44" t="str">
        <f>IF(AC332="","","|n"&amp;#REF!&amp;"+"&amp;AC332&amp;"%")</f>
        <v/>
      </c>
      <c r="DJ332" s="44" t="str">
        <f>IF(AD332="","","|n"&amp;#REF!&amp;"+"&amp;AD332)</f>
        <v/>
      </c>
      <c r="DK332" s="44" t="str">
        <f>IF(AE332="","","|n"&amp;#REF!&amp;"+"&amp;AE332)</f>
        <v/>
      </c>
      <c r="DL332" s="44" t="str">
        <f>IF(AF332="","","|n"&amp;#REF!&amp;"+"&amp;AF332)</f>
        <v/>
      </c>
      <c r="DM332" s="44" t="str">
        <f>IF(AG332="","","|n"&amp;#REF!&amp;"+"&amp;AG332&amp;"%")</f>
        <v/>
      </c>
      <c r="DN332" s="44" t="str">
        <f>IF(AH332="","","|n"&amp;#REF!&amp;"+"&amp;AH332)</f>
        <v/>
      </c>
      <c r="DO332" s="44" t="str">
        <f>IF(AI332="","","|n"&amp;#REF!&amp;"+"&amp;AI332)</f>
        <v/>
      </c>
      <c r="DP332" s="44" t="str">
        <f>IF(AJ332="","","|n"&amp;#REF!&amp;"+"&amp;AJ332)</f>
        <v/>
      </c>
    </row>
    <row r="333" spans="92:120">
      <c r="CN333" s="13" t="str">
        <f t="shared" si="3793"/>
        <v>InitUnitState('',,,,,,,,,,)</v>
      </c>
      <c r="CO333" s="13" t="str">
        <f t="shared" si="3794"/>
        <v>InitUnitNormal('',,,,,,,,,,)</v>
      </c>
      <c r="CP333" s="13" t="str">
        <f t="shared" si="3795"/>
        <v>InitUnitMagic('',,,,,,,,,,)</v>
      </c>
      <c r="CQ333" s="13" t="str">
        <f t="shared" si="3796"/>
        <v>InitUnitAdd('',,,,,,,,,,)</v>
      </c>
      <c r="CR333" s="13" t="str">
        <f t="shared" si="3797"/>
        <v>InitEquipData('',,"",,,,,'','','','','','',"")</v>
      </c>
      <c r="CU333" s="6" t="str">
        <f t="shared" si="3792"/>
        <v>|n</v>
      </c>
      <c r="DB333" s="44" t="str">
        <f>IF(V333="","","|n"&amp;#REF!&amp;"+"&amp;V333)</f>
        <v/>
      </c>
      <c r="DC333" s="44" t="str">
        <f>IF(W333="","","|n"&amp;#REF!&amp;"+"&amp;W333)</f>
        <v/>
      </c>
      <c r="DD333" s="44" t="str">
        <f>IF(X333="","","|n"&amp;#REF!&amp;"+"&amp;X333)</f>
        <v/>
      </c>
      <c r="DE333" s="44" t="str">
        <f>IF(Y333="","","|n"&amp;#REF!&amp;"+"&amp;Y333)</f>
        <v/>
      </c>
      <c r="DF333" s="44" t="str">
        <f>IF(Z333="","","|n"&amp;#REF!&amp;"+"&amp;Z333)</f>
        <v/>
      </c>
      <c r="DG333" s="44" t="str">
        <f>IF(AA333="","","|n"&amp;#REF!&amp;"+"&amp;AA333)</f>
        <v/>
      </c>
      <c r="DH333" s="44" t="str">
        <f>IF(AB333="","","|n"&amp;#REF!&amp;"+"&amp;AB333)</f>
        <v/>
      </c>
      <c r="DI333" s="44" t="str">
        <f>IF(AC333="","","|n"&amp;#REF!&amp;"+"&amp;AC333&amp;"%")</f>
        <v/>
      </c>
      <c r="DJ333" s="44" t="str">
        <f>IF(AD333="","","|n"&amp;#REF!&amp;"+"&amp;AD333)</f>
        <v/>
      </c>
      <c r="DK333" s="44" t="str">
        <f>IF(AE333="","","|n"&amp;#REF!&amp;"+"&amp;AE333)</f>
        <v/>
      </c>
      <c r="DL333" s="44" t="str">
        <f>IF(AF333="","","|n"&amp;#REF!&amp;"+"&amp;AF333)</f>
        <v/>
      </c>
      <c r="DM333" s="44" t="str">
        <f>IF(AG333="","","|n"&amp;#REF!&amp;"+"&amp;AG333&amp;"%")</f>
        <v/>
      </c>
      <c r="DN333" s="44" t="str">
        <f>IF(AH333="","","|n"&amp;#REF!&amp;"+"&amp;AH333)</f>
        <v/>
      </c>
      <c r="DO333" s="44" t="str">
        <f>IF(AI333="","","|n"&amp;#REF!&amp;"+"&amp;AI333)</f>
        <v/>
      </c>
      <c r="DP333" s="44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55" workbookViewId="0">
      <selection activeCell="A76" sqref="$A76:$XFD87"/>
    </sheetView>
  </sheetViews>
  <sheetFormatPr defaultColWidth="9" defaultRowHeight="13.8"/>
  <cols>
    <col min="1" max="1" width="28.3796296296296" style="31" customWidth="1"/>
    <col min="2" max="2" width="9" style="31"/>
    <col min="3" max="14" width="9" style="31" hidden="1" customWidth="1"/>
    <col min="15" max="15" width="41" style="31" customWidth="1"/>
    <col min="16" max="16" width="102.87962962963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730</v>
      </c>
      <c r="B1" s="33" t="s">
        <v>98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34" t="s">
        <v>105</v>
      </c>
      <c r="J1" s="34" t="s">
        <v>106</v>
      </c>
      <c r="K1" s="34" t="s">
        <v>107</v>
      </c>
      <c r="L1" s="34" t="s">
        <v>108</v>
      </c>
      <c r="M1" s="34" t="s">
        <v>109</v>
      </c>
      <c r="N1" s="34" t="s">
        <v>110</v>
      </c>
      <c r="O1" s="35" t="s">
        <v>731</v>
      </c>
      <c r="P1" s="35"/>
    </row>
    <row r="2" spans="1:28">
      <c r="A2" s="32">
        <f>装备!A3</f>
        <v>0</v>
      </c>
      <c r="B2" s="32" t="str">
        <f>"'"&amp;装备!B3&amp;"'"</f>
        <v>'E001'</v>
      </c>
      <c r="C2" s="32">
        <f>装备!J3</f>
        <v>0</v>
      </c>
      <c r="D2" s="32">
        <f>装备!K3</f>
        <v>0</v>
      </c>
      <c r="E2" s="32">
        <f>装备!L3</f>
        <v>0</v>
      </c>
      <c r="F2" s="32">
        <f>装备!M3</f>
        <v>0</v>
      </c>
      <c r="G2" s="32">
        <f>装备!N3</f>
        <v>0</v>
      </c>
      <c r="H2" s="32">
        <f>装备!O3</f>
        <v>0</v>
      </c>
      <c r="I2" s="32">
        <f>IF(装备!J3=0,0,"'"&amp;装备!J3&amp;"'")</f>
        <v>0</v>
      </c>
      <c r="J2" s="32">
        <f>IF(装备!K3=0,0,"'"&amp;装备!K3&amp;"'")</f>
        <v>0</v>
      </c>
      <c r="K2" s="32">
        <f>IF(装备!L3=0,0,"'"&amp;装备!L3&amp;"'")</f>
        <v>0</v>
      </c>
      <c r="L2" s="32">
        <f>IF(装备!M3=0,0,"'"&amp;装备!M3&amp;"'")</f>
        <v>0</v>
      </c>
      <c r="M2" s="32">
        <f>IF(装备!N3=0,0,"'"&amp;装备!N3&amp;"'")</f>
        <v>0</v>
      </c>
      <c r="N2" s="32">
        <f>IF(装备!O3=0,0,"'"&amp;装备!O3&amp;"'")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IFERROR(VLOOKUP(C2,装备!$B:$E,3,FALSE),"")</f>
        <v/>
      </c>
      <c r="R2" s="36" t="str">
        <f>IFERROR(VLOOKUP(D2,装备!$B:$E,3,FALSE),"")</f>
        <v/>
      </c>
      <c r="S2" s="36" t="str">
        <f>IFERROR(VLOOKUP(E2,装备!$B:$E,3,FALSE),"")</f>
        <v/>
      </c>
      <c r="T2" s="36" t="str">
        <f>IFERROR(VLOOKUP(F2,装备!$B:$E,3,FALSE),"")</f>
        <v/>
      </c>
      <c r="U2" s="36" t="str">
        <f>IFERROR(VLOOKUP(G2,装备!$B:$E,3,FALSE),"")</f>
        <v/>
      </c>
      <c r="V2" s="36" t="str">
        <f>IFERROR(VLOOKUP(H2,装备!$B:$E,3,FALSE),"")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装备!A4</f>
        <v>0</v>
      </c>
      <c r="B3" s="32" t="str">
        <f>"'"&amp;装备!B4&amp;"'"</f>
        <v>'E002'</v>
      </c>
      <c r="C3" s="32">
        <f>装备!J4</f>
        <v>0</v>
      </c>
      <c r="D3" s="32">
        <f>装备!K4</f>
        <v>0</v>
      </c>
      <c r="E3" s="32">
        <f>装备!L4</f>
        <v>0</v>
      </c>
      <c r="F3" s="32">
        <f>装备!M4</f>
        <v>0</v>
      </c>
      <c r="G3" s="32">
        <f>装备!N4</f>
        <v>0</v>
      </c>
      <c r="H3" s="32">
        <f>装备!O4</f>
        <v>0</v>
      </c>
      <c r="I3" s="32">
        <f>IF(装备!J4=0,0,"'"&amp;装备!J4&amp;"'")</f>
        <v>0</v>
      </c>
      <c r="J3" s="32">
        <f>IF(装备!K4=0,0,"'"&amp;装备!K4&amp;"'")</f>
        <v>0</v>
      </c>
      <c r="K3" s="32">
        <f>IF(装备!L4=0,0,"'"&amp;装备!L4&amp;"'")</f>
        <v>0</v>
      </c>
      <c r="L3" s="32">
        <f>IF(装备!M4=0,0,"'"&amp;装备!M4&amp;"'")</f>
        <v>0</v>
      </c>
      <c r="M3" s="32">
        <f>IF(装备!N4=0,0,"'"&amp;装备!N4&amp;"'")</f>
        <v>0</v>
      </c>
      <c r="N3" s="32">
        <f>IF(装备!O4=0,0,"'"&amp;装备!O4&amp;"'")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IFERROR(VLOOKUP(C3,装备!$B:$E,3,FALSE),"")</f>
        <v/>
      </c>
      <c r="R3" s="36" t="str">
        <f>IFERROR(VLOOKUP(D3,装备!$B:$E,3,FALSE),"")</f>
        <v/>
      </c>
      <c r="S3" s="36" t="str">
        <f>IFERROR(VLOOKUP(E3,装备!$B:$E,3,FALSE),"")</f>
        <v/>
      </c>
      <c r="T3" s="36" t="str">
        <f>IFERROR(VLOOKUP(F3,装备!$B:$E,3,FALSE),"")</f>
        <v/>
      </c>
      <c r="U3" s="36" t="str">
        <f>IFERROR(VLOOKUP(G3,装备!$B:$E,3,FALSE),"")</f>
        <v/>
      </c>
      <c r="V3" s="36" t="str">
        <f>IFERROR(VLOOKUP(H3,装备!$B:$E,3,FALSE),"")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装备!A5</f>
        <v>0</v>
      </c>
      <c r="B4" s="32" t="str">
        <f>"'"&amp;装备!B5&amp;"'"</f>
        <v>'E003'</v>
      </c>
      <c r="C4" s="32">
        <f>装备!J5</f>
        <v>0</v>
      </c>
      <c r="D4" s="32">
        <f>装备!K5</f>
        <v>0</v>
      </c>
      <c r="E4" s="32">
        <f>装备!L5</f>
        <v>0</v>
      </c>
      <c r="F4" s="32">
        <f>装备!M5</f>
        <v>0</v>
      </c>
      <c r="G4" s="32">
        <f>装备!N5</f>
        <v>0</v>
      </c>
      <c r="H4" s="32">
        <f>装备!O5</f>
        <v>0</v>
      </c>
      <c r="I4" s="32">
        <f>IF(装备!J5=0,0,"'"&amp;装备!J5&amp;"'")</f>
        <v>0</v>
      </c>
      <c r="J4" s="32">
        <f>IF(装备!K5=0,0,"'"&amp;装备!K5&amp;"'")</f>
        <v>0</v>
      </c>
      <c r="K4" s="32">
        <f>IF(装备!L5=0,0,"'"&amp;装备!L5&amp;"'")</f>
        <v>0</v>
      </c>
      <c r="L4" s="32">
        <f>IF(装备!M5=0,0,"'"&amp;装备!M5&amp;"'")</f>
        <v>0</v>
      </c>
      <c r="M4" s="32">
        <f>IF(装备!N5=0,0,"'"&amp;装备!N5&amp;"'")</f>
        <v>0</v>
      </c>
      <c r="N4" s="32">
        <f>IF(装备!O5=0,0,"'"&amp;装备!O5&amp;"'")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IFERROR(VLOOKUP(C4,装备!$B:$E,3,FALSE),"")</f>
        <v/>
      </c>
      <c r="R4" s="36" t="str">
        <f>IFERROR(VLOOKUP(D4,装备!$B:$E,3,FALSE),"")</f>
        <v/>
      </c>
      <c r="S4" s="36" t="str">
        <f>IFERROR(VLOOKUP(E4,装备!$B:$E,3,FALSE),"")</f>
        <v/>
      </c>
      <c r="T4" s="36" t="str">
        <f>IFERROR(VLOOKUP(F4,装备!$B:$E,3,FALSE),"")</f>
        <v/>
      </c>
      <c r="U4" s="36" t="str">
        <f>IFERROR(VLOOKUP(G4,装备!$B:$E,3,FALSE),"")</f>
        <v/>
      </c>
      <c r="V4" s="36" t="str">
        <f>IFERROR(VLOOKUP(H4,装备!$B:$E,3,FALSE),"")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装备!A6</f>
        <v>0</v>
      </c>
      <c r="B5" s="32" t="str">
        <f>"'"&amp;装备!B6&amp;"'"</f>
        <v>'E004'</v>
      </c>
      <c r="C5" s="32">
        <f>装备!J6</f>
        <v>0</v>
      </c>
      <c r="D5" s="32">
        <f>装备!K6</f>
        <v>0</v>
      </c>
      <c r="E5" s="32">
        <f>装备!L6</f>
        <v>0</v>
      </c>
      <c r="F5" s="32">
        <f>装备!M6</f>
        <v>0</v>
      </c>
      <c r="G5" s="32">
        <f>装备!N6</f>
        <v>0</v>
      </c>
      <c r="H5" s="32">
        <f>装备!O6</f>
        <v>0</v>
      </c>
      <c r="I5" s="32">
        <f>IF(装备!J6=0,0,"'"&amp;装备!J6&amp;"'")</f>
        <v>0</v>
      </c>
      <c r="J5" s="32">
        <f>IF(装备!K6=0,0,"'"&amp;装备!K6&amp;"'")</f>
        <v>0</v>
      </c>
      <c r="K5" s="32">
        <f>IF(装备!L6=0,0,"'"&amp;装备!L6&amp;"'")</f>
        <v>0</v>
      </c>
      <c r="L5" s="32">
        <f>IF(装备!M6=0,0,"'"&amp;装备!M6&amp;"'")</f>
        <v>0</v>
      </c>
      <c r="M5" s="32">
        <f>IF(装备!N6=0,0,"'"&amp;装备!N6&amp;"'")</f>
        <v>0</v>
      </c>
      <c r="N5" s="32">
        <f>IF(装备!O6=0,0,"'"&amp;装备!O6&amp;"'")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IFERROR(VLOOKUP(C5,装备!$B:$E,3,FALSE),"")</f>
        <v/>
      </c>
      <c r="R5" s="36" t="str">
        <f>IFERROR(VLOOKUP(D5,装备!$B:$E,3,FALSE),"")</f>
        <v/>
      </c>
      <c r="S5" s="36" t="str">
        <f>IFERROR(VLOOKUP(E5,装备!$B:$E,3,FALSE),"")</f>
        <v/>
      </c>
      <c r="T5" s="36" t="str">
        <f>IFERROR(VLOOKUP(F5,装备!$B:$E,3,FALSE),"")</f>
        <v/>
      </c>
      <c r="U5" s="36" t="str">
        <f>IFERROR(VLOOKUP(G5,装备!$B:$E,3,FALSE),"")</f>
        <v/>
      </c>
      <c r="V5" s="36" t="str">
        <f>IFERROR(VLOOKUP(H5,装备!$B:$E,3,FALSE),"")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装备!A7</f>
        <v>0</v>
      </c>
      <c r="B6" s="32" t="str">
        <f>"'"&amp;装备!B7&amp;"'"</f>
        <v>'E005'</v>
      </c>
      <c r="C6" s="32">
        <f>装备!J7</f>
        <v>0</v>
      </c>
      <c r="D6" s="32">
        <f>装备!K7</f>
        <v>0</v>
      </c>
      <c r="E6" s="32">
        <f>装备!L7</f>
        <v>0</v>
      </c>
      <c r="F6" s="32">
        <f>装备!M7</f>
        <v>0</v>
      </c>
      <c r="G6" s="32">
        <f>装备!N7</f>
        <v>0</v>
      </c>
      <c r="H6" s="32">
        <f>装备!O7</f>
        <v>0</v>
      </c>
      <c r="I6" s="32">
        <f>IF(装备!J7=0,0,"'"&amp;装备!J7&amp;"'")</f>
        <v>0</v>
      </c>
      <c r="J6" s="32">
        <f>IF(装备!K7=0,0,"'"&amp;装备!K7&amp;"'")</f>
        <v>0</v>
      </c>
      <c r="K6" s="32">
        <f>IF(装备!L7=0,0,"'"&amp;装备!L7&amp;"'")</f>
        <v>0</v>
      </c>
      <c r="L6" s="32">
        <f>IF(装备!M7=0,0,"'"&amp;装备!M7&amp;"'")</f>
        <v>0</v>
      </c>
      <c r="M6" s="32">
        <f>IF(装备!N7=0,0,"'"&amp;装备!N7&amp;"'")</f>
        <v>0</v>
      </c>
      <c r="N6" s="32">
        <f>IF(装备!O7=0,0,"'"&amp;装备!O7&amp;"'")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IFERROR(VLOOKUP(C6,装备!$B:$E,3,FALSE),"")</f>
        <v/>
      </c>
      <c r="R6" s="36" t="str">
        <f>IFERROR(VLOOKUP(D6,装备!$B:$E,3,FALSE),"")</f>
        <v/>
      </c>
      <c r="S6" s="36" t="str">
        <f>IFERROR(VLOOKUP(E6,装备!$B:$E,3,FALSE),"")</f>
        <v/>
      </c>
      <c r="T6" s="36" t="str">
        <f>IFERROR(VLOOKUP(F6,装备!$B:$E,3,FALSE),"")</f>
        <v/>
      </c>
      <c r="U6" s="36" t="str">
        <f>IFERROR(VLOOKUP(G6,装备!$B:$E,3,FALSE),"")</f>
        <v/>
      </c>
      <c r="V6" s="36" t="str">
        <f>IFERROR(VLOOKUP(H6,装备!$B:$E,3,FALSE),"")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装备!A8</f>
        <v>0</v>
      </c>
      <c r="B7" s="32" t="str">
        <f>"'"&amp;装备!B8&amp;"'"</f>
        <v>'E006'</v>
      </c>
      <c r="C7" s="32">
        <f>装备!J8</f>
        <v>0</v>
      </c>
      <c r="D7" s="32">
        <f>装备!K8</f>
        <v>0</v>
      </c>
      <c r="E7" s="32">
        <f>装备!L8</f>
        <v>0</v>
      </c>
      <c r="F7" s="32">
        <f>装备!M8</f>
        <v>0</v>
      </c>
      <c r="G7" s="32">
        <f>装备!N8</f>
        <v>0</v>
      </c>
      <c r="H7" s="32">
        <f>装备!O8</f>
        <v>0</v>
      </c>
      <c r="I7" s="32">
        <f>IF(装备!J8=0,0,"'"&amp;装备!J8&amp;"'")</f>
        <v>0</v>
      </c>
      <c r="J7" s="32">
        <f>IF(装备!K8=0,0,"'"&amp;装备!K8&amp;"'")</f>
        <v>0</v>
      </c>
      <c r="K7" s="32">
        <f>IF(装备!L8=0,0,"'"&amp;装备!L8&amp;"'")</f>
        <v>0</v>
      </c>
      <c r="L7" s="32">
        <f>IF(装备!M8=0,0,"'"&amp;装备!M8&amp;"'")</f>
        <v>0</v>
      </c>
      <c r="M7" s="32">
        <f>IF(装备!N8=0,0,"'"&amp;装备!N8&amp;"'")</f>
        <v>0</v>
      </c>
      <c r="N7" s="32">
        <f>IF(装备!O8=0,0,"'"&amp;装备!O8&amp;"'")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IFERROR(VLOOKUP(C7,装备!$B:$E,3,FALSE),"")</f>
        <v/>
      </c>
      <c r="R7" s="36" t="str">
        <f>IFERROR(VLOOKUP(D7,装备!$B:$E,3,FALSE),"")</f>
        <v/>
      </c>
      <c r="S7" s="36" t="str">
        <f>IFERROR(VLOOKUP(E7,装备!$B:$E,3,FALSE),"")</f>
        <v/>
      </c>
      <c r="T7" s="36" t="str">
        <f>IFERROR(VLOOKUP(F7,装备!$B:$E,3,FALSE),"")</f>
        <v/>
      </c>
      <c r="U7" s="36" t="str">
        <f>IFERROR(VLOOKUP(G7,装备!$B:$E,3,FALSE),"")</f>
        <v/>
      </c>
      <c r="V7" s="36" t="str">
        <f>IFERROR(VLOOKUP(H7,装备!$B:$E,3,FALSE),"")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装备!A9</f>
        <v>0</v>
      </c>
      <c r="B8" s="32" t="str">
        <f>"'"&amp;装备!B9&amp;"'"</f>
        <v>'E007'</v>
      </c>
      <c r="C8" s="32">
        <f>装备!J9</f>
        <v>0</v>
      </c>
      <c r="D8" s="32">
        <f>装备!K9</f>
        <v>0</v>
      </c>
      <c r="E8" s="32">
        <f>装备!L9</f>
        <v>0</v>
      </c>
      <c r="F8" s="32">
        <f>装备!M9</f>
        <v>0</v>
      </c>
      <c r="G8" s="32">
        <f>装备!N9</f>
        <v>0</v>
      </c>
      <c r="H8" s="32">
        <f>装备!O9</f>
        <v>0</v>
      </c>
      <c r="I8" s="32">
        <f>IF(装备!J9=0,0,"'"&amp;装备!J9&amp;"'")</f>
        <v>0</v>
      </c>
      <c r="J8" s="32">
        <f>IF(装备!K9=0,0,"'"&amp;装备!K9&amp;"'")</f>
        <v>0</v>
      </c>
      <c r="K8" s="32">
        <f>IF(装备!L9=0,0,"'"&amp;装备!L9&amp;"'")</f>
        <v>0</v>
      </c>
      <c r="L8" s="32">
        <f>IF(装备!M9=0,0,"'"&amp;装备!M9&amp;"'")</f>
        <v>0</v>
      </c>
      <c r="M8" s="32">
        <f>IF(装备!N9=0,0,"'"&amp;装备!N9&amp;"'")</f>
        <v>0</v>
      </c>
      <c r="N8" s="32">
        <f>IF(装备!O9=0,0,"'"&amp;装备!O9&amp;"'")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IFERROR(VLOOKUP(C8,装备!$B:$E,3,FALSE),"")</f>
        <v/>
      </c>
      <c r="R8" s="36" t="str">
        <f>IFERROR(VLOOKUP(D8,装备!$B:$E,3,FALSE),"")</f>
        <v/>
      </c>
      <c r="S8" s="36" t="str">
        <f>IFERROR(VLOOKUP(E8,装备!$B:$E,3,FALSE),"")</f>
        <v/>
      </c>
      <c r="T8" s="36" t="str">
        <f>IFERROR(VLOOKUP(F8,装备!$B:$E,3,FALSE),"")</f>
        <v/>
      </c>
      <c r="U8" s="36" t="str">
        <f>IFERROR(VLOOKUP(G8,装备!$B:$E,3,FALSE),"")</f>
        <v/>
      </c>
      <c r="V8" s="36" t="str">
        <f>IFERROR(VLOOKUP(H8,装备!$B:$E,3,FALSE),"")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装备!A10</f>
        <v>0</v>
      </c>
      <c r="B9" s="32" t="str">
        <f>"'"&amp;装备!B10&amp;"'"</f>
        <v>'E008'</v>
      </c>
      <c r="C9" s="32">
        <f>装备!J10</f>
        <v>0</v>
      </c>
      <c r="D9" s="32">
        <f>装备!K10</f>
        <v>0</v>
      </c>
      <c r="E9" s="32">
        <f>装备!L10</f>
        <v>0</v>
      </c>
      <c r="F9" s="32">
        <f>装备!M10</f>
        <v>0</v>
      </c>
      <c r="G9" s="32">
        <f>装备!N10</f>
        <v>0</v>
      </c>
      <c r="H9" s="32">
        <f>装备!O10</f>
        <v>0</v>
      </c>
      <c r="I9" s="32">
        <f>IF(装备!J10=0,0,"'"&amp;装备!J10&amp;"'")</f>
        <v>0</v>
      </c>
      <c r="J9" s="32">
        <f>IF(装备!K10=0,0,"'"&amp;装备!K10&amp;"'")</f>
        <v>0</v>
      </c>
      <c r="K9" s="32">
        <f>IF(装备!L10=0,0,"'"&amp;装备!L10&amp;"'")</f>
        <v>0</v>
      </c>
      <c r="L9" s="32">
        <f>IF(装备!M10=0,0,"'"&amp;装备!M10&amp;"'")</f>
        <v>0</v>
      </c>
      <c r="M9" s="32">
        <f>IF(装备!N10=0,0,"'"&amp;装备!N10&amp;"'")</f>
        <v>0</v>
      </c>
      <c r="N9" s="32">
        <f>IF(装备!O10=0,0,"'"&amp;装备!O10&amp;"'")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IFERROR(VLOOKUP(C9,装备!$B:$E,3,FALSE),"")</f>
        <v/>
      </c>
      <c r="R9" s="36" t="str">
        <f>IFERROR(VLOOKUP(D9,装备!$B:$E,3,FALSE),"")</f>
        <v/>
      </c>
      <c r="S9" s="36" t="str">
        <f>IFERROR(VLOOKUP(E9,装备!$B:$E,3,FALSE),"")</f>
        <v/>
      </c>
      <c r="T9" s="36" t="str">
        <f>IFERROR(VLOOKUP(F9,装备!$B:$E,3,FALSE),"")</f>
        <v/>
      </c>
      <c r="U9" s="36" t="str">
        <f>IFERROR(VLOOKUP(G9,装备!$B:$E,3,FALSE),"")</f>
        <v/>
      </c>
      <c r="V9" s="36" t="str">
        <f>IFERROR(VLOOKUP(H9,装备!$B:$E,3,FALSE),"")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装备!A11</f>
        <v>0</v>
      </c>
      <c r="B10" s="32" t="str">
        <f>"'"&amp;装备!B11&amp;"'"</f>
        <v>'E009'</v>
      </c>
      <c r="C10" s="32">
        <f>装备!J11</f>
        <v>0</v>
      </c>
      <c r="D10" s="32">
        <f>装备!K11</f>
        <v>0</v>
      </c>
      <c r="E10" s="32">
        <f>装备!L11</f>
        <v>0</v>
      </c>
      <c r="F10" s="32">
        <f>装备!M11</f>
        <v>0</v>
      </c>
      <c r="G10" s="32">
        <f>装备!N11</f>
        <v>0</v>
      </c>
      <c r="H10" s="32">
        <f>装备!O11</f>
        <v>0</v>
      </c>
      <c r="I10" s="32">
        <f>IF(装备!J11=0,0,"'"&amp;装备!J11&amp;"'")</f>
        <v>0</v>
      </c>
      <c r="J10" s="32">
        <f>IF(装备!K11=0,0,"'"&amp;装备!K11&amp;"'")</f>
        <v>0</v>
      </c>
      <c r="K10" s="32">
        <f>IF(装备!L11=0,0,"'"&amp;装备!L11&amp;"'")</f>
        <v>0</v>
      </c>
      <c r="L10" s="32">
        <f>IF(装备!M11=0,0,"'"&amp;装备!M11&amp;"'")</f>
        <v>0</v>
      </c>
      <c r="M10" s="32">
        <f>IF(装备!N11=0,0,"'"&amp;装备!N11&amp;"'")</f>
        <v>0</v>
      </c>
      <c r="N10" s="32">
        <f>IF(装备!O11=0,0,"'"&amp;装备!O11&amp;"'")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IFERROR(VLOOKUP(C10,装备!$B:$E,3,FALSE),"")</f>
        <v/>
      </c>
      <c r="R10" s="36" t="str">
        <f>IFERROR(VLOOKUP(D10,装备!$B:$E,3,FALSE),"")</f>
        <v/>
      </c>
      <c r="S10" s="36" t="str">
        <f>IFERROR(VLOOKUP(E10,装备!$B:$E,3,FALSE),"")</f>
        <v/>
      </c>
      <c r="T10" s="36" t="str">
        <f>IFERROR(VLOOKUP(F10,装备!$B:$E,3,FALSE),"")</f>
        <v/>
      </c>
      <c r="U10" s="36" t="str">
        <f>IFERROR(VLOOKUP(G10,装备!$B:$E,3,FALSE),"")</f>
        <v/>
      </c>
      <c r="V10" s="36" t="str">
        <f>IFERROR(VLOOKUP(H10,装备!$B:$E,3,FALSE),"")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装备!A12</f>
        <v>0</v>
      </c>
      <c r="B11" s="32" t="str">
        <f>"'"&amp;装备!B12&amp;"'"</f>
        <v>'E010'</v>
      </c>
      <c r="C11" s="32">
        <f>装备!J12</f>
        <v>0</v>
      </c>
      <c r="D11" s="32">
        <f>装备!K12</f>
        <v>0</v>
      </c>
      <c r="E11" s="32">
        <f>装备!L12</f>
        <v>0</v>
      </c>
      <c r="F11" s="32">
        <f>装备!M12</f>
        <v>0</v>
      </c>
      <c r="G11" s="32">
        <f>装备!N12</f>
        <v>0</v>
      </c>
      <c r="H11" s="32">
        <f>装备!O12</f>
        <v>0</v>
      </c>
      <c r="I11" s="32">
        <f>IF(装备!J12=0,0,"'"&amp;装备!J12&amp;"'")</f>
        <v>0</v>
      </c>
      <c r="J11" s="32">
        <f>IF(装备!K12=0,0,"'"&amp;装备!K12&amp;"'")</f>
        <v>0</v>
      </c>
      <c r="K11" s="32">
        <f>IF(装备!L12=0,0,"'"&amp;装备!L12&amp;"'")</f>
        <v>0</v>
      </c>
      <c r="L11" s="32">
        <f>IF(装备!M12=0,0,"'"&amp;装备!M12&amp;"'")</f>
        <v>0</v>
      </c>
      <c r="M11" s="32">
        <f>IF(装备!N12=0,0,"'"&amp;装备!N12&amp;"'")</f>
        <v>0</v>
      </c>
      <c r="N11" s="32">
        <f>IF(装备!O12=0,0,"'"&amp;装备!O12&amp;"'")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IFERROR(VLOOKUP(C11,装备!$B:$E,3,FALSE),"")</f>
        <v/>
      </c>
      <c r="R11" s="36" t="str">
        <f>IFERROR(VLOOKUP(D11,装备!$B:$E,3,FALSE),"")</f>
        <v/>
      </c>
      <c r="S11" s="36" t="str">
        <f>IFERROR(VLOOKUP(E11,装备!$B:$E,3,FALSE),"")</f>
        <v/>
      </c>
      <c r="T11" s="36" t="str">
        <f>IFERROR(VLOOKUP(F11,装备!$B:$E,3,FALSE),"")</f>
        <v/>
      </c>
      <c r="U11" s="36" t="str">
        <f>IFERROR(VLOOKUP(G11,装备!$B:$E,3,FALSE),"")</f>
        <v/>
      </c>
      <c r="V11" s="36" t="str">
        <f>IFERROR(VLOOKUP(H11,装备!$B:$E,3,FALSE),"")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装备!A13</f>
        <v>0</v>
      </c>
      <c r="B12" s="32" t="str">
        <f>"'"&amp;装备!B13&amp;"'"</f>
        <v>'E011'</v>
      </c>
      <c r="C12" s="32">
        <f>装备!J13</f>
        <v>0</v>
      </c>
      <c r="D12" s="32">
        <f>装备!K13</f>
        <v>0</v>
      </c>
      <c r="E12" s="32">
        <f>装备!L13</f>
        <v>0</v>
      </c>
      <c r="F12" s="32">
        <f>装备!M13</f>
        <v>0</v>
      </c>
      <c r="G12" s="32">
        <f>装备!N13</f>
        <v>0</v>
      </c>
      <c r="H12" s="32">
        <f>装备!O13</f>
        <v>0</v>
      </c>
      <c r="I12" s="32">
        <f>IF(装备!J13=0,0,"'"&amp;装备!J13&amp;"'")</f>
        <v>0</v>
      </c>
      <c r="J12" s="32">
        <f>IF(装备!K13=0,0,"'"&amp;装备!K13&amp;"'")</f>
        <v>0</v>
      </c>
      <c r="K12" s="32">
        <f>IF(装备!L13=0,0,"'"&amp;装备!L13&amp;"'")</f>
        <v>0</v>
      </c>
      <c r="L12" s="32">
        <f>IF(装备!M13=0,0,"'"&amp;装备!M13&amp;"'")</f>
        <v>0</v>
      </c>
      <c r="M12" s="32">
        <f>IF(装备!N13=0,0,"'"&amp;装备!N13&amp;"'")</f>
        <v>0</v>
      </c>
      <c r="N12" s="32">
        <f>IF(装备!O13=0,0,"'"&amp;装备!O13&amp;"'")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IFERROR(VLOOKUP(C12,装备!$B:$E,3,FALSE),"")</f>
        <v/>
      </c>
      <c r="R12" s="36" t="str">
        <f>IFERROR(VLOOKUP(D12,装备!$B:$E,3,FALSE),"")</f>
        <v/>
      </c>
      <c r="S12" s="36" t="str">
        <f>IFERROR(VLOOKUP(E12,装备!$B:$E,3,FALSE),"")</f>
        <v/>
      </c>
      <c r="T12" s="36" t="str">
        <f>IFERROR(VLOOKUP(F12,装备!$B:$E,3,FALSE),"")</f>
        <v/>
      </c>
      <c r="U12" s="36" t="str">
        <f>IFERROR(VLOOKUP(G12,装备!$B:$E,3,FALSE),"")</f>
        <v/>
      </c>
      <c r="V12" s="36" t="str">
        <f>IFERROR(VLOOKUP(H12,装备!$B:$E,3,FALSE),"")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装备!A14</f>
        <v>0</v>
      </c>
      <c r="B13" s="32" t="str">
        <f>"'"&amp;装备!B14&amp;"'"</f>
        <v>'E012'</v>
      </c>
      <c r="C13" s="32">
        <f>装备!J14</f>
        <v>0</v>
      </c>
      <c r="D13" s="32">
        <f>装备!K14</f>
        <v>0</v>
      </c>
      <c r="E13" s="32">
        <f>装备!L14</f>
        <v>0</v>
      </c>
      <c r="F13" s="32">
        <f>装备!M14</f>
        <v>0</v>
      </c>
      <c r="G13" s="32">
        <f>装备!N14</f>
        <v>0</v>
      </c>
      <c r="H13" s="32">
        <f>装备!O14</f>
        <v>0</v>
      </c>
      <c r="I13" s="32">
        <f>IF(装备!J14=0,0,"'"&amp;装备!J14&amp;"'")</f>
        <v>0</v>
      </c>
      <c r="J13" s="32">
        <f>IF(装备!K14=0,0,"'"&amp;装备!K14&amp;"'")</f>
        <v>0</v>
      </c>
      <c r="K13" s="32">
        <f>IF(装备!L14=0,0,"'"&amp;装备!L14&amp;"'")</f>
        <v>0</v>
      </c>
      <c r="L13" s="32">
        <f>IF(装备!M14=0,0,"'"&amp;装备!M14&amp;"'")</f>
        <v>0</v>
      </c>
      <c r="M13" s="32">
        <f>IF(装备!N14=0,0,"'"&amp;装备!N14&amp;"'")</f>
        <v>0</v>
      </c>
      <c r="N13" s="32">
        <f>IF(装备!O14=0,0,"'"&amp;装备!O14&amp;"'")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IFERROR(VLOOKUP(C13,装备!$B:$E,3,FALSE),"")</f>
        <v/>
      </c>
      <c r="R13" s="36" t="str">
        <f>IFERROR(VLOOKUP(D13,装备!$B:$E,3,FALSE),"")</f>
        <v/>
      </c>
      <c r="S13" s="36" t="str">
        <f>IFERROR(VLOOKUP(E13,装备!$B:$E,3,FALSE),"")</f>
        <v/>
      </c>
      <c r="T13" s="36" t="str">
        <f>IFERROR(VLOOKUP(F13,装备!$B:$E,3,FALSE),"")</f>
        <v/>
      </c>
      <c r="U13" s="36" t="str">
        <f>IFERROR(VLOOKUP(G13,装备!$B:$E,3,FALSE),"")</f>
        <v/>
      </c>
      <c r="V13" s="36" t="str">
        <f>IFERROR(VLOOKUP(H13,装备!$B:$E,3,FALSE),"")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装备!A15</f>
        <v>0</v>
      </c>
      <c r="B14" s="32" t="str">
        <f>"'"&amp;装备!B15&amp;"'"</f>
        <v>'E013'</v>
      </c>
      <c r="C14" s="32">
        <f>装备!J15</f>
        <v>0</v>
      </c>
      <c r="D14" s="32">
        <f>装备!K15</f>
        <v>0</v>
      </c>
      <c r="E14" s="32">
        <f>装备!L15</f>
        <v>0</v>
      </c>
      <c r="F14" s="32">
        <f>装备!M15</f>
        <v>0</v>
      </c>
      <c r="G14" s="32">
        <f>装备!N15</f>
        <v>0</v>
      </c>
      <c r="H14" s="32">
        <f>装备!O15</f>
        <v>0</v>
      </c>
      <c r="I14" s="32">
        <f>IF(装备!J15=0,0,"'"&amp;装备!J15&amp;"'")</f>
        <v>0</v>
      </c>
      <c r="J14" s="32">
        <f>IF(装备!K15=0,0,"'"&amp;装备!K15&amp;"'")</f>
        <v>0</v>
      </c>
      <c r="K14" s="32">
        <f>IF(装备!L15=0,0,"'"&amp;装备!L15&amp;"'")</f>
        <v>0</v>
      </c>
      <c r="L14" s="32">
        <f>IF(装备!M15=0,0,"'"&amp;装备!M15&amp;"'")</f>
        <v>0</v>
      </c>
      <c r="M14" s="32">
        <f>IF(装备!N15=0,0,"'"&amp;装备!N15&amp;"'")</f>
        <v>0</v>
      </c>
      <c r="N14" s="32">
        <f>IF(装备!O15=0,0,"'"&amp;装备!O15&amp;"'")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IFERROR(VLOOKUP(C14,装备!$B:$E,3,FALSE),"")</f>
        <v/>
      </c>
      <c r="R14" s="36" t="str">
        <f>IFERROR(VLOOKUP(D14,装备!$B:$E,3,FALSE),"")</f>
        <v/>
      </c>
      <c r="S14" s="36" t="str">
        <f>IFERROR(VLOOKUP(E14,装备!$B:$E,3,FALSE),"")</f>
        <v/>
      </c>
      <c r="T14" s="36" t="str">
        <f>IFERROR(VLOOKUP(F14,装备!$B:$E,3,FALSE),"")</f>
        <v/>
      </c>
      <c r="U14" s="36" t="str">
        <f>IFERROR(VLOOKUP(G14,装备!$B:$E,3,FALSE),"")</f>
        <v/>
      </c>
      <c r="V14" s="36" t="str">
        <f>IFERROR(VLOOKUP(H14,装备!$B:$E,3,FALSE),"")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装备!A16</f>
        <v>0</v>
      </c>
      <c r="B15" s="32" t="str">
        <f>"'"&amp;装备!B16&amp;"'"</f>
        <v>'E014'</v>
      </c>
      <c r="C15" s="32">
        <f>装备!J16</f>
        <v>0</v>
      </c>
      <c r="D15" s="32">
        <f>装备!K16</f>
        <v>0</v>
      </c>
      <c r="E15" s="32">
        <f>装备!L16</f>
        <v>0</v>
      </c>
      <c r="F15" s="32">
        <f>装备!M16</f>
        <v>0</v>
      </c>
      <c r="G15" s="32">
        <f>装备!N16</f>
        <v>0</v>
      </c>
      <c r="H15" s="32">
        <f>装备!O16</f>
        <v>0</v>
      </c>
      <c r="I15" s="32">
        <f>IF(装备!J16=0,0,"'"&amp;装备!J16&amp;"'")</f>
        <v>0</v>
      </c>
      <c r="J15" s="32">
        <f>IF(装备!K16=0,0,"'"&amp;装备!K16&amp;"'")</f>
        <v>0</v>
      </c>
      <c r="K15" s="32">
        <f>IF(装备!L16=0,0,"'"&amp;装备!L16&amp;"'")</f>
        <v>0</v>
      </c>
      <c r="L15" s="32">
        <f>IF(装备!M16=0,0,"'"&amp;装备!M16&amp;"'")</f>
        <v>0</v>
      </c>
      <c r="M15" s="32">
        <f>IF(装备!N16=0,0,"'"&amp;装备!N16&amp;"'")</f>
        <v>0</v>
      </c>
      <c r="N15" s="32">
        <f>IF(装备!O16=0,0,"'"&amp;装备!O16&amp;"'")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IFERROR(VLOOKUP(C15,装备!$B:$E,3,FALSE),"")</f>
        <v/>
      </c>
      <c r="R15" s="36" t="str">
        <f>IFERROR(VLOOKUP(D15,装备!$B:$E,3,FALSE),"")</f>
        <v/>
      </c>
      <c r="S15" s="36" t="str">
        <f>IFERROR(VLOOKUP(E15,装备!$B:$E,3,FALSE),"")</f>
        <v/>
      </c>
      <c r="T15" s="36" t="str">
        <f>IFERROR(VLOOKUP(F15,装备!$B:$E,3,FALSE),"")</f>
        <v/>
      </c>
      <c r="U15" s="36" t="str">
        <f>IFERROR(VLOOKUP(G15,装备!$B:$E,3,FALSE),"")</f>
        <v/>
      </c>
      <c r="V15" s="36" t="str">
        <f>IFERROR(VLOOKUP(H15,装备!$B:$E,3,FALSE),"")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装备!A17</f>
        <v>0</v>
      </c>
      <c r="B16" s="32" t="str">
        <f>"'"&amp;装备!B17&amp;"'"</f>
        <v>'E015'</v>
      </c>
      <c r="C16" s="32">
        <f>装备!J17</f>
        <v>0</v>
      </c>
      <c r="D16" s="32">
        <f>装备!K17</f>
        <v>0</v>
      </c>
      <c r="E16" s="32">
        <f>装备!L17</f>
        <v>0</v>
      </c>
      <c r="F16" s="32">
        <f>装备!M17</f>
        <v>0</v>
      </c>
      <c r="G16" s="32">
        <f>装备!N17</f>
        <v>0</v>
      </c>
      <c r="H16" s="32">
        <f>装备!O17</f>
        <v>0</v>
      </c>
      <c r="I16" s="32">
        <f>IF(装备!J17=0,0,"'"&amp;装备!J17&amp;"'")</f>
        <v>0</v>
      </c>
      <c r="J16" s="32">
        <f>IF(装备!K17=0,0,"'"&amp;装备!K17&amp;"'")</f>
        <v>0</v>
      </c>
      <c r="K16" s="32">
        <f>IF(装备!L17=0,0,"'"&amp;装备!L17&amp;"'")</f>
        <v>0</v>
      </c>
      <c r="L16" s="32">
        <f>IF(装备!M17=0,0,"'"&amp;装备!M17&amp;"'")</f>
        <v>0</v>
      </c>
      <c r="M16" s="32">
        <f>IF(装备!N17=0,0,"'"&amp;装备!N17&amp;"'")</f>
        <v>0</v>
      </c>
      <c r="N16" s="32">
        <f>IF(装备!O17=0,0,"'"&amp;装备!O17&amp;"'")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IFERROR(VLOOKUP(C16,装备!$B:$E,3,FALSE),"")</f>
        <v/>
      </c>
      <c r="R16" s="36" t="str">
        <f>IFERROR(VLOOKUP(D16,装备!$B:$E,3,FALSE),"")</f>
        <v/>
      </c>
      <c r="S16" s="36" t="str">
        <f>IFERROR(VLOOKUP(E16,装备!$B:$E,3,FALSE),"")</f>
        <v/>
      </c>
      <c r="T16" s="36" t="str">
        <f>IFERROR(VLOOKUP(F16,装备!$B:$E,3,FALSE),"")</f>
        <v/>
      </c>
      <c r="U16" s="36" t="str">
        <f>IFERROR(VLOOKUP(G16,装备!$B:$E,3,FALSE),"")</f>
        <v/>
      </c>
      <c r="V16" s="36" t="str">
        <f>IFERROR(VLOOKUP(H16,装备!$B:$E,3,FALSE),"")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装备!A18</f>
        <v>0</v>
      </c>
      <c r="B17" s="32" t="str">
        <f>"'"&amp;装备!B18&amp;"'"</f>
        <v>'E016'</v>
      </c>
      <c r="C17" s="32">
        <f>装备!J18</f>
        <v>0</v>
      </c>
      <c r="D17" s="32">
        <f>装备!K18</f>
        <v>0</v>
      </c>
      <c r="E17" s="32">
        <f>装备!L18</f>
        <v>0</v>
      </c>
      <c r="F17" s="32">
        <f>装备!M18</f>
        <v>0</v>
      </c>
      <c r="G17" s="32">
        <f>装备!N18</f>
        <v>0</v>
      </c>
      <c r="H17" s="32">
        <f>装备!O18</f>
        <v>0</v>
      </c>
      <c r="I17" s="32">
        <f>IF(装备!J18=0,0,"'"&amp;装备!J18&amp;"'")</f>
        <v>0</v>
      </c>
      <c r="J17" s="32">
        <f>IF(装备!K18=0,0,"'"&amp;装备!K18&amp;"'")</f>
        <v>0</v>
      </c>
      <c r="K17" s="32">
        <f>IF(装备!L18=0,0,"'"&amp;装备!L18&amp;"'")</f>
        <v>0</v>
      </c>
      <c r="L17" s="32">
        <f>IF(装备!M18=0,0,"'"&amp;装备!M18&amp;"'")</f>
        <v>0</v>
      </c>
      <c r="M17" s="32">
        <f>IF(装备!N18=0,0,"'"&amp;装备!N18&amp;"'")</f>
        <v>0</v>
      </c>
      <c r="N17" s="32">
        <f>IF(装备!O18=0,0,"'"&amp;装备!O18&amp;"'")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IFERROR(VLOOKUP(C17,装备!$B:$E,3,FALSE),"")</f>
        <v/>
      </c>
      <c r="R17" s="36" t="str">
        <f>IFERROR(VLOOKUP(D17,装备!$B:$E,3,FALSE),"")</f>
        <v/>
      </c>
      <c r="S17" s="36" t="str">
        <f>IFERROR(VLOOKUP(E17,装备!$B:$E,3,FALSE),"")</f>
        <v/>
      </c>
      <c r="T17" s="36" t="str">
        <f>IFERROR(VLOOKUP(F17,装备!$B:$E,3,FALSE),"")</f>
        <v/>
      </c>
      <c r="U17" s="36" t="str">
        <f>IFERROR(VLOOKUP(G17,装备!$B:$E,3,FALSE),"")</f>
        <v/>
      </c>
      <c r="V17" s="36" t="str">
        <f>IFERROR(VLOOKUP(H17,装备!$B:$E,3,FALSE),"")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装备!A19</f>
        <v>0</v>
      </c>
      <c r="B18" s="32" t="str">
        <f>"'"&amp;装备!B19&amp;"'"</f>
        <v>'E017'</v>
      </c>
      <c r="C18" s="32">
        <f>装备!J19</f>
        <v>0</v>
      </c>
      <c r="D18" s="32">
        <f>装备!K19</f>
        <v>0</v>
      </c>
      <c r="E18" s="32">
        <f>装备!L19</f>
        <v>0</v>
      </c>
      <c r="F18" s="32">
        <f>装备!M19</f>
        <v>0</v>
      </c>
      <c r="G18" s="32">
        <f>装备!N19</f>
        <v>0</v>
      </c>
      <c r="H18" s="32">
        <f>装备!O19</f>
        <v>0</v>
      </c>
      <c r="I18" s="32">
        <f>IF(装备!J19=0,0,"'"&amp;装备!J19&amp;"'")</f>
        <v>0</v>
      </c>
      <c r="J18" s="32">
        <f>IF(装备!K19=0,0,"'"&amp;装备!K19&amp;"'")</f>
        <v>0</v>
      </c>
      <c r="K18" s="32">
        <f>IF(装备!L19=0,0,"'"&amp;装备!L19&amp;"'")</f>
        <v>0</v>
      </c>
      <c r="L18" s="32">
        <f>IF(装备!M19=0,0,"'"&amp;装备!M19&amp;"'")</f>
        <v>0</v>
      </c>
      <c r="M18" s="32">
        <f>IF(装备!N19=0,0,"'"&amp;装备!N19&amp;"'")</f>
        <v>0</v>
      </c>
      <c r="N18" s="32">
        <f>IF(装备!O19=0,0,"'"&amp;装备!O19&amp;"'")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IFERROR(VLOOKUP(C18,装备!$B:$E,3,FALSE),"")</f>
        <v/>
      </c>
      <c r="R18" s="36" t="str">
        <f>IFERROR(VLOOKUP(D18,装备!$B:$E,3,FALSE),"")</f>
        <v/>
      </c>
      <c r="S18" s="36" t="str">
        <f>IFERROR(VLOOKUP(E18,装备!$B:$E,3,FALSE),"")</f>
        <v/>
      </c>
      <c r="T18" s="36" t="str">
        <f>IFERROR(VLOOKUP(F18,装备!$B:$E,3,FALSE),"")</f>
        <v/>
      </c>
      <c r="U18" s="36" t="str">
        <f>IFERROR(VLOOKUP(G18,装备!$B:$E,3,FALSE),"")</f>
        <v/>
      </c>
      <c r="V18" s="36" t="str">
        <f>IFERROR(VLOOKUP(H18,装备!$B:$E,3,FALSE),"")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装备!A20</f>
        <v>0</v>
      </c>
      <c r="B19" s="32" t="str">
        <f>"'"&amp;装备!B20&amp;"'"</f>
        <v>'E018'</v>
      </c>
      <c r="C19" s="32">
        <f>装备!J20</f>
        <v>0</v>
      </c>
      <c r="D19" s="32">
        <f>装备!K20</f>
        <v>0</v>
      </c>
      <c r="E19" s="32">
        <f>装备!L20</f>
        <v>0</v>
      </c>
      <c r="F19" s="32">
        <f>装备!M20</f>
        <v>0</v>
      </c>
      <c r="G19" s="32">
        <f>装备!N20</f>
        <v>0</v>
      </c>
      <c r="H19" s="32">
        <f>装备!O20</f>
        <v>0</v>
      </c>
      <c r="I19" s="32">
        <f>IF(装备!J20=0,0,"'"&amp;装备!J20&amp;"'")</f>
        <v>0</v>
      </c>
      <c r="J19" s="32">
        <f>IF(装备!K20=0,0,"'"&amp;装备!K20&amp;"'")</f>
        <v>0</v>
      </c>
      <c r="K19" s="32">
        <f>IF(装备!L20=0,0,"'"&amp;装备!L20&amp;"'")</f>
        <v>0</v>
      </c>
      <c r="L19" s="32">
        <f>IF(装备!M20=0,0,"'"&amp;装备!M20&amp;"'")</f>
        <v>0</v>
      </c>
      <c r="M19" s="32">
        <f>IF(装备!N20=0,0,"'"&amp;装备!N20&amp;"'")</f>
        <v>0</v>
      </c>
      <c r="N19" s="32">
        <f>IF(装备!O20=0,0,"'"&amp;装备!O20&amp;"'")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IFERROR(VLOOKUP(C19,装备!$B:$E,3,FALSE),"")</f>
        <v/>
      </c>
      <c r="R19" s="36" t="str">
        <f>IFERROR(VLOOKUP(D19,装备!$B:$E,3,FALSE),"")</f>
        <v/>
      </c>
      <c r="S19" s="36" t="str">
        <f>IFERROR(VLOOKUP(E19,装备!$B:$E,3,FALSE),"")</f>
        <v/>
      </c>
      <c r="T19" s="36" t="str">
        <f>IFERROR(VLOOKUP(F19,装备!$B:$E,3,FALSE),"")</f>
        <v/>
      </c>
      <c r="U19" s="36" t="str">
        <f>IFERROR(VLOOKUP(G19,装备!$B:$E,3,FALSE),"")</f>
        <v/>
      </c>
      <c r="V19" s="36" t="str">
        <f>IFERROR(VLOOKUP(H19,装备!$B:$E,3,FALSE),"")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装备!A21</f>
        <v>0</v>
      </c>
      <c r="B20" s="32" t="str">
        <f>"'"&amp;装备!B21&amp;"'"</f>
        <v>'E019'</v>
      </c>
      <c r="C20" s="32">
        <f>装备!J21</f>
        <v>0</v>
      </c>
      <c r="D20" s="32">
        <f>装备!K21</f>
        <v>0</v>
      </c>
      <c r="E20" s="32">
        <f>装备!L21</f>
        <v>0</v>
      </c>
      <c r="F20" s="32">
        <f>装备!M21</f>
        <v>0</v>
      </c>
      <c r="G20" s="32">
        <f>装备!N21</f>
        <v>0</v>
      </c>
      <c r="H20" s="32">
        <f>装备!O21</f>
        <v>0</v>
      </c>
      <c r="I20" s="32">
        <f>IF(装备!J21=0,0,"'"&amp;装备!J21&amp;"'")</f>
        <v>0</v>
      </c>
      <c r="J20" s="32">
        <f>IF(装备!K21=0,0,"'"&amp;装备!K21&amp;"'")</f>
        <v>0</v>
      </c>
      <c r="K20" s="32">
        <f>IF(装备!L21=0,0,"'"&amp;装备!L21&amp;"'")</f>
        <v>0</v>
      </c>
      <c r="L20" s="32">
        <f>IF(装备!M21=0,0,"'"&amp;装备!M21&amp;"'")</f>
        <v>0</v>
      </c>
      <c r="M20" s="32">
        <f>IF(装备!N21=0,0,"'"&amp;装备!N21&amp;"'")</f>
        <v>0</v>
      </c>
      <c r="N20" s="32">
        <f>IF(装备!O21=0,0,"'"&amp;装备!O21&amp;"'")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IFERROR(VLOOKUP(C20,装备!$B:$E,3,FALSE),"")</f>
        <v/>
      </c>
      <c r="R20" s="36" t="str">
        <f>IFERROR(VLOOKUP(D20,装备!$B:$E,3,FALSE),"")</f>
        <v/>
      </c>
      <c r="S20" s="36" t="str">
        <f>IFERROR(VLOOKUP(E20,装备!$B:$E,3,FALSE),"")</f>
        <v/>
      </c>
      <c r="T20" s="36" t="str">
        <f>IFERROR(VLOOKUP(F20,装备!$B:$E,3,FALSE),"")</f>
        <v/>
      </c>
      <c r="U20" s="36" t="str">
        <f>IFERROR(VLOOKUP(G20,装备!$B:$E,3,FALSE),"")</f>
        <v/>
      </c>
      <c r="V20" s="36" t="str">
        <f>IFERROR(VLOOKUP(H20,装备!$B:$E,3,FALSE),"")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装备!A22</f>
        <v>0</v>
      </c>
      <c r="B21" s="32" t="str">
        <f>"'"&amp;装备!B22&amp;"'"</f>
        <v>'E020'</v>
      </c>
      <c r="C21" s="32">
        <f>装备!J22</f>
        <v>0</v>
      </c>
      <c r="D21" s="32">
        <f>装备!K22</f>
        <v>0</v>
      </c>
      <c r="E21" s="32">
        <f>装备!L22</f>
        <v>0</v>
      </c>
      <c r="F21" s="32">
        <f>装备!M22</f>
        <v>0</v>
      </c>
      <c r="G21" s="32">
        <f>装备!N22</f>
        <v>0</v>
      </c>
      <c r="H21" s="32">
        <f>装备!O22</f>
        <v>0</v>
      </c>
      <c r="I21" s="32">
        <f>IF(装备!J22=0,0,"'"&amp;装备!J22&amp;"'")</f>
        <v>0</v>
      </c>
      <c r="J21" s="32">
        <f>IF(装备!K22=0,0,"'"&amp;装备!K22&amp;"'")</f>
        <v>0</v>
      </c>
      <c r="K21" s="32">
        <f>IF(装备!L22=0,0,"'"&amp;装备!L22&amp;"'")</f>
        <v>0</v>
      </c>
      <c r="L21" s="32">
        <f>IF(装备!M22=0,0,"'"&amp;装备!M22&amp;"'")</f>
        <v>0</v>
      </c>
      <c r="M21" s="32">
        <f>IF(装备!N22=0,0,"'"&amp;装备!N22&amp;"'")</f>
        <v>0</v>
      </c>
      <c r="N21" s="32">
        <f>IF(装备!O22=0,0,"'"&amp;装备!O22&amp;"'")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IFERROR(VLOOKUP(C21,装备!$B:$E,3,FALSE),"")</f>
        <v/>
      </c>
      <c r="R21" s="36" t="str">
        <f>IFERROR(VLOOKUP(D21,装备!$B:$E,3,FALSE),"")</f>
        <v/>
      </c>
      <c r="S21" s="36" t="str">
        <f>IFERROR(VLOOKUP(E21,装备!$B:$E,3,FALSE),"")</f>
        <v/>
      </c>
      <c r="T21" s="36" t="str">
        <f>IFERROR(VLOOKUP(F21,装备!$B:$E,3,FALSE),"")</f>
        <v/>
      </c>
      <c r="U21" s="36" t="str">
        <f>IFERROR(VLOOKUP(G21,装备!$B:$E,3,FALSE),"")</f>
        <v/>
      </c>
      <c r="V21" s="36" t="str">
        <f>IFERROR(VLOOKUP(H21,装备!$B:$E,3,FALSE),"")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装备!A23</f>
        <v>0</v>
      </c>
      <c r="B22" s="32" t="str">
        <f>"'"&amp;装备!B23&amp;"'"</f>
        <v>'E021'</v>
      </c>
      <c r="C22" s="32">
        <f>装备!J23</f>
        <v>0</v>
      </c>
      <c r="D22" s="32">
        <f>装备!K23</f>
        <v>0</v>
      </c>
      <c r="E22" s="32">
        <f>装备!L23</f>
        <v>0</v>
      </c>
      <c r="F22" s="32">
        <f>装备!M23</f>
        <v>0</v>
      </c>
      <c r="G22" s="32">
        <f>装备!N23</f>
        <v>0</v>
      </c>
      <c r="H22" s="32">
        <f>装备!O23</f>
        <v>0</v>
      </c>
      <c r="I22" s="32">
        <f>IF(装备!J23=0,0,"'"&amp;装备!J23&amp;"'")</f>
        <v>0</v>
      </c>
      <c r="J22" s="32">
        <f>IF(装备!K23=0,0,"'"&amp;装备!K23&amp;"'")</f>
        <v>0</v>
      </c>
      <c r="K22" s="32">
        <f>IF(装备!L23=0,0,"'"&amp;装备!L23&amp;"'")</f>
        <v>0</v>
      </c>
      <c r="L22" s="32">
        <f>IF(装备!M23=0,0,"'"&amp;装备!M23&amp;"'")</f>
        <v>0</v>
      </c>
      <c r="M22" s="32">
        <f>IF(装备!N23=0,0,"'"&amp;装备!N23&amp;"'")</f>
        <v>0</v>
      </c>
      <c r="N22" s="32">
        <f>IF(装备!O23=0,0,"'"&amp;装备!O23&amp;"'")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IFERROR(VLOOKUP(C22,装备!$B:$E,3,FALSE),"")</f>
        <v/>
      </c>
      <c r="R22" s="36" t="str">
        <f>IFERROR(VLOOKUP(D22,装备!$B:$E,3,FALSE),"")</f>
        <v/>
      </c>
      <c r="S22" s="36" t="str">
        <f>IFERROR(VLOOKUP(E22,装备!$B:$E,3,FALSE),"")</f>
        <v/>
      </c>
      <c r="T22" s="36" t="str">
        <f>IFERROR(VLOOKUP(F22,装备!$B:$E,3,FALSE),"")</f>
        <v/>
      </c>
      <c r="U22" s="36" t="str">
        <f>IFERROR(VLOOKUP(G22,装备!$B:$E,3,FALSE),"")</f>
        <v/>
      </c>
      <c r="V22" s="36" t="str">
        <f>IFERROR(VLOOKUP(H22,装备!$B:$E,3,FALSE),"")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装备!A24</f>
        <v>0</v>
      </c>
      <c r="B23" s="32" t="str">
        <f>"'"&amp;装备!B24&amp;"'"</f>
        <v>'E022'</v>
      </c>
      <c r="C23" s="32">
        <f>装备!J24</f>
        <v>0</v>
      </c>
      <c r="D23" s="32">
        <f>装备!K24</f>
        <v>0</v>
      </c>
      <c r="E23" s="32">
        <f>装备!L24</f>
        <v>0</v>
      </c>
      <c r="F23" s="32">
        <f>装备!M24</f>
        <v>0</v>
      </c>
      <c r="G23" s="32">
        <f>装备!N24</f>
        <v>0</v>
      </c>
      <c r="H23" s="32">
        <f>装备!O24</f>
        <v>0</v>
      </c>
      <c r="I23" s="32">
        <f>IF(装备!J24=0,0,"'"&amp;装备!J24&amp;"'")</f>
        <v>0</v>
      </c>
      <c r="J23" s="32">
        <f>IF(装备!K24=0,0,"'"&amp;装备!K24&amp;"'")</f>
        <v>0</v>
      </c>
      <c r="K23" s="32">
        <f>IF(装备!L24=0,0,"'"&amp;装备!L24&amp;"'")</f>
        <v>0</v>
      </c>
      <c r="L23" s="32">
        <f>IF(装备!M24=0,0,"'"&amp;装备!M24&amp;"'")</f>
        <v>0</v>
      </c>
      <c r="M23" s="32">
        <f>IF(装备!N24=0,0,"'"&amp;装备!N24&amp;"'")</f>
        <v>0</v>
      </c>
      <c r="N23" s="32">
        <f>IF(装备!O24=0,0,"'"&amp;装备!O24&amp;"'")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IFERROR(VLOOKUP(C23,装备!$B:$E,3,FALSE),"")</f>
        <v/>
      </c>
      <c r="R23" s="36" t="str">
        <f>IFERROR(VLOOKUP(D23,装备!$B:$E,3,FALSE),"")</f>
        <v/>
      </c>
      <c r="S23" s="36" t="str">
        <f>IFERROR(VLOOKUP(E23,装备!$B:$E,3,FALSE),"")</f>
        <v/>
      </c>
      <c r="T23" s="36" t="str">
        <f>IFERROR(VLOOKUP(F23,装备!$B:$E,3,FALSE),"")</f>
        <v/>
      </c>
      <c r="U23" s="36" t="str">
        <f>IFERROR(VLOOKUP(G23,装备!$B:$E,3,FALSE),"")</f>
        <v/>
      </c>
      <c r="V23" s="36" t="str">
        <f>IFERROR(VLOOKUP(H23,装备!$B:$E,3,FALSE),"")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装备!A25</f>
        <v>0</v>
      </c>
      <c r="B24" s="32" t="str">
        <f>"'"&amp;装备!B25&amp;"'"</f>
        <v>'E023'</v>
      </c>
      <c r="C24" s="32">
        <f>装备!J25</f>
        <v>0</v>
      </c>
      <c r="D24" s="32">
        <f>装备!K25</f>
        <v>0</v>
      </c>
      <c r="E24" s="32">
        <f>装备!L25</f>
        <v>0</v>
      </c>
      <c r="F24" s="32">
        <f>装备!M25</f>
        <v>0</v>
      </c>
      <c r="G24" s="32">
        <f>装备!N25</f>
        <v>0</v>
      </c>
      <c r="H24" s="32">
        <f>装备!O25</f>
        <v>0</v>
      </c>
      <c r="I24" s="32">
        <f>IF(装备!J25=0,0,"'"&amp;装备!J25&amp;"'")</f>
        <v>0</v>
      </c>
      <c r="J24" s="32">
        <f>IF(装备!K25=0,0,"'"&amp;装备!K25&amp;"'")</f>
        <v>0</v>
      </c>
      <c r="K24" s="32">
        <f>IF(装备!L25=0,0,"'"&amp;装备!L25&amp;"'")</f>
        <v>0</v>
      </c>
      <c r="L24" s="32">
        <f>IF(装备!M25=0,0,"'"&amp;装备!M25&amp;"'")</f>
        <v>0</v>
      </c>
      <c r="M24" s="32">
        <f>IF(装备!N25=0,0,"'"&amp;装备!N25&amp;"'")</f>
        <v>0</v>
      </c>
      <c r="N24" s="32">
        <f>IF(装备!O25=0,0,"'"&amp;装备!O25&amp;"'")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IFERROR(VLOOKUP(C24,装备!$B:$E,3,FALSE),"")</f>
        <v/>
      </c>
      <c r="R24" s="36" t="str">
        <f>IFERROR(VLOOKUP(D24,装备!$B:$E,3,FALSE),"")</f>
        <v/>
      </c>
      <c r="S24" s="36" t="str">
        <f>IFERROR(VLOOKUP(E24,装备!$B:$E,3,FALSE),"")</f>
        <v/>
      </c>
      <c r="T24" s="36" t="str">
        <f>IFERROR(VLOOKUP(F24,装备!$B:$E,3,FALSE),"")</f>
        <v/>
      </c>
      <c r="U24" s="36" t="str">
        <f>IFERROR(VLOOKUP(G24,装备!$B:$E,3,FALSE),"")</f>
        <v/>
      </c>
      <c r="V24" s="36" t="str">
        <f>IFERROR(VLOOKUP(H24,装备!$B:$E,3,FALSE),"")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装备!A26</f>
        <v>0</v>
      </c>
      <c r="B25" s="32" t="str">
        <f>"'"&amp;装备!B26&amp;"'"</f>
        <v>'E024'</v>
      </c>
      <c r="C25" s="32">
        <f>装备!J26</f>
        <v>0</v>
      </c>
      <c r="D25" s="32">
        <f>装备!K26</f>
        <v>0</v>
      </c>
      <c r="E25" s="32">
        <f>装备!L26</f>
        <v>0</v>
      </c>
      <c r="F25" s="32">
        <f>装备!M26</f>
        <v>0</v>
      </c>
      <c r="G25" s="32">
        <f>装备!N26</f>
        <v>0</v>
      </c>
      <c r="H25" s="32">
        <f>装备!O26</f>
        <v>0</v>
      </c>
      <c r="I25" s="32">
        <f>IF(装备!J26=0,0,"'"&amp;装备!J26&amp;"'")</f>
        <v>0</v>
      </c>
      <c r="J25" s="32">
        <f>IF(装备!K26=0,0,"'"&amp;装备!K26&amp;"'")</f>
        <v>0</v>
      </c>
      <c r="K25" s="32">
        <f>IF(装备!L26=0,0,"'"&amp;装备!L26&amp;"'")</f>
        <v>0</v>
      </c>
      <c r="L25" s="32">
        <f>IF(装备!M26=0,0,"'"&amp;装备!M26&amp;"'")</f>
        <v>0</v>
      </c>
      <c r="M25" s="32">
        <f>IF(装备!N26=0,0,"'"&amp;装备!N26&amp;"'")</f>
        <v>0</v>
      </c>
      <c r="N25" s="32">
        <f>IF(装备!O26=0,0,"'"&amp;装备!O26&amp;"'")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IFERROR(VLOOKUP(C25,装备!$B:$E,3,FALSE),"")</f>
        <v/>
      </c>
      <c r="R25" s="36" t="str">
        <f>IFERROR(VLOOKUP(D25,装备!$B:$E,3,FALSE),"")</f>
        <v/>
      </c>
      <c r="S25" s="36" t="str">
        <f>IFERROR(VLOOKUP(E25,装备!$B:$E,3,FALSE),"")</f>
        <v/>
      </c>
      <c r="T25" s="36" t="str">
        <f>IFERROR(VLOOKUP(F25,装备!$B:$E,3,FALSE),"")</f>
        <v/>
      </c>
      <c r="U25" s="36" t="str">
        <f>IFERROR(VLOOKUP(G25,装备!$B:$E,3,FALSE),"")</f>
        <v/>
      </c>
      <c r="V25" s="36" t="str">
        <f>IFERROR(VLOOKUP(H25,装备!$B:$E,3,FALSE),"")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装备!A27</f>
        <v>0</v>
      </c>
      <c r="B26" s="32" t="str">
        <f>"'"&amp;装备!B27&amp;"'"</f>
        <v>'E025'</v>
      </c>
      <c r="C26" s="32">
        <f>装备!J27</f>
        <v>0</v>
      </c>
      <c r="D26" s="32">
        <f>装备!K27</f>
        <v>0</v>
      </c>
      <c r="E26" s="32">
        <f>装备!L27</f>
        <v>0</v>
      </c>
      <c r="F26" s="32">
        <f>装备!M27</f>
        <v>0</v>
      </c>
      <c r="G26" s="32">
        <f>装备!N27</f>
        <v>0</v>
      </c>
      <c r="H26" s="32">
        <f>装备!O27</f>
        <v>0</v>
      </c>
      <c r="I26" s="32">
        <f>IF(装备!J27=0,0,"'"&amp;装备!J27&amp;"'")</f>
        <v>0</v>
      </c>
      <c r="J26" s="32">
        <f>IF(装备!K27=0,0,"'"&amp;装备!K27&amp;"'")</f>
        <v>0</v>
      </c>
      <c r="K26" s="32">
        <f>IF(装备!L27=0,0,"'"&amp;装备!L27&amp;"'")</f>
        <v>0</v>
      </c>
      <c r="L26" s="32">
        <f>IF(装备!M27=0,0,"'"&amp;装备!M27&amp;"'")</f>
        <v>0</v>
      </c>
      <c r="M26" s="32">
        <f>IF(装备!N27=0,0,"'"&amp;装备!N27&amp;"'")</f>
        <v>0</v>
      </c>
      <c r="N26" s="32">
        <f>IF(装备!O27=0,0,"'"&amp;装备!O27&amp;"'")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IFERROR(VLOOKUP(C26,装备!$B:$E,3,FALSE),"")</f>
        <v/>
      </c>
      <c r="R26" s="36" t="str">
        <f>IFERROR(VLOOKUP(D26,装备!$B:$E,3,FALSE),"")</f>
        <v/>
      </c>
      <c r="S26" s="36" t="str">
        <f>IFERROR(VLOOKUP(E26,装备!$B:$E,3,FALSE),"")</f>
        <v/>
      </c>
      <c r="T26" s="36" t="str">
        <f>IFERROR(VLOOKUP(F26,装备!$B:$E,3,FALSE),"")</f>
        <v/>
      </c>
      <c r="U26" s="36" t="str">
        <f>IFERROR(VLOOKUP(G26,装备!$B:$E,3,FALSE),"")</f>
        <v/>
      </c>
      <c r="V26" s="36" t="str">
        <f>IFERROR(VLOOKUP(H26,装备!$B:$E,3,FALSE),"")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装备!A28</f>
        <v>0</v>
      </c>
      <c r="B27" s="32" t="str">
        <f>"'"&amp;装备!B28&amp;"'"</f>
        <v>'E101'</v>
      </c>
      <c r="C27" s="32">
        <f>装备!J28</f>
        <v>0</v>
      </c>
      <c r="D27" s="32">
        <f>装备!K28</f>
        <v>0</v>
      </c>
      <c r="E27" s="32">
        <f>装备!L28</f>
        <v>0</v>
      </c>
      <c r="F27" s="32">
        <f>装备!M28</f>
        <v>0</v>
      </c>
      <c r="G27" s="32">
        <f>装备!N28</f>
        <v>0</v>
      </c>
      <c r="H27" s="32">
        <f>装备!O28</f>
        <v>0</v>
      </c>
      <c r="I27" s="32">
        <f>IF(装备!J28=0,0,"'"&amp;装备!J28&amp;"'")</f>
        <v>0</v>
      </c>
      <c r="J27" s="32">
        <f>IF(装备!K28=0,0,"'"&amp;装备!K28&amp;"'")</f>
        <v>0</v>
      </c>
      <c r="K27" s="32">
        <f>IF(装备!L28=0,0,"'"&amp;装备!L28&amp;"'")</f>
        <v>0</v>
      </c>
      <c r="L27" s="32">
        <f>IF(装备!M28=0,0,"'"&amp;装备!M28&amp;"'")</f>
        <v>0</v>
      </c>
      <c r="M27" s="32">
        <f>IF(装备!N28=0,0,"'"&amp;装备!N28&amp;"'")</f>
        <v>0</v>
      </c>
      <c r="N27" s="32">
        <f>IF(装备!O28=0,0,"'"&amp;装备!O28&amp;"'")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IFERROR(VLOOKUP(C27,装备!$B:$E,3,FALSE),"")</f>
        <v/>
      </c>
      <c r="R27" s="36" t="str">
        <f>IFERROR(VLOOKUP(D27,装备!$B:$E,3,FALSE),"")</f>
        <v/>
      </c>
      <c r="S27" s="36" t="str">
        <f>IFERROR(VLOOKUP(E27,装备!$B:$E,3,FALSE),"")</f>
        <v/>
      </c>
      <c r="T27" s="36" t="str">
        <f>IFERROR(VLOOKUP(F27,装备!$B:$E,3,FALSE),"")</f>
        <v/>
      </c>
      <c r="U27" s="36" t="str">
        <f>IFERROR(VLOOKUP(G27,装备!$B:$E,3,FALSE),"")</f>
        <v/>
      </c>
      <c r="V27" s="36" t="str">
        <f>IFERROR(VLOOKUP(H27,装备!$B:$E,3,FALSE),"")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装备!A29</f>
        <v>0</v>
      </c>
      <c r="B28" s="32" t="str">
        <f>"'"&amp;装备!B29&amp;"'"</f>
        <v>'E102'</v>
      </c>
      <c r="C28" s="32">
        <f>装备!J29</f>
        <v>0</v>
      </c>
      <c r="D28" s="32">
        <f>装备!K29</f>
        <v>0</v>
      </c>
      <c r="E28" s="32">
        <f>装备!L29</f>
        <v>0</v>
      </c>
      <c r="F28" s="32">
        <f>装备!M29</f>
        <v>0</v>
      </c>
      <c r="G28" s="32">
        <f>装备!N29</f>
        <v>0</v>
      </c>
      <c r="H28" s="32">
        <f>装备!O29</f>
        <v>0</v>
      </c>
      <c r="I28" s="32">
        <f>IF(装备!J29=0,0,"'"&amp;装备!J29&amp;"'")</f>
        <v>0</v>
      </c>
      <c r="J28" s="32">
        <f>IF(装备!K29=0,0,"'"&amp;装备!K29&amp;"'")</f>
        <v>0</v>
      </c>
      <c r="K28" s="32">
        <f>IF(装备!L29=0,0,"'"&amp;装备!L29&amp;"'")</f>
        <v>0</v>
      </c>
      <c r="L28" s="32">
        <f>IF(装备!M29=0,0,"'"&amp;装备!M29&amp;"'")</f>
        <v>0</v>
      </c>
      <c r="M28" s="32">
        <f>IF(装备!N29=0,0,"'"&amp;装备!N29&amp;"'")</f>
        <v>0</v>
      </c>
      <c r="N28" s="32">
        <f>IF(装备!O29=0,0,"'"&amp;装备!O29&amp;"'")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IFERROR(VLOOKUP(C28,装备!$B:$E,3,FALSE),"")</f>
        <v/>
      </c>
      <c r="R28" s="36" t="str">
        <f>IFERROR(VLOOKUP(D28,装备!$B:$E,3,FALSE),"")</f>
        <v/>
      </c>
      <c r="S28" s="36" t="str">
        <f>IFERROR(VLOOKUP(E28,装备!$B:$E,3,FALSE),"")</f>
        <v/>
      </c>
      <c r="T28" s="36" t="str">
        <f>IFERROR(VLOOKUP(F28,装备!$B:$E,3,FALSE),"")</f>
        <v/>
      </c>
      <c r="U28" s="36" t="str">
        <f>IFERROR(VLOOKUP(G28,装备!$B:$E,3,FALSE),"")</f>
        <v/>
      </c>
      <c r="V28" s="36" t="str">
        <f>IFERROR(VLOOKUP(H28,装备!$B:$E,3,FALSE),"")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装备!A30</f>
        <v>0</v>
      </c>
      <c r="B29" s="32" t="str">
        <f>"'"&amp;装备!B30&amp;"'"</f>
        <v>'E103'</v>
      </c>
      <c r="C29" s="32">
        <f>装备!J30</f>
        <v>0</v>
      </c>
      <c r="D29" s="32">
        <f>装备!K30</f>
        <v>0</v>
      </c>
      <c r="E29" s="32">
        <f>装备!L30</f>
        <v>0</v>
      </c>
      <c r="F29" s="32">
        <f>装备!M30</f>
        <v>0</v>
      </c>
      <c r="G29" s="32">
        <f>装备!N30</f>
        <v>0</v>
      </c>
      <c r="H29" s="32">
        <f>装备!O30</f>
        <v>0</v>
      </c>
      <c r="I29" s="32">
        <f>IF(装备!J30=0,0,"'"&amp;装备!J30&amp;"'")</f>
        <v>0</v>
      </c>
      <c r="J29" s="32">
        <f>IF(装备!K30=0,0,"'"&amp;装备!K30&amp;"'")</f>
        <v>0</v>
      </c>
      <c r="K29" s="32">
        <f>IF(装备!L30=0,0,"'"&amp;装备!L30&amp;"'")</f>
        <v>0</v>
      </c>
      <c r="L29" s="32">
        <f>IF(装备!M30=0,0,"'"&amp;装备!M30&amp;"'")</f>
        <v>0</v>
      </c>
      <c r="M29" s="32">
        <f>IF(装备!N30=0,0,"'"&amp;装备!N30&amp;"'")</f>
        <v>0</v>
      </c>
      <c r="N29" s="32">
        <f>IF(装备!O30=0,0,"'"&amp;装备!O30&amp;"'")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IFERROR(VLOOKUP(C29,装备!$B:$E,3,FALSE),"")</f>
        <v/>
      </c>
      <c r="R29" s="36" t="str">
        <f>IFERROR(VLOOKUP(D29,装备!$B:$E,3,FALSE),"")</f>
        <v/>
      </c>
      <c r="S29" s="36" t="str">
        <f>IFERROR(VLOOKUP(E29,装备!$B:$E,3,FALSE),"")</f>
        <v/>
      </c>
      <c r="T29" s="36" t="str">
        <f>IFERROR(VLOOKUP(F29,装备!$B:$E,3,FALSE),"")</f>
        <v/>
      </c>
      <c r="U29" s="36" t="str">
        <f>IFERROR(VLOOKUP(G29,装备!$B:$E,3,FALSE),"")</f>
        <v/>
      </c>
      <c r="V29" s="36" t="str">
        <f>IFERROR(VLOOKUP(H29,装备!$B:$E,3,FALSE),"")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装备!A31</f>
        <v>0</v>
      </c>
      <c r="B30" s="32" t="str">
        <f>"'"&amp;装备!B31&amp;"'"</f>
        <v>'E104'</v>
      </c>
      <c r="C30" s="32">
        <f>装备!J31</f>
        <v>0</v>
      </c>
      <c r="D30" s="32">
        <f>装备!K31</f>
        <v>0</v>
      </c>
      <c r="E30" s="32">
        <f>装备!L31</f>
        <v>0</v>
      </c>
      <c r="F30" s="32">
        <f>装备!M31</f>
        <v>0</v>
      </c>
      <c r="G30" s="32">
        <f>装备!N31</f>
        <v>0</v>
      </c>
      <c r="H30" s="32">
        <f>装备!O31</f>
        <v>0</v>
      </c>
      <c r="I30" s="32">
        <f>IF(装备!J31=0,0,"'"&amp;装备!J31&amp;"'")</f>
        <v>0</v>
      </c>
      <c r="J30" s="32">
        <f>IF(装备!K31=0,0,"'"&amp;装备!K31&amp;"'")</f>
        <v>0</v>
      </c>
      <c r="K30" s="32">
        <f>IF(装备!L31=0,0,"'"&amp;装备!L31&amp;"'")</f>
        <v>0</v>
      </c>
      <c r="L30" s="32">
        <f>IF(装备!M31=0,0,"'"&amp;装备!M31&amp;"'")</f>
        <v>0</v>
      </c>
      <c r="M30" s="32">
        <f>IF(装备!N31=0,0,"'"&amp;装备!N31&amp;"'")</f>
        <v>0</v>
      </c>
      <c r="N30" s="32">
        <f>IF(装备!O31=0,0,"'"&amp;装备!O31&amp;"'")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IFERROR(VLOOKUP(C30,装备!$B:$E,3,FALSE),"")</f>
        <v/>
      </c>
      <c r="R30" s="36" t="str">
        <f>IFERROR(VLOOKUP(D30,装备!$B:$E,3,FALSE),"")</f>
        <v/>
      </c>
      <c r="S30" s="36" t="str">
        <f>IFERROR(VLOOKUP(E30,装备!$B:$E,3,FALSE),"")</f>
        <v/>
      </c>
      <c r="T30" s="36" t="str">
        <f>IFERROR(VLOOKUP(F30,装备!$B:$E,3,FALSE),"")</f>
        <v/>
      </c>
      <c r="U30" s="36" t="str">
        <f>IFERROR(VLOOKUP(G30,装备!$B:$E,3,FALSE),"")</f>
        <v/>
      </c>
      <c r="V30" s="36" t="str">
        <f>IFERROR(VLOOKUP(H30,装备!$B:$E,3,FALSE),"")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装备!A32</f>
        <v>0</v>
      </c>
      <c r="B31" s="32" t="str">
        <f>"'"&amp;装备!B32&amp;"'"</f>
        <v>'E105'</v>
      </c>
      <c r="C31" s="32">
        <f>装备!J32</f>
        <v>0</v>
      </c>
      <c r="D31" s="32">
        <f>装备!K32</f>
        <v>0</v>
      </c>
      <c r="E31" s="32">
        <f>装备!L32</f>
        <v>0</v>
      </c>
      <c r="F31" s="32">
        <f>装备!M32</f>
        <v>0</v>
      </c>
      <c r="G31" s="32">
        <f>装备!N32</f>
        <v>0</v>
      </c>
      <c r="H31" s="32">
        <f>装备!O32</f>
        <v>0</v>
      </c>
      <c r="I31" s="32">
        <f>IF(装备!J32=0,0,"'"&amp;装备!J32&amp;"'")</f>
        <v>0</v>
      </c>
      <c r="J31" s="32">
        <f>IF(装备!K32=0,0,"'"&amp;装备!K32&amp;"'")</f>
        <v>0</v>
      </c>
      <c r="K31" s="32">
        <f>IF(装备!L32=0,0,"'"&amp;装备!L32&amp;"'")</f>
        <v>0</v>
      </c>
      <c r="L31" s="32">
        <f>IF(装备!M32=0,0,"'"&amp;装备!M32&amp;"'")</f>
        <v>0</v>
      </c>
      <c r="M31" s="32">
        <f>IF(装备!N32=0,0,"'"&amp;装备!N32&amp;"'")</f>
        <v>0</v>
      </c>
      <c r="N31" s="32">
        <f>IF(装备!O32=0,0,"'"&amp;装备!O32&amp;"'")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IFERROR(VLOOKUP(C31,装备!$B:$E,3,FALSE),"")</f>
        <v/>
      </c>
      <c r="R31" s="36" t="str">
        <f>IFERROR(VLOOKUP(D31,装备!$B:$E,3,FALSE),"")</f>
        <v/>
      </c>
      <c r="S31" s="36" t="str">
        <f>IFERROR(VLOOKUP(E31,装备!$B:$E,3,FALSE),"")</f>
        <v/>
      </c>
      <c r="T31" s="36" t="str">
        <f>IFERROR(VLOOKUP(F31,装备!$B:$E,3,FALSE),"")</f>
        <v/>
      </c>
      <c r="U31" s="36" t="str">
        <f>IFERROR(VLOOKUP(G31,装备!$B:$E,3,FALSE),"")</f>
        <v/>
      </c>
      <c r="V31" s="36" t="str">
        <f>IFERROR(VLOOKUP(H31,装备!$B:$E,3,FALSE),"")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装备!A33</f>
        <v>0</v>
      </c>
      <c r="B32" s="32" t="str">
        <f>"'"&amp;装备!B33&amp;"'"</f>
        <v>'E106'</v>
      </c>
      <c r="C32" s="32">
        <f>装备!J33</f>
        <v>0</v>
      </c>
      <c r="D32" s="32">
        <f>装备!K33</f>
        <v>0</v>
      </c>
      <c r="E32" s="32">
        <f>装备!L33</f>
        <v>0</v>
      </c>
      <c r="F32" s="32">
        <f>装备!M33</f>
        <v>0</v>
      </c>
      <c r="G32" s="32">
        <f>装备!N33</f>
        <v>0</v>
      </c>
      <c r="H32" s="32">
        <f>装备!O33</f>
        <v>0</v>
      </c>
      <c r="I32" s="32">
        <f>IF(装备!J33=0,0,"'"&amp;装备!J33&amp;"'")</f>
        <v>0</v>
      </c>
      <c r="J32" s="32">
        <f>IF(装备!K33=0,0,"'"&amp;装备!K33&amp;"'")</f>
        <v>0</v>
      </c>
      <c r="K32" s="32">
        <f>IF(装备!L33=0,0,"'"&amp;装备!L33&amp;"'")</f>
        <v>0</v>
      </c>
      <c r="L32" s="32">
        <f>IF(装备!M33=0,0,"'"&amp;装备!M33&amp;"'")</f>
        <v>0</v>
      </c>
      <c r="M32" s="32">
        <f>IF(装备!N33=0,0,"'"&amp;装备!N33&amp;"'")</f>
        <v>0</v>
      </c>
      <c r="N32" s="32">
        <f>IF(装备!O33=0,0,"'"&amp;装备!O33&amp;"'")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IFERROR(VLOOKUP(C32,装备!$B:$E,3,FALSE),"")</f>
        <v/>
      </c>
      <c r="R32" s="36" t="str">
        <f>IFERROR(VLOOKUP(D32,装备!$B:$E,3,FALSE),"")</f>
        <v/>
      </c>
      <c r="S32" s="36" t="str">
        <f>IFERROR(VLOOKUP(E32,装备!$B:$E,3,FALSE),"")</f>
        <v/>
      </c>
      <c r="T32" s="36" t="str">
        <f>IFERROR(VLOOKUP(F32,装备!$B:$E,3,FALSE),"")</f>
        <v/>
      </c>
      <c r="U32" s="36" t="str">
        <f>IFERROR(VLOOKUP(G32,装备!$B:$E,3,FALSE),"")</f>
        <v/>
      </c>
      <c r="V32" s="36" t="str">
        <f>IFERROR(VLOOKUP(H32,装备!$B:$E,3,FALSE),"")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装备!A34</f>
        <v>0</v>
      </c>
      <c r="B33" s="32" t="str">
        <f>"'"&amp;装备!B34&amp;"'"</f>
        <v>'E107'</v>
      </c>
      <c r="C33" s="32">
        <f>装备!J34</f>
        <v>0</v>
      </c>
      <c r="D33" s="32">
        <f>装备!K34</f>
        <v>0</v>
      </c>
      <c r="E33" s="32">
        <f>装备!L34</f>
        <v>0</v>
      </c>
      <c r="F33" s="32">
        <f>装备!M34</f>
        <v>0</v>
      </c>
      <c r="G33" s="32">
        <f>装备!N34</f>
        <v>0</v>
      </c>
      <c r="H33" s="32">
        <f>装备!O34</f>
        <v>0</v>
      </c>
      <c r="I33" s="32">
        <f>IF(装备!J34=0,0,"'"&amp;装备!J34&amp;"'")</f>
        <v>0</v>
      </c>
      <c r="J33" s="32">
        <f>IF(装备!K34=0,0,"'"&amp;装备!K34&amp;"'")</f>
        <v>0</v>
      </c>
      <c r="K33" s="32">
        <f>IF(装备!L34=0,0,"'"&amp;装备!L34&amp;"'")</f>
        <v>0</v>
      </c>
      <c r="L33" s="32">
        <f>IF(装备!M34=0,0,"'"&amp;装备!M34&amp;"'")</f>
        <v>0</v>
      </c>
      <c r="M33" s="32">
        <f>IF(装备!N34=0,0,"'"&amp;装备!N34&amp;"'")</f>
        <v>0</v>
      </c>
      <c r="N33" s="32">
        <f>IF(装备!O34=0,0,"'"&amp;装备!O34&amp;"'")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IFERROR(VLOOKUP(C33,装备!$B:$E,3,FALSE),"")</f>
        <v/>
      </c>
      <c r="R33" s="36" t="str">
        <f>IFERROR(VLOOKUP(D33,装备!$B:$E,3,FALSE),"")</f>
        <v/>
      </c>
      <c r="S33" s="36" t="str">
        <f>IFERROR(VLOOKUP(E33,装备!$B:$E,3,FALSE),"")</f>
        <v/>
      </c>
      <c r="T33" s="36" t="str">
        <f>IFERROR(VLOOKUP(F33,装备!$B:$E,3,FALSE),"")</f>
        <v/>
      </c>
      <c r="U33" s="36" t="str">
        <f>IFERROR(VLOOKUP(G33,装备!$B:$E,3,FALSE),"")</f>
        <v/>
      </c>
      <c r="V33" s="36" t="str">
        <f>IFERROR(VLOOKUP(H33,装备!$B:$E,3,FALSE),"")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装备!A35</f>
        <v>0</v>
      </c>
      <c r="B34" s="32" t="str">
        <f>"'"&amp;装备!B35&amp;"'"</f>
        <v>'E108'</v>
      </c>
      <c r="C34" s="32">
        <f>装备!J35</f>
        <v>0</v>
      </c>
      <c r="D34" s="32">
        <f>装备!K35</f>
        <v>0</v>
      </c>
      <c r="E34" s="32">
        <f>装备!L35</f>
        <v>0</v>
      </c>
      <c r="F34" s="32">
        <f>装备!M35</f>
        <v>0</v>
      </c>
      <c r="G34" s="32">
        <f>装备!N35</f>
        <v>0</v>
      </c>
      <c r="H34" s="32">
        <f>装备!O35</f>
        <v>0</v>
      </c>
      <c r="I34" s="32">
        <f>IF(装备!J35=0,0,"'"&amp;装备!J35&amp;"'")</f>
        <v>0</v>
      </c>
      <c r="J34" s="32">
        <f>IF(装备!K35=0,0,"'"&amp;装备!K35&amp;"'")</f>
        <v>0</v>
      </c>
      <c r="K34" s="32">
        <f>IF(装备!L35=0,0,"'"&amp;装备!L35&amp;"'")</f>
        <v>0</v>
      </c>
      <c r="L34" s="32">
        <f>IF(装备!M35=0,0,"'"&amp;装备!M35&amp;"'")</f>
        <v>0</v>
      </c>
      <c r="M34" s="32">
        <f>IF(装备!N35=0,0,"'"&amp;装备!N35&amp;"'")</f>
        <v>0</v>
      </c>
      <c r="N34" s="32">
        <f>IF(装备!O35=0,0,"'"&amp;装备!O35&amp;"'")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IFERROR(VLOOKUP(C34,装备!$B:$E,3,FALSE),"")</f>
        <v/>
      </c>
      <c r="R34" s="36" t="str">
        <f>IFERROR(VLOOKUP(D34,装备!$B:$E,3,FALSE),"")</f>
        <v/>
      </c>
      <c r="S34" s="36" t="str">
        <f>IFERROR(VLOOKUP(E34,装备!$B:$E,3,FALSE),"")</f>
        <v/>
      </c>
      <c r="T34" s="36" t="str">
        <f>IFERROR(VLOOKUP(F34,装备!$B:$E,3,FALSE),"")</f>
        <v/>
      </c>
      <c r="U34" s="36" t="str">
        <f>IFERROR(VLOOKUP(G34,装备!$B:$E,3,FALSE),"")</f>
        <v/>
      </c>
      <c r="V34" s="36" t="str">
        <f>IFERROR(VLOOKUP(H34,装备!$B:$E,3,FALSE),"")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装备!A36</f>
        <v>0</v>
      </c>
      <c r="B35" s="32" t="str">
        <f>"'"&amp;装备!B36&amp;"'"</f>
        <v>'E109'</v>
      </c>
      <c r="C35" s="32">
        <f>装备!J36</f>
        <v>0</v>
      </c>
      <c r="D35" s="32">
        <f>装备!K36</f>
        <v>0</v>
      </c>
      <c r="E35" s="32">
        <f>装备!L36</f>
        <v>0</v>
      </c>
      <c r="F35" s="32">
        <f>装备!M36</f>
        <v>0</v>
      </c>
      <c r="G35" s="32">
        <f>装备!N36</f>
        <v>0</v>
      </c>
      <c r="H35" s="32">
        <f>装备!O36</f>
        <v>0</v>
      </c>
      <c r="I35" s="32">
        <f>IF(装备!J36=0,0,"'"&amp;装备!J36&amp;"'")</f>
        <v>0</v>
      </c>
      <c r="J35" s="32">
        <f>IF(装备!K36=0,0,"'"&amp;装备!K36&amp;"'")</f>
        <v>0</v>
      </c>
      <c r="K35" s="32">
        <f>IF(装备!L36=0,0,"'"&amp;装备!L36&amp;"'")</f>
        <v>0</v>
      </c>
      <c r="L35" s="32">
        <f>IF(装备!M36=0,0,"'"&amp;装备!M36&amp;"'")</f>
        <v>0</v>
      </c>
      <c r="M35" s="32">
        <f>IF(装备!N36=0,0,"'"&amp;装备!N36&amp;"'")</f>
        <v>0</v>
      </c>
      <c r="N35" s="32">
        <f>IF(装备!O36=0,0,"'"&amp;装备!O36&amp;"'")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IFERROR(VLOOKUP(C35,装备!$B:$E,3,FALSE),"")</f>
        <v/>
      </c>
      <c r="R35" s="36" t="str">
        <f>IFERROR(VLOOKUP(D35,装备!$B:$E,3,FALSE),"")</f>
        <v/>
      </c>
      <c r="S35" s="36" t="str">
        <f>IFERROR(VLOOKUP(E35,装备!$B:$E,3,FALSE),"")</f>
        <v/>
      </c>
      <c r="T35" s="36" t="str">
        <f>IFERROR(VLOOKUP(F35,装备!$B:$E,3,FALSE),"")</f>
        <v/>
      </c>
      <c r="U35" s="36" t="str">
        <f>IFERROR(VLOOKUP(G35,装备!$B:$E,3,FALSE),"")</f>
        <v/>
      </c>
      <c r="V35" s="36" t="str">
        <f>IFERROR(VLOOKUP(H35,装备!$B:$E,3,FALSE),"")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装备!A37</f>
        <v>0</v>
      </c>
      <c r="B36" s="32" t="str">
        <f>"'"&amp;装备!B37&amp;"'"</f>
        <v>'E110'</v>
      </c>
      <c r="C36" s="32">
        <f>装备!J37</f>
        <v>0</v>
      </c>
      <c r="D36" s="32">
        <f>装备!K37</f>
        <v>0</v>
      </c>
      <c r="E36" s="32">
        <f>装备!L37</f>
        <v>0</v>
      </c>
      <c r="F36" s="32">
        <f>装备!M37</f>
        <v>0</v>
      </c>
      <c r="G36" s="32">
        <f>装备!N37</f>
        <v>0</v>
      </c>
      <c r="H36" s="32">
        <f>装备!O37</f>
        <v>0</v>
      </c>
      <c r="I36" s="32">
        <f>IF(装备!J37=0,0,"'"&amp;装备!J37&amp;"'")</f>
        <v>0</v>
      </c>
      <c r="J36" s="32">
        <f>IF(装备!K37=0,0,"'"&amp;装备!K37&amp;"'")</f>
        <v>0</v>
      </c>
      <c r="K36" s="32">
        <f>IF(装备!L37=0,0,"'"&amp;装备!L37&amp;"'")</f>
        <v>0</v>
      </c>
      <c r="L36" s="32">
        <f>IF(装备!M37=0,0,"'"&amp;装备!M37&amp;"'")</f>
        <v>0</v>
      </c>
      <c r="M36" s="32">
        <f>IF(装备!N37=0,0,"'"&amp;装备!N37&amp;"'")</f>
        <v>0</v>
      </c>
      <c r="N36" s="32">
        <f>IF(装备!O37=0,0,"'"&amp;装备!O37&amp;"'")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IFERROR(VLOOKUP(C36,装备!$B:$E,3,FALSE),"")</f>
        <v/>
      </c>
      <c r="R36" s="36" t="str">
        <f>IFERROR(VLOOKUP(D36,装备!$B:$E,3,FALSE),"")</f>
        <v/>
      </c>
      <c r="S36" s="36" t="str">
        <f>IFERROR(VLOOKUP(E36,装备!$B:$E,3,FALSE),"")</f>
        <v/>
      </c>
      <c r="T36" s="36" t="str">
        <f>IFERROR(VLOOKUP(F36,装备!$B:$E,3,FALSE),"")</f>
        <v/>
      </c>
      <c r="U36" s="36" t="str">
        <f>IFERROR(VLOOKUP(G36,装备!$B:$E,3,FALSE),"")</f>
        <v/>
      </c>
      <c r="V36" s="36" t="str">
        <f>IFERROR(VLOOKUP(H36,装备!$B:$E,3,FALSE),"")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装备!A38</f>
        <v>0</v>
      </c>
      <c r="B37" s="32" t="str">
        <f>"'"&amp;装备!B38&amp;"'"</f>
        <v>'E111'</v>
      </c>
      <c r="C37" s="32">
        <f>装备!J38</f>
        <v>0</v>
      </c>
      <c r="D37" s="32">
        <f>装备!K38</f>
        <v>0</v>
      </c>
      <c r="E37" s="32">
        <f>装备!L38</f>
        <v>0</v>
      </c>
      <c r="F37" s="32">
        <f>装备!M38</f>
        <v>0</v>
      </c>
      <c r="G37" s="32">
        <f>装备!N38</f>
        <v>0</v>
      </c>
      <c r="H37" s="32">
        <f>装备!O38</f>
        <v>0</v>
      </c>
      <c r="I37" s="32">
        <f>IF(装备!J38=0,0,"'"&amp;装备!J38&amp;"'")</f>
        <v>0</v>
      </c>
      <c r="J37" s="32">
        <f>IF(装备!K38=0,0,"'"&amp;装备!K38&amp;"'")</f>
        <v>0</v>
      </c>
      <c r="K37" s="32">
        <f>IF(装备!L38=0,0,"'"&amp;装备!L38&amp;"'")</f>
        <v>0</v>
      </c>
      <c r="L37" s="32">
        <f>IF(装备!M38=0,0,"'"&amp;装备!M38&amp;"'")</f>
        <v>0</v>
      </c>
      <c r="M37" s="32">
        <f>IF(装备!N38=0,0,"'"&amp;装备!N38&amp;"'")</f>
        <v>0</v>
      </c>
      <c r="N37" s="32">
        <f>IF(装备!O38=0,0,"'"&amp;装备!O38&amp;"'")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IFERROR(VLOOKUP(C37,装备!$B:$E,3,FALSE),"")</f>
        <v/>
      </c>
      <c r="R37" s="36" t="str">
        <f>IFERROR(VLOOKUP(D37,装备!$B:$E,3,FALSE),"")</f>
        <v/>
      </c>
      <c r="S37" s="36" t="str">
        <f>IFERROR(VLOOKUP(E37,装备!$B:$E,3,FALSE),"")</f>
        <v/>
      </c>
      <c r="T37" s="36" t="str">
        <f>IFERROR(VLOOKUP(F37,装备!$B:$E,3,FALSE),"")</f>
        <v/>
      </c>
      <c r="U37" s="36" t="str">
        <f>IFERROR(VLOOKUP(G37,装备!$B:$E,3,FALSE),"")</f>
        <v/>
      </c>
      <c r="V37" s="36" t="str">
        <f>IFERROR(VLOOKUP(H37,装备!$B:$E,3,FALSE),"")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装备!A39</f>
        <v>0</v>
      </c>
      <c r="B38" s="32" t="str">
        <f>"'"&amp;装备!B39&amp;"'"</f>
        <v>'E112'</v>
      </c>
      <c r="C38" s="32">
        <f>装备!J39</f>
        <v>0</v>
      </c>
      <c r="D38" s="32">
        <f>装备!K39</f>
        <v>0</v>
      </c>
      <c r="E38" s="32">
        <f>装备!L39</f>
        <v>0</v>
      </c>
      <c r="F38" s="32">
        <f>装备!M39</f>
        <v>0</v>
      </c>
      <c r="G38" s="32">
        <f>装备!N39</f>
        <v>0</v>
      </c>
      <c r="H38" s="32">
        <f>装备!O39</f>
        <v>0</v>
      </c>
      <c r="I38" s="32">
        <f>IF(装备!J39=0,0,"'"&amp;装备!J39&amp;"'")</f>
        <v>0</v>
      </c>
      <c r="J38" s="32">
        <f>IF(装备!K39=0,0,"'"&amp;装备!K39&amp;"'")</f>
        <v>0</v>
      </c>
      <c r="K38" s="32">
        <f>IF(装备!L39=0,0,"'"&amp;装备!L39&amp;"'")</f>
        <v>0</v>
      </c>
      <c r="L38" s="32">
        <f>IF(装备!M39=0,0,"'"&amp;装备!M39&amp;"'")</f>
        <v>0</v>
      </c>
      <c r="M38" s="32">
        <f>IF(装备!N39=0,0,"'"&amp;装备!N39&amp;"'")</f>
        <v>0</v>
      </c>
      <c r="N38" s="32">
        <f>IF(装备!O39=0,0,"'"&amp;装备!O39&amp;"'")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IFERROR(VLOOKUP(C38,装备!$B:$E,3,FALSE),"")</f>
        <v/>
      </c>
      <c r="R38" s="36" t="str">
        <f>IFERROR(VLOOKUP(D38,装备!$B:$E,3,FALSE),"")</f>
        <v/>
      </c>
      <c r="S38" s="36" t="str">
        <f>IFERROR(VLOOKUP(E38,装备!$B:$E,3,FALSE),"")</f>
        <v/>
      </c>
      <c r="T38" s="36" t="str">
        <f>IFERROR(VLOOKUP(F38,装备!$B:$E,3,FALSE),"")</f>
        <v/>
      </c>
      <c r="U38" s="36" t="str">
        <f>IFERROR(VLOOKUP(G38,装备!$B:$E,3,FALSE),"")</f>
        <v/>
      </c>
      <c r="V38" s="36" t="str">
        <f>IFERROR(VLOOKUP(H38,装备!$B:$E,3,FALSE),"")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装备!A40</f>
        <v>0</v>
      </c>
      <c r="B39" s="32" t="str">
        <f>"'"&amp;装备!B40&amp;"'"</f>
        <v>'E113'</v>
      </c>
      <c r="C39" s="32">
        <f>装备!J40</f>
        <v>0</v>
      </c>
      <c r="D39" s="32">
        <f>装备!K40</f>
        <v>0</v>
      </c>
      <c r="E39" s="32">
        <f>装备!L40</f>
        <v>0</v>
      </c>
      <c r="F39" s="32">
        <f>装备!M40</f>
        <v>0</v>
      </c>
      <c r="G39" s="32">
        <f>装备!N40</f>
        <v>0</v>
      </c>
      <c r="H39" s="32">
        <f>装备!O40</f>
        <v>0</v>
      </c>
      <c r="I39" s="32">
        <f>IF(装备!J40=0,0,"'"&amp;装备!J40&amp;"'")</f>
        <v>0</v>
      </c>
      <c r="J39" s="32">
        <f>IF(装备!K40=0,0,"'"&amp;装备!K40&amp;"'")</f>
        <v>0</v>
      </c>
      <c r="K39" s="32">
        <f>IF(装备!L40=0,0,"'"&amp;装备!L40&amp;"'")</f>
        <v>0</v>
      </c>
      <c r="L39" s="32">
        <f>IF(装备!M40=0,0,"'"&amp;装备!M40&amp;"'")</f>
        <v>0</v>
      </c>
      <c r="M39" s="32">
        <f>IF(装备!N40=0,0,"'"&amp;装备!N40&amp;"'")</f>
        <v>0</v>
      </c>
      <c r="N39" s="32">
        <f>IF(装备!O40=0,0,"'"&amp;装备!O40&amp;"'")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IFERROR(VLOOKUP(C39,装备!$B:$E,3,FALSE),"")</f>
        <v/>
      </c>
      <c r="R39" s="36" t="str">
        <f>IFERROR(VLOOKUP(D39,装备!$B:$E,3,FALSE),"")</f>
        <v/>
      </c>
      <c r="S39" s="36" t="str">
        <f>IFERROR(VLOOKUP(E39,装备!$B:$E,3,FALSE),"")</f>
        <v/>
      </c>
      <c r="T39" s="36" t="str">
        <f>IFERROR(VLOOKUP(F39,装备!$B:$E,3,FALSE),"")</f>
        <v/>
      </c>
      <c r="U39" s="36" t="str">
        <f>IFERROR(VLOOKUP(G39,装备!$B:$E,3,FALSE),"")</f>
        <v/>
      </c>
      <c r="V39" s="36" t="str">
        <f>IFERROR(VLOOKUP(H39,装备!$B:$E,3,FALSE),"")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装备!A41</f>
        <v>0</v>
      </c>
      <c r="B40" s="32" t="str">
        <f>"'"&amp;装备!B41&amp;"'"</f>
        <v>'E114'</v>
      </c>
      <c r="C40" s="32">
        <f>装备!J41</f>
        <v>0</v>
      </c>
      <c r="D40" s="32">
        <f>装备!K41</f>
        <v>0</v>
      </c>
      <c r="E40" s="32">
        <f>装备!L41</f>
        <v>0</v>
      </c>
      <c r="F40" s="32">
        <f>装备!M41</f>
        <v>0</v>
      </c>
      <c r="G40" s="32">
        <f>装备!N41</f>
        <v>0</v>
      </c>
      <c r="H40" s="32">
        <f>装备!O41</f>
        <v>0</v>
      </c>
      <c r="I40" s="32">
        <f>IF(装备!J41=0,0,"'"&amp;装备!J41&amp;"'")</f>
        <v>0</v>
      </c>
      <c r="J40" s="32">
        <f>IF(装备!K41=0,0,"'"&amp;装备!K41&amp;"'")</f>
        <v>0</v>
      </c>
      <c r="K40" s="32">
        <f>IF(装备!L41=0,0,"'"&amp;装备!L41&amp;"'")</f>
        <v>0</v>
      </c>
      <c r="L40" s="32">
        <f>IF(装备!M41=0,0,"'"&amp;装备!M41&amp;"'")</f>
        <v>0</v>
      </c>
      <c r="M40" s="32">
        <f>IF(装备!N41=0,0,"'"&amp;装备!N41&amp;"'")</f>
        <v>0</v>
      </c>
      <c r="N40" s="32">
        <f>IF(装备!O41=0,0,"'"&amp;装备!O41&amp;"'")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IFERROR(VLOOKUP(C40,装备!$B:$E,3,FALSE),"")</f>
        <v/>
      </c>
      <c r="R40" s="36" t="str">
        <f>IFERROR(VLOOKUP(D40,装备!$B:$E,3,FALSE),"")</f>
        <v/>
      </c>
      <c r="S40" s="36" t="str">
        <f>IFERROR(VLOOKUP(E40,装备!$B:$E,3,FALSE),"")</f>
        <v/>
      </c>
      <c r="T40" s="36" t="str">
        <f>IFERROR(VLOOKUP(F40,装备!$B:$E,3,FALSE),"")</f>
        <v/>
      </c>
      <c r="U40" s="36" t="str">
        <f>IFERROR(VLOOKUP(G40,装备!$B:$E,3,FALSE),"")</f>
        <v/>
      </c>
      <c r="V40" s="36" t="str">
        <f>IFERROR(VLOOKUP(H40,装备!$B:$E,3,FALSE),"")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装备!A42</f>
        <v>0</v>
      </c>
      <c r="B41" s="32" t="str">
        <f>"'"&amp;装备!B42&amp;"'"</f>
        <v>'E115'</v>
      </c>
      <c r="C41" s="32">
        <f>装备!J42</f>
        <v>0</v>
      </c>
      <c r="D41" s="32">
        <f>装备!K42</f>
        <v>0</v>
      </c>
      <c r="E41" s="32">
        <f>装备!L42</f>
        <v>0</v>
      </c>
      <c r="F41" s="32">
        <f>装备!M42</f>
        <v>0</v>
      </c>
      <c r="G41" s="32">
        <f>装备!N42</f>
        <v>0</v>
      </c>
      <c r="H41" s="32">
        <f>装备!O42</f>
        <v>0</v>
      </c>
      <c r="I41" s="32">
        <f>IF(装备!J42=0,0,"'"&amp;装备!J42&amp;"'")</f>
        <v>0</v>
      </c>
      <c r="J41" s="32">
        <f>IF(装备!K42=0,0,"'"&amp;装备!K42&amp;"'")</f>
        <v>0</v>
      </c>
      <c r="K41" s="32">
        <f>IF(装备!L42=0,0,"'"&amp;装备!L42&amp;"'")</f>
        <v>0</v>
      </c>
      <c r="L41" s="32">
        <f>IF(装备!M42=0,0,"'"&amp;装备!M42&amp;"'")</f>
        <v>0</v>
      </c>
      <c r="M41" s="32">
        <f>IF(装备!N42=0,0,"'"&amp;装备!N42&amp;"'")</f>
        <v>0</v>
      </c>
      <c r="N41" s="32">
        <f>IF(装备!O42=0,0,"'"&amp;装备!O42&amp;"'")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IFERROR(VLOOKUP(C41,装备!$B:$E,3,FALSE),"")</f>
        <v/>
      </c>
      <c r="R41" s="36" t="str">
        <f>IFERROR(VLOOKUP(D41,装备!$B:$E,3,FALSE),"")</f>
        <v/>
      </c>
      <c r="S41" s="36" t="str">
        <f>IFERROR(VLOOKUP(E41,装备!$B:$E,3,FALSE),"")</f>
        <v/>
      </c>
      <c r="T41" s="36" t="str">
        <f>IFERROR(VLOOKUP(F41,装备!$B:$E,3,FALSE),"")</f>
        <v/>
      </c>
      <c r="U41" s="36" t="str">
        <f>IFERROR(VLOOKUP(G41,装备!$B:$E,3,FALSE),"")</f>
        <v/>
      </c>
      <c r="V41" s="36" t="str">
        <f>IFERROR(VLOOKUP(H41,装备!$B:$E,3,FALSE),"")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装备!A43</f>
        <v>0</v>
      </c>
      <c r="B42" s="32" t="str">
        <f>"'"&amp;装备!B43&amp;"'"</f>
        <v>'E116'</v>
      </c>
      <c r="C42" s="32">
        <f>装备!J43</f>
        <v>0</v>
      </c>
      <c r="D42" s="32">
        <f>装备!K43</f>
        <v>0</v>
      </c>
      <c r="E42" s="32">
        <f>装备!L43</f>
        <v>0</v>
      </c>
      <c r="F42" s="32">
        <f>装备!M43</f>
        <v>0</v>
      </c>
      <c r="G42" s="32">
        <f>装备!N43</f>
        <v>0</v>
      </c>
      <c r="H42" s="32">
        <f>装备!O43</f>
        <v>0</v>
      </c>
      <c r="I42" s="32">
        <f>IF(装备!J43=0,0,"'"&amp;装备!J43&amp;"'")</f>
        <v>0</v>
      </c>
      <c r="J42" s="32">
        <f>IF(装备!K43=0,0,"'"&amp;装备!K43&amp;"'")</f>
        <v>0</v>
      </c>
      <c r="K42" s="32">
        <f>IF(装备!L43=0,0,"'"&amp;装备!L43&amp;"'")</f>
        <v>0</v>
      </c>
      <c r="L42" s="32">
        <f>IF(装备!M43=0,0,"'"&amp;装备!M43&amp;"'")</f>
        <v>0</v>
      </c>
      <c r="M42" s="32">
        <f>IF(装备!N43=0,0,"'"&amp;装备!N43&amp;"'")</f>
        <v>0</v>
      </c>
      <c r="N42" s="32">
        <f>IF(装备!O43=0,0,"'"&amp;装备!O43&amp;"'")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IFERROR(VLOOKUP(C42,装备!$B:$E,3,FALSE),"")</f>
        <v/>
      </c>
      <c r="R42" s="36" t="str">
        <f>IFERROR(VLOOKUP(D42,装备!$B:$E,3,FALSE),"")</f>
        <v/>
      </c>
      <c r="S42" s="36" t="str">
        <f>IFERROR(VLOOKUP(E42,装备!$B:$E,3,FALSE),"")</f>
        <v/>
      </c>
      <c r="T42" s="36" t="str">
        <f>IFERROR(VLOOKUP(F42,装备!$B:$E,3,FALSE),"")</f>
        <v/>
      </c>
      <c r="U42" s="36" t="str">
        <f>IFERROR(VLOOKUP(G42,装备!$B:$E,3,FALSE),"")</f>
        <v/>
      </c>
      <c r="V42" s="36" t="str">
        <f>IFERROR(VLOOKUP(H42,装备!$B:$E,3,FALSE),"")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装备!A44</f>
        <v>0</v>
      </c>
      <c r="B43" s="32" t="str">
        <f>"'"&amp;装备!B44&amp;"'"</f>
        <v>'E117'</v>
      </c>
      <c r="C43" s="32">
        <f>装备!J44</f>
        <v>0</v>
      </c>
      <c r="D43" s="32">
        <f>装备!K44</f>
        <v>0</v>
      </c>
      <c r="E43" s="32">
        <f>装备!L44</f>
        <v>0</v>
      </c>
      <c r="F43" s="32">
        <f>装备!M44</f>
        <v>0</v>
      </c>
      <c r="G43" s="32">
        <f>装备!N44</f>
        <v>0</v>
      </c>
      <c r="H43" s="32">
        <f>装备!O44</f>
        <v>0</v>
      </c>
      <c r="I43" s="32">
        <f>IF(装备!J44=0,0,"'"&amp;装备!J44&amp;"'")</f>
        <v>0</v>
      </c>
      <c r="J43" s="32">
        <f>IF(装备!K44=0,0,"'"&amp;装备!K44&amp;"'")</f>
        <v>0</v>
      </c>
      <c r="K43" s="32">
        <f>IF(装备!L44=0,0,"'"&amp;装备!L44&amp;"'")</f>
        <v>0</v>
      </c>
      <c r="L43" s="32">
        <f>IF(装备!M44=0,0,"'"&amp;装备!M44&amp;"'")</f>
        <v>0</v>
      </c>
      <c r="M43" s="32">
        <f>IF(装备!N44=0,0,"'"&amp;装备!N44&amp;"'")</f>
        <v>0</v>
      </c>
      <c r="N43" s="32">
        <f>IF(装备!O44=0,0,"'"&amp;装备!O44&amp;"'")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IFERROR(VLOOKUP(C43,装备!$B:$E,3,FALSE),"")</f>
        <v/>
      </c>
      <c r="R43" s="36" t="str">
        <f>IFERROR(VLOOKUP(D43,装备!$B:$E,3,FALSE),"")</f>
        <v/>
      </c>
      <c r="S43" s="36" t="str">
        <f>IFERROR(VLOOKUP(E43,装备!$B:$E,3,FALSE),"")</f>
        <v/>
      </c>
      <c r="T43" s="36" t="str">
        <f>IFERROR(VLOOKUP(F43,装备!$B:$E,3,FALSE),"")</f>
        <v/>
      </c>
      <c r="U43" s="36" t="str">
        <f>IFERROR(VLOOKUP(G43,装备!$B:$E,3,FALSE),"")</f>
        <v/>
      </c>
      <c r="V43" s="36" t="str">
        <f>IFERROR(VLOOKUP(H43,装备!$B:$E,3,FALSE),"")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装备!A45</f>
        <v>0</v>
      </c>
      <c r="B44" s="32" t="str">
        <f>"'"&amp;装备!B45&amp;"'"</f>
        <v>'E118'</v>
      </c>
      <c r="C44" s="32">
        <f>装备!J45</f>
        <v>0</v>
      </c>
      <c r="D44" s="32">
        <f>装备!K45</f>
        <v>0</v>
      </c>
      <c r="E44" s="32">
        <f>装备!L45</f>
        <v>0</v>
      </c>
      <c r="F44" s="32">
        <f>装备!M45</f>
        <v>0</v>
      </c>
      <c r="G44" s="32">
        <f>装备!N45</f>
        <v>0</v>
      </c>
      <c r="H44" s="32">
        <f>装备!O45</f>
        <v>0</v>
      </c>
      <c r="I44" s="32">
        <f>IF(装备!J45=0,0,"'"&amp;装备!J45&amp;"'")</f>
        <v>0</v>
      </c>
      <c r="J44" s="32">
        <f>IF(装备!K45=0,0,"'"&amp;装备!K45&amp;"'")</f>
        <v>0</v>
      </c>
      <c r="K44" s="32">
        <f>IF(装备!L45=0,0,"'"&amp;装备!L45&amp;"'")</f>
        <v>0</v>
      </c>
      <c r="L44" s="32">
        <f>IF(装备!M45=0,0,"'"&amp;装备!M45&amp;"'")</f>
        <v>0</v>
      </c>
      <c r="M44" s="32">
        <f>IF(装备!N45=0,0,"'"&amp;装备!N45&amp;"'")</f>
        <v>0</v>
      </c>
      <c r="N44" s="32">
        <f>IF(装备!O45=0,0,"'"&amp;装备!O45&amp;"'")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IFERROR(VLOOKUP(C44,装备!$B:$E,3,FALSE),"")</f>
        <v/>
      </c>
      <c r="R44" s="36" t="str">
        <f>IFERROR(VLOOKUP(D44,装备!$B:$E,3,FALSE),"")</f>
        <v/>
      </c>
      <c r="S44" s="36" t="str">
        <f>IFERROR(VLOOKUP(E44,装备!$B:$E,3,FALSE),"")</f>
        <v/>
      </c>
      <c r="T44" s="36" t="str">
        <f>IFERROR(VLOOKUP(F44,装备!$B:$E,3,FALSE),"")</f>
        <v/>
      </c>
      <c r="U44" s="36" t="str">
        <f>IFERROR(VLOOKUP(G44,装备!$B:$E,3,FALSE),"")</f>
        <v/>
      </c>
      <c r="V44" s="36" t="str">
        <f>IFERROR(VLOOKUP(H44,装备!$B:$E,3,FALSE),"")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装备!A46</f>
        <v>0</v>
      </c>
      <c r="B45" s="32" t="str">
        <f>"'"&amp;装备!B46&amp;"'"</f>
        <v>'E119'</v>
      </c>
      <c r="C45" s="32">
        <f>装备!J46</f>
        <v>0</v>
      </c>
      <c r="D45" s="32">
        <f>装备!K46</f>
        <v>0</v>
      </c>
      <c r="E45" s="32">
        <f>装备!L46</f>
        <v>0</v>
      </c>
      <c r="F45" s="32">
        <f>装备!M46</f>
        <v>0</v>
      </c>
      <c r="G45" s="32">
        <f>装备!N46</f>
        <v>0</v>
      </c>
      <c r="H45" s="32">
        <f>装备!O46</f>
        <v>0</v>
      </c>
      <c r="I45" s="32">
        <f>IF(装备!J46=0,0,"'"&amp;装备!J46&amp;"'")</f>
        <v>0</v>
      </c>
      <c r="J45" s="32">
        <f>IF(装备!K46=0,0,"'"&amp;装备!K46&amp;"'")</f>
        <v>0</v>
      </c>
      <c r="K45" s="32">
        <f>IF(装备!L46=0,0,"'"&amp;装备!L46&amp;"'")</f>
        <v>0</v>
      </c>
      <c r="L45" s="32">
        <f>IF(装备!M46=0,0,"'"&amp;装备!M46&amp;"'")</f>
        <v>0</v>
      </c>
      <c r="M45" s="32">
        <f>IF(装备!N46=0,0,"'"&amp;装备!N46&amp;"'")</f>
        <v>0</v>
      </c>
      <c r="N45" s="32">
        <f>IF(装备!O46=0,0,"'"&amp;装备!O46&amp;"'")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IFERROR(VLOOKUP(C45,装备!$B:$E,3,FALSE),"")</f>
        <v/>
      </c>
      <c r="R45" s="36" t="str">
        <f>IFERROR(VLOOKUP(D45,装备!$B:$E,3,FALSE),"")</f>
        <v/>
      </c>
      <c r="S45" s="36" t="str">
        <f>IFERROR(VLOOKUP(E45,装备!$B:$E,3,FALSE),"")</f>
        <v/>
      </c>
      <c r="T45" s="36" t="str">
        <f>IFERROR(VLOOKUP(F45,装备!$B:$E,3,FALSE),"")</f>
        <v/>
      </c>
      <c r="U45" s="36" t="str">
        <f>IFERROR(VLOOKUP(G45,装备!$B:$E,3,FALSE),"")</f>
        <v/>
      </c>
      <c r="V45" s="36" t="str">
        <f>IFERROR(VLOOKUP(H45,装备!$B:$E,3,FALSE),"")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装备!A47</f>
        <v>0</v>
      </c>
      <c r="B46" s="32" t="str">
        <f>"'"&amp;装备!B47&amp;"'"</f>
        <v>'E120'</v>
      </c>
      <c r="C46" s="32">
        <f>装备!J47</f>
        <v>0</v>
      </c>
      <c r="D46" s="32">
        <f>装备!K47</f>
        <v>0</v>
      </c>
      <c r="E46" s="32">
        <f>装备!L47</f>
        <v>0</v>
      </c>
      <c r="F46" s="32">
        <f>装备!M47</f>
        <v>0</v>
      </c>
      <c r="G46" s="32">
        <f>装备!N47</f>
        <v>0</v>
      </c>
      <c r="H46" s="32">
        <f>装备!O47</f>
        <v>0</v>
      </c>
      <c r="I46" s="32">
        <f>IF(装备!J47=0,0,"'"&amp;装备!J47&amp;"'")</f>
        <v>0</v>
      </c>
      <c r="J46" s="32">
        <f>IF(装备!K47=0,0,"'"&amp;装备!K47&amp;"'")</f>
        <v>0</v>
      </c>
      <c r="K46" s="32">
        <f>IF(装备!L47=0,0,"'"&amp;装备!L47&amp;"'")</f>
        <v>0</v>
      </c>
      <c r="L46" s="32">
        <f>IF(装备!M47=0,0,"'"&amp;装备!M47&amp;"'")</f>
        <v>0</v>
      </c>
      <c r="M46" s="32">
        <f>IF(装备!N47=0,0,"'"&amp;装备!N47&amp;"'")</f>
        <v>0</v>
      </c>
      <c r="N46" s="32">
        <f>IF(装备!O47=0,0,"'"&amp;装备!O47&amp;"'")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IFERROR(VLOOKUP(C46,装备!$B:$E,3,FALSE),"")</f>
        <v/>
      </c>
      <c r="R46" s="36" t="str">
        <f>IFERROR(VLOOKUP(D46,装备!$B:$E,3,FALSE),"")</f>
        <v/>
      </c>
      <c r="S46" s="36" t="str">
        <f>IFERROR(VLOOKUP(E46,装备!$B:$E,3,FALSE),"")</f>
        <v/>
      </c>
      <c r="T46" s="36" t="str">
        <f>IFERROR(VLOOKUP(F46,装备!$B:$E,3,FALSE),"")</f>
        <v/>
      </c>
      <c r="U46" s="36" t="str">
        <f>IFERROR(VLOOKUP(G46,装备!$B:$E,3,FALSE),"")</f>
        <v/>
      </c>
      <c r="V46" s="36" t="str">
        <f>IFERROR(VLOOKUP(H46,装备!$B:$E,3,FALSE),"")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装备!A48</f>
        <v>0</v>
      </c>
      <c r="B47" s="32" t="str">
        <f>"'"&amp;装备!B48&amp;"'"</f>
        <v>'E121'</v>
      </c>
      <c r="C47" s="32">
        <f>装备!J48</f>
        <v>0</v>
      </c>
      <c r="D47" s="32">
        <f>装备!K48</f>
        <v>0</v>
      </c>
      <c r="E47" s="32">
        <f>装备!L48</f>
        <v>0</v>
      </c>
      <c r="F47" s="32">
        <f>装备!M48</f>
        <v>0</v>
      </c>
      <c r="G47" s="32">
        <f>装备!N48</f>
        <v>0</v>
      </c>
      <c r="H47" s="32">
        <f>装备!O48</f>
        <v>0</v>
      </c>
      <c r="I47" s="32">
        <f>IF(装备!J48=0,0,"'"&amp;装备!J48&amp;"'")</f>
        <v>0</v>
      </c>
      <c r="J47" s="32">
        <f>IF(装备!K48=0,0,"'"&amp;装备!K48&amp;"'")</f>
        <v>0</v>
      </c>
      <c r="K47" s="32">
        <f>IF(装备!L48=0,0,"'"&amp;装备!L48&amp;"'")</f>
        <v>0</v>
      </c>
      <c r="L47" s="32">
        <f>IF(装备!M48=0,0,"'"&amp;装备!M48&amp;"'")</f>
        <v>0</v>
      </c>
      <c r="M47" s="32">
        <f>IF(装备!N48=0,0,"'"&amp;装备!N48&amp;"'")</f>
        <v>0</v>
      </c>
      <c r="N47" s="32">
        <f>IF(装备!O48=0,0,"'"&amp;装备!O48&amp;"'")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IFERROR(VLOOKUP(C47,装备!$B:$E,3,FALSE),"")</f>
        <v/>
      </c>
      <c r="R47" s="36" t="str">
        <f>IFERROR(VLOOKUP(D47,装备!$B:$E,3,FALSE),"")</f>
        <v/>
      </c>
      <c r="S47" s="36" t="str">
        <f>IFERROR(VLOOKUP(E47,装备!$B:$E,3,FALSE),"")</f>
        <v/>
      </c>
      <c r="T47" s="36" t="str">
        <f>IFERROR(VLOOKUP(F47,装备!$B:$E,3,FALSE),"")</f>
        <v/>
      </c>
      <c r="U47" s="36" t="str">
        <f>IFERROR(VLOOKUP(G47,装备!$B:$E,3,FALSE),"")</f>
        <v/>
      </c>
      <c r="V47" s="36" t="str">
        <f>IFERROR(VLOOKUP(H47,装备!$B:$E,3,FALSE),"")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装备!A49</f>
        <v>0</v>
      </c>
      <c r="B48" s="32" t="str">
        <f>"'"&amp;装备!B49&amp;"'"</f>
        <v>'E122'</v>
      </c>
      <c r="C48" s="32">
        <f>装备!J49</f>
        <v>0</v>
      </c>
      <c r="D48" s="32">
        <f>装备!K49</f>
        <v>0</v>
      </c>
      <c r="E48" s="32">
        <f>装备!L49</f>
        <v>0</v>
      </c>
      <c r="F48" s="32">
        <f>装备!M49</f>
        <v>0</v>
      </c>
      <c r="G48" s="32">
        <f>装备!N49</f>
        <v>0</v>
      </c>
      <c r="H48" s="32">
        <f>装备!O49</f>
        <v>0</v>
      </c>
      <c r="I48" s="32">
        <f>IF(装备!J49=0,0,"'"&amp;装备!J49&amp;"'")</f>
        <v>0</v>
      </c>
      <c r="J48" s="32">
        <f>IF(装备!K49=0,0,"'"&amp;装备!K49&amp;"'")</f>
        <v>0</v>
      </c>
      <c r="K48" s="32">
        <f>IF(装备!L49=0,0,"'"&amp;装备!L49&amp;"'")</f>
        <v>0</v>
      </c>
      <c r="L48" s="32">
        <f>IF(装备!M49=0,0,"'"&amp;装备!M49&amp;"'")</f>
        <v>0</v>
      </c>
      <c r="M48" s="32">
        <f>IF(装备!N49=0,0,"'"&amp;装备!N49&amp;"'")</f>
        <v>0</v>
      </c>
      <c r="N48" s="32">
        <f>IF(装备!O49=0,0,"'"&amp;装备!O49&amp;"'")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IFERROR(VLOOKUP(C48,装备!$B:$E,3,FALSE),"")</f>
        <v/>
      </c>
      <c r="R48" s="36" t="str">
        <f>IFERROR(VLOOKUP(D48,装备!$B:$E,3,FALSE),"")</f>
        <v/>
      </c>
      <c r="S48" s="36" t="str">
        <f>IFERROR(VLOOKUP(E48,装备!$B:$E,3,FALSE),"")</f>
        <v/>
      </c>
      <c r="T48" s="36" t="str">
        <f>IFERROR(VLOOKUP(F48,装备!$B:$E,3,FALSE),"")</f>
        <v/>
      </c>
      <c r="U48" s="36" t="str">
        <f>IFERROR(VLOOKUP(G48,装备!$B:$E,3,FALSE),"")</f>
        <v/>
      </c>
      <c r="V48" s="36" t="str">
        <f>IFERROR(VLOOKUP(H48,装备!$B:$E,3,FALSE),"")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装备!A50</f>
        <v>0</v>
      </c>
      <c r="B49" s="32" t="str">
        <f>"'"&amp;装备!B50&amp;"'"</f>
        <v>'E123'</v>
      </c>
      <c r="C49" s="32">
        <f>装备!J50</f>
        <v>0</v>
      </c>
      <c r="D49" s="32">
        <f>装备!K50</f>
        <v>0</v>
      </c>
      <c r="E49" s="32">
        <f>装备!L50</f>
        <v>0</v>
      </c>
      <c r="F49" s="32">
        <f>装备!M50</f>
        <v>0</v>
      </c>
      <c r="G49" s="32">
        <f>装备!N50</f>
        <v>0</v>
      </c>
      <c r="H49" s="32">
        <f>装备!O50</f>
        <v>0</v>
      </c>
      <c r="I49" s="32">
        <f>IF(装备!J50=0,0,"'"&amp;装备!J50&amp;"'")</f>
        <v>0</v>
      </c>
      <c r="J49" s="32">
        <f>IF(装备!K50=0,0,"'"&amp;装备!K50&amp;"'")</f>
        <v>0</v>
      </c>
      <c r="K49" s="32">
        <f>IF(装备!L50=0,0,"'"&amp;装备!L50&amp;"'")</f>
        <v>0</v>
      </c>
      <c r="L49" s="32">
        <f>IF(装备!M50=0,0,"'"&amp;装备!M50&amp;"'")</f>
        <v>0</v>
      </c>
      <c r="M49" s="32">
        <f>IF(装备!N50=0,0,"'"&amp;装备!N50&amp;"'")</f>
        <v>0</v>
      </c>
      <c r="N49" s="32">
        <f>IF(装备!O50=0,0,"'"&amp;装备!O50&amp;"'")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IFERROR(VLOOKUP(C49,装备!$B:$E,3,FALSE),"")</f>
        <v/>
      </c>
      <c r="R49" s="36" t="str">
        <f>IFERROR(VLOOKUP(D49,装备!$B:$E,3,FALSE),"")</f>
        <v/>
      </c>
      <c r="S49" s="36" t="str">
        <f>IFERROR(VLOOKUP(E49,装备!$B:$E,3,FALSE),"")</f>
        <v/>
      </c>
      <c r="T49" s="36" t="str">
        <f>IFERROR(VLOOKUP(F49,装备!$B:$E,3,FALSE),"")</f>
        <v/>
      </c>
      <c r="U49" s="36" t="str">
        <f>IFERROR(VLOOKUP(G49,装备!$B:$E,3,FALSE),"")</f>
        <v/>
      </c>
      <c r="V49" s="36" t="str">
        <f>IFERROR(VLOOKUP(H49,装备!$B:$E,3,FALSE),"")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装备!A51</f>
        <v>0</v>
      </c>
      <c r="B50" s="32" t="str">
        <f>"'"&amp;装备!B51&amp;"'"</f>
        <v>'E124'</v>
      </c>
      <c r="C50" s="32">
        <f>装备!J51</f>
        <v>0</v>
      </c>
      <c r="D50" s="32">
        <f>装备!K51</f>
        <v>0</v>
      </c>
      <c r="E50" s="32">
        <f>装备!L51</f>
        <v>0</v>
      </c>
      <c r="F50" s="32">
        <f>装备!M51</f>
        <v>0</v>
      </c>
      <c r="G50" s="32">
        <f>装备!N51</f>
        <v>0</v>
      </c>
      <c r="H50" s="32">
        <f>装备!O51</f>
        <v>0</v>
      </c>
      <c r="I50" s="32">
        <f>IF(装备!J51=0,0,"'"&amp;装备!J51&amp;"'")</f>
        <v>0</v>
      </c>
      <c r="J50" s="32">
        <f>IF(装备!K51=0,0,"'"&amp;装备!K51&amp;"'")</f>
        <v>0</v>
      </c>
      <c r="K50" s="32">
        <f>IF(装备!L51=0,0,"'"&amp;装备!L51&amp;"'")</f>
        <v>0</v>
      </c>
      <c r="L50" s="32">
        <f>IF(装备!M51=0,0,"'"&amp;装备!M51&amp;"'")</f>
        <v>0</v>
      </c>
      <c r="M50" s="32">
        <f>IF(装备!N51=0,0,"'"&amp;装备!N51&amp;"'")</f>
        <v>0</v>
      </c>
      <c r="N50" s="32">
        <f>IF(装备!O51=0,0,"'"&amp;装备!O51&amp;"'")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IFERROR(VLOOKUP(C50,装备!$B:$E,3,FALSE),"")</f>
        <v/>
      </c>
      <c r="R50" s="36" t="str">
        <f>IFERROR(VLOOKUP(D50,装备!$B:$E,3,FALSE),"")</f>
        <v/>
      </c>
      <c r="S50" s="36" t="str">
        <f>IFERROR(VLOOKUP(E50,装备!$B:$E,3,FALSE),"")</f>
        <v/>
      </c>
      <c r="T50" s="36" t="str">
        <f>IFERROR(VLOOKUP(F50,装备!$B:$E,3,FALSE),"")</f>
        <v/>
      </c>
      <c r="U50" s="36" t="str">
        <f>IFERROR(VLOOKUP(G50,装备!$B:$E,3,FALSE),"")</f>
        <v/>
      </c>
      <c r="V50" s="36" t="str">
        <f>IFERROR(VLOOKUP(H50,装备!$B:$E,3,FALSE),"")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装备!A52</f>
        <v>0</v>
      </c>
      <c r="B51" s="32" t="str">
        <f>"'"&amp;装备!B52&amp;"'"</f>
        <v>'E125'</v>
      </c>
      <c r="C51" s="32">
        <f>装备!J52</f>
        <v>0</v>
      </c>
      <c r="D51" s="32">
        <f>装备!K52</f>
        <v>0</v>
      </c>
      <c r="E51" s="32">
        <f>装备!L52</f>
        <v>0</v>
      </c>
      <c r="F51" s="32">
        <f>装备!M52</f>
        <v>0</v>
      </c>
      <c r="G51" s="32">
        <f>装备!N52</f>
        <v>0</v>
      </c>
      <c r="H51" s="32">
        <f>装备!O52</f>
        <v>0</v>
      </c>
      <c r="I51" s="32">
        <f>IF(装备!J52=0,0,"'"&amp;装备!J52&amp;"'")</f>
        <v>0</v>
      </c>
      <c r="J51" s="32">
        <f>IF(装备!K52=0,0,"'"&amp;装备!K52&amp;"'")</f>
        <v>0</v>
      </c>
      <c r="K51" s="32">
        <f>IF(装备!L52=0,0,"'"&amp;装备!L52&amp;"'")</f>
        <v>0</v>
      </c>
      <c r="L51" s="32">
        <f>IF(装备!M52=0,0,"'"&amp;装备!M52&amp;"'")</f>
        <v>0</v>
      </c>
      <c r="M51" s="32">
        <f>IF(装备!N52=0,0,"'"&amp;装备!N52&amp;"'")</f>
        <v>0</v>
      </c>
      <c r="N51" s="32">
        <f>IF(装备!O52=0,0,"'"&amp;装备!O52&amp;"'")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IFERROR(VLOOKUP(C51,装备!$B:$E,3,FALSE),"")</f>
        <v/>
      </c>
      <c r="R51" s="36" t="str">
        <f>IFERROR(VLOOKUP(D51,装备!$B:$E,3,FALSE),"")</f>
        <v/>
      </c>
      <c r="S51" s="36" t="str">
        <f>IFERROR(VLOOKUP(E51,装备!$B:$E,3,FALSE),"")</f>
        <v/>
      </c>
      <c r="T51" s="36" t="str">
        <f>IFERROR(VLOOKUP(F51,装备!$B:$E,3,FALSE),"")</f>
        <v/>
      </c>
      <c r="U51" s="36" t="str">
        <f>IFERROR(VLOOKUP(G51,装备!$B:$E,3,FALSE),"")</f>
        <v/>
      </c>
      <c r="V51" s="36" t="str">
        <f>IFERROR(VLOOKUP(H51,装备!$B:$E,3,FALSE),"")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装备!A53</f>
        <v>0</v>
      </c>
      <c r="B52" s="32" t="str">
        <f>"'"&amp;装备!B53&amp;"'"</f>
        <v>'E201'</v>
      </c>
      <c r="C52" s="32">
        <f>装备!J53</f>
        <v>0</v>
      </c>
      <c r="D52" s="32">
        <f>装备!K53</f>
        <v>0</v>
      </c>
      <c r="E52" s="32">
        <f>装备!L53</f>
        <v>0</v>
      </c>
      <c r="F52" s="32">
        <f>装备!M53</f>
        <v>0</v>
      </c>
      <c r="G52" s="32">
        <f>装备!N53</f>
        <v>0</v>
      </c>
      <c r="H52" s="32">
        <f>装备!O53</f>
        <v>0</v>
      </c>
      <c r="I52" s="32">
        <f>IF(装备!J53=0,0,"'"&amp;装备!J53&amp;"'")</f>
        <v>0</v>
      </c>
      <c r="J52" s="32">
        <f>IF(装备!K53=0,0,"'"&amp;装备!K53&amp;"'")</f>
        <v>0</v>
      </c>
      <c r="K52" s="32">
        <f>IF(装备!L53=0,0,"'"&amp;装备!L53&amp;"'")</f>
        <v>0</v>
      </c>
      <c r="L52" s="32">
        <f>IF(装备!M53=0,0,"'"&amp;装备!M53&amp;"'")</f>
        <v>0</v>
      </c>
      <c r="M52" s="32">
        <f>IF(装备!N53=0,0,"'"&amp;装备!N53&amp;"'")</f>
        <v>0</v>
      </c>
      <c r="N52" s="32">
        <f>IF(装备!O53=0,0,"'"&amp;装备!O53&amp;"'")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IFERROR(VLOOKUP(C52,装备!$B:$E,3,FALSE),"")</f>
        <v/>
      </c>
      <c r="R52" s="36" t="str">
        <f>IFERROR(VLOOKUP(D52,装备!$B:$E,3,FALSE),"")</f>
        <v/>
      </c>
      <c r="S52" s="36" t="str">
        <f>IFERROR(VLOOKUP(E52,装备!$B:$E,3,FALSE),"")</f>
        <v/>
      </c>
      <c r="T52" s="36" t="str">
        <f>IFERROR(VLOOKUP(F52,装备!$B:$E,3,FALSE),"")</f>
        <v/>
      </c>
      <c r="U52" s="36" t="str">
        <f>IFERROR(VLOOKUP(G52,装备!$B:$E,3,FALSE),"")</f>
        <v/>
      </c>
      <c r="V52" s="36" t="str">
        <f>IFERROR(VLOOKUP(H52,装备!$B:$E,3,FALSE),"")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装备!A54</f>
        <v>0</v>
      </c>
      <c r="B53" s="32" t="str">
        <f>"'"&amp;装备!B54&amp;"'"</f>
        <v>'E202'</v>
      </c>
      <c r="C53" s="32">
        <f>装备!J54</f>
        <v>0</v>
      </c>
      <c r="D53" s="32">
        <f>装备!K54</f>
        <v>0</v>
      </c>
      <c r="E53" s="32">
        <f>装备!L54</f>
        <v>0</v>
      </c>
      <c r="F53" s="32">
        <f>装备!M54</f>
        <v>0</v>
      </c>
      <c r="G53" s="32">
        <f>装备!N54</f>
        <v>0</v>
      </c>
      <c r="H53" s="32">
        <f>装备!O54</f>
        <v>0</v>
      </c>
      <c r="I53" s="32">
        <f>IF(装备!J54=0,0,"'"&amp;装备!J54&amp;"'")</f>
        <v>0</v>
      </c>
      <c r="J53" s="32">
        <f>IF(装备!K54=0,0,"'"&amp;装备!K54&amp;"'")</f>
        <v>0</v>
      </c>
      <c r="K53" s="32">
        <f>IF(装备!L54=0,0,"'"&amp;装备!L54&amp;"'")</f>
        <v>0</v>
      </c>
      <c r="L53" s="32">
        <f>IF(装备!M54=0,0,"'"&amp;装备!M54&amp;"'")</f>
        <v>0</v>
      </c>
      <c r="M53" s="32">
        <f>IF(装备!N54=0,0,"'"&amp;装备!N54&amp;"'")</f>
        <v>0</v>
      </c>
      <c r="N53" s="32">
        <f>IF(装备!O54=0,0,"'"&amp;装备!O54&amp;"'")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IFERROR(VLOOKUP(C53,装备!$B:$E,3,FALSE),"")</f>
        <v/>
      </c>
      <c r="R53" s="36" t="str">
        <f>IFERROR(VLOOKUP(D53,装备!$B:$E,3,FALSE),"")</f>
        <v/>
      </c>
      <c r="S53" s="36" t="str">
        <f>IFERROR(VLOOKUP(E53,装备!$B:$E,3,FALSE),"")</f>
        <v/>
      </c>
      <c r="T53" s="36" t="str">
        <f>IFERROR(VLOOKUP(F53,装备!$B:$E,3,FALSE),"")</f>
        <v/>
      </c>
      <c r="U53" s="36" t="str">
        <f>IFERROR(VLOOKUP(G53,装备!$B:$E,3,FALSE),"")</f>
        <v/>
      </c>
      <c r="V53" s="36" t="str">
        <f>IFERROR(VLOOKUP(H53,装备!$B:$E,3,FALSE),"")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装备!A55</f>
        <v>0</v>
      </c>
      <c r="B54" s="32" t="str">
        <f>"'"&amp;装备!B55&amp;"'"</f>
        <v>'E203'</v>
      </c>
      <c r="C54" s="32">
        <f>装备!J55</f>
        <v>0</v>
      </c>
      <c r="D54" s="32">
        <f>装备!K55</f>
        <v>0</v>
      </c>
      <c r="E54" s="32">
        <f>装备!L55</f>
        <v>0</v>
      </c>
      <c r="F54" s="32">
        <f>装备!M55</f>
        <v>0</v>
      </c>
      <c r="G54" s="32">
        <f>装备!N55</f>
        <v>0</v>
      </c>
      <c r="H54" s="32">
        <f>装备!O55</f>
        <v>0</v>
      </c>
      <c r="I54" s="32">
        <f>IF(装备!J55=0,0,"'"&amp;装备!J55&amp;"'")</f>
        <v>0</v>
      </c>
      <c r="J54" s="32">
        <f>IF(装备!K55=0,0,"'"&amp;装备!K55&amp;"'")</f>
        <v>0</v>
      </c>
      <c r="K54" s="32">
        <f>IF(装备!L55=0,0,"'"&amp;装备!L55&amp;"'")</f>
        <v>0</v>
      </c>
      <c r="L54" s="32">
        <f>IF(装备!M55=0,0,"'"&amp;装备!M55&amp;"'")</f>
        <v>0</v>
      </c>
      <c r="M54" s="32">
        <f>IF(装备!N55=0,0,"'"&amp;装备!N55&amp;"'")</f>
        <v>0</v>
      </c>
      <c r="N54" s="32">
        <f>IF(装备!O55=0,0,"'"&amp;装备!O55&amp;"'")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IFERROR(VLOOKUP(C54,装备!$B:$E,3,FALSE),"")</f>
        <v/>
      </c>
      <c r="R54" s="36" t="str">
        <f>IFERROR(VLOOKUP(D54,装备!$B:$E,3,FALSE),"")</f>
        <v/>
      </c>
      <c r="S54" s="36" t="str">
        <f>IFERROR(VLOOKUP(E54,装备!$B:$E,3,FALSE),"")</f>
        <v/>
      </c>
      <c r="T54" s="36" t="str">
        <f>IFERROR(VLOOKUP(F54,装备!$B:$E,3,FALSE),"")</f>
        <v/>
      </c>
      <c r="U54" s="36" t="str">
        <f>IFERROR(VLOOKUP(G54,装备!$B:$E,3,FALSE),"")</f>
        <v/>
      </c>
      <c r="V54" s="36" t="str">
        <f>IFERROR(VLOOKUP(H54,装备!$B:$E,3,FALSE),"")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装备!A56</f>
        <v>0</v>
      </c>
      <c r="B55" s="32" t="str">
        <f>"'"&amp;装备!B56&amp;"'"</f>
        <v>'E204'</v>
      </c>
      <c r="C55" s="32">
        <f>装备!J56</f>
        <v>0</v>
      </c>
      <c r="D55" s="32">
        <f>装备!K56</f>
        <v>0</v>
      </c>
      <c r="E55" s="32">
        <f>装备!L56</f>
        <v>0</v>
      </c>
      <c r="F55" s="32">
        <f>装备!M56</f>
        <v>0</v>
      </c>
      <c r="G55" s="32">
        <f>装备!N56</f>
        <v>0</v>
      </c>
      <c r="H55" s="32">
        <f>装备!O56</f>
        <v>0</v>
      </c>
      <c r="I55" s="32">
        <f>IF(装备!J56=0,0,"'"&amp;装备!J56&amp;"'")</f>
        <v>0</v>
      </c>
      <c r="J55" s="32">
        <f>IF(装备!K56=0,0,"'"&amp;装备!K56&amp;"'")</f>
        <v>0</v>
      </c>
      <c r="K55" s="32">
        <f>IF(装备!L56=0,0,"'"&amp;装备!L56&amp;"'")</f>
        <v>0</v>
      </c>
      <c r="L55" s="32">
        <f>IF(装备!M56=0,0,"'"&amp;装备!M56&amp;"'")</f>
        <v>0</v>
      </c>
      <c r="M55" s="32">
        <f>IF(装备!N56=0,0,"'"&amp;装备!N56&amp;"'")</f>
        <v>0</v>
      </c>
      <c r="N55" s="32">
        <f>IF(装备!O56=0,0,"'"&amp;装备!O56&amp;"'")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IFERROR(VLOOKUP(C55,装备!$B:$E,3,FALSE),"")</f>
        <v/>
      </c>
      <c r="R55" s="36" t="str">
        <f>IFERROR(VLOOKUP(D55,装备!$B:$E,3,FALSE),"")</f>
        <v/>
      </c>
      <c r="S55" s="36" t="str">
        <f>IFERROR(VLOOKUP(E55,装备!$B:$E,3,FALSE),"")</f>
        <v/>
      </c>
      <c r="T55" s="36" t="str">
        <f>IFERROR(VLOOKUP(F55,装备!$B:$E,3,FALSE),"")</f>
        <v/>
      </c>
      <c r="U55" s="36" t="str">
        <f>IFERROR(VLOOKUP(G55,装备!$B:$E,3,FALSE),"")</f>
        <v/>
      </c>
      <c r="V55" s="36" t="str">
        <f>IFERROR(VLOOKUP(H55,装备!$B:$E,3,FALSE),"")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装备!A57</f>
        <v>0</v>
      </c>
      <c r="B56" s="32" t="str">
        <f>"'"&amp;装备!B57&amp;"'"</f>
        <v>'E205'</v>
      </c>
      <c r="C56" s="32">
        <f>装备!J57</f>
        <v>0</v>
      </c>
      <c r="D56" s="32">
        <f>装备!K57</f>
        <v>0</v>
      </c>
      <c r="E56" s="32">
        <f>装备!L57</f>
        <v>0</v>
      </c>
      <c r="F56" s="32">
        <f>装备!M57</f>
        <v>0</v>
      </c>
      <c r="G56" s="32">
        <f>装备!N57</f>
        <v>0</v>
      </c>
      <c r="H56" s="32">
        <f>装备!O57</f>
        <v>0</v>
      </c>
      <c r="I56" s="32">
        <f>IF(装备!J57=0,0,"'"&amp;装备!J57&amp;"'")</f>
        <v>0</v>
      </c>
      <c r="J56" s="32">
        <f>IF(装备!K57=0,0,"'"&amp;装备!K57&amp;"'")</f>
        <v>0</v>
      </c>
      <c r="K56" s="32">
        <f>IF(装备!L57=0,0,"'"&amp;装备!L57&amp;"'")</f>
        <v>0</v>
      </c>
      <c r="L56" s="32">
        <f>IF(装备!M57=0,0,"'"&amp;装备!M57&amp;"'")</f>
        <v>0</v>
      </c>
      <c r="M56" s="32">
        <f>IF(装备!N57=0,0,"'"&amp;装备!N57&amp;"'")</f>
        <v>0</v>
      </c>
      <c r="N56" s="32">
        <f>IF(装备!O57=0,0,"'"&amp;装备!O57&amp;"'")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IFERROR(VLOOKUP(C56,装备!$B:$E,3,FALSE),"")</f>
        <v/>
      </c>
      <c r="R56" s="36" t="str">
        <f>IFERROR(VLOOKUP(D56,装备!$B:$E,3,FALSE),"")</f>
        <v/>
      </c>
      <c r="S56" s="36" t="str">
        <f>IFERROR(VLOOKUP(E56,装备!$B:$E,3,FALSE),"")</f>
        <v/>
      </c>
      <c r="T56" s="36" t="str">
        <f>IFERROR(VLOOKUP(F56,装备!$B:$E,3,FALSE),"")</f>
        <v/>
      </c>
      <c r="U56" s="36" t="str">
        <f>IFERROR(VLOOKUP(G56,装备!$B:$E,3,FALSE),"")</f>
        <v/>
      </c>
      <c r="V56" s="36" t="str">
        <f>IFERROR(VLOOKUP(H56,装备!$B:$E,3,FALSE),"")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装备!A58</f>
        <v>0</v>
      </c>
      <c r="B57" s="32" t="str">
        <f>"'"&amp;装备!B58&amp;"'"</f>
        <v>'E206'</v>
      </c>
      <c r="C57" s="32">
        <f>装备!J58</f>
        <v>0</v>
      </c>
      <c r="D57" s="32">
        <f>装备!K58</f>
        <v>0</v>
      </c>
      <c r="E57" s="32">
        <f>装备!L58</f>
        <v>0</v>
      </c>
      <c r="F57" s="32">
        <f>装备!M58</f>
        <v>0</v>
      </c>
      <c r="G57" s="32">
        <f>装备!N58</f>
        <v>0</v>
      </c>
      <c r="H57" s="32">
        <f>装备!O58</f>
        <v>0</v>
      </c>
      <c r="I57" s="32">
        <f>IF(装备!J58=0,0,"'"&amp;装备!J58&amp;"'")</f>
        <v>0</v>
      </c>
      <c r="J57" s="32">
        <f>IF(装备!K58=0,0,"'"&amp;装备!K58&amp;"'")</f>
        <v>0</v>
      </c>
      <c r="K57" s="32">
        <f>IF(装备!L58=0,0,"'"&amp;装备!L58&amp;"'")</f>
        <v>0</v>
      </c>
      <c r="L57" s="32">
        <f>IF(装备!M58=0,0,"'"&amp;装备!M58&amp;"'")</f>
        <v>0</v>
      </c>
      <c r="M57" s="32">
        <f>IF(装备!N58=0,0,"'"&amp;装备!N58&amp;"'")</f>
        <v>0</v>
      </c>
      <c r="N57" s="32">
        <f>IF(装备!O58=0,0,"'"&amp;装备!O58&amp;"'")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IFERROR(VLOOKUP(C57,装备!$B:$E,3,FALSE),"")</f>
        <v/>
      </c>
      <c r="R57" s="36" t="str">
        <f>IFERROR(VLOOKUP(D57,装备!$B:$E,3,FALSE),"")</f>
        <v/>
      </c>
      <c r="S57" s="36" t="str">
        <f>IFERROR(VLOOKUP(E57,装备!$B:$E,3,FALSE),"")</f>
        <v/>
      </c>
      <c r="T57" s="36" t="str">
        <f>IFERROR(VLOOKUP(F57,装备!$B:$E,3,FALSE),"")</f>
        <v/>
      </c>
      <c r="U57" s="36" t="str">
        <f>IFERROR(VLOOKUP(G57,装备!$B:$E,3,FALSE),"")</f>
        <v/>
      </c>
      <c r="V57" s="36" t="str">
        <f>IFERROR(VLOOKUP(H57,装备!$B:$E,3,FALSE),"")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装备!A59</f>
        <v>0</v>
      </c>
      <c r="B58" s="32" t="str">
        <f>"'"&amp;装备!B59&amp;"'"</f>
        <v>'E207'</v>
      </c>
      <c r="C58" s="32">
        <f>装备!J59</f>
        <v>0</v>
      </c>
      <c r="D58" s="32">
        <f>装备!K59</f>
        <v>0</v>
      </c>
      <c r="E58" s="32">
        <f>装备!L59</f>
        <v>0</v>
      </c>
      <c r="F58" s="32">
        <f>装备!M59</f>
        <v>0</v>
      </c>
      <c r="G58" s="32">
        <f>装备!N59</f>
        <v>0</v>
      </c>
      <c r="H58" s="32">
        <f>装备!O59</f>
        <v>0</v>
      </c>
      <c r="I58" s="32">
        <f>IF(装备!J59=0,0,"'"&amp;装备!J59&amp;"'")</f>
        <v>0</v>
      </c>
      <c r="J58" s="32">
        <f>IF(装备!K59=0,0,"'"&amp;装备!K59&amp;"'")</f>
        <v>0</v>
      </c>
      <c r="K58" s="32">
        <f>IF(装备!L59=0,0,"'"&amp;装备!L59&amp;"'")</f>
        <v>0</v>
      </c>
      <c r="L58" s="32">
        <f>IF(装备!M59=0,0,"'"&amp;装备!M59&amp;"'")</f>
        <v>0</v>
      </c>
      <c r="M58" s="32">
        <f>IF(装备!N59=0,0,"'"&amp;装备!N59&amp;"'")</f>
        <v>0</v>
      </c>
      <c r="N58" s="32">
        <f>IF(装备!O59=0,0,"'"&amp;装备!O59&amp;"'")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IFERROR(VLOOKUP(C58,装备!$B:$E,3,FALSE),"")</f>
        <v/>
      </c>
      <c r="R58" s="36" t="str">
        <f>IFERROR(VLOOKUP(D58,装备!$B:$E,3,FALSE),"")</f>
        <v/>
      </c>
      <c r="S58" s="36" t="str">
        <f>IFERROR(VLOOKUP(E58,装备!$B:$E,3,FALSE),"")</f>
        <v/>
      </c>
      <c r="T58" s="36" t="str">
        <f>IFERROR(VLOOKUP(F58,装备!$B:$E,3,FALSE),"")</f>
        <v/>
      </c>
      <c r="U58" s="36" t="str">
        <f>IFERROR(VLOOKUP(G58,装备!$B:$E,3,FALSE),"")</f>
        <v/>
      </c>
      <c r="V58" s="36" t="str">
        <f>IFERROR(VLOOKUP(H58,装备!$B:$E,3,FALSE),"")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装备!A60</f>
        <v>0</v>
      </c>
      <c r="B59" s="32" t="str">
        <f>"'"&amp;装备!B60&amp;"'"</f>
        <v>'E208'</v>
      </c>
      <c r="C59" s="32">
        <f>装备!J60</f>
        <v>0</v>
      </c>
      <c r="D59" s="32">
        <f>装备!K60</f>
        <v>0</v>
      </c>
      <c r="E59" s="32">
        <f>装备!L60</f>
        <v>0</v>
      </c>
      <c r="F59" s="32">
        <f>装备!M60</f>
        <v>0</v>
      </c>
      <c r="G59" s="32">
        <f>装备!N60</f>
        <v>0</v>
      </c>
      <c r="H59" s="32">
        <f>装备!O60</f>
        <v>0</v>
      </c>
      <c r="I59" s="32">
        <f>IF(装备!J60=0,0,"'"&amp;装备!J60&amp;"'")</f>
        <v>0</v>
      </c>
      <c r="J59" s="32">
        <f>IF(装备!K60=0,0,"'"&amp;装备!K60&amp;"'")</f>
        <v>0</v>
      </c>
      <c r="K59" s="32">
        <f>IF(装备!L60=0,0,"'"&amp;装备!L60&amp;"'")</f>
        <v>0</v>
      </c>
      <c r="L59" s="32">
        <f>IF(装备!M60=0,0,"'"&amp;装备!M60&amp;"'")</f>
        <v>0</v>
      </c>
      <c r="M59" s="32">
        <f>IF(装备!N60=0,0,"'"&amp;装备!N60&amp;"'")</f>
        <v>0</v>
      </c>
      <c r="N59" s="32">
        <f>IF(装备!O60=0,0,"'"&amp;装备!O60&amp;"'")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IFERROR(VLOOKUP(C59,装备!$B:$E,3,FALSE),"")</f>
        <v/>
      </c>
      <c r="R59" s="36" t="str">
        <f>IFERROR(VLOOKUP(D59,装备!$B:$E,3,FALSE),"")</f>
        <v/>
      </c>
      <c r="S59" s="36" t="str">
        <f>IFERROR(VLOOKUP(E59,装备!$B:$E,3,FALSE),"")</f>
        <v/>
      </c>
      <c r="T59" s="36" t="str">
        <f>IFERROR(VLOOKUP(F59,装备!$B:$E,3,FALSE),"")</f>
        <v/>
      </c>
      <c r="U59" s="36" t="str">
        <f>IFERROR(VLOOKUP(G59,装备!$B:$E,3,FALSE),"")</f>
        <v/>
      </c>
      <c r="V59" s="36" t="str">
        <f>IFERROR(VLOOKUP(H59,装备!$B:$E,3,FALSE),"")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装备!A61</f>
        <v>0</v>
      </c>
      <c r="B60" s="32" t="str">
        <f>"'"&amp;装备!B61&amp;"'"</f>
        <v>'E209'</v>
      </c>
      <c r="C60" s="32">
        <f>装备!J61</f>
        <v>0</v>
      </c>
      <c r="D60" s="32">
        <f>装备!K61</f>
        <v>0</v>
      </c>
      <c r="E60" s="32">
        <f>装备!L61</f>
        <v>0</v>
      </c>
      <c r="F60" s="32">
        <f>装备!M61</f>
        <v>0</v>
      </c>
      <c r="G60" s="32">
        <f>装备!N61</f>
        <v>0</v>
      </c>
      <c r="H60" s="32">
        <f>装备!O61</f>
        <v>0</v>
      </c>
      <c r="I60" s="32">
        <f>IF(装备!J61=0,0,"'"&amp;装备!J61&amp;"'")</f>
        <v>0</v>
      </c>
      <c r="J60" s="32">
        <f>IF(装备!K61=0,0,"'"&amp;装备!K61&amp;"'")</f>
        <v>0</v>
      </c>
      <c r="K60" s="32">
        <f>IF(装备!L61=0,0,"'"&amp;装备!L61&amp;"'")</f>
        <v>0</v>
      </c>
      <c r="L60" s="32">
        <f>IF(装备!M61=0,0,"'"&amp;装备!M61&amp;"'")</f>
        <v>0</v>
      </c>
      <c r="M60" s="32">
        <f>IF(装备!N61=0,0,"'"&amp;装备!N61&amp;"'")</f>
        <v>0</v>
      </c>
      <c r="N60" s="32">
        <f>IF(装备!O61=0,0,"'"&amp;装备!O61&amp;"'")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IFERROR(VLOOKUP(C60,装备!$B:$E,3,FALSE),"")</f>
        <v/>
      </c>
      <c r="R60" s="36" t="str">
        <f>IFERROR(VLOOKUP(D60,装备!$B:$E,3,FALSE),"")</f>
        <v/>
      </c>
      <c r="S60" s="36" t="str">
        <f>IFERROR(VLOOKUP(E60,装备!$B:$E,3,FALSE),"")</f>
        <v/>
      </c>
      <c r="T60" s="36" t="str">
        <f>IFERROR(VLOOKUP(F60,装备!$B:$E,3,FALSE),"")</f>
        <v/>
      </c>
      <c r="U60" s="36" t="str">
        <f>IFERROR(VLOOKUP(G60,装备!$B:$E,3,FALSE),"")</f>
        <v/>
      </c>
      <c r="V60" s="36" t="str">
        <f>IFERROR(VLOOKUP(H60,装备!$B:$E,3,FALSE),"")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装备!A62</f>
        <v>0</v>
      </c>
      <c r="B61" s="32" t="str">
        <f>"'"&amp;装备!B62&amp;"'"</f>
        <v>'E210'</v>
      </c>
      <c r="C61" s="32">
        <f>装备!J62</f>
        <v>0</v>
      </c>
      <c r="D61" s="32">
        <f>装备!K62</f>
        <v>0</v>
      </c>
      <c r="E61" s="32">
        <f>装备!L62</f>
        <v>0</v>
      </c>
      <c r="F61" s="32">
        <f>装备!M62</f>
        <v>0</v>
      </c>
      <c r="G61" s="32">
        <f>装备!N62</f>
        <v>0</v>
      </c>
      <c r="H61" s="32">
        <f>装备!O62</f>
        <v>0</v>
      </c>
      <c r="I61" s="32">
        <f>IF(装备!J62=0,0,"'"&amp;装备!J62&amp;"'")</f>
        <v>0</v>
      </c>
      <c r="J61" s="32">
        <f>IF(装备!K62=0,0,"'"&amp;装备!K62&amp;"'")</f>
        <v>0</v>
      </c>
      <c r="K61" s="32">
        <f>IF(装备!L62=0,0,"'"&amp;装备!L62&amp;"'")</f>
        <v>0</v>
      </c>
      <c r="L61" s="32">
        <f>IF(装备!M62=0,0,"'"&amp;装备!M62&amp;"'")</f>
        <v>0</v>
      </c>
      <c r="M61" s="32">
        <f>IF(装备!N62=0,0,"'"&amp;装备!N62&amp;"'")</f>
        <v>0</v>
      </c>
      <c r="N61" s="32">
        <f>IF(装备!O62=0,0,"'"&amp;装备!O62&amp;"'")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IFERROR(VLOOKUP(C61,装备!$B:$E,3,FALSE),"")</f>
        <v/>
      </c>
      <c r="R61" s="36" t="str">
        <f>IFERROR(VLOOKUP(D61,装备!$B:$E,3,FALSE),"")</f>
        <v/>
      </c>
      <c r="S61" s="36" t="str">
        <f>IFERROR(VLOOKUP(E61,装备!$B:$E,3,FALSE),"")</f>
        <v/>
      </c>
      <c r="T61" s="36" t="str">
        <f>IFERROR(VLOOKUP(F61,装备!$B:$E,3,FALSE),"")</f>
        <v/>
      </c>
      <c r="U61" s="36" t="str">
        <f>IFERROR(VLOOKUP(G61,装备!$B:$E,3,FALSE),"")</f>
        <v/>
      </c>
      <c r="V61" s="36" t="str">
        <f>IFERROR(VLOOKUP(H61,装备!$B:$E,3,FALSE),"")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装备!A63</f>
        <v>0</v>
      </c>
      <c r="B62" s="32" t="str">
        <f>"'"&amp;装备!B63&amp;"'"</f>
        <v>'E211'</v>
      </c>
      <c r="C62" s="32">
        <f>装备!J63</f>
        <v>0</v>
      </c>
      <c r="D62" s="32">
        <f>装备!K63</f>
        <v>0</v>
      </c>
      <c r="E62" s="32">
        <f>装备!L63</f>
        <v>0</v>
      </c>
      <c r="F62" s="32">
        <f>装备!M63</f>
        <v>0</v>
      </c>
      <c r="G62" s="32">
        <f>装备!N63</f>
        <v>0</v>
      </c>
      <c r="H62" s="32">
        <f>装备!O63</f>
        <v>0</v>
      </c>
      <c r="I62" s="32">
        <f>IF(装备!J63=0,0,"'"&amp;装备!J63&amp;"'")</f>
        <v>0</v>
      </c>
      <c r="J62" s="32">
        <f>IF(装备!K63=0,0,"'"&amp;装备!K63&amp;"'")</f>
        <v>0</v>
      </c>
      <c r="K62" s="32">
        <f>IF(装备!L63=0,0,"'"&amp;装备!L63&amp;"'")</f>
        <v>0</v>
      </c>
      <c r="L62" s="32">
        <f>IF(装备!M63=0,0,"'"&amp;装备!M63&amp;"'")</f>
        <v>0</v>
      </c>
      <c r="M62" s="32">
        <f>IF(装备!N63=0,0,"'"&amp;装备!N63&amp;"'")</f>
        <v>0</v>
      </c>
      <c r="N62" s="32">
        <f>IF(装备!O63=0,0,"'"&amp;装备!O63&amp;"'")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IFERROR(VLOOKUP(C62,装备!$B:$E,3,FALSE),"")</f>
        <v/>
      </c>
      <c r="R62" s="36" t="str">
        <f>IFERROR(VLOOKUP(D62,装备!$B:$E,3,FALSE),"")</f>
        <v/>
      </c>
      <c r="S62" s="36" t="str">
        <f>IFERROR(VLOOKUP(E62,装备!$B:$E,3,FALSE),"")</f>
        <v/>
      </c>
      <c r="T62" s="36" t="str">
        <f>IFERROR(VLOOKUP(F62,装备!$B:$E,3,FALSE),"")</f>
        <v/>
      </c>
      <c r="U62" s="36" t="str">
        <f>IFERROR(VLOOKUP(G62,装备!$B:$E,3,FALSE),"")</f>
        <v/>
      </c>
      <c r="V62" s="36" t="str">
        <f>IFERROR(VLOOKUP(H62,装备!$B:$E,3,FALSE),"")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装备!A64</f>
        <v>0</v>
      </c>
      <c r="B63" s="32" t="str">
        <f>"'"&amp;装备!B64&amp;"'"</f>
        <v>'E212'</v>
      </c>
      <c r="C63" s="32">
        <f>装备!J64</f>
        <v>0</v>
      </c>
      <c r="D63" s="32">
        <f>装备!K64</f>
        <v>0</v>
      </c>
      <c r="E63" s="32">
        <f>装备!L64</f>
        <v>0</v>
      </c>
      <c r="F63" s="32">
        <f>装备!M64</f>
        <v>0</v>
      </c>
      <c r="G63" s="32">
        <f>装备!N64</f>
        <v>0</v>
      </c>
      <c r="H63" s="32">
        <f>装备!O64</f>
        <v>0</v>
      </c>
      <c r="I63" s="32">
        <f>IF(装备!J64=0,0,"'"&amp;装备!J64&amp;"'")</f>
        <v>0</v>
      </c>
      <c r="J63" s="32">
        <f>IF(装备!K64=0,0,"'"&amp;装备!K64&amp;"'")</f>
        <v>0</v>
      </c>
      <c r="K63" s="32">
        <f>IF(装备!L64=0,0,"'"&amp;装备!L64&amp;"'")</f>
        <v>0</v>
      </c>
      <c r="L63" s="32">
        <f>IF(装备!M64=0,0,"'"&amp;装备!M64&amp;"'")</f>
        <v>0</v>
      </c>
      <c r="M63" s="32">
        <f>IF(装备!N64=0,0,"'"&amp;装备!N64&amp;"'")</f>
        <v>0</v>
      </c>
      <c r="N63" s="32">
        <f>IF(装备!O64=0,0,"'"&amp;装备!O64&amp;"'")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IFERROR(VLOOKUP(C63,装备!$B:$E,3,FALSE),"")</f>
        <v/>
      </c>
      <c r="R63" s="36" t="str">
        <f>IFERROR(VLOOKUP(D63,装备!$B:$E,3,FALSE),"")</f>
        <v/>
      </c>
      <c r="S63" s="36" t="str">
        <f>IFERROR(VLOOKUP(E63,装备!$B:$E,3,FALSE),"")</f>
        <v/>
      </c>
      <c r="T63" s="36" t="str">
        <f>IFERROR(VLOOKUP(F63,装备!$B:$E,3,FALSE),"")</f>
        <v/>
      </c>
      <c r="U63" s="36" t="str">
        <f>IFERROR(VLOOKUP(G63,装备!$B:$E,3,FALSE),"")</f>
        <v/>
      </c>
      <c r="V63" s="36" t="str">
        <f>IFERROR(VLOOKUP(H63,装备!$B:$E,3,FALSE),"")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装备!A65</f>
        <v>0</v>
      </c>
      <c r="B64" s="32" t="str">
        <f>"'"&amp;装备!B65&amp;"'"</f>
        <v>'E213'</v>
      </c>
      <c r="C64" s="32">
        <f>装备!J65</f>
        <v>0</v>
      </c>
      <c r="D64" s="32">
        <f>装备!K65</f>
        <v>0</v>
      </c>
      <c r="E64" s="32">
        <f>装备!L65</f>
        <v>0</v>
      </c>
      <c r="F64" s="32">
        <f>装备!M65</f>
        <v>0</v>
      </c>
      <c r="G64" s="32">
        <f>装备!N65</f>
        <v>0</v>
      </c>
      <c r="H64" s="32">
        <f>装备!O65</f>
        <v>0</v>
      </c>
      <c r="I64" s="32">
        <f>IF(装备!J65=0,0,"'"&amp;装备!J65&amp;"'")</f>
        <v>0</v>
      </c>
      <c r="J64" s="32">
        <f>IF(装备!K65=0,0,"'"&amp;装备!K65&amp;"'")</f>
        <v>0</v>
      </c>
      <c r="K64" s="32">
        <f>IF(装备!L65=0,0,"'"&amp;装备!L65&amp;"'")</f>
        <v>0</v>
      </c>
      <c r="L64" s="32">
        <f>IF(装备!M65=0,0,"'"&amp;装备!M65&amp;"'")</f>
        <v>0</v>
      </c>
      <c r="M64" s="32">
        <f>IF(装备!N65=0,0,"'"&amp;装备!N65&amp;"'")</f>
        <v>0</v>
      </c>
      <c r="N64" s="32">
        <f>IF(装备!O65=0,0,"'"&amp;装备!O65&amp;"'")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IFERROR(VLOOKUP(C64,装备!$B:$E,3,FALSE),"")</f>
        <v/>
      </c>
      <c r="R64" s="36" t="str">
        <f>IFERROR(VLOOKUP(D64,装备!$B:$E,3,FALSE),"")</f>
        <v/>
      </c>
      <c r="S64" s="36" t="str">
        <f>IFERROR(VLOOKUP(E64,装备!$B:$E,3,FALSE),"")</f>
        <v/>
      </c>
      <c r="T64" s="36" t="str">
        <f>IFERROR(VLOOKUP(F64,装备!$B:$E,3,FALSE),"")</f>
        <v/>
      </c>
      <c r="U64" s="36" t="str">
        <f>IFERROR(VLOOKUP(G64,装备!$B:$E,3,FALSE),"")</f>
        <v/>
      </c>
      <c r="V64" s="36" t="str">
        <f>IFERROR(VLOOKUP(H64,装备!$B:$E,3,FALSE),"")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装备!A66</f>
        <v>0</v>
      </c>
      <c r="B65" s="32" t="str">
        <f>"'"&amp;装备!B66&amp;"'"</f>
        <v>'E214'</v>
      </c>
      <c r="C65" s="32">
        <f>装备!J66</f>
        <v>0</v>
      </c>
      <c r="D65" s="32">
        <f>装备!K66</f>
        <v>0</v>
      </c>
      <c r="E65" s="32">
        <f>装备!L66</f>
        <v>0</v>
      </c>
      <c r="F65" s="32">
        <f>装备!M66</f>
        <v>0</v>
      </c>
      <c r="G65" s="32">
        <f>装备!N66</f>
        <v>0</v>
      </c>
      <c r="H65" s="32">
        <f>装备!O66</f>
        <v>0</v>
      </c>
      <c r="I65" s="32">
        <f>IF(装备!J66=0,0,"'"&amp;装备!J66&amp;"'")</f>
        <v>0</v>
      </c>
      <c r="J65" s="32">
        <f>IF(装备!K66=0,0,"'"&amp;装备!K66&amp;"'")</f>
        <v>0</v>
      </c>
      <c r="K65" s="32">
        <f>IF(装备!L66=0,0,"'"&amp;装备!L66&amp;"'")</f>
        <v>0</v>
      </c>
      <c r="L65" s="32">
        <f>IF(装备!M66=0,0,"'"&amp;装备!M66&amp;"'")</f>
        <v>0</v>
      </c>
      <c r="M65" s="32">
        <f>IF(装备!N66=0,0,"'"&amp;装备!N66&amp;"'")</f>
        <v>0</v>
      </c>
      <c r="N65" s="32">
        <f>IF(装备!O66=0,0,"'"&amp;装备!O66&amp;"'")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IFERROR(VLOOKUP(C65,装备!$B:$E,3,FALSE),"")</f>
        <v/>
      </c>
      <c r="R65" s="36" t="str">
        <f>IFERROR(VLOOKUP(D65,装备!$B:$E,3,FALSE),"")</f>
        <v/>
      </c>
      <c r="S65" s="36" t="str">
        <f>IFERROR(VLOOKUP(E65,装备!$B:$E,3,FALSE),"")</f>
        <v/>
      </c>
      <c r="T65" s="36" t="str">
        <f>IFERROR(VLOOKUP(F65,装备!$B:$E,3,FALSE),"")</f>
        <v/>
      </c>
      <c r="U65" s="36" t="str">
        <f>IFERROR(VLOOKUP(G65,装备!$B:$E,3,FALSE),"")</f>
        <v/>
      </c>
      <c r="V65" s="36" t="str">
        <f>IFERROR(VLOOKUP(H65,装备!$B:$E,3,FALSE),"")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装备!A67</f>
        <v>0</v>
      </c>
      <c r="B66" s="32" t="str">
        <f>"'"&amp;装备!B67&amp;"'"</f>
        <v>'E215'</v>
      </c>
      <c r="C66" s="32">
        <f>装备!J67</f>
        <v>0</v>
      </c>
      <c r="D66" s="32">
        <f>装备!K67</f>
        <v>0</v>
      </c>
      <c r="E66" s="32">
        <f>装备!L67</f>
        <v>0</v>
      </c>
      <c r="F66" s="32">
        <f>装备!M67</f>
        <v>0</v>
      </c>
      <c r="G66" s="32">
        <f>装备!N67</f>
        <v>0</v>
      </c>
      <c r="H66" s="32">
        <f>装备!O67</f>
        <v>0</v>
      </c>
      <c r="I66" s="32">
        <f>IF(装备!J67=0,0,"'"&amp;装备!J67&amp;"'")</f>
        <v>0</v>
      </c>
      <c r="J66" s="32">
        <f>IF(装备!K67=0,0,"'"&amp;装备!K67&amp;"'")</f>
        <v>0</v>
      </c>
      <c r="K66" s="32">
        <f>IF(装备!L67=0,0,"'"&amp;装备!L67&amp;"'")</f>
        <v>0</v>
      </c>
      <c r="L66" s="32">
        <f>IF(装备!M67=0,0,"'"&amp;装备!M67&amp;"'")</f>
        <v>0</v>
      </c>
      <c r="M66" s="32">
        <f>IF(装备!N67=0,0,"'"&amp;装备!N67&amp;"'")</f>
        <v>0</v>
      </c>
      <c r="N66" s="32">
        <f>IF(装备!O67=0,0,"'"&amp;装备!O67&amp;"'")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IFERROR(VLOOKUP(C66,装备!$B:$E,3,FALSE),"")</f>
        <v/>
      </c>
      <c r="R66" s="36" t="str">
        <f>IFERROR(VLOOKUP(D66,装备!$B:$E,3,FALSE),"")</f>
        <v/>
      </c>
      <c r="S66" s="36" t="str">
        <f>IFERROR(VLOOKUP(E66,装备!$B:$E,3,FALSE),"")</f>
        <v/>
      </c>
      <c r="T66" s="36" t="str">
        <f>IFERROR(VLOOKUP(F66,装备!$B:$E,3,FALSE),"")</f>
        <v/>
      </c>
      <c r="U66" s="36" t="str">
        <f>IFERROR(VLOOKUP(G66,装备!$B:$E,3,FALSE),"")</f>
        <v/>
      </c>
      <c r="V66" s="36" t="str">
        <f>IFERROR(VLOOKUP(H66,装备!$B:$E,3,FALSE),"")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装备!A68</f>
        <v>0</v>
      </c>
      <c r="B67" s="32" t="str">
        <f>"'"&amp;装备!B68&amp;"'"</f>
        <v>'E216'</v>
      </c>
      <c r="C67" s="32">
        <f>装备!J68</f>
        <v>0</v>
      </c>
      <c r="D67" s="32">
        <f>装备!K68</f>
        <v>0</v>
      </c>
      <c r="E67" s="32">
        <f>装备!L68</f>
        <v>0</v>
      </c>
      <c r="F67" s="32">
        <f>装备!M68</f>
        <v>0</v>
      </c>
      <c r="G67" s="32">
        <f>装备!N68</f>
        <v>0</v>
      </c>
      <c r="H67" s="32">
        <f>装备!O68</f>
        <v>0</v>
      </c>
      <c r="I67" s="32">
        <f>IF(装备!J68=0,0,"'"&amp;装备!J68&amp;"'")</f>
        <v>0</v>
      </c>
      <c r="J67" s="32">
        <f>IF(装备!K68=0,0,"'"&amp;装备!K68&amp;"'")</f>
        <v>0</v>
      </c>
      <c r="K67" s="32">
        <f>IF(装备!L68=0,0,"'"&amp;装备!L68&amp;"'")</f>
        <v>0</v>
      </c>
      <c r="L67" s="32">
        <f>IF(装备!M68=0,0,"'"&amp;装备!M68&amp;"'")</f>
        <v>0</v>
      </c>
      <c r="M67" s="32">
        <f>IF(装备!N68=0,0,"'"&amp;装备!N68&amp;"'")</f>
        <v>0</v>
      </c>
      <c r="N67" s="32">
        <f>IF(装备!O68=0,0,"'"&amp;装备!O68&amp;"'")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IFERROR(VLOOKUP(C67,装备!$B:$E,3,FALSE),"")</f>
        <v/>
      </c>
      <c r="R67" s="36" t="str">
        <f>IFERROR(VLOOKUP(D67,装备!$B:$E,3,FALSE),"")</f>
        <v/>
      </c>
      <c r="S67" s="36" t="str">
        <f>IFERROR(VLOOKUP(E67,装备!$B:$E,3,FALSE),"")</f>
        <v/>
      </c>
      <c r="T67" s="36" t="str">
        <f>IFERROR(VLOOKUP(F67,装备!$B:$E,3,FALSE),"")</f>
        <v/>
      </c>
      <c r="U67" s="36" t="str">
        <f>IFERROR(VLOOKUP(G67,装备!$B:$E,3,FALSE),"")</f>
        <v/>
      </c>
      <c r="V67" s="36" t="str">
        <f>IFERROR(VLOOKUP(H67,装备!$B:$E,3,FALSE),"")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装备!A69</f>
        <v>0</v>
      </c>
      <c r="B68" s="32" t="str">
        <f>"'"&amp;装备!B69&amp;"'"</f>
        <v>'E217'</v>
      </c>
      <c r="C68" s="32">
        <f>装备!J69</f>
        <v>0</v>
      </c>
      <c r="D68" s="32">
        <f>装备!K69</f>
        <v>0</v>
      </c>
      <c r="E68" s="32">
        <f>装备!L69</f>
        <v>0</v>
      </c>
      <c r="F68" s="32">
        <f>装备!M69</f>
        <v>0</v>
      </c>
      <c r="G68" s="32">
        <f>装备!N69</f>
        <v>0</v>
      </c>
      <c r="H68" s="32">
        <f>装备!O69</f>
        <v>0</v>
      </c>
      <c r="I68" s="32">
        <f>IF(装备!J69=0,0,"'"&amp;装备!J69&amp;"'")</f>
        <v>0</v>
      </c>
      <c r="J68" s="32">
        <f>IF(装备!K69=0,0,"'"&amp;装备!K69&amp;"'")</f>
        <v>0</v>
      </c>
      <c r="K68" s="32">
        <f>IF(装备!L69=0,0,"'"&amp;装备!L69&amp;"'")</f>
        <v>0</v>
      </c>
      <c r="L68" s="32">
        <f>IF(装备!M69=0,0,"'"&amp;装备!M69&amp;"'")</f>
        <v>0</v>
      </c>
      <c r="M68" s="32">
        <f>IF(装备!N69=0,0,"'"&amp;装备!N69&amp;"'")</f>
        <v>0</v>
      </c>
      <c r="N68" s="32">
        <f>IF(装备!O69=0,0,"'"&amp;装备!O69&amp;"'")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IFERROR(VLOOKUP(C68,装备!$B:$E,3,FALSE),"")</f>
        <v/>
      </c>
      <c r="R68" s="36" t="str">
        <f>IFERROR(VLOOKUP(D68,装备!$B:$E,3,FALSE),"")</f>
        <v/>
      </c>
      <c r="S68" s="36" t="str">
        <f>IFERROR(VLOOKUP(E68,装备!$B:$E,3,FALSE),"")</f>
        <v/>
      </c>
      <c r="T68" s="36" t="str">
        <f>IFERROR(VLOOKUP(F68,装备!$B:$E,3,FALSE),"")</f>
        <v/>
      </c>
      <c r="U68" s="36" t="str">
        <f>IFERROR(VLOOKUP(G68,装备!$B:$E,3,FALSE),"")</f>
        <v/>
      </c>
      <c r="V68" s="36" t="str">
        <f>IFERROR(VLOOKUP(H68,装备!$B:$E,3,FALSE),"")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装备!A70</f>
        <v>0</v>
      </c>
      <c r="B69" s="32" t="str">
        <f>"'"&amp;装备!B70&amp;"'"</f>
        <v>'E218'</v>
      </c>
      <c r="C69" s="32">
        <f>装备!J70</f>
        <v>0</v>
      </c>
      <c r="D69" s="32">
        <f>装备!K70</f>
        <v>0</v>
      </c>
      <c r="E69" s="32">
        <f>装备!L70</f>
        <v>0</v>
      </c>
      <c r="F69" s="32">
        <f>装备!M70</f>
        <v>0</v>
      </c>
      <c r="G69" s="32">
        <f>装备!N70</f>
        <v>0</v>
      </c>
      <c r="H69" s="32">
        <f>装备!O70</f>
        <v>0</v>
      </c>
      <c r="I69" s="32">
        <f>IF(装备!J70=0,0,"'"&amp;装备!J70&amp;"'")</f>
        <v>0</v>
      </c>
      <c r="J69" s="32">
        <f>IF(装备!K70=0,0,"'"&amp;装备!K70&amp;"'")</f>
        <v>0</v>
      </c>
      <c r="K69" s="32">
        <f>IF(装备!L70=0,0,"'"&amp;装备!L70&amp;"'")</f>
        <v>0</v>
      </c>
      <c r="L69" s="32">
        <f>IF(装备!M70=0,0,"'"&amp;装备!M70&amp;"'")</f>
        <v>0</v>
      </c>
      <c r="M69" s="32">
        <f>IF(装备!N70=0,0,"'"&amp;装备!N70&amp;"'")</f>
        <v>0</v>
      </c>
      <c r="N69" s="32">
        <f>IF(装备!O70=0,0,"'"&amp;装备!O70&amp;"'")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IFERROR(VLOOKUP(C69,装备!$B:$E,3,FALSE),"")</f>
        <v/>
      </c>
      <c r="R69" s="36" t="str">
        <f>IFERROR(VLOOKUP(D69,装备!$B:$E,3,FALSE),"")</f>
        <v/>
      </c>
      <c r="S69" s="36" t="str">
        <f>IFERROR(VLOOKUP(E69,装备!$B:$E,3,FALSE),"")</f>
        <v/>
      </c>
      <c r="T69" s="36" t="str">
        <f>IFERROR(VLOOKUP(F69,装备!$B:$E,3,FALSE),"")</f>
        <v/>
      </c>
      <c r="U69" s="36" t="str">
        <f>IFERROR(VLOOKUP(G69,装备!$B:$E,3,FALSE),"")</f>
        <v/>
      </c>
      <c r="V69" s="36" t="str">
        <f>IFERROR(VLOOKUP(H69,装备!$B:$E,3,FALSE),"")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装备!A71</f>
        <v>0</v>
      </c>
      <c r="B70" s="32" t="str">
        <f>"'"&amp;装备!B71&amp;"'"</f>
        <v>'E219'</v>
      </c>
      <c r="C70" s="32">
        <f>装备!J71</f>
        <v>0</v>
      </c>
      <c r="D70" s="32">
        <f>装备!K71</f>
        <v>0</v>
      </c>
      <c r="E70" s="32">
        <f>装备!L71</f>
        <v>0</v>
      </c>
      <c r="F70" s="32">
        <f>装备!M71</f>
        <v>0</v>
      </c>
      <c r="G70" s="32">
        <f>装备!N71</f>
        <v>0</v>
      </c>
      <c r="H70" s="32">
        <f>装备!O71</f>
        <v>0</v>
      </c>
      <c r="I70" s="32">
        <f>IF(装备!J71=0,0,"'"&amp;装备!J71&amp;"'")</f>
        <v>0</v>
      </c>
      <c r="J70" s="32">
        <f>IF(装备!K71=0,0,"'"&amp;装备!K71&amp;"'")</f>
        <v>0</v>
      </c>
      <c r="K70" s="32">
        <f>IF(装备!L71=0,0,"'"&amp;装备!L71&amp;"'")</f>
        <v>0</v>
      </c>
      <c r="L70" s="32">
        <f>IF(装备!M71=0,0,"'"&amp;装备!M71&amp;"'")</f>
        <v>0</v>
      </c>
      <c r="M70" s="32">
        <f>IF(装备!N71=0,0,"'"&amp;装备!N71&amp;"'")</f>
        <v>0</v>
      </c>
      <c r="N70" s="32">
        <f>IF(装备!O71=0,0,"'"&amp;装备!O71&amp;"'")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IFERROR(VLOOKUP(C70,装备!$B:$E,3,FALSE),"")</f>
        <v/>
      </c>
      <c r="R70" s="36" t="str">
        <f>IFERROR(VLOOKUP(D70,装备!$B:$E,3,FALSE),"")</f>
        <v/>
      </c>
      <c r="S70" s="36" t="str">
        <f>IFERROR(VLOOKUP(E70,装备!$B:$E,3,FALSE),"")</f>
        <v/>
      </c>
      <c r="T70" s="36" t="str">
        <f>IFERROR(VLOOKUP(F70,装备!$B:$E,3,FALSE),"")</f>
        <v/>
      </c>
      <c r="U70" s="36" t="str">
        <f>IFERROR(VLOOKUP(G70,装备!$B:$E,3,FALSE),"")</f>
        <v/>
      </c>
      <c r="V70" s="36" t="str">
        <f>IFERROR(VLOOKUP(H70,装备!$B:$E,3,FALSE),"")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装备!A72</f>
        <v>0</v>
      </c>
      <c r="B71" s="32" t="str">
        <f>"'"&amp;装备!B72&amp;"'"</f>
        <v>'E220'</v>
      </c>
      <c r="C71" s="32">
        <f>装备!J72</f>
        <v>0</v>
      </c>
      <c r="D71" s="32">
        <f>装备!K72</f>
        <v>0</v>
      </c>
      <c r="E71" s="32">
        <f>装备!L72</f>
        <v>0</v>
      </c>
      <c r="F71" s="32">
        <f>装备!M72</f>
        <v>0</v>
      </c>
      <c r="G71" s="32">
        <f>装备!N72</f>
        <v>0</v>
      </c>
      <c r="H71" s="32">
        <f>装备!O72</f>
        <v>0</v>
      </c>
      <c r="I71" s="32">
        <f>IF(装备!J72=0,0,"'"&amp;装备!J72&amp;"'")</f>
        <v>0</v>
      </c>
      <c r="J71" s="32">
        <f>IF(装备!K72=0,0,"'"&amp;装备!K72&amp;"'")</f>
        <v>0</v>
      </c>
      <c r="K71" s="32">
        <f>IF(装备!L72=0,0,"'"&amp;装备!L72&amp;"'")</f>
        <v>0</v>
      </c>
      <c r="L71" s="32">
        <f>IF(装备!M72=0,0,"'"&amp;装备!M72&amp;"'")</f>
        <v>0</v>
      </c>
      <c r="M71" s="32">
        <f>IF(装备!N72=0,0,"'"&amp;装备!N72&amp;"'")</f>
        <v>0</v>
      </c>
      <c r="N71" s="32">
        <f>IF(装备!O72=0,0,"'"&amp;装备!O72&amp;"'")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IFERROR(VLOOKUP(C71,装备!$B:$E,3,FALSE),"")</f>
        <v/>
      </c>
      <c r="R71" s="36" t="str">
        <f>IFERROR(VLOOKUP(D71,装备!$B:$E,3,FALSE),"")</f>
        <v/>
      </c>
      <c r="S71" s="36" t="str">
        <f>IFERROR(VLOOKUP(E71,装备!$B:$E,3,FALSE),"")</f>
        <v/>
      </c>
      <c r="T71" s="36" t="str">
        <f>IFERROR(VLOOKUP(F71,装备!$B:$E,3,FALSE),"")</f>
        <v/>
      </c>
      <c r="U71" s="36" t="str">
        <f>IFERROR(VLOOKUP(G71,装备!$B:$E,3,FALSE),"")</f>
        <v/>
      </c>
      <c r="V71" s="36" t="str">
        <f>IFERROR(VLOOKUP(H71,装备!$B:$E,3,FALSE),"")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装备!A73</f>
        <v>0</v>
      </c>
      <c r="B72" s="32" t="str">
        <f>"'"&amp;装备!B73&amp;"'"</f>
        <v>'E221'</v>
      </c>
      <c r="C72" s="32">
        <f>装备!J73</f>
        <v>0</v>
      </c>
      <c r="D72" s="32">
        <f>装备!K73</f>
        <v>0</v>
      </c>
      <c r="E72" s="32">
        <f>装备!L73</f>
        <v>0</v>
      </c>
      <c r="F72" s="32">
        <f>装备!M73</f>
        <v>0</v>
      </c>
      <c r="G72" s="32">
        <f>装备!N73</f>
        <v>0</v>
      </c>
      <c r="H72" s="32">
        <f>装备!O73</f>
        <v>0</v>
      </c>
      <c r="I72" s="32">
        <f>IF(装备!J73=0,0,"'"&amp;装备!J73&amp;"'")</f>
        <v>0</v>
      </c>
      <c r="J72" s="32">
        <f>IF(装备!K73=0,0,"'"&amp;装备!K73&amp;"'")</f>
        <v>0</v>
      </c>
      <c r="K72" s="32">
        <f>IF(装备!L73=0,0,"'"&amp;装备!L73&amp;"'")</f>
        <v>0</v>
      </c>
      <c r="L72" s="32">
        <f>IF(装备!M73=0,0,"'"&amp;装备!M73&amp;"'")</f>
        <v>0</v>
      </c>
      <c r="M72" s="32">
        <f>IF(装备!N73=0,0,"'"&amp;装备!N73&amp;"'")</f>
        <v>0</v>
      </c>
      <c r="N72" s="32">
        <f>IF(装备!O73=0,0,"'"&amp;装备!O73&amp;"'")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IFERROR(VLOOKUP(C72,装备!$B:$E,3,FALSE),"")</f>
        <v/>
      </c>
      <c r="R72" s="36" t="str">
        <f>IFERROR(VLOOKUP(D72,装备!$B:$E,3,FALSE),"")</f>
        <v/>
      </c>
      <c r="S72" s="36" t="str">
        <f>IFERROR(VLOOKUP(E72,装备!$B:$E,3,FALSE),"")</f>
        <v/>
      </c>
      <c r="T72" s="36" t="str">
        <f>IFERROR(VLOOKUP(F72,装备!$B:$E,3,FALSE),"")</f>
        <v/>
      </c>
      <c r="U72" s="36" t="str">
        <f>IFERROR(VLOOKUP(G72,装备!$B:$E,3,FALSE),"")</f>
        <v/>
      </c>
      <c r="V72" s="36" t="str">
        <f>IFERROR(VLOOKUP(H72,装备!$B:$E,3,FALSE),"")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装备!A74</f>
        <v>0</v>
      </c>
      <c r="B73" s="32" t="str">
        <f>"'"&amp;装备!B74&amp;"'"</f>
        <v>'E222'</v>
      </c>
      <c r="C73" s="32">
        <f>装备!J74</f>
        <v>0</v>
      </c>
      <c r="D73" s="32">
        <f>装备!K74</f>
        <v>0</v>
      </c>
      <c r="E73" s="32">
        <f>装备!L74</f>
        <v>0</v>
      </c>
      <c r="F73" s="32">
        <f>装备!M74</f>
        <v>0</v>
      </c>
      <c r="G73" s="32">
        <f>装备!N74</f>
        <v>0</v>
      </c>
      <c r="H73" s="32">
        <f>装备!O74</f>
        <v>0</v>
      </c>
      <c r="I73" s="32">
        <f>IF(装备!J74=0,0,"'"&amp;装备!J74&amp;"'")</f>
        <v>0</v>
      </c>
      <c r="J73" s="32">
        <f>IF(装备!K74=0,0,"'"&amp;装备!K74&amp;"'")</f>
        <v>0</v>
      </c>
      <c r="K73" s="32">
        <f>IF(装备!L74=0,0,"'"&amp;装备!L74&amp;"'")</f>
        <v>0</v>
      </c>
      <c r="L73" s="32">
        <f>IF(装备!M74=0,0,"'"&amp;装备!M74&amp;"'")</f>
        <v>0</v>
      </c>
      <c r="M73" s="32">
        <f>IF(装备!N74=0,0,"'"&amp;装备!N74&amp;"'")</f>
        <v>0</v>
      </c>
      <c r="N73" s="32">
        <f>IF(装备!O74=0,0,"'"&amp;装备!O74&amp;"'")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IFERROR(VLOOKUP(C73,装备!$B:$E,3,FALSE),"")</f>
        <v/>
      </c>
      <c r="R73" s="36" t="str">
        <f>IFERROR(VLOOKUP(D73,装备!$B:$E,3,FALSE),"")</f>
        <v/>
      </c>
      <c r="S73" s="36" t="str">
        <f>IFERROR(VLOOKUP(E73,装备!$B:$E,3,FALSE),"")</f>
        <v/>
      </c>
      <c r="T73" s="36" t="str">
        <f>IFERROR(VLOOKUP(F73,装备!$B:$E,3,FALSE),"")</f>
        <v/>
      </c>
      <c r="U73" s="36" t="str">
        <f>IFERROR(VLOOKUP(G73,装备!$B:$E,3,FALSE),"")</f>
        <v/>
      </c>
      <c r="V73" s="36" t="str">
        <f>IFERROR(VLOOKUP(H73,装备!$B:$E,3,FALSE),"")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装备!A75</f>
        <v>0</v>
      </c>
      <c r="B74" s="32" t="str">
        <f>"'"&amp;装备!B75&amp;"'"</f>
        <v>'E223'</v>
      </c>
      <c r="C74" s="32">
        <f>装备!J75</f>
        <v>0</v>
      </c>
      <c r="D74" s="32">
        <f>装备!K75</f>
        <v>0</v>
      </c>
      <c r="E74" s="32">
        <f>装备!L75</f>
        <v>0</v>
      </c>
      <c r="F74" s="32">
        <f>装备!M75</f>
        <v>0</v>
      </c>
      <c r="G74" s="32">
        <f>装备!N75</f>
        <v>0</v>
      </c>
      <c r="H74" s="32">
        <f>装备!O75</f>
        <v>0</v>
      </c>
      <c r="I74" s="32">
        <f>IF(装备!J75=0,0,"'"&amp;装备!J75&amp;"'")</f>
        <v>0</v>
      </c>
      <c r="J74" s="32">
        <f>IF(装备!K75=0,0,"'"&amp;装备!K75&amp;"'")</f>
        <v>0</v>
      </c>
      <c r="K74" s="32">
        <f>IF(装备!L75=0,0,"'"&amp;装备!L75&amp;"'")</f>
        <v>0</v>
      </c>
      <c r="L74" s="32">
        <f>IF(装备!M75=0,0,"'"&amp;装备!M75&amp;"'")</f>
        <v>0</v>
      </c>
      <c r="M74" s="32">
        <f>IF(装备!N75=0,0,"'"&amp;装备!N75&amp;"'")</f>
        <v>0</v>
      </c>
      <c r="N74" s="32">
        <f>IF(装备!O75=0,0,"'"&amp;装备!O75&amp;"'")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IFERROR(VLOOKUP(C74,装备!$B:$E,3,FALSE),"")</f>
        <v/>
      </c>
      <c r="R74" s="36" t="str">
        <f>IFERROR(VLOOKUP(D74,装备!$B:$E,3,FALSE),"")</f>
        <v/>
      </c>
      <c r="S74" s="36" t="str">
        <f>IFERROR(VLOOKUP(E74,装备!$B:$E,3,FALSE),"")</f>
        <v/>
      </c>
      <c r="T74" s="36" t="str">
        <f>IFERROR(VLOOKUP(F74,装备!$B:$E,3,FALSE),"")</f>
        <v/>
      </c>
      <c r="U74" s="36" t="str">
        <f>IFERROR(VLOOKUP(G74,装备!$B:$E,3,FALSE),"")</f>
        <v/>
      </c>
      <c r="V74" s="36" t="str">
        <f>IFERROR(VLOOKUP(H74,装备!$B:$E,3,FALSE),"")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装备!A76</f>
        <v>0</v>
      </c>
      <c r="B75" s="32" t="str">
        <f>"'"&amp;装备!B76&amp;"'"</f>
        <v>'E224'</v>
      </c>
      <c r="C75" s="32">
        <f>装备!J76</f>
        <v>0</v>
      </c>
      <c r="D75" s="32">
        <f>装备!K76</f>
        <v>0</v>
      </c>
      <c r="E75" s="32">
        <f>装备!L76</f>
        <v>0</v>
      </c>
      <c r="F75" s="32">
        <f>装备!M76</f>
        <v>0</v>
      </c>
      <c r="G75" s="32">
        <f>装备!N76</f>
        <v>0</v>
      </c>
      <c r="H75" s="32">
        <f>装备!O76</f>
        <v>0</v>
      </c>
      <c r="I75" s="32">
        <f>IF(装备!J76=0,0,"'"&amp;装备!J76&amp;"'")</f>
        <v>0</v>
      </c>
      <c r="J75" s="32">
        <f>IF(装备!K76=0,0,"'"&amp;装备!K76&amp;"'")</f>
        <v>0</v>
      </c>
      <c r="K75" s="32">
        <f>IF(装备!L76=0,0,"'"&amp;装备!L76&amp;"'")</f>
        <v>0</v>
      </c>
      <c r="L75" s="32">
        <f>IF(装备!M76=0,0,"'"&amp;装备!M76&amp;"'")</f>
        <v>0</v>
      </c>
      <c r="M75" s="32">
        <f>IF(装备!N76=0,0,"'"&amp;装备!N76&amp;"'")</f>
        <v>0</v>
      </c>
      <c r="N75" s="32">
        <f>IF(装备!O76=0,0,"'"&amp;装备!O76&amp;"'")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IFERROR(VLOOKUP(C75,装备!$B:$E,3,FALSE),"")</f>
        <v/>
      </c>
      <c r="R75" s="36" t="str">
        <f>IFERROR(VLOOKUP(D75,装备!$B:$E,3,FALSE),"")</f>
        <v/>
      </c>
      <c r="S75" s="36" t="str">
        <f>IFERROR(VLOOKUP(E75,装备!$B:$E,3,FALSE),"")</f>
        <v/>
      </c>
      <c r="T75" s="36" t="str">
        <f>IFERROR(VLOOKUP(F75,装备!$B:$E,3,FALSE),"")</f>
        <v/>
      </c>
      <c r="U75" s="36" t="str">
        <f>IFERROR(VLOOKUP(G75,装备!$B:$E,3,FALSE),"")</f>
        <v/>
      </c>
      <c r="V75" s="36" t="str">
        <f>IFERROR(VLOOKUP(H75,装备!$B:$E,3,FALSE),"")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装备!A77</f>
        <v>0</v>
      </c>
      <c r="B76" s="32" t="str">
        <f>"'"&amp;装备!B77&amp;"'"</f>
        <v>'E225'</v>
      </c>
      <c r="C76" s="32">
        <f>装备!J77</f>
        <v>0</v>
      </c>
      <c r="D76" s="32">
        <f>装备!K77</f>
        <v>0</v>
      </c>
      <c r="E76" s="32">
        <f>装备!L77</f>
        <v>0</v>
      </c>
      <c r="F76" s="32">
        <f>装备!M77</f>
        <v>0</v>
      </c>
      <c r="G76" s="32">
        <f>装备!N77</f>
        <v>0</v>
      </c>
      <c r="H76" s="32">
        <f>装备!O77</f>
        <v>0</v>
      </c>
      <c r="I76" s="32">
        <f>IF(装备!J77=0,0,"'"&amp;装备!J77&amp;"'")</f>
        <v>0</v>
      </c>
      <c r="J76" s="32">
        <f>IF(装备!K77=0,0,"'"&amp;装备!K77&amp;"'")</f>
        <v>0</v>
      </c>
      <c r="K76" s="32">
        <f>IF(装备!L77=0,0,"'"&amp;装备!L77&amp;"'")</f>
        <v>0</v>
      </c>
      <c r="L76" s="32">
        <f>IF(装备!M77=0,0,"'"&amp;装备!M77&amp;"'")</f>
        <v>0</v>
      </c>
      <c r="M76" s="32">
        <f>IF(装备!N77=0,0,"'"&amp;装备!N77&amp;"'")</f>
        <v>0</v>
      </c>
      <c r="N76" s="32">
        <f>IF(装备!O77=0,0,"'"&amp;装备!O77&amp;"'")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IFERROR(VLOOKUP(C76,装备!$B:$E,3,FALSE),"")</f>
        <v/>
      </c>
      <c r="R76" s="36" t="str">
        <f>IFERROR(VLOOKUP(D76,装备!$B:$E,3,FALSE),"")</f>
        <v/>
      </c>
      <c r="S76" s="36" t="str">
        <f>IFERROR(VLOOKUP(E76,装备!$B:$E,3,FALSE),"")</f>
        <v/>
      </c>
      <c r="T76" s="36" t="str">
        <f>IFERROR(VLOOKUP(F76,装备!$B:$E,3,FALSE),"")</f>
        <v/>
      </c>
      <c r="U76" s="36" t="str">
        <f>IFERROR(VLOOKUP(G76,装备!$B:$E,3,FALSE),"")</f>
        <v/>
      </c>
      <c r="V76" s="36" t="str">
        <f>IFERROR(VLOOKUP(H76,装备!$B:$E,3,FALSE),"")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装备!A78</f>
        <v>0</v>
      </c>
      <c r="B77" s="32" t="str">
        <f>"'"&amp;装备!B78&amp;"'"</f>
        <v>'IJ01'</v>
      </c>
      <c r="C77" s="32">
        <f>装备!J78</f>
        <v>0</v>
      </c>
      <c r="D77" s="32">
        <f>装备!K78</f>
        <v>0</v>
      </c>
      <c r="E77" s="32">
        <f>装备!L78</f>
        <v>0</v>
      </c>
      <c r="F77" s="32">
        <f>装备!M78</f>
        <v>0</v>
      </c>
      <c r="G77" s="32">
        <f>装备!N78</f>
        <v>0</v>
      </c>
      <c r="H77" s="32">
        <f>装备!O78</f>
        <v>0</v>
      </c>
      <c r="I77" s="32">
        <f>IF(装备!J78=0,0,"'"&amp;装备!J78&amp;"'")</f>
        <v>0</v>
      </c>
      <c r="J77" s="32">
        <f>IF(装备!K78=0,0,"'"&amp;装备!K78&amp;"'")</f>
        <v>0</v>
      </c>
      <c r="K77" s="32">
        <f>IF(装备!L78=0,0,"'"&amp;装备!L78&amp;"'")</f>
        <v>0</v>
      </c>
      <c r="L77" s="32">
        <f>IF(装备!M78=0,0,"'"&amp;装备!M78&amp;"'")</f>
        <v>0</v>
      </c>
      <c r="M77" s="32">
        <f>IF(装备!N78=0,0,"'"&amp;装备!N78&amp;"'")</f>
        <v>0</v>
      </c>
      <c r="N77" s="32">
        <f>IF(装备!O78=0,0,"'"&amp;装备!O78&amp;"'")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IFERROR(VLOOKUP(C77,装备!$B:$E,3,FALSE),"")</f>
        <v/>
      </c>
      <c r="R77" s="36" t="str">
        <f>IFERROR(VLOOKUP(D77,装备!$B:$E,3,FALSE),"")</f>
        <v/>
      </c>
      <c r="S77" s="36" t="str">
        <f>IFERROR(VLOOKUP(E77,装备!$B:$E,3,FALSE),"")</f>
        <v/>
      </c>
      <c r="T77" s="36" t="str">
        <f>IFERROR(VLOOKUP(F77,装备!$B:$E,3,FALSE),"")</f>
        <v/>
      </c>
      <c r="U77" s="36" t="str">
        <f>IFERROR(VLOOKUP(G77,装备!$B:$E,3,FALSE),"")</f>
        <v/>
      </c>
      <c r="V77" s="36" t="str">
        <f>IFERROR(VLOOKUP(H77,装备!$B:$E,3,FALSE),"")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装备!A79</f>
        <v>0</v>
      </c>
      <c r="B78" s="32" t="str">
        <f>"'"&amp;装备!B79&amp;"'"</f>
        <v>'IJ02'</v>
      </c>
      <c r="C78" s="32">
        <f>装备!J79</f>
        <v>0</v>
      </c>
      <c r="D78" s="32">
        <f>装备!K79</f>
        <v>0</v>
      </c>
      <c r="E78" s="32">
        <f>装备!L79</f>
        <v>0</v>
      </c>
      <c r="F78" s="32">
        <f>装备!M79</f>
        <v>0</v>
      </c>
      <c r="G78" s="32">
        <f>装备!N79</f>
        <v>0</v>
      </c>
      <c r="H78" s="32">
        <f>装备!O79</f>
        <v>0</v>
      </c>
      <c r="I78" s="32">
        <f>IF(装备!J79=0,0,"'"&amp;装备!J79&amp;"'")</f>
        <v>0</v>
      </c>
      <c r="J78" s="32">
        <f>IF(装备!K79=0,0,"'"&amp;装备!K79&amp;"'")</f>
        <v>0</v>
      </c>
      <c r="K78" s="32">
        <f>IF(装备!L79=0,0,"'"&amp;装备!L79&amp;"'")</f>
        <v>0</v>
      </c>
      <c r="L78" s="32">
        <f>IF(装备!M79=0,0,"'"&amp;装备!M79&amp;"'")</f>
        <v>0</v>
      </c>
      <c r="M78" s="32">
        <f>IF(装备!N79=0,0,"'"&amp;装备!N79&amp;"'")</f>
        <v>0</v>
      </c>
      <c r="N78" s="32">
        <f>IF(装备!O79=0,0,"'"&amp;装备!O79&amp;"'")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IFERROR(VLOOKUP(C78,装备!$B:$E,3,FALSE),"")</f>
        <v/>
      </c>
      <c r="R78" s="36" t="str">
        <f>IFERROR(VLOOKUP(D78,装备!$B:$E,3,FALSE),"")</f>
        <v/>
      </c>
      <c r="S78" s="36" t="str">
        <f>IFERROR(VLOOKUP(E78,装备!$B:$E,3,FALSE),"")</f>
        <v/>
      </c>
      <c r="T78" s="36" t="str">
        <f>IFERROR(VLOOKUP(F78,装备!$B:$E,3,FALSE),"")</f>
        <v/>
      </c>
      <c r="U78" s="36" t="str">
        <f>IFERROR(VLOOKUP(G78,装备!$B:$E,3,FALSE),"")</f>
        <v/>
      </c>
      <c r="V78" s="36" t="str">
        <f>IFERROR(VLOOKUP(H78,装备!$B:$E,3,FALSE),"")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装备!A80</f>
        <v>0</v>
      </c>
      <c r="B79" s="32" t="str">
        <f>"'"&amp;装备!B80&amp;"'"</f>
        <v>'IJ03'</v>
      </c>
      <c r="C79" s="32">
        <f>装备!J80</f>
        <v>0</v>
      </c>
      <c r="D79" s="32">
        <f>装备!K80</f>
        <v>0</v>
      </c>
      <c r="E79" s="32">
        <f>装备!L80</f>
        <v>0</v>
      </c>
      <c r="F79" s="32">
        <f>装备!M80</f>
        <v>0</v>
      </c>
      <c r="G79" s="32">
        <f>装备!N80</f>
        <v>0</v>
      </c>
      <c r="H79" s="32">
        <f>装备!O80</f>
        <v>0</v>
      </c>
      <c r="I79" s="32">
        <f>IF(装备!J80=0,0,"'"&amp;装备!J80&amp;"'")</f>
        <v>0</v>
      </c>
      <c r="J79" s="32">
        <f>IF(装备!K80=0,0,"'"&amp;装备!K80&amp;"'")</f>
        <v>0</v>
      </c>
      <c r="K79" s="32">
        <f>IF(装备!L80=0,0,"'"&amp;装备!L80&amp;"'")</f>
        <v>0</v>
      </c>
      <c r="L79" s="32">
        <f>IF(装备!M80=0,0,"'"&amp;装备!M80&amp;"'")</f>
        <v>0</v>
      </c>
      <c r="M79" s="32">
        <f>IF(装备!N80=0,0,"'"&amp;装备!N80&amp;"'")</f>
        <v>0</v>
      </c>
      <c r="N79" s="32">
        <f>IF(装备!O80=0,0,"'"&amp;装备!O80&amp;"'")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IFERROR(VLOOKUP(C79,装备!$B:$E,3,FALSE),"")</f>
        <v/>
      </c>
      <c r="R79" s="36" t="str">
        <f>IFERROR(VLOOKUP(D79,装备!$B:$E,3,FALSE),"")</f>
        <v/>
      </c>
      <c r="S79" s="36" t="str">
        <f>IFERROR(VLOOKUP(E79,装备!$B:$E,3,FALSE),"")</f>
        <v/>
      </c>
      <c r="T79" s="36" t="str">
        <f>IFERROR(VLOOKUP(F79,装备!$B:$E,3,FALSE),"")</f>
        <v/>
      </c>
      <c r="U79" s="36" t="str">
        <f>IFERROR(VLOOKUP(G79,装备!$B:$E,3,FALSE),"")</f>
        <v/>
      </c>
      <c r="V79" s="36" t="str">
        <f>IFERROR(VLOOKUP(H79,装备!$B:$E,3,FALSE),"")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装备!A81</f>
        <v>0</v>
      </c>
      <c r="B80" s="32" t="str">
        <f>"'"&amp;装备!B81&amp;"'"</f>
        <v>'IJ04'</v>
      </c>
      <c r="C80" s="32">
        <f>装备!J81</f>
        <v>0</v>
      </c>
      <c r="D80" s="32">
        <f>装备!K81</f>
        <v>0</v>
      </c>
      <c r="E80" s="32">
        <f>装备!L81</f>
        <v>0</v>
      </c>
      <c r="F80" s="32">
        <f>装备!M81</f>
        <v>0</v>
      </c>
      <c r="G80" s="32">
        <f>装备!N81</f>
        <v>0</v>
      </c>
      <c r="H80" s="32">
        <f>装备!O81</f>
        <v>0</v>
      </c>
      <c r="I80" s="32">
        <f>IF(装备!J81=0,0,"'"&amp;装备!J81&amp;"'")</f>
        <v>0</v>
      </c>
      <c r="J80" s="32">
        <f>IF(装备!K81=0,0,"'"&amp;装备!K81&amp;"'")</f>
        <v>0</v>
      </c>
      <c r="K80" s="32">
        <f>IF(装备!L81=0,0,"'"&amp;装备!L81&amp;"'")</f>
        <v>0</v>
      </c>
      <c r="L80" s="32">
        <f>IF(装备!M81=0,0,"'"&amp;装备!M81&amp;"'")</f>
        <v>0</v>
      </c>
      <c r="M80" s="32">
        <f>IF(装备!N81=0,0,"'"&amp;装备!N81&amp;"'")</f>
        <v>0</v>
      </c>
      <c r="N80" s="32">
        <f>IF(装备!O81=0,0,"'"&amp;装备!O81&amp;"'")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IFERROR(VLOOKUP(C80,装备!$B:$E,3,FALSE),"")</f>
        <v/>
      </c>
      <c r="R80" s="36" t="str">
        <f>IFERROR(VLOOKUP(D80,装备!$B:$E,3,FALSE),"")</f>
        <v/>
      </c>
      <c r="S80" s="36" t="str">
        <f>IFERROR(VLOOKUP(E80,装备!$B:$E,3,FALSE),"")</f>
        <v/>
      </c>
      <c r="T80" s="36" t="str">
        <f>IFERROR(VLOOKUP(F80,装备!$B:$E,3,FALSE),"")</f>
        <v/>
      </c>
      <c r="U80" s="36" t="str">
        <f>IFERROR(VLOOKUP(G80,装备!$B:$E,3,FALSE),"")</f>
        <v/>
      </c>
      <c r="V80" s="36" t="str">
        <f>IFERROR(VLOOKUP(H80,装备!$B:$E,3,FALSE),"")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装备!A82</f>
        <v>0</v>
      </c>
      <c r="B81" s="32" t="str">
        <f>"'"&amp;装备!B82&amp;"'"</f>
        <v>'IJ05'</v>
      </c>
      <c r="C81" s="32">
        <f>装备!J82</f>
        <v>0</v>
      </c>
      <c r="D81" s="32">
        <f>装备!K82</f>
        <v>0</v>
      </c>
      <c r="E81" s="32">
        <f>装备!L82</f>
        <v>0</v>
      </c>
      <c r="F81" s="32">
        <f>装备!M82</f>
        <v>0</v>
      </c>
      <c r="G81" s="32">
        <f>装备!N82</f>
        <v>0</v>
      </c>
      <c r="H81" s="32">
        <f>装备!O82</f>
        <v>0</v>
      </c>
      <c r="I81" s="32">
        <f>IF(装备!J82=0,0,"'"&amp;装备!J82&amp;"'")</f>
        <v>0</v>
      </c>
      <c r="J81" s="32">
        <f>IF(装备!K82=0,0,"'"&amp;装备!K82&amp;"'")</f>
        <v>0</v>
      </c>
      <c r="K81" s="32">
        <f>IF(装备!L82=0,0,"'"&amp;装备!L82&amp;"'")</f>
        <v>0</v>
      </c>
      <c r="L81" s="32">
        <f>IF(装备!M82=0,0,"'"&amp;装备!M82&amp;"'")</f>
        <v>0</v>
      </c>
      <c r="M81" s="32">
        <f>IF(装备!N82=0,0,"'"&amp;装备!N82&amp;"'")</f>
        <v>0</v>
      </c>
      <c r="N81" s="32">
        <f>IF(装备!O82=0,0,"'"&amp;装备!O82&amp;"'")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IFERROR(VLOOKUP(C81,装备!$B:$E,3,FALSE),"")</f>
        <v/>
      </c>
      <c r="R81" s="36" t="str">
        <f>IFERROR(VLOOKUP(D81,装备!$B:$E,3,FALSE),"")</f>
        <v/>
      </c>
      <c r="S81" s="36" t="str">
        <f>IFERROR(VLOOKUP(E81,装备!$B:$E,3,FALSE),"")</f>
        <v/>
      </c>
      <c r="T81" s="36" t="str">
        <f>IFERROR(VLOOKUP(F81,装备!$B:$E,3,FALSE),"")</f>
        <v/>
      </c>
      <c r="U81" s="36" t="str">
        <f>IFERROR(VLOOKUP(G81,装备!$B:$E,3,FALSE),"")</f>
        <v/>
      </c>
      <c r="V81" s="36" t="str">
        <f>IFERROR(VLOOKUP(H81,装备!$B:$E,3,FALSE),"")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装备!A83</f>
        <v>0</v>
      </c>
      <c r="B82" s="32" t="str">
        <f>"'"&amp;装备!B83&amp;"'"</f>
        <v>'IJ06'</v>
      </c>
      <c r="C82" s="32">
        <f>装备!J83</f>
        <v>0</v>
      </c>
      <c r="D82" s="32">
        <f>装备!K83</f>
        <v>0</v>
      </c>
      <c r="E82" s="32">
        <f>装备!L83</f>
        <v>0</v>
      </c>
      <c r="F82" s="32">
        <f>装备!M83</f>
        <v>0</v>
      </c>
      <c r="G82" s="32">
        <f>装备!N83</f>
        <v>0</v>
      </c>
      <c r="H82" s="32">
        <f>装备!O83</f>
        <v>0</v>
      </c>
      <c r="I82" s="32">
        <f>IF(装备!J83=0,0,"'"&amp;装备!J83&amp;"'")</f>
        <v>0</v>
      </c>
      <c r="J82" s="32">
        <f>IF(装备!K83=0,0,"'"&amp;装备!K83&amp;"'")</f>
        <v>0</v>
      </c>
      <c r="K82" s="32">
        <f>IF(装备!L83=0,0,"'"&amp;装备!L83&amp;"'")</f>
        <v>0</v>
      </c>
      <c r="L82" s="32">
        <f>IF(装备!M83=0,0,"'"&amp;装备!M83&amp;"'")</f>
        <v>0</v>
      </c>
      <c r="M82" s="32">
        <f>IF(装备!N83=0,0,"'"&amp;装备!N83&amp;"'")</f>
        <v>0</v>
      </c>
      <c r="N82" s="32">
        <f>IF(装备!O83=0,0,"'"&amp;装备!O83&amp;"'")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IFERROR(VLOOKUP(C82,装备!$B:$E,3,FALSE),"")</f>
        <v/>
      </c>
      <c r="R82" s="36" t="str">
        <f>IFERROR(VLOOKUP(D82,装备!$B:$E,3,FALSE),"")</f>
        <v/>
      </c>
      <c r="S82" s="36" t="str">
        <f>IFERROR(VLOOKUP(E82,装备!$B:$E,3,FALSE),"")</f>
        <v/>
      </c>
      <c r="T82" s="36" t="str">
        <f>IFERROR(VLOOKUP(F82,装备!$B:$E,3,FALSE),"")</f>
        <v/>
      </c>
      <c r="U82" s="36" t="str">
        <f>IFERROR(VLOOKUP(G82,装备!$B:$E,3,FALSE),"")</f>
        <v/>
      </c>
      <c r="V82" s="36" t="str">
        <f>IFERROR(VLOOKUP(H82,装备!$B:$E,3,FALSE),"")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装备!A84</f>
        <v>0</v>
      </c>
      <c r="B83" s="32" t="str">
        <f>"'"&amp;装备!B84&amp;"'"</f>
        <v>'IJ07'</v>
      </c>
      <c r="C83" s="32">
        <f>装备!J84</f>
        <v>0</v>
      </c>
      <c r="D83" s="32">
        <f>装备!K84</f>
        <v>0</v>
      </c>
      <c r="E83" s="32">
        <f>装备!L84</f>
        <v>0</v>
      </c>
      <c r="F83" s="32">
        <f>装备!M84</f>
        <v>0</v>
      </c>
      <c r="G83" s="32">
        <f>装备!N84</f>
        <v>0</v>
      </c>
      <c r="H83" s="32">
        <f>装备!O84</f>
        <v>0</v>
      </c>
      <c r="I83" s="32">
        <f>IF(装备!J84=0,0,"'"&amp;装备!J84&amp;"'")</f>
        <v>0</v>
      </c>
      <c r="J83" s="32">
        <f>IF(装备!K84=0,0,"'"&amp;装备!K84&amp;"'")</f>
        <v>0</v>
      </c>
      <c r="K83" s="32">
        <f>IF(装备!L84=0,0,"'"&amp;装备!L84&amp;"'")</f>
        <v>0</v>
      </c>
      <c r="L83" s="32">
        <f>IF(装备!M84=0,0,"'"&amp;装备!M84&amp;"'")</f>
        <v>0</v>
      </c>
      <c r="M83" s="32">
        <f>IF(装备!N84=0,0,"'"&amp;装备!N84&amp;"'")</f>
        <v>0</v>
      </c>
      <c r="N83" s="32">
        <f>IF(装备!O84=0,0,"'"&amp;装备!O84&amp;"'")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IFERROR(VLOOKUP(C83,装备!$B:$E,3,FALSE),"")</f>
        <v/>
      </c>
      <c r="R83" s="36" t="str">
        <f>IFERROR(VLOOKUP(D83,装备!$B:$E,3,FALSE),"")</f>
        <v/>
      </c>
      <c r="S83" s="36" t="str">
        <f>IFERROR(VLOOKUP(E83,装备!$B:$E,3,FALSE),"")</f>
        <v/>
      </c>
      <c r="T83" s="36" t="str">
        <f>IFERROR(VLOOKUP(F83,装备!$B:$E,3,FALSE),"")</f>
        <v/>
      </c>
      <c r="U83" s="36" t="str">
        <f>IFERROR(VLOOKUP(G83,装备!$B:$E,3,FALSE),"")</f>
        <v/>
      </c>
      <c r="V83" s="36" t="str">
        <f>IFERROR(VLOOKUP(H83,装备!$B:$E,3,FALSE),"")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装备!A85</f>
        <v>0</v>
      </c>
      <c r="B84" s="32" t="str">
        <f>"'"&amp;装备!B85&amp;"'"</f>
        <v>'IJ08'</v>
      </c>
      <c r="C84" s="32">
        <f>装备!J85</f>
        <v>0</v>
      </c>
      <c r="D84" s="32">
        <f>装备!K85</f>
        <v>0</v>
      </c>
      <c r="E84" s="32">
        <f>装备!L85</f>
        <v>0</v>
      </c>
      <c r="F84" s="32">
        <f>装备!M85</f>
        <v>0</v>
      </c>
      <c r="G84" s="32">
        <f>装备!N85</f>
        <v>0</v>
      </c>
      <c r="H84" s="32">
        <f>装备!O85</f>
        <v>0</v>
      </c>
      <c r="I84" s="32">
        <f>IF(装备!J85=0,0,"'"&amp;装备!J85&amp;"'")</f>
        <v>0</v>
      </c>
      <c r="J84" s="32">
        <f>IF(装备!K85=0,0,"'"&amp;装备!K85&amp;"'")</f>
        <v>0</v>
      </c>
      <c r="K84" s="32">
        <f>IF(装备!L85=0,0,"'"&amp;装备!L85&amp;"'")</f>
        <v>0</v>
      </c>
      <c r="L84" s="32">
        <f>IF(装备!M85=0,0,"'"&amp;装备!M85&amp;"'")</f>
        <v>0</v>
      </c>
      <c r="M84" s="32">
        <f>IF(装备!N85=0,0,"'"&amp;装备!N85&amp;"'")</f>
        <v>0</v>
      </c>
      <c r="N84" s="32">
        <f>IF(装备!O85=0,0,"'"&amp;装备!O85&amp;"'")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IFERROR(VLOOKUP(C84,装备!$B:$E,3,FALSE),"")</f>
        <v/>
      </c>
      <c r="R84" s="36" t="str">
        <f>IFERROR(VLOOKUP(D84,装备!$B:$E,3,FALSE),"")</f>
        <v/>
      </c>
      <c r="S84" s="36" t="str">
        <f>IFERROR(VLOOKUP(E84,装备!$B:$E,3,FALSE),"")</f>
        <v/>
      </c>
      <c r="T84" s="36" t="str">
        <f>IFERROR(VLOOKUP(F84,装备!$B:$E,3,FALSE),"")</f>
        <v/>
      </c>
      <c r="U84" s="36" t="str">
        <f>IFERROR(VLOOKUP(G84,装备!$B:$E,3,FALSE),"")</f>
        <v/>
      </c>
      <c r="V84" s="36" t="str">
        <f>IFERROR(VLOOKUP(H84,装备!$B:$E,3,FALSE),"")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装备!A86</f>
        <v>0</v>
      </c>
      <c r="B85" s="32" t="str">
        <f>"'"&amp;装备!B86&amp;"'"</f>
        <v>'IJ09'</v>
      </c>
      <c r="C85" s="32">
        <f>装备!J86</f>
        <v>0</v>
      </c>
      <c r="D85" s="32">
        <f>装备!K86</f>
        <v>0</v>
      </c>
      <c r="E85" s="32">
        <f>装备!L86</f>
        <v>0</v>
      </c>
      <c r="F85" s="32">
        <f>装备!M86</f>
        <v>0</v>
      </c>
      <c r="G85" s="32">
        <f>装备!N86</f>
        <v>0</v>
      </c>
      <c r="H85" s="32">
        <f>装备!O86</f>
        <v>0</v>
      </c>
      <c r="I85" s="32">
        <f>IF(装备!J86=0,0,"'"&amp;装备!J86&amp;"'")</f>
        <v>0</v>
      </c>
      <c r="J85" s="32">
        <f>IF(装备!K86=0,0,"'"&amp;装备!K86&amp;"'")</f>
        <v>0</v>
      </c>
      <c r="K85" s="32">
        <f>IF(装备!L86=0,0,"'"&amp;装备!L86&amp;"'")</f>
        <v>0</v>
      </c>
      <c r="L85" s="32">
        <f>IF(装备!M86=0,0,"'"&amp;装备!M86&amp;"'")</f>
        <v>0</v>
      </c>
      <c r="M85" s="32">
        <f>IF(装备!N86=0,0,"'"&amp;装备!N86&amp;"'")</f>
        <v>0</v>
      </c>
      <c r="N85" s="32">
        <f>IF(装备!O86=0,0,"'"&amp;装备!O86&amp;"'")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IFERROR(VLOOKUP(C85,装备!$B:$E,3,FALSE),"")</f>
        <v/>
      </c>
      <c r="R85" s="36" t="str">
        <f>IFERROR(VLOOKUP(D85,装备!$B:$E,3,FALSE),"")</f>
        <v/>
      </c>
      <c r="S85" s="36" t="str">
        <f>IFERROR(VLOOKUP(E85,装备!$B:$E,3,FALSE),"")</f>
        <v/>
      </c>
      <c r="T85" s="36" t="str">
        <f>IFERROR(VLOOKUP(F85,装备!$B:$E,3,FALSE),"")</f>
        <v/>
      </c>
      <c r="U85" s="36" t="str">
        <f>IFERROR(VLOOKUP(G85,装备!$B:$E,3,FALSE),"")</f>
        <v/>
      </c>
      <c r="V85" s="36" t="str">
        <f>IFERROR(VLOOKUP(H85,装备!$B:$E,3,FALSE),"")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装备!A87</f>
        <v>0</v>
      </c>
      <c r="B86" s="32" t="str">
        <f>"'"&amp;装备!B87&amp;"'"</f>
        <v>'IJ10'</v>
      </c>
      <c r="C86" s="32">
        <f>装备!J87</f>
        <v>0</v>
      </c>
      <c r="D86" s="32">
        <f>装备!K87</f>
        <v>0</v>
      </c>
      <c r="E86" s="32">
        <f>装备!L87</f>
        <v>0</v>
      </c>
      <c r="F86" s="32">
        <f>装备!M87</f>
        <v>0</v>
      </c>
      <c r="G86" s="32">
        <f>装备!N87</f>
        <v>0</v>
      </c>
      <c r="H86" s="32">
        <f>装备!O87</f>
        <v>0</v>
      </c>
      <c r="I86" s="32">
        <f>IF(装备!J87=0,0,"'"&amp;装备!J87&amp;"'")</f>
        <v>0</v>
      </c>
      <c r="J86" s="32">
        <f>IF(装备!K87=0,0,"'"&amp;装备!K87&amp;"'")</f>
        <v>0</v>
      </c>
      <c r="K86" s="32">
        <f>IF(装备!L87=0,0,"'"&amp;装备!L87&amp;"'")</f>
        <v>0</v>
      </c>
      <c r="L86" s="32">
        <f>IF(装备!M87=0,0,"'"&amp;装备!M87&amp;"'")</f>
        <v>0</v>
      </c>
      <c r="M86" s="32">
        <f>IF(装备!N87=0,0,"'"&amp;装备!N87&amp;"'")</f>
        <v>0</v>
      </c>
      <c r="N86" s="32">
        <f>IF(装备!O87=0,0,"'"&amp;装备!O87&amp;"'")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IFERROR(VLOOKUP(C86,装备!$B:$E,3,FALSE),"")</f>
        <v/>
      </c>
      <c r="R86" s="36" t="str">
        <f>IFERROR(VLOOKUP(D86,装备!$B:$E,3,FALSE),"")</f>
        <v/>
      </c>
      <c r="S86" s="36" t="str">
        <f>IFERROR(VLOOKUP(E86,装备!$B:$E,3,FALSE),"")</f>
        <v/>
      </c>
      <c r="T86" s="36" t="str">
        <f>IFERROR(VLOOKUP(F86,装备!$B:$E,3,FALSE),"")</f>
        <v/>
      </c>
      <c r="U86" s="36" t="str">
        <f>IFERROR(VLOOKUP(G86,装备!$B:$E,3,FALSE),"")</f>
        <v/>
      </c>
      <c r="V86" s="36" t="str">
        <f>IFERROR(VLOOKUP(H86,装备!$B:$E,3,FALSE),"")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装备!#REF!</f>
        <v>#REF!</v>
      </c>
      <c r="B87" s="32" t="e">
        <f>"'"&amp;装备!#REF!&amp;"'"</f>
        <v>#REF!</v>
      </c>
      <c r="C87" s="32" t="e">
        <f>装备!#REF!</f>
        <v>#REF!</v>
      </c>
      <c r="D87" s="32" t="e">
        <f>装备!#REF!</f>
        <v>#REF!</v>
      </c>
      <c r="E87" s="32" t="e">
        <f>装备!#REF!</f>
        <v>#REF!</v>
      </c>
      <c r="F87" s="32" t="e">
        <f>装备!#REF!</f>
        <v>#REF!</v>
      </c>
      <c r="G87" s="32" t="e">
        <f>装备!#REF!</f>
        <v>#REF!</v>
      </c>
      <c r="H87" s="32" t="e">
        <f>装备!#REF!</f>
        <v>#REF!</v>
      </c>
      <c r="I87" s="32" t="e">
        <f>IF(装备!#REF!=0,0,"'"&amp;装备!#REF!&amp;"'")</f>
        <v>#REF!</v>
      </c>
      <c r="J87" s="32" t="e">
        <f>IF(装备!#REF!=0,0,"'"&amp;装备!#REF!&amp;"'")</f>
        <v>#REF!</v>
      </c>
      <c r="K87" s="32" t="e">
        <f>IF(装备!#REF!=0,0,"'"&amp;装备!#REF!&amp;"'")</f>
        <v>#REF!</v>
      </c>
      <c r="L87" s="32" t="e">
        <f>IF(装备!#REF!=0,0,"'"&amp;装备!#REF!&amp;"'")</f>
        <v>#REF!</v>
      </c>
      <c r="M87" s="32" t="e">
        <f>IF(装备!#REF!=0,0,"'"&amp;装备!#REF!&amp;"'")</f>
        <v>#REF!</v>
      </c>
      <c r="N87" s="32" t="e">
        <f>IF(装备!#REF!=0,0,"'"&amp;装备!#REF!&amp;"'")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IFERROR(VLOOKUP(C87,装备!$B:$E,3,FALSE),"")</f>
        <v/>
      </c>
      <c r="R87" s="36" t="str">
        <f>IFERROR(VLOOKUP(D87,装备!$B:$E,3,FALSE),"")</f>
        <v/>
      </c>
      <c r="S87" s="36" t="str">
        <f>IFERROR(VLOOKUP(E87,装备!$B:$E,3,FALSE),"")</f>
        <v/>
      </c>
      <c r="T87" s="36" t="str">
        <f>IFERROR(VLOOKUP(F87,装备!$B:$E,3,FALSE),"")</f>
        <v/>
      </c>
      <c r="U87" s="36" t="str">
        <f>IFERROR(VLOOKUP(G87,装备!$B:$E,3,FALSE),"")</f>
        <v/>
      </c>
      <c r="V87" s="36" t="str">
        <f>IFERROR(VLOOKUP(H87,装备!$B:$E,3,FALSE),"")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装备!#REF!</f>
        <v>#REF!</v>
      </c>
      <c r="B88" s="32" t="e">
        <f>"'"&amp;装备!#REF!&amp;"'"</f>
        <v>#REF!</v>
      </c>
      <c r="C88" s="32" t="e">
        <f>装备!#REF!</f>
        <v>#REF!</v>
      </c>
      <c r="D88" s="32" t="e">
        <f>装备!#REF!</f>
        <v>#REF!</v>
      </c>
      <c r="E88" s="32" t="e">
        <f>装备!#REF!</f>
        <v>#REF!</v>
      </c>
      <c r="F88" s="32" t="e">
        <f>装备!#REF!</f>
        <v>#REF!</v>
      </c>
      <c r="G88" s="32" t="e">
        <f>装备!#REF!</f>
        <v>#REF!</v>
      </c>
      <c r="H88" s="32" t="e">
        <f>装备!#REF!</f>
        <v>#REF!</v>
      </c>
      <c r="I88" s="32" t="e">
        <f>IF(装备!#REF!=0,0,"'"&amp;装备!#REF!&amp;"'")</f>
        <v>#REF!</v>
      </c>
      <c r="J88" s="32" t="e">
        <f>IF(装备!#REF!=0,0,"'"&amp;装备!#REF!&amp;"'")</f>
        <v>#REF!</v>
      </c>
      <c r="K88" s="32" t="e">
        <f>IF(装备!#REF!=0,0,"'"&amp;装备!#REF!&amp;"'")</f>
        <v>#REF!</v>
      </c>
      <c r="L88" s="32" t="e">
        <f>IF(装备!#REF!=0,0,"'"&amp;装备!#REF!&amp;"'")</f>
        <v>#REF!</v>
      </c>
      <c r="M88" s="32" t="e">
        <f>IF(装备!#REF!=0,0,"'"&amp;装备!#REF!&amp;"'")</f>
        <v>#REF!</v>
      </c>
      <c r="N88" s="32" t="e">
        <f>IF(装备!#REF!=0,0,"'"&amp;装备!#REF!&amp;"'")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IFERROR(VLOOKUP(C88,装备!$B:$E,3,FALSE),"")</f>
        <v/>
      </c>
      <c r="R88" s="36" t="str">
        <f>IFERROR(VLOOKUP(D88,装备!$B:$E,3,FALSE),"")</f>
        <v/>
      </c>
      <c r="S88" s="36" t="str">
        <f>IFERROR(VLOOKUP(E88,装备!$B:$E,3,FALSE),"")</f>
        <v/>
      </c>
      <c r="T88" s="36" t="str">
        <f>IFERROR(VLOOKUP(F88,装备!$B:$E,3,FALSE),"")</f>
        <v/>
      </c>
      <c r="U88" s="36" t="str">
        <f>IFERROR(VLOOKUP(G88,装备!$B:$E,3,FALSE),"")</f>
        <v/>
      </c>
      <c r="V88" s="36" t="str">
        <f>IFERROR(VLOOKUP(H88,装备!$B:$E,3,FALSE),"")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装备!#REF!</f>
        <v>#REF!</v>
      </c>
      <c r="B89" s="32" t="e">
        <f>"'"&amp;装备!#REF!&amp;"'"</f>
        <v>#REF!</v>
      </c>
      <c r="C89" s="32" t="e">
        <f>装备!#REF!</f>
        <v>#REF!</v>
      </c>
      <c r="D89" s="32" t="e">
        <f>装备!#REF!</f>
        <v>#REF!</v>
      </c>
      <c r="E89" s="32" t="e">
        <f>装备!#REF!</f>
        <v>#REF!</v>
      </c>
      <c r="F89" s="32" t="e">
        <f>装备!#REF!</f>
        <v>#REF!</v>
      </c>
      <c r="G89" s="32" t="e">
        <f>装备!#REF!</f>
        <v>#REF!</v>
      </c>
      <c r="H89" s="32" t="e">
        <f>装备!#REF!</f>
        <v>#REF!</v>
      </c>
      <c r="I89" s="32" t="e">
        <f>IF(装备!#REF!=0,0,"'"&amp;装备!#REF!&amp;"'")</f>
        <v>#REF!</v>
      </c>
      <c r="J89" s="32" t="e">
        <f>IF(装备!#REF!=0,0,"'"&amp;装备!#REF!&amp;"'")</f>
        <v>#REF!</v>
      </c>
      <c r="K89" s="32" t="e">
        <f>IF(装备!#REF!=0,0,"'"&amp;装备!#REF!&amp;"'")</f>
        <v>#REF!</v>
      </c>
      <c r="L89" s="32" t="e">
        <f>IF(装备!#REF!=0,0,"'"&amp;装备!#REF!&amp;"'")</f>
        <v>#REF!</v>
      </c>
      <c r="M89" s="32" t="e">
        <f>IF(装备!#REF!=0,0,"'"&amp;装备!#REF!&amp;"'")</f>
        <v>#REF!</v>
      </c>
      <c r="N89" s="32" t="e">
        <f>IF(装备!#REF!=0,0,"'"&amp;装备!#REF!&amp;"'")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IFERROR(VLOOKUP(C89,装备!$B:$E,3,FALSE),"")</f>
        <v/>
      </c>
      <c r="R89" s="36" t="str">
        <f>IFERROR(VLOOKUP(D89,装备!$B:$E,3,FALSE),"")</f>
        <v/>
      </c>
      <c r="S89" s="36" t="str">
        <f>IFERROR(VLOOKUP(E89,装备!$B:$E,3,FALSE),"")</f>
        <v/>
      </c>
      <c r="T89" s="36" t="str">
        <f>IFERROR(VLOOKUP(F89,装备!$B:$E,3,FALSE),"")</f>
        <v/>
      </c>
      <c r="U89" s="36" t="str">
        <f>IFERROR(VLOOKUP(G89,装备!$B:$E,3,FALSE),"")</f>
        <v/>
      </c>
      <c r="V89" s="36" t="str">
        <f>IFERROR(VLOOKUP(H89,装备!$B:$E,3,FALSE),"")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装备!#REF!</f>
        <v>#REF!</v>
      </c>
      <c r="B90" s="32" t="e">
        <f>"'"&amp;装备!#REF!&amp;"'"</f>
        <v>#REF!</v>
      </c>
      <c r="C90" s="32" t="e">
        <f>装备!#REF!</f>
        <v>#REF!</v>
      </c>
      <c r="D90" s="32" t="e">
        <f>装备!#REF!</f>
        <v>#REF!</v>
      </c>
      <c r="E90" s="32" t="e">
        <f>装备!#REF!</f>
        <v>#REF!</v>
      </c>
      <c r="F90" s="32" t="e">
        <f>装备!#REF!</f>
        <v>#REF!</v>
      </c>
      <c r="G90" s="32" t="e">
        <f>装备!#REF!</f>
        <v>#REF!</v>
      </c>
      <c r="H90" s="32" t="e">
        <f>装备!#REF!</f>
        <v>#REF!</v>
      </c>
      <c r="I90" s="32" t="e">
        <f>IF(装备!#REF!=0,0,"'"&amp;装备!#REF!&amp;"'")</f>
        <v>#REF!</v>
      </c>
      <c r="J90" s="32" t="e">
        <f>IF(装备!#REF!=0,0,"'"&amp;装备!#REF!&amp;"'")</f>
        <v>#REF!</v>
      </c>
      <c r="K90" s="32" t="e">
        <f>IF(装备!#REF!=0,0,"'"&amp;装备!#REF!&amp;"'")</f>
        <v>#REF!</v>
      </c>
      <c r="L90" s="32" t="e">
        <f>IF(装备!#REF!=0,0,"'"&amp;装备!#REF!&amp;"'")</f>
        <v>#REF!</v>
      </c>
      <c r="M90" s="32" t="e">
        <f>IF(装备!#REF!=0,0,"'"&amp;装备!#REF!&amp;"'")</f>
        <v>#REF!</v>
      </c>
      <c r="N90" s="32" t="e">
        <f>IF(装备!#REF!=0,0,"'"&amp;装备!#REF!&amp;"'")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IFERROR(VLOOKUP(C90,装备!$B:$E,3,FALSE),"")</f>
        <v/>
      </c>
      <c r="R90" s="36" t="str">
        <f>IFERROR(VLOOKUP(D90,装备!$B:$E,3,FALSE),"")</f>
        <v/>
      </c>
      <c r="S90" s="36" t="str">
        <f>IFERROR(VLOOKUP(E90,装备!$B:$E,3,FALSE),"")</f>
        <v/>
      </c>
      <c r="T90" s="36" t="str">
        <f>IFERROR(VLOOKUP(F90,装备!$B:$E,3,FALSE),"")</f>
        <v/>
      </c>
      <c r="U90" s="36" t="str">
        <f>IFERROR(VLOOKUP(G90,装备!$B:$E,3,FALSE),"")</f>
        <v/>
      </c>
      <c r="V90" s="36" t="str">
        <f>IFERROR(VLOOKUP(H90,装备!$B:$E,3,FALSE),"")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装备!#REF!</f>
        <v>#REF!</v>
      </c>
      <c r="B91" s="32" t="e">
        <f>"'"&amp;装备!#REF!&amp;"'"</f>
        <v>#REF!</v>
      </c>
      <c r="C91" s="32" t="e">
        <f>装备!#REF!</f>
        <v>#REF!</v>
      </c>
      <c r="D91" s="32" t="e">
        <f>装备!#REF!</f>
        <v>#REF!</v>
      </c>
      <c r="E91" s="32" t="e">
        <f>装备!#REF!</f>
        <v>#REF!</v>
      </c>
      <c r="F91" s="32" t="e">
        <f>装备!#REF!</f>
        <v>#REF!</v>
      </c>
      <c r="G91" s="32" t="e">
        <f>装备!#REF!</f>
        <v>#REF!</v>
      </c>
      <c r="H91" s="32" t="e">
        <f>装备!#REF!</f>
        <v>#REF!</v>
      </c>
      <c r="I91" s="32" t="e">
        <f>IF(装备!#REF!=0,0,"'"&amp;装备!#REF!&amp;"'")</f>
        <v>#REF!</v>
      </c>
      <c r="J91" s="32" t="e">
        <f>IF(装备!#REF!=0,0,"'"&amp;装备!#REF!&amp;"'")</f>
        <v>#REF!</v>
      </c>
      <c r="K91" s="32" t="e">
        <f>IF(装备!#REF!=0,0,"'"&amp;装备!#REF!&amp;"'")</f>
        <v>#REF!</v>
      </c>
      <c r="L91" s="32" t="e">
        <f>IF(装备!#REF!=0,0,"'"&amp;装备!#REF!&amp;"'")</f>
        <v>#REF!</v>
      </c>
      <c r="M91" s="32" t="e">
        <f>IF(装备!#REF!=0,0,"'"&amp;装备!#REF!&amp;"'")</f>
        <v>#REF!</v>
      </c>
      <c r="N91" s="32" t="e">
        <f>IF(装备!#REF!=0,0,"'"&amp;装备!#REF!&amp;"'")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IFERROR(VLOOKUP(C91,装备!$B:$E,3,FALSE),"")</f>
        <v/>
      </c>
      <c r="R91" s="36" t="str">
        <f>IFERROR(VLOOKUP(D91,装备!$B:$E,3,FALSE),"")</f>
        <v/>
      </c>
      <c r="S91" s="36" t="str">
        <f>IFERROR(VLOOKUP(E91,装备!$B:$E,3,FALSE),"")</f>
        <v/>
      </c>
      <c r="T91" s="36" t="str">
        <f>IFERROR(VLOOKUP(F91,装备!$B:$E,3,FALSE),"")</f>
        <v/>
      </c>
      <c r="U91" s="36" t="str">
        <f>IFERROR(VLOOKUP(G91,装备!$B:$E,3,FALSE),"")</f>
        <v/>
      </c>
      <c r="V91" s="36" t="str">
        <f>IFERROR(VLOOKUP(H91,装备!$B:$E,3,FALSE),"")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装备!#REF!</f>
        <v>#REF!</v>
      </c>
      <c r="B92" s="32" t="e">
        <f>"'"&amp;装备!#REF!&amp;"'"</f>
        <v>#REF!</v>
      </c>
      <c r="C92" s="32" t="e">
        <f>装备!#REF!</f>
        <v>#REF!</v>
      </c>
      <c r="D92" s="32" t="e">
        <f>装备!#REF!</f>
        <v>#REF!</v>
      </c>
      <c r="E92" s="32" t="e">
        <f>装备!#REF!</f>
        <v>#REF!</v>
      </c>
      <c r="F92" s="32" t="e">
        <f>装备!#REF!</f>
        <v>#REF!</v>
      </c>
      <c r="G92" s="32" t="e">
        <f>装备!#REF!</f>
        <v>#REF!</v>
      </c>
      <c r="H92" s="32" t="e">
        <f>装备!#REF!</f>
        <v>#REF!</v>
      </c>
      <c r="I92" s="32" t="e">
        <f>IF(装备!#REF!=0,0,"'"&amp;装备!#REF!&amp;"'")</f>
        <v>#REF!</v>
      </c>
      <c r="J92" s="32" t="e">
        <f>IF(装备!#REF!=0,0,"'"&amp;装备!#REF!&amp;"'")</f>
        <v>#REF!</v>
      </c>
      <c r="K92" s="32" t="e">
        <f>IF(装备!#REF!=0,0,"'"&amp;装备!#REF!&amp;"'")</f>
        <v>#REF!</v>
      </c>
      <c r="L92" s="32" t="e">
        <f>IF(装备!#REF!=0,0,"'"&amp;装备!#REF!&amp;"'")</f>
        <v>#REF!</v>
      </c>
      <c r="M92" s="32" t="e">
        <f>IF(装备!#REF!=0,0,"'"&amp;装备!#REF!&amp;"'")</f>
        <v>#REF!</v>
      </c>
      <c r="N92" s="32" t="e">
        <f>IF(装备!#REF!=0,0,"'"&amp;装备!#REF!&amp;"'")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IFERROR(VLOOKUP(C92,装备!$B:$E,3,FALSE),"")</f>
        <v/>
      </c>
      <c r="R92" s="36" t="str">
        <f>IFERROR(VLOOKUP(D92,装备!$B:$E,3,FALSE),"")</f>
        <v/>
      </c>
      <c r="S92" s="36" t="str">
        <f>IFERROR(VLOOKUP(E92,装备!$B:$E,3,FALSE),"")</f>
        <v/>
      </c>
      <c r="T92" s="36" t="str">
        <f>IFERROR(VLOOKUP(F92,装备!$B:$E,3,FALSE),"")</f>
        <v/>
      </c>
      <c r="U92" s="36" t="str">
        <f>IFERROR(VLOOKUP(G92,装备!$B:$E,3,FALSE),"")</f>
        <v/>
      </c>
      <c r="V92" s="36" t="str">
        <f>IFERROR(VLOOKUP(H92,装备!$B:$E,3,FALSE),"")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装备!#REF!</f>
        <v>#REF!</v>
      </c>
      <c r="B93" s="32" t="e">
        <f>"'"&amp;装备!#REF!&amp;"'"</f>
        <v>#REF!</v>
      </c>
      <c r="C93" s="32" t="e">
        <f>装备!#REF!</f>
        <v>#REF!</v>
      </c>
      <c r="D93" s="32" t="e">
        <f>装备!#REF!</f>
        <v>#REF!</v>
      </c>
      <c r="E93" s="32" t="e">
        <f>装备!#REF!</f>
        <v>#REF!</v>
      </c>
      <c r="F93" s="32" t="e">
        <f>装备!#REF!</f>
        <v>#REF!</v>
      </c>
      <c r="G93" s="32" t="e">
        <f>装备!#REF!</f>
        <v>#REF!</v>
      </c>
      <c r="H93" s="32" t="e">
        <f>装备!#REF!</f>
        <v>#REF!</v>
      </c>
      <c r="I93" s="32" t="e">
        <f>IF(装备!#REF!=0,0,"'"&amp;装备!#REF!&amp;"'")</f>
        <v>#REF!</v>
      </c>
      <c r="J93" s="32" t="e">
        <f>IF(装备!#REF!=0,0,"'"&amp;装备!#REF!&amp;"'")</f>
        <v>#REF!</v>
      </c>
      <c r="K93" s="32" t="e">
        <f>IF(装备!#REF!=0,0,"'"&amp;装备!#REF!&amp;"'")</f>
        <v>#REF!</v>
      </c>
      <c r="L93" s="32" t="e">
        <f>IF(装备!#REF!=0,0,"'"&amp;装备!#REF!&amp;"'")</f>
        <v>#REF!</v>
      </c>
      <c r="M93" s="32" t="e">
        <f>IF(装备!#REF!=0,0,"'"&amp;装备!#REF!&amp;"'")</f>
        <v>#REF!</v>
      </c>
      <c r="N93" s="32" t="e">
        <f>IF(装备!#REF!=0,0,"'"&amp;装备!#REF!&amp;"'")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IFERROR(VLOOKUP(C93,装备!$B:$E,3,FALSE),"")</f>
        <v/>
      </c>
      <c r="R93" s="36" t="str">
        <f>IFERROR(VLOOKUP(D93,装备!$B:$E,3,FALSE),"")</f>
        <v/>
      </c>
      <c r="S93" s="36" t="str">
        <f>IFERROR(VLOOKUP(E93,装备!$B:$E,3,FALSE),"")</f>
        <v/>
      </c>
      <c r="T93" s="36" t="str">
        <f>IFERROR(VLOOKUP(F93,装备!$B:$E,3,FALSE),"")</f>
        <v/>
      </c>
      <c r="U93" s="36" t="str">
        <f>IFERROR(VLOOKUP(G93,装备!$B:$E,3,FALSE),"")</f>
        <v/>
      </c>
      <c r="V93" s="36" t="str">
        <f>IFERROR(VLOOKUP(H93,装备!$B:$E,3,FALSE),"")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装备!#REF!</f>
        <v>#REF!</v>
      </c>
      <c r="B94" s="32" t="e">
        <f>"'"&amp;装备!#REF!&amp;"'"</f>
        <v>#REF!</v>
      </c>
      <c r="C94" s="32" t="e">
        <f>装备!#REF!</f>
        <v>#REF!</v>
      </c>
      <c r="D94" s="32" t="e">
        <f>装备!#REF!</f>
        <v>#REF!</v>
      </c>
      <c r="E94" s="32" t="e">
        <f>装备!#REF!</f>
        <v>#REF!</v>
      </c>
      <c r="F94" s="32" t="e">
        <f>装备!#REF!</f>
        <v>#REF!</v>
      </c>
      <c r="G94" s="32" t="e">
        <f>装备!#REF!</f>
        <v>#REF!</v>
      </c>
      <c r="H94" s="32" t="e">
        <f>装备!#REF!</f>
        <v>#REF!</v>
      </c>
      <c r="I94" s="32" t="e">
        <f>IF(装备!#REF!=0,0,"'"&amp;装备!#REF!&amp;"'")</f>
        <v>#REF!</v>
      </c>
      <c r="J94" s="32" t="e">
        <f>IF(装备!#REF!=0,0,"'"&amp;装备!#REF!&amp;"'")</f>
        <v>#REF!</v>
      </c>
      <c r="K94" s="32" t="e">
        <f>IF(装备!#REF!=0,0,"'"&amp;装备!#REF!&amp;"'")</f>
        <v>#REF!</v>
      </c>
      <c r="L94" s="32" t="e">
        <f>IF(装备!#REF!=0,0,"'"&amp;装备!#REF!&amp;"'")</f>
        <v>#REF!</v>
      </c>
      <c r="M94" s="32" t="e">
        <f>IF(装备!#REF!=0,0,"'"&amp;装备!#REF!&amp;"'")</f>
        <v>#REF!</v>
      </c>
      <c r="N94" s="32" t="e">
        <f>IF(装备!#REF!=0,0,"'"&amp;装备!#REF!&amp;"'")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IFERROR(VLOOKUP(C94,装备!$B:$E,3,FALSE),"")</f>
        <v/>
      </c>
      <c r="R94" s="36" t="str">
        <f>IFERROR(VLOOKUP(D94,装备!$B:$E,3,FALSE),"")</f>
        <v/>
      </c>
      <c r="S94" s="36" t="str">
        <f>IFERROR(VLOOKUP(E94,装备!$B:$E,3,FALSE),"")</f>
        <v/>
      </c>
      <c r="T94" s="36" t="str">
        <f>IFERROR(VLOOKUP(F94,装备!$B:$E,3,FALSE),"")</f>
        <v/>
      </c>
      <c r="U94" s="36" t="str">
        <f>IFERROR(VLOOKUP(G94,装备!$B:$E,3,FALSE),"")</f>
        <v/>
      </c>
      <c r="V94" s="36" t="str">
        <f>IFERROR(VLOOKUP(H94,装备!$B:$E,3,FALSE),"")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装备!#REF!</f>
        <v>#REF!</v>
      </c>
      <c r="B95" s="32" t="e">
        <f>"'"&amp;装备!#REF!&amp;"'"</f>
        <v>#REF!</v>
      </c>
      <c r="C95" s="32" t="e">
        <f>装备!#REF!</f>
        <v>#REF!</v>
      </c>
      <c r="D95" s="32" t="e">
        <f>装备!#REF!</f>
        <v>#REF!</v>
      </c>
      <c r="E95" s="32" t="e">
        <f>装备!#REF!</f>
        <v>#REF!</v>
      </c>
      <c r="F95" s="32" t="e">
        <f>装备!#REF!</f>
        <v>#REF!</v>
      </c>
      <c r="G95" s="32" t="e">
        <f>装备!#REF!</f>
        <v>#REF!</v>
      </c>
      <c r="H95" s="32" t="e">
        <f>装备!#REF!</f>
        <v>#REF!</v>
      </c>
      <c r="I95" s="32" t="e">
        <f>IF(装备!#REF!=0,0,"'"&amp;装备!#REF!&amp;"'")</f>
        <v>#REF!</v>
      </c>
      <c r="J95" s="32" t="e">
        <f>IF(装备!#REF!=0,0,"'"&amp;装备!#REF!&amp;"'")</f>
        <v>#REF!</v>
      </c>
      <c r="K95" s="32" t="e">
        <f>IF(装备!#REF!=0,0,"'"&amp;装备!#REF!&amp;"'")</f>
        <v>#REF!</v>
      </c>
      <c r="L95" s="32" t="e">
        <f>IF(装备!#REF!=0,0,"'"&amp;装备!#REF!&amp;"'")</f>
        <v>#REF!</v>
      </c>
      <c r="M95" s="32" t="e">
        <f>IF(装备!#REF!=0,0,"'"&amp;装备!#REF!&amp;"'")</f>
        <v>#REF!</v>
      </c>
      <c r="N95" s="32" t="e">
        <f>IF(装备!#REF!=0,0,"'"&amp;装备!#REF!&amp;"'")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IFERROR(VLOOKUP(C95,装备!$B:$E,3,FALSE),"")</f>
        <v/>
      </c>
      <c r="R95" s="36" t="str">
        <f>IFERROR(VLOOKUP(D95,装备!$B:$E,3,FALSE),"")</f>
        <v/>
      </c>
      <c r="S95" s="36" t="str">
        <f>IFERROR(VLOOKUP(E95,装备!$B:$E,3,FALSE),"")</f>
        <v/>
      </c>
      <c r="T95" s="36" t="str">
        <f>IFERROR(VLOOKUP(F95,装备!$B:$E,3,FALSE),"")</f>
        <v/>
      </c>
      <c r="U95" s="36" t="str">
        <f>IFERROR(VLOOKUP(G95,装备!$B:$E,3,FALSE),"")</f>
        <v/>
      </c>
      <c r="V95" s="36" t="str">
        <f>IFERROR(VLOOKUP(H95,装备!$B:$E,3,FALSE),"")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装备!#REF!</f>
        <v>#REF!</v>
      </c>
      <c r="B96" s="32" t="e">
        <f>"'"&amp;装备!#REF!&amp;"'"</f>
        <v>#REF!</v>
      </c>
      <c r="C96" s="32" t="e">
        <f>装备!#REF!</f>
        <v>#REF!</v>
      </c>
      <c r="D96" s="32" t="e">
        <f>装备!#REF!</f>
        <v>#REF!</v>
      </c>
      <c r="E96" s="32" t="e">
        <f>装备!#REF!</f>
        <v>#REF!</v>
      </c>
      <c r="F96" s="32" t="e">
        <f>装备!#REF!</f>
        <v>#REF!</v>
      </c>
      <c r="G96" s="32" t="e">
        <f>装备!#REF!</f>
        <v>#REF!</v>
      </c>
      <c r="H96" s="32" t="e">
        <f>装备!#REF!</f>
        <v>#REF!</v>
      </c>
      <c r="I96" s="32" t="e">
        <f>IF(装备!#REF!=0,0,"'"&amp;装备!#REF!&amp;"'")</f>
        <v>#REF!</v>
      </c>
      <c r="J96" s="32" t="e">
        <f>IF(装备!#REF!=0,0,"'"&amp;装备!#REF!&amp;"'")</f>
        <v>#REF!</v>
      </c>
      <c r="K96" s="32" t="e">
        <f>IF(装备!#REF!=0,0,"'"&amp;装备!#REF!&amp;"'")</f>
        <v>#REF!</v>
      </c>
      <c r="L96" s="32" t="e">
        <f>IF(装备!#REF!=0,0,"'"&amp;装备!#REF!&amp;"'")</f>
        <v>#REF!</v>
      </c>
      <c r="M96" s="32" t="e">
        <f>IF(装备!#REF!=0,0,"'"&amp;装备!#REF!&amp;"'")</f>
        <v>#REF!</v>
      </c>
      <c r="N96" s="32" t="e">
        <f>IF(装备!#REF!=0,0,"'"&amp;装备!#REF!&amp;"'")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IFERROR(VLOOKUP(C96,装备!$B:$E,3,FALSE),"")</f>
        <v/>
      </c>
      <c r="R96" s="36" t="str">
        <f>IFERROR(VLOOKUP(D96,装备!$B:$E,3,FALSE),"")</f>
        <v/>
      </c>
      <c r="S96" s="36" t="str">
        <f>IFERROR(VLOOKUP(E96,装备!$B:$E,3,FALSE),"")</f>
        <v/>
      </c>
      <c r="T96" s="36" t="str">
        <f>IFERROR(VLOOKUP(F96,装备!$B:$E,3,FALSE),"")</f>
        <v/>
      </c>
      <c r="U96" s="36" t="str">
        <f>IFERROR(VLOOKUP(G96,装备!$B:$E,3,FALSE),"")</f>
        <v/>
      </c>
      <c r="V96" s="36" t="str">
        <f>IFERROR(VLOOKUP(H96,装备!$B:$E,3,FALSE),"")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装备!#REF!</f>
        <v>#REF!</v>
      </c>
      <c r="B97" s="32" t="e">
        <f>"'"&amp;装备!#REF!&amp;"'"</f>
        <v>#REF!</v>
      </c>
      <c r="C97" s="32" t="e">
        <f>装备!#REF!</f>
        <v>#REF!</v>
      </c>
      <c r="D97" s="32" t="e">
        <f>装备!#REF!</f>
        <v>#REF!</v>
      </c>
      <c r="E97" s="32" t="e">
        <f>装备!#REF!</f>
        <v>#REF!</v>
      </c>
      <c r="F97" s="32" t="e">
        <f>装备!#REF!</f>
        <v>#REF!</v>
      </c>
      <c r="G97" s="32" t="e">
        <f>装备!#REF!</f>
        <v>#REF!</v>
      </c>
      <c r="H97" s="32" t="e">
        <f>装备!#REF!</f>
        <v>#REF!</v>
      </c>
      <c r="I97" s="32" t="e">
        <f>IF(装备!#REF!=0,0,"'"&amp;装备!#REF!&amp;"'")</f>
        <v>#REF!</v>
      </c>
      <c r="J97" s="32" t="e">
        <f>IF(装备!#REF!=0,0,"'"&amp;装备!#REF!&amp;"'")</f>
        <v>#REF!</v>
      </c>
      <c r="K97" s="32" t="e">
        <f>IF(装备!#REF!=0,0,"'"&amp;装备!#REF!&amp;"'")</f>
        <v>#REF!</v>
      </c>
      <c r="L97" s="32" t="e">
        <f>IF(装备!#REF!=0,0,"'"&amp;装备!#REF!&amp;"'")</f>
        <v>#REF!</v>
      </c>
      <c r="M97" s="32" t="e">
        <f>IF(装备!#REF!=0,0,"'"&amp;装备!#REF!&amp;"'")</f>
        <v>#REF!</v>
      </c>
      <c r="N97" s="32" t="e">
        <f>IF(装备!#REF!=0,0,"'"&amp;装备!#REF!&amp;"'")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IFERROR(VLOOKUP(C97,装备!$B:$E,3,FALSE),"")</f>
        <v/>
      </c>
      <c r="R97" s="36" t="str">
        <f>IFERROR(VLOOKUP(D97,装备!$B:$E,3,FALSE),"")</f>
        <v/>
      </c>
      <c r="S97" s="36" t="str">
        <f>IFERROR(VLOOKUP(E97,装备!$B:$E,3,FALSE),"")</f>
        <v/>
      </c>
      <c r="T97" s="36" t="str">
        <f>IFERROR(VLOOKUP(F97,装备!$B:$E,3,FALSE),"")</f>
        <v/>
      </c>
      <c r="U97" s="36" t="str">
        <f>IFERROR(VLOOKUP(G97,装备!$B:$E,3,FALSE),"")</f>
        <v/>
      </c>
      <c r="V97" s="36" t="str">
        <f>IFERROR(VLOOKUP(H97,装备!$B:$E,3,FALSE),"")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装备!#REF!</f>
        <v>#REF!</v>
      </c>
      <c r="B98" s="32" t="e">
        <f>"'"&amp;装备!#REF!&amp;"'"</f>
        <v>#REF!</v>
      </c>
      <c r="C98" s="32" t="e">
        <f>装备!#REF!</f>
        <v>#REF!</v>
      </c>
      <c r="D98" s="32" t="e">
        <f>装备!#REF!</f>
        <v>#REF!</v>
      </c>
      <c r="E98" s="32" t="e">
        <f>装备!#REF!</f>
        <v>#REF!</v>
      </c>
      <c r="F98" s="32" t="e">
        <f>装备!#REF!</f>
        <v>#REF!</v>
      </c>
      <c r="G98" s="32" t="e">
        <f>装备!#REF!</f>
        <v>#REF!</v>
      </c>
      <c r="H98" s="32" t="e">
        <f>装备!#REF!</f>
        <v>#REF!</v>
      </c>
      <c r="I98" s="32" t="e">
        <f>IF(装备!#REF!=0,0,"'"&amp;装备!#REF!&amp;"'")</f>
        <v>#REF!</v>
      </c>
      <c r="J98" s="32" t="e">
        <f>IF(装备!#REF!=0,0,"'"&amp;装备!#REF!&amp;"'")</f>
        <v>#REF!</v>
      </c>
      <c r="K98" s="32" t="e">
        <f>IF(装备!#REF!=0,0,"'"&amp;装备!#REF!&amp;"'")</f>
        <v>#REF!</v>
      </c>
      <c r="L98" s="32" t="e">
        <f>IF(装备!#REF!=0,0,"'"&amp;装备!#REF!&amp;"'")</f>
        <v>#REF!</v>
      </c>
      <c r="M98" s="32" t="e">
        <f>IF(装备!#REF!=0,0,"'"&amp;装备!#REF!&amp;"'")</f>
        <v>#REF!</v>
      </c>
      <c r="N98" s="32" t="e">
        <f>IF(装备!#REF!=0,0,"'"&amp;装备!#REF!&amp;"'")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IFERROR(VLOOKUP(C98,装备!$B:$E,3,FALSE),"")</f>
        <v/>
      </c>
      <c r="R98" s="36" t="str">
        <f>IFERROR(VLOOKUP(D98,装备!$B:$E,3,FALSE),"")</f>
        <v/>
      </c>
      <c r="S98" s="36" t="str">
        <f>IFERROR(VLOOKUP(E98,装备!$B:$E,3,FALSE),"")</f>
        <v/>
      </c>
      <c r="T98" s="36" t="str">
        <f>IFERROR(VLOOKUP(F98,装备!$B:$E,3,FALSE),"")</f>
        <v/>
      </c>
      <c r="U98" s="36" t="str">
        <f>IFERROR(VLOOKUP(G98,装备!$B:$E,3,FALSE),"")</f>
        <v/>
      </c>
      <c r="V98" s="36" t="str">
        <f>IFERROR(VLOOKUP(H98,装备!$B:$E,3,FALSE),"")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装备!#REF!</f>
        <v>#REF!</v>
      </c>
      <c r="B99" s="32" t="e">
        <f>"'"&amp;装备!#REF!&amp;"'"</f>
        <v>#REF!</v>
      </c>
      <c r="C99" s="32" t="e">
        <f>装备!#REF!</f>
        <v>#REF!</v>
      </c>
      <c r="D99" s="32" t="e">
        <f>装备!#REF!</f>
        <v>#REF!</v>
      </c>
      <c r="E99" s="32" t="e">
        <f>装备!#REF!</f>
        <v>#REF!</v>
      </c>
      <c r="F99" s="32" t="e">
        <f>装备!#REF!</f>
        <v>#REF!</v>
      </c>
      <c r="G99" s="32" t="e">
        <f>装备!#REF!</f>
        <v>#REF!</v>
      </c>
      <c r="H99" s="32" t="e">
        <f>装备!#REF!</f>
        <v>#REF!</v>
      </c>
      <c r="I99" s="32" t="e">
        <f>IF(装备!#REF!=0,0,"'"&amp;装备!#REF!&amp;"'")</f>
        <v>#REF!</v>
      </c>
      <c r="J99" s="32" t="e">
        <f>IF(装备!#REF!=0,0,"'"&amp;装备!#REF!&amp;"'")</f>
        <v>#REF!</v>
      </c>
      <c r="K99" s="32" t="e">
        <f>IF(装备!#REF!=0,0,"'"&amp;装备!#REF!&amp;"'")</f>
        <v>#REF!</v>
      </c>
      <c r="L99" s="32" t="e">
        <f>IF(装备!#REF!=0,0,"'"&amp;装备!#REF!&amp;"'")</f>
        <v>#REF!</v>
      </c>
      <c r="M99" s="32" t="e">
        <f>IF(装备!#REF!=0,0,"'"&amp;装备!#REF!&amp;"'")</f>
        <v>#REF!</v>
      </c>
      <c r="N99" s="32" t="e">
        <f>IF(装备!#REF!=0,0,"'"&amp;装备!#REF!&amp;"'")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IFERROR(VLOOKUP(C99,装备!$B:$E,3,FALSE),"")</f>
        <v/>
      </c>
      <c r="R99" s="36" t="str">
        <f>IFERROR(VLOOKUP(D99,装备!$B:$E,3,FALSE),"")</f>
        <v/>
      </c>
      <c r="S99" s="36" t="str">
        <f>IFERROR(VLOOKUP(E99,装备!$B:$E,3,FALSE),"")</f>
        <v/>
      </c>
      <c r="T99" s="36" t="str">
        <f>IFERROR(VLOOKUP(F99,装备!$B:$E,3,FALSE),"")</f>
        <v/>
      </c>
      <c r="U99" s="36" t="str">
        <f>IFERROR(VLOOKUP(G99,装备!$B:$E,3,FALSE),"")</f>
        <v/>
      </c>
      <c r="V99" s="36" t="str">
        <f>IFERROR(VLOOKUP(H99,装备!$B:$E,3,FALSE),"")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装备!#REF!</f>
        <v>#REF!</v>
      </c>
      <c r="B100" s="32" t="e">
        <f>"'"&amp;装备!#REF!&amp;"'"</f>
        <v>#REF!</v>
      </c>
      <c r="C100" s="32" t="e">
        <f>装备!#REF!</f>
        <v>#REF!</v>
      </c>
      <c r="D100" s="32" t="e">
        <f>装备!#REF!</f>
        <v>#REF!</v>
      </c>
      <c r="E100" s="32" t="e">
        <f>装备!#REF!</f>
        <v>#REF!</v>
      </c>
      <c r="F100" s="32" t="e">
        <f>装备!#REF!</f>
        <v>#REF!</v>
      </c>
      <c r="G100" s="32" t="e">
        <f>装备!#REF!</f>
        <v>#REF!</v>
      </c>
      <c r="H100" s="32" t="e">
        <f>装备!#REF!</f>
        <v>#REF!</v>
      </c>
      <c r="I100" s="32" t="e">
        <f>IF(装备!#REF!=0,0,"'"&amp;装备!#REF!&amp;"'")</f>
        <v>#REF!</v>
      </c>
      <c r="J100" s="32" t="e">
        <f>IF(装备!#REF!=0,0,"'"&amp;装备!#REF!&amp;"'")</f>
        <v>#REF!</v>
      </c>
      <c r="K100" s="32" t="e">
        <f>IF(装备!#REF!=0,0,"'"&amp;装备!#REF!&amp;"'")</f>
        <v>#REF!</v>
      </c>
      <c r="L100" s="32" t="e">
        <f>IF(装备!#REF!=0,0,"'"&amp;装备!#REF!&amp;"'")</f>
        <v>#REF!</v>
      </c>
      <c r="M100" s="32" t="e">
        <f>IF(装备!#REF!=0,0,"'"&amp;装备!#REF!&amp;"'")</f>
        <v>#REF!</v>
      </c>
      <c r="N100" s="32" t="e">
        <f>IF(装备!#REF!=0,0,"'"&amp;装备!#REF!&amp;"'")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IFERROR(VLOOKUP(C100,装备!$B:$E,3,FALSE),"")</f>
        <v/>
      </c>
      <c r="R100" s="36" t="str">
        <f>IFERROR(VLOOKUP(D100,装备!$B:$E,3,FALSE),"")</f>
        <v/>
      </c>
      <c r="S100" s="36" t="str">
        <f>IFERROR(VLOOKUP(E100,装备!$B:$E,3,FALSE),"")</f>
        <v/>
      </c>
      <c r="T100" s="36" t="str">
        <f>IFERROR(VLOOKUP(F100,装备!$B:$E,3,FALSE),"")</f>
        <v/>
      </c>
      <c r="U100" s="36" t="str">
        <f>IFERROR(VLOOKUP(G100,装备!$B:$E,3,FALSE),"")</f>
        <v/>
      </c>
      <c r="V100" s="36" t="str">
        <f>IFERROR(VLOOKUP(H100,装备!$B:$E,3,FALSE),"")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装备!#REF!</f>
        <v>#REF!</v>
      </c>
      <c r="B101" s="32" t="e">
        <f>"'"&amp;装备!#REF!&amp;"'"</f>
        <v>#REF!</v>
      </c>
      <c r="C101" s="32" t="e">
        <f>装备!#REF!</f>
        <v>#REF!</v>
      </c>
      <c r="D101" s="32" t="e">
        <f>装备!#REF!</f>
        <v>#REF!</v>
      </c>
      <c r="E101" s="32" t="e">
        <f>装备!#REF!</f>
        <v>#REF!</v>
      </c>
      <c r="F101" s="32" t="e">
        <f>装备!#REF!</f>
        <v>#REF!</v>
      </c>
      <c r="G101" s="32" t="e">
        <f>装备!#REF!</f>
        <v>#REF!</v>
      </c>
      <c r="H101" s="32" t="e">
        <f>装备!#REF!</f>
        <v>#REF!</v>
      </c>
      <c r="I101" s="32" t="e">
        <f>IF(装备!#REF!=0,0,"'"&amp;装备!#REF!&amp;"'")</f>
        <v>#REF!</v>
      </c>
      <c r="J101" s="32" t="e">
        <f>IF(装备!#REF!=0,0,"'"&amp;装备!#REF!&amp;"'")</f>
        <v>#REF!</v>
      </c>
      <c r="K101" s="32" t="e">
        <f>IF(装备!#REF!=0,0,"'"&amp;装备!#REF!&amp;"'")</f>
        <v>#REF!</v>
      </c>
      <c r="L101" s="32" t="e">
        <f>IF(装备!#REF!=0,0,"'"&amp;装备!#REF!&amp;"'")</f>
        <v>#REF!</v>
      </c>
      <c r="M101" s="32" t="e">
        <f>IF(装备!#REF!=0,0,"'"&amp;装备!#REF!&amp;"'")</f>
        <v>#REF!</v>
      </c>
      <c r="N101" s="32" t="e">
        <f>IF(装备!#REF!=0,0,"'"&amp;装备!#REF!&amp;"'")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IFERROR(VLOOKUP(C101,装备!$B:$E,3,FALSE),"")</f>
        <v/>
      </c>
      <c r="R101" s="36" t="str">
        <f>IFERROR(VLOOKUP(D101,装备!$B:$E,3,FALSE),"")</f>
        <v/>
      </c>
      <c r="S101" s="36" t="str">
        <f>IFERROR(VLOOKUP(E101,装备!$B:$E,3,FALSE),"")</f>
        <v/>
      </c>
      <c r="T101" s="36" t="str">
        <f>IFERROR(VLOOKUP(F101,装备!$B:$E,3,FALSE),"")</f>
        <v/>
      </c>
      <c r="U101" s="36" t="str">
        <f>IFERROR(VLOOKUP(G101,装备!$B:$E,3,FALSE),"")</f>
        <v/>
      </c>
      <c r="V101" s="36" t="str">
        <f>IFERROR(VLOOKUP(H101,装备!$B:$E,3,FALSE),"")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装备!#REF!</f>
        <v>#REF!</v>
      </c>
      <c r="B102" s="32" t="e">
        <f>"'"&amp;装备!#REF!&amp;"'"</f>
        <v>#REF!</v>
      </c>
      <c r="C102" s="32" t="e">
        <f>装备!#REF!</f>
        <v>#REF!</v>
      </c>
      <c r="D102" s="32" t="e">
        <f>装备!#REF!</f>
        <v>#REF!</v>
      </c>
      <c r="E102" s="32" t="e">
        <f>装备!#REF!</f>
        <v>#REF!</v>
      </c>
      <c r="F102" s="32" t="e">
        <f>装备!#REF!</f>
        <v>#REF!</v>
      </c>
      <c r="G102" s="32" t="e">
        <f>装备!#REF!</f>
        <v>#REF!</v>
      </c>
      <c r="H102" s="32" t="e">
        <f>装备!#REF!</f>
        <v>#REF!</v>
      </c>
      <c r="I102" s="32" t="e">
        <f>IF(装备!#REF!=0,0,"'"&amp;装备!#REF!&amp;"'")</f>
        <v>#REF!</v>
      </c>
      <c r="J102" s="32" t="e">
        <f>IF(装备!#REF!=0,0,"'"&amp;装备!#REF!&amp;"'")</f>
        <v>#REF!</v>
      </c>
      <c r="K102" s="32" t="e">
        <f>IF(装备!#REF!=0,0,"'"&amp;装备!#REF!&amp;"'")</f>
        <v>#REF!</v>
      </c>
      <c r="L102" s="32" t="e">
        <f>IF(装备!#REF!=0,0,"'"&amp;装备!#REF!&amp;"'")</f>
        <v>#REF!</v>
      </c>
      <c r="M102" s="32" t="e">
        <f>IF(装备!#REF!=0,0,"'"&amp;装备!#REF!&amp;"'")</f>
        <v>#REF!</v>
      </c>
      <c r="N102" s="32" t="e">
        <f>IF(装备!#REF!=0,0,"'"&amp;装备!#REF!&amp;"'")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IFERROR(VLOOKUP(C102,装备!$B:$E,3,FALSE),"")</f>
        <v/>
      </c>
      <c r="R102" s="36" t="str">
        <f>IFERROR(VLOOKUP(D102,装备!$B:$E,3,FALSE),"")</f>
        <v/>
      </c>
      <c r="S102" s="36" t="str">
        <f>IFERROR(VLOOKUP(E102,装备!$B:$E,3,FALSE),"")</f>
        <v/>
      </c>
      <c r="T102" s="36" t="str">
        <f>IFERROR(VLOOKUP(F102,装备!$B:$E,3,FALSE),"")</f>
        <v/>
      </c>
      <c r="U102" s="36" t="str">
        <f>IFERROR(VLOOKUP(G102,装备!$B:$E,3,FALSE),"")</f>
        <v/>
      </c>
      <c r="V102" s="36" t="str">
        <f>IFERROR(VLOOKUP(H102,装备!$B:$E,3,FALSE),"")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装备!#REF!</f>
        <v>#REF!</v>
      </c>
      <c r="B103" s="32" t="e">
        <f>"'"&amp;装备!#REF!&amp;"'"</f>
        <v>#REF!</v>
      </c>
      <c r="C103" s="32" t="e">
        <f>装备!#REF!</f>
        <v>#REF!</v>
      </c>
      <c r="D103" s="32" t="e">
        <f>装备!#REF!</f>
        <v>#REF!</v>
      </c>
      <c r="E103" s="32" t="e">
        <f>装备!#REF!</f>
        <v>#REF!</v>
      </c>
      <c r="F103" s="32" t="e">
        <f>装备!#REF!</f>
        <v>#REF!</v>
      </c>
      <c r="G103" s="32" t="e">
        <f>装备!#REF!</f>
        <v>#REF!</v>
      </c>
      <c r="H103" s="32" t="e">
        <f>装备!#REF!</f>
        <v>#REF!</v>
      </c>
      <c r="I103" s="32" t="e">
        <f>IF(装备!#REF!=0,0,"'"&amp;装备!#REF!&amp;"'")</f>
        <v>#REF!</v>
      </c>
      <c r="J103" s="32" t="e">
        <f>IF(装备!#REF!=0,0,"'"&amp;装备!#REF!&amp;"'")</f>
        <v>#REF!</v>
      </c>
      <c r="K103" s="32" t="e">
        <f>IF(装备!#REF!=0,0,"'"&amp;装备!#REF!&amp;"'")</f>
        <v>#REF!</v>
      </c>
      <c r="L103" s="32" t="e">
        <f>IF(装备!#REF!=0,0,"'"&amp;装备!#REF!&amp;"'")</f>
        <v>#REF!</v>
      </c>
      <c r="M103" s="32" t="e">
        <f>IF(装备!#REF!=0,0,"'"&amp;装备!#REF!&amp;"'")</f>
        <v>#REF!</v>
      </c>
      <c r="N103" s="32" t="e">
        <f>IF(装备!#REF!=0,0,"'"&amp;装备!#REF!&amp;"'")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IFERROR(VLOOKUP(C103,装备!$B:$E,3,FALSE),"")</f>
        <v/>
      </c>
      <c r="R103" s="36" t="str">
        <f>IFERROR(VLOOKUP(D103,装备!$B:$E,3,FALSE),"")</f>
        <v/>
      </c>
      <c r="S103" s="36" t="str">
        <f>IFERROR(VLOOKUP(E103,装备!$B:$E,3,FALSE),"")</f>
        <v/>
      </c>
      <c r="T103" s="36" t="str">
        <f>IFERROR(VLOOKUP(F103,装备!$B:$E,3,FALSE),"")</f>
        <v/>
      </c>
      <c r="U103" s="36" t="str">
        <f>IFERROR(VLOOKUP(G103,装备!$B:$E,3,FALSE),"")</f>
        <v/>
      </c>
      <c r="V103" s="36" t="str">
        <f>IFERROR(VLOOKUP(H103,装备!$B:$E,3,FALSE),"")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装备!#REF!</f>
        <v>#REF!</v>
      </c>
      <c r="B104" s="32" t="e">
        <f>"'"&amp;装备!#REF!&amp;"'"</f>
        <v>#REF!</v>
      </c>
      <c r="C104" s="32" t="e">
        <f>装备!#REF!</f>
        <v>#REF!</v>
      </c>
      <c r="D104" s="32" t="e">
        <f>装备!#REF!</f>
        <v>#REF!</v>
      </c>
      <c r="E104" s="32" t="e">
        <f>装备!#REF!</f>
        <v>#REF!</v>
      </c>
      <c r="F104" s="32" t="e">
        <f>装备!#REF!</f>
        <v>#REF!</v>
      </c>
      <c r="G104" s="32" t="e">
        <f>装备!#REF!</f>
        <v>#REF!</v>
      </c>
      <c r="H104" s="32" t="e">
        <f>装备!#REF!</f>
        <v>#REF!</v>
      </c>
      <c r="I104" s="32" t="e">
        <f>IF(装备!#REF!=0,0,"'"&amp;装备!#REF!&amp;"'")</f>
        <v>#REF!</v>
      </c>
      <c r="J104" s="32" t="e">
        <f>IF(装备!#REF!=0,0,"'"&amp;装备!#REF!&amp;"'")</f>
        <v>#REF!</v>
      </c>
      <c r="K104" s="32" t="e">
        <f>IF(装备!#REF!=0,0,"'"&amp;装备!#REF!&amp;"'")</f>
        <v>#REF!</v>
      </c>
      <c r="L104" s="32" t="e">
        <f>IF(装备!#REF!=0,0,"'"&amp;装备!#REF!&amp;"'")</f>
        <v>#REF!</v>
      </c>
      <c r="M104" s="32" t="e">
        <f>IF(装备!#REF!=0,0,"'"&amp;装备!#REF!&amp;"'")</f>
        <v>#REF!</v>
      </c>
      <c r="N104" s="32" t="e">
        <f>IF(装备!#REF!=0,0,"'"&amp;装备!#REF!&amp;"'")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IFERROR(VLOOKUP(C104,装备!$B:$E,3,FALSE),"")</f>
        <v/>
      </c>
      <c r="R104" s="36" t="str">
        <f>IFERROR(VLOOKUP(D104,装备!$B:$E,3,FALSE),"")</f>
        <v/>
      </c>
      <c r="S104" s="36" t="str">
        <f>IFERROR(VLOOKUP(E104,装备!$B:$E,3,FALSE),"")</f>
        <v/>
      </c>
      <c r="T104" s="36" t="str">
        <f>IFERROR(VLOOKUP(F104,装备!$B:$E,3,FALSE),"")</f>
        <v/>
      </c>
      <c r="U104" s="36" t="str">
        <f>IFERROR(VLOOKUP(G104,装备!$B:$E,3,FALSE),"")</f>
        <v/>
      </c>
      <c r="V104" s="36" t="str">
        <f>IFERROR(VLOOKUP(H104,装备!$B:$E,3,FALSE),"")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装备!#REF!</f>
        <v>#REF!</v>
      </c>
      <c r="B105" s="32" t="e">
        <f>"'"&amp;装备!#REF!&amp;"'"</f>
        <v>#REF!</v>
      </c>
      <c r="C105" s="32" t="e">
        <f>装备!#REF!</f>
        <v>#REF!</v>
      </c>
      <c r="D105" s="32" t="e">
        <f>装备!#REF!</f>
        <v>#REF!</v>
      </c>
      <c r="E105" s="32" t="e">
        <f>装备!#REF!</f>
        <v>#REF!</v>
      </c>
      <c r="F105" s="32" t="e">
        <f>装备!#REF!</f>
        <v>#REF!</v>
      </c>
      <c r="G105" s="32" t="e">
        <f>装备!#REF!</f>
        <v>#REF!</v>
      </c>
      <c r="H105" s="32" t="e">
        <f>装备!#REF!</f>
        <v>#REF!</v>
      </c>
      <c r="I105" s="32" t="e">
        <f>IF(装备!#REF!=0,0,"'"&amp;装备!#REF!&amp;"'")</f>
        <v>#REF!</v>
      </c>
      <c r="J105" s="32" t="e">
        <f>IF(装备!#REF!=0,0,"'"&amp;装备!#REF!&amp;"'")</f>
        <v>#REF!</v>
      </c>
      <c r="K105" s="32" t="e">
        <f>IF(装备!#REF!=0,0,"'"&amp;装备!#REF!&amp;"'")</f>
        <v>#REF!</v>
      </c>
      <c r="L105" s="32" t="e">
        <f>IF(装备!#REF!=0,0,"'"&amp;装备!#REF!&amp;"'")</f>
        <v>#REF!</v>
      </c>
      <c r="M105" s="32" t="e">
        <f>IF(装备!#REF!=0,0,"'"&amp;装备!#REF!&amp;"'")</f>
        <v>#REF!</v>
      </c>
      <c r="N105" s="32" t="e">
        <f>IF(装备!#REF!=0,0,"'"&amp;装备!#REF!&amp;"'")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IFERROR(VLOOKUP(C105,装备!$B:$E,3,FALSE),"")</f>
        <v/>
      </c>
      <c r="R105" s="36" t="str">
        <f>IFERROR(VLOOKUP(D105,装备!$B:$E,3,FALSE),"")</f>
        <v/>
      </c>
      <c r="S105" s="36" t="str">
        <f>IFERROR(VLOOKUP(E105,装备!$B:$E,3,FALSE),"")</f>
        <v/>
      </c>
      <c r="T105" s="36" t="str">
        <f>IFERROR(VLOOKUP(F105,装备!$B:$E,3,FALSE),"")</f>
        <v/>
      </c>
      <c r="U105" s="36" t="str">
        <f>IFERROR(VLOOKUP(G105,装备!$B:$E,3,FALSE),"")</f>
        <v/>
      </c>
      <c r="V105" s="36" t="str">
        <f>IFERROR(VLOOKUP(H105,装备!$B:$E,3,FALSE),"")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装备!#REF!</f>
        <v>#REF!</v>
      </c>
      <c r="B106" s="32" t="e">
        <f>"'"&amp;装备!#REF!&amp;"'"</f>
        <v>#REF!</v>
      </c>
      <c r="C106" s="32" t="e">
        <f>装备!#REF!</f>
        <v>#REF!</v>
      </c>
      <c r="D106" s="32" t="e">
        <f>装备!#REF!</f>
        <v>#REF!</v>
      </c>
      <c r="E106" s="32" t="e">
        <f>装备!#REF!</f>
        <v>#REF!</v>
      </c>
      <c r="F106" s="32" t="e">
        <f>装备!#REF!</f>
        <v>#REF!</v>
      </c>
      <c r="G106" s="32" t="e">
        <f>装备!#REF!</f>
        <v>#REF!</v>
      </c>
      <c r="H106" s="32" t="e">
        <f>装备!#REF!</f>
        <v>#REF!</v>
      </c>
      <c r="I106" s="32" t="e">
        <f>IF(装备!#REF!=0,0,"'"&amp;装备!#REF!&amp;"'")</f>
        <v>#REF!</v>
      </c>
      <c r="J106" s="32" t="e">
        <f>IF(装备!#REF!=0,0,"'"&amp;装备!#REF!&amp;"'")</f>
        <v>#REF!</v>
      </c>
      <c r="K106" s="32" t="e">
        <f>IF(装备!#REF!=0,0,"'"&amp;装备!#REF!&amp;"'")</f>
        <v>#REF!</v>
      </c>
      <c r="L106" s="32" t="e">
        <f>IF(装备!#REF!=0,0,"'"&amp;装备!#REF!&amp;"'")</f>
        <v>#REF!</v>
      </c>
      <c r="M106" s="32" t="e">
        <f>IF(装备!#REF!=0,0,"'"&amp;装备!#REF!&amp;"'")</f>
        <v>#REF!</v>
      </c>
      <c r="N106" s="32" t="e">
        <f>IF(装备!#REF!=0,0,"'"&amp;装备!#REF!&amp;"'")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IFERROR(VLOOKUP(C106,装备!$B:$E,3,FALSE),"")</f>
        <v/>
      </c>
      <c r="R106" s="36" t="str">
        <f>IFERROR(VLOOKUP(D106,装备!$B:$E,3,FALSE),"")</f>
        <v/>
      </c>
      <c r="S106" s="36" t="str">
        <f>IFERROR(VLOOKUP(E106,装备!$B:$E,3,FALSE),"")</f>
        <v/>
      </c>
      <c r="T106" s="36" t="str">
        <f>IFERROR(VLOOKUP(F106,装备!$B:$E,3,FALSE),"")</f>
        <v/>
      </c>
      <c r="U106" s="36" t="str">
        <f>IFERROR(VLOOKUP(G106,装备!$B:$E,3,FALSE),"")</f>
        <v/>
      </c>
      <c r="V106" s="36" t="str">
        <f>IFERROR(VLOOKUP(H106,装备!$B:$E,3,FALSE),"")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装备!#REF!</f>
        <v>#REF!</v>
      </c>
      <c r="B107" s="32" t="e">
        <f>"'"&amp;装备!#REF!&amp;"'"</f>
        <v>#REF!</v>
      </c>
      <c r="C107" s="32" t="e">
        <f>装备!#REF!</f>
        <v>#REF!</v>
      </c>
      <c r="D107" s="32" t="e">
        <f>装备!#REF!</f>
        <v>#REF!</v>
      </c>
      <c r="E107" s="32" t="e">
        <f>装备!#REF!</f>
        <v>#REF!</v>
      </c>
      <c r="F107" s="32" t="e">
        <f>装备!#REF!</f>
        <v>#REF!</v>
      </c>
      <c r="G107" s="32" t="e">
        <f>装备!#REF!</f>
        <v>#REF!</v>
      </c>
      <c r="H107" s="32" t="e">
        <f>装备!#REF!</f>
        <v>#REF!</v>
      </c>
      <c r="I107" s="32" t="e">
        <f>IF(装备!#REF!=0,0,"'"&amp;装备!#REF!&amp;"'")</f>
        <v>#REF!</v>
      </c>
      <c r="J107" s="32" t="e">
        <f>IF(装备!#REF!=0,0,"'"&amp;装备!#REF!&amp;"'")</f>
        <v>#REF!</v>
      </c>
      <c r="K107" s="32" t="e">
        <f>IF(装备!#REF!=0,0,"'"&amp;装备!#REF!&amp;"'")</f>
        <v>#REF!</v>
      </c>
      <c r="L107" s="32" t="e">
        <f>IF(装备!#REF!=0,0,"'"&amp;装备!#REF!&amp;"'")</f>
        <v>#REF!</v>
      </c>
      <c r="M107" s="32" t="e">
        <f>IF(装备!#REF!=0,0,"'"&amp;装备!#REF!&amp;"'")</f>
        <v>#REF!</v>
      </c>
      <c r="N107" s="32" t="e">
        <f>IF(装备!#REF!=0,0,"'"&amp;装备!#REF!&amp;"'")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IFERROR(VLOOKUP(C107,装备!$B:$E,3,FALSE),"")</f>
        <v/>
      </c>
      <c r="R107" s="36" t="str">
        <f>IFERROR(VLOOKUP(D107,装备!$B:$E,3,FALSE),"")</f>
        <v/>
      </c>
      <c r="S107" s="36" t="str">
        <f>IFERROR(VLOOKUP(E107,装备!$B:$E,3,FALSE),"")</f>
        <v/>
      </c>
      <c r="T107" s="36" t="str">
        <f>IFERROR(VLOOKUP(F107,装备!$B:$E,3,FALSE),"")</f>
        <v/>
      </c>
      <c r="U107" s="36" t="str">
        <f>IFERROR(VLOOKUP(G107,装备!$B:$E,3,FALSE),"")</f>
        <v/>
      </c>
      <c r="V107" s="36" t="str">
        <f>IFERROR(VLOOKUP(H107,装备!$B:$E,3,FALSE),"")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装备!#REF!</f>
        <v>#REF!</v>
      </c>
      <c r="B108" s="32" t="e">
        <f>"'"&amp;装备!#REF!&amp;"'"</f>
        <v>#REF!</v>
      </c>
      <c r="C108" s="32" t="e">
        <f>装备!#REF!</f>
        <v>#REF!</v>
      </c>
      <c r="D108" s="32" t="e">
        <f>装备!#REF!</f>
        <v>#REF!</v>
      </c>
      <c r="E108" s="32" t="e">
        <f>装备!#REF!</f>
        <v>#REF!</v>
      </c>
      <c r="F108" s="32" t="e">
        <f>装备!#REF!</f>
        <v>#REF!</v>
      </c>
      <c r="G108" s="32" t="e">
        <f>装备!#REF!</f>
        <v>#REF!</v>
      </c>
      <c r="H108" s="32" t="e">
        <f>装备!#REF!</f>
        <v>#REF!</v>
      </c>
      <c r="I108" s="32" t="e">
        <f>IF(装备!#REF!=0,0,"'"&amp;装备!#REF!&amp;"'")</f>
        <v>#REF!</v>
      </c>
      <c r="J108" s="32" t="e">
        <f>IF(装备!#REF!=0,0,"'"&amp;装备!#REF!&amp;"'")</f>
        <v>#REF!</v>
      </c>
      <c r="K108" s="32" t="e">
        <f>IF(装备!#REF!=0,0,"'"&amp;装备!#REF!&amp;"'")</f>
        <v>#REF!</v>
      </c>
      <c r="L108" s="32" t="e">
        <f>IF(装备!#REF!=0,0,"'"&amp;装备!#REF!&amp;"'")</f>
        <v>#REF!</v>
      </c>
      <c r="M108" s="32" t="e">
        <f>IF(装备!#REF!=0,0,"'"&amp;装备!#REF!&amp;"'")</f>
        <v>#REF!</v>
      </c>
      <c r="N108" s="32" t="e">
        <f>IF(装备!#REF!=0,0,"'"&amp;装备!#REF!&amp;"'")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IFERROR(VLOOKUP(C108,装备!$B:$E,3,FALSE),"")</f>
        <v/>
      </c>
      <c r="R108" s="36" t="str">
        <f>IFERROR(VLOOKUP(D108,装备!$B:$E,3,FALSE),"")</f>
        <v/>
      </c>
      <c r="S108" s="36" t="str">
        <f>IFERROR(VLOOKUP(E108,装备!$B:$E,3,FALSE),"")</f>
        <v/>
      </c>
      <c r="T108" s="36" t="str">
        <f>IFERROR(VLOOKUP(F108,装备!$B:$E,3,FALSE),"")</f>
        <v/>
      </c>
      <c r="U108" s="36" t="str">
        <f>IFERROR(VLOOKUP(G108,装备!$B:$E,3,FALSE),"")</f>
        <v/>
      </c>
      <c r="V108" s="36" t="str">
        <f>IFERROR(VLOOKUP(H108,装备!$B:$E,3,FALSE),"")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装备!#REF!</f>
        <v>#REF!</v>
      </c>
      <c r="B109" s="32" t="e">
        <f>"'"&amp;装备!#REF!&amp;"'"</f>
        <v>#REF!</v>
      </c>
      <c r="C109" s="32" t="e">
        <f>装备!#REF!</f>
        <v>#REF!</v>
      </c>
      <c r="D109" s="32" t="e">
        <f>装备!#REF!</f>
        <v>#REF!</v>
      </c>
      <c r="E109" s="32" t="e">
        <f>装备!#REF!</f>
        <v>#REF!</v>
      </c>
      <c r="F109" s="32" t="e">
        <f>装备!#REF!</f>
        <v>#REF!</v>
      </c>
      <c r="G109" s="32" t="e">
        <f>装备!#REF!</f>
        <v>#REF!</v>
      </c>
      <c r="H109" s="32" t="e">
        <f>装备!#REF!</f>
        <v>#REF!</v>
      </c>
      <c r="I109" s="32" t="e">
        <f>IF(装备!#REF!=0,0,"'"&amp;装备!#REF!&amp;"'")</f>
        <v>#REF!</v>
      </c>
      <c r="J109" s="32" t="e">
        <f>IF(装备!#REF!=0,0,"'"&amp;装备!#REF!&amp;"'")</f>
        <v>#REF!</v>
      </c>
      <c r="K109" s="32" t="e">
        <f>IF(装备!#REF!=0,0,"'"&amp;装备!#REF!&amp;"'")</f>
        <v>#REF!</v>
      </c>
      <c r="L109" s="32" t="e">
        <f>IF(装备!#REF!=0,0,"'"&amp;装备!#REF!&amp;"'")</f>
        <v>#REF!</v>
      </c>
      <c r="M109" s="32" t="e">
        <f>IF(装备!#REF!=0,0,"'"&amp;装备!#REF!&amp;"'")</f>
        <v>#REF!</v>
      </c>
      <c r="N109" s="32" t="e">
        <f>IF(装备!#REF!=0,0,"'"&amp;装备!#REF!&amp;"'")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IFERROR(VLOOKUP(C109,装备!$B:$E,3,FALSE),"")</f>
        <v/>
      </c>
      <c r="R109" s="36" t="str">
        <f>IFERROR(VLOOKUP(D109,装备!$B:$E,3,FALSE),"")</f>
        <v/>
      </c>
      <c r="S109" s="36" t="str">
        <f>IFERROR(VLOOKUP(E109,装备!$B:$E,3,FALSE),"")</f>
        <v/>
      </c>
      <c r="T109" s="36" t="str">
        <f>IFERROR(VLOOKUP(F109,装备!$B:$E,3,FALSE),"")</f>
        <v/>
      </c>
      <c r="U109" s="36" t="str">
        <f>IFERROR(VLOOKUP(G109,装备!$B:$E,3,FALSE),"")</f>
        <v/>
      </c>
      <c r="V109" s="36" t="str">
        <f>IFERROR(VLOOKUP(H109,装备!$B:$E,3,FALSE),"")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装备!#REF!</f>
        <v>#REF!</v>
      </c>
      <c r="B110" s="32" t="e">
        <f>"'"&amp;装备!#REF!&amp;"'"</f>
        <v>#REF!</v>
      </c>
      <c r="C110" s="32" t="e">
        <f>装备!#REF!</f>
        <v>#REF!</v>
      </c>
      <c r="D110" s="32" t="e">
        <f>装备!#REF!</f>
        <v>#REF!</v>
      </c>
      <c r="E110" s="32" t="e">
        <f>装备!#REF!</f>
        <v>#REF!</v>
      </c>
      <c r="F110" s="32" t="e">
        <f>装备!#REF!</f>
        <v>#REF!</v>
      </c>
      <c r="G110" s="32" t="e">
        <f>装备!#REF!</f>
        <v>#REF!</v>
      </c>
      <c r="H110" s="32" t="e">
        <f>装备!#REF!</f>
        <v>#REF!</v>
      </c>
      <c r="I110" s="32" t="e">
        <f>IF(装备!#REF!=0,0,"'"&amp;装备!#REF!&amp;"'")</f>
        <v>#REF!</v>
      </c>
      <c r="J110" s="32" t="e">
        <f>IF(装备!#REF!=0,0,"'"&amp;装备!#REF!&amp;"'")</f>
        <v>#REF!</v>
      </c>
      <c r="K110" s="32" t="e">
        <f>IF(装备!#REF!=0,0,"'"&amp;装备!#REF!&amp;"'")</f>
        <v>#REF!</v>
      </c>
      <c r="L110" s="32" t="e">
        <f>IF(装备!#REF!=0,0,"'"&amp;装备!#REF!&amp;"'")</f>
        <v>#REF!</v>
      </c>
      <c r="M110" s="32" t="e">
        <f>IF(装备!#REF!=0,0,"'"&amp;装备!#REF!&amp;"'")</f>
        <v>#REF!</v>
      </c>
      <c r="N110" s="32" t="e">
        <f>IF(装备!#REF!=0,0,"'"&amp;装备!#REF!&amp;"'")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IFERROR(VLOOKUP(C110,装备!$B:$E,3,FALSE),"")</f>
        <v/>
      </c>
      <c r="R110" s="36" t="str">
        <f>IFERROR(VLOOKUP(D110,装备!$B:$E,3,FALSE),"")</f>
        <v/>
      </c>
      <c r="S110" s="36" t="str">
        <f>IFERROR(VLOOKUP(E110,装备!$B:$E,3,FALSE),"")</f>
        <v/>
      </c>
      <c r="T110" s="36" t="str">
        <f>IFERROR(VLOOKUP(F110,装备!$B:$E,3,FALSE),"")</f>
        <v/>
      </c>
      <c r="U110" s="36" t="str">
        <f>IFERROR(VLOOKUP(G110,装备!$B:$E,3,FALSE),"")</f>
        <v/>
      </c>
      <c r="V110" s="36" t="str">
        <f>IFERROR(VLOOKUP(H110,装备!$B:$E,3,FALSE),"")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装备!#REF!</f>
        <v>#REF!</v>
      </c>
      <c r="B111" s="32" t="e">
        <f>"'"&amp;装备!#REF!&amp;"'"</f>
        <v>#REF!</v>
      </c>
      <c r="C111" s="32" t="e">
        <f>装备!#REF!</f>
        <v>#REF!</v>
      </c>
      <c r="D111" s="32" t="e">
        <f>装备!#REF!</f>
        <v>#REF!</v>
      </c>
      <c r="E111" s="32" t="e">
        <f>装备!#REF!</f>
        <v>#REF!</v>
      </c>
      <c r="F111" s="32" t="e">
        <f>装备!#REF!</f>
        <v>#REF!</v>
      </c>
      <c r="G111" s="32" t="e">
        <f>装备!#REF!</f>
        <v>#REF!</v>
      </c>
      <c r="H111" s="32" t="e">
        <f>装备!#REF!</f>
        <v>#REF!</v>
      </c>
      <c r="I111" s="32" t="e">
        <f>IF(装备!#REF!=0,0,"'"&amp;装备!#REF!&amp;"'")</f>
        <v>#REF!</v>
      </c>
      <c r="J111" s="32" t="e">
        <f>IF(装备!#REF!=0,0,"'"&amp;装备!#REF!&amp;"'")</f>
        <v>#REF!</v>
      </c>
      <c r="K111" s="32" t="e">
        <f>IF(装备!#REF!=0,0,"'"&amp;装备!#REF!&amp;"'")</f>
        <v>#REF!</v>
      </c>
      <c r="L111" s="32" t="e">
        <f>IF(装备!#REF!=0,0,"'"&amp;装备!#REF!&amp;"'")</f>
        <v>#REF!</v>
      </c>
      <c r="M111" s="32" t="e">
        <f>IF(装备!#REF!=0,0,"'"&amp;装备!#REF!&amp;"'")</f>
        <v>#REF!</v>
      </c>
      <c r="N111" s="32" t="e">
        <f>IF(装备!#REF!=0,0,"'"&amp;装备!#REF!&amp;"'")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IFERROR(VLOOKUP(C111,装备!$B:$E,3,FALSE),"")</f>
        <v/>
      </c>
      <c r="R111" s="36" t="str">
        <f>IFERROR(VLOOKUP(D111,装备!$B:$E,3,FALSE),"")</f>
        <v/>
      </c>
      <c r="S111" s="36" t="str">
        <f>IFERROR(VLOOKUP(E111,装备!$B:$E,3,FALSE),"")</f>
        <v/>
      </c>
      <c r="T111" s="36" t="str">
        <f>IFERROR(VLOOKUP(F111,装备!$B:$E,3,FALSE),"")</f>
        <v/>
      </c>
      <c r="U111" s="36" t="str">
        <f>IFERROR(VLOOKUP(G111,装备!$B:$E,3,FALSE),"")</f>
        <v/>
      </c>
      <c r="V111" s="36" t="str">
        <f>IFERROR(VLOOKUP(H111,装备!$B:$E,3,FALSE),"")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装备!#REF!</f>
        <v>#REF!</v>
      </c>
      <c r="B112" s="32" t="e">
        <f>"'"&amp;装备!#REF!&amp;"'"</f>
        <v>#REF!</v>
      </c>
      <c r="C112" s="32" t="e">
        <f>装备!#REF!</f>
        <v>#REF!</v>
      </c>
      <c r="D112" s="32" t="e">
        <f>装备!#REF!</f>
        <v>#REF!</v>
      </c>
      <c r="E112" s="32" t="e">
        <f>装备!#REF!</f>
        <v>#REF!</v>
      </c>
      <c r="F112" s="32" t="e">
        <f>装备!#REF!</f>
        <v>#REF!</v>
      </c>
      <c r="G112" s="32" t="e">
        <f>装备!#REF!</f>
        <v>#REF!</v>
      </c>
      <c r="H112" s="32" t="e">
        <f>装备!#REF!</f>
        <v>#REF!</v>
      </c>
      <c r="I112" s="32" t="e">
        <f>IF(装备!#REF!=0,0,"'"&amp;装备!#REF!&amp;"'")</f>
        <v>#REF!</v>
      </c>
      <c r="J112" s="32" t="e">
        <f>IF(装备!#REF!=0,0,"'"&amp;装备!#REF!&amp;"'")</f>
        <v>#REF!</v>
      </c>
      <c r="K112" s="32" t="e">
        <f>IF(装备!#REF!=0,0,"'"&amp;装备!#REF!&amp;"'")</f>
        <v>#REF!</v>
      </c>
      <c r="L112" s="32" t="e">
        <f>IF(装备!#REF!=0,0,"'"&amp;装备!#REF!&amp;"'")</f>
        <v>#REF!</v>
      </c>
      <c r="M112" s="32" t="e">
        <f>IF(装备!#REF!=0,0,"'"&amp;装备!#REF!&amp;"'")</f>
        <v>#REF!</v>
      </c>
      <c r="N112" s="32" t="e">
        <f>IF(装备!#REF!=0,0,"'"&amp;装备!#REF!&amp;"'")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IFERROR(VLOOKUP(C112,装备!$B:$E,3,FALSE),"")</f>
        <v/>
      </c>
      <c r="R112" s="36" t="str">
        <f>IFERROR(VLOOKUP(D112,装备!$B:$E,3,FALSE),"")</f>
        <v/>
      </c>
      <c r="S112" s="36" t="str">
        <f>IFERROR(VLOOKUP(E112,装备!$B:$E,3,FALSE),"")</f>
        <v/>
      </c>
      <c r="T112" s="36" t="str">
        <f>IFERROR(VLOOKUP(F112,装备!$B:$E,3,FALSE),"")</f>
        <v/>
      </c>
      <c r="U112" s="36" t="str">
        <f>IFERROR(VLOOKUP(G112,装备!$B:$E,3,FALSE),"")</f>
        <v/>
      </c>
      <c r="V112" s="36" t="str">
        <f>IFERROR(VLOOKUP(H112,装备!$B:$E,3,FALSE),"")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装备!#REF!</f>
        <v>#REF!</v>
      </c>
      <c r="B113" s="32" t="e">
        <f>"'"&amp;装备!#REF!&amp;"'"</f>
        <v>#REF!</v>
      </c>
      <c r="C113" s="32" t="e">
        <f>装备!#REF!</f>
        <v>#REF!</v>
      </c>
      <c r="D113" s="32" t="e">
        <f>装备!#REF!</f>
        <v>#REF!</v>
      </c>
      <c r="E113" s="32" t="e">
        <f>装备!#REF!</f>
        <v>#REF!</v>
      </c>
      <c r="F113" s="32" t="e">
        <f>装备!#REF!</f>
        <v>#REF!</v>
      </c>
      <c r="G113" s="32" t="e">
        <f>装备!#REF!</f>
        <v>#REF!</v>
      </c>
      <c r="H113" s="32" t="e">
        <f>装备!#REF!</f>
        <v>#REF!</v>
      </c>
      <c r="I113" s="32" t="e">
        <f>IF(装备!#REF!=0,0,"'"&amp;装备!#REF!&amp;"'")</f>
        <v>#REF!</v>
      </c>
      <c r="J113" s="32" t="e">
        <f>IF(装备!#REF!=0,0,"'"&amp;装备!#REF!&amp;"'")</f>
        <v>#REF!</v>
      </c>
      <c r="K113" s="32" t="e">
        <f>IF(装备!#REF!=0,0,"'"&amp;装备!#REF!&amp;"'")</f>
        <v>#REF!</v>
      </c>
      <c r="L113" s="32" t="e">
        <f>IF(装备!#REF!=0,0,"'"&amp;装备!#REF!&amp;"'")</f>
        <v>#REF!</v>
      </c>
      <c r="M113" s="32" t="e">
        <f>IF(装备!#REF!=0,0,"'"&amp;装备!#REF!&amp;"'")</f>
        <v>#REF!</v>
      </c>
      <c r="N113" s="32" t="e">
        <f>IF(装备!#REF!=0,0,"'"&amp;装备!#REF!&amp;"'")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IFERROR(VLOOKUP(C113,装备!$B:$E,3,FALSE),"")</f>
        <v/>
      </c>
      <c r="R113" s="36" t="str">
        <f>IFERROR(VLOOKUP(D113,装备!$B:$E,3,FALSE),"")</f>
        <v/>
      </c>
      <c r="S113" s="36" t="str">
        <f>IFERROR(VLOOKUP(E113,装备!$B:$E,3,FALSE),"")</f>
        <v/>
      </c>
      <c r="T113" s="36" t="str">
        <f>IFERROR(VLOOKUP(F113,装备!$B:$E,3,FALSE),"")</f>
        <v/>
      </c>
      <c r="U113" s="36" t="str">
        <f>IFERROR(VLOOKUP(G113,装备!$B:$E,3,FALSE),"")</f>
        <v/>
      </c>
      <c r="V113" s="36" t="str">
        <f>IFERROR(VLOOKUP(H113,装备!$B:$E,3,FALSE),"")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装备!#REF!</f>
        <v>#REF!</v>
      </c>
      <c r="B114" s="32" t="e">
        <f>"'"&amp;装备!#REF!&amp;"'"</f>
        <v>#REF!</v>
      </c>
      <c r="C114" s="32" t="e">
        <f>装备!#REF!</f>
        <v>#REF!</v>
      </c>
      <c r="D114" s="32" t="e">
        <f>装备!#REF!</f>
        <v>#REF!</v>
      </c>
      <c r="E114" s="32" t="e">
        <f>装备!#REF!</f>
        <v>#REF!</v>
      </c>
      <c r="F114" s="32" t="e">
        <f>装备!#REF!</f>
        <v>#REF!</v>
      </c>
      <c r="G114" s="32" t="e">
        <f>装备!#REF!</f>
        <v>#REF!</v>
      </c>
      <c r="H114" s="32" t="e">
        <f>装备!#REF!</f>
        <v>#REF!</v>
      </c>
      <c r="I114" s="32" t="e">
        <f>IF(装备!#REF!=0,0,"'"&amp;装备!#REF!&amp;"'")</f>
        <v>#REF!</v>
      </c>
      <c r="J114" s="32" t="e">
        <f>IF(装备!#REF!=0,0,"'"&amp;装备!#REF!&amp;"'")</f>
        <v>#REF!</v>
      </c>
      <c r="K114" s="32" t="e">
        <f>IF(装备!#REF!=0,0,"'"&amp;装备!#REF!&amp;"'")</f>
        <v>#REF!</v>
      </c>
      <c r="L114" s="32" t="e">
        <f>IF(装备!#REF!=0,0,"'"&amp;装备!#REF!&amp;"'")</f>
        <v>#REF!</v>
      </c>
      <c r="M114" s="32" t="e">
        <f>IF(装备!#REF!=0,0,"'"&amp;装备!#REF!&amp;"'")</f>
        <v>#REF!</v>
      </c>
      <c r="N114" s="32" t="e">
        <f>IF(装备!#REF!=0,0,"'"&amp;装备!#REF!&amp;"'")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IFERROR(VLOOKUP(C114,装备!$B:$E,3,FALSE),"")</f>
        <v/>
      </c>
      <c r="R114" s="36" t="str">
        <f>IFERROR(VLOOKUP(D114,装备!$B:$E,3,FALSE),"")</f>
        <v/>
      </c>
      <c r="S114" s="36" t="str">
        <f>IFERROR(VLOOKUP(E114,装备!$B:$E,3,FALSE),"")</f>
        <v/>
      </c>
      <c r="T114" s="36" t="str">
        <f>IFERROR(VLOOKUP(F114,装备!$B:$E,3,FALSE),"")</f>
        <v/>
      </c>
      <c r="U114" s="36" t="str">
        <f>IFERROR(VLOOKUP(G114,装备!$B:$E,3,FALSE),"")</f>
        <v/>
      </c>
      <c r="V114" s="36" t="str">
        <f>IFERROR(VLOOKUP(H114,装备!$B:$E,3,FALSE),"")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装备!#REF!</f>
        <v>#REF!</v>
      </c>
      <c r="B115" s="32" t="e">
        <f>"'"&amp;装备!#REF!&amp;"'"</f>
        <v>#REF!</v>
      </c>
      <c r="C115" s="32" t="e">
        <f>装备!#REF!</f>
        <v>#REF!</v>
      </c>
      <c r="D115" s="32" t="e">
        <f>装备!#REF!</f>
        <v>#REF!</v>
      </c>
      <c r="E115" s="32" t="e">
        <f>装备!#REF!</f>
        <v>#REF!</v>
      </c>
      <c r="F115" s="32" t="e">
        <f>装备!#REF!</f>
        <v>#REF!</v>
      </c>
      <c r="G115" s="32" t="e">
        <f>装备!#REF!</f>
        <v>#REF!</v>
      </c>
      <c r="H115" s="32" t="e">
        <f>装备!#REF!</f>
        <v>#REF!</v>
      </c>
      <c r="I115" s="32" t="e">
        <f>IF(装备!#REF!=0,0,"'"&amp;装备!#REF!&amp;"'")</f>
        <v>#REF!</v>
      </c>
      <c r="J115" s="32" t="e">
        <f>IF(装备!#REF!=0,0,"'"&amp;装备!#REF!&amp;"'")</f>
        <v>#REF!</v>
      </c>
      <c r="K115" s="32" t="e">
        <f>IF(装备!#REF!=0,0,"'"&amp;装备!#REF!&amp;"'")</f>
        <v>#REF!</v>
      </c>
      <c r="L115" s="32" t="e">
        <f>IF(装备!#REF!=0,0,"'"&amp;装备!#REF!&amp;"'")</f>
        <v>#REF!</v>
      </c>
      <c r="M115" s="32" t="e">
        <f>IF(装备!#REF!=0,0,"'"&amp;装备!#REF!&amp;"'")</f>
        <v>#REF!</v>
      </c>
      <c r="N115" s="32" t="e">
        <f>IF(装备!#REF!=0,0,"'"&amp;装备!#REF!&amp;"'")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IFERROR(VLOOKUP(C115,装备!$B:$E,3,FALSE),"")</f>
        <v/>
      </c>
      <c r="R115" s="36" t="str">
        <f>IFERROR(VLOOKUP(D115,装备!$B:$E,3,FALSE),"")</f>
        <v/>
      </c>
      <c r="S115" s="36" t="str">
        <f>IFERROR(VLOOKUP(E115,装备!$B:$E,3,FALSE),"")</f>
        <v/>
      </c>
      <c r="T115" s="36" t="str">
        <f>IFERROR(VLOOKUP(F115,装备!$B:$E,3,FALSE),"")</f>
        <v/>
      </c>
      <c r="U115" s="36" t="str">
        <f>IFERROR(VLOOKUP(G115,装备!$B:$E,3,FALSE),"")</f>
        <v/>
      </c>
      <c r="V115" s="36" t="str">
        <f>IFERROR(VLOOKUP(H115,装备!$B:$E,3,FALSE),"")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装备!#REF!</f>
        <v>#REF!</v>
      </c>
      <c r="B116" s="32" t="e">
        <f>"'"&amp;装备!#REF!&amp;"'"</f>
        <v>#REF!</v>
      </c>
      <c r="C116" s="32" t="e">
        <f>装备!#REF!</f>
        <v>#REF!</v>
      </c>
      <c r="D116" s="32" t="e">
        <f>装备!#REF!</f>
        <v>#REF!</v>
      </c>
      <c r="E116" s="32" t="e">
        <f>装备!#REF!</f>
        <v>#REF!</v>
      </c>
      <c r="F116" s="32" t="e">
        <f>装备!#REF!</f>
        <v>#REF!</v>
      </c>
      <c r="G116" s="32" t="e">
        <f>装备!#REF!</f>
        <v>#REF!</v>
      </c>
      <c r="H116" s="32" t="e">
        <f>装备!#REF!</f>
        <v>#REF!</v>
      </c>
      <c r="I116" s="32" t="e">
        <f>IF(装备!#REF!=0,0,"'"&amp;装备!#REF!&amp;"'")</f>
        <v>#REF!</v>
      </c>
      <c r="J116" s="32" t="e">
        <f>IF(装备!#REF!=0,0,"'"&amp;装备!#REF!&amp;"'")</f>
        <v>#REF!</v>
      </c>
      <c r="K116" s="32" t="e">
        <f>IF(装备!#REF!=0,0,"'"&amp;装备!#REF!&amp;"'")</f>
        <v>#REF!</v>
      </c>
      <c r="L116" s="32" t="e">
        <f>IF(装备!#REF!=0,0,"'"&amp;装备!#REF!&amp;"'")</f>
        <v>#REF!</v>
      </c>
      <c r="M116" s="32" t="e">
        <f>IF(装备!#REF!=0,0,"'"&amp;装备!#REF!&amp;"'")</f>
        <v>#REF!</v>
      </c>
      <c r="N116" s="32" t="e">
        <f>IF(装备!#REF!=0,0,"'"&amp;装备!#REF!&amp;"'")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IFERROR(VLOOKUP(C116,装备!$B:$E,3,FALSE),"")</f>
        <v/>
      </c>
      <c r="R116" s="36" t="str">
        <f>IFERROR(VLOOKUP(D116,装备!$B:$E,3,FALSE),"")</f>
        <v/>
      </c>
      <c r="S116" s="36" t="str">
        <f>IFERROR(VLOOKUP(E116,装备!$B:$E,3,FALSE),"")</f>
        <v/>
      </c>
      <c r="T116" s="36" t="str">
        <f>IFERROR(VLOOKUP(F116,装备!$B:$E,3,FALSE),"")</f>
        <v/>
      </c>
      <c r="U116" s="36" t="str">
        <f>IFERROR(VLOOKUP(G116,装备!$B:$E,3,FALSE),"")</f>
        <v/>
      </c>
      <c r="V116" s="36" t="str">
        <f>IFERROR(VLOOKUP(H116,装备!$B:$E,3,FALSE),"")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装备!#REF!</f>
        <v>#REF!</v>
      </c>
      <c r="B117" s="32" t="e">
        <f>"'"&amp;装备!#REF!&amp;"'"</f>
        <v>#REF!</v>
      </c>
      <c r="C117" s="32" t="e">
        <f>装备!#REF!</f>
        <v>#REF!</v>
      </c>
      <c r="D117" s="32" t="e">
        <f>装备!#REF!</f>
        <v>#REF!</v>
      </c>
      <c r="E117" s="32" t="e">
        <f>装备!#REF!</f>
        <v>#REF!</v>
      </c>
      <c r="F117" s="32" t="e">
        <f>装备!#REF!</f>
        <v>#REF!</v>
      </c>
      <c r="G117" s="32" t="e">
        <f>装备!#REF!</f>
        <v>#REF!</v>
      </c>
      <c r="H117" s="32" t="e">
        <f>装备!#REF!</f>
        <v>#REF!</v>
      </c>
      <c r="I117" s="32" t="e">
        <f>IF(装备!#REF!=0,0,"'"&amp;装备!#REF!&amp;"'")</f>
        <v>#REF!</v>
      </c>
      <c r="J117" s="32" t="e">
        <f>IF(装备!#REF!=0,0,"'"&amp;装备!#REF!&amp;"'")</f>
        <v>#REF!</v>
      </c>
      <c r="K117" s="32" t="e">
        <f>IF(装备!#REF!=0,0,"'"&amp;装备!#REF!&amp;"'")</f>
        <v>#REF!</v>
      </c>
      <c r="L117" s="32" t="e">
        <f>IF(装备!#REF!=0,0,"'"&amp;装备!#REF!&amp;"'")</f>
        <v>#REF!</v>
      </c>
      <c r="M117" s="32" t="e">
        <f>IF(装备!#REF!=0,0,"'"&amp;装备!#REF!&amp;"'")</f>
        <v>#REF!</v>
      </c>
      <c r="N117" s="32" t="e">
        <f>IF(装备!#REF!=0,0,"'"&amp;装备!#REF!&amp;"'")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IFERROR(VLOOKUP(C117,装备!$B:$E,3,FALSE),"")</f>
        <v/>
      </c>
      <c r="R117" s="36" t="str">
        <f>IFERROR(VLOOKUP(D117,装备!$B:$E,3,FALSE),"")</f>
        <v/>
      </c>
      <c r="S117" s="36" t="str">
        <f>IFERROR(VLOOKUP(E117,装备!$B:$E,3,FALSE),"")</f>
        <v/>
      </c>
      <c r="T117" s="36" t="str">
        <f>IFERROR(VLOOKUP(F117,装备!$B:$E,3,FALSE),"")</f>
        <v/>
      </c>
      <c r="U117" s="36" t="str">
        <f>IFERROR(VLOOKUP(G117,装备!$B:$E,3,FALSE),"")</f>
        <v/>
      </c>
      <c r="V117" s="36" t="str">
        <f>IFERROR(VLOOKUP(H117,装备!$B:$E,3,FALSE),"")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装备!#REF!</f>
        <v>#REF!</v>
      </c>
      <c r="B118" s="32" t="e">
        <f>"'"&amp;装备!#REF!&amp;"'"</f>
        <v>#REF!</v>
      </c>
      <c r="C118" s="32" t="e">
        <f>装备!#REF!</f>
        <v>#REF!</v>
      </c>
      <c r="D118" s="32" t="e">
        <f>装备!#REF!</f>
        <v>#REF!</v>
      </c>
      <c r="E118" s="32" t="e">
        <f>装备!#REF!</f>
        <v>#REF!</v>
      </c>
      <c r="F118" s="32" t="e">
        <f>装备!#REF!</f>
        <v>#REF!</v>
      </c>
      <c r="G118" s="32" t="e">
        <f>装备!#REF!</f>
        <v>#REF!</v>
      </c>
      <c r="H118" s="32" t="e">
        <f>装备!#REF!</f>
        <v>#REF!</v>
      </c>
      <c r="I118" s="32" t="e">
        <f>IF(装备!#REF!=0,0,"'"&amp;装备!#REF!&amp;"'")</f>
        <v>#REF!</v>
      </c>
      <c r="J118" s="32" t="e">
        <f>IF(装备!#REF!=0,0,"'"&amp;装备!#REF!&amp;"'")</f>
        <v>#REF!</v>
      </c>
      <c r="K118" s="32" t="e">
        <f>IF(装备!#REF!=0,0,"'"&amp;装备!#REF!&amp;"'")</f>
        <v>#REF!</v>
      </c>
      <c r="L118" s="32" t="e">
        <f>IF(装备!#REF!=0,0,"'"&amp;装备!#REF!&amp;"'")</f>
        <v>#REF!</v>
      </c>
      <c r="M118" s="32" t="e">
        <f>IF(装备!#REF!=0,0,"'"&amp;装备!#REF!&amp;"'")</f>
        <v>#REF!</v>
      </c>
      <c r="N118" s="32" t="e">
        <f>IF(装备!#REF!=0,0,"'"&amp;装备!#REF!&amp;"'")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IFERROR(VLOOKUP(C118,装备!$B:$E,3,FALSE),"")</f>
        <v/>
      </c>
      <c r="R118" s="36" t="str">
        <f>IFERROR(VLOOKUP(D118,装备!$B:$E,3,FALSE),"")</f>
        <v/>
      </c>
      <c r="S118" s="36" t="str">
        <f>IFERROR(VLOOKUP(E118,装备!$B:$E,3,FALSE),"")</f>
        <v/>
      </c>
      <c r="T118" s="36" t="str">
        <f>IFERROR(VLOOKUP(F118,装备!$B:$E,3,FALSE),"")</f>
        <v/>
      </c>
      <c r="U118" s="36" t="str">
        <f>IFERROR(VLOOKUP(G118,装备!$B:$E,3,FALSE),"")</f>
        <v/>
      </c>
      <c r="V118" s="36" t="str">
        <f>IFERROR(VLOOKUP(H118,装备!$B:$E,3,FALSE),"")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装备!#REF!</f>
        <v>#REF!</v>
      </c>
      <c r="B119" s="32" t="e">
        <f>"'"&amp;装备!#REF!&amp;"'"</f>
        <v>#REF!</v>
      </c>
      <c r="C119" s="32" t="e">
        <f>装备!#REF!</f>
        <v>#REF!</v>
      </c>
      <c r="D119" s="32" t="e">
        <f>装备!#REF!</f>
        <v>#REF!</v>
      </c>
      <c r="E119" s="32" t="e">
        <f>装备!#REF!</f>
        <v>#REF!</v>
      </c>
      <c r="F119" s="32" t="e">
        <f>装备!#REF!</f>
        <v>#REF!</v>
      </c>
      <c r="G119" s="32" t="e">
        <f>装备!#REF!</f>
        <v>#REF!</v>
      </c>
      <c r="H119" s="32" t="e">
        <f>装备!#REF!</f>
        <v>#REF!</v>
      </c>
      <c r="I119" s="32" t="e">
        <f>IF(装备!#REF!=0,0,"'"&amp;装备!#REF!&amp;"'")</f>
        <v>#REF!</v>
      </c>
      <c r="J119" s="32" t="e">
        <f>IF(装备!#REF!=0,0,"'"&amp;装备!#REF!&amp;"'")</f>
        <v>#REF!</v>
      </c>
      <c r="K119" s="32" t="e">
        <f>IF(装备!#REF!=0,0,"'"&amp;装备!#REF!&amp;"'")</f>
        <v>#REF!</v>
      </c>
      <c r="L119" s="32" t="e">
        <f>IF(装备!#REF!=0,0,"'"&amp;装备!#REF!&amp;"'")</f>
        <v>#REF!</v>
      </c>
      <c r="M119" s="32" t="e">
        <f>IF(装备!#REF!=0,0,"'"&amp;装备!#REF!&amp;"'")</f>
        <v>#REF!</v>
      </c>
      <c r="N119" s="32" t="e">
        <f>IF(装备!#REF!=0,0,"'"&amp;装备!#REF!&amp;"'")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IFERROR(VLOOKUP(C119,装备!$B:$E,3,FALSE),"")</f>
        <v/>
      </c>
      <c r="R119" s="36" t="str">
        <f>IFERROR(VLOOKUP(D119,装备!$B:$E,3,FALSE),"")</f>
        <v/>
      </c>
      <c r="S119" s="36" t="str">
        <f>IFERROR(VLOOKUP(E119,装备!$B:$E,3,FALSE),"")</f>
        <v/>
      </c>
      <c r="T119" s="36" t="str">
        <f>IFERROR(VLOOKUP(F119,装备!$B:$E,3,FALSE),"")</f>
        <v/>
      </c>
      <c r="U119" s="36" t="str">
        <f>IFERROR(VLOOKUP(G119,装备!$B:$E,3,FALSE),"")</f>
        <v/>
      </c>
      <c r="V119" s="36" t="str">
        <f>IFERROR(VLOOKUP(H119,装备!$B:$E,3,FALSE),"")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装备!#REF!</f>
        <v>#REF!</v>
      </c>
      <c r="B120" s="32" t="e">
        <f>"'"&amp;装备!#REF!&amp;"'"</f>
        <v>#REF!</v>
      </c>
      <c r="C120" s="32" t="e">
        <f>装备!#REF!</f>
        <v>#REF!</v>
      </c>
      <c r="D120" s="32" t="e">
        <f>装备!#REF!</f>
        <v>#REF!</v>
      </c>
      <c r="E120" s="32" t="e">
        <f>装备!#REF!</f>
        <v>#REF!</v>
      </c>
      <c r="F120" s="32" t="e">
        <f>装备!#REF!</f>
        <v>#REF!</v>
      </c>
      <c r="G120" s="32" t="e">
        <f>装备!#REF!</f>
        <v>#REF!</v>
      </c>
      <c r="H120" s="32" t="e">
        <f>装备!#REF!</f>
        <v>#REF!</v>
      </c>
      <c r="I120" s="32" t="e">
        <f>IF(装备!#REF!=0,0,"'"&amp;装备!#REF!&amp;"'")</f>
        <v>#REF!</v>
      </c>
      <c r="J120" s="32" t="e">
        <f>IF(装备!#REF!=0,0,"'"&amp;装备!#REF!&amp;"'")</f>
        <v>#REF!</v>
      </c>
      <c r="K120" s="32" t="e">
        <f>IF(装备!#REF!=0,0,"'"&amp;装备!#REF!&amp;"'")</f>
        <v>#REF!</v>
      </c>
      <c r="L120" s="32" t="e">
        <f>IF(装备!#REF!=0,0,"'"&amp;装备!#REF!&amp;"'")</f>
        <v>#REF!</v>
      </c>
      <c r="M120" s="32" t="e">
        <f>IF(装备!#REF!=0,0,"'"&amp;装备!#REF!&amp;"'")</f>
        <v>#REF!</v>
      </c>
      <c r="N120" s="32" t="e">
        <f>IF(装备!#REF!=0,0,"'"&amp;装备!#REF!&amp;"'")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IFERROR(VLOOKUP(C120,装备!$B:$E,3,FALSE),"")</f>
        <v/>
      </c>
      <c r="R120" s="36" t="str">
        <f>IFERROR(VLOOKUP(D120,装备!$B:$E,3,FALSE),"")</f>
        <v/>
      </c>
      <c r="S120" s="36" t="str">
        <f>IFERROR(VLOOKUP(E120,装备!$B:$E,3,FALSE),"")</f>
        <v/>
      </c>
      <c r="T120" s="36" t="str">
        <f>IFERROR(VLOOKUP(F120,装备!$B:$E,3,FALSE),"")</f>
        <v/>
      </c>
      <c r="U120" s="36" t="str">
        <f>IFERROR(VLOOKUP(G120,装备!$B:$E,3,FALSE),"")</f>
        <v/>
      </c>
      <c r="V120" s="36" t="str">
        <f>IFERROR(VLOOKUP(H120,装备!$B:$E,3,FALSE),"")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装备!#REF!</f>
        <v>#REF!</v>
      </c>
      <c r="B121" s="32" t="e">
        <f>"'"&amp;装备!#REF!&amp;"'"</f>
        <v>#REF!</v>
      </c>
      <c r="C121" s="32" t="e">
        <f>装备!#REF!</f>
        <v>#REF!</v>
      </c>
      <c r="D121" s="32" t="e">
        <f>装备!#REF!</f>
        <v>#REF!</v>
      </c>
      <c r="E121" s="32" t="e">
        <f>装备!#REF!</f>
        <v>#REF!</v>
      </c>
      <c r="F121" s="32" t="e">
        <f>装备!#REF!</f>
        <v>#REF!</v>
      </c>
      <c r="G121" s="32" t="e">
        <f>装备!#REF!</f>
        <v>#REF!</v>
      </c>
      <c r="H121" s="32" t="e">
        <f>装备!#REF!</f>
        <v>#REF!</v>
      </c>
      <c r="I121" s="32" t="e">
        <f>IF(装备!#REF!=0,0,"'"&amp;装备!#REF!&amp;"'")</f>
        <v>#REF!</v>
      </c>
      <c r="J121" s="32" t="e">
        <f>IF(装备!#REF!=0,0,"'"&amp;装备!#REF!&amp;"'")</f>
        <v>#REF!</v>
      </c>
      <c r="K121" s="32" t="e">
        <f>IF(装备!#REF!=0,0,"'"&amp;装备!#REF!&amp;"'")</f>
        <v>#REF!</v>
      </c>
      <c r="L121" s="32" t="e">
        <f>IF(装备!#REF!=0,0,"'"&amp;装备!#REF!&amp;"'")</f>
        <v>#REF!</v>
      </c>
      <c r="M121" s="32" t="e">
        <f>IF(装备!#REF!=0,0,"'"&amp;装备!#REF!&amp;"'")</f>
        <v>#REF!</v>
      </c>
      <c r="N121" s="32" t="e">
        <f>IF(装备!#REF!=0,0,"'"&amp;装备!#REF!&amp;"'")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IFERROR(VLOOKUP(C121,装备!$B:$E,3,FALSE),"")</f>
        <v/>
      </c>
      <c r="R121" s="36" t="str">
        <f>IFERROR(VLOOKUP(D121,装备!$B:$E,3,FALSE),"")</f>
        <v/>
      </c>
      <c r="S121" s="36" t="str">
        <f>IFERROR(VLOOKUP(E121,装备!$B:$E,3,FALSE),"")</f>
        <v/>
      </c>
      <c r="T121" s="36" t="str">
        <f>IFERROR(VLOOKUP(F121,装备!$B:$E,3,FALSE),"")</f>
        <v/>
      </c>
      <c r="U121" s="36" t="str">
        <f>IFERROR(VLOOKUP(G121,装备!$B:$E,3,FALSE),"")</f>
        <v/>
      </c>
      <c r="V121" s="36" t="str">
        <f>IFERROR(VLOOKUP(H121,装备!$B:$E,3,FALSE),"")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装备!#REF!</f>
        <v>#REF!</v>
      </c>
      <c r="B122" s="32" t="e">
        <f>"'"&amp;装备!#REF!&amp;"'"</f>
        <v>#REF!</v>
      </c>
      <c r="C122" s="32" t="e">
        <f>装备!#REF!</f>
        <v>#REF!</v>
      </c>
      <c r="D122" s="32" t="e">
        <f>装备!#REF!</f>
        <v>#REF!</v>
      </c>
      <c r="E122" s="32" t="e">
        <f>装备!#REF!</f>
        <v>#REF!</v>
      </c>
      <c r="F122" s="32" t="e">
        <f>装备!#REF!</f>
        <v>#REF!</v>
      </c>
      <c r="G122" s="32" t="e">
        <f>装备!#REF!</f>
        <v>#REF!</v>
      </c>
      <c r="H122" s="32" t="e">
        <f>装备!#REF!</f>
        <v>#REF!</v>
      </c>
      <c r="I122" s="32" t="e">
        <f>IF(装备!#REF!=0,0,"'"&amp;装备!#REF!&amp;"'")</f>
        <v>#REF!</v>
      </c>
      <c r="J122" s="32" t="e">
        <f>IF(装备!#REF!=0,0,"'"&amp;装备!#REF!&amp;"'")</f>
        <v>#REF!</v>
      </c>
      <c r="K122" s="32" t="e">
        <f>IF(装备!#REF!=0,0,"'"&amp;装备!#REF!&amp;"'")</f>
        <v>#REF!</v>
      </c>
      <c r="L122" s="32" t="e">
        <f>IF(装备!#REF!=0,0,"'"&amp;装备!#REF!&amp;"'")</f>
        <v>#REF!</v>
      </c>
      <c r="M122" s="32" t="e">
        <f>IF(装备!#REF!=0,0,"'"&amp;装备!#REF!&amp;"'")</f>
        <v>#REF!</v>
      </c>
      <c r="N122" s="32" t="e">
        <f>IF(装备!#REF!=0,0,"'"&amp;装备!#REF!&amp;"'")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IFERROR(VLOOKUP(C122,装备!$B:$E,3,FALSE),"")</f>
        <v/>
      </c>
      <c r="R122" s="36" t="str">
        <f>IFERROR(VLOOKUP(D122,装备!$B:$E,3,FALSE),"")</f>
        <v/>
      </c>
      <c r="S122" s="36" t="str">
        <f>IFERROR(VLOOKUP(E122,装备!$B:$E,3,FALSE),"")</f>
        <v/>
      </c>
      <c r="T122" s="36" t="str">
        <f>IFERROR(VLOOKUP(F122,装备!$B:$E,3,FALSE),"")</f>
        <v/>
      </c>
      <c r="U122" s="36" t="str">
        <f>IFERROR(VLOOKUP(G122,装备!$B:$E,3,FALSE),"")</f>
        <v/>
      </c>
      <c r="V122" s="36" t="str">
        <f>IFERROR(VLOOKUP(H122,装备!$B:$E,3,FALSE),"")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装备!#REF!</f>
        <v>#REF!</v>
      </c>
      <c r="B123" s="32" t="e">
        <f>"'"&amp;装备!#REF!&amp;"'"</f>
        <v>#REF!</v>
      </c>
      <c r="C123" s="32" t="e">
        <f>装备!#REF!</f>
        <v>#REF!</v>
      </c>
      <c r="D123" s="32" t="e">
        <f>装备!#REF!</f>
        <v>#REF!</v>
      </c>
      <c r="E123" s="32" t="e">
        <f>装备!#REF!</f>
        <v>#REF!</v>
      </c>
      <c r="F123" s="32" t="e">
        <f>装备!#REF!</f>
        <v>#REF!</v>
      </c>
      <c r="G123" s="32" t="e">
        <f>装备!#REF!</f>
        <v>#REF!</v>
      </c>
      <c r="H123" s="32" t="e">
        <f>装备!#REF!</f>
        <v>#REF!</v>
      </c>
      <c r="I123" s="32" t="e">
        <f>IF(装备!#REF!=0,0,"'"&amp;装备!#REF!&amp;"'")</f>
        <v>#REF!</v>
      </c>
      <c r="J123" s="32" t="e">
        <f>IF(装备!#REF!=0,0,"'"&amp;装备!#REF!&amp;"'")</f>
        <v>#REF!</v>
      </c>
      <c r="K123" s="32" t="e">
        <f>IF(装备!#REF!=0,0,"'"&amp;装备!#REF!&amp;"'")</f>
        <v>#REF!</v>
      </c>
      <c r="L123" s="32" t="e">
        <f>IF(装备!#REF!=0,0,"'"&amp;装备!#REF!&amp;"'")</f>
        <v>#REF!</v>
      </c>
      <c r="M123" s="32" t="e">
        <f>IF(装备!#REF!=0,0,"'"&amp;装备!#REF!&amp;"'")</f>
        <v>#REF!</v>
      </c>
      <c r="N123" s="32" t="e">
        <f>IF(装备!#REF!=0,0,"'"&amp;装备!#REF!&amp;"'")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IFERROR(VLOOKUP(C123,装备!$B:$E,3,FALSE),"")</f>
        <v/>
      </c>
      <c r="R123" s="36" t="str">
        <f>IFERROR(VLOOKUP(D123,装备!$B:$E,3,FALSE),"")</f>
        <v/>
      </c>
      <c r="S123" s="36" t="str">
        <f>IFERROR(VLOOKUP(E123,装备!$B:$E,3,FALSE),"")</f>
        <v/>
      </c>
      <c r="T123" s="36" t="str">
        <f>IFERROR(VLOOKUP(F123,装备!$B:$E,3,FALSE),"")</f>
        <v/>
      </c>
      <c r="U123" s="36" t="str">
        <f>IFERROR(VLOOKUP(G123,装备!$B:$E,3,FALSE),"")</f>
        <v/>
      </c>
      <c r="V123" s="36" t="str">
        <f>IFERROR(VLOOKUP(H123,装备!$B:$E,3,FALSE),"")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装备!#REF!</f>
        <v>#REF!</v>
      </c>
      <c r="B124" s="32" t="e">
        <f>"'"&amp;装备!#REF!&amp;"'"</f>
        <v>#REF!</v>
      </c>
      <c r="C124" s="32" t="e">
        <f>装备!#REF!</f>
        <v>#REF!</v>
      </c>
      <c r="D124" s="32" t="e">
        <f>装备!#REF!</f>
        <v>#REF!</v>
      </c>
      <c r="E124" s="32" t="e">
        <f>装备!#REF!</f>
        <v>#REF!</v>
      </c>
      <c r="F124" s="32" t="e">
        <f>装备!#REF!</f>
        <v>#REF!</v>
      </c>
      <c r="G124" s="32" t="e">
        <f>装备!#REF!</f>
        <v>#REF!</v>
      </c>
      <c r="H124" s="32" t="e">
        <f>装备!#REF!</f>
        <v>#REF!</v>
      </c>
      <c r="I124" s="32" t="e">
        <f>IF(装备!#REF!=0,0,"'"&amp;装备!#REF!&amp;"'")</f>
        <v>#REF!</v>
      </c>
      <c r="J124" s="32" t="e">
        <f>IF(装备!#REF!=0,0,"'"&amp;装备!#REF!&amp;"'")</f>
        <v>#REF!</v>
      </c>
      <c r="K124" s="32" t="e">
        <f>IF(装备!#REF!=0,0,"'"&amp;装备!#REF!&amp;"'")</f>
        <v>#REF!</v>
      </c>
      <c r="L124" s="32" t="e">
        <f>IF(装备!#REF!=0,0,"'"&amp;装备!#REF!&amp;"'")</f>
        <v>#REF!</v>
      </c>
      <c r="M124" s="32" t="e">
        <f>IF(装备!#REF!=0,0,"'"&amp;装备!#REF!&amp;"'")</f>
        <v>#REF!</v>
      </c>
      <c r="N124" s="32" t="e">
        <f>IF(装备!#REF!=0,0,"'"&amp;装备!#REF!&amp;"'")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IFERROR(VLOOKUP(C124,装备!$B:$E,3,FALSE),"")</f>
        <v/>
      </c>
      <c r="R124" s="36" t="str">
        <f>IFERROR(VLOOKUP(D124,装备!$B:$E,3,FALSE),"")</f>
        <v/>
      </c>
      <c r="S124" s="36" t="str">
        <f>IFERROR(VLOOKUP(E124,装备!$B:$E,3,FALSE),"")</f>
        <v/>
      </c>
      <c r="T124" s="36" t="str">
        <f>IFERROR(VLOOKUP(F124,装备!$B:$E,3,FALSE),"")</f>
        <v/>
      </c>
      <c r="U124" s="36" t="str">
        <f>IFERROR(VLOOKUP(G124,装备!$B:$E,3,FALSE),"")</f>
        <v/>
      </c>
      <c r="V124" s="36" t="str">
        <f>IFERROR(VLOOKUP(H124,装备!$B:$E,3,FALSE),"")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装备!#REF!</f>
        <v>#REF!</v>
      </c>
      <c r="B125" s="32" t="e">
        <f>"'"&amp;装备!#REF!&amp;"'"</f>
        <v>#REF!</v>
      </c>
      <c r="C125" s="32" t="e">
        <f>装备!#REF!</f>
        <v>#REF!</v>
      </c>
      <c r="D125" s="32" t="e">
        <f>装备!#REF!</f>
        <v>#REF!</v>
      </c>
      <c r="E125" s="32" t="e">
        <f>装备!#REF!</f>
        <v>#REF!</v>
      </c>
      <c r="F125" s="32" t="e">
        <f>装备!#REF!</f>
        <v>#REF!</v>
      </c>
      <c r="G125" s="32" t="e">
        <f>装备!#REF!</f>
        <v>#REF!</v>
      </c>
      <c r="H125" s="32" t="e">
        <f>装备!#REF!</f>
        <v>#REF!</v>
      </c>
      <c r="I125" s="32" t="e">
        <f>IF(装备!#REF!=0,0,"'"&amp;装备!#REF!&amp;"'")</f>
        <v>#REF!</v>
      </c>
      <c r="J125" s="32" t="e">
        <f>IF(装备!#REF!=0,0,"'"&amp;装备!#REF!&amp;"'")</f>
        <v>#REF!</v>
      </c>
      <c r="K125" s="32" t="e">
        <f>IF(装备!#REF!=0,0,"'"&amp;装备!#REF!&amp;"'")</f>
        <v>#REF!</v>
      </c>
      <c r="L125" s="32" t="e">
        <f>IF(装备!#REF!=0,0,"'"&amp;装备!#REF!&amp;"'")</f>
        <v>#REF!</v>
      </c>
      <c r="M125" s="32" t="e">
        <f>IF(装备!#REF!=0,0,"'"&amp;装备!#REF!&amp;"'")</f>
        <v>#REF!</v>
      </c>
      <c r="N125" s="32" t="e">
        <f>IF(装备!#REF!=0,0,"'"&amp;装备!#REF!&amp;"'")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IFERROR(VLOOKUP(C125,装备!$B:$E,3,FALSE),"")</f>
        <v/>
      </c>
      <c r="R125" s="36" t="str">
        <f>IFERROR(VLOOKUP(D125,装备!$B:$E,3,FALSE),"")</f>
        <v/>
      </c>
      <c r="S125" s="36" t="str">
        <f>IFERROR(VLOOKUP(E125,装备!$B:$E,3,FALSE),"")</f>
        <v/>
      </c>
      <c r="T125" s="36" t="str">
        <f>IFERROR(VLOOKUP(F125,装备!$B:$E,3,FALSE),"")</f>
        <v/>
      </c>
      <c r="U125" s="36" t="str">
        <f>IFERROR(VLOOKUP(G125,装备!$B:$E,3,FALSE),"")</f>
        <v/>
      </c>
      <c r="V125" s="36" t="str">
        <f>IFERROR(VLOOKUP(H125,装备!$B:$E,3,FALSE),"")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装备!#REF!</f>
        <v>#REF!</v>
      </c>
      <c r="B126" s="32" t="e">
        <f>"'"&amp;装备!#REF!&amp;"'"</f>
        <v>#REF!</v>
      </c>
      <c r="C126" s="32" t="e">
        <f>装备!#REF!</f>
        <v>#REF!</v>
      </c>
      <c r="D126" s="32" t="e">
        <f>装备!#REF!</f>
        <v>#REF!</v>
      </c>
      <c r="E126" s="32" t="e">
        <f>装备!#REF!</f>
        <v>#REF!</v>
      </c>
      <c r="F126" s="32" t="e">
        <f>装备!#REF!</f>
        <v>#REF!</v>
      </c>
      <c r="G126" s="32" t="e">
        <f>装备!#REF!</f>
        <v>#REF!</v>
      </c>
      <c r="H126" s="32" t="e">
        <f>装备!#REF!</f>
        <v>#REF!</v>
      </c>
      <c r="I126" s="32" t="e">
        <f>IF(装备!#REF!=0,0,"'"&amp;装备!#REF!&amp;"'")</f>
        <v>#REF!</v>
      </c>
      <c r="J126" s="32" t="e">
        <f>IF(装备!#REF!=0,0,"'"&amp;装备!#REF!&amp;"'")</f>
        <v>#REF!</v>
      </c>
      <c r="K126" s="32" t="e">
        <f>IF(装备!#REF!=0,0,"'"&amp;装备!#REF!&amp;"'")</f>
        <v>#REF!</v>
      </c>
      <c r="L126" s="32" t="e">
        <f>IF(装备!#REF!=0,0,"'"&amp;装备!#REF!&amp;"'")</f>
        <v>#REF!</v>
      </c>
      <c r="M126" s="32" t="e">
        <f>IF(装备!#REF!=0,0,"'"&amp;装备!#REF!&amp;"'")</f>
        <v>#REF!</v>
      </c>
      <c r="N126" s="32" t="e">
        <f>IF(装备!#REF!=0,0,"'"&amp;装备!#REF!&amp;"'")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IFERROR(VLOOKUP(C126,装备!$B:$E,3,FALSE),"")</f>
        <v/>
      </c>
      <c r="R126" s="36" t="str">
        <f>IFERROR(VLOOKUP(D126,装备!$B:$E,3,FALSE),"")</f>
        <v/>
      </c>
      <c r="S126" s="36" t="str">
        <f>IFERROR(VLOOKUP(E126,装备!$B:$E,3,FALSE),"")</f>
        <v/>
      </c>
      <c r="T126" s="36" t="str">
        <f>IFERROR(VLOOKUP(F126,装备!$B:$E,3,FALSE),"")</f>
        <v/>
      </c>
      <c r="U126" s="36" t="str">
        <f>IFERROR(VLOOKUP(G126,装备!$B:$E,3,FALSE),"")</f>
        <v/>
      </c>
      <c r="V126" s="36" t="str">
        <f>IFERROR(VLOOKUP(H126,装备!$B:$E,3,FALSE),"")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装备!#REF!</f>
        <v>#REF!</v>
      </c>
      <c r="B127" s="32" t="e">
        <f>"'"&amp;装备!#REF!&amp;"'"</f>
        <v>#REF!</v>
      </c>
      <c r="C127" s="32" t="e">
        <f>装备!#REF!</f>
        <v>#REF!</v>
      </c>
      <c r="D127" s="32" t="e">
        <f>装备!#REF!</f>
        <v>#REF!</v>
      </c>
      <c r="E127" s="32" t="e">
        <f>装备!#REF!</f>
        <v>#REF!</v>
      </c>
      <c r="F127" s="32" t="e">
        <f>装备!#REF!</f>
        <v>#REF!</v>
      </c>
      <c r="G127" s="32" t="e">
        <f>装备!#REF!</f>
        <v>#REF!</v>
      </c>
      <c r="H127" s="32" t="e">
        <f>装备!#REF!</f>
        <v>#REF!</v>
      </c>
      <c r="I127" s="32" t="e">
        <f>IF(装备!#REF!=0,0,"'"&amp;装备!#REF!&amp;"'")</f>
        <v>#REF!</v>
      </c>
      <c r="J127" s="32" t="e">
        <f>IF(装备!#REF!=0,0,"'"&amp;装备!#REF!&amp;"'")</f>
        <v>#REF!</v>
      </c>
      <c r="K127" s="32" t="e">
        <f>IF(装备!#REF!=0,0,"'"&amp;装备!#REF!&amp;"'")</f>
        <v>#REF!</v>
      </c>
      <c r="L127" s="32" t="e">
        <f>IF(装备!#REF!=0,0,"'"&amp;装备!#REF!&amp;"'")</f>
        <v>#REF!</v>
      </c>
      <c r="M127" s="32" t="e">
        <f>IF(装备!#REF!=0,0,"'"&amp;装备!#REF!&amp;"'")</f>
        <v>#REF!</v>
      </c>
      <c r="N127" s="32" t="e">
        <f>IF(装备!#REF!=0,0,"'"&amp;装备!#REF!&amp;"'")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IFERROR(VLOOKUP(C127,装备!$B:$E,3,FALSE),"")</f>
        <v/>
      </c>
      <c r="R127" s="36" t="str">
        <f>IFERROR(VLOOKUP(D127,装备!$B:$E,3,FALSE),"")</f>
        <v/>
      </c>
      <c r="S127" s="36" t="str">
        <f>IFERROR(VLOOKUP(E127,装备!$B:$E,3,FALSE),"")</f>
        <v/>
      </c>
      <c r="T127" s="36" t="str">
        <f>IFERROR(VLOOKUP(F127,装备!$B:$E,3,FALSE),"")</f>
        <v/>
      </c>
      <c r="U127" s="36" t="str">
        <f>IFERROR(VLOOKUP(G127,装备!$B:$E,3,FALSE),"")</f>
        <v/>
      </c>
      <c r="V127" s="36" t="str">
        <f>IFERROR(VLOOKUP(H127,装备!$B:$E,3,FALSE),"")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装备!#REF!</f>
        <v>#REF!</v>
      </c>
      <c r="B128" s="32" t="e">
        <f>"'"&amp;装备!#REF!&amp;"'"</f>
        <v>#REF!</v>
      </c>
      <c r="C128" s="32" t="e">
        <f>装备!#REF!</f>
        <v>#REF!</v>
      </c>
      <c r="D128" s="32" t="e">
        <f>装备!#REF!</f>
        <v>#REF!</v>
      </c>
      <c r="E128" s="32" t="e">
        <f>装备!#REF!</f>
        <v>#REF!</v>
      </c>
      <c r="F128" s="32" t="e">
        <f>装备!#REF!</f>
        <v>#REF!</v>
      </c>
      <c r="G128" s="32" t="e">
        <f>装备!#REF!</f>
        <v>#REF!</v>
      </c>
      <c r="H128" s="32" t="e">
        <f>装备!#REF!</f>
        <v>#REF!</v>
      </c>
      <c r="I128" s="32" t="e">
        <f>IF(装备!#REF!=0,0,"'"&amp;装备!#REF!&amp;"'")</f>
        <v>#REF!</v>
      </c>
      <c r="J128" s="32" t="e">
        <f>IF(装备!#REF!=0,0,"'"&amp;装备!#REF!&amp;"'")</f>
        <v>#REF!</v>
      </c>
      <c r="K128" s="32" t="e">
        <f>IF(装备!#REF!=0,0,"'"&amp;装备!#REF!&amp;"'")</f>
        <v>#REF!</v>
      </c>
      <c r="L128" s="32" t="e">
        <f>IF(装备!#REF!=0,0,"'"&amp;装备!#REF!&amp;"'")</f>
        <v>#REF!</v>
      </c>
      <c r="M128" s="32" t="e">
        <f>IF(装备!#REF!=0,0,"'"&amp;装备!#REF!&amp;"'")</f>
        <v>#REF!</v>
      </c>
      <c r="N128" s="32" t="e">
        <f>IF(装备!#REF!=0,0,"'"&amp;装备!#REF!&amp;"'")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IFERROR(VLOOKUP(C128,装备!$B:$E,3,FALSE),"")</f>
        <v/>
      </c>
      <c r="R128" s="36" t="str">
        <f>IFERROR(VLOOKUP(D128,装备!$B:$E,3,FALSE),"")</f>
        <v/>
      </c>
      <c r="S128" s="36" t="str">
        <f>IFERROR(VLOOKUP(E128,装备!$B:$E,3,FALSE),"")</f>
        <v/>
      </c>
      <c r="T128" s="36" t="str">
        <f>IFERROR(VLOOKUP(F128,装备!$B:$E,3,FALSE),"")</f>
        <v/>
      </c>
      <c r="U128" s="36" t="str">
        <f>IFERROR(VLOOKUP(G128,装备!$B:$E,3,FALSE),"")</f>
        <v/>
      </c>
      <c r="V128" s="36" t="str">
        <f>IFERROR(VLOOKUP(H128,装备!$B:$E,3,FALSE),"")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装备!#REF!</f>
        <v>#REF!</v>
      </c>
      <c r="B129" s="32" t="e">
        <f>"'"&amp;装备!#REF!&amp;"'"</f>
        <v>#REF!</v>
      </c>
      <c r="C129" s="32" t="e">
        <f>装备!#REF!</f>
        <v>#REF!</v>
      </c>
      <c r="D129" s="32" t="e">
        <f>装备!#REF!</f>
        <v>#REF!</v>
      </c>
      <c r="E129" s="32" t="e">
        <f>装备!#REF!</f>
        <v>#REF!</v>
      </c>
      <c r="F129" s="32" t="e">
        <f>装备!#REF!</f>
        <v>#REF!</v>
      </c>
      <c r="G129" s="32" t="e">
        <f>装备!#REF!</f>
        <v>#REF!</v>
      </c>
      <c r="H129" s="32" t="e">
        <f>装备!#REF!</f>
        <v>#REF!</v>
      </c>
      <c r="I129" s="32" t="e">
        <f>IF(装备!#REF!=0,0,"'"&amp;装备!#REF!&amp;"'")</f>
        <v>#REF!</v>
      </c>
      <c r="J129" s="32" t="e">
        <f>IF(装备!#REF!=0,0,"'"&amp;装备!#REF!&amp;"'")</f>
        <v>#REF!</v>
      </c>
      <c r="K129" s="32" t="e">
        <f>IF(装备!#REF!=0,0,"'"&amp;装备!#REF!&amp;"'")</f>
        <v>#REF!</v>
      </c>
      <c r="L129" s="32" t="e">
        <f>IF(装备!#REF!=0,0,"'"&amp;装备!#REF!&amp;"'")</f>
        <v>#REF!</v>
      </c>
      <c r="M129" s="32" t="e">
        <f>IF(装备!#REF!=0,0,"'"&amp;装备!#REF!&amp;"'")</f>
        <v>#REF!</v>
      </c>
      <c r="N129" s="32" t="e">
        <f>IF(装备!#REF!=0,0,"'"&amp;装备!#REF!&amp;"'")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IFERROR(VLOOKUP(C129,装备!$B:$E,3,FALSE),"")</f>
        <v/>
      </c>
      <c r="R129" s="36" t="str">
        <f>IFERROR(VLOOKUP(D129,装备!$B:$E,3,FALSE),"")</f>
        <v/>
      </c>
      <c r="S129" s="36" t="str">
        <f>IFERROR(VLOOKUP(E129,装备!$B:$E,3,FALSE),"")</f>
        <v/>
      </c>
      <c r="T129" s="36" t="str">
        <f>IFERROR(VLOOKUP(F129,装备!$B:$E,3,FALSE),"")</f>
        <v/>
      </c>
      <c r="U129" s="36" t="str">
        <f>IFERROR(VLOOKUP(G129,装备!$B:$E,3,FALSE),"")</f>
        <v/>
      </c>
      <c r="V129" s="36" t="str">
        <f>IFERROR(VLOOKUP(H129,装备!$B:$E,3,FALSE),"")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装备!#REF!</f>
        <v>#REF!</v>
      </c>
      <c r="B130" s="32" t="e">
        <f>"'"&amp;装备!#REF!&amp;"'"</f>
        <v>#REF!</v>
      </c>
      <c r="C130" s="32" t="e">
        <f>装备!#REF!</f>
        <v>#REF!</v>
      </c>
      <c r="D130" s="32" t="e">
        <f>装备!#REF!</f>
        <v>#REF!</v>
      </c>
      <c r="E130" s="32" t="e">
        <f>装备!#REF!</f>
        <v>#REF!</v>
      </c>
      <c r="F130" s="32" t="e">
        <f>装备!#REF!</f>
        <v>#REF!</v>
      </c>
      <c r="G130" s="32" t="e">
        <f>装备!#REF!</f>
        <v>#REF!</v>
      </c>
      <c r="H130" s="32" t="e">
        <f>装备!#REF!</f>
        <v>#REF!</v>
      </c>
      <c r="I130" s="32" t="e">
        <f>IF(装备!#REF!=0,0,"'"&amp;装备!#REF!&amp;"'")</f>
        <v>#REF!</v>
      </c>
      <c r="J130" s="32" t="e">
        <f>IF(装备!#REF!=0,0,"'"&amp;装备!#REF!&amp;"'")</f>
        <v>#REF!</v>
      </c>
      <c r="K130" s="32" t="e">
        <f>IF(装备!#REF!=0,0,"'"&amp;装备!#REF!&amp;"'")</f>
        <v>#REF!</v>
      </c>
      <c r="L130" s="32" t="e">
        <f>IF(装备!#REF!=0,0,"'"&amp;装备!#REF!&amp;"'")</f>
        <v>#REF!</v>
      </c>
      <c r="M130" s="32" t="e">
        <f>IF(装备!#REF!=0,0,"'"&amp;装备!#REF!&amp;"'")</f>
        <v>#REF!</v>
      </c>
      <c r="N130" s="32" t="e">
        <f>IF(装备!#REF!=0,0,"'"&amp;装备!#REF!&amp;"'")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IFERROR(VLOOKUP(C130,装备!$B:$E,3,FALSE),"")</f>
        <v/>
      </c>
      <c r="R130" s="36" t="str">
        <f>IFERROR(VLOOKUP(D130,装备!$B:$E,3,FALSE),"")</f>
        <v/>
      </c>
      <c r="S130" s="36" t="str">
        <f>IFERROR(VLOOKUP(E130,装备!$B:$E,3,FALSE),"")</f>
        <v/>
      </c>
      <c r="T130" s="36" t="str">
        <f>IFERROR(VLOOKUP(F130,装备!$B:$E,3,FALSE),"")</f>
        <v/>
      </c>
      <c r="U130" s="36" t="str">
        <f>IFERROR(VLOOKUP(G130,装备!$B:$E,3,FALSE),"")</f>
        <v/>
      </c>
      <c r="V130" s="36" t="str">
        <f>IFERROR(VLOOKUP(H130,装备!$B:$E,3,FALSE),"")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装备!#REF!</f>
        <v>#REF!</v>
      </c>
      <c r="B131" s="32" t="e">
        <f>"'"&amp;装备!#REF!&amp;"'"</f>
        <v>#REF!</v>
      </c>
      <c r="C131" s="32" t="e">
        <f>装备!#REF!</f>
        <v>#REF!</v>
      </c>
      <c r="D131" s="32" t="e">
        <f>装备!#REF!</f>
        <v>#REF!</v>
      </c>
      <c r="E131" s="32" t="e">
        <f>装备!#REF!</f>
        <v>#REF!</v>
      </c>
      <c r="F131" s="32" t="e">
        <f>装备!#REF!</f>
        <v>#REF!</v>
      </c>
      <c r="G131" s="32" t="e">
        <f>装备!#REF!</f>
        <v>#REF!</v>
      </c>
      <c r="H131" s="32" t="e">
        <f>装备!#REF!</f>
        <v>#REF!</v>
      </c>
      <c r="I131" s="32" t="e">
        <f>IF(装备!#REF!=0,0,"'"&amp;装备!#REF!&amp;"'")</f>
        <v>#REF!</v>
      </c>
      <c r="J131" s="32" t="e">
        <f>IF(装备!#REF!=0,0,"'"&amp;装备!#REF!&amp;"'")</f>
        <v>#REF!</v>
      </c>
      <c r="K131" s="32" t="e">
        <f>IF(装备!#REF!=0,0,"'"&amp;装备!#REF!&amp;"'")</f>
        <v>#REF!</v>
      </c>
      <c r="L131" s="32" t="e">
        <f>IF(装备!#REF!=0,0,"'"&amp;装备!#REF!&amp;"'")</f>
        <v>#REF!</v>
      </c>
      <c r="M131" s="32" t="e">
        <f>IF(装备!#REF!=0,0,"'"&amp;装备!#REF!&amp;"'")</f>
        <v>#REF!</v>
      </c>
      <c r="N131" s="32" t="e">
        <f>IF(装备!#REF!=0,0,"'"&amp;装备!#REF!&amp;"'")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IFERROR(VLOOKUP(C131,装备!$B:$E,3,FALSE),"")</f>
        <v/>
      </c>
      <c r="R131" s="36" t="str">
        <f>IFERROR(VLOOKUP(D131,装备!$B:$E,3,FALSE),"")</f>
        <v/>
      </c>
      <c r="S131" s="36" t="str">
        <f>IFERROR(VLOOKUP(E131,装备!$B:$E,3,FALSE),"")</f>
        <v/>
      </c>
      <c r="T131" s="36" t="str">
        <f>IFERROR(VLOOKUP(F131,装备!$B:$E,3,FALSE),"")</f>
        <v/>
      </c>
      <c r="U131" s="36" t="str">
        <f>IFERROR(VLOOKUP(G131,装备!$B:$E,3,FALSE),"")</f>
        <v/>
      </c>
      <c r="V131" s="36" t="str">
        <f>IFERROR(VLOOKUP(H131,装备!$B:$E,3,FALSE),"")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装备!#REF!</f>
        <v>#REF!</v>
      </c>
      <c r="B132" s="32" t="e">
        <f>"'"&amp;装备!#REF!&amp;"'"</f>
        <v>#REF!</v>
      </c>
      <c r="C132" s="32" t="e">
        <f>装备!#REF!</f>
        <v>#REF!</v>
      </c>
      <c r="D132" s="32" t="e">
        <f>装备!#REF!</f>
        <v>#REF!</v>
      </c>
      <c r="E132" s="32" t="e">
        <f>装备!#REF!</f>
        <v>#REF!</v>
      </c>
      <c r="F132" s="32" t="e">
        <f>装备!#REF!</f>
        <v>#REF!</v>
      </c>
      <c r="G132" s="32" t="e">
        <f>装备!#REF!</f>
        <v>#REF!</v>
      </c>
      <c r="H132" s="32" t="e">
        <f>装备!#REF!</f>
        <v>#REF!</v>
      </c>
      <c r="I132" s="32" t="e">
        <f>IF(装备!#REF!=0,0,"'"&amp;装备!#REF!&amp;"'")</f>
        <v>#REF!</v>
      </c>
      <c r="J132" s="32" t="e">
        <f>IF(装备!#REF!=0,0,"'"&amp;装备!#REF!&amp;"'")</f>
        <v>#REF!</v>
      </c>
      <c r="K132" s="32" t="e">
        <f>IF(装备!#REF!=0,0,"'"&amp;装备!#REF!&amp;"'")</f>
        <v>#REF!</v>
      </c>
      <c r="L132" s="32" t="e">
        <f>IF(装备!#REF!=0,0,"'"&amp;装备!#REF!&amp;"'")</f>
        <v>#REF!</v>
      </c>
      <c r="M132" s="32" t="e">
        <f>IF(装备!#REF!=0,0,"'"&amp;装备!#REF!&amp;"'")</f>
        <v>#REF!</v>
      </c>
      <c r="N132" s="32" t="e">
        <f>IF(装备!#REF!=0,0,"'"&amp;装备!#REF!&amp;"'")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IFERROR(VLOOKUP(C132,装备!$B:$E,3,FALSE),"")</f>
        <v/>
      </c>
      <c r="R132" s="36" t="str">
        <f>IFERROR(VLOOKUP(D132,装备!$B:$E,3,FALSE),"")</f>
        <v/>
      </c>
      <c r="S132" s="36" t="str">
        <f>IFERROR(VLOOKUP(E132,装备!$B:$E,3,FALSE),"")</f>
        <v/>
      </c>
      <c r="T132" s="36" t="str">
        <f>IFERROR(VLOOKUP(F132,装备!$B:$E,3,FALSE),"")</f>
        <v/>
      </c>
      <c r="U132" s="36" t="str">
        <f>IFERROR(VLOOKUP(G132,装备!$B:$E,3,FALSE),"")</f>
        <v/>
      </c>
      <c r="V132" s="36" t="str">
        <f>IFERROR(VLOOKUP(H132,装备!$B:$E,3,FALSE),"")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装备!#REF!</f>
        <v>#REF!</v>
      </c>
      <c r="B133" s="32" t="e">
        <f>"'"&amp;装备!#REF!&amp;"'"</f>
        <v>#REF!</v>
      </c>
      <c r="C133" s="32" t="e">
        <f>装备!#REF!</f>
        <v>#REF!</v>
      </c>
      <c r="D133" s="32" t="e">
        <f>装备!#REF!</f>
        <v>#REF!</v>
      </c>
      <c r="E133" s="32" t="e">
        <f>装备!#REF!</f>
        <v>#REF!</v>
      </c>
      <c r="F133" s="32" t="e">
        <f>装备!#REF!</f>
        <v>#REF!</v>
      </c>
      <c r="G133" s="32" t="e">
        <f>装备!#REF!</f>
        <v>#REF!</v>
      </c>
      <c r="H133" s="32" t="e">
        <f>装备!#REF!</f>
        <v>#REF!</v>
      </c>
      <c r="I133" s="32" t="e">
        <f>IF(装备!#REF!=0,0,"'"&amp;装备!#REF!&amp;"'")</f>
        <v>#REF!</v>
      </c>
      <c r="J133" s="32" t="e">
        <f>IF(装备!#REF!=0,0,"'"&amp;装备!#REF!&amp;"'")</f>
        <v>#REF!</v>
      </c>
      <c r="K133" s="32" t="e">
        <f>IF(装备!#REF!=0,0,"'"&amp;装备!#REF!&amp;"'")</f>
        <v>#REF!</v>
      </c>
      <c r="L133" s="32" t="e">
        <f>IF(装备!#REF!=0,0,"'"&amp;装备!#REF!&amp;"'")</f>
        <v>#REF!</v>
      </c>
      <c r="M133" s="32" t="e">
        <f>IF(装备!#REF!=0,0,"'"&amp;装备!#REF!&amp;"'")</f>
        <v>#REF!</v>
      </c>
      <c r="N133" s="32" t="e">
        <f>IF(装备!#REF!=0,0,"'"&amp;装备!#REF!&amp;"'")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IFERROR(VLOOKUP(C133,装备!$B:$E,3,FALSE),"")</f>
        <v/>
      </c>
      <c r="R133" s="36" t="str">
        <f>IFERROR(VLOOKUP(D133,装备!$B:$E,3,FALSE),"")</f>
        <v/>
      </c>
      <c r="S133" s="36" t="str">
        <f>IFERROR(VLOOKUP(E133,装备!$B:$E,3,FALSE),"")</f>
        <v/>
      </c>
      <c r="T133" s="36" t="str">
        <f>IFERROR(VLOOKUP(F133,装备!$B:$E,3,FALSE),"")</f>
        <v/>
      </c>
      <c r="U133" s="36" t="str">
        <f>IFERROR(VLOOKUP(G133,装备!$B:$E,3,FALSE),"")</f>
        <v/>
      </c>
      <c r="V133" s="36" t="str">
        <f>IFERROR(VLOOKUP(H133,装备!$B:$E,3,FALSE),"")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装备!#REF!</f>
        <v>#REF!</v>
      </c>
      <c r="B134" s="32" t="e">
        <f>"'"&amp;装备!#REF!&amp;"'"</f>
        <v>#REF!</v>
      </c>
      <c r="C134" s="32" t="e">
        <f>装备!#REF!</f>
        <v>#REF!</v>
      </c>
      <c r="D134" s="32" t="e">
        <f>装备!#REF!</f>
        <v>#REF!</v>
      </c>
      <c r="E134" s="32" t="e">
        <f>装备!#REF!</f>
        <v>#REF!</v>
      </c>
      <c r="F134" s="32" t="e">
        <f>装备!#REF!</f>
        <v>#REF!</v>
      </c>
      <c r="G134" s="32" t="e">
        <f>装备!#REF!</f>
        <v>#REF!</v>
      </c>
      <c r="H134" s="32" t="e">
        <f>装备!#REF!</f>
        <v>#REF!</v>
      </c>
      <c r="I134" s="32" t="e">
        <f>IF(装备!#REF!=0,0,"'"&amp;装备!#REF!&amp;"'")</f>
        <v>#REF!</v>
      </c>
      <c r="J134" s="32" t="e">
        <f>IF(装备!#REF!=0,0,"'"&amp;装备!#REF!&amp;"'")</f>
        <v>#REF!</v>
      </c>
      <c r="K134" s="32" t="e">
        <f>IF(装备!#REF!=0,0,"'"&amp;装备!#REF!&amp;"'")</f>
        <v>#REF!</v>
      </c>
      <c r="L134" s="32" t="e">
        <f>IF(装备!#REF!=0,0,"'"&amp;装备!#REF!&amp;"'")</f>
        <v>#REF!</v>
      </c>
      <c r="M134" s="32" t="e">
        <f>IF(装备!#REF!=0,0,"'"&amp;装备!#REF!&amp;"'")</f>
        <v>#REF!</v>
      </c>
      <c r="N134" s="32" t="e">
        <f>IF(装备!#REF!=0,0,"'"&amp;装备!#REF!&amp;"'")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IFERROR(VLOOKUP(C134,装备!$B:$E,3,FALSE),"")</f>
        <v/>
      </c>
      <c r="R134" s="36" t="str">
        <f>IFERROR(VLOOKUP(D134,装备!$B:$E,3,FALSE),"")</f>
        <v/>
      </c>
      <c r="S134" s="36" t="str">
        <f>IFERROR(VLOOKUP(E134,装备!$B:$E,3,FALSE),"")</f>
        <v/>
      </c>
      <c r="T134" s="36" t="str">
        <f>IFERROR(VLOOKUP(F134,装备!$B:$E,3,FALSE),"")</f>
        <v/>
      </c>
      <c r="U134" s="36" t="str">
        <f>IFERROR(VLOOKUP(G134,装备!$B:$E,3,FALSE),"")</f>
        <v/>
      </c>
      <c r="V134" s="36" t="str">
        <f>IFERROR(VLOOKUP(H134,装备!$B:$E,3,FALSE),"")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装备!#REF!</f>
        <v>#REF!</v>
      </c>
      <c r="B135" s="32" t="e">
        <f>"'"&amp;装备!#REF!&amp;"'"</f>
        <v>#REF!</v>
      </c>
      <c r="C135" s="32" t="e">
        <f>装备!#REF!</f>
        <v>#REF!</v>
      </c>
      <c r="D135" s="32" t="e">
        <f>装备!#REF!</f>
        <v>#REF!</v>
      </c>
      <c r="E135" s="32" t="e">
        <f>装备!#REF!</f>
        <v>#REF!</v>
      </c>
      <c r="F135" s="32" t="e">
        <f>装备!#REF!</f>
        <v>#REF!</v>
      </c>
      <c r="G135" s="32" t="e">
        <f>装备!#REF!</f>
        <v>#REF!</v>
      </c>
      <c r="H135" s="32" t="e">
        <f>装备!#REF!</f>
        <v>#REF!</v>
      </c>
      <c r="I135" s="32" t="e">
        <f>IF(装备!#REF!=0,0,"'"&amp;装备!#REF!&amp;"'")</f>
        <v>#REF!</v>
      </c>
      <c r="J135" s="32" t="e">
        <f>IF(装备!#REF!=0,0,"'"&amp;装备!#REF!&amp;"'")</f>
        <v>#REF!</v>
      </c>
      <c r="K135" s="32" t="e">
        <f>IF(装备!#REF!=0,0,"'"&amp;装备!#REF!&amp;"'")</f>
        <v>#REF!</v>
      </c>
      <c r="L135" s="32" t="e">
        <f>IF(装备!#REF!=0,0,"'"&amp;装备!#REF!&amp;"'")</f>
        <v>#REF!</v>
      </c>
      <c r="M135" s="32" t="e">
        <f>IF(装备!#REF!=0,0,"'"&amp;装备!#REF!&amp;"'")</f>
        <v>#REF!</v>
      </c>
      <c r="N135" s="32" t="e">
        <f>IF(装备!#REF!=0,0,"'"&amp;装备!#REF!&amp;"'")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IFERROR(VLOOKUP(C135,装备!$B:$E,3,FALSE),"")</f>
        <v/>
      </c>
      <c r="R135" s="36" t="str">
        <f>IFERROR(VLOOKUP(D135,装备!$B:$E,3,FALSE),"")</f>
        <v/>
      </c>
      <c r="S135" s="36" t="str">
        <f>IFERROR(VLOOKUP(E135,装备!$B:$E,3,FALSE),"")</f>
        <v/>
      </c>
      <c r="T135" s="36" t="str">
        <f>IFERROR(VLOOKUP(F135,装备!$B:$E,3,FALSE),"")</f>
        <v/>
      </c>
      <c r="U135" s="36" t="str">
        <f>IFERROR(VLOOKUP(G135,装备!$B:$E,3,FALSE),"")</f>
        <v/>
      </c>
      <c r="V135" s="36" t="str">
        <f>IFERROR(VLOOKUP(H135,装备!$B:$E,3,FALSE),"")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装备!#REF!</f>
        <v>#REF!</v>
      </c>
      <c r="B136" s="32" t="e">
        <f>"'"&amp;装备!#REF!&amp;"'"</f>
        <v>#REF!</v>
      </c>
      <c r="C136" s="32" t="e">
        <f>装备!#REF!</f>
        <v>#REF!</v>
      </c>
      <c r="D136" s="32" t="e">
        <f>装备!#REF!</f>
        <v>#REF!</v>
      </c>
      <c r="E136" s="32" t="e">
        <f>装备!#REF!</f>
        <v>#REF!</v>
      </c>
      <c r="F136" s="32" t="e">
        <f>装备!#REF!</f>
        <v>#REF!</v>
      </c>
      <c r="G136" s="32" t="e">
        <f>装备!#REF!</f>
        <v>#REF!</v>
      </c>
      <c r="H136" s="32" t="e">
        <f>装备!#REF!</f>
        <v>#REF!</v>
      </c>
      <c r="I136" s="32" t="e">
        <f>IF(装备!#REF!=0,0,"'"&amp;装备!#REF!&amp;"'")</f>
        <v>#REF!</v>
      </c>
      <c r="J136" s="32" t="e">
        <f>IF(装备!#REF!=0,0,"'"&amp;装备!#REF!&amp;"'")</f>
        <v>#REF!</v>
      </c>
      <c r="K136" s="32" t="e">
        <f>IF(装备!#REF!=0,0,"'"&amp;装备!#REF!&amp;"'")</f>
        <v>#REF!</v>
      </c>
      <c r="L136" s="32" t="e">
        <f>IF(装备!#REF!=0,0,"'"&amp;装备!#REF!&amp;"'")</f>
        <v>#REF!</v>
      </c>
      <c r="M136" s="32" t="e">
        <f>IF(装备!#REF!=0,0,"'"&amp;装备!#REF!&amp;"'")</f>
        <v>#REF!</v>
      </c>
      <c r="N136" s="32" t="e">
        <f>IF(装备!#REF!=0,0,"'"&amp;装备!#REF!&amp;"'")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IFERROR(VLOOKUP(C136,装备!$B:$E,3,FALSE),"")</f>
        <v/>
      </c>
      <c r="R136" s="36" t="str">
        <f>IFERROR(VLOOKUP(D136,装备!$B:$E,3,FALSE),"")</f>
        <v/>
      </c>
      <c r="S136" s="36" t="str">
        <f>IFERROR(VLOOKUP(E136,装备!$B:$E,3,FALSE),"")</f>
        <v/>
      </c>
      <c r="T136" s="36" t="str">
        <f>IFERROR(VLOOKUP(F136,装备!$B:$E,3,FALSE),"")</f>
        <v/>
      </c>
      <c r="U136" s="36" t="str">
        <f>IFERROR(VLOOKUP(G136,装备!$B:$E,3,FALSE),"")</f>
        <v/>
      </c>
      <c r="V136" s="36" t="str">
        <f>IFERROR(VLOOKUP(H136,装备!$B:$E,3,FALSE),"")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装备!#REF!</f>
        <v>#REF!</v>
      </c>
      <c r="B137" s="32" t="e">
        <f>"'"&amp;装备!#REF!&amp;"'"</f>
        <v>#REF!</v>
      </c>
      <c r="C137" s="32" t="e">
        <f>装备!#REF!</f>
        <v>#REF!</v>
      </c>
      <c r="D137" s="32" t="e">
        <f>装备!#REF!</f>
        <v>#REF!</v>
      </c>
      <c r="E137" s="32" t="e">
        <f>装备!#REF!</f>
        <v>#REF!</v>
      </c>
      <c r="F137" s="32" t="e">
        <f>装备!#REF!</f>
        <v>#REF!</v>
      </c>
      <c r="G137" s="32" t="e">
        <f>装备!#REF!</f>
        <v>#REF!</v>
      </c>
      <c r="H137" s="32" t="e">
        <f>装备!#REF!</f>
        <v>#REF!</v>
      </c>
      <c r="I137" s="32" t="e">
        <f>IF(装备!#REF!=0,0,"'"&amp;装备!#REF!&amp;"'")</f>
        <v>#REF!</v>
      </c>
      <c r="J137" s="32" t="e">
        <f>IF(装备!#REF!=0,0,"'"&amp;装备!#REF!&amp;"'")</f>
        <v>#REF!</v>
      </c>
      <c r="K137" s="32" t="e">
        <f>IF(装备!#REF!=0,0,"'"&amp;装备!#REF!&amp;"'")</f>
        <v>#REF!</v>
      </c>
      <c r="L137" s="32" t="e">
        <f>IF(装备!#REF!=0,0,"'"&amp;装备!#REF!&amp;"'")</f>
        <v>#REF!</v>
      </c>
      <c r="M137" s="32" t="e">
        <f>IF(装备!#REF!=0,0,"'"&amp;装备!#REF!&amp;"'")</f>
        <v>#REF!</v>
      </c>
      <c r="N137" s="32" t="e">
        <f>IF(装备!#REF!=0,0,"'"&amp;装备!#REF!&amp;"'")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IFERROR(VLOOKUP(C137,装备!$B:$E,3,FALSE),"")</f>
        <v/>
      </c>
      <c r="R137" s="36" t="str">
        <f>IFERROR(VLOOKUP(D137,装备!$B:$E,3,FALSE),"")</f>
        <v/>
      </c>
      <c r="S137" s="36" t="str">
        <f>IFERROR(VLOOKUP(E137,装备!$B:$E,3,FALSE),"")</f>
        <v/>
      </c>
      <c r="T137" s="36" t="str">
        <f>IFERROR(VLOOKUP(F137,装备!$B:$E,3,FALSE),"")</f>
        <v/>
      </c>
      <c r="U137" s="36" t="str">
        <f>IFERROR(VLOOKUP(G137,装备!$B:$E,3,FALSE),"")</f>
        <v/>
      </c>
      <c r="V137" s="36" t="str">
        <f>IFERROR(VLOOKUP(H137,装备!$B:$E,3,FALSE),"")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装备!#REF!</f>
        <v>#REF!</v>
      </c>
      <c r="B138" s="32" t="e">
        <f>"'"&amp;装备!#REF!&amp;"'"</f>
        <v>#REF!</v>
      </c>
      <c r="C138" s="32" t="e">
        <f>装备!#REF!</f>
        <v>#REF!</v>
      </c>
      <c r="D138" s="32" t="e">
        <f>装备!#REF!</f>
        <v>#REF!</v>
      </c>
      <c r="E138" s="32" t="e">
        <f>装备!#REF!</f>
        <v>#REF!</v>
      </c>
      <c r="F138" s="32" t="e">
        <f>装备!#REF!</f>
        <v>#REF!</v>
      </c>
      <c r="G138" s="32" t="e">
        <f>装备!#REF!</f>
        <v>#REF!</v>
      </c>
      <c r="H138" s="32" t="e">
        <f>装备!#REF!</f>
        <v>#REF!</v>
      </c>
      <c r="I138" s="32" t="e">
        <f>IF(装备!#REF!=0,0,"'"&amp;装备!#REF!&amp;"'")</f>
        <v>#REF!</v>
      </c>
      <c r="J138" s="32" t="e">
        <f>IF(装备!#REF!=0,0,"'"&amp;装备!#REF!&amp;"'")</f>
        <v>#REF!</v>
      </c>
      <c r="K138" s="32" t="e">
        <f>IF(装备!#REF!=0,0,"'"&amp;装备!#REF!&amp;"'")</f>
        <v>#REF!</v>
      </c>
      <c r="L138" s="32" t="e">
        <f>IF(装备!#REF!=0,0,"'"&amp;装备!#REF!&amp;"'")</f>
        <v>#REF!</v>
      </c>
      <c r="M138" s="32" t="e">
        <f>IF(装备!#REF!=0,0,"'"&amp;装备!#REF!&amp;"'")</f>
        <v>#REF!</v>
      </c>
      <c r="N138" s="32" t="e">
        <f>IF(装备!#REF!=0,0,"'"&amp;装备!#REF!&amp;"'")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IFERROR(VLOOKUP(C138,装备!$B:$E,3,FALSE),"")</f>
        <v/>
      </c>
      <c r="R138" s="36" t="str">
        <f>IFERROR(VLOOKUP(D138,装备!$B:$E,3,FALSE),"")</f>
        <v/>
      </c>
      <c r="S138" s="36" t="str">
        <f>IFERROR(VLOOKUP(E138,装备!$B:$E,3,FALSE),"")</f>
        <v/>
      </c>
      <c r="T138" s="36" t="str">
        <f>IFERROR(VLOOKUP(F138,装备!$B:$E,3,FALSE),"")</f>
        <v/>
      </c>
      <c r="U138" s="36" t="str">
        <f>IFERROR(VLOOKUP(G138,装备!$B:$E,3,FALSE),"")</f>
        <v/>
      </c>
      <c r="V138" s="36" t="str">
        <f>IFERROR(VLOOKUP(H138,装备!$B:$E,3,FALSE),"")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装备!#REF!</f>
        <v>#REF!</v>
      </c>
      <c r="B139" s="32" t="e">
        <f>"'"&amp;装备!#REF!&amp;"'"</f>
        <v>#REF!</v>
      </c>
      <c r="C139" s="32" t="e">
        <f>装备!#REF!</f>
        <v>#REF!</v>
      </c>
      <c r="D139" s="32" t="e">
        <f>装备!#REF!</f>
        <v>#REF!</v>
      </c>
      <c r="E139" s="32" t="e">
        <f>装备!#REF!</f>
        <v>#REF!</v>
      </c>
      <c r="F139" s="32" t="e">
        <f>装备!#REF!</f>
        <v>#REF!</v>
      </c>
      <c r="G139" s="32" t="e">
        <f>装备!#REF!</f>
        <v>#REF!</v>
      </c>
      <c r="H139" s="32" t="e">
        <f>装备!#REF!</f>
        <v>#REF!</v>
      </c>
      <c r="I139" s="32" t="e">
        <f>IF(装备!#REF!=0,0,"'"&amp;装备!#REF!&amp;"'")</f>
        <v>#REF!</v>
      </c>
      <c r="J139" s="32" t="e">
        <f>IF(装备!#REF!=0,0,"'"&amp;装备!#REF!&amp;"'")</f>
        <v>#REF!</v>
      </c>
      <c r="K139" s="32" t="e">
        <f>IF(装备!#REF!=0,0,"'"&amp;装备!#REF!&amp;"'")</f>
        <v>#REF!</v>
      </c>
      <c r="L139" s="32" t="e">
        <f>IF(装备!#REF!=0,0,"'"&amp;装备!#REF!&amp;"'")</f>
        <v>#REF!</v>
      </c>
      <c r="M139" s="32" t="e">
        <f>IF(装备!#REF!=0,0,"'"&amp;装备!#REF!&amp;"'")</f>
        <v>#REF!</v>
      </c>
      <c r="N139" s="32" t="e">
        <f>IF(装备!#REF!=0,0,"'"&amp;装备!#REF!&amp;"'")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IFERROR(VLOOKUP(C139,装备!$B:$E,3,FALSE),"")</f>
        <v/>
      </c>
      <c r="R139" s="36" t="str">
        <f>IFERROR(VLOOKUP(D139,装备!$B:$E,3,FALSE),"")</f>
        <v/>
      </c>
      <c r="S139" s="36" t="str">
        <f>IFERROR(VLOOKUP(E139,装备!$B:$E,3,FALSE),"")</f>
        <v/>
      </c>
      <c r="T139" s="36" t="str">
        <f>IFERROR(VLOOKUP(F139,装备!$B:$E,3,FALSE),"")</f>
        <v/>
      </c>
      <c r="U139" s="36" t="str">
        <f>IFERROR(VLOOKUP(G139,装备!$B:$E,3,FALSE),"")</f>
        <v/>
      </c>
      <c r="V139" s="36" t="str">
        <f>IFERROR(VLOOKUP(H139,装备!$B:$E,3,FALSE),"")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装备!#REF!</f>
        <v>#REF!</v>
      </c>
      <c r="B140" s="32" t="e">
        <f>"'"&amp;装备!#REF!&amp;"'"</f>
        <v>#REF!</v>
      </c>
      <c r="C140" s="32" t="e">
        <f>装备!#REF!</f>
        <v>#REF!</v>
      </c>
      <c r="D140" s="32" t="e">
        <f>装备!#REF!</f>
        <v>#REF!</v>
      </c>
      <c r="E140" s="32" t="e">
        <f>装备!#REF!</f>
        <v>#REF!</v>
      </c>
      <c r="F140" s="32" t="e">
        <f>装备!#REF!</f>
        <v>#REF!</v>
      </c>
      <c r="G140" s="32" t="e">
        <f>装备!#REF!</f>
        <v>#REF!</v>
      </c>
      <c r="H140" s="32" t="e">
        <f>装备!#REF!</f>
        <v>#REF!</v>
      </c>
      <c r="I140" s="32" t="e">
        <f>IF(装备!#REF!=0,0,"'"&amp;装备!#REF!&amp;"'")</f>
        <v>#REF!</v>
      </c>
      <c r="J140" s="32" t="e">
        <f>IF(装备!#REF!=0,0,"'"&amp;装备!#REF!&amp;"'")</f>
        <v>#REF!</v>
      </c>
      <c r="K140" s="32" t="e">
        <f>IF(装备!#REF!=0,0,"'"&amp;装备!#REF!&amp;"'")</f>
        <v>#REF!</v>
      </c>
      <c r="L140" s="32" t="e">
        <f>IF(装备!#REF!=0,0,"'"&amp;装备!#REF!&amp;"'")</f>
        <v>#REF!</v>
      </c>
      <c r="M140" s="32" t="e">
        <f>IF(装备!#REF!=0,0,"'"&amp;装备!#REF!&amp;"'")</f>
        <v>#REF!</v>
      </c>
      <c r="N140" s="32" t="e">
        <f>IF(装备!#REF!=0,0,"'"&amp;装备!#REF!&amp;"'")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IFERROR(VLOOKUP(C140,装备!$B:$E,3,FALSE),"")</f>
        <v/>
      </c>
      <c r="R140" s="36" t="str">
        <f>IFERROR(VLOOKUP(D140,装备!$B:$E,3,FALSE),"")</f>
        <v/>
      </c>
      <c r="S140" s="36" t="str">
        <f>IFERROR(VLOOKUP(E140,装备!$B:$E,3,FALSE),"")</f>
        <v/>
      </c>
      <c r="T140" s="36" t="str">
        <f>IFERROR(VLOOKUP(F140,装备!$B:$E,3,FALSE),"")</f>
        <v/>
      </c>
      <c r="U140" s="36" t="str">
        <f>IFERROR(VLOOKUP(G140,装备!$B:$E,3,FALSE),"")</f>
        <v/>
      </c>
      <c r="V140" s="36" t="str">
        <f>IFERROR(VLOOKUP(H140,装备!$B:$E,3,FALSE),"")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装备!#REF!</f>
        <v>#REF!</v>
      </c>
      <c r="B141" s="32" t="e">
        <f>"'"&amp;装备!#REF!&amp;"'"</f>
        <v>#REF!</v>
      </c>
      <c r="C141" s="32" t="e">
        <f>装备!#REF!</f>
        <v>#REF!</v>
      </c>
      <c r="D141" s="32" t="e">
        <f>装备!#REF!</f>
        <v>#REF!</v>
      </c>
      <c r="E141" s="32" t="e">
        <f>装备!#REF!</f>
        <v>#REF!</v>
      </c>
      <c r="F141" s="32" t="e">
        <f>装备!#REF!</f>
        <v>#REF!</v>
      </c>
      <c r="G141" s="32" t="e">
        <f>装备!#REF!</f>
        <v>#REF!</v>
      </c>
      <c r="H141" s="32" t="e">
        <f>装备!#REF!</f>
        <v>#REF!</v>
      </c>
      <c r="I141" s="32" t="e">
        <f>IF(装备!#REF!=0,0,"'"&amp;装备!#REF!&amp;"'")</f>
        <v>#REF!</v>
      </c>
      <c r="J141" s="32" t="e">
        <f>IF(装备!#REF!=0,0,"'"&amp;装备!#REF!&amp;"'")</f>
        <v>#REF!</v>
      </c>
      <c r="K141" s="32" t="e">
        <f>IF(装备!#REF!=0,0,"'"&amp;装备!#REF!&amp;"'")</f>
        <v>#REF!</v>
      </c>
      <c r="L141" s="32" t="e">
        <f>IF(装备!#REF!=0,0,"'"&amp;装备!#REF!&amp;"'")</f>
        <v>#REF!</v>
      </c>
      <c r="M141" s="32" t="e">
        <f>IF(装备!#REF!=0,0,"'"&amp;装备!#REF!&amp;"'")</f>
        <v>#REF!</v>
      </c>
      <c r="N141" s="32" t="e">
        <f>IF(装备!#REF!=0,0,"'"&amp;装备!#REF!&amp;"'")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IFERROR(VLOOKUP(C141,装备!$B:$E,3,FALSE),"")</f>
        <v/>
      </c>
      <c r="R141" s="36" t="str">
        <f>IFERROR(VLOOKUP(D141,装备!$B:$E,3,FALSE),"")</f>
        <v/>
      </c>
      <c r="S141" s="36" t="str">
        <f>IFERROR(VLOOKUP(E141,装备!$B:$E,3,FALSE),"")</f>
        <v/>
      </c>
      <c r="T141" s="36" t="str">
        <f>IFERROR(VLOOKUP(F141,装备!$B:$E,3,FALSE),"")</f>
        <v/>
      </c>
      <c r="U141" s="36" t="str">
        <f>IFERROR(VLOOKUP(G141,装备!$B:$E,3,FALSE),"")</f>
        <v/>
      </c>
      <c r="V141" s="36" t="str">
        <f>IFERROR(VLOOKUP(H141,装备!$B:$E,3,FALSE),"")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装备!#REF!</f>
        <v>#REF!</v>
      </c>
      <c r="B142" s="32" t="e">
        <f>"'"&amp;装备!#REF!&amp;"'"</f>
        <v>#REF!</v>
      </c>
      <c r="C142" s="32" t="e">
        <f>装备!#REF!</f>
        <v>#REF!</v>
      </c>
      <c r="D142" s="32" t="e">
        <f>装备!#REF!</f>
        <v>#REF!</v>
      </c>
      <c r="E142" s="32" t="e">
        <f>装备!#REF!</f>
        <v>#REF!</v>
      </c>
      <c r="F142" s="32" t="e">
        <f>装备!#REF!</f>
        <v>#REF!</v>
      </c>
      <c r="G142" s="32" t="e">
        <f>装备!#REF!</f>
        <v>#REF!</v>
      </c>
      <c r="H142" s="32" t="e">
        <f>装备!#REF!</f>
        <v>#REF!</v>
      </c>
      <c r="I142" s="32" t="e">
        <f>IF(装备!#REF!=0,0,"'"&amp;装备!#REF!&amp;"'")</f>
        <v>#REF!</v>
      </c>
      <c r="J142" s="32" t="e">
        <f>IF(装备!#REF!=0,0,"'"&amp;装备!#REF!&amp;"'")</f>
        <v>#REF!</v>
      </c>
      <c r="K142" s="32" t="e">
        <f>IF(装备!#REF!=0,0,"'"&amp;装备!#REF!&amp;"'")</f>
        <v>#REF!</v>
      </c>
      <c r="L142" s="32" t="e">
        <f>IF(装备!#REF!=0,0,"'"&amp;装备!#REF!&amp;"'")</f>
        <v>#REF!</v>
      </c>
      <c r="M142" s="32" t="e">
        <f>IF(装备!#REF!=0,0,"'"&amp;装备!#REF!&amp;"'")</f>
        <v>#REF!</v>
      </c>
      <c r="N142" s="32" t="e">
        <f>IF(装备!#REF!=0,0,"'"&amp;装备!#REF!&amp;"'")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IFERROR(VLOOKUP(C142,装备!$B:$E,3,FALSE),"")</f>
        <v/>
      </c>
      <c r="R142" s="36" t="str">
        <f>IFERROR(VLOOKUP(D142,装备!$B:$E,3,FALSE),"")</f>
        <v/>
      </c>
      <c r="S142" s="36" t="str">
        <f>IFERROR(VLOOKUP(E142,装备!$B:$E,3,FALSE),"")</f>
        <v/>
      </c>
      <c r="T142" s="36" t="str">
        <f>IFERROR(VLOOKUP(F142,装备!$B:$E,3,FALSE),"")</f>
        <v/>
      </c>
      <c r="U142" s="36" t="str">
        <f>IFERROR(VLOOKUP(G142,装备!$B:$E,3,FALSE),"")</f>
        <v/>
      </c>
      <c r="V142" s="36" t="str">
        <f>IFERROR(VLOOKUP(H142,装备!$B:$E,3,FALSE),"")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装备!#REF!</f>
        <v>#REF!</v>
      </c>
      <c r="B143" s="32" t="e">
        <f>"'"&amp;装备!#REF!&amp;"'"</f>
        <v>#REF!</v>
      </c>
      <c r="C143" s="32" t="e">
        <f>装备!#REF!</f>
        <v>#REF!</v>
      </c>
      <c r="D143" s="32" t="e">
        <f>装备!#REF!</f>
        <v>#REF!</v>
      </c>
      <c r="E143" s="32" t="e">
        <f>装备!#REF!</f>
        <v>#REF!</v>
      </c>
      <c r="F143" s="32" t="e">
        <f>装备!#REF!</f>
        <v>#REF!</v>
      </c>
      <c r="G143" s="32" t="e">
        <f>装备!#REF!</f>
        <v>#REF!</v>
      </c>
      <c r="H143" s="32" t="e">
        <f>装备!#REF!</f>
        <v>#REF!</v>
      </c>
      <c r="I143" s="32" t="e">
        <f>IF(装备!#REF!=0,0,"'"&amp;装备!#REF!&amp;"'")</f>
        <v>#REF!</v>
      </c>
      <c r="J143" s="32" t="e">
        <f>IF(装备!#REF!=0,0,"'"&amp;装备!#REF!&amp;"'")</f>
        <v>#REF!</v>
      </c>
      <c r="K143" s="32" t="e">
        <f>IF(装备!#REF!=0,0,"'"&amp;装备!#REF!&amp;"'")</f>
        <v>#REF!</v>
      </c>
      <c r="L143" s="32" t="e">
        <f>IF(装备!#REF!=0,0,"'"&amp;装备!#REF!&amp;"'")</f>
        <v>#REF!</v>
      </c>
      <c r="M143" s="32" t="e">
        <f>IF(装备!#REF!=0,0,"'"&amp;装备!#REF!&amp;"'")</f>
        <v>#REF!</v>
      </c>
      <c r="N143" s="32" t="e">
        <f>IF(装备!#REF!=0,0,"'"&amp;装备!#REF!&amp;"'")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IFERROR(VLOOKUP(C143,装备!$B:$E,3,FALSE),"")</f>
        <v/>
      </c>
      <c r="R143" s="36" t="str">
        <f>IFERROR(VLOOKUP(D143,装备!$B:$E,3,FALSE),"")</f>
        <v/>
      </c>
      <c r="S143" s="36" t="str">
        <f>IFERROR(VLOOKUP(E143,装备!$B:$E,3,FALSE),"")</f>
        <v/>
      </c>
      <c r="T143" s="36" t="str">
        <f>IFERROR(VLOOKUP(F143,装备!$B:$E,3,FALSE),"")</f>
        <v/>
      </c>
      <c r="U143" s="36" t="str">
        <f>IFERROR(VLOOKUP(G143,装备!$B:$E,3,FALSE),"")</f>
        <v/>
      </c>
      <c r="V143" s="36" t="str">
        <f>IFERROR(VLOOKUP(H143,装备!$B:$E,3,FALSE),"")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装备!#REF!</f>
        <v>#REF!</v>
      </c>
      <c r="B144" s="32" t="e">
        <f>"'"&amp;装备!#REF!&amp;"'"</f>
        <v>#REF!</v>
      </c>
      <c r="C144" s="32" t="e">
        <f>装备!#REF!</f>
        <v>#REF!</v>
      </c>
      <c r="D144" s="32" t="e">
        <f>装备!#REF!</f>
        <v>#REF!</v>
      </c>
      <c r="E144" s="32" t="e">
        <f>装备!#REF!</f>
        <v>#REF!</v>
      </c>
      <c r="F144" s="32" t="e">
        <f>装备!#REF!</f>
        <v>#REF!</v>
      </c>
      <c r="G144" s="32" t="e">
        <f>装备!#REF!</f>
        <v>#REF!</v>
      </c>
      <c r="H144" s="32" t="e">
        <f>装备!#REF!</f>
        <v>#REF!</v>
      </c>
      <c r="I144" s="32" t="e">
        <f>IF(装备!#REF!=0,0,"'"&amp;装备!#REF!&amp;"'")</f>
        <v>#REF!</v>
      </c>
      <c r="J144" s="32" t="e">
        <f>IF(装备!#REF!=0,0,"'"&amp;装备!#REF!&amp;"'")</f>
        <v>#REF!</v>
      </c>
      <c r="K144" s="32" t="e">
        <f>IF(装备!#REF!=0,0,"'"&amp;装备!#REF!&amp;"'")</f>
        <v>#REF!</v>
      </c>
      <c r="L144" s="32" t="e">
        <f>IF(装备!#REF!=0,0,"'"&amp;装备!#REF!&amp;"'")</f>
        <v>#REF!</v>
      </c>
      <c r="M144" s="32" t="e">
        <f>IF(装备!#REF!=0,0,"'"&amp;装备!#REF!&amp;"'")</f>
        <v>#REF!</v>
      </c>
      <c r="N144" s="32" t="e">
        <f>IF(装备!#REF!=0,0,"'"&amp;装备!#REF!&amp;"'")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IFERROR(VLOOKUP(C144,装备!$B:$E,3,FALSE),"")</f>
        <v/>
      </c>
      <c r="R144" s="36" t="str">
        <f>IFERROR(VLOOKUP(D144,装备!$B:$E,3,FALSE),"")</f>
        <v/>
      </c>
      <c r="S144" s="36" t="str">
        <f>IFERROR(VLOOKUP(E144,装备!$B:$E,3,FALSE),"")</f>
        <v/>
      </c>
      <c r="T144" s="36" t="str">
        <f>IFERROR(VLOOKUP(F144,装备!$B:$E,3,FALSE),"")</f>
        <v/>
      </c>
      <c r="U144" s="36" t="str">
        <f>IFERROR(VLOOKUP(G144,装备!$B:$E,3,FALSE),"")</f>
        <v/>
      </c>
      <c r="V144" s="36" t="str">
        <f>IFERROR(VLOOKUP(H144,装备!$B:$E,3,FALSE),"")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装备!#REF!</f>
        <v>#REF!</v>
      </c>
      <c r="B145" s="32" t="e">
        <f>"'"&amp;装备!#REF!&amp;"'"</f>
        <v>#REF!</v>
      </c>
      <c r="C145" s="32" t="e">
        <f>装备!#REF!</f>
        <v>#REF!</v>
      </c>
      <c r="D145" s="32" t="e">
        <f>装备!#REF!</f>
        <v>#REF!</v>
      </c>
      <c r="E145" s="32" t="e">
        <f>装备!#REF!</f>
        <v>#REF!</v>
      </c>
      <c r="F145" s="32" t="e">
        <f>装备!#REF!</f>
        <v>#REF!</v>
      </c>
      <c r="G145" s="32" t="e">
        <f>装备!#REF!</f>
        <v>#REF!</v>
      </c>
      <c r="H145" s="32" t="e">
        <f>装备!#REF!</f>
        <v>#REF!</v>
      </c>
      <c r="I145" s="32" t="e">
        <f>IF(装备!#REF!=0,0,"'"&amp;装备!#REF!&amp;"'")</f>
        <v>#REF!</v>
      </c>
      <c r="J145" s="32" t="e">
        <f>IF(装备!#REF!=0,0,"'"&amp;装备!#REF!&amp;"'")</f>
        <v>#REF!</v>
      </c>
      <c r="K145" s="32" t="e">
        <f>IF(装备!#REF!=0,0,"'"&amp;装备!#REF!&amp;"'")</f>
        <v>#REF!</v>
      </c>
      <c r="L145" s="32" t="e">
        <f>IF(装备!#REF!=0,0,"'"&amp;装备!#REF!&amp;"'")</f>
        <v>#REF!</v>
      </c>
      <c r="M145" s="32" t="e">
        <f>IF(装备!#REF!=0,0,"'"&amp;装备!#REF!&amp;"'")</f>
        <v>#REF!</v>
      </c>
      <c r="N145" s="32" t="e">
        <f>IF(装备!#REF!=0,0,"'"&amp;装备!#REF!&amp;"'")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IFERROR(VLOOKUP(C145,装备!$B:$E,3,FALSE),"")</f>
        <v/>
      </c>
      <c r="R145" s="36" t="str">
        <f>IFERROR(VLOOKUP(D145,装备!$B:$E,3,FALSE),"")</f>
        <v/>
      </c>
      <c r="S145" s="36" t="str">
        <f>IFERROR(VLOOKUP(E145,装备!$B:$E,3,FALSE),"")</f>
        <v/>
      </c>
      <c r="T145" s="36" t="str">
        <f>IFERROR(VLOOKUP(F145,装备!$B:$E,3,FALSE),"")</f>
        <v/>
      </c>
      <c r="U145" s="36" t="str">
        <f>IFERROR(VLOOKUP(G145,装备!$B:$E,3,FALSE),"")</f>
        <v/>
      </c>
      <c r="V145" s="36" t="str">
        <f>IFERROR(VLOOKUP(H145,装备!$B:$E,3,FALSE),"")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装备!#REF!</f>
        <v>#REF!</v>
      </c>
      <c r="B146" s="32" t="e">
        <f>"'"&amp;装备!#REF!&amp;"'"</f>
        <v>#REF!</v>
      </c>
      <c r="C146" s="32" t="e">
        <f>装备!#REF!</f>
        <v>#REF!</v>
      </c>
      <c r="D146" s="32" t="e">
        <f>装备!#REF!</f>
        <v>#REF!</v>
      </c>
      <c r="E146" s="32" t="e">
        <f>装备!#REF!</f>
        <v>#REF!</v>
      </c>
      <c r="F146" s="32" t="e">
        <f>装备!#REF!</f>
        <v>#REF!</v>
      </c>
      <c r="G146" s="32" t="e">
        <f>装备!#REF!</f>
        <v>#REF!</v>
      </c>
      <c r="H146" s="32" t="e">
        <f>装备!#REF!</f>
        <v>#REF!</v>
      </c>
      <c r="I146" s="32" t="e">
        <f>IF(装备!#REF!=0,0,"'"&amp;装备!#REF!&amp;"'")</f>
        <v>#REF!</v>
      </c>
      <c r="J146" s="32" t="e">
        <f>IF(装备!#REF!=0,0,"'"&amp;装备!#REF!&amp;"'")</f>
        <v>#REF!</v>
      </c>
      <c r="K146" s="32" t="e">
        <f>IF(装备!#REF!=0,0,"'"&amp;装备!#REF!&amp;"'")</f>
        <v>#REF!</v>
      </c>
      <c r="L146" s="32" t="e">
        <f>IF(装备!#REF!=0,0,"'"&amp;装备!#REF!&amp;"'")</f>
        <v>#REF!</v>
      </c>
      <c r="M146" s="32" t="e">
        <f>IF(装备!#REF!=0,0,"'"&amp;装备!#REF!&amp;"'")</f>
        <v>#REF!</v>
      </c>
      <c r="N146" s="32" t="e">
        <f>IF(装备!#REF!=0,0,"'"&amp;装备!#REF!&amp;"'")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IFERROR(VLOOKUP(C146,装备!$B:$E,3,FALSE),"")</f>
        <v/>
      </c>
      <c r="R146" s="36" t="str">
        <f>IFERROR(VLOOKUP(D146,装备!$B:$E,3,FALSE),"")</f>
        <v/>
      </c>
      <c r="S146" s="36" t="str">
        <f>IFERROR(VLOOKUP(E146,装备!$B:$E,3,FALSE),"")</f>
        <v/>
      </c>
      <c r="T146" s="36" t="str">
        <f>IFERROR(VLOOKUP(F146,装备!$B:$E,3,FALSE),"")</f>
        <v/>
      </c>
      <c r="U146" s="36" t="str">
        <f>IFERROR(VLOOKUP(G146,装备!$B:$E,3,FALSE),"")</f>
        <v/>
      </c>
      <c r="V146" s="36" t="str">
        <f>IFERROR(VLOOKUP(H146,装备!$B:$E,3,FALSE),"")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装备!#REF!</f>
        <v>#REF!</v>
      </c>
      <c r="B147" s="32" t="e">
        <f>"'"&amp;装备!#REF!&amp;"'"</f>
        <v>#REF!</v>
      </c>
      <c r="C147" s="32" t="e">
        <f>装备!#REF!</f>
        <v>#REF!</v>
      </c>
      <c r="D147" s="32" t="e">
        <f>装备!#REF!</f>
        <v>#REF!</v>
      </c>
      <c r="E147" s="32" t="e">
        <f>装备!#REF!</f>
        <v>#REF!</v>
      </c>
      <c r="F147" s="32" t="e">
        <f>装备!#REF!</f>
        <v>#REF!</v>
      </c>
      <c r="G147" s="32" t="e">
        <f>装备!#REF!</f>
        <v>#REF!</v>
      </c>
      <c r="H147" s="32" t="e">
        <f>装备!#REF!</f>
        <v>#REF!</v>
      </c>
      <c r="I147" s="32" t="e">
        <f>IF(装备!#REF!=0,0,"'"&amp;装备!#REF!&amp;"'")</f>
        <v>#REF!</v>
      </c>
      <c r="J147" s="32" t="e">
        <f>IF(装备!#REF!=0,0,"'"&amp;装备!#REF!&amp;"'")</f>
        <v>#REF!</v>
      </c>
      <c r="K147" s="32" t="e">
        <f>IF(装备!#REF!=0,0,"'"&amp;装备!#REF!&amp;"'")</f>
        <v>#REF!</v>
      </c>
      <c r="L147" s="32" t="e">
        <f>IF(装备!#REF!=0,0,"'"&amp;装备!#REF!&amp;"'")</f>
        <v>#REF!</v>
      </c>
      <c r="M147" s="32" t="e">
        <f>IF(装备!#REF!=0,0,"'"&amp;装备!#REF!&amp;"'")</f>
        <v>#REF!</v>
      </c>
      <c r="N147" s="32" t="e">
        <f>IF(装备!#REF!=0,0,"'"&amp;装备!#REF!&amp;"'")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IFERROR(VLOOKUP(C147,装备!$B:$E,3,FALSE),"")</f>
        <v/>
      </c>
      <c r="R147" s="36" t="str">
        <f>IFERROR(VLOOKUP(D147,装备!$B:$E,3,FALSE),"")</f>
        <v/>
      </c>
      <c r="S147" s="36" t="str">
        <f>IFERROR(VLOOKUP(E147,装备!$B:$E,3,FALSE),"")</f>
        <v/>
      </c>
      <c r="T147" s="36" t="str">
        <f>IFERROR(VLOOKUP(F147,装备!$B:$E,3,FALSE),"")</f>
        <v/>
      </c>
      <c r="U147" s="36" t="str">
        <f>IFERROR(VLOOKUP(G147,装备!$B:$E,3,FALSE),"")</f>
        <v/>
      </c>
      <c r="V147" s="36" t="str">
        <f>IFERROR(VLOOKUP(H147,装备!$B:$E,3,FALSE),"")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装备!#REF!</f>
        <v>#REF!</v>
      </c>
      <c r="B148" s="32" t="e">
        <f>"'"&amp;装备!#REF!&amp;"'"</f>
        <v>#REF!</v>
      </c>
      <c r="C148" s="32" t="e">
        <f>装备!#REF!</f>
        <v>#REF!</v>
      </c>
      <c r="D148" s="32" t="e">
        <f>装备!#REF!</f>
        <v>#REF!</v>
      </c>
      <c r="E148" s="32" t="e">
        <f>装备!#REF!</f>
        <v>#REF!</v>
      </c>
      <c r="F148" s="32" t="e">
        <f>装备!#REF!</f>
        <v>#REF!</v>
      </c>
      <c r="G148" s="32" t="e">
        <f>装备!#REF!</f>
        <v>#REF!</v>
      </c>
      <c r="H148" s="32" t="e">
        <f>装备!#REF!</f>
        <v>#REF!</v>
      </c>
      <c r="I148" s="32" t="e">
        <f>IF(装备!#REF!=0,0,"'"&amp;装备!#REF!&amp;"'")</f>
        <v>#REF!</v>
      </c>
      <c r="J148" s="32" t="e">
        <f>IF(装备!#REF!=0,0,"'"&amp;装备!#REF!&amp;"'")</f>
        <v>#REF!</v>
      </c>
      <c r="K148" s="32" t="e">
        <f>IF(装备!#REF!=0,0,"'"&amp;装备!#REF!&amp;"'")</f>
        <v>#REF!</v>
      </c>
      <c r="L148" s="32" t="e">
        <f>IF(装备!#REF!=0,0,"'"&amp;装备!#REF!&amp;"'")</f>
        <v>#REF!</v>
      </c>
      <c r="M148" s="32" t="e">
        <f>IF(装备!#REF!=0,0,"'"&amp;装备!#REF!&amp;"'")</f>
        <v>#REF!</v>
      </c>
      <c r="N148" s="32" t="e">
        <f>IF(装备!#REF!=0,0,"'"&amp;装备!#REF!&amp;"'")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IFERROR(VLOOKUP(C148,装备!$B:$E,3,FALSE),"")</f>
        <v/>
      </c>
      <c r="R148" s="36" t="str">
        <f>IFERROR(VLOOKUP(D148,装备!$B:$E,3,FALSE),"")</f>
        <v/>
      </c>
      <c r="S148" s="36" t="str">
        <f>IFERROR(VLOOKUP(E148,装备!$B:$E,3,FALSE),"")</f>
        <v/>
      </c>
      <c r="T148" s="36" t="str">
        <f>IFERROR(VLOOKUP(F148,装备!$B:$E,3,FALSE),"")</f>
        <v/>
      </c>
      <c r="U148" s="36" t="str">
        <f>IFERROR(VLOOKUP(G148,装备!$B:$E,3,FALSE),"")</f>
        <v/>
      </c>
      <c r="V148" s="36" t="str">
        <f>IFERROR(VLOOKUP(H148,装备!$B:$E,3,FALSE),"")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装备!#REF!</f>
        <v>#REF!</v>
      </c>
      <c r="B149" s="32" t="e">
        <f>"'"&amp;装备!#REF!&amp;"'"</f>
        <v>#REF!</v>
      </c>
      <c r="C149" s="32" t="e">
        <f>装备!#REF!</f>
        <v>#REF!</v>
      </c>
      <c r="D149" s="32" t="e">
        <f>装备!#REF!</f>
        <v>#REF!</v>
      </c>
      <c r="E149" s="32" t="e">
        <f>装备!#REF!</f>
        <v>#REF!</v>
      </c>
      <c r="F149" s="32" t="e">
        <f>装备!#REF!</f>
        <v>#REF!</v>
      </c>
      <c r="G149" s="32" t="e">
        <f>装备!#REF!</f>
        <v>#REF!</v>
      </c>
      <c r="H149" s="32" t="e">
        <f>装备!#REF!</f>
        <v>#REF!</v>
      </c>
      <c r="I149" s="32" t="e">
        <f>IF(装备!#REF!=0,0,"'"&amp;装备!#REF!&amp;"'")</f>
        <v>#REF!</v>
      </c>
      <c r="J149" s="32" t="e">
        <f>IF(装备!#REF!=0,0,"'"&amp;装备!#REF!&amp;"'")</f>
        <v>#REF!</v>
      </c>
      <c r="K149" s="32" t="e">
        <f>IF(装备!#REF!=0,0,"'"&amp;装备!#REF!&amp;"'")</f>
        <v>#REF!</v>
      </c>
      <c r="L149" s="32" t="e">
        <f>IF(装备!#REF!=0,0,"'"&amp;装备!#REF!&amp;"'")</f>
        <v>#REF!</v>
      </c>
      <c r="M149" s="32" t="e">
        <f>IF(装备!#REF!=0,0,"'"&amp;装备!#REF!&amp;"'")</f>
        <v>#REF!</v>
      </c>
      <c r="N149" s="32" t="e">
        <f>IF(装备!#REF!=0,0,"'"&amp;装备!#REF!&amp;"'")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IFERROR(VLOOKUP(C149,装备!$B:$E,3,FALSE),"")</f>
        <v/>
      </c>
      <c r="R149" s="36" t="str">
        <f>IFERROR(VLOOKUP(D149,装备!$B:$E,3,FALSE),"")</f>
        <v/>
      </c>
      <c r="S149" s="36" t="str">
        <f>IFERROR(VLOOKUP(E149,装备!$B:$E,3,FALSE),"")</f>
        <v/>
      </c>
      <c r="T149" s="36" t="str">
        <f>IFERROR(VLOOKUP(F149,装备!$B:$E,3,FALSE),"")</f>
        <v/>
      </c>
      <c r="U149" s="36" t="str">
        <f>IFERROR(VLOOKUP(G149,装备!$B:$E,3,FALSE),"")</f>
        <v/>
      </c>
      <c r="V149" s="36" t="str">
        <f>IFERROR(VLOOKUP(H149,装备!$B:$E,3,FALSE),"")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装备!#REF!</f>
        <v>#REF!</v>
      </c>
      <c r="B150" s="32" t="e">
        <f>"'"&amp;装备!#REF!&amp;"'"</f>
        <v>#REF!</v>
      </c>
      <c r="C150" s="32" t="e">
        <f>装备!#REF!</f>
        <v>#REF!</v>
      </c>
      <c r="D150" s="32" t="e">
        <f>装备!#REF!</f>
        <v>#REF!</v>
      </c>
      <c r="E150" s="32" t="e">
        <f>装备!#REF!</f>
        <v>#REF!</v>
      </c>
      <c r="F150" s="32" t="e">
        <f>装备!#REF!</f>
        <v>#REF!</v>
      </c>
      <c r="G150" s="32" t="e">
        <f>装备!#REF!</f>
        <v>#REF!</v>
      </c>
      <c r="H150" s="32" t="e">
        <f>装备!#REF!</f>
        <v>#REF!</v>
      </c>
      <c r="I150" s="32" t="e">
        <f>IF(装备!#REF!=0,0,"'"&amp;装备!#REF!&amp;"'")</f>
        <v>#REF!</v>
      </c>
      <c r="J150" s="32" t="e">
        <f>IF(装备!#REF!=0,0,"'"&amp;装备!#REF!&amp;"'")</f>
        <v>#REF!</v>
      </c>
      <c r="K150" s="32" t="e">
        <f>IF(装备!#REF!=0,0,"'"&amp;装备!#REF!&amp;"'")</f>
        <v>#REF!</v>
      </c>
      <c r="L150" s="32" t="e">
        <f>IF(装备!#REF!=0,0,"'"&amp;装备!#REF!&amp;"'")</f>
        <v>#REF!</v>
      </c>
      <c r="M150" s="32" t="e">
        <f>IF(装备!#REF!=0,0,"'"&amp;装备!#REF!&amp;"'")</f>
        <v>#REF!</v>
      </c>
      <c r="N150" s="32" t="e">
        <f>IF(装备!#REF!=0,0,"'"&amp;装备!#REF!&amp;"'")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IFERROR(VLOOKUP(C150,装备!$B:$E,3,FALSE),"")</f>
        <v/>
      </c>
      <c r="R150" s="36" t="str">
        <f>IFERROR(VLOOKUP(D150,装备!$B:$E,3,FALSE),"")</f>
        <v/>
      </c>
      <c r="S150" s="36" t="str">
        <f>IFERROR(VLOOKUP(E150,装备!$B:$E,3,FALSE),"")</f>
        <v/>
      </c>
      <c r="T150" s="36" t="str">
        <f>IFERROR(VLOOKUP(F150,装备!$B:$E,3,FALSE),"")</f>
        <v/>
      </c>
      <c r="U150" s="36" t="str">
        <f>IFERROR(VLOOKUP(G150,装备!$B:$E,3,FALSE),"")</f>
        <v/>
      </c>
      <c r="V150" s="36" t="str">
        <f>IFERROR(VLOOKUP(H150,装备!$B:$E,3,FALSE),"")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装备!#REF!</f>
        <v>#REF!</v>
      </c>
      <c r="B151" s="32" t="e">
        <f>"'"&amp;装备!#REF!&amp;"'"</f>
        <v>#REF!</v>
      </c>
      <c r="C151" s="32" t="e">
        <f>装备!#REF!</f>
        <v>#REF!</v>
      </c>
      <c r="D151" s="32" t="e">
        <f>装备!#REF!</f>
        <v>#REF!</v>
      </c>
      <c r="E151" s="32" t="e">
        <f>装备!#REF!</f>
        <v>#REF!</v>
      </c>
      <c r="F151" s="32" t="e">
        <f>装备!#REF!</f>
        <v>#REF!</v>
      </c>
      <c r="G151" s="32" t="e">
        <f>装备!#REF!</f>
        <v>#REF!</v>
      </c>
      <c r="H151" s="32" t="e">
        <f>装备!#REF!</f>
        <v>#REF!</v>
      </c>
      <c r="I151" s="32" t="e">
        <f>IF(装备!#REF!=0,0,"'"&amp;装备!#REF!&amp;"'")</f>
        <v>#REF!</v>
      </c>
      <c r="J151" s="32" t="e">
        <f>IF(装备!#REF!=0,0,"'"&amp;装备!#REF!&amp;"'")</f>
        <v>#REF!</v>
      </c>
      <c r="K151" s="32" t="e">
        <f>IF(装备!#REF!=0,0,"'"&amp;装备!#REF!&amp;"'")</f>
        <v>#REF!</v>
      </c>
      <c r="L151" s="32" t="e">
        <f>IF(装备!#REF!=0,0,"'"&amp;装备!#REF!&amp;"'")</f>
        <v>#REF!</v>
      </c>
      <c r="M151" s="32" t="e">
        <f>IF(装备!#REF!=0,0,"'"&amp;装备!#REF!&amp;"'")</f>
        <v>#REF!</v>
      </c>
      <c r="N151" s="32" t="e">
        <f>IF(装备!#REF!=0,0,"'"&amp;装备!#REF!&amp;"'")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IFERROR(VLOOKUP(C151,装备!$B:$E,3,FALSE),"")</f>
        <v/>
      </c>
      <c r="R151" s="36" t="str">
        <f>IFERROR(VLOOKUP(D151,装备!$B:$E,3,FALSE),"")</f>
        <v/>
      </c>
      <c r="S151" s="36" t="str">
        <f>IFERROR(VLOOKUP(E151,装备!$B:$E,3,FALSE),"")</f>
        <v/>
      </c>
      <c r="T151" s="36" t="str">
        <f>IFERROR(VLOOKUP(F151,装备!$B:$E,3,FALSE),"")</f>
        <v/>
      </c>
      <c r="U151" s="36" t="str">
        <f>IFERROR(VLOOKUP(G151,装备!$B:$E,3,FALSE),"")</f>
        <v/>
      </c>
      <c r="V151" s="36" t="str">
        <f>IFERROR(VLOOKUP(H151,装备!$B:$E,3,FALSE),"")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装备!#REF!</f>
        <v>#REF!</v>
      </c>
      <c r="B152" s="32" t="e">
        <f>"'"&amp;装备!#REF!&amp;"'"</f>
        <v>#REF!</v>
      </c>
      <c r="C152" s="32" t="e">
        <f>装备!#REF!</f>
        <v>#REF!</v>
      </c>
      <c r="D152" s="32" t="e">
        <f>装备!#REF!</f>
        <v>#REF!</v>
      </c>
      <c r="E152" s="32" t="e">
        <f>装备!#REF!</f>
        <v>#REF!</v>
      </c>
      <c r="F152" s="32" t="e">
        <f>装备!#REF!</f>
        <v>#REF!</v>
      </c>
      <c r="G152" s="32" t="e">
        <f>装备!#REF!</f>
        <v>#REF!</v>
      </c>
      <c r="H152" s="32" t="e">
        <f>装备!#REF!</f>
        <v>#REF!</v>
      </c>
      <c r="I152" s="32" t="e">
        <f>IF(装备!#REF!=0,0,"'"&amp;装备!#REF!&amp;"'")</f>
        <v>#REF!</v>
      </c>
      <c r="J152" s="32" t="e">
        <f>IF(装备!#REF!=0,0,"'"&amp;装备!#REF!&amp;"'")</f>
        <v>#REF!</v>
      </c>
      <c r="K152" s="32" t="e">
        <f>IF(装备!#REF!=0,0,"'"&amp;装备!#REF!&amp;"'")</f>
        <v>#REF!</v>
      </c>
      <c r="L152" s="32" t="e">
        <f>IF(装备!#REF!=0,0,"'"&amp;装备!#REF!&amp;"'")</f>
        <v>#REF!</v>
      </c>
      <c r="M152" s="32" t="e">
        <f>IF(装备!#REF!=0,0,"'"&amp;装备!#REF!&amp;"'")</f>
        <v>#REF!</v>
      </c>
      <c r="N152" s="32" t="e">
        <f>IF(装备!#REF!=0,0,"'"&amp;装备!#REF!&amp;"'")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IFERROR(VLOOKUP(C152,装备!$B:$E,3,FALSE),"")</f>
        <v/>
      </c>
      <c r="R152" s="36" t="str">
        <f>IFERROR(VLOOKUP(D152,装备!$B:$E,3,FALSE),"")</f>
        <v/>
      </c>
      <c r="S152" s="36" t="str">
        <f>IFERROR(VLOOKUP(E152,装备!$B:$E,3,FALSE),"")</f>
        <v/>
      </c>
      <c r="T152" s="36" t="str">
        <f>IFERROR(VLOOKUP(F152,装备!$B:$E,3,FALSE),"")</f>
        <v/>
      </c>
      <c r="U152" s="36" t="str">
        <f>IFERROR(VLOOKUP(G152,装备!$B:$E,3,FALSE),"")</f>
        <v/>
      </c>
      <c r="V152" s="36" t="str">
        <f>IFERROR(VLOOKUP(H152,装备!$B:$E,3,FALSE),"")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装备!#REF!</f>
        <v>#REF!</v>
      </c>
      <c r="B153" s="32" t="e">
        <f>"'"&amp;装备!#REF!&amp;"'"</f>
        <v>#REF!</v>
      </c>
      <c r="C153" s="32" t="e">
        <f>装备!#REF!</f>
        <v>#REF!</v>
      </c>
      <c r="D153" s="32" t="e">
        <f>装备!#REF!</f>
        <v>#REF!</v>
      </c>
      <c r="E153" s="32" t="e">
        <f>装备!#REF!</f>
        <v>#REF!</v>
      </c>
      <c r="F153" s="32" t="e">
        <f>装备!#REF!</f>
        <v>#REF!</v>
      </c>
      <c r="G153" s="32" t="e">
        <f>装备!#REF!</f>
        <v>#REF!</v>
      </c>
      <c r="H153" s="32" t="e">
        <f>装备!#REF!</f>
        <v>#REF!</v>
      </c>
      <c r="I153" s="32" t="e">
        <f>IF(装备!#REF!=0,0,"'"&amp;装备!#REF!&amp;"'")</f>
        <v>#REF!</v>
      </c>
      <c r="J153" s="32" t="e">
        <f>IF(装备!#REF!=0,0,"'"&amp;装备!#REF!&amp;"'")</f>
        <v>#REF!</v>
      </c>
      <c r="K153" s="32" t="e">
        <f>IF(装备!#REF!=0,0,"'"&amp;装备!#REF!&amp;"'")</f>
        <v>#REF!</v>
      </c>
      <c r="L153" s="32" t="e">
        <f>IF(装备!#REF!=0,0,"'"&amp;装备!#REF!&amp;"'")</f>
        <v>#REF!</v>
      </c>
      <c r="M153" s="32" t="e">
        <f>IF(装备!#REF!=0,0,"'"&amp;装备!#REF!&amp;"'")</f>
        <v>#REF!</v>
      </c>
      <c r="N153" s="32" t="e">
        <f>IF(装备!#REF!=0,0,"'"&amp;装备!#REF!&amp;"'")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IFERROR(VLOOKUP(C153,装备!$B:$E,3,FALSE),"")</f>
        <v/>
      </c>
      <c r="R153" s="36" t="str">
        <f>IFERROR(VLOOKUP(D153,装备!$B:$E,3,FALSE),"")</f>
        <v/>
      </c>
      <c r="S153" s="36" t="str">
        <f>IFERROR(VLOOKUP(E153,装备!$B:$E,3,FALSE),"")</f>
        <v/>
      </c>
      <c r="T153" s="36" t="str">
        <f>IFERROR(VLOOKUP(F153,装备!$B:$E,3,FALSE),"")</f>
        <v/>
      </c>
      <c r="U153" s="36" t="str">
        <f>IFERROR(VLOOKUP(G153,装备!$B:$E,3,FALSE),"")</f>
        <v/>
      </c>
      <c r="V153" s="36" t="str">
        <f>IFERROR(VLOOKUP(H153,装备!$B:$E,3,FALSE),"")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装备!#REF!</f>
        <v>#REF!</v>
      </c>
      <c r="B154" s="32" t="e">
        <f>"'"&amp;装备!#REF!&amp;"'"</f>
        <v>#REF!</v>
      </c>
      <c r="C154" s="32" t="e">
        <f>装备!#REF!</f>
        <v>#REF!</v>
      </c>
      <c r="D154" s="32" t="e">
        <f>装备!#REF!</f>
        <v>#REF!</v>
      </c>
      <c r="E154" s="32" t="e">
        <f>装备!#REF!</f>
        <v>#REF!</v>
      </c>
      <c r="F154" s="32" t="e">
        <f>装备!#REF!</f>
        <v>#REF!</v>
      </c>
      <c r="G154" s="32" t="e">
        <f>装备!#REF!</f>
        <v>#REF!</v>
      </c>
      <c r="H154" s="32" t="e">
        <f>装备!#REF!</f>
        <v>#REF!</v>
      </c>
      <c r="I154" s="32" t="e">
        <f>IF(装备!#REF!=0,0,"'"&amp;装备!#REF!&amp;"'")</f>
        <v>#REF!</v>
      </c>
      <c r="J154" s="32" t="e">
        <f>IF(装备!#REF!=0,0,"'"&amp;装备!#REF!&amp;"'")</f>
        <v>#REF!</v>
      </c>
      <c r="K154" s="32" t="e">
        <f>IF(装备!#REF!=0,0,"'"&amp;装备!#REF!&amp;"'")</f>
        <v>#REF!</v>
      </c>
      <c r="L154" s="32" t="e">
        <f>IF(装备!#REF!=0,0,"'"&amp;装备!#REF!&amp;"'")</f>
        <v>#REF!</v>
      </c>
      <c r="M154" s="32" t="e">
        <f>IF(装备!#REF!=0,0,"'"&amp;装备!#REF!&amp;"'")</f>
        <v>#REF!</v>
      </c>
      <c r="N154" s="32" t="e">
        <f>IF(装备!#REF!=0,0,"'"&amp;装备!#REF!&amp;"'")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IFERROR(VLOOKUP(C154,装备!$B:$E,3,FALSE),"")</f>
        <v/>
      </c>
      <c r="R154" s="36" t="str">
        <f>IFERROR(VLOOKUP(D154,装备!$B:$E,3,FALSE),"")</f>
        <v/>
      </c>
      <c r="S154" s="36" t="str">
        <f>IFERROR(VLOOKUP(E154,装备!$B:$E,3,FALSE),"")</f>
        <v/>
      </c>
      <c r="T154" s="36" t="str">
        <f>IFERROR(VLOOKUP(F154,装备!$B:$E,3,FALSE),"")</f>
        <v/>
      </c>
      <c r="U154" s="36" t="str">
        <f>IFERROR(VLOOKUP(G154,装备!$B:$E,3,FALSE),"")</f>
        <v/>
      </c>
      <c r="V154" s="36" t="str">
        <f>IFERROR(VLOOKUP(H154,装备!$B:$E,3,FALSE),"")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装备!#REF!</f>
        <v>#REF!</v>
      </c>
      <c r="B155" s="32" t="e">
        <f>"'"&amp;装备!#REF!&amp;"'"</f>
        <v>#REF!</v>
      </c>
      <c r="C155" s="32" t="e">
        <f>装备!#REF!</f>
        <v>#REF!</v>
      </c>
      <c r="D155" s="32" t="e">
        <f>装备!#REF!</f>
        <v>#REF!</v>
      </c>
      <c r="E155" s="32" t="e">
        <f>装备!#REF!</f>
        <v>#REF!</v>
      </c>
      <c r="F155" s="32" t="e">
        <f>装备!#REF!</f>
        <v>#REF!</v>
      </c>
      <c r="G155" s="32" t="e">
        <f>装备!#REF!</f>
        <v>#REF!</v>
      </c>
      <c r="H155" s="32" t="e">
        <f>装备!#REF!</f>
        <v>#REF!</v>
      </c>
      <c r="I155" s="32" t="e">
        <f>IF(装备!#REF!=0,0,"'"&amp;装备!#REF!&amp;"'")</f>
        <v>#REF!</v>
      </c>
      <c r="J155" s="32" t="e">
        <f>IF(装备!#REF!=0,0,"'"&amp;装备!#REF!&amp;"'")</f>
        <v>#REF!</v>
      </c>
      <c r="K155" s="32" t="e">
        <f>IF(装备!#REF!=0,0,"'"&amp;装备!#REF!&amp;"'")</f>
        <v>#REF!</v>
      </c>
      <c r="L155" s="32" t="e">
        <f>IF(装备!#REF!=0,0,"'"&amp;装备!#REF!&amp;"'")</f>
        <v>#REF!</v>
      </c>
      <c r="M155" s="32" t="e">
        <f>IF(装备!#REF!=0,0,"'"&amp;装备!#REF!&amp;"'")</f>
        <v>#REF!</v>
      </c>
      <c r="N155" s="32" t="e">
        <f>IF(装备!#REF!=0,0,"'"&amp;装备!#REF!&amp;"'")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IFERROR(VLOOKUP(C155,装备!$B:$E,3,FALSE),"")</f>
        <v/>
      </c>
      <c r="R155" s="36" t="str">
        <f>IFERROR(VLOOKUP(D155,装备!$B:$E,3,FALSE),"")</f>
        <v/>
      </c>
      <c r="S155" s="36" t="str">
        <f>IFERROR(VLOOKUP(E155,装备!$B:$E,3,FALSE),"")</f>
        <v/>
      </c>
      <c r="T155" s="36" t="str">
        <f>IFERROR(VLOOKUP(F155,装备!$B:$E,3,FALSE),"")</f>
        <v/>
      </c>
      <c r="U155" s="36" t="str">
        <f>IFERROR(VLOOKUP(G155,装备!$B:$E,3,FALSE),"")</f>
        <v/>
      </c>
      <c r="V155" s="36" t="str">
        <f>IFERROR(VLOOKUP(H155,装备!$B:$E,3,FALSE),"")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装备!#REF!</f>
        <v>#REF!</v>
      </c>
      <c r="B156" s="32" t="e">
        <f>"'"&amp;装备!#REF!&amp;"'"</f>
        <v>#REF!</v>
      </c>
      <c r="C156" s="32" t="e">
        <f>装备!#REF!</f>
        <v>#REF!</v>
      </c>
      <c r="D156" s="32" t="e">
        <f>装备!#REF!</f>
        <v>#REF!</v>
      </c>
      <c r="E156" s="32" t="e">
        <f>装备!#REF!</f>
        <v>#REF!</v>
      </c>
      <c r="F156" s="32" t="e">
        <f>装备!#REF!</f>
        <v>#REF!</v>
      </c>
      <c r="G156" s="32" t="e">
        <f>装备!#REF!</f>
        <v>#REF!</v>
      </c>
      <c r="H156" s="32" t="e">
        <f>装备!#REF!</f>
        <v>#REF!</v>
      </c>
      <c r="I156" s="32" t="e">
        <f>IF(装备!#REF!=0,0,"'"&amp;装备!#REF!&amp;"'")</f>
        <v>#REF!</v>
      </c>
      <c r="J156" s="32" t="e">
        <f>IF(装备!#REF!=0,0,"'"&amp;装备!#REF!&amp;"'")</f>
        <v>#REF!</v>
      </c>
      <c r="K156" s="32" t="e">
        <f>IF(装备!#REF!=0,0,"'"&amp;装备!#REF!&amp;"'")</f>
        <v>#REF!</v>
      </c>
      <c r="L156" s="32" t="e">
        <f>IF(装备!#REF!=0,0,"'"&amp;装备!#REF!&amp;"'")</f>
        <v>#REF!</v>
      </c>
      <c r="M156" s="32" t="e">
        <f>IF(装备!#REF!=0,0,"'"&amp;装备!#REF!&amp;"'")</f>
        <v>#REF!</v>
      </c>
      <c r="N156" s="32" t="e">
        <f>IF(装备!#REF!=0,0,"'"&amp;装备!#REF!&amp;"'")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IFERROR(VLOOKUP(C156,装备!$B:$E,3,FALSE),"")</f>
        <v/>
      </c>
      <c r="R156" s="36" t="str">
        <f>IFERROR(VLOOKUP(D156,装备!$B:$E,3,FALSE),"")</f>
        <v/>
      </c>
      <c r="S156" s="36" t="str">
        <f>IFERROR(VLOOKUP(E156,装备!$B:$E,3,FALSE),"")</f>
        <v/>
      </c>
      <c r="T156" s="36" t="str">
        <f>IFERROR(VLOOKUP(F156,装备!$B:$E,3,FALSE),"")</f>
        <v/>
      </c>
      <c r="U156" s="36" t="str">
        <f>IFERROR(VLOOKUP(G156,装备!$B:$E,3,FALSE),"")</f>
        <v/>
      </c>
      <c r="V156" s="36" t="str">
        <f>IFERROR(VLOOKUP(H156,装备!$B:$E,3,FALSE),"")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装备!#REF!</f>
        <v>#REF!</v>
      </c>
      <c r="B157" s="32" t="e">
        <f>"'"&amp;装备!#REF!&amp;"'"</f>
        <v>#REF!</v>
      </c>
      <c r="C157" s="32" t="e">
        <f>装备!#REF!</f>
        <v>#REF!</v>
      </c>
      <c r="D157" s="32" t="e">
        <f>装备!#REF!</f>
        <v>#REF!</v>
      </c>
      <c r="E157" s="32" t="e">
        <f>装备!#REF!</f>
        <v>#REF!</v>
      </c>
      <c r="F157" s="32" t="e">
        <f>装备!#REF!</f>
        <v>#REF!</v>
      </c>
      <c r="G157" s="32" t="e">
        <f>装备!#REF!</f>
        <v>#REF!</v>
      </c>
      <c r="H157" s="32" t="e">
        <f>装备!#REF!</f>
        <v>#REF!</v>
      </c>
      <c r="I157" s="32" t="e">
        <f>IF(装备!#REF!=0,0,"'"&amp;装备!#REF!&amp;"'")</f>
        <v>#REF!</v>
      </c>
      <c r="J157" s="32" t="e">
        <f>IF(装备!#REF!=0,0,"'"&amp;装备!#REF!&amp;"'")</f>
        <v>#REF!</v>
      </c>
      <c r="K157" s="32" t="e">
        <f>IF(装备!#REF!=0,0,"'"&amp;装备!#REF!&amp;"'")</f>
        <v>#REF!</v>
      </c>
      <c r="L157" s="32" t="e">
        <f>IF(装备!#REF!=0,0,"'"&amp;装备!#REF!&amp;"'")</f>
        <v>#REF!</v>
      </c>
      <c r="M157" s="32" t="e">
        <f>IF(装备!#REF!=0,0,"'"&amp;装备!#REF!&amp;"'")</f>
        <v>#REF!</v>
      </c>
      <c r="N157" s="32" t="e">
        <f>IF(装备!#REF!=0,0,"'"&amp;装备!#REF!&amp;"'")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IFERROR(VLOOKUP(C157,装备!$B:$E,3,FALSE),"")</f>
        <v/>
      </c>
      <c r="R157" s="36" t="str">
        <f>IFERROR(VLOOKUP(D157,装备!$B:$E,3,FALSE),"")</f>
        <v/>
      </c>
      <c r="S157" s="36" t="str">
        <f>IFERROR(VLOOKUP(E157,装备!$B:$E,3,FALSE),"")</f>
        <v/>
      </c>
      <c r="T157" s="36" t="str">
        <f>IFERROR(VLOOKUP(F157,装备!$B:$E,3,FALSE),"")</f>
        <v/>
      </c>
      <c r="U157" s="36" t="str">
        <f>IFERROR(VLOOKUP(G157,装备!$B:$E,3,FALSE),"")</f>
        <v/>
      </c>
      <c r="V157" s="36" t="str">
        <f>IFERROR(VLOOKUP(H157,装备!$B:$E,3,FALSE),"")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装备!#REF!</f>
        <v>#REF!</v>
      </c>
      <c r="B158" s="32" t="e">
        <f>"'"&amp;装备!#REF!&amp;"'"</f>
        <v>#REF!</v>
      </c>
      <c r="C158" s="32" t="e">
        <f>装备!#REF!</f>
        <v>#REF!</v>
      </c>
      <c r="D158" s="32" t="e">
        <f>装备!#REF!</f>
        <v>#REF!</v>
      </c>
      <c r="E158" s="32" t="e">
        <f>装备!#REF!</f>
        <v>#REF!</v>
      </c>
      <c r="F158" s="32" t="e">
        <f>装备!#REF!</f>
        <v>#REF!</v>
      </c>
      <c r="G158" s="32" t="e">
        <f>装备!#REF!</f>
        <v>#REF!</v>
      </c>
      <c r="H158" s="32" t="e">
        <f>装备!#REF!</f>
        <v>#REF!</v>
      </c>
      <c r="I158" s="32" t="e">
        <f>IF(装备!#REF!=0,0,"'"&amp;装备!#REF!&amp;"'")</f>
        <v>#REF!</v>
      </c>
      <c r="J158" s="32" t="e">
        <f>IF(装备!#REF!=0,0,"'"&amp;装备!#REF!&amp;"'")</f>
        <v>#REF!</v>
      </c>
      <c r="K158" s="32" t="e">
        <f>IF(装备!#REF!=0,0,"'"&amp;装备!#REF!&amp;"'")</f>
        <v>#REF!</v>
      </c>
      <c r="L158" s="32" t="e">
        <f>IF(装备!#REF!=0,0,"'"&amp;装备!#REF!&amp;"'")</f>
        <v>#REF!</v>
      </c>
      <c r="M158" s="32" t="e">
        <f>IF(装备!#REF!=0,0,"'"&amp;装备!#REF!&amp;"'")</f>
        <v>#REF!</v>
      </c>
      <c r="N158" s="32" t="e">
        <f>IF(装备!#REF!=0,0,"'"&amp;装备!#REF!&amp;"'")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IFERROR(VLOOKUP(C158,装备!$B:$E,3,FALSE),"")</f>
        <v/>
      </c>
      <c r="R158" s="36" t="str">
        <f>IFERROR(VLOOKUP(D158,装备!$B:$E,3,FALSE),"")</f>
        <v/>
      </c>
      <c r="S158" s="36" t="str">
        <f>IFERROR(VLOOKUP(E158,装备!$B:$E,3,FALSE),"")</f>
        <v/>
      </c>
      <c r="T158" s="36" t="str">
        <f>IFERROR(VLOOKUP(F158,装备!$B:$E,3,FALSE),"")</f>
        <v/>
      </c>
      <c r="U158" s="36" t="str">
        <f>IFERROR(VLOOKUP(G158,装备!$B:$E,3,FALSE),"")</f>
        <v/>
      </c>
      <c r="V158" s="36" t="str">
        <f>IFERROR(VLOOKUP(H158,装备!$B:$E,3,FALSE),"")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装备!#REF!</f>
        <v>#REF!</v>
      </c>
      <c r="B159" s="32" t="e">
        <f>"'"&amp;装备!#REF!&amp;"'"</f>
        <v>#REF!</v>
      </c>
      <c r="C159" s="32" t="e">
        <f>装备!#REF!</f>
        <v>#REF!</v>
      </c>
      <c r="D159" s="32" t="e">
        <f>装备!#REF!</f>
        <v>#REF!</v>
      </c>
      <c r="E159" s="32" t="e">
        <f>装备!#REF!</f>
        <v>#REF!</v>
      </c>
      <c r="F159" s="32" t="e">
        <f>装备!#REF!</f>
        <v>#REF!</v>
      </c>
      <c r="G159" s="32" t="e">
        <f>装备!#REF!</f>
        <v>#REF!</v>
      </c>
      <c r="H159" s="32" t="e">
        <f>装备!#REF!</f>
        <v>#REF!</v>
      </c>
      <c r="I159" s="32" t="e">
        <f>IF(装备!#REF!=0,0,"'"&amp;装备!#REF!&amp;"'")</f>
        <v>#REF!</v>
      </c>
      <c r="J159" s="32" t="e">
        <f>IF(装备!#REF!=0,0,"'"&amp;装备!#REF!&amp;"'")</f>
        <v>#REF!</v>
      </c>
      <c r="K159" s="32" t="e">
        <f>IF(装备!#REF!=0,0,"'"&amp;装备!#REF!&amp;"'")</f>
        <v>#REF!</v>
      </c>
      <c r="L159" s="32" t="e">
        <f>IF(装备!#REF!=0,0,"'"&amp;装备!#REF!&amp;"'")</f>
        <v>#REF!</v>
      </c>
      <c r="M159" s="32" t="e">
        <f>IF(装备!#REF!=0,0,"'"&amp;装备!#REF!&amp;"'")</f>
        <v>#REF!</v>
      </c>
      <c r="N159" s="32" t="e">
        <f>IF(装备!#REF!=0,0,"'"&amp;装备!#REF!&amp;"'")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IFERROR(VLOOKUP(C159,装备!$B:$E,3,FALSE),"")</f>
        <v/>
      </c>
      <c r="R159" s="36" t="str">
        <f>IFERROR(VLOOKUP(D159,装备!$B:$E,3,FALSE),"")</f>
        <v/>
      </c>
      <c r="S159" s="36" t="str">
        <f>IFERROR(VLOOKUP(E159,装备!$B:$E,3,FALSE),"")</f>
        <v/>
      </c>
      <c r="T159" s="36" t="str">
        <f>IFERROR(VLOOKUP(F159,装备!$B:$E,3,FALSE),"")</f>
        <v/>
      </c>
      <c r="U159" s="36" t="str">
        <f>IFERROR(VLOOKUP(G159,装备!$B:$E,3,FALSE),"")</f>
        <v/>
      </c>
      <c r="V159" s="36" t="str">
        <f>IFERROR(VLOOKUP(H159,装备!$B:$E,3,FALSE),"")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装备!#REF!</f>
        <v>#REF!</v>
      </c>
      <c r="B160" s="32" t="e">
        <f>"'"&amp;装备!#REF!&amp;"'"</f>
        <v>#REF!</v>
      </c>
      <c r="C160" s="32" t="e">
        <f>装备!#REF!</f>
        <v>#REF!</v>
      </c>
      <c r="D160" s="32" t="e">
        <f>装备!#REF!</f>
        <v>#REF!</v>
      </c>
      <c r="E160" s="32" t="e">
        <f>装备!#REF!</f>
        <v>#REF!</v>
      </c>
      <c r="F160" s="32" t="e">
        <f>装备!#REF!</f>
        <v>#REF!</v>
      </c>
      <c r="G160" s="32" t="e">
        <f>装备!#REF!</f>
        <v>#REF!</v>
      </c>
      <c r="H160" s="32" t="e">
        <f>装备!#REF!</f>
        <v>#REF!</v>
      </c>
      <c r="I160" s="32" t="e">
        <f>IF(装备!#REF!=0,0,"'"&amp;装备!#REF!&amp;"'")</f>
        <v>#REF!</v>
      </c>
      <c r="J160" s="32" t="e">
        <f>IF(装备!#REF!=0,0,"'"&amp;装备!#REF!&amp;"'")</f>
        <v>#REF!</v>
      </c>
      <c r="K160" s="32" t="e">
        <f>IF(装备!#REF!=0,0,"'"&amp;装备!#REF!&amp;"'")</f>
        <v>#REF!</v>
      </c>
      <c r="L160" s="32" t="e">
        <f>IF(装备!#REF!=0,0,"'"&amp;装备!#REF!&amp;"'")</f>
        <v>#REF!</v>
      </c>
      <c r="M160" s="32" t="e">
        <f>IF(装备!#REF!=0,0,"'"&amp;装备!#REF!&amp;"'")</f>
        <v>#REF!</v>
      </c>
      <c r="N160" s="32" t="e">
        <f>IF(装备!#REF!=0,0,"'"&amp;装备!#REF!&amp;"'")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IFERROR(VLOOKUP(C160,装备!$B:$E,3,FALSE),"")</f>
        <v/>
      </c>
      <c r="R160" s="36" t="str">
        <f>IFERROR(VLOOKUP(D160,装备!$B:$E,3,FALSE),"")</f>
        <v/>
      </c>
      <c r="S160" s="36" t="str">
        <f>IFERROR(VLOOKUP(E160,装备!$B:$E,3,FALSE),"")</f>
        <v/>
      </c>
      <c r="T160" s="36" t="str">
        <f>IFERROR(VLOOKUP(F160,装备!$B:$E,3,FALSE),"")</f>
        <v/>
      </c>
      <c r="U160" s="36" t="str">
        <f>IFERROR(VLOOKUP(G160,装备!$B:$E,3,FALSE),"")</f>
        <v/>
      </c>
      <c r="V160" s="36" t="str">
        <f>IFERROR(VLOOKUP(H160,装备!$B:$E,3,FALSE),"")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装备!#REF!</f>
        <v>#REF!</v>
      </c>
      <c r="B161" s="32" t="e">
        <f>"'"&amp;装备!#REF!&amp;"'"</f>
        <v>#REF!</v>
      </c>
      <c r="C161" s="32" t="e">
        <f>装备!#REF!</f>
        <v>#REF!</v>
      </c>
      <c r="D161" s="32" t="e">
        <f>装备!#REF!</f>
        <v>#REF!</v>
      </c>
      <c r="E161" s="32" t="e">
        <f>装备!#REF!</f>
        <v>#REF!</v>
      </c>
      <c r="F161" s="32" t="e">
        <f>装备!#REF!</f>
        <v>#REF!</v>
      </c>
      <c r="G161" s="32" t="e">
        <f>装备!#REF!</f>
        <v>#REF!</v>
      </c>
      <c r="H161" s="32" t="e">
        <f>装备!#REF!</f>
        <v>#REF!</v>
      </c>
      <c r="I161" s="32" t="e">
        <f>IF(装备!#REF!=0,0,"'"&amp;装备!#REF!&amp;"'")</f>
        <v>#REF!</v>
      </c>
      <c r="J161" s="32" t="e">
        <f>IF(装备!#REF!=0,0,"'"&amp;装备!#REF!&amp;"'")</f>
        <v>#REF!</v>
      </c>
      <c r="K161" s="32" t="e">
        <f>IF(装备!#REF!=0,0,"'"&amp;装备!#REF!&amp;"'")</f>
        <v>#REF!</v>
      </c>
      <c r="L161" s="32" t="e">
        <f>IF(装备!#REF!=0,0,"'"&amp;装备!#REF!&amp;"'")</f>
        <v>#REF!</v>
      </c>
      <c r="M161" s="32" t="e">
        <f>IF(装备!#REF!=0,0,"'"&amp;装备!#REF!&amp;"'")</f>
        <v>#REF!</v>
      </c>
      <c r="N161" s="32" t="e">
        <f>IF(装备!#REF!=0,0,"'"&amp;装备!#REF!&amp;"'")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IFERROR(VLOOKUP(C161,装备!$B:$E,3,FALSE),"")</f>
        <v/>
      </c>
      <c r="R161" s="36" t="str">
        <f>IFERROR(VLOOKUP(D161,装备!$B:$E,3,FALSE),"")</f>
        <v/>
      </c>
      <c r="S161" s="36" t="str">
        <f>IFERROR(VLOOKUP(E161,装备!$B:$E,3,FALSE),"")</f>
        <v/>
      </c>
      <c r="T161" s="36" t="str">
        <f>IFERROR(VLOOKUP(F161,装备!$B:$E,3,FALSE),"")</f>
        <v/>
      </c>
      <c r="U161" s="36" t="str">
        <f>IFERROR(VLOOKUP(G161,装备!$B:$E,3,FALSE),"")</f>
        <v/>
      </c>
      <c r="V161" s="36" t="str">
        <f>IFERROR(VLOOKUP(H161,装备!$B:$E,3,FALSE),"")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装备!#REF!</f>
        <v>#REF!</v>
      </c>
      <c r="B162" s="32" t="e">
        <f>"'"&amp;装备!#REF!&amp;"'"</f>
        <v>#REF!</v>
      </c>
      <c r="C162" s="32" t="e">
        <f>装备!#REF!</f>
        <v>#REF!</v>
      </c>
      <c r="D162" s="32" t="e">
        <f>装备!#REF!</f>
        <v>#REF!</v>
      </c>
      <c r="E162" s="32" t="e">
        <f>装备!#REF!</f>
        <v>#REF!</v>
      </c>
      <c r="F162" s="32" t="e">
        <f>装备!#REF!</f>
        <v>#REF!</v>
      </c>
      <c r="G162" s="32" t="e">
        <f>装备!#REF!</f>
        <v>#REF!</v>
      </c>
      <c r="H162" s="32" t="e">
        <f>装备!#REF!</f>
        <v>#REF!</v>
      </c>
      <c r="I162" s="32" t="e">
        <f>IF(装备!#REF!=0,0,"'"&amp;装备!#REF!&amp;"'")</f>
        <v>#REF!</v>
      </c>
      <c r="J162" s="32" t="e">
        <f>IF(装备!#REF!=0,0,"'"&amp;装备!#REF!&amp;"'")</f>
        <v>#REF!</v>
      </c>
      <c r="K162" s="32" t="e">
        <f>IF(装备!#REF!=0,0,"'"&amp;装备!#REF!&amp;"'")</f>
        <v>#REF!</v>
      </c>
      <c r="L162" s="32" t="e">
        <f>IF(装备!#REF!=0,0,"'"&amp;装备!#REF!&amp;"'")</f>
        <v>#REF!</v>
      </c>
      <c r="M162" s="32" t="e">
        <f>IF(装备!#REF!=0,0,"'"&amp;装备!#REF!&amp;"'")</f>
        <v>#REF!</v>
      </c>
      <c r="N162" s="32" t="e">
        <f>IF(装备!#REF!=0,0,"'"&amp;装备!#REF!&amp;"'")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IFERROR(VLOOKUP(C162,装备!$B:$E,3,FALSE),"")</f>
        <v/>
      </c>
      <c r="R162" s="36" t="str">
        <f>IFERROR(VLOOKUP(D162,装备!$B:$E,3,FALSE),"")</f>
        <v/>
      </c>
      <c r="S162" s="36" t="str">
        <f>IFERROR(VLOOKUP(E162,装备!$B:$E,3,FALSE),"")</f>
        <v/>
      </c>
      <c r="T162" s="36" t="str">
        <f>IFERROR(VLOOKUP(F162,装备!$B:$E,3,FALSE),"")</f>
        <v/>
      </c>
      <c r="U162" s="36" t="str">
        <f>IFERROR(VLOOKUP(G162,装备!$B:$E,3,FALSE),"")</f>
        <v/>
      </c>
      <c r="V162" s="36" t="str">
        <f>IFERROR(VLOOKUP(H162,装备!$B:$E,3,FALSE),"")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装备!#REF!</f>
        <v>#REF!</v>
      </c>
      <c r="B163" s="32" t="e">
        <f>"'"&amp;装备!#REF!&amp;"'"</f>
        <v>#REF!</v>
      </c>
      <c r="C163" s="32" t="e">
        <f>装备!#REF!</f>
        <v>#REF!</v>
      </c>
      <c r="D163" s="32" t="e">
        <f>装备!#REF!</f>
        <v>#REF!</v>
      </c>
      <c r="E163" s="32" t="e">
        <f>装备!#REF!</f>
        <v>#REF!</v>
      </c>
      <c r="F163" s="32" t="e">
        <f>装备!#REF!</f>
        <v>#REF!</v>
      </c>
      <c r="G163" s="32" t="e">
        <f>装备!#REF!</f>
        <v>#REF!</v>
      </c>
      <c r="H163" s="32" t="e">
        <f>装备!#REF!</f>
        <v>#REF!</v>
      </c>
      <c r="I163" s="32" t="e">
        <f>IF(装备!#REF!=0,0,"'"&amp;装备!#REF!&amp;"'")</f>
        <v>#REF!</v>
      </c>
      <c r="J163" s="32" t="e">
        <f>IF(装备!#REF!=0,0,"'"&amp;装备!#REF!&amp;"'")</f>
        <v>#REF!</v>
      </c>
      <c r="K163" s="32" t="e">
        <f>IF(装备!#REF!=0,0,"'"&amp;装备!#REF!&amp;"'")</f>
        <v>#REF!</v>
      </c>
      <c r="L163" s="32" t="e">
        <f>IF(装备!#REF!=0,0,"'"&amp;装备!#REF!&amp;"'")</f>
        <v>#REF!</v>
      </c>
      <c r="M163" s="32" t="e">
        <f>IF(装备!#REF!=0,0,"'"&amp;装备!#REF!&amp;"'")</f>
        <v>#REF!</v>
      </c>
      <c r="N163" s="32" t="e">
        <f>IF(装备!#REF!=0,0,"'"&amp;装备!#REF!&amp;"'")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IFERROR(VLOOKUP(C163,装备!$B:$E,3,FALSE),"")</f>
        <v/>
      </c>
      <c r="R163" s="36" t="str">
        <f>IFERROR(VLOOKUP(D163,装备!$B:$E,3,FALSE),"")</f>
        <v/>
      </c>
      <c r="S163" s="36" t="str">
        <f>IFERROR(VLOOKUP(E163,装备!$B:$E,3,FALSE),"")</f>
        <v/>
      </c>
      <c r="T163" s="36" t="str">
        <f>IFERROR(VLOOKUP(F163,装备!$B:$E,3,FALSE),"")</f>
        <v/>
      </c>
      <c r="U163" s="36" t="str">
        <f>IFERROR(VLOOKUP(G163,装备!$B:$E,3,FALSE),"")</f>
        <v/>
      </c>
      <c r="V163" s="36" t="str">
        <f>IFERROR(VLOOKUP(H163,装备!$B:$E,3,FALSE),"")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装备!#REF!</f>
        <v>#REF!</v>
      </c>
      <c r="B164" s="32" t="e">
        <f>"'"&amp;装备!#REF!&amp;"'"</f>
        <v>#REF!</v>
      </c>
      <c r="C164" s="32" t="e">
        <f>装备!#REF!</f>
        <v>#REF!</v>
      </c>
      <c r="D164" s="32" t="e">
        <f>装备!#REF!</f>
        <v>#REF!</v>
      </c>
      <c r="E164" s="32" t="e">
        <f>装备!#REF!</f>
        <v>#REF!</v>
      </c>
      <c r="F164" s="32" t="e">
        <f>装备!#REF!</f>
        <v>#REF!</v>
      </c>
      <c r="G164" s="32" t="e">
        <f>装备!#REF!</f>
        <v>#REF!</v>
      </c>
      <c r="H164" s="32" t="e">
        <f>装备!#REF!</f>
        <v>#REF!</v>
      </c>
      <c r="I164" s="32" t="e">
        <f>IF(装备!#REF!=0,0,"'"&amp;装备!#REF!&amp;"'")</f>
        <v>#REF!</v>
      </c>
      <c r="J164" s="32" t="e">
        <f>IF(装备!#REF!=0,0,"'"&amp;装备!#REF!&amp;"'")</f>
        <v>#REF!</v>
      </c>
      <c r="K164" s="32" t="e">
        <f>IF(装备!#REF!=0,0,"'"&amp;装备!#REF!&amp;"'")</f>
        <v>#REF!</v>
      </c>
      <c r="L164" s="32" t="e">
        <f>IF(装备!#REF!=0,0,"'"&amp;装备!#REF!&amp;"'")</f>
        <v>#REF!</v>
      </c>
      <c r="M164" s="32" t="e">
        <f>IF(装备!#REF!=0,0,"'"&amp;装备!#REF!&amp;"'")</f>
        <v>#REF!</v>
      </c>
      <c r="N164" s="32" t="e">
        <f>IF(装备!#REF!=0,0,"'"&amp;装备!#REF!&amp;"'")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IFERROR(VLOOKUP(C164,装备!$B:$E,3,FALSE),"")</f>
        <v/>
      </c>
      <c r="R164" s="36" t="str">
        <f>IFERROR(VLOOKUP(D164,装备!$B:$E,3,FALSE),"")</f>
        <v/>
      </c>
      <c r="S164" s="36" t="str">
        <f>IFERROR(VLOOKUP(E164,装备!$B:$E,3,FALSE),"")</f>
        <v/>
      </c>
      <c r="T164" s="36" t="str">
        <f>IFERROR(VLOOKUP(F164,装备!$B:$E,3,FALSE),"")</f>
        <v/>
      </c>
      <c r="U164" s="36" t="str">
        <f>IFERROR(VLOOKUP(G164,装备!$B:$E,3,FALSE),"")</f>
        <v/>
      </c>
      <c r="V164" s="36" t="str">
        <f>IFERROR(VLOOKUP(H164,装备!$B:$E,3,FALSE),"")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装备!#REF!</f>
        <v>#REF!</v>
      </c>
      <c r="B165" s="32" t="e">
        <f>"'"&amp;装备!#REF!&amp;"'"</f>
        <v>#REF!</v>
      </c>
      <c r="C165" s="32" t="e">
        <f>装备!#REF!</f>
        <v>#REF!</v>
      </c>
      <c r="D165" s="32" t="e">
        <f>装备!#REF!</f>
        <v>#REF!</v>
      </c>
      <c r="E165" s="32" t="e">
        <f>装备!#REF!</f>
        <v>#REF!</v>
      </c>
      <c r="F165" s="32" t="e">
        <f>装备!#REF!</f>
        <v>#REF!</v>
      </c>
      <c r="G165" s="32" t="e">
        <f>装备!#REF!</f>
        <v>#REF!</v>
      </c>
      <c r="H165" s="32" t="e">
        <f>装备!#REF!</f>
        <v>#REF!</v>
      </c>
      <c r="I165" s="32" t="e">
        <f>IF(装备!#REF!=0,0,"'"&amp;装备!#REF!&amp;"'")</f>
        <v>#REF!</v>
      </c>
      <c r="J165" s="32" t="e">
        <f>IF(装备!#REF!=0,0,"'"&amp;装备!#REF!&amp;"'")</f>
        <v>#REF!</v>
      </c>
      <c r="K165" s="32" t="e">
        <f>IF(装备!#REF!=0,0,"'"&amp;装备!#REF!&amp;"'")</f>
        <v>#REF!</v>
      </c>
      <c r="L165" s="32" t="e">
        <f>IF(装备!#REF!=0,0,"'"&amp;装备!#REF!&amp;"'")</f>
        <v>#REF!</v>
      </c>
      <c r="M165" s="32" t="e">
        <f>IF(装备!#REF!=0,0,"'"&amp;装备!#REF!&amp;"'")</f>
        <v>#REF!</v>
      </c>
      <c r="N165" s="32" t="e">
        <f>IF(装备!#REF!=0,0,"'"&amp;装备!#REF!&amp;"'")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IFERROR(VLOOKUP(C165,装备!$B:$E,3,FALSE),"")</f>
        <v/>
      </c>
      <c r="R165" s="36" t="str">
        <f>IFERROR(VLOOKUP(D165,装备!$B:$E,3,FALSE),"")</f>
        <v/>
      </c>
      <c r="S165" s="36" t="str">
        <f>IFERROR(VLOOKUP(E165,装备!$B:$E,3,FALSE),"")</f>
        <v/>
      </c>
      <c r="T165" s="36" t="str">
        <f>IFERROR(VLOOKUP(F165,装备!$B:$E,3,FALSE),"")</f>
        <v/>
      </c>
      <c r="U165" s="36" t="str">
        <f>IFERROR(VLOOKUP(G165,装备!$B:$E,3,FALSE),"")</f>
        <v/>
      </c>
      <c r="V165" s="36" t="str">
        <f>IFERROR(VLOOKUP(H165,装备!$B:$E,3,FALSE),"")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装备!#REF!</f>
        <v>#REF!</v>
      </c>
      <c r="B166" s="32" t="e">
        <f>"'"&amp;装备!#REF!&amp;"'"</f>
        <v>#REF!</v>
      </c>
      <c r="C166" s="32" t="e">
        <f>装备!#REF!</f>
        <v>#REF!</v>
      </c>
      <c r="D166" s="32" t="e">
        <f>装备!#REF!</f>
        <v>#REF!</v>
      </c>
      <c r="E166" s="32" t="e">
        <f>装备!#REF!</f>
        <v>#REF!</v>
      </c>
      <c r="F166" s="32" t="e">
        <f>装备!#REF!</f>
        <v>#REF!</v>
      </c>
      <c r="G166" s="32" t="e">
        <f>装备!#REF!</f>
        <v>#REF!</v>
      </c>
      <c r="H166" s="32" t="e">
        <f>装备!#REF!</f>
        <v>#REF!</v>
      </c>
      <c r="I166" s="32" t="e">
        <f>IF(装备!#REF!=0,0,"'"&amp;装备!#REF!&amp;"'")</f>
        <v>#REF!</v>
      </c>
      <c r="J166" s="32" t="e">
        <f>IF(装备!#REF!=0,0,"'"&amp;装备!#REF!&amp;"'")</f>
        <v>#REF!</v>
      </c>
      <c r="K166" s="32" t="e">
        <f>IF(装备!#REF!=0,0,"'"&amp;装备!#REF!&amp;"'")</f>
        <v>#REF!</v>
      </c>
      <c r="L166" s="32" t="e">
        <f>IF(装备!#REF!=0,0,"'"&amp;装备!#REF!&amp;"'")</f>
        <v>#REF!</v>
      </c>
      <c r="M166" s="32" t="e">
        <f>IF(装备!#REF!=0,0,"'"&amp;装备!#REF!&amp;"'")</f>
        <v>#REF!</v>
      </c>
      <c r="N166" s="32" t="e">
        <f>IF(装备!#REF!=0,0,"'"&amp;装备!#REF!&amp;"'")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IFERROR(VLOOKUP(C166,装备!$B:$E,3,FALSE),"")</f>
        <v/>
      </c>
      <c r="R166" s="36" t="str">
        <f>IFERROR(VLOOKUP(D166,装备!$B:$E,3,FALSE),"")</f>
        <v/>
      </c>
      <c r="S166" s="36" t="str">
        <f>IFERROR(VLOOKUP(E166,装备!$B:$E,3,FALSE),"")</f>
        <v/>
      </c>
      <c r="T166" s="36" t="str">
        <f>IFERROR(VLOOKUP(F166,装备!$B:$E,3,FALSE),"")</f>
        <v/>
      </c>
      <c r="U166" s="36" t="str">
        <f>IFERROR(VLOOKUP(G166,装备!$B:$E,3,FALSE),"")</f>
        <v/>
      </c>
      <c r="V166" s="36" t="str">
        <f>IFERROR(VLOOKUP(H166,装备!$B:$E,3,FALSE),"")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装备!#REF!</f>
        <v>#REF!</v>
      </c>
      <c r="B167" s="32" t="e">
        <f>"'"&amp;装备!#REF!&amp;"'"</f>
        <v>#REF!</v>
      </c>
      <c r="C167" s="32" t="e">
        <f>装备!#REF!</f>
        <v>#REF!</v>
      </c>
      <c r="D167" s="32" t="e">
        <f>装备!#REF!</f>
        <v>#REF!</v>
      </c>
      <c r="E167" s="32" t="e">
        <f>装备!#REF!</f>
        <v>#REF!</v>
      </c>
      <c r="F167" s="32" t="e">
        <f>装备!#REF!</f>
        <v>#REF!</v>
      </c>
      <c r="G167" s="32" t="e">
        <f>装备!#REF!</f>
        <v>#REF!</v>
      </c>
      <c r="H167" s="32" t="e">
        <f>装备!#REF!</f>
        <v>#REF!</v>
      </c>
      <c r="I167" s="32" t="e">
        <f>IF(装备!#REF!=0,0,"'"&amp;装备!#REF!&amp;"'")</f>
        <v>#REF!</v>
      </c>
      <c r="J167" s="32" t="e">
        <f>IF(装备!#REF!=0,0,"'"&amp;装备!#REF!&amp;"'")</f>
        <v>#REF!</v>
      </c>
      <c r="K167" s="32" t="e">
        <f>IF(装备!#REF!=0,0,"'"&amp;装备!#REF!&amp;"'")</f>
        <v>#REF!</v>
      </c>
      <c r="L167" s="32" t="e">
        <f>IF(装备!#REF!=0,0,"'"&amp;装备!#REF!&amp;"'")</f>
        <v>#REF!</v>
      </c>
      <c r="M167" s="32" t="e">
        <f>IF(装备!#REF!=0,0,"'"&amp;装备!#REF!&amp;"'")</f>
        <v>#REF!</v>
      </c>
      <c r="N167" s="32" t="e">
        <f>IF(装备!#REF!=0,0,"'"&amp;装备!#REF!&amp;"'")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IFERROR(VLOOKUP(C167,装备!$B:$E,3,FALSE),"")</f>
        <v/>
      </c>
      <c r="R167" s="36" t="str">
        <f>IFERROR(VLOOKUP(D167,装备!$B:$E,3,FALSE),"")</f>
        <v/>
      </c>
      <c r="S167" s="36" t="str">
        <f>IFERROR(VLOOKUP(E167,装备!$B:$E,3,FALSE),"")</f>
        <v/>
      </c>
      <c r="T167" s="36" t="str">
        <f>IFERROR(VLOOKUP(F167,装备!$B:$E,3,FALSE),"")</f>
        <v/>
      </c>
      <c r="U167" s="36" t="str">
        <f>IFERROR(VLOOKUP(G167,装备!$B:$E,3,FALSE),"")</f>
        <v/>
      </c>
      <c r="V167" s="36" t="str">
        <f>IFERROR(VLOOKUP(H167,装备!$B:$E,3,FALSE),"")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装备!#REF!</f>
        <v>#REF!</v>
      </c>
      <c r="B168" s="32" t="e">
        <f>"'"&amp;装备!#REF!&amp;"'"</f>
        <v>#REF!</v>
      </c>
      <c r="C168" s="32" t="e">
        <f>装备!#REF!</f>
        <v>#REF!</v>
      </c>
      <c r="D168" s="32" t="e">
        <f>装备!#REF!</f>
        <v>#REF!</v>
      </c>
      <c r="E168" s="32" t="e">
        <f>装备!#REF!</f>
        <v>#REF!</v>
      </c>
      <c r="F168" s="32" t="e">
        <f>装备!#REF!</f>
        <v>#REF!</v>
      </c>
      <c r="G168" s="32" t="e">
        <f>装备!#REF!</f>
        <v>#REF!</v>
      </c>
      <c r="H168" s="32" t="e">
        <f>装备!#REF!</f>
        <v>#REF!</v>
      </c>
      <c r="I168" s="32" t="e">
        <f>IF(装备!#REF!=0,0,"'"&amp;装备!#REF!&amp;"'")</f>
        <v>#REF!</v>
      </c>
      <c r="J168" s="32" t="e">
        <f>IF(装备!#REF!=0,0,"'"&amp;装备!#REF!&amp;"'")</f>
        <v>#REF!</v>
      </c>
      <c r="K168" s="32" t="e">
        <f>IF(装备!#REF!=0,0,"'"&amp;装备!#REF!&amp;"'")</f>
        <v>#REF!</v>
      </c>
      <c r="L168" s="32" t="e">
        <f>IF(装备!#REF!=0,0,"'"&amp;装备!#REF!&amp;"'")</f>
        <v>#REF!</v>
      </c>
      <c r="M168" s="32" t="e">
        <f>IF(装备!#REF!=0,0,"'"&amp;装备!#REF!&amp;"'")</f>
        <v>#REF!</v>
      </c>
      <c r="N168" s="32" t="e">
        <f>IF(装备!#REF!=0,0,"'"&amp;装备!#REF!&amp;"'")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IFERROR(VLOOKUP(C168,装备!$B:$E,3,FALSE),"")</f>
        <v/>
      </c>
      <c r="R168" s="36" t="str">
        <f>IFERROR(VLOOKUP(D168,装备!$B:$E,3,FALSE),"")</f>
        <v/>
      </c>
      <c r="S168" s="36" t="str">
        <f>IFERROR(VLOOKUP(E168,装备!$B:$E,3,FALSE),"")</f>
        <v/>
      </c>
      <c r="T168" s="36" t="str">
        <f>IFERROR(VLOOKUP(F168,装备!$B:$E,3,FALSE),"")</f>
        <v/>
      </c>
      <c r="U168" s="36" t="str">
        <f>IFERROR(VLOOKUP(G168,装备!$B:$E,3,FALSE),"")</f>
        <v/>
      </c>
      <c r="V168" s="36" t="str">
        <f>IFERROR(VLOOKUP(H168,装备!$B:$E,3,FALSE),"")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装备!#REF!</f>
        <v>#REF!</v>
      </c>
      <c r="B169" s="32" t="e">
        <f>"'"&amp;装备!#REF!&amp;"'"</f>
        <v>#REF!</v>
      </c>
      <c r="C169" s="32" t="e">
        <f>装备!#REF!</f>
        <v>#REF!</v>
      </c>
      <c r="D169" s="32" t="e">
        <f>装备!#REF!</f>
        <v>#REF!</v>
      </c>
      <c r="E169" s="32" t="e">
        <f>装备!#REF!</f>
        <v>#REF!</v>
      </c>
      <c r="F169" s="32" t="e">
        <f>装备!#REF!</f>
        <v>#REF!</v>
      </c>
      <c r="G169" s="32" t="e">
        <f>装备!#REF!</f>
        <v>#REF!</v>
      </c>
      <c r="H169" s="32" t="e">
        <f>装备!#REF!</f>
        <v>#REF!</v>
      </c>
      <c r="I169" s="32" t="e">
        <f>IF(装备!#REF!=0,0,"'"&amp;装备!#REF!&amp;"'")</f>
        <v>#REF!</v>
      </c>
      <c r="J169" s="32" t="e">
        <f>IF(装备!#REF!=0,0,"'"&amp;装备!#REF!&amp;"'")</f>
        <v>#REF!</v>
      </c>
      <c r="K169" s="32" t="e">
        <f>IF(装备!#REF!=0,0,"'"&amp;装备!#REF!&amp;"'")</f>
        <v>#REF!</v>
      </c>
      <c r="L169" s="32" t="e">
        <f>IF(装备!#REF!=0,0,"'"&amp;装备!#REF!&amp;"'")</f>
        <v>#REF!</v>
      </c>
      <c r="M169" s="32" t="e">
        <f>IF(装备!#REF!=0,0,"'"&amp;装备!#REF!&amp;"'")</f>
        <v>#REF!</v>
      </c>
      <c r="N169" s="32" t="e">
        <f>IF(装备!#REF!=0,0,"'"&amp;装备!#REF!&amp;"'")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IFERROR(VLOOKUP(C169,装备!$B:$E,3,FALSE),"")</f>
        <v/>
      </c>
      <c r="R169" s="36" t="str">
        <f>IFERROR(VLOOKUP(D169,装备!$B:$E,3,FALSE),"")</f>
        <v/>
      </c>
      <c r="S169" s="36" t="str">
        <f>IFERROR(VLOOKUP(E169,装备!$B:$E,3,FALSE),"")</f>
        <v/>
      </c>
      <c r="T169" s="36" t="str">
        <f>IFERROR(VLOOKUP(F169,装备!$B:$E,3,FALSE),"")</f>
        <v/>
      </c>
      <c r="U169" s="36" t="str">
        <f>IFERROR(VLOOKUP(G169,装备!$B:$E,3,FALSE),"")</f>
        <v/>
      </c>
      <c r="V169" s="36" t="str">
        <f>IFERROR(VLOOKUP(H169,装备!$B:$E,3,FALSE),"")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装备!#REF!</f>
        <v>#REF!</v>
      </c>
      <c r="B170" s="32" t="e">
        <f>"'"&amp;装备!#REF!&amp;"'"</f>
        <v>#REF!</v>
      </c>
      <c r="C170" s="32" t="e">
        <f>装备!#REF!</f>
        <v>#REF!</v>
      </c>
      <c r="D170" s="32" t="e">
        <f>装备!#REF!</f>
        <v>#REF!</v>
      </c>
      <c r="E170" s="32" t="e">
        <f>装备!#REF!</f>
        <v>#REF!</v>
      </c>
      <c r="F170" s="32" t="e">
        <f>装备!#REF!</f>
        <v>#REF!</v>
      </c>
      <c r="G170" s="32" t="e">
        <f>装备!#REF!</f>
        <v>#REF!</v>
      </c>
      <c r="H170" s="32" t="e">
        <f>装备!#REF!</f>
        <v>#REF!</v>
      </c>
      <c r="I170" s="32" t="e">
        <f>IF(装备!#REF!=0,0,"'"&amp;装备!#REF!&amp;"'")</f>
        <v>#REF!</v>
      </c>
      <c r="J170" s="32" t="e">
        <f>IF(装备!#REF!=0,0,"'"&amp;装备!#REF!&amp;"'")</f>
        <v>#REF!</v>
      </c>
      <c r="K170" s="32" t="e">
        <f>IF(装备!#REF!=0,0,"'"&amp;装备!#REF!&amp;"'")</f>
        <v>#REF!</v>
      </c>
      <c r="L170" s="32" t="e">
        <f>IF(装备!#REF!=0,0,"'"&amp;装备!#REF!&amp;"'")</f>
        <v>#REF!</v>
      </c>
      <c r="M170" s="32" t="e">
        <f>IF(装备!#REF!=0,0,"'"&amp;装备!#REF!&amp;"'")</f>
        <v>#REF!</v>
      </c>
      <c r="N170" s="32" t="e">
        <f>IF(装备!#REF!=0,0,"'"&amp;装备!#REF!&amp;"'")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IFERROR(VLOOKUP(C170,装备!$B:$E,3,FALSE),"")</f>
        <v/>
      </c>
      <c r="R170" s="36" t="str">
        <f>IFERROR(VLOOKUP(D170,装备!$B:$E,3,FALSE),"")</f>
        <v/>
      </c>
      <c r="S170" s="36" t="str">
        <f>IFERROR(VLOOKUP(E170,装备!$B:$E,3,FALSE),"")</f>
        <v/>
      </c>
      <c r="T170" s="36" t="str">
        <f>IFERROR(VLOOKUP(F170,装备!$B:$E,3,FALSE),"")</f>
        <v/>
      </c>
      <c r="U170" s="36" t="str">
        <f>IFERROR(VLOOKUP(G170,装备!$B:$E,3,FALSE),"")</f>
        <v/>
      </c>
      <c r="V170" s="36" t="str">
        <f>IFERROR(VLOOKUP(H170,装备!$B:$E,3,FALSE),"")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装备!#REF!</f>
        <v>#REF!</v>
      </c>
      <c r="B171" s="32" t="e">
        <f>"'"&amp;装备!#REF!&amp;"'"</f>
        <v>#REF!</v>
      </c>
      <c r="C171" s="32" t="e">
        <f>装备!#REF!</f>
        <v>#REF!</v>
      </c>
      <c r="D171" s="32" t="e">
        <f>装备!#REF!</f>
        <v>#REF!</v>
      </c>
      <c r="E171" s="32" t="e">
        <f>装备!#REF!</f>
        <v>#REF!</v>
      </c>
      <c r="F171" s="32" t="e">
        <f>装备!#REF!</f>
        <v>#REF!</v>
      </c>
      <c r="G171" s="32" t="e">
        <f>装备!#REF!</f>
        <v>#REF!</v>
      </c>
      <c r="H171" s="32" t="e">
        <f>装备!#REF!</f>
        <v>#REF!</v>
      </c>
      <c r="I171" s="32" t="e">
        <f>IF(装备!#REF!=0,0,"'"&amp;装备!#REF!&amp;"'")</f>
        <v>#REF!</v>
      </c>
      <c r="J171" s="32" t="e">
        <f>IF(装备!#REF!=0,0,"'"&amp;装备!#REF!&amp;"'")</f>
        <v>#REF!</v>
      </c>
      <c r="K171" s="32" t="e">
        <f>IF(装备!#REF!=0,0,"'"&amp;装备!#REF!&amp;"'")</f>
        <v>#REF!</v>
      </c>
      <c r="L171" s="32" t="e">
        <f>IF(装备!#REF!=0,0,"'"&amp;装备!#REF!&amp;"'")</f>
        <v>#REF!</v>
      </c>
      <c r="M171" s="32" t="e">
        <f>IF(装备!#REF!=0,0,"'"&amp;装备!#REF!&amp;"'")</f>
        <v>#REF!</v>
      </c>
      <c r="N171" s="32" t="e">
        <f>IF(装备!#REF!=0,0,"'"&amp;装备!#REF!&amp;"'")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IFERROR(VLOOKUP(C171,装备!$B:$E,3,FALSE),"")</f>
        <v/>
      </c>
      <c r="R171" s="36" t="str">
        <f>IFERROR(VLOOKUP(D171,装备!$B:$E,3,FALSE),"")</f>
        <v/>
      </c>
      <c r="S171" s="36" t="str">
        <f>IFERROR(VLOOKUP(E171,装备!$B:$E,3,FALSE),"")</f>
        <v/>
      </c>
      <c r="T171" s="36" t="str">
        <f>IFERROR(VLOOKUP(F171,装备!$B:$E,3,FALSE),"")</f>
        <v/>
      </c>
      <c r="U171" s="36" t="str">
        <f>IFERROR(VLOOKUP(G171,装备!$B:$E,3,FALSE),"")</f>
        <v/>
      </c>
      <c r="V171" s="36" t="str">
        <f>IFERROR(VLOOKUP(H171,装备!$B:$E,3,FALSE),"")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装备!#REF!</f>
        <v>#REF!</v>
      </c>
      <c r="B172" s="32" t="e">
        <f>"'"&amp;装备!#REF!&amp;"'"</f>
        <v>#REF!</v>
      </c>
      <c r="C172" s="32" t="e">
        <f>装备!#REF!</f>
        <v>#REF!</v>
      </c>
      <c r="D172" s="32" t="e">
        <f>装备!#REF!</f>
        <v>#REF!</v>
      </c>
      <c r="E172" s="32" t="e">
        <f>装备!#REF!</f>
        <v>#REF!</v>
      </c>
      <c r="F172" s="32" t="e">
        <f>装备!#REF!</f>
        <v>#REF!</v>
      </c>
      <c r="G172" s="32" t="e">
        <f>装备!#REF!</f>
        <v>#REF!</v>
      </c>
      <c r="H172" s="32" t="e">
        <f>装备!#REF!</f>
        <v>#REF!</v>
      </c>
      <c r="I172" s="32" t="e">
        <f>IF(装备!#REF!=0,0,"'"&amp;装备!#REF!&amp;"'")</f>
        <v>#REF!</v>
      </c>
      <c r="J172" s="32" t="e">
        <f>IF(装备!#REF!=0,0,"'"&amp;装备!#REF!&amp;"'")</f>
        <v>#REF!</v>
      </c>
      <c r="K172" s="32" t="e">
        <f>IF(装备!#REF!=0,0,"'"&amp;装备!#REF!&amp;"'")</f>
        <v>#REF!</v>
      </c>
      <c r="L172" s="32" t="e">
        <f>IF(装备!#REF!=0,0,"'"&amp;装备!#REF!&amp;"'")</f>
        <v>#REF!</v>
      </c>
      <c r="M172" s="32" t="e">
        <f>IF(装备!#REF!=0,0,"'"&amp;装备!#REF!&amp;"'")</f>
        <v>#REF!</v>
      </c>
      <c r="N172" s="32" t="e">
        <f>IF(装备!#REF!=0,0,"'"&amp;装备!#REF!&amp;"'")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IFERROR(VLOOKUP(C172,装备!$B:$E,3,FALSE),"")</f>
        <v/>
      </c>
      <c r="R172" s="36" t="str">
        <f>IFERROR(VLOOKUP(D172,装备!$B:$E,3,FALSE),"")</f>
        <v/>
      </c>
      <c r="S172" s="36" t="str">
        <f>IFERROR(VLOOKUP(E172,装备!$B:$E,3,FALSE),"")</f>
        <v/>
      </c>
      <c r="T172" s="36" t="str">
        <f>IFERROR(VLOOKUP(F172,装备!$B:$E,3,FALSE),"")</f>
        <v/>
      </c>
      <c r="U172" s="36" t="str">
        <f>IFERROR(VLOOKUP(G172,装备!$B:$E,3,FALSE),"")</f>
        <v/>
      </c>
      <c r="V172" s="36" t="str">
        <f>IFERROR(VLOOKUP(H172,装备!$B:$E,3,FALSE),"")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装备!A168</f>
        <v>0</v>
      </c>
      <c r="B173" s="32" t="str">
        <f>"'"&amp;装备!B168&amp;"'"</f>
        <v>'IP01'</v>
      </c>
      <c r="C173" s="32">
        <f>装备!J168</f>
        <v>0</v>
      </c>
      <c r="D173" s="32">
        <f>装备!K168</f>
        <v>0</v>
      </c>
      <c r="E173" s="32">
        <f>装备!L168</f>
        <v>0</v>
      </c>
      <c r="F173" s="32">
        <f>装备!M168</f>
        <v>0</v>
      </c>
      <c r="G173" s="32">
        <f>装备!N168</f>
        <v>0</v>
      </c>
      <c r="H173" s="32">
        <f>装备!O168</f>
        <v>0</v>
      </c>
      <c r="I173" s="32">
        <f>IF(装备!J168=0,0,"'"&amp;装备!J168&amp;"'")</f>
        <v>0</v>
      </c>
      <c r="J173" s="32">
        <f>IF(装备!K168=0,0,"'"&amp;装备!K168&amp;"'")</f>
        <v>0</v>
      </c>
      <c r="K173" s="32">
        <f>IF(装备!L168=0,0,"'"&amp;装备!L168&amp;"'")</f>
        <v>0</v>
      </c>
      <c r="L173" s="32">
        <f>IF(装备!M168=0,0,"'"&amp;装备!M168&amp;"'")</f>
        <v>0</v>
      </c>
      <c r="M173" s="32">
        <f>IF(装备!N168=0,0,"'"&amp;装备!N168&amp;"'")</f>
        <v>0</v>
      </c>
      <c r="N173" s="32">
        <f>IF(装备!O168=0,0,"'"&amp;装备!O168&amp;"'")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IFERROR(VLOOKUP(C173,装备!$B:$E,3,FALSE),"")</f>
        <v/>
      </c>
      <c r="R173" s="36" t="str">
        <f>IFERROR(VLOOKUP(D173,装备!$B:$E,3,FALSE),"")</f>
        <v/>
      </c>
      <c r="S173" s="36" t="str">
        <f>IFERROR(VLOOKUP(E173,装备!$B:$E,3,FALSE),"")</f>
        <v/>
      </c>
      <c r="T173" s="36" t="str">
        <f>IFERROR(VLOOKUP(F173,装备!$B:$E,3,FALSE),"")</f>
        <v/>
      </c>
      <c r="U173" s="36" t="str">
        <f>IFERROR(VLOOKUP(G173,装备!$B:$E,3,FALSE),"")</f>
        <v/>
      </c>
      <c r="V173" s="36" t="str">
        <f>IFERROR(VLOOKUP(H173,装备!$B:$E,3,FALSE),"")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装备!A169</f>
        <v>0</v>
      </c>
      <c r="B174" s="32" t="str">
        <f>"'"&amp;装备!B169&amp;"'"</f>
        <v>'IP02'</v>
      </c>
      <c r="C174" s="32">
        <f>装备!J169</f>
        <v>0</v>
      </c>
      <c r="D174" s="32">
        <f>装备!K169</f>
        <v>0</v>
      </c>
      <c r="E174" s="32">
        <f>装备!L169</f>
        <v>0</v>
      </c>
      <c r="F174" s="32">
        <f>装备!M169</f>
        <v>0</v>
      </c>
      <c r="G174" s="32">
        <f>装备!N169</f>
        <v>0</v>
      </c>
      <c r="H174" s="32">
        <f>装备!O169</f>
        <v>0</v>
      </c>
      <c r="I174" s="32">
        <f>IF(装备!J169=0,0,"'"&amp;装备!J169&amp;"'")</f>
        <v>0</v>
      </c>
      <c r="J174" s="32">
        <f>IF(装备!K169=0,0,"'"&amp;装备!K169&amp;"'")</f>
        <v>0</v>
      </c>
      <c r="K174" s="32">
        <f>IF(装备!L169=0,0,"'"&amp;装备!L169&amp;"'")</f>
        <v>0</v>
      </c>
      <c r="L174" s="32">
        <f>IF(装备!M169=0,0,"'"&amp;装备!M169&amp;"'")</f>
        <v>0</v>
      </c>
      <c r="M174" s="32">
        <f>IF(装备!N169=0,0,"'"&amp;装备!N169&amp;"'")</f>
        <v>0</v>
      </c>
      <c r="N174" s="32">
        <f>IF(装备!O169=0,0,"'"&amp;装备!O169&amp;"'")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IFERROR(VLOOKUP(C174,装备!$B:$E,3,FALSE),"")</f>
        <v/>
      </c>
      <c r="R174" s="36" t="str">
        <f>IFERROR(VLOOKUP(D174,装备!$B:$E,3,FALSE),"")</f>
        <v/>
      </c>
      <c r="S174" s="36" t="str">
        <f>IFERROR(VLOOKUP(E174,装备!$B:$E,3,FALSE),"")</f>
        <v/>
      </c>
      <c r="T174" s="36" t="str">
        <f>IFERROR(VLOOKUP(F174,装备!$B:$E,3,FALSE),"")</f>
        <v/>
      </c>
      <c r="U174" s="36" t="str">
        <f>IFERROR(VLOOKUP(G174,装备!$B:$E,3,FALSE),"")</f>
        <v/>
      </c>
      <c r="V174" s="36" t="str">
        <f>IFERROR(VLOOKUP(H174,装备!$B:$E,3,FALSE),"")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装备!A170</f>
        <v>0</v>
      </c>
      <c r="B175" s="32" t="str">
        <f>"'"&amp;装备!B170&amp;"'"</f>
        <v>'IP03'</v>
      </c>
      <c r="C175" s="32">
        <f>装备!J170</f>
        <v>0</v>
      </c>
      <c r="D175" s="32">
        <f>装备!K170</f>
        <v>0</v>
      </c>
      <c r="E175" s="32">
        <f>装备!L170</f>
        <v>0</v>
      </c>
      <c r="F175" s="32">
        <f>装备!M170</f>
        <v>0</v>
      </c>
      <c r="G175" s="32">
        <f>装备!N170</f>
        <v>0</v>
      </c>
      <c r="H175" s="32">
        <f>装备!O170</f>
        <v>0</v>
      </c>
      <c r="I175" s="32">
        <f>IF(装备!J170=0,0,"'"&amp;装备!J170&amp;"'")</f>
        <v>0</v>
      </c>
      <c r="J175" s="32">
        <f>IF(装备!K170=0,0,"'"&amp;装备!K170&amp;"'")</f>
        <v>0</v>
      </c>
      <c r="K175" s="32">
        <f>IF(装备!L170=0,0,"'"&amp;装备!L170&amp;"'")</f>
        <v>0</v>
      </c>
      <c r="L175" s="32">
        <f>IF(装备!M170=0,0,"'"&amp;装备!M170&amp;"'")</f>
        <v>0</v>
      </c>
      <c r="M175" s="32">
        <f>IF(装备!N170=0,0,"'"&amp;装备!N170&amp;"'")</f>
        <v>0</v>
      </c>
      <c r="N175" s="32">
        <f>IF(装备!O170=0,0,"'"&amp;装备!O170&amp;"'")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IFERROR(VLOOKUP(C175,装备!$B:$E,3,FALSE),"")</f>
        <v/>
      </c>
      <c r="R175" s="36" t="str">
        <f>IFERROR(VLOOKUP(D175,装备!$B:$E,3,FALSE),"")</f>
        <v/>
      </c>
      <c r="S175" s="36" t="str">
        <f>IFERROR(VLOOKUP(E175,装备!$B:$E,3,FALSE),"")</f>
        <v/>
      </c>
      <c r="T175" s="36" t="str">
        <f>IFERROR(VLOOKUP(F175,装备!$B:$E,3,FALSE),"")</f>
        <v/>
      </c>
      <c r="U175" s="36" t="str">
        <f>IFERROR(VLOOKUP(G175,装备!$B:$E,3,FALSE),"")</f>
        <v/>
      </c>
      <c r="V175" s="36" t="str">
        <f>IFERROR(VLOOKUP(H175,装备!$B:$E,3,FALSE),"")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装备!A173</f>
        <v>0</v>
      </c>
      <c r="B176" s="32" t="str">
        <f>"'"&amp;装备!B173&amp;"'"</f>
        <v>'IT01'</v>
      </c>
      <c r="C176" s="32">
        <f>装备!J173</f>
        <v>0</v>
      </c>
      <c r="D176" s="32">
        <f>装备!K173</f>
        <v>0</v>
      </c>
      <c r="E176" s="32">
        <f>装备!L173</f>
        <v>0</v>
      </c>
      <c r="F176" s="32">
        <f>装备!M173</f>
        <v>0</v>
      </c>
      <c r="G176" s="32">
        <f>装备!N173</f>
        <v>0</v>
      </c>
      <c r="H176" s="32">
        <f>装备!O173</f>
        <v>0</v>
      </c>
      <c r="I176" s="32">
        <f>IF(装备!J173=0,0,"'"&amp;装备!J173&amp;"'")</f>
        <v>0</v>
      </c>
      <c r="J176" s="32">
        <f>IF(装备!K173=0,0,"'"&amp;装备!K173&amp;"'")</f>
        <v>0</v>
      </c>
      <c r="K176" s="32">
        <f>IF(装备!L173=0,0,"'"&amp;装备!L173&amp;"'")</f>
        <v>0</v>
      </c>
      <c r="L176" s="32">
        <f>IF(装备!M173=0,0,"'"&amp;装备!M173&amp;"'")</f>
        <v>0</v>
      </c>
      <c r="M176" s="32">
        <f>IF(装备!N173=0,0,"'"&amp;装备!N173&amp;"'")</f>
        <v>0</v>
      </c>
      <c r="N176" s="32">
        <f>IF(装备!O173=0,0,"'"&amp;装备!O173&amp;"'")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IFERROR(VLOOKUP(C176,装备!$B:$E,3,FALSE),"")</f>
        <v/>
      </c>
      <c r="R176" s="36" t="str">
        <f>IFERROR(VLOOKUP(D176,装备!$B:$E,3,FALSE),"")</f>
        <v/>
      </c>
      <c r="S176" s="36" t="str">
        <f>IFERROR(VLOOKUP(E176,装备!$B:$E,3,FALSE),"")</f>
        <v/>
      </c>
      <c r="T176" s="36" t="str">
        <f>IFERROR(VLOOKUP(F176,装备!$B:$E,3,FALSE),"")</f>
        <v/>
      </c>
      <c r="U176" s="36" t="str">
        <f>IFERROR(VLOOKUP(G176,装备!$B:$E,3,FALSE),"")</f>
        <v/>
      </c>
      <c r="V176" s="36" t="str">
        <f>IFERROR(VLOOKUP(H176,装备!$B:$E,3,FALSE),"")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装备!A174</f>
        <v>0</v>
      </c>
      <c r="B177" s="32" t="str">
        <f>"'"&amp;装备!B174&amp;"'"</f>
        <v>'IT02'</v>
      </c>
      <c r="C177" s="32">
        <f>装备!J174</f>
        <v>0</v>
      </c>
      <c r="D177" s="32">
        <f>装备!K174</f>
        <v>0</v>
      </c>
      <c r="E177" s="32">
        <f>装备!L174</f>
        <v>0</v>
      </c>
      <c r="F177" s="32">
        <f>装备!M174</f>
        <v>0</v>
      </c>
      <c r="G177" s="32">
        <f>装备!N174</f>
        <v>0</v>
      </c>
      <c r="H177" s="32">
        <f>装备!O174</f>
        <v>0</v>
      </c>
      <c r="I177" s="32">
        <f>IF(装备!J174=0,0,"'"&amp;装备!J174&amp;"'")</f>
        <v>0</v>
      </c>
      <c r="J177" s="32">
        <f>IF(装备!K174=0,0,"'"&amp;装备!K174&amp;"'")</f>
        <v>0</v>
      </c>
      <c r="K177" s="32">
        <f>IF(装备!L174=0,0,"'"&amp;装备!L174&amp;"'")</f>
        <v>0</v>
      </c>
      <c r="L177" s="32">
        <f>IF(装备!M174=0,0,"'"&amp;装备!M174&amp;"'")</f>
        <v>0</v>
      </c>
      <c r="M177" s="32">
        <f>IF(装备!N174=0,0,"'"&amp;装备!N174&amp;"'")</f>
        <v>0</v>
      </c>
      <c r="N177" s="32">
        <f>IF(装备!O174=0,0,"'"&amp;装备!O174&amp;"'")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IFERROR(VLOOKUP(C177,装备!$B:$E,3,FALSE),"")</f>
        <v/>
      </c>
      <c r="R177" s="36" t="str">
        <f>IFERROR(VLOOKUP(D177,装备!$B:$E,3,FALSE),"")</f>
        <v/>
      </c>
      <c r="S177" s="36" t="str">
        <f>IFERROR(VLOOKUP(E177,装备!$B:$E,3,FALSE),"")</f>
        <v/>
      </c>
      <c r="T177" s="36" t="str">
        <f>IFERROR(VLOOKUP(F177,装备!$B:$E,3,FALSE),"")</f>
        <v/>
      </c>
      <c r="U177" s="36" t="str">
        <f>IFERROR(VLOOKUP(G177,装备!$B:$E,3,FALSE),"")</f>
        <v/>
      </c>
      <c r="V177" s="36" t="str">
        <f>IFERROR(VLOOKUP(H177,装备!$B:$E,3,FALSE),"")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装备!A175</f>
        <v>0</v>
      </c>
      <c r="B178" s="32" t="str">
        <f>"'"&amp;装备!B175&amp;"'"</f>
        <v>'IT03'</v>
      </c>
      <c r="C178" s="32">
        <f>装备!J175</f>
        <v>0</v>
      </c>
      <c r="D178" s="32">
        <f>装备!K175</f>
        <v>0</v>
      </c>
      <c r="E178" s="32">
        <f>装备!L175</f>
        <v>0</v>
      </c>
      <c r="F178" s="32">
        <f>装备!M175</f>
        <v>0</v>
      </c>
      <c r="G178" s="32">
        <f>装备!N175</f>
        <v>0</v>
      </c>
      <c r="H178" s="32">
        <f>装备!O175</f>
        <v>0</v>
      </c>
      <c r="I178" s="32">
        <f>IF(装备!J175=0,0,"'"&amp;装备!J175&amp;"'")</f>
        <v>0</v>
      </c>
      <c r="J178" s="32">
        <f>IF(装备!K175=0,0,"'"&amp;装备!K175&amp;"'")</f>
        <v>0</v>
      </c>
      <c r="K178" s="32">
        <f>IF(装备!L175=0,0,"'"&amp;装备!L175&amp;"'")</f>
        <v>0</v>
      </c>
      <c r="L178" s="32">
        <f>IF(装备!M175=0,0,"'"&amp;装备!M175&amp;"'")</f>
        <v>0</v>
      </c>
      <c r="M178" s="32">
        <f>IF(装备!N175=0,0,"'"&amp;装备!N175&amp;"'")</f>
        <v>0</v>
      </c>
      <c r="N178" s="32">
        <f>IF(装备!O175=0,0,"'"&amp;装备!O175&amp;"'")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IFERROR(VLOOKUP(C178,装备!$B:$E,3,FALSE),"")</f>
        <v/>
      </c>
      <c r="R178" s="36" t="str">
        <f>IFERROR(VLOOKUP(D178,装备!$B:$E,3,FALSE),"")</f>
        <v/>
      </c>
      <c r="S178" s="36" t="str">
        <f>IFERROR(VLOOKUP(E178,装备!$B:$E,3,FALSE),"")</f>
        <v/>
      </c>
      <c r="T178" s="36" t="str">
        <f>IFERROR(VLOOKUP(F178,装备!$B:$E,3,FALSE),"")</f>
        <v/>
      </c>
      <c r="U178" s="36" t="str">
        <f>IFERROR(VLOOKUP(G178,装备!$B:$E,3,FALSE),"")</f>
        <v/>
      </c>
      <c r="V178" s="36" t="str">
        <f>IFERROR(VLOOKUP(H178,装备!$B:$E,3,FALSE),"")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装备!A176</f>
        <v>0</v>
      </c>
      <c r="B179" s="32" t="str">
        <f>"'"&amp;装备!B176&amp;"'"</f>
        <v>'IT04'</v>
      </c>
      <c r="C179" s="32">
        <f>装备!J176</f>
        <v>0</v>
      </c>
      <c r="D179" s="32">
        <f>装备!K176</f>
        <v>0</v>
      </c>
      <c r="E179" s="32">
        <f>装备!L176</f>
        <v>0</v>
      </c>
      <c r="F179" s="32">
        <f>装备!M176</f>
        <v>0</v>
      </c>
      <c r="G179" s="32">
        <f>装备!N176</f>
        <v>0</v>
      </c>
      <c r="H179" s="32">
        <f>装备!O176</f>
        <v>0</v>
      </c>
      <c r="I179" s="32">
        <f>IF(装备!J176=0,0,"'"&amp;装备!J176&amp;"'")</f>
        <v>0</v>
      </c>
      <c r="J179" s="32">
        <f>IF(装备!K176=0,0,"'"&amp;装备!K176&amp;"'")</f>
        <v>0</v>
      </c>
      <c r="K179" s="32">
        <f>IF(装备!L176=0,0,"'"&amp;装备!L176&amp;"'")</f>
        <v>0</v>
      </c>
      <c r="L179" s="32">
        <f>IF(装备!M176=0,0,"'"&amp;装备!M176&amp;"'")</f>
        <v>0</v>
      </c>
      <c r="M179" s="32">
        <f>IF(装备!N176=0,0,"'"&amp;装备!N176&amp;"'")</f>
        <v>0</v>
      </c>
      <c r="N179" s="32">
        <f>IF(装备!O176=0,0,"'"&amp;装备!O176&amp;"'")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IFERROR(VLOOKUP(C179,装备!$B:$E,3,FALSE),"")</f>
        <v/>
      </c>
      <c r="R179" s="36" t="str">
        <f>IFERROR(VLOOKUP(D179,装备!$B:$E,3,FALSE),"")</f>
        <v/>
      </c>
      <c r="S179" s="36" t="str">
        <f>IFERROR(VLOOKUP(E179,装备!$B:$E,3,FALSE),"")</f>
        <v/>
      </c>
      <c r="T179" s="36" t="str">
        <f>IFERROR(VLOOKUP(F179,装备!$B:$E,3,FALSE),"")</f>
        <v/>
      </c>
      <c r="U179" s="36" t="str">
        <f>IFERROR(VLOOKUP(G179,装备!$B:$E,3,FALSE),"")</f>
        <v/>
      </c>
      <c r="V179" s="36" t="str">
        <f>IFERROR(VLOOKUP(H179,装备!$B:$E,3,FALSE),"")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装备!A177</f>
        <v>0</v>
      </c>
      <c r="B180" s="32" t="str">
        <f>"'"&amp;装备!B177&amp;"'"</f>
        <v>'IT05'</v>
      </c>
      <c r="C180" s="32">
        <f>装备!J177</f>
        <v>0</v>
      </c>
      <c r="D180" s="32">
        <f>装备!K177</f>
        <v>0</v>
      </c>
      <c r="E180" s="32">
        <f>装备!L177</f>
        <v>0</v>
      </c>
      <c r="F180" s="32">
        <f>装备!M177</f>
        <v>0</v>
      </c>
      <c r="G180" s="32">
        <f>装备!N177</f>
        <v>0</v>
      </c>
      <c r="H180" s="32">
        <f>装备!O177</f>
        <v>0</v>
      </c>
      <c r="I180" s="32">
        <f>IF(装备!J177=0,0,"'"&amp;装备!J177&amp;"'")</f>
        <v>0</v>
      </c>
      <c r="J180" s="32">
        <f>IF(装备!K177=0,0,"'"&amp;装备!K177&amp;"'")</f>
        <v>0</v>
      </c>
      <c r="K180" s="32">
        <f>IF(装备!L177=0,0,"'"&amp;装备!L177&amp;"'")</f>
        <v>0</v>
      </c>
      <c r="L180" s="32">
        <f>IF(装备!M177=0,0,"'"&amp;装备!M177&amp;"'")</f>
        <v>0</v>
      </c>
      <c r="M180" s="32">
        <f>IF(装备!N177=0,0,"'"&amp;装备!N177&amp;"'")</f>
        <v>0</v>
      </c>
      <c r="N180" s="32">
        <f>IF(装备!O177=0,0,"'"&amp;装备!O177&amp;"'")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IFERROR(VLOOKUP(C180,装备!$B:$E,3,FALSE),"")</f>
        <v/>
      </c>
      <c r="R180" s="36" t="str">
        <f>IFERROR(VLOOKUP(D180,装备!$B:$E,3,FALSE),"")</f>
        <v/>
      </c>
      <c r="S180" s="36" t="str">
        <f>IFERROR(VLOOKUP(E180,装备!$B:$E,3,FALSE),"")</f>
        <v/>
      </c>
      <c r="T180" s="36" t="str">
        <f>IFERROR(VLOOKUP(F180,装备!$B:$E,3,FALSE),"")</f>
        <v/>
      </c>
      <c r="U180" s="36" t="str">
        <f>IFERROR(VLOOKUP(G180,装备!$B:$E,3,FALSE),"")</f>
        <v/>
      </c>
      <c r="V180" s="36" t="str">
        <f>IFERROR(VLOOKUP(H180,装备!$B:$E,3,FALSE),"")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装备!A178</f>
        <v>0</v>
      </c>
      <c r="B181" s="32" t="str">
        <f>"'"&amp;装备!B178&amp;"'"</f>
        <v>'IT06'</v>
      </c>
      <c r="C181" s="32">
        <f>装备!J178</f>
        <v>0</v>
      </c>
      <c r="D181" s="32">
        <f>装备!K178</f>
        <v>0</v>
      </c>
      <c r="E181" s="32">
        <f>装备!L178</f>
        <v>0</v>
      </c>
      <c r="F181" s="32">
        <f>装备!M178</f>
        <v>0</v>
      </c>
      <c r="G181" s="32">
        <f>装备!N178</f>
        <v>0</v>
      </c>
      <c r="H181" s="32">
        <f>装备!O178</f>
        <v>0</v>
      </c>
      <c r="I181" s="32">
        <f>IF(装备!J178=0,0,"'"&amp;装备!J178&amp;"'")</f>
        <v>0</v>
      </c>
      <c r="J181" s="32">
        <f>IF(装备!K178=0,0,"'"&amp;装备!K178&amp;"'")</f>
        <v>0</v>
      </c>
      <c r="K181" s="32">
        <f>IF(装备!L178=0,0,"'"&amp;装备!L178&amp;"'")</f>
        <v>0</v>
      </c>
      <c r="L181" s="32">
        <f>IF(装备!M178=0,0,"'"&amp;装备!M178&amp;"'")</f>
        <v>0</v>
      </c>
      <c r="M181" s="32">
        <f>IF(装备!N178=0,0,"'"&amp;装备!N178&amp;"'")</f>
        <v>0</v>
      </c>
      <c r="N181" s="32">
        <f>IF(装备!O178=0,0,"'"&amp;装备!O178&amp;"'")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IFERROR(VLOOKUP(C181,装备!$B:$E,3,FALSE),"")</f>
        <v/>
      </c>
      <c r="R181" s="36" t="str">
        <f>IFERROR(VLOOKUP(D181,装备!$B:$E,3,FALSE),"")</f>
        <v/>
      </c>
      <c r="S181" s="36" t="str">
        <f>IFERROR(VLOOKUP(E181,装备!$B:$E,3,FALSE),"")</f>
        <v/>
      </c>
      <c r="T181" s="36" t="str">
        <f>IFERROR(VLOOKUP(F181,装备!$B:$E,3,FALSE),"")</f>
        <v/>
      </c>
      <c r="U181" s="36" t="str">
        <f>IFERROR(VLOOKUP(G181,装备!$B:$E,3,FALSE),"")</f>
        <v/>
      </c>
      <c r="V181" s="36" t="str">
        <f>IFERROR(VLOOKUP(H181,装备!$B:$E,3,FALSE),"")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装备!A179</f>
        <v>0</v>
      </c>
      <c r="B182" s="32" t="str">
        <f>"'"&amp;装备!B179&amp;"'"</f>
        <v>'IT07'</v>
      </c>
      <c r="C182" s="32">
        <f>装备!J179</f>
        <v>0</v>
      </c>
      <c r="D182" s="32">
        <f>装备!K179</f>
        <v>0</v>
      </c>
      <c r="E182" s="32">
        <f>装备!L179</f>
        <v>0</v>
      </c>
      <c r="F182" s="32">
        <f>装备!M179</f>
        <v>0</v>
      </c>
      <c r="G182" s="32">
        <f>装备!N179</f>
        <v>0</v>
      </c>
      <c r="H182" s="32">
        <f>装备!O179</f>
        <v>0</v>
      </c>
      <c r="I182" s="32">
        <f>IF(装备!J179=0,0,"'"&amp;装备!J179&amp;"'")</f>
        <v>0</v>
      </c>
      <c r="J182" s="32">
        <f>IF(装备!K179=0,0,"'"&amp;装备!K179&amp;"'")</f>
        <v>0</v>
      </c>
      <c r="K182" s="32">
        <f>IF(装备!L179=0,0,"'"&amp;装备!L179&amp;"'")</f>
        <v>0</v>
      </c>
      <c r="L182" s="32">
        <f>IF(装备!M179=0,0,"'"&amp;装备!M179&amp;"'")</f>
        <v>0</v>
      </c>
      <c r="M182" s="32">
        <f>IF(装备!N179=0,0,"'"&amp;装备!N179&amp;"'")</f>
        <v>0</v>
      </c>
      <c r="N182" s="32">
        <f>IF(装备!O179=0,0,"'"&amp;装备!O179&amp;"'")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IFERROR(VLOOKUP(C182,装备!$B:$E,3,FALSE),"")</f>
        <v/>
      </c>
      <c r="R182" s="36" t="str">
        <f>IFERROR(VLOOKUP(D182,装备!$B:$E,3,FALSE),"")</f>
        <v/>
      </c>
      <c r="S182" s="36" t="str">
        <f>IFERROR(VLOOKUP(E182,装备!$B:$E,3,FALSE),"")</f>
        <v/>
      </c>
      <c r="T182" s="36" t="str">
        <f>IFERROR(VLOOKUP(F182,装备!$B:$E,3,FALSE),"")</f>
        <v/>
      </c>
      <c r="U182" s="36" t="str">
        <f>IFERROR(VLOOKUP(G182,装备!$B:$E,3,FALSE),"")</f>
        <v/>
      </c>
      <c r="V182" s="36" t="str">
        <f>IFERROR(VLOOKUP(H182,装备!$B:$E,3,FALSE),"")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装备!A180</f>
        <v>.</v>
      </c>
      <c r="B183" s="32" t="str">
        <f>"'"&amp;装备!B180&amp;"'"</f>
        <v>'IT08'</v>
      </c>
      <c r="C183" s="32">
        <f>装备!J180</f>
        <v>0</v>
      </c>
      <c r="D183" s="32">
        <f>装备!K180</f>
        <v>0</v>
      </c>
      <c r="E183" s="32">
        <f>装备!L180</f>
        <v>0</v>
      </c>
      <c r="F183" s="32">
        <f>装备!M180</f>
        <v>0</v>
      </c>
      <c r="G183" s="32">
        <f>装备!N180</f>
        <v>0</v>
      </c>
      <c r="H183" s="32">
        <f>装备!O180</f>
        <v>0</v>
      </c>
      <c r="I183" s="32">
        <f>IF(装备!J180=0,0,"'"&amp;装备!J180&amp;"'")</f>
        <v>0</v>
      </c>
      <c r="J183" s="32">
        <f>IF(装备!K180=0,0,"'"&amp;装备!K180&amp;"'")</f>
        <v>0</v>
      </c>
      <c r="K183" s="32">
        <f>IF(装备!L180=0,0,"'"&amp;装备!L180&amp;"'")</f>
        <v>0</v>
      </c>
      <c r="L183" s="32">
        <f>IF(装备!M180=0,0,"'"&amp;装备!M180&amp;"'")</f>
        <v>0</v>
      </c>
      <c r="M183" s="32">
        <f>IF(装备!N180=0,0,"'"&amp;装备!N180&amp;"'")</f>
        <v>0</v>
      </c>
      <c r="N183" s="32">
        <f>IF(装备!O180=0,0,"'"&amp;装备!O180&amp;"'")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IFERROR(VLOOKUP(C183,装备!$B:$E,3,FALSE),"")</f>
        <v/>
      </c>
      <c r="R183" s="36" t="str">
        <f>IFERROR(VLOOKUP(D183,装备!$B:$E,3,FALSE),"")</f>
        <v/>
      </c>
      <c r="S183" s="36" t="str">
        <f>IFERROR(VLOOKUP(E183,装备!$B:$E,3,FALSE),"")</f>
        <v/>
      </c>
      <c r="T183" s="36" t="str">
        <f>IFERROR(VLOOKUP(F183,装备!$B:$E,3,FALSE),"")</f>
        <v/>
      </c>
      <c r="U183" s="36" t="str">
        <f>IFERROR(VLOOKUP(G183,装备!$B:$E,3,FALSE),"")</f>
        <v/>
      </c>
      <c r="V183" s="36" t="str">
        <f>IFERROR(VLOOKUP(H183,装备!$B:$E,3,FALSE),"")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装备!A181</f>
        <v>0</v>
      </c>
      <c r="B184" s="32" t="str">
        <f>"'"&amp;装备!B181&amp;"'"</f>
        <v>'IT09'</v>
      </c>
      <c r="C184" s="32">
        <f>装备!J181</f>
        <v>0</v>
      </c>
      <c r="D184" s="32">
        <f>装备!K181</f>
        <v>0</v>
      </c>
      <c r="E184" s="32">
        <f>装备!L181</f>
        <v>0</v>
      </c>
      <c r="F184" s="32">
        <f>装备!M181</f>
        <v>0</v>
      </c>
      <c r="G184" s="32">
        <f>装备!N181</f>
        <v>0</v>
      </c>
      <c r="H184" s="32">
        <f>装备!O181</f>
        <v>0</v>
      </c>
      <c r="I184" s="32">
        <f>IF(装备!J181=0,0,"'"&amp;装备!J181&amp;"'")</f>
        <v>0</v>
      </c>
      <c r="J184" s="32">
        <f>IF(装备!K181=0,0,"'"&amp;装备!K181&amp;"'")</f>
        <v>0</v>
      </c>
      <c r="K184" s="32">
        <f>IF(装备!L181=0,0,"'"&amp;装备!L181&amp;"'")</f>
        <v>0</v>
      </c>
      <c r="L184" s="32">
        <f>IF(装备!M181=0,0,"'"&amp;装备!M181&amp;"'")</f>
        <v>0</v>
      </c>
      <c r="M184" s="32">
        <f>IF(装备!N181=0,0,"'"&amp;装备!N181&amp;"'")</f>
        <v>0</v>
      </c>
      <c r="N184" s="32">
        <f>IF(装备!O181=0,0,"'"&amp;装备!O181&amp;"'")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IFERROR(VLOOKUP(C184,装备!$B:$E,3,FALSE),"")</f>
        <v/>
      </c>
      <c r="R184" s="36" t="str">
        <f>IFERROR(VLOOKUP(D184,装备!$B:$E,3,FALSE),"")</f>
        <v/>
      </c>
      <c r="S184" s="36" t="str">
        <f>IFERROR(VLOOKUP(E184,装备!$B:$E,3,FALSE),"")</f>
        <v/>
      </c>
      <c r="T184" s="36" t="str">
        <f>IFERROR(VLOOKUP(F184,装备!$B:$E,3,FALSE),"")</f>
        <v/>
      </c>
      <c r="U184" s="36" t="str">
        <f>IFERROR(VLOOKUP(G184,装备!$B:$E,3,FALSE),"")</f>
        <v/>
      </c>
      <c r="V184" s="36" t="str">
        <f>IFERROR(VLOOKUP(H184,装备!$B:$E,3,FALSE),"")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装备!A182</f>
        <v>0</v>
      </c>
      <c r="B185" s="32" t="str">
        <f>"'"&amp;装备!B182&amp;"'"</f>
        <v>'IT10'</v>
      </c>
      <c r="C185" s="32">
        <f>装备!J182</f>
        <v>0</v>
      </c>
      <c r="D185" s="32">
        <f>装备!K182</f>
        <v>0</v>
      </c>
      <c r="E185" s="32">
        <f>装备!L182</f>
        <v>0</v>
      </c>
      <c r="F185" s="32">
        <f>装备!M182</f>
        <v>0</v>
      </c>
      <c r="G185" s="32">
        <f>装备!N182</f>
        <v>0</v>
      </c>
      <c r="H185" s="32">
        <f>装备!O182</f>
        <v>0</v>
      </c>
      <c r="I185" s="32">
        <f>IF(装备!J182=0,0,"'"&amp;装备!J182&amp;"'")</f>
        <v>0</v>
      </c>
      <c r="J185" s="32">
        <f>IF(装备!K182=0,0,"'"&amp;装备!K182&amp;"'")</f>
        <v>0</v>
      </c>
      <c r="K185" s="32">
        <f>IF(装备!L182=0,0,"'"&amp;装备!L182&amp;"'")</f>
        <v>0</v>
      </c>
      <c r="L185" s="32">
        <f>IF(装备!M182=0,0,"'"&amp;装备!M182&amp;"'")</f>
        <v>0</v>
      </c>
      <c r="M185" s="32">
        <f>IF(装备!N182=0,0,"'"&amp;装备!N182&amp;"'")</f>
        <v>0</v>
      </c>
      <c r="N185" s="32">
        <f>IF(装备!O182=0,0,"'"&amp;装备!O182&amp;"'")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IFERROR(VLOOKUP(C185,装备!$B:$E,3,FALSE),"")</f>
        <v/>
      </c>
      <c r="R185" s="36" t="str">
        <f>IFERROR(VLOOKUP(D185,装备!$B:$E,3,FALSE),"")</f>
        <v/>
      </c>
      <c r="S185" s="36" t="str">
        <f>IFERROR(VLOOKUP(E185,装备!$B:$E,3,FALSE),"")</f>
        <v/>
      </c>
      <c r="T185" s="36" t="str">
        <f>IFERROR(VLOOKUP(F185,装备!$B:$E,3,FALSE),"")</f>
        <v/>
      </c>
      <c r="U185" s="36" t="str">
        <f>IFERROR(VLOOKUP(G185,装备!$B:$E,3,FALSE),"")</f>
        <v/>
      </c>
      <c r="V185" s="36" t="str">
        <f>IFERROR(VLOOKUP(H185,装备!$B:$E,3,FALSE),"")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装备!A190</f>
        <v>0</v>
      </c>
      <c r="B186" s="32" t="str">
        <f>"'"&amp;装备!B190&amp;"'"</f>
        <v>'IS02'</v>
      </c>
      <c r="C186" s="32">
        <f>装备!J190</f>
        <v>0</v>
      </c>
      <c r="D186" s="32">
        <f>装备!K190</f>
        <v>0</v>
      </c>
      <c r="E186" s="32">
        <f>装备!L190</f>
        <v>0</v>
      </c>
      <c r="F186" s="32">
        <f>装备!M190</f>
        <v>0</v>
      </c>
      <c r="G186" s="32">
        <f>装备!N190</f>
        <v>0</v>
      </c>
      <c r="H186" s="32">
        <f>装备!O190</f>
        <v>0</v>
      </c>
      <c r="I186" s="32">
        <f>IF(装备!J190=0,0,"'"&amp;装备!J190&amp;"'")</f>
        <v>0</v>
      </c>
      <c r="J186" s="32">
        <f>IF(装备!K190=0,0,"'"&amp;装备!K190&amp;"'")</f>
        <v>0</v>
      </c>
      <c r="K186" s="32">
        <f>IF(装备!L190=0,0,"'"&amp;装备!L190&amp;"'")</f>
        <v>0</v>
      </c>
      <c r="L186" s="32">
        <f>IF(装备!M190=0,0,"'"&amp;装备!M190&amp;"'")</f>
        <v>0</v>
      </c>
      <c r="M186" s="32">
        <f>IF(装备!N190=0,0,"'"&amp;装备!N190&amp;"'")</f>
        <v>0</v>
      </c>
      <c r="N186" s="32">
        <f>IF(装备!O190=0,0,"'"&amp;装备!O190&amp;"'")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IFERROR(VLOOKUP(C186,装备!$B:$E,3,FALSE),"")</f>
        <v/>
      </c>
      <c r="R186" s="36" t="str">
        <f>IFERROR(VLOOKUP(D186,装备!$B:$E,3,FALSE),"")</f>
        <v/>
      </c>
      <c r="S186" s="36" t="str">
        <f>IFERROR(VLOOKUP(E186,装备!$B:$E,3,FALSE),"")</f>
        <v/>
      </c>
      <c r="T186" s="36" t="str">
        <f>IFERROR(VLOOKUP(F186,装备!$B:$E,3,FALSE),"")</f>
        <v/>
      </c>
      <c r="U186" s="36" t="str">
        <f>IFERROR(VLOOKUP(G186,装备!$B:$E,3,FALSE),"")</f>
        <v/>
      </c>
      <c r="V186" s="36" t="str">
        <f>IFERROR(VLOOKUP(H186,装备!$B:$E,3,FALSE),"")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装备!A191</f>
        <v>0</v>
      </c>
      <c r="B187" s="32" t="str">
        <f>"'"&amp;装备!B191&amp;"'"</f>
        <v>'IS03'</v>
      </c>
      <c r="C187" s="32">
        <f>装备!J191</f>
        <v>0</v>
      </c>
      <c r="D187" s="32">
        <f>装备!K191</f>
        <v>0</v>
      </c>
      <c r="E187" s="32">
        <f>装备!L191</f>
        <v>0</v>
      </c>
      <c r="F187" s="32">
        <f>装备!M191</f>
        <v>0</v>
      </c>
      <c r="G187" s="32">
        <f>装备!N191</f>
        <v>0</v>
      </c>
      <c r="H187" s="32">
        <f>装备!O191</f>
        <v>0</v>
      </c>
      <c r="I187" s="32">
        <f>IF(装备!J191=0,0,"'"&amp;装备!J191&amp;"'")</f>
        <v>0</v>
      </c>
      <c r="J187" s="32">
        <f>IF(装备!K191=0,0,"'"&amp;装备!K191&amp;"'")</f>
        <v>0</v>
      </c>
      <c r="K187" s="32">
        <f>IF(装备!L191=0,0,"'"&amp;装备!L191&amp;"'")</f>
        <v>0</v>
      </c>
      <c r="L187" s="32">
        <f>IF(装备!M191=0,0,"'"&amp;装备!M191&amp;"'")</f>
        <v>0</v>
      </c>
      <c r="M187" s="32">
        <f>IF(装备!N191=0,0,"'"&amp;装备!N191&amp;"'")</f>
        <v>0</v>
      </c>
      <c r="N187" s="32">
        <f>IF(装备!O191=0,0,"'"&amp;装备!O191&amp;"'")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IFERROR(VLOOKUP(C187,装备!$B:$E,3,FALSE),"")</f>
        <v/>
      </c>
      <c r="R187" s="36" t="str">
        <f>IFERROR(VLOOKUP(D187,装备!$B:$E,3,FALSE),"")</f>
        <v/>
      </c>
      <c r="S187" s="36" t="str">
        <f>IFERROR(VLOOKUP(E187,装备!$B:$E,3,FALSE),"")</f>
        <v/>
      </c>
      <c r="T187" s="36" t="str">
        <f>IFERROR(VLOOKUP(F187,装备!$B:$E,3,FALSE),"")</f>
        <v/>
      </c>
      <c r="U187" s="36" t="str">
        <f>IFERROR(VLOOKUP(G187,装备!$B:$E,3,FALSE),"")</f>
        <v/>
      </c>
      <c r="V187" s="36" t="str">
        <f>IFERROR(VLOOKUP(H187,装备!$B:$E,3,FALSE),"")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装备!#REF!</f>
        <v>#REF!</v>
      </c>
      <c r="B188" s="32" t="e">
        <f>"'"&amp;装备!#REF!&amp;"'"</f>
        <v>#REF!</v>
      </c>
      <c r="C188" s="32" t="e">
        <f>装备!#REF!</f>
        <v>#REF!</v>
      </c>
      <c r="D188" s="32" t="e">
        <f>装备!#REF!</f>
        <v>#REF!</v>
      </c>
      <c r="E188" s="32" t="e">
        <f>装备!#REF!</f>
        <v>#REF!</v>
      </c>
      <c r="F188" s="32" t="e">
        <f>装备!#REF!</f>
        <v>#REF!</v>
      </c>
      <c r="G188" s="32" t="e">
        <f>装备!#REF!</f>
        <v>#REF!</v>
      </c>
      <c r="H188" s="32" t="e">
        <f>装备!#REF!</f>
        <v>#REF!</v>
      </c>
      <c r="I188" s="32" t="e">
        <f>IF(装备!#REF!=0,0,"'"&amp;装备!#REF!&amp;"'")</f>
        <v>#REF!</v>
      </c>
      <c r="J188" s="32" t="e">
        <f>IF(装备!#REF!=0,0,"'"&amp;装备!#REF!&amp;"'")</f>
        <v>#REF!</v>
      </c>
      <c r="K188" s="32" t="e">
        <f>IF(装备!#REF!=0,0,"'"&amp;装备!#REF!&amp;"'")</f>
        <v>#REF!</v>
      </c>
      <c r="L188" s="32" t="e">
        <f>IF(装备!#REF!=0,0,"'"&amp;装备!#REF!&amp;"'")</f>
        <v>#REF!</v>
      </c>
      <c r="M188" s="32" t="e">
        <f>IF(装备!#REF!=0,0,"'"&amp;装备!#REF!&amp;"'")</f>
        <v>#REF!</v>
      </c>
      <c r="N188" s="32" t="e">
        <f>IF(装备!#REF!=0,0,"'"&amp;装备!#REF!&amp;"'")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IFERROR(VLOOKUP(C188,装备!$B:$E,3,FALSE),"")</f>
        <v/>
      </c>
      <c r="R188" s="36" t="str">
        <f>IFERROR(VLOOKUP(D188,装备!$B:$E,3,FALSE),"")</f>
        <v/>
      </c>
      <c r="S188" s="36" t="str">
        <f>IFERROR(VLOOKUP(E188,装备!$B:$E,3,FALSE),"")</f>
        <v/>
      </c>
      <c r="T188" s="36" t="str">
        <f>IFERROR(VLOOKUP(F188,装备!$B:$E,3,FALSE),"")</f>
        <v/>
      </c>
      <c r="U188" s="36" t="str">
        <f>IFERROR(VLOOKUP(G188,装备!$B:$E,3,FALSE),"")</f>
        <v/>
      </c>
      <c r="V188" s="36" t="str">
        <f>IFERROR(VLOOKUP(H188,装备!$B:$E,3,FALSE),"")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装备!#REF!</f>
        <v>#REF!</v>
      </c>
      <c r="B189" s="32" t="e">
        <f>"'"&amp;装备!#REF!&amp;"'"</f>
        <v>#REF!</v>
      </c>
      <c r="C189" s="32" t="e">
        <f>装备!#REF!</f>
        <v>#REF!</v>
      </c>
      <c r="D189" s="32" t="e">
        <f>装备!#REF!</f>
        <v>#REF!</v>
      </c>
      <c r="E189" s="32" t="e">
        <f>装备!#REF!</f>
        <v>#REF!</v>
      </c>
      <c r="F189" s="32" t="e">
        <f>装备!#REF!</f>
        <v>#REF!</v>
      </c>
      <c r="G189" s="32" t="e">
        <f>装备!#REF!</f>
        <v>#REF!</v>
      </c>
      <c r="H189" s="32" t="e">
        <f>装备!#REF!</f>
        <v>#REF!</v>
      </c>
      <c r="I189" s="32" t="e">
        <f>IF(装备!#REF!=0,0,"'"&amp;装备!#REF!&amp;"'")</f>
        <v>#REF!</v>
      </c>
      <c r="J189" s="32" t="e">
        <f>IF(装备!#REF!=0,0,"'"&amp;装备!#REF!&amp;"'")</f>
        <v>#REF!</v>
      </c>
      <c r="K189" s="32" t="e">
        <f>IF(装备!#REF!=0,0,"'"&amp;装备!#REF!&amp;"'")</f>
        <v>#REF!</v>
      </c>
      <c r="L189" s="32" t="e">
        <f>IF(装备!#REF!=0,0,"'"&amp;装备!#REF!&amp;"'")</f>
        <v>#REF!</v>
      </c>
      <c r="M189" s="32" t="e">
        <f>IF(装备!#REF!=0,0,"'"&amp;装备!#REF!&amp;"'")</f>
        <v>#REF!</v>
      </c>
      <c r="N189" s="32" t="e">
        <f>IF(装备!#REF!=0,0,"'"&amp;装备!#REF!&amp;"'")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IFERROR(VLOOKUP(C189,装备!$B:$E,3,FALSE),"")</f>
        <v/>
      </c>
      <c r="R189" s="36" t="str">
        <f>IFERROR(VLOOKUP(D189,装备!$B:$E,3,FALSE),"")</f>
        <v/>
      </c>
      <c r="S189" s="36" t="str">
        <f>IFERROR(VLOOKUP(E189,装备!$B:$E,3,FALSE),"")</f>
        <v/>
      </c>
      <c r="T189" s="36" t="str">
        <f>IFERROR(VLOOKUP(F189,装备!$B:$E,3,FALSE),"")</f>
        <v/>
      </c>
      <c r="U189" s="36" t="str">
        <f>IFERROR(VLOOKUP(G189,装备!$B:$E,3,FALSE),"")</f>
        <v/>
      </c>
      <c r="V189" s="36" t="str">
        <f>IFERROR(VLOOKUP(H189,装备!$B:$E,3,FALSE),"")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装备!A196</f>
        <v>0</v>
      </c>
      <c r="B190" s="32" t="str">
        <f>"'"&amp;装备!B196&amp;"'"</f>
        <v>'IS12'</v>
      </c>
      <c r="C190" s="32">
        <f>装备!J196</f>
        <v>0</v>
      </c>
      <c r="D190" s="32">
        <f>装备!K196</f>
        <v>0</v>
      </c>
      <c r="E190" s="32">
        <f>装备!L196</f>
        <v>0</v>
      </c>
      <c r="F190" s="32">
        <f>装备!M196</f>
        <v>0</v>
      </c>
      <c r="G190" s="32">
        <f>装备!N196</f>
        <v>0</v>
      </c>
      <c r="H190" s="32">
        <f>装备!O196</f>
        <v>0</v>
      </c>
      <c r="I190" s="32">
        <f>IF(装备!J196=0,0,"'"&amp;装备!J196&amp;"'")</f>
        <v>0</v>
      </c>
      <c r="J190" s="32">
        <f>IF(装备!K196=0,0,"'"&amp;装备!K196&amp;"'")</f>
        <v>0</v>
      </c>
      <c r="K190" s="32">
        <f>IF(装备!L196=0,0,"'"&amp;装备!L196&amp;"'")</f>
        <v>0</v>
      </c>
      <c r="L190" s="32">
        <f>IF(装备!M196=0,0,"'"&amp;装备!M196&amp;"'")</f>
        <v>0</v>
      </c>
      <c r="M190" s="32">
        <f>IF(装备!N196=0,0,"'"&amp;装备!N196&amp;"'")</f>
        <v>0</v>
      </c>
      <c r="N190" s="32">
        <f>IF(装备!O196=0,0,"'"&amp;装备!O196&amp;"'")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IFERROR(VLOOKUP(C190,装备!$B:$E,3,FALSE),"")</f>
        <v/>
      </c>
      <c r="R190" s="36" t="str">
        <f>IFERROR(VLOOKUP(D190,装备!$B:$E,3,FALSE),"")</f>
        <v/>
      </c>
      <c r="S190" s="36" t="str">
        <f>IFERROR(VLOOKUP(E190,装备!$B:$E,3,FALSE),"")</f>
        <v/>
      </c>
      <c r="T190" s="36" t="str">
        <f>IFERROR(VLOOKUP(F190,装备!$B:$E,3,FALSE),"")</f>
        <v/>
      </c>
      <c r="U190" s="36" t="str">
        <f>IFERROR(VLOOKUP(G190,装备!$B:$E,3,FALSE),"")</f>
        <v/>
      </c>
      <c r="V190" s="36" t="str">
        <f>IFERROR(VLOOKUP(H190,装备!$B:$E,3,FALSE),"")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装备!#REF!</f>
        <v>#REF!</v>
      </c>
      <c r="B191" s="32" t="e">
        <f>"'"&amp;装备!#REF!&amp;"'"</f>
        <v>#REF!</v>
      </c>
      <c r="C191" s="32" t="e">
        <f>装备!#REF!</f>
        <v>#REF!</v>
      </c>
      <c r="D191" s="32" t="e">
        <f>装备!#REF!</f>
        <v>#REF!</v>
      </c>
      <c r="E191" s="32" t="e">
        <f>装备!#REF!</f>
        <v>#REF!</v>
      </c>
      <c r="F191" s="32" t="e">
        <f>装备!#REF!</f>
        <v>#REF!</v>
      </c>
      <c r="G191" s="32" t="e">
        <f>装备!#REF!</f>
        <v>#REF!</v>
      </c>
      <c r="H191" s="32" t="e">
        <f>装备!#REF!</f>
        <v>#REF!</v>
      </c>
      <c r="I191" s="32" t="e">
        <f>IF(装备!#REF!=0,0,"'"&amp;装备!#REF!&amp;"'")</f>
        <v>#REF!</v>
      </c>
      <c r="J191" s="32" t="e">
        <f>IF(装备!#REF!=0,0,"'"&amp;装备!#REF!&amp;"'")</f>
        <v>#REF!</v>
      </c>
      <c r="K191" s="32" t="e">
        <f>IF(装备!#REF!=0,0,"'"&amp;装备!#REF!&amp;"'")</f>
        <v>#REF!</v>
      </c>
      <c r="L191" s="32" t="e">
        <f>IF(装备!#REF!=0,0,"'"&amp;装备!#REF!&amp;"'")</f>
        <v>#REF!</v>
      </c>
      <c r="M191" s="32" t="e">
        <f>IF(装备!#REF!=0,0,"'"&amp;装备!#REF!&amp;"'")</f>
        <v>#REF!</v>
      </c>
      <c r="N191" s="32" t="e">
        <f>IF(装备!#REF!=0,0,"'"&amp;装备!#REF!&amp;"'")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IFERROR(VLOOKUP(C191,装备!$B:$E,3,FALSE),"")</f>
        <v/>
      </c>
      <c r="R191" s="36" t="str">
        <f>IFERROR(VLOOKUP(D191,装备!$B:$E,3,FALSE),"")</f>
        <v/>
      </c>
      <c r="S191" s="36" t="str">
        <f>IFERROR(VLOOKUP(E191,装备!$B:$E,3,FALSE),"")</f>
        <v/>
      </c>
      <c r="T191" s="36" t="str">
        <f>IFERROR(VLOOKUP(F191,装备!$B:$E,3,FALSE),"")</f>
        <v/>
      </c>
      <c r="U191" s="36" t="str">
        <f>IFERROR(VLOOKUP(G191,装备!$B:$E,3,FALSE),"")</f>
        <v/>
      </c>
      <c r="V191" s="36" t="str">
        <f>IFERROR(VLOOKUP(H191,装备!$B:$E,3,FALSE),"")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装备!#REF!</f>
        <v>#REF!</v>
      </c>
      <c r="B192" s="32" t="e">
        <f>"'"&amp;装备!#REF!&amp;"'"</f>
        <v>#REF!</v>
      </c>
      <c r="C192" s="32" t="e">
        <f>装备!#REF!</f>
        <v>#REF!</v>
      </c>
      <c r="D192" s="32" t="e">
        <f>装备!#REF!</f>
        <v>#REF!</v>
      </c>
      <c r="E192" s="32" t="e">
        <f>装备!#REF!</f>
        <v>#REF!</v>
      </c>
      <c r="F192" s="32" t="e">
        <f>装备!#REF!</f>
        <v>#REF!</v>
      </c>
      <c r="G192" s="32" t="e">
        <f>装备!#REF!</f>
        <v>#REF!</v>
      </c>
      <c r="H192" s="32" t="e">
        <f>装备!#REF!</f>
        <v>#REF!</v>
      </c>
      <c r="I192" s="32" t="e">
        <f>IF(装备!#REF!=0,0,"'"&amp;装备!#REF!&amp;"'")</f>
        <v>#REF!</v>
      </c>
      <c r="J192" s="32" t="e">
        <f>IF(装备!#REF!=0,0,"'"&amp;装备!#REF!&amp;"'")</f>
        <v>#REF!</v>
      </c>
      <c r="K192" s="32" t="e">
        <f>IF(装备!#REF!=0,0,"'"&amp;装备!#REF!&amp;"'")</f>
        <v>#REF!</v>
      </c>
      <c r="L192" s="32" t="e">
        <f>IF(装备!#REF!=0,0,"'"&amp;装备!#REF!&amp;"'")</f>
        <v>#REF!</v>
      </c>
      <c r="M192" s="32" t="e">
        <f>IF(装备!#REF!=0,0,"'"&amp;装备!#REF!&amp;"'")</f>
        <v>#REF!</v>
      </c>
      <c r="N192" s="32" t="e">
        <f>IF(装备!#REF!=0,0,"'"&amp;装备!#REF!&amp;"'")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IFERROR(VLOOKUP(C192,装备!$B:$E,3,FALSE),"")</f>
        <v/>
      </c>
      <c r="R192" s="36" t="str">
        <f>IFERROR(VLOOKUP(D192,装备!$B:$E,3,FALSE),"")</f>
        <v/>
      </c>
      <c r="S192" s="36" t="str">
        <f>IFERROR(VLOOKUP(E192,装备!$B:$E,3,FALSE),"")</f>
        <v/>
      </c>
      <c r="T192" s="36" t="str">
        <f>IFERROR(VLOOKUP(F192,装备!$B:$E,3,FALSE),"")</f>
        <v/>
      </c>
      <c r="U192" s="36" t="str">
        <f>IFERROR(VLOOKUP(G192,装备!$B:$E,3,FALSE),"")</f>
        <v/>
      </c>
      <c r="V192" s="36" t="str">
        <f>IFERROR(VLOOKUP(H192,装备!$B:$E,3,FALSE),"")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装备!#REF!</f>
        <v>#REF!</v>
      </c>
      <c r="B193" s="32" t="e">
        <f>"'"&amp;装备!#REF!&amp;"'"</f>
        <v>#REF!</v>
      </c>
      <c r="C193" s="32" t="e">
        <f>装备!#REF!</f>
        <v>#REF!</v>
      </c>
      <c r="D193" s="32" t="e">
        <f>装备!#REF!</f>
        <v>#REF!</v>
      </c>
      <c r="E193" s="32" t="e">
        <f>装备!#REF!</f>
        <v>#REF!</v>
      </c>
      <c r="F193" s="32" t="e">
        <f>装备!#REF!</f>
        <v>#REF!</v>
      </c>
      <c r="G193" s="32" t="e">
        <f>装备!#REF!</f>
        <v>#REF!</v>
      </c>
      <c r="H193" s="32" t="e">
        <f>装备!#REF!</f>
        <v>#REF!</v>
      </c>
      <c r="I193" s="32" t="e">
        <f>IF(装备!#REF!=0,0,"'"&amp;装备!#REF!&amp;"'")</f>
        <v>#REF!</v>
      </c>
      <c r="J193" s="32" t="e">
        <f>IF(装备!#REF!=0,0,"'"&amp;装备!#REF!&amp;"'")</f>
        <v>#REF!</v>
      </c>
      <c r="K193" s="32" t="e">
        <f>IF(装备!#REF!=0,0,"'"&amp;装备!#REF!&amp;"'")</f>
        <v>#REF!</v>
      </c>
      <c r="L193" s="32" t="e">
        <f>IF(装备!#REF!=0,0,"'"&amp;装备!#REF!&amp;"'")</f>
        <v>#REF!</v>
      </c>
      <c r="M193" s="32" t="e">
        <f>IF(装备!#REF!=0,0,"'"&amp;装备!#REF!&amp;"'")</f>
        <v>#REF!</v>
      </c>
      <c r="N193" s="32" t="e">
        <f>IF(装备!#REF!=0,0,"'"&amp;装备!#REF!&amp;"'")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IFERROR(VLOOKUP(C193,装备!$B:$E,3,FALSE),"")</f>
        <v/>
      </c>
      <c r="R193" s="36" t="str">
        <f>IFERROR(VLOOKUP(D193,装备!$B:$E,3,FALSE),"")</f>
        <v/>
      </c>
      <c r="S193" s="36" t="str">
        <f>IFERROR(VLOOKUP(E193,装备!$B:$E,3,FALSE),"")</f>
        <v/>
      </c>
      <c r="T193" s="36" t="str">
        <f>IFERROR(VLOOKUP(F193,装备!$B:$E,3,FALSE),"")</f>
        <v/>
      </c>
      <c r="U193" s="36" t="str">
        <f>IFERROR(VLOOKUP(G193,装备!$B:$E,3,FALSE),"")</f>
        <v/>
      </c>
      <c r="V193" s="36" t="str">
        <f>IFERROR(VLOOKUP(H193,装备!$B:$E,3,FALSE),"")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装备!#REF!</f>
        <v>#REF!</v>
      </c>
      <c r="B194" s="32" t="e">
        <f>"'"&amp;装备!#REF!&amp;"'"</f>
        <v>#REF!</v>
      </c>
      <c r="C194" s="32" t="e">
        <f>装备!#REF!</f>
        <v>#REF!</v>
      </c>
      <c r="D194" s="32" t="e">
        <f>装备!#REF!</f>
        <v>#REF!</v>
      </c>
      <c r="E194" s="32" t="e">
        <f>装备!#REF!</f>
        <v>#REF!</v>
      </c>
      <c r="F194" s="32" t="e">
        <f>装备!#REF!</f>
        <v>#REF!</v>
      </c>
      <c r="G194" s="32" t="e">
        <f>装备!#REF!</f>
        <v>#REF!</v>
      </c>
      <c r="H194" s="32" t="e">
        <f>装备!#REF!</f>
        <v>#REF!</v>
      </c>
      <c r="I194" s="32" t="e">
        <f>IF(装备!#REF!=0,0,"'"&amp;装备!#REF!&amp;"'")</f>
        <v>#REF!</v>
      </c>
      <c r="J194" s="32" t="e">
        <f>IF(装备!#REF!=0,0,"'"&amp;装备!#REF!&amp;"'")</f>
        <v>#REF!</v>
      </c>
      <c r="K194" s="32" t="e">
        <f>IF(装备!#REF!=0,0,"'"&amp;装备!#REF!&amp;"'")</f>
        <v>#REF!</v>
      </c>
      <c r="L194" s="32" t="e">
        <f>IF(装备!#REF!=0,0,"'"&amp;装备!#REF!&amp;"'")</f>
        <v>#REF!</v>
      </c>
      <c r="M194" s="32" t="e">
        <f>IF(装备!#REF!=0,0,"'"&amp;装备!#REF!&amp;"'")</f>
        <v>#REF!</v>
      </c>
      <c r="N194" s="32" t="e">
        <f>IF(装备!#REF!=0,0,"'"&amp;装备!#REF!&amp;"'")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IFERROR(VLOOKUP(C194,装备!$B:$E,3,FALSE),"")</f>
        <v/>
      </c>
      <c r="R194" s="36" t="str">
        <f>IFERROR(VLOOKUP(D194,装备!$B:$E,3,FALSE),"")</f>
        <v/>
      </c>
      <c r="S194" s="36" t="str">
        <f>IFERROR(VLOOKUP(E194,装备!$B:$E,3,FALSE),"")</f>
        <v/>
      </c>
      <c r="T194" s="36" t="str">
        <f>IFERROR(VLOOKUP(F194,装备!$B:$E,3,FALSE),"")</f>
        <v/>
      </c>
      <c r="U194" s="36" t="str">
        <f>IFERROR(VLOOKUP(G194,装备!$B:$E,3,FALSE),"")</f>
        <v/>
      </c>
      <c r="V194" s="36" t="str">
        <f>IFERROR(VLOOKUP(H194,装备!$B:$E,3,FALSE),"")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装备!#REF!</f>
        <v>#REF!</v>
      </c>
      <c r="B195" s="32" t="e">
        <f>"'"&amp;装备!#REF!&amp;"'"</f>
        <v>#REF!</v>
      </c>
      <c r="C195" s="32" t="e">
        <f>装备!#REF!</f>
        <v>#REF!</v>
      </c>
      <c r="D195" s="32" t="e">
        <f>装备!#REF!</f>
        <v>#REF!</v>
      </c>
      <c r="E195" s="32" t="e">
        <f>装备!#REF!</f>
        <v>#REF!</v>
      </c>
      <c r="F195" s="32" t="e">
        <f>装备!#REF!</f>
        <v>#REF!</v>
      </c>
      <c r="G195" s="32" t="e">
        <f>装备!#REF!</f>
        <v>#REF!</v>
      </c>
      <c r="H195" s="32" t="e">
        <f>装备!#REF!</f>
        <v>#REF!</v>
      </c>
      <c r="I195" s="32" t="e">
        <f>IF(装备!#REF!=0,0,"'"&amp;装备!#REF!&amp;"'")</f>
        <v>#REF!</v>
      </c>
      <c r="J195" s="32" t="e">
        <f>IF(装备!#REF!=0,0,"'"&amp;装备!#REF!&amp;"'")</f>
        <v>#REF!</v>
      </c>
      <c r="K195" s="32" t="e">
        <f>IF(装备!#REF!=0,0,"'"&amp;装备!#REF!&amp;"'")</f>
        <v>#REF!</v>
      </c>
      <c r="L195" s="32" t="e">
        <f>IF(装备!#REF!=0,0,"'"&amp;装备!#REF!&amp;"'")</f>
        <v>#REF!</v>
      </c>
      <c r="M195" s="32" t="e">
        <f>IF(装备!#REF!=0,0,"'"&amp;装备!#REF!&amp;"'")</f>
        <v>#REF!</v>
      </c>
      <c r="N195" s="32" t="e">
        <f>IF(装备!#REF!=0,0,"'"&amp;装备!#REF!&amp;"'")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IFERROR(VLOOKUP(C195,装备!$B:$E,3,FALSE),"")</f>
        <v/>
      </c>
      <c r="R195" s="36" t="str">
        <f>IFERROR(VLOOKUP(D195,装备!$B:$E,3,FALSE),"")</f>
        <v/>
      </c>
      <c r="S195" s="36" t="str">
        <f>IFERROR(VLOOKUP(E195,装备!$B:$E,3,FALSE),"")</f>
        <v/>
      </c>
      <c r="T195" s="36" t="str">
        <f>IFERROR(VLOOKUP(F195,装备!$B:$E,3,FALSE),"")</f>
        <v/>
      </c>
      <c r="U195" s="36" t="str">
        <f>IFERROR(VLOOKUP(G195,装备!$B:$E,3,FALSE),"")</f>
        <v/>
      </c>
      <c r="V195" s="36" t="str">
        <f>IFERROR(VLOOKUP(H195,装备!$B:$E,3,FALSE),"")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装备!#REF!</f>
        <v>#REF!</v>
      </c>
      <c r="B196" s="32" t="e">
        <f>"'"&amp;装备!#REF!&amp;"'"</f>
        <v>#REF!</v>
      </c>
      <c r="C196" s="32" t="e">
        <f>装备!#REF!</f>
        <v>#REF!</v>
      </c>
      <c r="D196" s="32" t="e">
        <f>装备!#REF!</f>
        <v>#REF!</v>
      </c>
      <c r="E196" s="32" t="e">
        <f>装备!#REF!</f>
        <v>#REF!</v>
      </c>
      <c r="F196" s="32" t="e">
        <f>装备!#REF!</f>
        <v>#REF!</v>
      </c>
      <c r="G196" s="32" t="e">
        <f>装备!#REF!</f>
        <v>#REF!</v>
      </c>
      <c r="H196" s="32" t="e">
        <f>装备!#REF!</f>
        <v>#REF!</v>
      </c>
      <c r="I196" s="32" t="e">
        <f>IF(装备!#REF!=0,0,"'"&amp;装备!#REF!&amp;"'")</f>
        <v>#REF!</v>
      </c>
      <c r="J196" s="32" t="e">
        <f>IF(装备!#REF!=0,0,"'"&amp;装备!#REF!&amp;"'")</f>
        <v>#REF!</v>
      </c>
      <c r="K196" s="32" t="e">
        <f>IF(装备!#REF!=0,0,"'"&amp;装备!#REF!&amp;"'")</f>
        <v>#REF!</v>
      </c>
      <c r="L196" s="32" t="e">
        <f>IF(装备!#REF!=0,0,"'"&amp;装备!#REF!&amp;"'")</f>
        <v>#REF!</v>
      </c>
      <c r="M196" s="32" t="e">
        <f>IF(装备!#REF!=0,0,"'"&amp;装备!#REF!&amp;"'")</f>
        <v>#REF!</v>
      </c>
      <c r="N196" s="32" t="e">
        <f>IF(装备!#REF!=0,0,"'"&amp;装备!#REF!&amp;"'")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IFERROR(VLOOKUP(C196,装备!$B:$E,3,FALSE),"")</f>
        <v/>
      </c>
      <c r="R196" s="36" t="str">
        <f>IFERROR(VLOOKUP(D196,装备!$B:$E,3,FALSE),"")</f>
        <v/>
      </c>
      <c r="S196" s="36" t="str">
        <f>IFERROR(VLOOKUP(E196,装备!$B:$E,3,FALSE),"")</f>
        <v/>
      </c>
      <c r="T196" s="36" t="str">
        <f>IFERROR(VLOOKUP(F196,装备!$B:$E,3,FALSE),"")</f>
        <v/>
      </c>
      <c r="U196" s="36" t="str">
        <f>IFERROR(VLOOKUP(G196,装备!$B:$E,3,FALSE),"")</f>
        <v/>
      </c>
      <c r="V196" s="36" t="str">
        <f>IFERROR(VLOOKUP(H196,装备!$B:$E,3,FALSE),"")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装备!#REF!</f>
        <v>#REF!</v>
      </c>
      <c r="B197" s="32" t="e">
        <f>"'"&amp;装备!#REF!&amp;"'"</f>
        <v>#REF!</v>
      </c>
      <c r="C197" s="32" t="e">
        <f>装备!#REF!</f>
        <v>#REF!</v>
      </c>
      <c r="D197" s="32" t="e">
        <f>装备!#REF!</f>
        <v>#REF!</v>
      </c>
      <c r="E197" s="32" t="e">
        <f>装备!#REF!</f>
        <v>#REF!</v>
      </c>
      <c r="F197" s="32" t="e">
        <f>装备!#REF!</f>
        <v>#REF!</v>
      </c>
      <c r="G197" s="32" t="e">
        <f>装备!#REF!</f>
        <v>#REF!</v>
      </c>
      <c r="H197" s="32" t="e">
        <f>装备!#REF!</f>
        <v>#REF!</v>
      </c>
      <c r="I197" s="32" t="e">
        <f>IF(装备!#REF!=0,0,"'"&amp;装备!#REF!&amp;"'")</f>
        <v>#REF!</v>
      </c>
      <c r="J197" s="32" t="e">
        <f>IF(装备!#REF!=0,0,"'"&amp;装备!#REF!&amp;"'")</f>
        <v>#REF!</v>
      </c>
      <c r="K197" s="32" t="e">
        <f>IF(装备!#REF!=0,0,"'"&amp;装备!#REF!&amp;"'")</f>
        <v>#REF!</v>
      </c>
      <c r="L197" s="32" t="e">
        <f>IF(装备!#REF!=0,0,"'"&amp;装备!#REF!&amp;"'")</f>
        <v>#REF!</v>
      </c>
      <c r="M197" s="32" t="e">
        <f>IF(装备!#REF!=0,0,"'"&amp;装备!#REF!&amp;"'")</f>
        <v>#REF!</v>
      </c>
      <c r="N197" s="32" t="e">
        <f>IF(装备!#REF!=0,0,"'"&amp;装备!#REF!&amp;"'")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IFERROR(VLOOKUP(C197,装备!$B:$E,3,FALSE),"")</f>
        <v/>
      </c>
      <c r="R197" s="36" t="str">
        <f>IFERROR(VLOOKUP(D197,装备!$B:$E,3,FALSE),"")</f>
        <v/>
      </c>
      <c r="S197" s="36" t="str">
        <f>IFERROR(VLOOKUP(E197,装备!$B:$E,3,FALSE),"")</f>
        <v/>
      </c>
      <c r="T197" s="36" t="str">
        <f>IFERROR(VLOOKUP(F197,装备!$B:$E,3,FALSE),"")</f>
        <v/>
      </c>
      <c r="U197" s="36" t="str">
        <f>IFERROR(VLOOKUP(G197,装备!$B:$E,3,FALSE),"")</f>
        <v/>
      </c>
      <c r="V197" s="36" t="str">
        <f>IFERROR(VLOOKUP(H197,装备!$B:$E,3,FALSE),"")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装备!#REF!</f>
        <v>#REF!</v>
      </c>
      <c r="B198" s="32" t="e">
        <f>"'"&amp;装备!#REF!&amp;"'"</f>
        <v>#REF!</v>
      </c>
      <c r="C198" s="32" t="e">
        <f>装备!#REF!</f>
        <v>#REF!</v>
      </c>
      <c r="D198" s="32" t="e">
        <f>装备!#REF!</f>
        <v>#REF!</v>
      </c>
      <c r="E198" s="32" t="e">
        <f>装备!#REF!</f>
        <v>#REF!</v>
      </c>
      <c r="F198" s="32" t="e">
        <f>装备!#REF!</f>
        <v>#REF!</v>
      </c>
      <c r="G198" s="32" t="e">
        <f>装备!#REF!</f>
        <v>#REF!</v>
      </c>
      <c r="H198" s="32" t="e">
        <f>装备!#REF!</f>
        <v>#REF!</v>
      </c>
      <c r="I198" s="32" t="e">
        <f>IF(装备!#REF!=0,0,"'"&amp;装备!#REF!&amp;"'")</f>
        <v>#REF!</v>
      </c>
      <c r="J198" s="32" t="e">
        <f>IF(装备!#REF!=0,0,"'"&amp;装备!#REF!&amp;"'")</f>
        <v>#REF!</v>
      </c>
      <c r="K198" s="32" t="e">
        <f>IF(装备!#REF!=0,0,"'"&amp;装备!#REF!&amp;"'")</f>
        <v>#REF!</v>
      </c>
      <c r="L198" s="32" t="e">
        <f>IF(装备!#REF!=0,0,"'"&amp;装备!#REF!&amp;"'")</f>
        <v>#REF!</v>
      </c>
      <c r="M198" s="32" t="e">
        <f>IF(装备!#REF!=0,0,"'"&amp;装备!#REF!&amp;"'")</f>
        <v>#REF!</v>
      </c>
      <c r="N198" s="32" t="e">
        <f>IF(装备!#REF!=0,0,"'"&amp;装备!#REF!&amp;"'")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IFERROR(VLOOKUP(C198,装备!$B:$E,3,FALSE),"")</f>
        <v/>
      </c>
      <c r="R198" s="36" t="str">
        <f>IFERROR(VLOOKUP(D198,装备!$B:$E,3,FALSE),"")</f>
        <v/>
      </c>
      <c r="S198" s="36" t="str">
        <f>IFERROR(VLOOKUP(E198,装备!$B:$E,3,FALSE),"")</f>
        <v/>
      </c>
      <c r="T198" s="36" t="str">
        <f>IFERROR(VLOOKUP(F198,装备!$B:$E,3,FALSE),"")</f>
        <v/>
      </c>
      <c r="U198" s="36" t="str">
        <f>IFERROR(VLOOKUP(G198,装备!$B:$E,3,FALSE),"")</f>
        <v/>
      </c>
      <c r="V198" s="36" t="str">
        <f>IFERROR(VLOOKUP(H198,装备!$B:$E,3,FALSE),"")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装备!A217</f>
        <v>0</v>
      </c>
      <c r="B199" s="32" t="str">
        <f>"'"&amp;装备!B217&amp;"'"</f>
        <v>'IF01'</v>
      </c>
      <c r="C199" s="32">
        <f>装备!J217</f>
        <v>0</v>
      </c>
      <c r="D199" s="32">
        <f>装备!K217</f>
        <v>0</v>
      </c>
      <c r="E199" s="32">
        <f>装备!L217</f>
        <v>0</v>
      </c>
      <c r="F199" s="32">
        <f>装备!M217</f>
        <v>0</v>
      </c>
      <c r="G199" s="32">
        <f>装备!N217</f>
        <v>0</v>
      </c>
      <c r="H199" s="32">
        <f>装备!O217</f>
        <v>0</v>
      </c>
      <c r="I199" s="32">
        <f>IF(装备!J217=0,0,"'"&amp;装备!J217&amp;"'")</f>
        <v>0</v>
      </c>
      <c r="J199" s="32">
        <f>IF(装备!K217=0,0,"'"&amp;装备!K217&amp;"'")</f>
        <v>0</v>
      </c>
      <c r="K199" s="32">
        <f>IF(装备!L217=0,0,"'"&amp;装备!L217&amp;"'")</f>
        <v>0</v>
      </c>
      <c r="L199" s="32">
        <f>IF(装备!M217=0,0,"'"&amp;装备!M217&amp;"'")</f>
        <v>0</v>
      </c>
      <c r="M199" s="32">
        <f>IF(装备!N217=0,0,"'"&amp;装备!N217&amp;"'")</f>
        <v>0</v>
      </c>
      <c r="N199" s="32">
        <f>IF(装备!O217=0,0,"'"&amp;装备!O217&amp;"'")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IFERROR(VLOOKUP(C199,装备!$B:$E,3,FALSE),"")</f>
        <v/>
      </c>
      <c r="R199" s="36" t="str">
        <f>IFERROR(VLOOKUP(D199,装备!$B:$E,3,FALSE),"")</f>
        <v/>
      </c>
      <c r="S199" s="36" t="str">
        <f>IFERROR(VLOOKUP(E199,装备!$B:$E,3,FALSE),"")</f>
        <v/>
      </c>
      <c r="T199" s="36" t="str">
        <f>IFERROR(VLOOKUP(F199,装备!$B:$E,3,FALSE),"")</f>
        <v/>
      </c>
      <c r="U199" s="36" t="str">
        <f>IFERROR(VLOOKUP(G199,装备!$B:$E,3,FALSE),"")</f>
        <v/>
      </c>
      <c r="V199" s="36" t="str">
        <f>IFERROR(VLOOKUP(H199,装备!$B:$E,3,FALSE),"")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装备!A218</f>
        <v>0</v>
      </c>
      <c r="B200" s="32" t="str">
        <f>"'"&amp;装备!B218&amp;"'"</f>
        <v>'IF02'</v>
      </c>
      <c r="C200" s="32">
        <f>装备!J218</f>
        <v>0</v>
      </c>
      <c r="D200" s="32">
        <f>装备!K218</f>
        <v>0</v>
      </c>
      <c r="E200" s="32">
        <f>装备!L218</f>
        <v>0</v>
      </c>
      <c r="F200" s="32">
        <f>装备!M218</f>
        <v>0</v>
      </c>
      <c r="G200" s="32">
        <f>装备!N218</f>
        <v>0</v>
      </c>
      <c r="H200" s="32">
        <f>装备!O218</f>
        <v>0</v>
      </c>
      <c r="I200" s="32">
        <f>IF(装备!J218=0,0,"'"&amp;装备!J218&amp;"'")</f>
        <v>0</v>
      </c>
      <c r="J200" s="32">
        <f>IF(装备!K218=0,0,"'"&amp;装备!K218&amp;"'")</f>
        <v>0</v>
      </c>
      <c r="K200" s="32">
        <f>IF(装备!L218=0,0,"'"&amp;装备!L218&amp;"'")</f>
        <v>0</v>
      </c>
      <c r="L200" s="32">
        <f>IF(装备!M218=0,0,"'"&amp;装备!M218&amp;"'")</f>
        <v>0</v>
      </c>
      <c r="M200" s="32">
        <f>IF(装备!N218=0,0,"'"&amp;装备!N218&amp;"'")</f>
        <v>0</v>
      </c>
      <c r="N200" s="32">
        <f>IF(装备!O218=0,0,"'"&amp;装备!O218&amp;"'")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IFERROR(VLOOKUP(C200,装备!$B:$E,3,FALSE),"")</f>
        <v/>
      </c>
      <c r="R200" s="36" t="str">
        <f>IFERROR(VLOOKUP(D200,装备!$B:$E,3,FALSE),"")</f>
        <v/>
      </c>
      <c r="S200" s="36" t="str">
        <f>IFERROR(VLOOKUP(E200,装备!$B:$E,3,FALSE),"")</f>
        <v/>
      </c>
      <c r="T200" s="36" t="str">
        <f>IFERROR(VLOOKUP(F200,装备!$B:$E,3,FALSE),"")</f>
        <v/>
      </c>
      <c r="U200" s="36" t="str">
        <f>IFERROR(VLOOKUP(G200,装备!$B:$E,3,FALSE),"")</f>
        <v/>
      </c>
      <c r="V200" s="36" t="str">
        <f>IFERROR(VLOOKUP(H200,装备!$B:$E,3,FALSE),"")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装备!A219</f>
        <v>0</v>
      </c>
      <c r="B201" s="32" t="str">
        <f>"'"&amp;装备!B219&amp;"'"</f>
        <v>'IF03'</v>
      </c>
      <c r="C201" s="32">
        <f>装备!J219</f>
        <v>0</v>
      </c>
      <c r="D201" s="32">
        <f>装备!K219</f>
        <v>0</v>
      </c>
      <c r="E201" s="32">
        <f>装备!L219</f>
        <v>0</v>
      </c>
      <c r="F201" s="32">
        <f>装备!M219</f>
        <v>0</v>
      </c>
      <c r="G201" s="32">
        <f>装备!N219</f>
        <v>0</v>
      </c>
      <c r="H201" s="32">
        <f>装备!O219</f>
        <v>0</v>
      </c>
      <c r="I201" s="32">
        <f>IF(装备!J219=0,0,"'"&amp;装备!J219&amp;"'")</f>
        <v>0</v>
      </c>
      <c r="J201" s="32">
        <f>IF(装备!K219=0,0,"'"&amp;装备!K219&amp;"'")</f>
        <v>0</v>
      </c>
      <c r="K201" s="32">
        <f>IF(装备!L219=0,0,"'"&amp;装备!L219&amp;"'")</f>
        <v>0</v>
      </c>
      <c r="L201" s="32">
        <f>IF(装备!M219=0,0,"'"&amp;装备!M219&amp;"'")</f>
        <v>0</v>
      </c>
      <c r="M201" s="32">
        <f>IF(装备!N219=0,0,"'"&amp;装备!N219&amp;"'")</f>
        <v>0</v>
      </c>
      <c r="N201" s="32">
        <f>IF(装备!O219=0,0,"'"&amp;装备!O219&amp;"'")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IFERROR(VLOOKUP(C201,装备!$B:$E,3,FALSE),"")</f>
        <v/>
      </c>
      <c r="R201" s="36" t="str">
        <f>IFERROR(VLOOKUP(D201,装备!$B:$E,3,FALSE),"")</f>
        <v/>
      </c>
      <c r="S201" s="36" t="str">
        <f>IFERROR(VLOOKUP(E201,装备!$B:$E,3,FALSE),"")</f>
        <v/>
      </c>
      <c r="T201" s="36" t="str">
        <f>IFERROR(VLOOKUP(F201,装备!$B:$E,3,FALSE),"")</f>
        <v/>
      </c>
      <c r="U201" s="36" t="str">
        <f>IFERROR(VLOOKUP(G201,装备!$B:$E,3,FALSE),"")</f>
        <v/>
      </c>
      <c r="V201" s="36" t="str">
        <f>IFERROR(VLOOKUP(H201,装备!$B:$E,3,FALSE),"")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装备!A220</f>
        <v>0</v>
      </c>
      <c r="B202" s="32" t="str">
        <f>"'"&amp;装备!B220&amp;"'"</f>
        <v>'IF04'</v>
      </c>
      <c r="C202" s="32">
        <f>装备!J220</f>
        <v>0</v>
      </c>
      <c r="D202" s="32">
        <f>装备!K220</f>
        <v>0</v>
      </c>
      <c r="E202" s="32">
        <f>装备!L220</f>
        <v>0</v>
      </c>
      <c r="F202" s="32">
        <f>装备!M220</f>
        <v>0</v>
      </c>
      <c r="G202" s="32">
        <f>装备!N220</f>
        <v>0</v>
      </c>
      <c r="H202" s="32">
        <f>装备!O220</f>
        <v>0</v>
      </c>
      <c r="I202" s="32">
        <f>IF(装备!J220=0,0,"'"&amp;装备!J220&amp;"'")</f>
        <v>0</v>
      </c>
      <c r="J202" s="32">
        <f>IF(装备!K220=0,0,"'"&amp;装备!K220&amp;"'")</f>
        <v>0</v>
      </c>
      <c r="K202" s="32">
        <f>IF(装备!L220=0,0,"'"&amp;装备!L220&amp;"'")</f>
        <v>0</v>
      </c>
      <c r="L202" s="32">
        <f>IF(装备!M220=0,0,"'"&amp;装备!M220&amp;"'")</f>
        <v>0</v>
      </c>
      <c r="M202" s="32">
        <f>IF(装备!N220=0,0,"'"&amp;装备!N220&amp;"'")</f>
        <v>0</v>
      </c>
      <c r="N202" s="32">
        <f>IF(装备!O220=0,0,"'"&amp;装备!O220&amp;"'")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IFERROR(VLOOKUP(C202,装备!$B:$E,3,FALSE),"")</f>
        <v/>
      </c>
      <c r="R202" s="36" t="str">
        <f>IFERROR(VLOOKUP(D202,装备!$B:$E,3,FALSE),"")</f>
        <v/>
      </c>
      <c r="S202" s="36" t="str">
        <f>IFERROR(VLOOKUP(E202,装备!$B:$E,3,FALSE),"")</f>
        <v/>
      </c>
      <c r="T202" s="36" t="str">
        <f>IFERROR(VLOOKUP(F202,装备!$B:$E,3,FALSE),"")</f>
        <v/>
      </c>
      <c r="U202" s="36" t="str">
        <f>IFERROR(VLOOKUP(G202,装备!$B:$E,3,FALSE),"")</f>
        <v/>
      </c>
      <c r="V202" s="36" t="str">
        <f>IFERROR(VLOOKUP(H202,装备!$B:$E,3,FALSE),"")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装备!A221</f>
        <v>0</v>
      </c>
      <c r="B203" s="32" t="str">
        <f>"'"&amp;装备!B221&amp;"'"</f>
        <v>'IF05'</v>
      </c>
      <c r="C203" s="32">
        <f>装备!J221</f>
        <v>0</v>
      </c>
      <c r="D203" s="32">
        <f>装备!K221</f>
        <v>0</v>
      </c>
      <c r="E203" s="32">
        <f>装备!L221</f>
        <v>0</v>
      </c>
      <c r="F203" s="32">
        <f>装备!M221</f>
        <v>0</v>
      </c>
      <c r="G203" s="32">
        <f>装备!N221</f>
        <v>0</v>
      </c>
      <c r="H203" s="32">
        <f>装备!O221</f>
        <v>0</v>
      </c>
      <c r="I203" s="32">
        <f>IF(装备!J221=0,0,"'"&amp;装备!J221&amp;"'")</f>
        <v>0</v>
      </c>
      <c r="J203" s="32">
        <f>IF(装备!K221=0,0,"'"&amp;装备!K221&amp;"'")</f>
        <v>0</v>
      </c>
      <c r="K203" s="32">
        <f>IF(装备!L221=0,0,"'"&amp;装备!L221&amp;"'")</f>
        <v>0</v>
      </c>
      <c r="L203" s="32">
        <f>IF(装备!M221=0,0,"'"&amp;装备!M221&amp;"'")</f>
        <v>0</v>
      </c>
      <c r="M203" s="32">
        <f>IF(装备!N221=0,0,"'"&amp;装备!N221&amp;"'")</f>
        <v>0</v>
      </c>
      <c r="N203" s="32">
        <f>IF(装备!O221=0,0,"'"&amp;装备!O221&amp;"'")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IFERROR(VLOOKUP(C203,装备!$B:$E,3,FALSE),"")</f>
        <v/>
      </c>
      <c r="R203" s="36" t="str">
        <f>IFERROR(VLOOKUP(D203,装备!$B:$E,3,FALSE),"")</f>
        <v/>
      </c>
      <c r="S203" s="36" t="str">
        <f>IFERROR(VLOOKUP(E203,装备!$B:$E,3,FALSE),"")</f>
        <v/>
      </c>
      <c r="T203" s="36" t="str">
        <f>IFERROR(VLOOKUP(F203,装备!$B:$E,3,FALSE),"")</f>
        <v/>
      </c>
      <c r="U203" s="36" t="str">
        <f>IFERROR(VLOOKUP(G203,装备!$B:$E,3,FALSE),"")</f>
        <v/>
      </c>
      <c r="V203" s="36" t="str">
        <f>IFERROR(VLOOKUP(H203,装备!$B:$E,3,FALSE),"")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装备!A222</f>
        <v>0</v>
      </c>
      <c r="B204" s="32" t="str">
        <f>"'"&amp;装备!B222&amp;"'"</f>
        <v>'IF06'</v>
      </c>
      <c r="C204" s="32">
        <f>装备!J222</f>
        <v>0</v>
      </c>
      <c r="D204" s="32">
        <f>装备!K222</f>
        <v>0</v>
      </c>
      <c r="E204" s="32">
        <f>装备!L222</f>
        <v>0</v>
      </c>
      <c r="F204" s="32">
        <f>装备!M222</f>
        <v>0</v>
      </c>
      <c r="G204" s="32">
        <f>装备!N222</f>
        <v>0</v>
      </c>
      <c r="H204" s="32">
        <f>装备!O222</f>
        <v>0</v>
      </c>
      <c r="I204" s="32">
        <f>IF(装备!J222=0,0,"'"&amp;装备!J222&amp;"'")</f>
        <v>0</v>
      </c>
      <c r="J204" s="32">
        <f>IF(装备!K222=0,0,"'"&amp;装备!K222&amp;"'")</f>
        <v>0</v>
      </c>
      <c r="K204" s="32">
        <f>IF(装备!L222=0,0,"'"&amp;装备!L222&amp;"'")</f>
        <v>0</v>
      </c>
      <c r="L204" s="32">
        <f>IF(装备!M222=0,0,"'"&amp;装备!M222&amp;"'")</f>
        <v>0</v>
      </c>
      <c r="M204" s="32">
        <f>IF(装备!N222=0,0,"'"&amp;装备!N222&amp;"'")</f>
        <v>0</v>
      </c>
      <c r="N204" s="32">
        <f>IF(装备!O222=0,0,"'"&amp;装备!O222&amp;"'")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IFERROR(VLOOKUP(C204,装备!$B:$E,3,FALSE),"")</f>
        <v/>
      </c>
      <c r="R204" s="36" t="str">
        <f>IFERROR(VLOOKUP(D204,装备!$B:$E,3,FALSE),"")</f>
        <v/>
      </c>
      <c r="S204" s="36" t="str">
        <f>IFERROR(VLOOKUP(E204,装备!$B:$E,3,FALSE),"")</f>
        <v/>
      </c>
      <c r="T204" s="36" t="str">
        <f>IFERROR(VLOOKUP(F204,装备!$B:$E,3,FALSE),"")</f>
        <v/>
      </c>
      <c r="U204" s="36" t="str">
        <f>IFERROR(VLOOKUP(G204,装备!$B:$E,3,FALSE),"")</f>
        <v/>
      </c>
      <c r="V204" s="36" t="str">
        <f>IFERROR(VLOOKUP(H204,装备!$B:$E,3,FALSE),"")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装备!A223</f>
        <v>0</v>
      </c>
      <c r="B205" s="32" t="str">
        <f>"'"&amp;装备!B223&amp;"'"</f>
        <v>'IF07'</v>
      </c>
      <c r="C205" s="32">
        <f>装备!J223</f>
        <v>0</v>
      </c>
      <c r="D205" s="32">
        <f>装备!K223</f>
        <v>0</v>
      </c>
      <c r="E205" s="32">
        <f>装备!L223</f>
        <v>0</v>
      </c>
      <c r="F205" s="32">
        <f>装备!M223</f>
        <v>0</v>
      </c>
      <c r="G205" s="32">
        <f>装备!N223</f>
        <v>0</v>
      </c>
      <c r="H205" s="32">
        <f>装备!O223</f>
        <v>0</v>
      </c>
      <c r="I205" s="32">
        <f>IF(装备!J223=0,0,"'"&amp;装备!J223&amp;"'")</f>
        <v>0</v>
      </c>
      <c r="J205" s="32">
        <f>IF(装备!K223=0,0,"'"&amp;装备!K223&amp;"'")</f>
        <v>0</v>
      </c>
      <c r="K205" s="32">
        <f>IF(装备!L223=0,0,"'"&amp;装备!L223&amp;"'")</f>
        <v>0</v>
      </c>
      <c r="L205" s="32">
        <f>IF(装备!M223=0,0,"'"&amp;装备!M223&amp;"'")</f>
        <v>0</v>
      </c>
      <c r="M205" s="32">
        <f>IF(装备!N223=0,0,"'"&amp;装备!N223&amp;"'")</f>
        <v>0</v>
      </c>
      <c r="N205" s="32">
        <f>IF(装备!O223=0,0,"'"&amp;装备!O223&amp;"'")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IFERROR(VLOOKUP(C205,装备!$B:$E,3,FALSE),"")</f>
        <v/>
      </c>
      <c r="R205" s="36" t="str">
        <f>IFERROR(VLOOKUP(D205,装备!$B:$E,3,FALSE),"")</f>
        <v/>
      </c>
      <c r="S205" s="36" t="str">
        <f>IFERROR(VLOOKUP(E205,装备!$B:$E,3,FALSE),"")</f>
        <v/>
      </c>
      <c r="T205" s="36" t="str">
        <f>IFERROR(VLOOKUP(F205,装备!$B:$E,3,FALSE),"")</f>
        <v/>
      </c>
      <c r="U205" s="36" t="str">
        <f>IFERROR(VLOOKUP(G205,装备!$B:$E,3,FALSE),"")</f>
        <v/>
      </c>
      <c r="V205" s="36" t="str">
        <f>IFERROR(VLOOKUP(H205,装备!$B:$E,3,FALSE),"")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装备!A224</f>
        <v>0</v>
      </c>
      <c r="B206" s="32" t="str">
        <f>"'"&amp;装备!B224&amp;"'"</f>
        <v>'IF08'</v>
      </c>
      <c r="C206" s="32">
        <f>装备!J224</f>
        <v>0</v>
      </c>
      <c r="D206" s="32">
        <f>装备!K224</f>
        <v>0</v>
      </c>
      <c r="E206" s="32">
        <f>装备!L224</f>
        <v>0</v>
      </c>
      <c r="F206" s="32">
        <f>装备!M224</f>
        <v>0</v>
      </c>
      <c r="G206" s="32">
        <f>装备!N224</f>
        <v>0</v>
      </c>
      <c r="H206" s="32">
        <f>装备!O224</f>
        <v>0</v>
      </c>
      <c r="I206" s="32">
        <f>IF(装备!J224=0,0,"'"&amp;装备!J224&amp;"'")</f>
        <v>0</v>
      </c>
      <c r="J206" s="32">
        <f>IF(装备!K224=0,0,"'"&amp;装备!K224&amp;"'")</f>
        <v>0</v>
      </c>
      <c r="K206" s="32">
        <f>IF(装备!L224=0,0,"'"&amp;装备!L224&amp;"'")</f>
        <v>0</v>
      </c>
      <c r="L206" s="32">
        <f>IF(装备!M224=0,0,"'"&amp;装备!M224&amp;"'")</f>
        <v>0</v>
      </c>
      <c r="M206" s="32">
        <f>IF(装备!N224=0,0,"'"&amp;装备!N224&amp;"'")</f>
        <v>0</v>
      </c>
      <c r="N206" s="32">
        <f>IF(装备!O224=0,0,"'"&amp;装备!O224&amp;"'")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IFERROR(VLOOKUP(C206,装备!$B:$E,3,FALSE),"")</f>
        <v/>
      </c>
      <c r="R206" s="36" t="str">
        <f>IFERROR(VLOOKUP(D206,装备!$B:$E,3,FALSE),"")</f>
        <v/>
      </c>
      <c r="S206" s="36" t="str">
        <f>IFERROR(VLOOKUP(E206,装备!$B:$E,3,FALSE),"")</f>
        <v/>
      </c>
      <c r="T206" s="36" t="str">
        <f>IFERROR(VLOOKUP(F206,装备!$B:$E,3,FALSE),"")</f>
        <v/>
      </c>
      <c r="U206" s="36" t="str">
        <f>IFERROR(VLOOKUP(G206,装备!$B:$E,3,FALSE),"")</f>
        <v/>
      </c>
      <c r="V206" s="36" t="str">
        <f>IFERROR(VLOOKUP(H206,装备!$B:$E,3,FALSE),"")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装备!A225</f>
        <v>0</v>
      </c>
      <c r="B207" s="32" t="str">
        <f>"'"&amp;装备!B225&amp;"'"</f>
        <v>'IF09'</v>
      </c>
      <c r="C207" s="32">
        <f>装备!J225</f>
        <v>0</v>
      </c>
      <c r="D207" s="32">
        <f>装备!K225</f>
        <v>0</v>
      </c>
      <c r="E207" s="32">
        <f>装备!L225</f>
        <v>0</v>
      </c>
      <c r="F207" s="32">
        <f>装备!M225</f>
        <v>0</v>
      </c>
      <c r="G207" s="32">
        <f>装备!N225</f>
        <v>0</v>
      </c>
      <c r="H207" s="32">
        <f>装备!O225</f>
        <v>0</v>
      </c>
      <c r="I207" s="32">
        <f>IF(装备!J225=0,0,"'"&amp;装备!J225&amp;"'")</f>
        <v>0</v>
      </c>
      <c r="J207" s="32">
        <f>IF(装备!K225=0,0,"'"&amp;装备!K225&amp;"'")</f>
        <v>0</v>
      </c>
      <c r="K207" s="32">
        <f>IF(装备!L225=0,0,"'"&amp;装备!L225&amp;"'")</f>
        <v>0</v>
      </c>
      <c r="L207" s="32">
        <f>IF(装备!M225=0,0,"'"&amp;装备!M225&amp;"'")</f>
        <v>0</v>
      </c>
      <c r="M207" s="32">
        <f>IF(装备!N225=0,0,"'"&amp;装备!N225&amp;"'")</f>
        <v>0</v>
      </c>
      <c r="N207" s="32">
        <f>IF(装备!O225=0,0,"'"&amp;装备!O225&amp;"'")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IFERROR(VLOOKUP(C207,装备!$B:$E,3,FALSE),"")</f>
        <v/>
      </c>
      <c r="R207" s="36" t="str">
        <f>IFERROR(VLOOKUP(D207,装备!$B:$E,3,FALSE),"")</f>
        <v/>
      </c>
      <c r="S207" s="36" t="str">
        <f>IFERROR(VLOOKUP(E207,装备!$B:$E,3,FALSE),"")</f>
        <v/>
      </c>
      <c r="T207" s="36" t="str">
        <f>IFERROR(VLOOKUP(F207,装备!$B:$E,3,FALSE),"")</f>
        <v/>
      </c>
      <c r="U207" s="36" t="str">
        <f>IFERROR(VLOOKUP(G207,装备!$B:$E,3,FALSE),"")</f>
        <v/>
      </c>
      <c r="V207" s="36" t="str">
        <f>IFERROR(VLOOKUP(H207,装备!$B:$E,3,FALSE),"")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装备!A226</f>
        <v>0</v>
      </c>
      <c r="B208" s="32" t="str">
        <f>"'"&amp;装备!B226&amp;"'"</f>
        <v>'IF10'</v>
      </c>
      <c r="C208" s="32">
        <f>装备!J226</f>
        <v>0</v>
      </c>
      <c r="D208" s="32">
        <f>装备!K226</f>
        <v>0</v>
      </c>
      <c r="E208" s="32">
        <f>装备!L226</f>
        <v>0</v>
      </c>
      <c r="F208" s="32">
        <f>装备!M226</f>
        <v>0</v>
      </c>
      <c r="G208" s="32">
        <f>装备!N226</f>
        <v>0</v>
      </c>
      <c r="H208" s="32">
        <f>装备!O226</f>
        <v>0</v>
      </c>
      <c r="I208" s="32">
        <f>IF(装备!J226=0,0,"'"&amp;装备!J226&amp;"'")</f>
        <v>0</v>
      </c>
      <c r="J208" s="32">
        <f>IF(装备!K226=0,0,"'"&amp;装备!K226&amp;"'")</f>
        <v>0</v>
      </c>
      <c r="K208" s="32">
        <f>IF(装备!L226=0,0,"'"&amp;装备!L226&amp;"'")</f>
        <v>0</v>
      </c>
      <c r="L208" s="32">
        <f>IF(装备!M226=0,0,"'"&amp;装备!M226&amp;"'")</f>
        <v>0</v>
      </c>
      <c r="M208" s="32">
        <f>IF(装备!N226=0,0,"'"&amp;装备!N226&amp;"'")</f>
        <v>0</v>
      </c>
      <c r="N208" s="32">
        <f>IF(装备!O226=0,0,"'"&amp;装备!O226&amp;"'")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IFERROR(VLOOKUP(C208,装备!$B:$E,3,FALSE),"")</f>
        <v/>
      </c>
      <c r="R208" s="36" t="str">
        <f>IFERROR(VLOOKUP(D208,装备!$B:$E,3,FALSE),"")</f>
        <v/>
      </c>
      <c r="S208" s="36" t="str">
        <f>IFERROR(VLOOKUP(E208,装备!$B:$E,3,FALSE),"")</f>
        <v/>
      </c>
      <c r="T208" s="36" t="str">
        <f>IFERROR(VLOOKUP(F208,装备!$B:$E,3,FALSE),"")</f>
        <v/>
      </c>
      <c r="U208" s="36" t="str">
        <f>IFERROR(VLOOKUP(G208,装备!$B:$E,3,FALSE),"")</f>
        <v/>
      </c>
      <c r="V208" s="36" t="str">
        <f>IFERROR(VLOOKUP(H208,装备!$B:$E,3,FALSE),"")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装备!A227</f>
        <v>0</v>
      </c>
      <c r="B209" s="32" t="str">
        <f>"'"&amp;装备!B227&amp;"'"</f>
        <v>'IF11'</v>
      </c>
      <c r="C209" s="32">
        <f>装备!J227</f>
        <v>0</v>
      </c>
      <c r="D209" s="32">
        <f>装备!K227</f>
        <v>0</v>
      </c>
      <c r="E209" s="32">
        <f>装备!L227</f>
        <v>0</v>
      </c>
      <c r="F209" s="32">
        <f>装备!M227</f>
        <v>0</v>
      </c>
      <c r="G209" s="32">
        <f>装备!N227</f>
        <v>0</v>
      </c>
      <c r="H209" s="32">
        <f>装备!O227</f>
        <v>0</v>
      </c>
      <c r="I209" s="32">
        <f>IF(装备!J227=0,0,"'"&amp;装备!J227&amp;"'")</f>
        <v>0</v>
      </c>
      <c r="J209" s="32">
        <f>IF(装备!K227=0,0,"'"&amp;装备!K227&amp;"'")</f>
        <v>0</v>
      </c>
      <c r="K209" s="32">
        <f>IF(装备!L227=0,0,"'"&amp;装备!L227&amp;"'")</f>
        <v>0</v>
      </c>
      <c r="L209" s="32">
        <f>IF(装备!M227=0,0,"'"&amp;装备!M227&amp;"'")</f>
        <v>0</v>
      </c>
      <c r="M209" s="32">
        <f>IF(装备!N227=0,0,"'"&amp;装备!N227&amp;"'")</f>
        <v>0</v>
      </c>
      <c r="N209" s="32">
        <f>IF(装备!O227=0,0,"'"&amp;装备!O227&amp;"'")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IFERROR(VLOOKUP(C209,装备!$B:$E,3,FALSE),"")</f>
        <v/>
      </c>
      <c r="R209" s="36" t="str">
        <f>IFERROR(VLOOKUP(D209,装备!$B:$E,3,FALSE),"")</f>
        <v/>
      </c>
      <c r="S209" s="36" t="str">
        <f>IFERROR(VLOOKUP(E209,装备!$B:$E,3,FALSE),"")</f>
        <v/>
      </c>
      <c r="T209" s="36" t="str">
        <f>IFERROR(VLOOKUP(F209,装备!$B:$E,3,FALSE),"")</f>
        <v/>
      </c>
      <c r="U209" s="36" t="str">
        <f>IFERROR(VLOOKUP(G209,装备!$B:$E,3,FALSE),"")</f>
        <v/>
      </c>
      <c r="V209" s="36" t="str">
        <f>IFERROR(VLOOKUP(H209,装备!$B:$E,3,FALSE),"")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装备!A228</f>
        <v>0</v>
      </c>
      <c r="B210" s="32" t="str">
        <f>"'"&amp;装备!B228&amp;"'"</f>
        <v>'IF12'</v>
      </c>
      <c r="C210" s="32">
        <f>装备!J228</f>
        <v>0</v>
      </c>
      <c r="D210" s="32">
        <f>装备!K228</f>
        <v>0</v>
      </c>
      <c r="E210" s="32">
        <f>装备!L228</f>
        <v>0</v>
      </c>
      <c r="F210" s="32">
        <f>装备!M228</f>
        <v>0</v>
      </c>
      <c r="G210" s="32">
        <f>装备!N228</f>
        <v>0</v>
      </c>
      <c r="H210" s="32">
        <f>装备!O228</f>
        <v>0</v>
      </c>
      <c r="I210" s="32">
        <f>IF(装备!J228=0,0,"'"&amp;装备!J228&amp;"'")</f>
        <v>0</v>
      </c>
      <c r="J210" s="32">
        <f>IF(装备!K228=0,0,"'"&amp;装备!K228&amp;"'")</f>
        <v>0</v>
      </c>
      <c r="K210" s="32">
        <f>IF(装备!L228=0,0,"'"&amp;装备!L228&amp;"'")</f>
        <v>0</v>
      </c>
      <c r="L210" s="32">
        <f>IF(装备!M228=0,0,"'"&amp;装备!M228&amp;"'")</f>
        <v>0</v>
      </c>
      <c r="M210" s="32">
        <f>IF(装备!N228=0,0,"'"&amp;装备!N228&amp;"'")</f>
        <v>0</v>
      </c>
      <c r="N210" s="32">
        <f>IF(装备!O228=0,0,"'"&amp;装备!O228&amp;"'")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IFERROR(VLOOKUP(C210,装备!$B:$E,3,FALSE),"")</f>
        <v/>
      </c>
      <c r="R210" s="36" t="str">
        <f>IFERROR(VLOOKUP(D210,装备!$B:$E,3,FALSE),"")</f>
        <v/>
      </c>
      <c r="S210" s="36" t="str">
        <f>IFERROR(VLOOKUP(E210,装备!$B:$E,3,FALSE),"")</f>
        <v/>
      </c>
      <c r="T210" s="36" t="str">
        <f>IFERROR(VLOOKUP(F210,装备!$B:$E,3,FALSE),"")</f>
        <v/>
      </c>
      <c r="U210" s="36" t="str">
        <f>IFERROR(VLOOKUP(G210,装备!$B:$E,3,FALSE),"")</f>
        <v/>
      </c>
      <c r="V210" s="36" t="str">
        <f>IFERROR(VLOOKUP(H210,装备!$B:$E,3,FALSE),"")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装备!A229</f>
        <v>0</v>
      </c>
      <c r="B211" s="32" t="str">
        <f>"'"&amp;装备!B229&amp;"'"</f>
        <v>'IF13'</v>
      </c>
      <c r="C211" s="32">
        <f>装备!J229</f>
        <v>0</v>
      </c>
      <c r="D211" s="32">
        <f>装备!K229</f>
        <v>0</v>
      </c>
      <c r="E211" s="32">
        <f>装备!L229</f>
        <v>0</v>
      </c>
      <c r="F211" s="32">
        <f>装备!M229</f>
        <v>0</v>
      </c>
      <c r="G211" s="32">
        <f>装备!N229</f>
        <v>0</v>
      </c>
      <c r="H211" s="32">
        <f>装备!O229</f>
        <v>0</v>
      </c>
      <c r="I211" s="32">
        <f>IF(装备!J229=0,0,"'"&amp;装备!J229&amp;"'")</f>
        <v>0</v>
      </c>
      <c r="J211" s="32">
        <f>IF(装备!K229=0,0,"'"&amp;装备!K229&amp;"'")</f>
        <v>0</v>
      </c>
      <c r="K211" s="32">
        <f>IF(装备!L229=0,0,"'"&amp;装备!L229&amp;"'")</f>
        <v>0</v>
      </c>
      <c r="L211" s="32">
        <f>IF(装备!M229=0,0,"'"&amp;装备!M229&amp;"'")</f>
        <v>0</v>
      </c>
      <c r="M211" s="32">
        <f>IF(装备!N229=0,0,"'"&amp;装备!N229&amp;"'")</f>
        <v>0</v>
      </c>
      <c r="N211" s="32">
        <f>IF(装备!O229=0,0,"'"&amp;装备!O229&amp;"'")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IFERROR(VLOOKUP(C211,装备!$B:$E,3,FALSE),"")</f>
        <v/>
      </c>
      <c r="R211" s="36" t="str">
        <f>IFERROR(VLOOKUP(D211,装备!$B:$E,3,FALSE),"")</f>
        <v/>
      </c>
      <c r="S211" s="36" t="str">
        <f>IFERROR(VLOOKUP(E211,装备!$B:$E,3,FALSE),"")</f>
        <v/>
      </c>
      <c r="T211" s="36" t="str">
        <f>IFERROR(VLOOKUP(F211,装备!$B:$E,3,FALSE),"")</f>
        <v/>
      </c>
      <c r="U211" s="36" t="str">
        <f>IFERROR(VLOOKUP(G211,装备!$B:$E,3,FALSE),"")</f>
        <v/>
      </c>
      <c r="V211" s="36" t="str">
        <f>IFERROR(VLOOKUP(H211,装备!$B:$E,3,FALSE),"")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装备!A230</f>
        <v>0</v>
      </c>
      <c r="B212" s="32" t="str">
        <f>"'"&amp;装备!B230&amp;"'"</f>
        <v>'IF14'</v>
      </c>
      <c r="C212" s="32">
        <f>装备!J230</f>
        <v>0</v>
      </c>
      <c r="D212" s="32">
        <f>装备!K230</f>
        <v>0</v>
      </c>
      <c r="E212" s="32">
        <f>装备!L230</f>
        <v>0</v>
      </c>
      <c r="F212" s="32">
        <f>装备!M230</f>
        <v>0</v>
      </c>
      <c r="G212" s="32">
        <f>装备!N230</f>
        <v>0</v>
      </c>
      <c r="H212" s="32">
        <f>装备!O230</f>
        <v>0</v>
      </c>
      <c r="I212" s="32">
        <f>IF(装备!J230=0,0,"'"&amp;装备!J230&amp;"'")</f>
        <v>0</v>
      </c>
      <c r="J212" s="32">
        <f>IF(装备!K230=0,0,"'"&amp;装备!K230&amp;"'")</f>
        <v>0</v>
      </c>
      <c r="K212" s="32">
        <f>IF(装备!L230=0,0,"'"&amp;装备!L230&amp;"'")</f>
        <v>0</v>
      </c>
      <c r="L212" s="32">
        <f>IF(装备!M230=0,0,"'"&amp;装备!M230&amp;"'")</f>
        <v>0</v>
      </c>
      <c r="M212" s="32">
        <f>IF(装备!N230=0,0,"'"&amp;装备!N230&amp;"'")</f>
        <v>0</v>
      </c>
      <c r="N212" s="32">
        <f>IF(装备!O230=0,0,"'"&amp;装备!O230&amp;"'")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IFERROR(VLOOKUP(C212,装备!$B:$E,3,FALSE),"")</f>
        <v/>
      </c>
      <c r="R212" s="36" t="str">
        <f>IFERROR(VLOOKUP(D212,装备!$B:$E,3,FALSE),"")</f>
        <v/>
      </c>
      <c r="S212" s="36" t="str">
        <f>IFERROR(VLOOKUP(E212,装备!$B:$E,3,FALSE),"")</f>
        <v/>
      </c>
      <c r="T212" s="36" t="str">
        <f>IFERROR(VLOOKUP(F212,装备!$B:$E,3,FALSE),"")</f>
        <v/>
      </c>
      <c r="U212" s="36" t="str">
        <f>IFERROR(VLOOKUP(G212,装备!$B:$E,3,FALSE),"")</f>
        <v/>
      </c>
      <c r="V212" s="36" t="str">
        <f>IFERROR(VLOOKUP(H212,装备!$B:$E,3,FALSE),"")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装备!A231</f>
        <v>0</v>
      </c>
      <c r="B213" s="32" t="str">
        <f>"'"&amp;装备!B231&amp;"'"</f>
        <v>'IF15'</v>
      </c>
      <c r="C213" s="32">
        <f>装备!J231</f>
        <v>0</v>
      </c>
      <c r="D213" s="32">
        <f>装备!K231</f>
        <v>0</v>
      </c>
      <c r="E213" s="32">
        <f>装备!L231</f>
        <v>0</v>
      </c>
      <c r="F213" s="32">
        <f>装备!M231</f>
        <v>0</v>
      </c>
      <c r="G213" s="32">
        <f>装备!N231</f>
        <v>0</v>
      </c>
      <c r="H213" s="32">
        <f>装备!O231</f>
        <v>0</v>
      </c>
      <c r="I213" s="32">
        <f>IF(装备!J231=0,0,"'"&amp;装备!J231&amp;"'")</f>
        <v>0</v>
      </c>
      <c r="J213" s="32">
        <f>IF(装备!K231=0,0,"'"&amp;装备!K231&amp;"'")</f>
        <v>0</v>
      </c>
      <c r="K213" s="32">
        <f>IF(装备!L231=0,0,"'"&amp;装备!L231&amp;"'")</f>
        <v>0</v>
      </c>
      <c r="L213" s="32">
        <f>IF(装备!M231=0,0,"'"&amp;装备!M231&amp;"'")</f>
        <v>0</v>
      </c>
      <c r="M213" s="32">
        <f>IF(装备!N231=0,0,"'"&amp;装备!N231&amp;"'")</f>
        <v>0</v>
      </c>
      <c r="N213" s="32">
        <f>IF(装备!O231=0,0,"'"&amp;装备!O231&amp;"'")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IFERROR(VLOOKUP(C213,装备!$B:$E,3,FALSE),"")</f>
        <v/>
      </c>
      <c r="R213" s="36" t="str">
        <f>IFERROR(VLOOKUP(D213,装备!$B:$E,3,FALSE),"")</f>
        <v/>
      </c>
      <c r="S213" s="36" t="str">
        <f>IFERROR(VLOOKUP(E213,装备!$B:$E,3,FALSE),"")</f>
        <v/>
      </c>
      <c r="T213" s="36" t="str">
        <f>IFERROR(VLOOKUP(F213,装备!$B:$E,3,FALSE),"")</f>
        <v/>
      </c>
      <c r="U213" s="36" t="str">
        <f>IFERROR(VLOOKUP(G213,装备!$B:$E,3,FALSE),"")</f>
        <v/>
      </c>
      <c r="V213" s="36" t="str">
        <f>IFERROR(VLOOKUP(H213,装备!$B:$E,3,FALSE),"")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装备!A232</f>
        <v>0</v>
      </c>
      <c r="B214" s="32" t="str">
        <f>"'"&amp;装备!B232&amp;"'"</f>
        <v>'IF16'</v>
      </c>
      <c r="C214" s="32">
        <f>装备!J232</f>
        <v>0</v>
      </c>
      <c r="D214" s="32">
        <f>装备!K232</f>
        <v>0</v>
      </c>
      <c r="E214" s="32">
        <f>装备!L232</f>
        <v>0</v>
      </c>
      <c r="F214" s="32">
        <f>装备!M232</f>
        <v>0</v>
      </c>
      <c r="G214" s="32">
        <f>装备!N232</f>
        <v>0</v>
      </c>
      <c r="H214" s="32">
        <f>装备!O232</f>
        <v>0</v>
      </c>
      <c r="I214" s="32">
        <f>IF(装备!J232=0,0,"'"&amp;装备!J232&amp;"'")</f>
        <v>0</v>
      </c>
      <c r="J214" s="32">
        <f>IF(装备!K232=0,0,"'"&amp;装备!K232&amp;"'")</f>
        <v>0</v>
      </c>
      <c r="K214" s="32">
        <f>IF(装备!L232=0,0,"'"&amp;装备!L232&amp;"'")</f>
        <v>0</v>
      </c>
      <c r="L214" s="32">
        <f>IF(装备!M232=0,0,"'"&amp;装备!M232&amp;"'")</f>
        <v>0</v>
      </c>
      <c r="M214" s="32">
        <f>IF(装备!N232=0,0,"'"&amp;装备!N232&amp;"'")</f>
        <v>0</v>
      </c>
      <c r="N214" s="32">
        <f>IF(装备!O232=0,0,"'"&amp;装备!O232&amp;"'")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IFERROR(VLOOKUP(C214,装备!$B:$E,3,FALSE),"")</f>
        <v/>
      </c>
      <c r="R214" s="36" t="str">
        <f>IFERROR(VLOOKUP(D214,装备!$B:$E,3,FALSE),"")</f>
        <v/>
      </c>
      <c r="S214" s="36" t="str">
        <f>IFERROR(VLOOKUP(E214,装备!$B:$E,3,FALSE),"")</f>
        <v/>
      </c>
      <c r="T214" s="36" t="str">
        <f>IFERROR(VLOOKUP(F214,装备!$B:$E,3,FALSE),"")</f>
        <v/>
      </c>
      <c r="U214" s="36" t="str">
        <f>IFERROR(VLOOKUP(G214,装备!$B:$E,3,FALSE),"")</f>
        <v/>
      </c>
      <c r="V214" s="36" t="str">
        <f>IFERROR(VLOOKUP(H214,装备!$B:$E,3,FALSE),"")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装备!A233</f>
        <v>0</v>
      </c>
      <c r="B215" s="32" t="str">
        <f>"'"&amp;装备!B233&amp;"'"</f>
        <v>'IF17'</v>
      </c>
      <c r="C215" s="32">
        <f>装备!J233</f>
        <v>0</v>
      </c>
      <c r="D215" s="32">
        <f>装备!K233</f>
        <v>0</v>
      </c>
      <c r="E215" s="32">
        <f>装备!L233</f>
        <v>0</v>
      </c>
      <c r="F215" s="32">
        <f>装备!M233</f>
        <v>0</v>
      </c>
      <c r="G215" s="32">
        <f>装备!N233</f>
        <v>0</v>
      </c>
      <c r="H215" s="32">
        <f>装备!O233</f>
        <v>0</v>
      </c>
      <c r="I215" s="32">
        <f>IF(装备!J233=0,0,"'"&amp;装备!J233&amp;"'")</f>
        <v>0</v>
      </c>
      <c r="J215" s="32">
        <f>IF(装备!K233=0,0,"'"&amp;装备!K233&amp;"'")</f>
        <v>0</v>
      </c>
      <c r="K215" s="32">
        <f>IF(装备!L233=0,0,"'"&amp;装备!L233&amp;"'")</f>
        <v>0</v>
      </c>
      <c r="L215" s="32">
        <f>IF(装备!M233=0,0,"'"&amp;装备!M233&amp;"'")</f>
        <v>0</v>
      </c>
      <c r="M215" s="32">
        <f>IF(装备!N233=0,0,"'"&amp;装备!N233&amp;"'")</f>
        <v>0</v>
      </c>
      <c r="N215" s="32">
        <f>IF(装备!O233=0,0,"'"&amp;装备!O233&amp;"'")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IFERROR(VLOOKUP(C215,装备!$B:$E,3,FALSE),"")</f>
        <v/>
      </c>
      <c r="R215" s="36" t="str">
        <f>IFERROR(VLOOKUP(D215,装备!$B:$E,3,FALSE),"")</f>
        <v/>
      </c>
      <c r="S215" s="36" t="str">
        <f>IFERROR(VLOOKUP(E215,装备!$B:$E,3,FALSE),"")</f>
        <v/>
      </c>
      <c r="T215" s="36" t="str">
        <f>IFERROR(VLOOKUP(F215,装备!$B:$E,3,FALSE),"")</f>
        <v/>
      </c>
      <c r="U215" s="36" t="str">
        <f>IFERROR(VLOOKUP(G215,装备!$B:$E,3,FALSE),"")</f>
        <v/>
      </c>
      <c r="V215" s="36" t="str">
        <f>IFERROR(VLOOKUP(H215,装备!$B:$E,3,FALSE),"")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装备!A234</f>
        <v>0</v>
      </c>
      <c r="B216" s="32" t="str">
        <f>"'"&amp;装备!B234&amp;"'"</f>
        <v>'IF18'</v>
      </c>
      <c r="C216" s="32">
        <f>装备!J234</f>
        <v>0</v>
      </c>
      <c r="D216" s="32">
        <f>装备!K234</f>
        <v>0</v>
      </c>
      <c r="E216" s="32">
        <f>装备!L234</f>
        <v>0</v>
      </c>
      <c r="F216" s="32">
        <f>装备!M234</f>
        <v>0</v>
      </c>
      <c r="G216" s="32">
        <f>装备!N234</f>
        <v>0</v>
      </c>
      <c r="H216" s="32">
        <f>装备!O234</f>
        <v>0</v>
      </c>
      <c r="I216" s="32">
        <f>IF(装备!J234=0,0,"'"&amp;装备!J234&amp;"'")</f>
        <v>0</v>
      </c>
      <c r="J216" s="32">
        <f>IF(装备!K234=0,0,"'"&amp;装备!K234&amp;"'")</f>
        <v>0</v>
      </c>
      <c r="K216" s="32">
        <f>IF(装备!L234=0,0,"'"&amp;装备!L234&amp;"'")</f>
        <v>0</v>
      </c>
      <c r="L216" s="32">
        <f>IF(装备!M234=0,0,"'"&amp;装备!M234&amp;"'")</f>
        <v>0</v>
      </c>
      <c r="M216" s="32">
        <f>IF(装备!N234=0,0,"'"&amp;装备!N234&amp;"'")</f>
        <v>0</v>
      </c>
      <c r="N216" s="32">
        <f>IF(装备!O234=0,0,"'"&amp;装备!O234&amp;"'")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IFERROR(VLOOKUP(C216,装备!$B:$E,3,FALSE),"")</f>
        <v/>
      </c>
      <c r="R216" s="36" t="str">
        <f>IFERROR(VLOOKUP(D216,装备!$B:$E,3,FALSE),"")</f>
        <v/>
      </c>
      <c r="S216" s="36" t="str">
        <f>IFERROR(VLOOKUP(E216,装备!$B:$E,3,FALSE),"")</f>
        <v/>
      </c>
      <c r="T216" s="36" t="str">
        <f>IFERROR(VLOOKUP(F216,装备!$B:$E,3,FALSE),"")</f>
        <v/>
      </c>
      <c r="U216" s="36" t="str">
        <f>IFERROR(VLOOKUP(G216,装备!$B:$E,3,FALSE),"")</f>
        <v/>
      </c>
      <c r="V216" s="36" t="str">
        <f>IFERROR(VLOOKUP(H216,装备!$B:$E,3,FALSE),"")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装备!A235</f>
        <v>0</v>
      </c>
      <c r="B217" s="32" t="str">
        <f>"'"&amp;装备!B235&amp;"'"</f>
        <v>'IF19'</v>
      </c>
      <c r="C217" s="32">
        <f>装备!J235</f>
        <v>0</v>
      </c>
      <c r="D217" s="32">
        <f>装备!K235</f>
        <v>0</v>
      </c>
      <c r="E217" s="32">
        <f>装备!L235</f>
        <v>0</v>
      </c>
      <c r="F217" s="32">
        <f>装备!M235</f>
        <v>0</v>
      </c>
      <c r="G217" s="32">
        <f>装备!N235</f>
        <v>0</v>
      </c>
      <c r="H217" s="32">
        <f>装备!O235</f>
        <v>0</v>
      </c>
      <c r="I217" s="32">
        <f>IF(装备!J235=0,0,"'"&amp;装备!J235&amp;"'")</f>
        <v>0</v>
      </c>
      <c r="J217" s="32">
        <f>IF(装备!K235=0,0,"'"&amp;装备!K235&amp;"'")</f>
        <v>0</v>
      </c>
      <c r="K217" s="32">
        <f>IF(装备!L235=0,0,"'"&amp;装备!L235&amp;"'")</f>
        <v>0</v>
      </c>
      <c r="L217" s="32">
        <f>IF(装备!M235=0,0,"'"&amp;装备!M235&amp;"'")</f>
        <v>0</v>
      </c>
      <c r="M217" s="32">
        <f>IF(装备!N235=0,0,"'"&amp;装备!N235&amp;"'")</f>
        <v>0</v>
      </c>
      <c r="N217" s="32">
        <f>IF(装备!O235=0,0,"'"&amp;装备!O235&amp;"'")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IFERROR(VLOOKUP(C217,装备!$B:$E,3,FALSE),"")</f>
        <v/>
      </c>
      <c r="R217" s="36" t="str">
        <f>IFERROR(VLOOKUP(D217,装备!$B:$E,3,FALSE),"")</f>
        <v/>
      </c>
      <c r="S217" s="36" t="str">
        <f>IFERROR(VLOOKUP(E217,装备!$B:$E,3,FALSE),"")</f>
        <v/>
      </c>
      <c r="T217" s="36" t="str">
        <f>IFERROR(VLOOKUP(F217,装备!$B:$E,3,FALSE),"")</f>
        <v/>
      </c>
      <c r="U217" s="36" t="str">
        <f>IFERROR(VLOOKUP(G217,装备!$B:$E,3,FALSE),"")</f>
        <v/>
      </c>
      <c r="V217" s="36" t="str">
        <f>IFERROR(VLOOKUP(H217,装备!$B:$E,3,FALSE),"")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装备!A236</f>
        <v>0</v>
      </c>
      <c r="B218" s="32" t="str">
        <f>"'"&amp;装备!B236&amp;"'"</f>
        <v>'IF20'</v>
      </c>
      <c r="C218" s="32">
        <f>装备!J236</f>
        <v>0</v>
      </c>
      <c r="D218" s="32">
        <f>装备!K236</f>
        <v>0</v>
      </c>
      <c r="E218" s="32">
        <f>装备!L236</f>
        <v>0</v>
      </c>
      <c r="F218" s="32">
        <f>装备!M236</f>
        <v>0</v>
      </c>
      <c r="G218" s="32">
        <f>装备!N236</f>
        <v>0</v>
      </c>
      <c r="H218" s="32">
        <f>装备!O236</f>
        <v>0</v>
      </c>
      <c r="I218" s="32">
        <f>IF(装备!J236=0,0,"'"&amp;装备!J236&amp;"'")</f>
        <v>0</v>
      </c>
      <c r="J218" s="32">
        <f>IF(装备!K236=0,0,"'"&amp;装备!K236&amp;"'")</f>
        <v>0</v>
      </c>
      <c r="K218" s="32">
        <f>IF(装备!L236=0,0,"'"&amp;装备!L236&amp;"'")</f>
        <v>0</v>
      </c>
      <c r="L218" s="32">
        <f>IF(装备!M236=0,0,"'"&amp;装备!M236&amp;"'")</f>
        <v>0</v>
      </c>
      <c r="M218" s="32">
        <f>IF(装备!N236=0,0,"'"&amp;装备!N236&amp;"'")</f>
        <v>0</v>
      </c>
      <c r="N218" s="32">
        <f>IF(装备!O236=0,0,"'"&amp;装备!O236&amp;"'")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IFERROR(VLOOKUP(C218,装备!$B:$E,3,FALSE),"")</f>
        <v/>
      </c>
      <c r="R218" s="36" t="str">
        <f>IFERROR(VLOOKUP(D218,装备!$B:$E,3,FALSE),"")</f>
        <v/>
      </c>
      <c r="S218" s="36" t="str">
        <f>IFERROR(VLOOKUP(E218,装备!$B:$E,3,FALSE),"")</f>
        <v/>
      </c>
      <c r="T218" s="36" t="str">
        <f>IFERROR(VLOOKUP(F218,装备!$B:$E,3,FALSE),"")</f>
        <v/>
      </c>
      <c r="U218" s="36" t="str">
        <f>IFERROR(VLOOKUP(G218,装备!$B:$E,3,FALSE),"")</f>
        <v/>
      </c>
      <c r="V218" s="36" t="str">
        <f>IFERROR(VLOOKUP(H218,装备!$B:$E,3,FALSE),"")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装备!A237</f>
        <v>0</v>
      </c>
      <c r="B219" s="32" t="str">
        <f>"'"&amp;装备!B237&amp;"'"</f>
        <v>'IF21'</v>
      </c>
      <c r="C219" s="32">
        <f>装备!J237</f>
        <v>0</v>
      </c>
      <c r="D219" s="32">
        <f>装备!K237</f>
        <v>0</v>
      </c>
      <c r="E219" s="32">
        <f>装备!L237</f>
        <v>0</v>
      </c>
      <c r="F219" s="32">
        <f>装备!M237</f>
        <v>0</v>
      </c>
      <c r="G219" s="32">
        <f>装备!N237</f>
        <v>0</v>
      </c>
      <c r="H219" s="32">
        <f>装备!O237</f>
        <v>0</v>
      </c>
      <c r="I219" s="32">
        <f>IF(装备!J237=0,0,"'"&amp;装备!J237&amp;"'")</f>
        <v>0</v>
      </c>
      <c r="J219" s="32">
        <f>IF(装备!K237=0,0,"'"&amp;装备!K237&amp;"'")</f>
        <v>0</v>
      </c>
      <c r="K219" s="32">
        <f>IF(装备!L237=0,0,"'"&amp;装备!L237&amp;"'")</f>
        <v>0</v>
      </c>
      <c r="L219" s="32">
        <f>IF(装备!M237=0,0,"'"&amp;装备!M237&amp;"'")</f>
        <v>0</v>
      </c>
      <c r="M219" s="32">
        <f>IF(装备!N237=0,0,"'"&amp;装备!N237&amp;"'")</f>
        <v>0</v>
      </c>
      <c r="N219" s="32">
        <f>IF(装备!O237=0,0,"'"&amp;装备!O237&amp;"'")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IFERROR(VLOOKUP(C219,装备!$B:$E,3,FALSE),"")</f>
        <v/>
      </c>
      <c r="R219" s="36" t="str">
        <f>IFERROR(VLOOKUP(D219,装备!$B:$E,3,FALSE),"")</f>
        <v/>
      </c>
      <c r="S219" s="36" t="str">
        <f>IFERROR(VLOOKUP(E219,装备!$B:$E,3,FALSE),"")</f>
        <v/>
      </c>
      <c r="T219" s="36" t="str">
        <f>IFERROR(VLOOKUP(F219,装备!$B:$E,3,FALSE),"")</f>
        <v/>
      </c>
      <c r="U219" s="36" t="str">
        <f>IFERROR(VLOOKUP(G219,装备!$B:$E,3,FALSE),"")</f>
        <v/>
      </c>
      <c r="V219" s="36" t="str">
        <f>IFERROR(VLOOKUP(H219,装备!$B:$E,3,FALSE),"")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装备!A238</f>
        <v>0</v>
      </c>
      <c r="B220" s="32" t="str">
        <f>"'"&amp;装备!B238&amp;"'"</f>
        <v>'IF22'</v>
      </c>
      <c r="C220" s="32">
        <f>装备!J238</f>
        <v>0</v>
      </c>
      <c r="D220" s="32">
        <f>装备!K238</f>
        <v>0</v>
      </c>
      <c r="E220" s="32">
        <f>装备!L238</f>
        <v>0</v>
      </c>
      <c r="F220" s="32">
        <f>装备!M238</f>
        <v>0</v>
      </c>
      <c r="G220" s="32">
        <f>装备!N238</f>
        <v>0</v>
      </c>
      <c r="H220" s="32">
        <f>装备!O238</f>
        <v>0</v>
      </c>
      <c r="I220" s="32">
        <f>IF(装备!J238=0,0,"'"&amp;装备!J238&amp;"'")</f>
        <v>0</v>
      </c>
      <c r="J220" s="32">
        <f>IF(装备!K238=0,0,"'"&amp;装备!K238&amp;"'")</f>
        <v>0</v>
      </c>
      <c r="K220" s="32">
        <f>IF(装备!L238=0,0,"'"&amp;装备!L238&amp;"'")</f>
        <v>0</v>
      </c>
      <c r="L220" s="32">
        <f>IF(装备!M238=0,0,"'"&amp;装备!M238&amp;"'")</f>
        <v>0</v>
      </c>
      <c r="M220" s="32">
        <f>IF(装备!N238=0,0,"'"&amp;装备!N238&amp;"'")</f>
        <v>0</v>
      </c>
      <c r="N220" s="32">
        <f>IF(装备!O238=0,0,"'"&amp;装备!O238&amp;"'")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IFERROR(VLOOKUP(C220,装备!$B:$E,3,FALSE),"")</f>
        <v/>
      </c>
      <c r="R220" s="36" t="str">
        <f>IFERROR(VLOOKUP(D220,装备!$B:$E,3,FALSE),"")</f>
        <v/>
      </c>
      <c r="S220" s="36" t="str">
        <f>IFERROR(VLOOKUP(E220,装备!$B:$E,3,FALSE),"")</f>
        <v/>
      </c>
      <c r="T220" s="36" t="str">
        <f>IFERROR(VLOOKUP(F220,装备!$B:$E,3,FALSE),"")</f>
        <v/>
      </c>
      <c r="U220" s="36" t="str">
        <f>IFERROR(VLOOKUP(G220,装备!$B:$E,3,FALSE),"")</f>
        <v/>
      </c>
      <c r="V220" s="36" t="str">
        <f>IFERROR(VLOOKUP(H220,装备!$B:$E,3,FALSE),"")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装备!A239</f>
        <v>0</v>
      </c>
      <c r="B221" s="32" t="str">
        <f>"'"&amp;装备!B239&amp;"'"</f>
        <v>'IF23'</v>
      </c>
      <c r="C221" s="32">
        <f>装备!J239</f>
        <v>0</v>
      </c>
      <c r="D221" s="32">
        <f>装备!K239</f>
        <v>0</v>
      </c>
      <c r="E221" s="32">
        <f>装备!L239</f>
        <v>0</v>
      </c>
      <c r="F221" s="32">
        <f>装备!M239</f>
        <v>0</v>
      </c>
      <c r="G221" s="32">
        <f>装备!N239</f>
        <v>0</v>
      </c>
      <c r="H221" s="32">
        <f>装备!O239</f>
        <v>0</v>
      </c>
      <c r="I221" s="32">
        <f>IF(装备!J239=0,0,"'"&amp;装备!J239&amp;"'")</f>
        <v>0</v>
      </c>
      <c r="J221" s="32">
        <f>IF(装备!K239=0,0,"'"&amp;装备!K239&amp;"'")</f>
        <v>0</v>
      </c>
      <c r="K221" s="32">
        <f>IF(装备!L239=0,0,"'"&amp;装备!L239&amp;"'")</f>
        <v>0</v>
      </c>
      <c r="L221" s="32">
        <f>IF(装备!M239=0,0,"'"&amp;装备!M239&amp;"'")</f>
        <v>0</v>
      </c>
      <c r="M221" s="32">
        <f>IF(装备!N239=0,0,"'"&amp;装备!N239&amp;"'")</f>
        <v>0</v>
      </c>
      <c r="N221" s="32">
        <f>IF(装备!O239=0,0,"'"&amp;装备!O239&amp;"'")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IFERROR(VLOOKUP(C221,装备!$B:$E,3,FALSE),"")</f>
        <v/>
      </c>
      <c r="R221" s="36" t="str">
        <f>IFERROR(VLOOKUP(D221,装备!$B:$E,3,FALSE),"")</f>
        <v/>
      </c>
      <c r="S221" s="36" t="str">
        <f>IFERROR(VLOOKUP(E221,装备!$B:$E,3,FALSE),"")</f>
        <v/>
      </c>
      <c r="T221" s="36" t="str">
        <f>IFERROR(VLOOKUP(F221,装备!$B:$E,3,FALSE),"")</f>
        <v/>
      </c>
      <c r="U221" s="36" t="str">
        <f>IFERROR(VLOOKUP(G221,装备!$B:$E,3,FALSE),"")</f>
        <v/>
      </c>
      <c r="V221" s="36" t="str">
        <f>IFERROR(VLOOKUP(H221,装备!$B:$E,3,FALSE),"")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装备!A240</f>
        <v>0</v>
      </c>
      <c r="B222" s="32" t="str">
        <f>"'"&amp;装备!B240&amp;"'"</f>
        <v>'IF24'</v>
      </c>
      <c r="C222" s="32">
        <f>装备!J240</f>
        <v>0</v>
      </c>
      <c r="D222" s="32">
        <f>装备!K240</f>
        <v>0</v>
      </c>
      <c r="E222" s="32">
        <f>装备!L240</f>
        <v>0</v>
      </c>
      <c r="F222" s="32">
        <f>装备!M240</f>
        <v>0</v>
      </c>
      <c r="G222" s="32">
        <f>装备!N240</f>
        <v>0</v>
      </c>
      <c r="H222" s="32">
        <f>装备!O240</f>
        <v>0</v>
      </c>
      <c r="I222" s="32">
        <f>IF(装备!J240=0,0,"'"&amp;装备!J240&amp;"'")</f>
        <v>0</v>
      </c>
      <c r="J222" s="32">
        <f>IF(装备!K240=0,0,"'"&amp;装备!K240&amp;"'")</f>
        <v>0</v>
      </c>
      <c r="K222" s="32">
        <f>IF(装备!L240=0,0,"'"&amp;装备!L240&amp;"'")</f>
        <v>0</v>
      </c>
      <c r="L222" s="32">
        <f>IF(装备!M240=0,0,"'"&amp;装备!M240&amp;"'")</f>
        <v>0</v>
      </c>
      <c r="M222" s="32">
        <f>IF(装备!N240=0,0,"'"&amp;装备!N240&amp;"'")</f>
        <v>0</v>
      </c>
      <c r="N222" s="32">
        <f>IF(装备!O240=0,0,"'"&amp;装备!O240&amp;"'")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IFERROR(VLOOKUP(C222,装备!$B:$E,3,FALSE),"")</f>
        <v/>
      </c>
      <c r="R222" s="36" t="str">
        <f>IFERROR(VLOOKUP(D222,装备!$B:$E,3,FALSE),"")</f>
        <v/>
      </c>
      <c r="S222" s="36" t="str">
        <f>IFERROR(VLOOKUP(E222,装备!$B:$E,3,FALSE),"")</f>
        <v/>
      </c>
      <c r="T222" s="36" t="str">
        <f>IFERROR(VLOOKUP(F222,装备!$B:$E,3,FALSE),"")</f>
        <v/>
      </c>
      <c r="U222" s="36" t="str">
        <f>IFERROR(VLOOKUP(G222,装备!$B:$E,3,FALSE),"")</f>
        <v/>
      </c>
      <c r="V222" s="36" t="str">
        <f>IFERROR(VLOOKUP(H222,装备!$B:$E,3,FALSE),"")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装备!A241</f>
        <v>0</v>
      </c>
      <c r="B223" s="32" t="str">
        <f>"'"&amp;装备!B241&amp;"'"</f>
        <v>'IF25'</v>
      </c>
      <c r="C223" s="32">
        <f>装备!J241</f>
        <v>0</v>
      </c>
      <c r="D223" s="32">
        <f>装备!K241</f>
        <v>0</v>
      </c>
      <c r="E223" s="32">
        <f>装备!L241</f>
        <v>0</v>
      </c>
      <c r="F223" s="32">
        <f>装备!M241</f>
        <v>0</v>
      </c>
      <c r="G223" s="32">
        <f>装备!N241</f>
        <v>0</v>
      </c>
      <c r="H223" s="32">
        <f>装备!O241</f>
        <v>0</v>
      </c>
      <c r="I223" s="32">
        <f>IF(装备!J241=0,0,"'"&amp;装备!J241&amp;"'")</f>
        <v>0</v>
      </c>
      <c r="J223" s="32">
        <f>IF(装备!K241=0,0,"'"&amp;装备!K241&amp;"'")</f>
        <v>0</v>
      </c>
      <c r="K223" s="32">
        <f>IF(装备!L241=0,0,"'"&amp;装备!L241&amp;"'")</f>
        <v>0</v>
      </c>
      <c r="L223" s="32">
        <f>IF(装备!M241=0,0,"'"&amp;装备!M241&amp;"'")</f>
        <v>0</v>
      </c>
      <c r="M223" s="32">
        <f>IF(装备!N241=0,0,"'"&amp;装备!N241&amp;"'")</f>
        <v>0</v>
      </c>
      <c r="N223" s="32">
        <f>IF(装备!O241=0,0,"'"&amp;装备!O241&amp;"'")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IFERROR(VLOOKUP(C223,装备!$B:$E,3,FALSE),"")</f>
        <v/>
      </c>
      <c r="R223" s="36" t="str">
        <f>IFERROR(VLOOKUP(D223,装备!$B:$E,3,FALSE),"")</f>
        <v/>
      </c>
      <c r="S223" s="36" t="str">
        <f>IFERROR(VLOOKUP(E223,装备!$B:$E,3,FALSE),"")</f>
        <v/>
      </c>
      <c r="T223" s="36" t="str">
        <f>IFERROR(VLOOKUP(F223,装备!$B:$E,3,FALSE),"")</f>
        <v/>
      </c>
      <c r="U223" s="36" t="str">
        <f>IFERROR(VLOOKUP(G223,装备!$B:$E,3,FALSE),"")</f>
        <v/>
      </c>
      <c r="V223" s="36" t="str">
        <f>IFERROR(VLOOKUP(H223,装备!$B:$E,3,FALSE),"")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装备!A242</f>
        <v>0</v>
      </c>
      <c r="B224" s="32" t="str">
        <f>"'"&amp;装备!B242&amp;"'"</f>
        <v>'IF26'</v>
      </c>
      <c r="C224" s="32">
        <f>装备!J242</f>
        <v>0</v>
      </c>
      <c r="D224" s="32">
        <f>装备!K242</f>
        <v>0</v>
      </c>
      <c r="E224" s="32">
        <f>装备!L242</f>
        <v>0</v>
      </c>
      <c r="F224" s="32">
        <f>装备!M242</f>
        <v>0</v>
      </c>
      <c r="G224" s="32">
        <f>装备!N242</f>
        <v>0</v>
      </c>
      <c r="H224" s="32">
        <f>装备!O242</f>
        <v>0</v>
      </c>
      <c r="I224" s="32">
        <f>IF(装备!J242=0,0,"'"&amp;装备!J242&amp;"'")</f>
        <v>0</v>
      </c>
      <c r="J224" s="32">
        <f>IF(装备!K242=0,0,"'"&amp;装备!K242&amp;"'")</f>
        <v>0</v>
      </c>
      <c r="K224" s="32">
        <f>IF(装备!L242=0,0,"'"&amp;装备!L242&amp;"'")</f>
        <v>0</v>
      </c>
      <c r="L224" s="32">
        <f>IF(装备!M242=0,0,"'"&amp;装备!M242&amp;"'")</f>
        <v>0</v>
      </c>
      <c r="M224" s="32">
        <f>IF(装备!N242=0,0,"'"&amp;装备!N242&amp;"'")</f>
        <v>0</v>
      </c>
      <c r="N224" s="32">
        <f>IF(装备!O242=0,0,"'"&amp;装备!O242&amp;"'")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IFERROR(VLOOKUP(C224,装备!$B:$E,3,FALSE),"")</f>
        <v/>
      </c>
      <c r="R224" s="36" t="str">
        <f>IFERROR(VLOOKUP(D224,装备!$B:$E,3,FALSE),"")</f>
        <v/>
      </c>
      <c r="S224" s="36" t="str">
        <f>IFERROR(VLOOKUP(E224,装备!$B:$E,3,FALSE),"")</f>
        <v/>
      </c>
      <c r="T224" s="36" t="str">
        <f>IFERROR(VLOOKUP(F224,装备!$B:$E,3,FALSE),"")</f>
        <v/>
      </c>
      <c r="U224" s="36" t="str">
        <f>IFERROR(VLOOKUP(G224,装备!$B:$E,3,FALSE),"")</f>
        <v/>
      </c>
      <c r="V224" s="36" t="str">
        <f>IFERROR(VLOOKUP(H224,装备!$B:$E,3,FALSE),"")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装备!A243</f>
        <v>0</v>
      </c>
      <c r="B225" s="32" t="str">
        <f>"'"&amp;装备!B243&amp;"'"</f>
        <v>'IF27'</v>
      </c>
      <c r="C225" s="32">
        <f>装备!J243</f>
        <v>0</v>
      </c>
      <c r="D225" s="32">
        <f>装备!K243</f>
        <v>0</v>
      </c>
      <c r="E225" s="32">
        <f>装备!L243</f>
        <v>0</v>
      </c>
      <c r="F225" s="32">
        <f>装备!M243</f>
        <v>0</v>
      </c>
      <c r="G225" s="32">
        <f>装备!N243</f>
        <v>0</v>
      </c>
      <c r="H225" s="32">
        <f>装备!O243</f>
        <v>0</v>
      </c>
      <c r="I225" s="32">
        <f>IF(装备!J243=0,0,"'"&amp;装备!J243&amp;"'")</f>
        <v>0</v>
      </c>
      <c r="J225" s="32">
        <f>IF(装备!K243=0,0,"'"&amp;装备!K243&amp;"'")</f>
        <v>0</v>
      </c>
      <c r="K225" s="32">
        <f>IF(装备!L243=0,0,"'"&amp;装备!L243&amp;"'")</f>
        <v>0</v>
      </c>
      <c r="L225" s="32">
        <f>IF(装备!M243=0,0,"'"&amp;装备!M243&amp;"'")</f>
        <v>0</v>
      </c>
      <c r="M225" s="32">
        <f>IF(装备!N243=0,0,"'"&amp;装备!N243&amp;"'")</f>
        <v>0</v>
      </c>
      <c r="N225" s="32">
        <f>IF(装备!O243=0,0,"'"&amp;装备!O243&amp;"'")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IFERROR(VLOOKUP(C225,装备!$B:$E,3,FALSE),"")</f>
        <v/>
      </c>
      <c r="R225" s="36" t="str">
        <f>IFERROR(VLOOKUP(D225,装备!$B:$E,3,FALSE),"")</f>
        <v/>
      </c>
      <c r="S225" s="36" t="str">
        <f>IFERROR(VLOOKUP(E225,装备!$B:$E,3,FALSE),"")</f>
        <v/>
      </c>
      <c r="T225" s="36" t="str">
        <f>IFERROR(VLOOKUP(F225,装备!$B:$E,3,FALSE),"")</f>
        <v/>
      </c>
      <c r="U225" s="36" t="str">
        <f>IFERROR(VLOOKUP(G225,装备!$B:$E,3,FALSE),"")</f>
        <v/>
      </c>
      <c r="V225" s="36" t="str">
        <f>IFERROR(VLOOKUP(H225,装备!$B:$E,3,FALSE),"")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装备!A244</f>
        <v>0</v>
      </c>
      <c r="B226" s="32" t="str">
        <f>"'"&amp;装备!B244&amp;"'"</f>
        <v>''</v>
      </c>
      <c r="C226" s="32">
        <f>装备!J244</f>
        <v>0</v>
      </c>
      <c r="D226" s="32">
        <f>装备!K244</f>
        <v>0</v>
      </c>
      <c r="E226" s="32">
        <f>装备!L244</f>
        <v>0</v>
      </c>
      <c r="F226" s="32">
        <f>装备!M244</f>
        <v>0</v>
      </c>
      <c r="G226" s="32">
        <f>装备!N244</f>
        <v>0</v>
      </c>
      <c r="H226" s="32">
        <f>装备!O244</f>
        <v>0</v>
      </c>
      <c r="I226" s="32">
        <f>IF(装备!J244=0,0,"'"&amp;装备!J244&amp;"'")</f>
        <v>0</v>
      </c>
      <c r="J226" s="32">
        <f>IF(装备!K244=0,0,"'"&amp;装备!K244&amp;"'")</f>
        <v>0</v>
      </c>
      <c r="K226" s="32">
        <f>IF(装备!L244=0,0,"'"&amp;装备!L244&amp;"'")</f>
        <v>0</v>
      </c>
      <c r="L226" s="32">
        <f>IF(装备!M244=0,0,"'"&amp;装备!M244&amp;"'")</f>
        <v>0</v>
      </c>
      <c r="M226" s="32">
        <f>IF(装备!N244=0,0,"'"&amp;装备!N244&amp;"'")</f>
        <v>0</v>
      </c>
      <c r="N226" s="32">
        <f>IF(装备!O244=0,0,"'"&amp;装备!O244&amp;"'")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IFERROR(VLOOKUP(C226,装备!$B:$E,3,FALSE),"")</f>
        <v/>
      </c>
      <c r="R226" s="36" t="str">
        <f>IFERROR(VLOOKUP(D226,装备!$B:$E,3,FALSE),"")</f>
        <v/>
      </c>
      <c r="S226" s="36" t="str">
        <f>IFERROR(VLOOKUP(E226,装备!$B:$E,3,FALSE),"")</f>
        <v/>
      </c>
      <c r="T226" s="36" t="str">
        <f>IFERROR(VLOOKUP(F226,装备!$B:$E,3,FALSE),"")</f>
        <v/>
      </c>
      <c r="U226" s="36" t="str">
        <f>IFERROR(VLOOKUP(G226,装备!$B:$E,3,FALSE),"")</f>
        <v/>
      </c>
      <c r="V226" s="36" t="str">
        <f>IFERROR(VLOOKUP(H226,装备!$B:$E,3,FALSE),"")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装备!A245</f>
        <v>0</v>
      </c>
      <c r="B227" s="32" t="str">
        <f>"'"&amp;装备!B245&amp;"'"</f>
        <v>''</v>
      </c>
      <c r="C227" s="32">
        <f>装备!J245</f>
        <v>0</v>
      </c>
      <c r="D227" s="32">
        <f>装备!K245</f>
        <v>0</v>
      </c>
      <c r="E227" s="32">
        <f>装备!L245</f>
        <v>0</v>
      </c>
      <c r="F227" s="32">
        <f>装备!M245</f>
        <v>0</v>
      </c>
      <c r="G227" s="32">
        <f>装备!N245</f>
        <v>0</v>
      </c>
      <c r="H227" s="32">
        <f>装备!O245</f>
        <v>0</v>
      </c>
      <c r="I227" s="32">
        <f>IF(装备!J245=0,0,"'"&amp;装备!J245&amp;"'")</f>
        <v>0</v>
      </c>
      <c r="J227" s="32">
        <f>IF(装备!K245=0,0,"'"&amp;装备!K245&amp;"'")</f>
        <v>0</v>
      </c>
      <c r="K227" s="32">
        <f>IF(装备!L245=0,0,"'"&amp;装备!L245&amp;"'")</f>
        <v>0</v>
      </c>
      <c r="L227" s="32">
        <f>IF(装备!M245=0,0,"'"&amp;装备!M245&amp;"'")</f>
        <v>0</v>
      </c>
      <c r="M227" s="32">
        <f>IF(装备!N245=0,0,"'"&amp;装备!N245&amp;"'")</f>
        <v>0</v>
      </c>
      <c r="N227" s="32">
        <f>IF(装备!O245=0,0,"'"&amp;装备!O245&amp;"'")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IFERROR(VLOOKUP(C227,装备!$B:$E,3,FALSE),"")</f>
        <v/>
      </c>
      <c r="R227" s="36" t="str">
        <f>IFERROR(VLOOKUP(D227,装备!$B:$E,3,FALSE),"")</f>
        <v/>
      </c>
      <c r="S227" s="36" t="str">
        <f>IFERROR(VLOOKUP(E227,装备!$B:$E,3,FALSE),"")</f>
        <v/>
      </c>
      <c r="T227" s="36" t="str">
        <f>IFERROR(VLOOKUP(F227,装备!$B:$E,3,FALSE),"")</f>
        <v/>
      </c>
      <c r="U227" s="36" t="str">
        <f>IFERROR(VLOOKUP(G227,装备!$B:$E,3,FALSE),"")</f>
        <v/>
      </c>
      <c r="V227" s="36" t="str">
        <f>IFERROR(VLOOKUP(H227,装备!$B:$E,3,FALSE),"")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装备!A246</f>
        <v>0</v>
      </c>
      <c r="B228" s="32" t="str">
        <f>"'"&amp;装备!B246&amp;"'"</f>
        <v>''</v>
      </c>
      <c r="C228" s="32">
        <f>装备!J246</f>
        <v>0</v>
      </c>
      <c r="D228" s="32">
        <f>装备!K246</f>
        <v>0</v>
      </c>
      <c r="E228" s="32">
        <f>装备!L246</f>
        <v>0</v>
      </c>
      <c r="F228" s="32">
        <f>装备!M246</f>
        <v>0</v>
      </c>
      <c r="G228" s="32">
        <f>装备!N246</f>
        <v>0</v>
      </c>
      <c r="H228" s="32">
        <f>装备!O246</f>
        <v>0</v>
      </c>
      <c r="I228" s="32">
        <f>IF(装备!J246=0,0,"'"&amp;装备!J246&amp;"'")</f>
        <v>0</v>
      </c>
      <c r="J228" s="32">
        <f>IF(装备!K246=0,0,"'"&amp;装备!K246&amp;"'")</f>
        <v>0</v>
      </c>
      <c r="K228" s="32">
        <f>IF(装备!L246=0,0,"'"&amp;装备!L246&amp;"'")</f>
        <v>0</v>
      </c>
      <c r="L228" s="32">
        <f>IF(装备!M246=0,0,"'"&amp;装备!M246&amp;"'")</f>
        <v>0</v>
      </c>
      <c r="M228" s="32">
        <f>IF(装备!N246=0,0,"'"&amp;装备!N246&amp;"'")</f>
        <v>0</v>
      </c>
      <c r="N228" s="32">
        <f>IF(装备!O246=0,0,"'"&amp;装备!O246&amp;"'")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IFERROR(VLOOKUP(C228,装备!$B:$E,3,FALSE),"")</f>
        <v/>
      </c>
      <c r="R228" s="36" t="str">
        <f>IFERROR(VLOOKUP(D228,装备!$B:$E,3,FALSE),"")</f>
        <v/>
      </c>
      <c r="S228" s="36" t="str">
        <f>IFERROR(VLOOKUP(E228,装备!$B:$E,3,FALSE),"")</f>
        <v/>
      </c>
      <c r="T228" s="36" t="str">
        <f>IFERROR(VLOOKUP(F228,装备!$B:$E,3,FALSE),"")</f>
        <v/>
      </c>
      <c r="U228" s="36" t="str">
        <f>IFERROR(VLOOKUP(G228,装备!$B:$E,3,FALSE),"")</f>
        <v/>
      </c>
      <c r="V228" s="36" t="str">
        <f>IFERROR(VLOOKUP(H228,装备!$B:$E,3,FALSE),"")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装备!A247</f>
        <v>0</v>
      </c>
      <c r="B229" s="32" t="str">
        <f>"'"&amp;装备!B247&amp;"'"</f>
        <v>''</v>
      </c>
      <c r="C229" s="32">
        <f>装备!J247</f>
        <v>0</v>
      </c>
      <c r="D229" s="32">
        <f>装备!K247</f>
        <v>0</v>
      </c>
      <c r="E229" s="32">
        <f>装备!L247</f>
        <v>0</v>
      </c>
      <c r="F229" s="32">
        <f>装备!M247</f>
        <v>0</v>
      </c>
      <c r="G229" s="32">
        <f>装备!N247</f>
        <v>0</v>
      </c>
      <c r="H229" s="32">
        <f>装备!O247</f>
        <v>0</v>
      </c>
      <c r="I229" s="32">
        <f>IF(装备!J247=0,0,"'"&amp;装备!J247&amp;"'")</f>
        <v>0</v>
      </c>
      <c r="J229" s="32">
        <f>IF(装备!K247=0,0,"'"&amp;装备!K247&amp;"'")</f>
        <v>0</v>
      </c>
      <c r="K229" s="32">
        <f>IF(装备!L247=0,0,"'"&amp;装备!L247&amp;"'")</f>
        <v>0</v>
      </c>
      <c r="L229" s="32">
        <f>IF(装备!M247=0,0,"'"&amp;装备!M247&amp;"'")</f>
        <v>0</v>
      </c>
      <c r="M229" s="32">
        <f>IF(装备!N247=0,0,"'"&amp;装备!N247&amp;"'")</f>
        <v>0</v>
      </c>
      <c r="N229" s="32">
        <f>IF(装备!O247=0,0,"'"&amp;装备!O247&amp;"'")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IFERROR(VLOOKUP(C229,装备!$B:$E,3,FALSE),"")</f>
        <v/>
      </c>
      <c r="R229" s="36" t="str">
        <f>IFERROR(VLOOKUP(D229,装备!$B:$E,3,FALSE),"")</f>
        <v/>
      </c>
      <c r="S229" s="36" t="str">
        <f>IFERROR(VLOOKUP(E229,装备!$B:$E,3,FALSE),"")</f>
        <v/>
      </c>
      <c r="T229" s="36" t="str">
        <f>IFERROR(VLOOKUP(F229,装备!$B:$E,3,FALSE),"")</f>
        <v/>
      </c>
      <c r="U229" s="36" t="str">
        <f>IFERROR(VLOOKUP(G229,装备!$B:$E,3,FALSE),"")</f>
        <v/>
      </c>
      <c r="V229" s="36" t="str">
        <f>IFERROR(VLOOKUP(H229,装备!$B:$E,3,FALSE),"")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装备!A248</f>
        <v>0</v>
      </c>
      <c r="B230" s="32" t="str">
        <f>"'"&amp;装备!B248&amp;"'"</f>
        <v>''</v>
      </c>
      <c r="C230" s="32">
        <f>装备!J248</f>
        <v>0</v>
      </c>
      <c r="D230" s="32">
        <f>装备!K248</f>
        <v>0</v>
      </c>
      <c r="E230" s="32">
        <f>装备!L248</f>
        <v>0</v>
      </c>
      <c r="F230" s="32">
        <f>装备!M248</f>
        <v>0</v>
      </c>
      <c r="G230" s="32">
        <f>装备!N248</f>
        <v>0</v>
      </c>
      <c r="H230" s="32">
        <f>装备!O248</f>
        <v>0</v>
      </c>
      <c r="I230" s="32">
        <f>IF(装备!J248=0,0,"'"&amp;装备!J248&amp;"'")</f>
        <v>0</v>
      </c>
      <c r="J230" s="32">
        <f>IF(装备!K248=0,0,"'"&amp;装备!K248&amp;"'")</f>
        <v>0</v>
      </c>
      <c r="K230" s="32">
        <f>IF(装备!L248=0,0,"'"&amp;装备!L248&amp;"'")</f>
        <v>0</v>
      </c>
      <c r="L230" s="32">
        <f>IF(装备!M248=0,0,"'"&amp;装备!M248&amp;"'")</f>
        <v>0</v>
      </c>
      <c r="M230" s="32">
        <f>IF(装备!N248=0,0,"'"&amp;装备!N248&amp;"'")</f>
        <v>0</v>
      </c>
      <c r="N230" s="32">
        <f>IF(装备!O248=0,0,"'"&amp;装备!O248&amp;"'")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IFERROR(VLOOKUP(C230,装备!$B:$E,3,FALSE),"")</f>
        <v/>
      </c>
      <c r="R230" s="36" t="str">
        <f>IFERROR(VLOOKUP(D230,装备!$B:$E,3,FALSE),"")</f>
        <v/>
      </c>
      <c r="S230" s="36" t="str">
        <f>IFERROR(VLOOKUP(E230,装备!$B:$E,3,FALSE),"")</f>
        <v/>
      </c>
      <c r="T230" s="36" t="str">
        <f>IFERROR(VLOOKUP(F230,装备!$B:$E,3,FALSE),"")</f>
        <v/>
      </c>
      <c r="U230" s="36" t="str">
        <f>IFERROR(VLOOKUP(G230,装备!$B:$E,3,FALSE),"")</f>
        <v/>
      </c>
      <c r="V230" s="36" t="str">
        <f>IFERROR(VLOOKUP(H230,装备!$B:$E,3,FALSE),"")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装备!A249</f>
        <v>0</v>
      </c>
      <c r="B231" s="32" t="str">
        <f>"'"&amp;装备!B249&amp;"'"</f>
        <v>''</v>
      </c>
      <c r="C231" s="32">
        <f>装备!J249</f>
        <v>0</v>
      </c>
      <c r="D231" s="32">
        <f>装备!K249</f>
        <v>0</v>
      </c>
      <c r="E231" s="32">
        <f>装备!L249</f>
        <v>0</v>
      </c>
      <c r="F231" s="32">
        <f>装备!M249</f>
        <v>0</v>
      </c>
      <c r="G231" s="32">
        <f>装备!N249</f>
        <v>0</v>
      </c>
      <c r="H231" s="32">
        <f>装备!O249</f>
        <v>0</v>
      </c>
      <c r="I231" s="32">
        <f>IF(装备!J249=0,0,"'"&amp;装备!J249&amp;"'")</f>
        <v>0</v>
      </c>
      <c r="J231" s="32">
        <f>IF(装备!K249=0,0,"'"&amp;装备!K249&amp;"'")</f>
        <v>0</v>
      </c>
      <c r="K231" s="32">
        <f>IF(装备!L249=0,0,"'"&amp;装备!L249&amp;"'")</f>
        <v>0</v>
      </c>
      <c r="L231" s="32">
        <f>IF(装备!M249=0,0,"'"&amp;装备!M249&amp;"'")</f>
        <v>0</v>
      </c>
      <c r="M231" s="32">
        <f>IF(装备!N249=0,0,"'"&amp;装备!N249&amp;"'")</f>
        <v>0</v>
      </c>
      <c r="N231" s="32">
        <f>IF(装备!O249=0,0,"'"&amp;装备!O249&amp;"'")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IFERROR(VLOOKUP(C231,装备!$B:$E,3,FALSE),"")</f>
        <v/>
      </c>
      <c r="R231" s="36" t="str">
        <f>IFERROR(VLOOKUP(D231,装备!$B:$E,3,FALSE),"")</f>
        <v/>
      </c>
      <c r="S231" s="36" t="str">
        <f>IFERROR(VLOOKUP(E231,装备!$B:$E,3,FALSE),"")</f>
        <v/>
      </c>
      <c r="T231" s="36" t="str">
        <f>IFERROR(VLOOKUP(F231,装备!$B:$E,3,FALSE),"")</f>
        <v/>
      </c>
      <c r="U231" s="36" t="str">
        <f>IFERROR(VLOOKUP(G231,装备!$B:$E,3,FALSE),"")</f>
        <v/>
      </c>
      <c r="V231" s="36" t="str">
        <f>IFERROR(VLOOKUP(H231,装备!$B:$E,3,FALSE),"")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装备!A250</f>
        <v>0</v>
      </c>
      <c r="B232" s="32" t="str">
        <f>"'"&amp;装备!B250&amp;"'"</f>
        <v>''</v>
      </c>
      <c r="C232" s="32">
        <f>装备!J250</f>
        <v>0</v>
      </c>
      <c r="D232" s="32">
        <f>装备!K250</f>
        <v>0</v>
      </c>
      <c r="E232" s="32">
        <f>装备!L250</f>
        <v>0</v>
      </c>
      <c r="F232" s="32">
        <f>装备!M250</f>
        <v>0</v>
      </c>
      <c r="G232" s="32">
        <f>装备!N250</f>
        <v>0</v>
      </c>
      <c r="H232" s="32">
        <f>装备!O250</f>
        <v>0</v>
      </c>
      <c r="I232" s="32">
        <f>IF(装备!J250=0,0,"'"&amp;装备!J250&amp;"'")</f>
        <v>0</v>
      </c>
      <c r="J232" s="32">
        <f>IF(装备!K250=0,0,"'"&amp;装备!K250&amp;"'")</f>
        <v>0</v>
      </c>
      <c r="K232" s="32">
        <f>IF(装备!L250=0,0,"'"&amp;装备!L250&amp;"'")</f>
        <v>0</v>
      </c>
      <c r="L232" s="32">
        <f>IF(装备!M250=0,0,"'"&amp;装备!M250&amp;"'")</f>
        <v>0</v>
      </c>
      <c r="M232" s="32">
        <f>IF(装备!N250=0,0,"'"&amp;装备!N250&amp;"'")</f>
        <v>0</v>
      </c>
      <c r="N232" s="32">
        <f>IF(装备!O250=0,0,"'"&amp;装备!O250&amp;"'")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IFERROR(VLOOKUP(C232,装备!$B:$E,3,FALSE),"")</f>
        <v/>
      </c>
      <c r="R232" s="36" t="str">
        <f>IFERROR(VLOOKUP(D232,装备!$B:$E,3,FALSE),"")</f>
        <v/>
      </c>
      <c r="S232" s="36" t="str">
        <f>IFERROR(VLOOKUP(E232,装备!$B:$E,3,FALSE),"")</f>
        <v/>
      </c>
      <c r="T232" s="36" t="str">
        <f>IFERROR(VLOOKUP(F232,装备!$B:$E,3,FALSE),"")</f>
        <v/>
      </c>
      <c r="U232" s="36" t="str">
        <f>IFERROR(VLOOKUP(G232,装备!$B:$E,3,FALSE),"")</f>
        <v/>
      </c>
      <c r="V232" s="36" t="str">
        <f>IFERROR(VLOOKUP(H232,装备!$B:$E,3,FALSE),"")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装备!A251</f>
        <v>0</v>
      </c>
      <c r="B233" s="32" t="str">
        <f>"'"&amp;装备!B251&amp;"'"</f>
        <v>''</v>
      </c>
      <c r="C233" s="32">
        <f>装备!J251</f>
        <v>0</v>
      </c>
      <c r="D233" s="32">
        <f>装备!K251</f>
        <v>0</v>
      </c>
      <c r="E233" s="32">
        <f>装备!L251</f>
        <v>0</v>
      </c>
      <c r="F233" s="32">
        <f>装备!M251</f>
        <v>0</v>
      </c>
      <c r="G233" s="32">
        <f>装备!N251</f>
        <v>0</v>
      </c>
      <c r="H233" s="32">
        <f>装备!O251</f>
        <v>0</v>
      </c>
      <c r="I233" s="32">
        <f>IF(装备!J251=0,0,"'"&amp;装备!J251&amp;"'")</f>
        <v>0</v>
      </c>
      <c r="J233" s="32">
        <f>IF(装备!K251=0,0,"'"&amp;装备!K251&amp;"'")</f>
        <v>0</v>
      </c>
      <c r="K233" s="32">
        <f>IF(装备!L251=0,0,"'"&amp;装备!L251&amp;"'")</f>
        <v>0</v>
      </c>
      <c r="L233" s="32">
        <f>IF(装备!M251=0,0,"'"&amp;装备!M251&amp;"'")</f>
        <v>0</v>
      </c>
      <c r="M233" s="32">
        <f>IF(装备!N251=0,0,"'"&amp;装备!N251&amp;"'")</f>
        <v>0</v>
      </c>
      <c r="N233" s="32">
        <f>IF(装备!O251=0,0,"'"&amp;装备!O251&amp;"'")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IFERROR(VLOOKUP(C233,装备!$B:$E,3,FALSE),"")</f>
        <v/>
      </c>
      <c r="R233" s="36" t="str">
        <f>IFERROR(VLOOKUP(D233,装备!$B:$E,3,FALSE),"")</f>
        <v/>
      </c>
      <c r="S233" s="36" t="str">
        <f>IFERROR(VLOOKUP(E233,装备!$B:$E,3,FALSE),"")</f>
        <v/>
      </c>
      <c r="T233" s="36" t="str">
        <f>IFERROR(VLOOKUP(F233,装备!$B:$E,3,FALSE),"")</f>
        <v/>
      </c>
      <c r="U233" s="36" t="str">
        <f>IFERROR(VLOOKUP(G233,装备!$B:$E,3,FALSE),"")</f>
        <v/>
      </c>
      <c r="V233" s="36" t="str">
        <f>IFERROR(VLOOKUP(H233,装备!$B:$E,3,FALSE),"")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装备!A252</f>
        <v>0</v>
      </c>
      <c r="B234" s="32" t="str">
        <f>"'"&amp;装备!B252&amp;"'"</f>
        <v>''</v>
      </c>
      <c r="C234" s="32">
        <f>装备!J252</f>
        <v>0</v>
      </c>
      <c r="D234" s="32">
        <f>装备!K252</f>
        <v>0</v>
      </c>
      <c r="E234" s="32">
        <f>装备!L252</f>
        <v>0</v>
      </c>
      <c r="F234" s="32">
        <f>装备!M252</f>
        <v>0</v>
      </c>
      <c r="G234" s="32">
        <f>装备!N252</f>
        <v>0</v>
      </c>
      <c r="H234" s="32">
        <f>装备!O252</f>
        <v>0</v>
      </c>
      <c r="I234" s="32">
        <f>IF(装备!J252=0,0,"'"&amp;装备!J252&amp;"'")</f>
        <v>0</v>
      </c>
      <c r="J234" s="32">
        <f>IF(装备!K252=0,0,"'"&amp;装备!K252&amp;"'")</f>
        <v>0</v>
      </c>
      <c r="K234" s="32">
        <f>IF(装备!L252=0,0,"'"&amp;装备!L252&amp;"'")</f>
        <v>0</v>
      </c>
      <c r="L234" s="32">
        <f>IF(装备!M252=0,0,"'"&amp;装备!M252&amp;"'")</f>
        <v>0</v>
      </c>
      <c r="M234" s="32">
        <f>IF(装备!N252=0,0,"'"&amp;装备!N252&amp;"'")</f>
        <v>0</v>
      </c>
      <c r="N234" s="32">
        <f>IF(装备!O252=0,0,"'"&amp;装备!O252&amp;"'")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IFERROR(VLOOKUP(C234,装备!$B:$E,3,FALSE),"")</f>
        <v/>
      </c>
      <c r="R234" s="36" t="str">
        <f>IFERROR(VLOOKUP(D234,装备!$B:$E,3,FALSE),"")</f>
        <v/>
      </c>
      <c r="S234" s="36" t="str">
        <f>IFERROR(VLOOKUP(E234,装备!$B:$E,3,FALSE),"")</f>
        <v/>
      </c>
      <c r="T234" s="36" t="str">
        <f>IFERROR(VLOOKUP(F234,装备!$B:$E,3,FALSE),"")</f>
        <v/>
      </c>
      <c r="U234" s="36" t="str">
        <f>IFERROR(VLOOKUP(G234,装备!$B:$E,3,FALSE),"")</f>
        <v/>
      </c>
      <c r="V234" s="36" t="str">
        <f>IFERROR(VLOOKUP(H234,装备!$B:$E,3,FALSE),"")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装备!A253</f>
        <v>0</v>
      </c>
      <c r="B235" s="32" t="str">
        <f>"'"&amp;装备!B253&amp;"'"</f>
        <v>''</v>
      </c>
      <c r="C235" s="32">
        <f>装备!J253</f>
        <v>0</v>
      </c>
      <c r="D235" s="32">
        <f>装备!K253</f>
        <v>0</v>
      </c>
      <c r="E235" s="32">
        <f>装备!L253</f>
        <v>0</v>
      </c>
      <c r="F235" s="32">
        <f>装备!M253</f>
        <v>0</v>
      </c>
      <c r="G235" s="32">
        <f>装备!N253</f>
        <v>0</v>
      </c>
      <c r="H235" s="32">
        <f>装备!O253</f>
        <v>0</v>
      </c>
      <c r="I235" s="32">
        <f>IF(装备!J253=0,0,"'"&amp;装备!J253&amp;"'")</f>
        <v>0</v>
      </c>
      <c r="J235" s="32">
        <f>IF(装备!K253=0,0,"'"&amp;装备!K253&amp;"'")</f>
        <v>0</v>
      </c>
      <c r="K235" s="32">
        <f>IF(装备!L253=0,0,"'"&amp;装备!L253&amp;"'")</f>
        <v>0</v>
      </c>
      <c r="L235" s="32">
        <f>IF(装备!M253=0,0,"'"&amp;装备!M253&amp;"'")</f>
        <v>0</v>
      </c>
      <c r="M235" s="32">
        <f>IF(装备!N253=0,0,"'"&amp;装备!N253&amp;"'")</f>
        <v>0</v>
      </c>
      <c r="N235" s="32">
        <f>IF(装备!O253=0,0,"'"&amp;装备!O253&amp;"'")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IFERROR(VLOOKUP(C235,装备!$B:$E,3,FALSE),"")</f>
        <v/>
      </c>
      <c r="R235" s="36" t="str">
        <f>IFERROR(VLOOKUP(D235,装备!$B:$E,3,FALSE),"")</f>
        <v/>
      </c>
      <c r="S235" s="36" t="str">
        <f>IFERROR(VLOOKUP(E235,装备!$B:$E,3,FALSE),"")</f>
        <v/>
      </c>
      <c r="T235" s="36" t="str">
        <f>IFERROR(VLOOKUP(F235,装备!$B:$E,3,FALSE),"")</f>
        <v/>
      </c>
      <c r="U235" s="36" t="str">
        <f>IFERROR(VLOOKUP(G235,装备!$B:$E,3,FALSE),"")</f>
        <v/>
      </c>
      <c r="V235" s="36" t="str">
        <f>IFERROR(VLOOKUP(H235,装备!$B:$E,3,FALSE),"")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装备!A254</f>
        <v>0</v>
      </c>
      <c r="B236" s="32" t="str">
        <f>"'"&amp;装备!B254&amp;"'"</f>
        <v>''</v>
      </c>
      <c r="C236" s="32">
        <f>装备!J254</f>
        <v>0</v>
      </c>
      <c r="D236" s="32">
        <f>装备!K254</f>
        <v>0</v>
      </c>
      <c r="E236" s="32">
        <f>装备!L254</f>
        <v>0</v>
      </c>
      <c r="F236" s="32">
        <f>装备!M254</f>
        <v>0</v>
      </c>
      <c r="G236" s="32">
        <f>装备!N254</f>
        <v>0</v>
      </c>
      <c r="H236" s="32">
        <f>装备!O254</f>
        <v>0</v>
      </c>
      <c r="I236" s="32">
        <f>IF(装备!J254=0,0,"'"&amp;装备!J254&amp;"'")</f>
        <v>0</v>
      </c>
      <c r="J236" s="32">
        <f>IF(装备!K254=0,0,"'"&amp;装备!K254&amp;"'")</f>
        <v>0</v>
      </c>
      <c r="K236" s="32">
        <f>IF(装备!L254=0,0,"'"&amp;装备!L254&amp;"'")</f>
        <v>0</v>
      </c>
      <c r="L236" s="32">
        <f>IF(装备!M254=0,0,"'"&amp;装备!M254&amp;"'")</f>
        <v>0</v>
      </c>
      <c r="M236" s="32">
        <f>IF(装备!N254=0,0,"'"&amp;装备!N254&amp;"'")</f>
        <v>0</v>
      </c>
      <c r="N236" s="32">
        <f>IF(装备!O254=0,0,"'"&amp;装备!O254&amp;"'")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IFERROR(VLOOKUP(C236,装备!$B:$E,3,FALSE),"")</f>
        <v/>
      </c>
      <c r="R236" s="36" t="str">
        <f>IFERROR(VLOOKUP(D236,装备!$B:$E,3,FALSE),"")</f>
        <v/>
      </c>
      <c r="S236" s="36" t="str">
        <f>IFERROR(VLOOKUP(E236,装备!$B:$E,3,FALSE),"")</f>
        <v/>
      </c>
      <c r="T236" s="36" t="str">
        <f>IFERROR(VLOOKUP(F236,装备!$B:$E,3,FALSE),"")</f>
        <v/>
      </c>
      <c r="U236" s="36" t="str">
        <f>IFERROR(VLOOKUP(G236,装备!$B:$E,3,FALSE),"")</f>
        <v/>
      </c>
      <c r="V236" s="36" t="str">
        <f>IFERROR(VLOOKUP(H236,装备!$B:$E,3,FALSE),"")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装备!A255</f>
        <v>0</v>
      </c>
      <c r="B237" s="32" t="str">
        <f>"'"&amp;装备!B255&amp;"'"</f>
        <v>''</v>
      </c>
      <c r="C237" s="32">
        <f>装备!J255</f>
        <v>0</v>
      </c>
      <c r="D237" s="32">
        <f>装备!K255</f>
        <v>0</v>
      </c>
      <c r="E237" s="32">
        <f>装备!L255</f>
        <v>0</v>
      </c>
      <c r="F237" s="32">
        <f>装备!M255</f>
        <v>0</v>
      </c>
      <c r="G237" s="32">
        <f>装备!N255</f>
        <v>0</v>
      </c>
      <c r="H237" s="32">
        <f>装备!O255</f>
        <v>0</v>
      </c>
      <c r="I237" s="32">
        <f>IF(装备!J255=0,0,"'"&amp;装备!J255&amp;"'")</f>
        <v>0</v>
      </c>
      <c r="J237" s="32">
        <f>IF(装备!K255=0,0,"'"&amp;装备!K255&amp;"'")</f>
        <v>0</v>
      </c>
      <c r="K237" s="32">
        <f>IF(装备!L255=0,0,"'"&amp;装备!L255&amp;"'")</f>
        <v>0</v>
      </c>
      <c r="L237" s="32">
        <f>IF(装备!M255=0,0,"'"&amp;装备!M255&amp;"'")</f>
        <v>0</v>
      </c>
      <c r="M237" s="32">
        <f>IF(装备!N255=0,0,"'"&amp;装备!N255&amp;"'")</f>
        <v>0</v>
      </c>
      <c r="N237" s="32">
        <f>IF(装备!O255=0,0,"'"&amp;装备!O255&amp;"'")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IFERROR(VLOOKUP(C237,装备!$B:$E,3,FALSE),"")</f>
        <v/>
      </c>
      <c r="R237" s="36" t="str">
        <f>IFERROR(VLOOKUP(D237,装备!$B:$E,3,FALSE),"")</f>
        <v/>
      </c>
      <c r="S237" s="36" t="str">
        <f>IFERROR(VLOOKUP(E237,装备!$B:$E,3,FALSE),"")</f>
        <v/>
      </c>
      <c r="T237" s="36" t="str">
        <f>IFERROR(VLOOKUP(F237,装备!$B:$E,3,FALSE),"")</f>
        <v/>
      </c>
      <c r="U237" s="36" t="str">
        <f>IFERROR(VLOOKUP(G237,装备!$B:$E,3,FALSE),"")</f>
        <v/>
      </c>
      <c r="V237" s="36" t="str">
        <f>IFERROR(VLOOKUP(H237,装备!$B:$E,3,FALSE),"")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装备!A256</f>
        <v>0</v>
      </c>
      <c r="B238" s="32" t="str">
        <f>"'"&amp;装备!B256&amp;"'"</f>
        <v>''</v>
      </c>
      <c r="C238" s="32">
        <f>装备!J256</f>
        <v>0</v>
      </c>
      <c r="D238" s="32">
        <f>装备!K256</f>
        <v>0</v>
      </c>
      <c r="E238" s="32">
        <f>装备!L256</f>
        <v>0</v>
      </c>
      <c r="F238" s="32">
        <f>装备!M256</f>
        <v>0</v>
      </c>
      <c r="G238" s="32">
        <f>装备!N256</f>
        <v>0</v>
      </c>
      <c r="H238" s="32">
        <f>装备!O256</f>
        <v>0</v>
      </c>
      <c r="I238" s="32">
        <f>IF(装备!J256=0,0,"'"&amp;装备!J256&amp;"'")</f>
        <v>0</v>
      </c>
      <c r="J238" s="32">
        <f>IF(装备!K256=0,0,"'"&amp;装备!K256&amp;"'")</f>
        <v>0</v>
      </c>
      <c r="K238" s="32">
        <f>IF(装备!L256=0,0,"'"&amp;装备!L256&amp;"'")</f>
        <v>0</v>
      </c>
      <c r="L238" s="32">
        <f>IF(装备!M256=0,0,"'"&amp;装备!M256&amp;"'")</f>
        <v>0</v>
      </c>
      <c r="M238" s="32">
        <f>IF(装备!N256=0,0,"'"&amp;装备!N256&amp;"'")</f>
        <v>0</v>
      </c>
      <c r="N238" s="32">
        <f>IF(装备!O256=0,0,"'"&amp;装备!O256&amp;"'")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IFERROR(VLOOKUP(C238,装备!$B:$E,3,FALSE),"")</f>
        <v/>
      </c>
      <c r="R238" s="36" t="str">
        <f>IFERROR(VLOOKUP(D238,装备!$B:$E,3,FALSE),"")</f>
        <v/>
      </c>
      <c r="S238" s="36" t="str">
        <f>IFERROR(VLOOKUP(E238,装备!$B:$E,3,FALSE),"")</f>
        <v/>
      </c>
      <c r="T238" s="36" t="str">
        <f>IFERROR(VLOOKUP(F238,装备!$B:$E,3,FALSE),"")</f>
        <v/>
      </c>
      <c r="U238" s="36" t="str">
        <f>IFERROR(VLOOKUP(G238,装备!$B:$E,3,FALSE),"")</f>
        <v/>
      </c>
      <c r="V238" s="36" t="str">
        <f>IFERROR(VLOOKUP(H238,装备!$B:$E,3,FALSE),"")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装备!A257</f>
        <v>0</v>
      </c>
      <c r="B239" s="32" t="str">
        <f>"'"&amp;装备!B257&amp;"'"</f>
        <v>''</v>
      </c>
      <c r="C239" s="32">
        <f>装备!J257</f>
        <v>0</v>
      </c>
      <c r="D239" s="32">
        <f>装备!K257</f>
        <v>0</v>
      </c>
      <c r="E239" s="32">
        <f>装备!L257</f>
        <v>0</v>
      </c>
      <c r="F239" s="32">
        <f>装备!M257</f>
        <v>0</v>
      </c>
      <c r="G239" s="32">
        <f>装备!N257</f>
        <v>0</v>
      </c>
      <c r="H239" s="32">
        <f>装备!O257</f>
        <v>0</v>
      </c>
      <c r="I239" s="32">
        <f>IF(装备!J257=0,0,"'"&amp;装备!J257&amp;"'")</f>
        <v>0</v>
      </c>
      <c r="J239" s="32">
        <f>IF(装备!K257=0,0,"'"&amp;装备!K257&amp;"'")</f>
        <v>0</v>
      </c>
      <c r="K239" s="32">
        <f>IF(装备!L257=0,0,"'"&amp;装备!L257&amp;"'")</f>
        <v>0</v>
      </c>
      <c r="L239" s="32">
        <f>IF(装备!M257=0,0,"'"&amp;装备!M257&amp;"'")</f>
        <v>0</v>
      </c>
      <c r="M239" s="32">
        <f>IF(装备!N257=0,0,"'"&amp;装备!N257&amp;"'")</f>
        <v>0</v>
      </c>
      <c r="N239" s="32">
        <f>IF(装备!O257=0,0,"'"&amp;装备!O257&amp;"'")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IFERROR(VLOOKUP(C239,装备!$B:$E,3,FALSE),"")</f>
        <v/>
      </c>
      <c r="R239" s="36" t="str">
        <f>IFERROR(VLOOKUP(D239,装备!$B:$E,3,FALSE),"")</f>
        <v/>
      </c>
      <c r="S239" s="36" t="str">
        <f>IFERROR(VLOOKUP(E239,装备!$B:$E,3,FALSE),"")</f>
        <v/>
      </c>
      <c r="T239" s="36" t="str">
        <f>IFERROR(VLOOKUP(F239,装备!$B:$E,3,FALSE),"")</f>
        <v/>
      </c>
      <c r="U239" s="36" t="str">
        <f>IFERROR(VLOOKUP(G239,装备!$B:$E,3,FALSE),"")</f>
        <v/>
      </c>
      <c r="V239" s="36" t="str">
        <f>IFERROR(VLOOKUP(H239,装备!$B:$E,3,FALSE),"")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装备!A258</f>
        <v>0</v>
      </c>
      <c r="B240" s="32" t="str">
        <f>"'"&amp;装备!B258&amp;"'"</f>
        <v>''</v>
      </c>
      <c r="C240" s="32">
        <f>装备!J258</f>
        <v>0</v>
      </c>
      <c r="D240" s="32">
        <f>装备!K258</f>
        <v>0</v>
      </c>
      <c r="E240" s="32">
        <f>装备!L258</f>
        <v>0</v>
      </c>
      <c r="F240" s="32">
        <f>装备!M258</f>
        <v>0</v>
      </c>
      <c r="G240" s="32">
        <f>装备!N258</f>
        <v>0</v>
      </c>
      <c r="H240" s="32">
        <f>装备!O258</f>
        <v>0</v>
      </c>
      <c r="I240" s="32">
        <f>IF(装备!J258=0,0,"'"&amp;装备!J258&amp;"'")</f>
        <v>0</v>
      </c>
      <c r="J240" s="32">
        <f>IF(装备!K258=0,0,"'"&amp;装备!K258&amp;"'")</f>
        <v>0</v>
      </c>
      <c r="K240" s="32">
        <f>IF(装备!L258=0,0,"'"&amp;装备!L258&amp;"'")</f>
        <v>0</v>
      </c>
      <c r="L240" s="32">
        <f>IF(装备!M258=0,0,"'"&amp;装备!M258&amp;"'")</f>
        <v>0</v>
      </c>
      <c r="M240" s="32">
        <f>IF(装备!N258=0,0,"'"&amp;装备!N258&amp;"'")</f>
        <v>0</v>
      </c>
      <c r="N240" s="32">
        <f>IF(装备!O258=0,0,"'"&amp;装备!O258&amp;"'")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IFERROR(VLOOKUP(C240,装备!$B:$E,3,FALSE),"")</f>
        <v/>
      </c>
      <c r="R240" s="36" t="str">
        <f>IFERROR(VLOOKUP(D240,装备!$B:$E,3,FALSE),"")</f>
        <v/>
      </c>
      <c r="S240" s="36" t="str">
        <f>IFERROR(VLOOKUP(E240,装备!$B:$E,3,FALSE),"")</f>
        <v/>
      </c>
      <c r="T240" s="36" t="str">
        <f>IFERROR(VLOOKUP(F240,装备!$B:$E,3,FALSE),"")</f>
        <v/>
      </c>
      <c r="U240" s="36" t="str">
        <f>IFERROR(VLOOKUP(G240,装备!$B:$E,3,FALSE),"")</f>
        <v/>
      </c>
      <c r="V240" s="36" t="str">
        <f>IFERROR(VLOOKUP(H240,装备!$B:$E,3,FALSE),"")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装备!A259</f>
        <v>0</v>
      </c>
      <c r="B241" s="32" t="str">
        <f>"'"&amp;装备!B259&amp;"'"</f>
        <v>''</v>
      </c>
      <c r="C241" s="32">
        <f>装备!J259</f>
        <v>0</v>
      </c>
      <c r="D241" s="32">
        <f>装备!K259</f>
        <v>0</v>
      </c>
      <c r="E241" s="32">
        <f>装备!L259</f>
        <v>0</v>
      </c>
      <c r="F241" s="32">
        <f>装备!M259</f>
        <v>0</v>
      </c>
      <c r="G241" s="32">
        <f>装备!N259</f>
        <v>0</v>
      </c>
      <c r="H241" s="32">
        <f>装备!O259</f>
        <v>0</v>
      </c>
      <c r="I241" s="32">
        <f>IF(装备!J259=0,0,"'"&amp;装备!J259&amp;"'")</f>
        <v>0</v>
      </c>
      <c r="J241" s="32">
        <f>IF(装备!K259=0,0,"'"&amp;装备!K259&amp;"'")</f>
        <v>0</v>
      </c>
      <c r="K241" s="32">
        <f>IF(装备!L259=0,0,"'"&amp;装备!L259&amp;"'")</f>
        <v>0</v>
      </c>
      <c r="L241" s="32">
        <f>IF(装备!M259=0,0,"'"&amp;装备!M259&amp;"'")</f>
        <v>0</v>
      </c>
      <c r="M241" s="32">
        <f>IF(装备!N259=0,0,"'"&amp;装备!N259&amp;"'")</f>
        <v>0</v>
      </c>
      <c r="N241" s="32">
        <f>IF(装备!O259=0,0,"'"&amp;装备!O259&amp;"'")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IFERROR(VLOOKUP(C241,装备!$B:$E,3,FALSE),"")</f>
        <v/>
      </c>
      <c r="R241" s="36" t="str">
        <f>IFERROR(VLOOKUP(D241,装备!$B:$E,3,FALSE),"")</f>
        <v/>
      </c>
      <c r="S241" s="36" t="str">
        <f>IFERROR(VLOOKUP(E241,装备!$B:$E,3,FALSE),"")</f>
        <v/>
      </c>
      <c r="T241" s="36" t="str">
        <f>IFERROR(VLOOKUP(F241,装备!$B:$E,3,FALSE),"")</f>
        <v/>
      </c>
      <c r="U241" s="36" t="str">
        <f>IFERROR(VLOOKUP(G241,装备!$B:$E,3,FALSE),"")</f>
        <v/>
      </c>
      <c r="V241" s="36" t="str">
        <f>IFERROR(VLOOKUP(H241,装备!$B:$E,3,FALSE),"")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装备!A260</f>
        <v>0</v>
      </c>
      <c r="B242" s="32" t="str">
        <f>"'"&amp;装备!B260&amp;"'"</f>
        <v>''</v>
      </c>
      <c r="C242" s="32">
        <f>装备!J260</f>
        <v>0</v>
      </c>
      <c r="D242" s="32">
        <f>装备!K260</f>
        <v>0</v>
      </c>
      <c r="E242" s="32">
        <f>装备!L260</f>
        <v>0</v>
      </c>
      <c r="F242" s="32">
        <f>装备!M260</f>
        <v>0</v>
      </c>
      <c r="G242" s="32">
        <f>装备!N260</f>
        <v>0</v>
      </c>
      <c r="H242" s="32">
        <f>装备!O260</f>
        <v>0</v>
      </c>
      <c r="I242" s="32">
        <f>IF(装备!J260=0,0,"'"&amp;装备!J260&amp;"'")</f>
        <v>0</v>
      </c>
      <c r="J242" s="32">
        <f>IF(装备!K260=0,0,"'"&amp;装备!K260&amp;"'")</f>
        <v>0</v>
      </c>
      <c r="K242" s="32">
        <f>IF(装备!L260=0,0,"'"&amp;装备!L260&amp;"'")</f>
        <v>0</v>
      </c>
      <c r="L242" s="32">
        <f>IF(装备!M260=0,0,"'"&amp;装备!M260&amp;"'")</f>
        <v>0</v>
      </c>
      <c r="M242" s="32">
        <f>IF(装备!N260=0,0,"'"&amp;装备!N260&amp;"'")</f>
        <v>0</v>
      </c>
      <c r="N242" s="32">
        <f>IF(装备!O260=0,0,"'"&amp;装备!O260&amp;"'")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IFERROR(VLOOKUP(C242,装备!$B:$E,3,FALSE),"")</f>
        <v/>
      </c>
      <c r="R242" s="36" t="str">
        <f>IFERROR(VLOOKUP(D242,装备!$B:$E,3,FALSE),"")</f>
        <v/>
      </c>
      <c r="S242" s="36" t="str">
        <f>IFERROR(VLOOKUP(E242,装备!$B:$E,3,FALSE),"")</f>
        <v/>
      </c>
      <c r="T242" s="36" t="str">
        <f>IFERROR(VLOOKUP(F242,装备!$B:$E,3,FALSE),"")</f>
        <v/>
      </c>
      <c r="U242" s="36" t="str">
        <f>IFERROR(VLOOKUP(G242,装备!$B:$E,3,FALSE),"")</f>
        <v/>
      </c>
      <c r="V242" s="36" t="str">
        <f>IFERROR(VLOOKUP(H242,装备!$B:$E,3,FALSE),"")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装备!A261</f>
        <v>0</v>
      </c>
      <c r="B243" s="32" t="str">
        <f>"'"&amp;装备!B261&amp;"'"</f>
        <v>''</v>
      </c>
      <c r="C243" s="32">
        <f>装备!J261</f>
        <v>0</v>
      </c>
      <c r="D243" s="32">
        <f>装备!K261</f>
        <v>0</v>
      </c>
      <c r="E243" s="32">
        <f>装备!L261</f>
        <v>0</v>
      </c>
      <c r="F243" s="32">
        <f>装备!M261</f>
        <v>0</v>
      </c>
      <c r="G243" s="32">
        <f>装备!N261</f>
        <v>0</v>
      </c>
      <c r="H243" s="32">
        <f>装备!O261</f>
        <v>0</v>
      </c>
      <c r="I243" s="32">
        <f>IF(装备!J261=0,0,"'"&amp;装备!J261&amp;"'")</f>
        <v>0</v>
      </c>
      <c r="J243" s="32">
        <f>IF(装备!K261=0,0,"'"&amp;装备!K261&amp;"'")</f>
        <v>0</v>
      </c>
      <c r="K243" s="32">
        <f>IF(装备!L261=0,0,"'"&amp;装备!L261&amp;"'")</f>
        <v>0</v>
      </c>
      <c r="L243" s="32">
        <f>IF(装备!M261=0,0,"'"&amp;装备!M261&amp;"'")</f>
        <v>0</v>
      </c>
      <c r="M243" s="32">
        <f>IF(装备!N261=0,0,"'"&amp;装备!N261&amp;"'")</f>
        <v>0</v>
      </c>
      <c r="N243" s="32">
        <f>IF(装备!O261=0,0,"'"&amp;装备!O261&amp;"'")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IFERROR(VLOOKUP(C243,装备!$B:$E,3,FALSE),"")</f>
        <v/>
      </c>
      <c r="R243" s="36" t="str">
        <f>IFERROR(VLOOKUP(D243,装备!$B:$E,3,FALSE),"")</f>
        <v/>
      </c>
      <c r="S243" s="36" t="str">
        <f>IFERROR(VLOOKUP(E243,装备!$B:$E,3,FALSE),"")</f>
        <v/>
      </c>
      <c r="T243" s="36" t="str">
        <f>IFERROR(VLOOKUP(F243,装备!$B:$E,3,FALSE),"")</f>
        <v/>
      </c>
      <c r="U243" s="36" t="str">
        <f>IFERROR(VLOOKUP(G243,装备!$B:$E,3,FALSE),"")</f>
        <v/>
      </c>
      <c r="V243" s="36" t="str">
        <f>IFERROR(VLOOKUP(H243,装备!$B:$E,3,FALSE),"")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装备!A262</f>
        <v>0</v>
      </c>
      <c r="B244" s="32" t="str">
        <f>"'"&amp;装备!B262&amp;"'"</f>
        <v>''</v>
      </c>
      <c r="C244" s="32">
        <f>装备!J262</f>
        <v>0</v>
      </c>
      <c r="D244" s="32">
        <f>装备!K262</f>
        <v>0</v>
      </c>
      <c r="E244" s="32">
        <f>装备!L262</f>
        <v>0</v>
      </c>
      <c r="F244" s="32">
        <f>装备!M262</f>
        <v>0</v>
      </c>
      <c r="G244" s="32">
        <f>装备!N262</f>
        <v>0</v>
      </c>
      <c r="H244" s="32">
        <f>装备!O262</f>
        <v>0</v>
      </c>
      <c r="I244" s="32">
        <f>IF(装备!J262=0,0,"'"&amp;装备!J262&amp;"'")</f>
        <v>0</v>
      </c>
      <c r="J244" s="32">
        <f>IF(装备!K262=0,0,"'"&amp;装备!K262&amp;"'")</f>
        <v>0</v>
      </c>
      <c r="K244" s="32">
        <f>IF(装备!L262=0,0,"'"&amp;装备!L262&amp;"'")</f>
        <v>0</v>
      </c>
      <c r="L244" s="32">
        <f>IF(装备!M262=0,0,"'"&amp;装备!M262&amp;"'")</f>
        <v>0</v>
      </c>
      <c r="M244" s="32">
        <f>IF(装备!N262=0,0,"'"&amp;装备!N262&amp;"'")</f>
        <v>0</v>
      </c>
      <c r="N244" s="32">
        <f>IF(装备!O262=0,0,"'"&amp;装备!O262&amp;"'")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IFERROR(VLOOKUP(C244,装备!$B:$E,3,FALSE),"")</f>
        <v/>
      </c>
      <c r="R244" s="36" t="str">
        <f>IFERROR(VLOOKUP(D244,装备!$B:$E,3,FALSE),"")</f>
        <v/>
      </c>
      <c r="S244" s="36" t="str">
        <f>IFERROR(VLOOKUP(E244,装备!$B:$E,3,FALSE),"")</f>
        <v/>
      </c>
      <c r="T244" s="36" t="str">
        <f>IFERROR(VLOOKUP(F244,装备!$B:$E,3,FALSE),"")</f>
        <v/>
      </c>
      <c r="U244" s="36" t="str">
        <f>IFERROR(VLOOKUP(G244,装备!$B:$E,3,FALSE),"")</f>
        <v/>
      </c>
      <c r="V244" s="36" t="str">
        <f>IFERROR(VLOOKUP(H244,装备!$B:$E,3,FALSE),"")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装备!A263</f>
        <v>0</v>
      </c>
      <c r="B245" s="32" t="str">
        <f>"'"&amp;装备!B263&amp;"'"</f>
        <v>''</v>
      </c>
      <c r="C245" s="32">
        <f>装备!J263</f>
        <v>0</v>
      </c>
      <c r="D245" s="32">
        <f>装备!K263</f>
        <v>0</v>
      </c>
      <c r="E245" s="32">
        <f>装备!L263</f>
        <v>0</v>
      </c>
      <c r="F245" s="32">
        <f>装备!M263</f>
        <v>0</v>
      </c>
      <c r="G245" s="32">
        <f>装备!N263</f>
        <v>0</v>
      </c>
      <c r="H245" s="32">
        <f>装备!O263</f>
        <v>0</v>
      </c>
      <c r="I245" s="32">
        <f>IF(装备!J263=0,0,"'"&amp;装备!J263&amp;"'")</f>
        <v>0</v>
      </c>
      <c r="J245" s="32">
        <f>IF(装备!K263=0,0,"'"&amp;装备!K263&amp;"'")</f>
        <v>0</v>
      </c>
      <c r="K245" s="32">
        <f>IF(装备!L263=0,0,"'"&amp;装备!L263&amp;"'")</f>
        <v>0</v>
      </c>
      <c r="L245" s="32">
        <f>IF(装备!M263=0,0,"'"&amp;装备!M263&amp;"'")</f>
        <v>0</v>
      </c>
      <c r="M245" s="32">
        <f>IF(装备!N263=0,0,"'"&amp;装备!N263&amp;"'")</f>
        <v>0</v>
      </c>
      <c r="N245" s="32">
        <f>IF(装备!O263=0,0,"'"&amp;装备!O263&amp;"'")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IFERROR(VLOOKUP(C245,装备!$B:$E,3,FALSE),"")</f>
        <v/>
      </c>
      <c r="R245" s="36" t="str">
        <f>IFERROR(VLOOKUP(D245,装备!$B:$E,3,FALSE),"")</f>
        <v/>
      </c>
      <c r="S245" s="36" t="str">
        <f>IFERROR(VLOOKUP(E245,装备!$B:$E,3,FALSE),"")</f>
        <v/>
      </c>
      <c r="T245" s="36" t="str">
        <f>IFERROR(VLOOKUP(F245,装备!$B:$E,3,FALSE),"")</f>
        <v/>
      </c>
      <c r="U245" s="36" t="str">
        <f>IFERROR(VLOOKUP(G245,装备!$B:$E,3,FALSE),"")</f>
        <v/>
      </c>
      <c r="V245" s="36" t="str">
        <f>IFERROR(VLOOKUP(H245,装备!$B:$E,3,FALSE),"")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装备!A264</f>
        <v>0</v>
      </c>
      <c r="B246" s="32" t="str">
        <f>"'"&amp;装备!B264&amp;"'"</f>
        <v>''</v>
      </c>
      <c r="C246" s="32">
        <f>装备!J264</f>
        <v>0</v>
      </c>
      <c r="D246" s="32">
        <f>装备!K264</f>
        <v>0</v>
      </c>
      <c r="E246" s="32">
        <f>装备!L264</f>
        <v>0</v>
      </c>
      <c r="F246" s="32">
        <f>装备!M264</f>
        <v>0</v>
      </c>
      <c r="G246" s="32">
        <f>装备!N264</f>
        <v>0</v>
      </c>
      <c r="H246" s="32">
        <f>装备!O264</f>
        <v>0</v>
      </c>
      <c r="I246" s="32">
        <f>IF(装备!J264=0,0,"'"&amp;装备!J264&amp;"'")</f>
        <v>0</v>
      </c>
      <c r="J246" s="32">
        <f>IF(装备!K264=0,0,"'"&amp;装备!K264&amp;"'")</f>
        <v>0</v>
      </c>
      <c r="K246" s="32">
        <f>IF(装备!L264=0,0,"'"&amp;装备!L264&amp;"'")</f>
        <v>0</v>
      </c>
      <c r="L246" s="32">
        <f>IF(装备!M264=0,0,"'"&amp;装备!M264&amp;"'")</f>
        <v>0</v>
      </c>
      <c r="M246" s="32">
        <f>IF(装备!N264=0,0,"'"&amp;装备!N264&amp;"'")</f>
        <v>0</v>
      </c>
      <c r="N246" s="32">
        <f>IF(装备!O264=0,0,"'"&amp;装备!O264&amp;"'")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IFERROR(VLOOKUP(C246,装备!$B:$E,3,FALSE),"")</f>
        <v/>
      </c>
      <c r="R246" s="36" t="str">
        <f>IFERROR(VLOOKUP(D246,装备!$B:$E,3,FALSE),"")</f>
        <v/>
      </c>
      <c r="S246" s="36" t="str">
        <f>IFERROR(VLOOKUP(E246,装备!$B:$E,3,FALSE),"")</f>
        <v/>
      </c>
      <c r="T246" s="36" t="str">
        <f>IFERROR(VLOOKUP(F246,装备!$B:$E,3,FALSE),"")</f>
        <v/>
      </c>
      <c r="U246" s="36" t="str">
        <f>IFERROR(VLOOKUP(G246,装备!$B:$E,3,FALSE),"")</f>
        <v/>
      </c>
      <c r="V246" s="36" t="str">
        <f>IFERROR(VLOOKUP(H246,装备!$B:$E,3,FALSE),"")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装备!A265</f>
        <v>0</v>
      </c>
      <c r="B247" s="32" t="str">
        <f>"'"&amp;装备!B265&amp;"'"</f>
        <v>''</v>
      </c>
      <c r="C247" s="32">
        <f>装备!J265</f>
        <v>0</v>
      </c>
      <c r="D247" s="32">
        <f>装备!K265</f>
        <v>0</v>
      </c>
      <c r="E247" s="32">
        <f>装备!L265</f>
        <v>0</v>
      </c>
      <c r="F247" s="32">
        <f>装备!M265</f>
        <v>0</v>
      </c>
      <c r="G247" s="32">
        <f>装备!N265</f>
        <v>0</v>
      </c>
      <c r="H247" s="32">
        <f>装备!O265</f>
        <v>0</v>
      </c>
      <c r="I247" s="32">
        <f>IF(装备!J265=0,0,"'"&amp;装备!J265&amp;"'")</f>
        <v>0</v>
      </c>
      <c r="J247" s="32">
        <f>IF(装备!K265=0,0,"'"&amp;装备!K265&amp;"'")</f>
        <v>0</v>
      </c>
      <c r="K247" s="32">
        <f>IF(装备!L265=0,0,"'"&amp;装备!L265&amp;"'")</f>
        <v>0</v>
      </c>
      <c r="L247" s="32">
        <f>IF(装备!M265=0,0,"'"&amp;装备!M265&amp;"'")</f>
        <v>0</v>
      </c>
      <c r="M247" s="32">
        <f>IF(装备!N265=0,0,"'"&amp;装备!N265&amp;"'")</f>
        <v>0</v>
      </c>
      <c r="N247" s="32">
        <f>IF(装备!O265=0,0,"'"&amp;装备!O265&amp;"'")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IFERROR(VLOOKUP(C247,装备!$B:$E,3,FALSE),"")</f>
        <v/>
      </c>
      <c r="R247" s="36" t="str">
        <f>IFERROR(VLOOKUP(D247,装备!$B:$E,3,FALSE),"")</f>
        <v/>
      </c>
      <c r="S247" s="36" t="str">
        <f>IFERROR(VLOOKUP(E247,装备!$B:$E,3,FALSE),"")</f>
        <v/>
      </c>
      <c r="T247" s="36" t="str">
        <f>IFERROR(VLOOKUP(F247,装备!$B:$E,3,FALSE),"")</f>
        <v/>
      </c>
      <c r="U247" s="36" t="str">
        <f>IFERROR(VLOOKUP(G247,装备!$B:$E,3,FALSE),"")</f>
        <v/>
      </c>
      <c r="V247" s="36" t="str">
        <f>IFERROR(VLOOKUP(H247,装备!$B:$E,3,FALSE),"")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装备!A266</f>
        <v>0</v>
      </c>
      <c r="B248" s="32" t="str">
        <f>"'"&amp;装备!B266&amp;"'"</f>
        <v>''</v>
      </c>
      <c r="C248" s="32">
        <f>装备!J266</f>
        <v>0</v>
      </c>
      <c r="D248" s="32">
        <f>装备!K266</f>
        <v>0</v>
      </c>
      <c r="E248" s="32">
        <f>装备!L266</f>
        <v>0</v>
      </c>
      <c r="F248" s="32">
        <f>装备!M266</f>
        <v>0</v>
      </c>
      <c r="G248" s="32">
        <f>装备!N266</f>
        <v>0</v>
      </c>
      <c r="H248" s="32">
        <f>装备!O266</f>
        <v>0</v>
      </c>
      <c r="I248" s="32">
        <f>IF(装备!J266=0,0,"'"&amp;装备!J266&amp;"'")</f>
        <v>0</v>
      </c>
      <c r="J248" s="32">
        <f>IF(装备!K266=0,0,"'"&amp;装备!K266&amp;"'")</f>
        <v>0</v>
      </c>
      <c r="K248" s="32">
        <f>IF(装备!L266=0,0,"'"&amp;装备!L266&amp;"'")</f>
        <v>0</v>
      </c>
      <c r="L248" s="32">
        <f>IF(装备!M266=0,0,"'"&amp;装备!M266&amp;"'")</f>
        <v>0</v>
      </c>
      <c r="M248" s="32">
        <f>IF(装备!N266=0,0,"'"&amp;装备!N266&amp;"'")</f>
        <v>0</v>
      </c>
      <c r="N248" s="32">
        <f>IF(装备!O266=0,0,"'"&amp;装备!O266&amp;"'")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IFERROR(VLOOKUP(C248,装备!$B:$E,3,FALSE),"")</f>
        <v/>
      </c>
      <c r="R248" s="36" t="str">
        <f>IFERROR(VLOOKUP(D248,装备!$B:$E,3,FALSE),"")</f>
        <v/>
      </c>
      <c r="S248" s="36" t="str">
        <f>IFERROR(VLOOKUP(E248,装备!$B:$E,3,FALSE),"")</f>
        <v/>
      </c>
      <c r="T248" s="36" t="str">
        <f>IFERROR(VLOOKUP(F248,装备!$B:$E,3,FALSE),"")</f>
        <v/>
      </c>
      <c r="U248" s="36" t="str">
        <f>IFERROR(VLOOKUP(G248,装备!$B:$E,3,FALSE),"")</f>
        <v/>
      </c>
      <c r="V248" s="36" t="str">
        <f>IFERROR(VLOOKUP(H248,装备!$B:$E,3,FALSE),"")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装备!A267</f>
        <v>0</v>
      </c>
      <c r="B249" s="32" t="str">
        <f>"'"&amp;装备!B267&amp;"'"</f>
        <v>''</v>
      </c>
      <c r="C249" s="32">
        <f>装备!J267</f>
        <v>0</v>
      </c>
      <c r="D249" s="32">
        <f>装备!K267</f>
        <v>0</v>
      </c>
      <c r="E249" s="32">
        <f>装备!L267</f>
        <v>0</v>
      </c>
      <c r="F249" s="32">
        <f>装备!M267</f>
        <v>0</v>
      </c>
      <c r="G249" s="32">
        <f>装备!N267</f>
        <v>0</v>
      </c>
      <c r="H249" s="32">
        <f>装备!O267</f>
        <v>0</v>
      </c>
      <c r="I249" s="32">
        <f>IF(装备!J267=0,0,"'"&amp;装备!J267&amp;"'")</f>
        <v>0</v>
      </c>
      <c r="J249" s="32">
        <f>IF(装备!K267=0,0,"'"&amp;装备!K267&amp;"'")</f>
        <v>0</v>
      </c>
      <c r="K249" s="32">
        <f>IF(装备!L267=0,0,"'"&amp;装备!L267&amp;"'")</f>
        <v>0</v>
      </c>
      <c r="L249" s="32">
        <f>IF(装备!M267=0,0,"'"&amp;装备!M267&amp;"'")</f>
        <v>0</v>
      </c>
      <c r="M249" s="32">
        <f>IF(装备!N267=0,0,"'"&amp;装备!N267&amp;"'")</f>
        <v>0</v>
      </c>
      <c r="N249" s="32">
        <f>IF(装备!O267=0,0,"'"&amp;装备!O267&amp;"'")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IFERROR(VLOOKUP(C249,装备!$B:$E,3,FALSE),"")</f>
        <v/>
      </c>
      <c r="R249" s="36" t="str">
        <f>IFERROR(VLOOKUP(D249,装备!$B:$E,3,FALSE),"")</f>
        <v/>
      </c>
      <c r="S249" s="36" t="str">
        <f>IFERROR(VLOOKUP(E249,装备!$B:$E,3,FALSE),"")</f>
        <v/>
      </c>
      <c r="T249" s="36" t="str">
        <f>IFERROR(VLOOKUP(F249,装备!$B:$E,3,FALSE),"")</f>
        <v/>
      </c>
      <c r="U249" s="36" t="str">
        <f>IFERROR(VLOOKUP(G249,装备!$B:$E,3,FALSE),"")</f>
        <v/>
      </c>
      <c r="V249" s="36" t="str">
        <f>IFERROR(VLOOKUP(H249,装备!$B:$E,3,FALSE),"")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装备!A268</f>
        <v>0</v>
      </c>
      <c r="B250" s="32" t="str">
        <f>"'"&amp;装备!B268&amp;"'"</f>
        <v>''</v>
      </c>
      <c r="C250" s="32">
        <f>装备!J268</f>
        <v>0</v>
      </c>
      <c r="D250" s="32">
        <f>装备!K268</f>
        <v>0</v>
      </c>
      <c r="E250" s="32">
        <f>装备!L268</f>
        <v>0</v>
      </c>
      <c r="F250" s="32">
        <f>装备!M268</f>
        <v>0</v>
      </c>
      <c r="G250" s="32">
        <f>装备!N268</f>
        <v>0</v>
      </c>
      <c r="H250" s="32">
        <f>装备!O268</f>
        <v>0</v>
      </c>
      <c r="I250" s="32">
        <f>IF(装备!J268=0,0,"'"&amp;装备!J268&amp;"'")</f>
        <v>0</v>
      </c>
      <c r="J250" s="32">
        <f>IF(装备!K268=0,0,"'"&amp;装备!K268&amp;"'")</f>
        <v>0</v>
      </c>
      <c r="K250" s="32">
        <f>IF(装备!L268=0,0,"'"&amp;装备!L268&amp;"'")</f>
        <v>0</v>
      </c>
      <c r="L250" s="32">
        <f>IF(装备!M268=0,0,"'"&amp;装备!M268&amp;"'")</f>
        <v>0</v>
      </c>
      <c r="M250" s="32">
        <f>IF(装备!N268=0,0,"'"&amp;装备!N268&amp;"'")</f>
        <v>0</v>
      </c>
      <c r="N250" s="32">
        <f>IF(装备!O268=0,0,"'"&amp;装备!O268&amp;"'")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IFERROR(VLOOKUP(C250,装备!$B:$E,3,FALSE),"")</f>
        <v/>
      </c>
      <c r="R250" s="36" t="str">
        <f>IFERROR(VLOOKUP(D250,装备!$B:$E,3,FALSE),"")</f>
        <v/>
      </c>
      <c r="S250" s="36" t="str">
        <f>IFERROR(VLOOKUP(E250,装备!$B:$E,3,FALSE),"")</f>
        <v/>
      </c>
      <c r="T250" s="36" t="str">
        <f>IFERROR(VLOOKUP(F250,装备!$B:$E,3,FALSE),"")</f>
        <v/>
      </c>
      <c r="U250" s="36" t="str">
        <f>IFERROR(VLOOKUP(G250,装备!$B:$E,3,FALSE),"")</f>
        <v/>
      </c>
      <c r="V250" s="36" t="str">
        <f>IFERROR(VLOOKUP(H250,装备!$B:$E,3,FALSE),"")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装备!A269</f>
        <v>0</v>
      </c>
      <c r="B251" s="32" t="str">
        <f>"'"&amp;装备!B269&amp;"'"</f>
        <v>''</v>
      </c>
      <c r="C251" s="32">
        <f>装备!J269</f>
        <v>0</v>
      </c>
      <c r="D251" s="32">
        <f>装备!K269</f>
        <v>0</v>
      </c>
      <c r="E251" s="32">
        <f>装备!L269</f>
        <v>0</v>
      </c>
      <c r="F251" s="32">
        <f>装备!M269</f>
        <v>0</v>
      </c>
      <c r="G251" s="32">
        <f>装备!N269</f>
        <v>0</v>
      </c>
      <c r="H251" s="32">
        <f>装备!O269</f>
        <v>0</v>
      </c>
      <c r="I251" s="32">
        <f>IF(装备!J269=0,0,"'"&amp;装备!J269&amp;"'")</f>
        <v>0</v>
      </c>
      <c r="J251" s="32">
        <f>IF(装备!K269=0,0,"'"&amp;装备!K269&amp;"'")</f>
        <v>0</v>
      </c>
      <c r="K251" s="32">
        <f>IF(装备!L269=0,0,"'"&amp;装备!L269&amp;"'")</f>
        <v>0</v>
      </c>
      <c r="L251" s="32">
        <f>IF(装备!M269=0,0,"'"&amp;装备!M269&amp;"'")</f>
        <v>0</v>
      </c>
      <c r="M251" s="32">
        <f>IF(装备!N269=0,0,"'"&amp;装备!N269&amp;"'")</f>
        <v>0</v>
      </c>
      <c r="N251" s="32">
        <f>IF(装备!O269=0,0,"'"&amp;装备!O269&amp;"'")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IFERROR(VLOOKUP(C251,装备!$B:$E,3,FALSE),"")</f>
        <v/>
      </c>
      <c r="R251" s="36" t="str">
        <f>IFERROR(VLOOKUP(D251,装备!$B:$E,3,FALSE),"")</f>
        <v/>
      </c>
      <c r="S251" s="36" t="str">
        <f>IFERROR(VLOOKUP(E251,装备!$B:$E,3,FALSE),"")</f>
        <v/>
      </c>
      <c r="T251" s="36" t="str">
        <f>IFERROR(VLOOKUP(F251,装备!$B:$E,3,FALSE),"")</f>
        <v/>
      </c>
      <c r="U251" s="36" t="str">
        <f>IFERROR(VLOOKUP(G251,装备!$B:$E,3,FALSE),"")</f>
        <v/>
      </c>
      <c r="V251" s="36" t="str">
        <f>IFERROR(VLOOKUP(H251,装备!$B:$E,3,FALSE),"")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装备!A270</f>
        <v>0</v>
      </c>
      <c r="B252" s="32" t="str">
        <f>"'"&amp;装备!B270&amp;"'"</f>
        <v>''</v>
      </c>
      <c r="C252" s="32">
        <f>装备!J270</f>
        <v>0</v>
      </c>
      <c r="D252" s="32">
        <f>装备!K270</f>
        <v>0</v>
      </c>
      <c r="E252" s="32">
        <f>装备!L270</f>
        <v>0</v>
      </c>
      <c r="F252" s="32">
        <f>装备!M270</f>
        <v>0</v>
      </c>
      <c r="G252" s="32">
        <f>装备!N270</f>
        <v>0</v>
      </c>
      <c r="H252" s="32">
        <f>装备!O270</f>
        <v>0</v>
      </c>
      <c r="I252" s="32">
        <f>IF(装备!J270=0,0,"'"&amp;装备!J270&amp;"'")</f>
        <v>0</v>
      </c>
      <c r="J252" s="32">
        <f>IF(装备!K270=0,0,"'"&amp;装备!K270&amp;"'")</f>
        <v>0</v>
      </c>
      <c r="K252" s="32">
        <f>IF(装备!L270=0,0,"'"&amp;装备!L270&amp;"'")</f>
        <v>0</v>
      </c>
      <c r="L252" s="32">
        <f>IF(装备!M270=0,0,"'"&amp;装备!M270&amp;"'")</f>
        <v>0</v>
      </c>
      <c r="M252" s="32">
        <f>IF(装备!N270=0,0,"'"&amp;装备!N270&amp;"'")</f>
        <v>0</v>
      </c>
      <c r="N252" s="32">
        <f>IF(装备!O270=0,0,"'"&amp;装备!O270&amp;"'")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IFERROR(VLOOKUP(C252,装备!$B:$E,3,FALSE),"")</f>
        <v/>
      </c>
      <c r="R252" s="36" t="str">
        <f>IFERROR(VLOOKUP(D252,装备!$B:$E,3,FALSE),"")</f>
        <v/>
      </c>
      <c r="S252" s="36" t="str">
        <f>IFERROR(VLOOKUP(E252,装备!$B:$E,3,FALSE),"")</f>
        <v/>
      </c>
      <c r="T252" s="36" t="str">
        <f>IFERROR(VLOOKUP(F252,装备!$B:$E,3,FALSE),"")</f>
        <v/>
      </c>
      <c r="U252" s="36" t="str">
        <f>IFERROR(VLOOKUP(G252,装备!$B:$E,3,FALSE),"")</f>
        <v/>
      </c>
      <c r="V252" s="36" t="str">
        <f>IFERROR(VLOOKUP(H252,装备!$B:$E,3,FALSE),"")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装备!A271</f>
        <v>0</v>
      </c>
      <c r="B253" s="32" t="str">
        <f>"'"&amp;装备!B271&amp;"'"</f>
        <v>''</v>
      </c>
      <c r="C253" s="32">
        <f>装备!J271</f>
        <v>0</v>
      </c>
      <c r="D253" s="32">
        <f>装备!K271</f>
        <v>0</v>
      </c>
      <c r="E253" s="32">
        <f>装备!L271</f>
        <v>0</v>
      </c>
      <c r="F253" s="32">
        <f>装备!M271</f>
        <v>0</v>
      </c>
      <c r="G253" s="32">
        <f>装备!N271</f>
        <v>0</v>
      </c>
      <c r="H253" s="32">
        <f>装备!O271</f>
        <v>0</v>
      </c>
      <c r="I253" s="32">
        <f>IF(装备!J271=0,0,"'"&amp;装备!J271&amp;"'")</f>
        <v>0</v>
      </c>
      <c r="J253" s="32">
        <f>IF(装备!K271=0,0,"'"&amp;装备!K271&amp;"'")</f>
        <v>0</v>
      </c>
      <c r="K253" s="32">
        <f>IF(装备!L271=0,0,"'"&amp;装备!L271&amp;"'")</f>
        <v>0</v>
      </c>
      <c r="L253" s="32">
        <f>IF(装备!M271=0,0,"'"&amp;装备!M271&amp;"'")</f>
        <v>0</v>
      </c>
      <c r="M253" s="32">
        <f>IF(装备!N271=0,0,"'"&amp;装备!N271&amp;"'")</f>
        <v>0</v>
      </c>
      <c r="N253" s="32">
        <f>IF(装备!O271=0,0,"'"&amp;装备!O271&amp;"'")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IFERROR(VLOOKUP(C253,装备!$B:$E,3,FALSE),"")</f>
        <v/>
      </c>
      <c r="R253" s="36" t="str">
        <f>IFERROR(VLOOKUP(D253,装备!$B:$E,3,FALSE),"")</f>
        <v/>
      </c>
      <c r="S253" s="36" t="str">
        <f>IFERROR(VLOOKUP(E253,装备!$B:$E,3,FALSE),"")</f>
        <v/>
      </c>
      <c r="T253" s="36" t="str">
        <f>IFERROR(VLOOKUP(F253,装备!$B:$E,3,FALSE),"")</f>
        <v/>
      </c>
      <c r="U253" s="36" t="str">
        <f>IFERROR(VLOOKUP(G253,装备!$B:$E,3,FALSE),"")</f>
        <v/>
      </c>
      <c r="V253" s="36" t="str">
        <f>IFERROR(VLOOKUP(H253,装备!$B:$E,3,FALSE),"")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装备!A272</f>
        <v>0</v>
      </c>
      <c r="B254" s="32" t="str">
        <f>"'"&amp;装备!B272&amp;"'"</f>
        <v>''</v>
      </c>
      <c r="C254" s="32">
        <f>装备!J272</f>
        <v>0</v>
      </c>
      <c r="D254" s="32">
        <f>装备!K272</f>
        <v>0</v>
      </c>
      <c r="E254" s="32">
        <f>装备!L272</f>
        <v>0</v>
      </c>
      <c r="F254" s="32">
        <f>装备!M272</f>
        <v>0</v>
      </c>
      <c r="G254" s="32">
        <f>装备!N272</f>
        <v>0</v>
      </c>
      <c r="H254" s="32">
        <f>装备!O272</f>
        <v>0</v>
      </c>
      <c r="I254" s="32">
        <f>IF(装备!J272=0,0,"'"&amp;装备!J272&amp;"'")</f>
        <v>0</v>
      </c>
      <c r="J254" s="32">
        <f>IF(装备!K272=0,0,"'"&amp;装备!K272&amp;"'")</f>
        <v>0</v>
      </c>
      <c r="K254" s="32">
        <f>IF(装备!L272=0,0,"'"&amp;装备!L272&amp;"'")</f>
        <v>0</v>
      </c>
      <c r="L254" s="32">
        <f>IF(装备!M272=0,0,"'"&amp;装备!M272&amp;"'")</f>
        <v>0</v>
      </c>
      <c r="M254" s="32">
        <f>IF(装备!N272=0,0,"'"&amp;装备!N272&amp;"'")</f>
        <v>0</v>
      </c>
      <c r="N254" s="32">
        <f>IF(装备!O272=0,0,"'"&amp;装备!O272&amp;"'")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IFERROR(VLOOKUP(C254,装备!$B:$E,3,FALSE),"")</f>
        <v/>
      </c>
      <c r="R254" s="36" t="str">
        <f>IFERROR(VLOOKUP(D254,装备!$B:$E,3,FALSE),"")</f>
        <v/>
      </c>
      <c r="S254" s="36" t="str">
        <f>IFERROR(VLOOKUP(E254,装备!$B:$E,3,FALSE),"")</f>
        <v/>
      </c>
      <c r="T254" s="36" t="str">
        <f>IFERROR(VLOOKUP(F254,装备!$B:$E,3,FALSE),"")</f>
        <v/>
      </c>
      <c r="U254" s="36" t="str">
        <f>IFERROR(VLOOKUP(G254,装备!$B:$E,3,FALSE),"")</f>
        <v/>
      </c>
      <c r="V254" s="36" t="str">
        <f>IFERROR(VLOOKUP(H254,装备!$B:$E,3,FALSE),"")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装备!A273</f>
        <v>0</v>
      </c>
      <c r="B255" s="32" t="str">
        <f>"'"&amp;装备!B273&amp;"'"</f>
        <v>''</v>
      </c>
      <c r="C255" s="32">
        <f>装备!J273</f>
        <v>0</v>
      </c>
      <c r="D255" s="32">
        <f>装备!K273</f>
        <v>0</v>
      </c>
      <c r="E255" s="32">
        <f>装备!L273</f>
        <v>0</v>
      </c>
      <c r="F255" s="32">
        <f>装备!M273</f>
        <v>0</v>
      </c>
      <c r="G255" s="32">
        <f>装备!N273</f>
        <v>0</v>
      </c>
      <c r="H255" s="32">
        <f>装备!O273</f>
        <v>0</v>
      </c>
      <c r="I255" s="32">
        <f>IF(装备!J273=0,0,"'"&amp;装备!J273&amp;"'")</f>
        <v>0</v>
      </c>
      <c r="J255" s="32">
        <f>IF(装备!K273=0,0,"'"&amp;装备!K273&amp;"'")</f>
        <v>0</v>
      </c>
      <c r="K255" s="32">
        <f>IF(装备!L273=0,0,"'"&amp;装备!L273&amp;"'")</f>
        <v>0</v>
      </c>
      <c r="L255" s="32">
        <f>IF(装备!M273=0,0,"'"&amp;装备!M273&amp;"'")</f>
        <v>0</v>
      </c>
      <c r="M255" s="32">
        <f>IF(装备!N273=0,0,"'"&amp;装备!N273&amp;"'")</f>
        <v>0</v>
      </c>
      <c r="N255" s="32">
        <f>IF(装备!O273=0,0,"'"&amp;装备!O273&amp;"'")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IFERROR(VLOOKUP(C255,装备!$B:$E,3,FALSE),"")</f>
        <v/>
      </c>
      <c r="R255" s="36" t="str">
        <f>IFERROR(VLOOKUP(D255,装备!$B:$E,3,FALSE),"")</f>
        <v/>
      </c>
      <c r="S255" s="36" t="str">
        <f>IFERROR(VLOOKUP(E255,装备!$B:$E,3,FALSE),"")</f>
        <v/>
      </c>
      <c r="T255" s="36" t="str">
        <f>IFERROR(VLOOKUP(F255,装备!$B:$E,3,FALSE),"")</f>
        <v/>
      </c>
      <c r="U255" s="36" t="str">
        <f>IFERROR(VLOOKUP(G255,装备!$B:$E,3,FALSE),"")</f>
        <v/>
      </c>
      <c r="V255" s="36" t="str">
        <f>IFERROR(VLOOKUP(H255,装备!$B:$E,3,FALSE),"")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装备!A274</f>
        <v>0</v>
      </c>
      <c r="B256" s="32" t="str">
        <f>"'"&amp;装备!B274&amp;"'"</f>
        <v>''</v>
      </c>
      <c r="C256" s="32">
        <f>装备!J274</f>
        <v>0</v>
      </c>
      <c r="D256" s="32">
        <f>装备!K274</f>
        <v>0</v>
      </c>
      <c r="E256" s="32">
        <f>装备!L274</f>
        <v>0</v>
      </c>
      <c r="F256" s="32">
        <f>装备!M274</f>
        <v>0</v>
      </c>
      <c r="G256" s="32">
        <f>装备!N274</f>
        <v>0</v>
      </c>
      <c r="H256" s="32">
        <f>装备!O274</f>
        <v>0</v>
      </c>
      <c r="I256" s="32">
        <f>IF(装备!J274=0,0,"'"&amp;装备!J274&amp;"'")</f>
        <v>0</v>
      </c>
      <c r="J256" s="32">
        <f>IF(装备!K274=0,0,"'"&amp;装备!K274&amp;"'")</f>
        <v>0</v>
      </c>
      <c r="K256" s="32">
        <f>IF(装备!L274=0,0,"'"&amp;装备!L274&amp;"'")</f>
        <v>0</v>
      </c>
      <c r="L256" s="32">
        <f>IF(装备!M274=0,0,"'"&amp;装备!M274&amp;"'")</f>
        <v>0</v>
      </c>
      <c r="M256" s="32">
        <f>IF(装备!N274=0,0,"'"&amp;装备!N274&amp;"'")</f>
        <v>0</v>
      </c>
      <c r="N256" s="32">
        <f>IF(装备!O274=0,0,"'"&amp;装备!O274&amp;"'")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IFERROR(VLOOKUP(C256,装备!$B:$E,3,FALSE),"")</f>
        <v/>
      </c>
      <c r="R256" s="36" t="str">
        <f>IFERROR(VLOOKUP(D256,装备!$B:$E,3,FALSE),"")</f>
        <v/>
      </c>
      <c r="S256" s="36" t="str">
        <f>IFERROR(VLOOKUP(E256,装备!$B:$E,3,FALSE),"")</f>
        <v/>
      </c>
      <c r="T256" s="36" t="str">
        <f>IFERROR(VLOOKUP(F256,装备!$B:$E,3,FALSE),"")</f>
        <v/>
      </c>
      <c r="U256" s="36" t="str">
        <f>IFERROR(VLOOKUP(G256,装备!$B:$E,3,FALSE),"")</f>
        <v/>
      </c>
      <c r="V256" s="36" t="str">
        <f>IFERROR(VLOOKUP(H256,装备!$B:$E,3,FALSE),"")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装备!A275</f>
        <v>0</v>
      </c>
      <c r="B257" s="32" t="str">
        <f>"'"&amp;装备!B275&amp;"'"</f>
        <v>''</v>
      </c>
      <c r="C257" s="32">
        <f>装备!J275</f>
        <v>0</v>
      </c>
      <c r="D257" s="32">
        <f>装备!K275</f>
        <v>0</v>
      </c>
      <c r="E257" s="32">
        <f>装备!L275</f>
        <v>0</v>
      </c>
      <c r="F257" s="32">
        <f>装备!M275</f>
        <v>0</v>
      </c>
      <c r="G257" s="32">
        <f>装备!N275</f>
        <v>0</v>
      </c>
      <c r="H257" s="32">
        <f>装备!O275</f>
        <v>0</v>
      </c>
      <c r="I257" s="32">
        <f>IF(装备!J275=0,0,"'"&amp;装备!J275&amp;"'")</f>
        <v>0</v>
      </c>
      <c r="J257" s="32">
        <f>IF(装备!K275=0,0,"'"&amp;装备!K275&amp;"'")</f>
        <v>0</v>
      </c>
      <c r="K257" s="32">
        <f>IF(装备!L275=0,0,"'"&amp;装备!L275&amp;"'")</f>
        <v>0</v>
      </c>
      <c r="L257" s="32">
        <f>IF(装备!M275=0,0,"'"&amp;装备!M275&amp;"'")</f>
        <v>0</v>
      </c>
      <c r="M257" s="32">
        <f>IF(装备!N275=0,0,"'"&amp;装备!N275&amp;"'")</f>
        <v>0</v>
      </c>
      <c r="N257" s="32">
        <f>IF(装备!O275=0,0,"'"&amp;装备!O275&amp;"'")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IFERROR(VLOOKUP(C257,装备!$B:$E,3,FALSE),"")</f>
        <v/>
      </c>
      <c r="R257" s="36" t="str">
        <f>IFERROR(VLOOKUP(D257,装备!$B:$E,3,FALSE),"")</f>
        <v/>
      </c>
      <c r="S257" s="36" t="str">
        <f>IFERROR(VLOOKUP(E257,装备!$B:$E,3,FALSE),"")</f>
        <v/>
      </c>
      <c r="T257" s="36" t="str">
        <f>IFERROR(VLOOKUP(F257,装备!$B:$E,3,FALSE),"")</f>
        <v/>
      </c>
      <c r="U257" s="36" t="str">
        <f>IFERROR(VLOOKUP(G257,装备!$B:$E,3,FALSE),"")</f>
        <v/>
      </c>
      <c r="V257" s="36" t="str">
        <f>IFERROR(VLOOKUP(H257,装备!$B:$E,3,FALSE),"")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装备!A276</f>
        <v>0</v>
      </c>
      <c r="B258" s="32" t="str">
        <f>"'"&amp;装备!B276&amp;"'"</f>
        <v>''</v>
      </c>
      <c r="C258" s="32">
        <f>装备!J276</f>
        <v>0</v>
      </c>
      <c r="D258" s="32">
        <f>装备!K276</f>
        <v>0</v>
      </c>
      <c r="E258" s="32">
        <f>装备!L276</f>
        <v>0</v>
      </c>
      <c r="F258" s="32">
        <f>装备!M276</f>
        <v>0</v>
      </c>
      <c r="G258" s="32">
        <f>装备!N276</f>
        <v>0</v>
      </c>
      <c r="H258" s="32">
        <f>装备!O276</f>
        <v>0</v>
      </c>
      <c r="I258" s="32">
        <f>IF(装备!J276=0,0,"'"&amp;装备!J276&amp;"'")</f>
        <v>0</v>
      </c>
      <c r="J258" s="32">
        <f>IF(装备!K276=0,0,"'"&amp;装备!K276&amp;"'")</f>
        <v>0</v>
      </c>
      <c r="K258" s="32">
        <f>IF(装备!L276=0,0,"'"&amp;装备!L276&amp;"'")</f>
        <v>0</v>
      </c>
      <c r="L258" s="32">
        <f>IF(装备!M276=0,0,"'"&amp;装备!M276&amp;"'")</f>
        <v>0</v>
      </c>
      <c r="M258" s="32">
        <f>IF(装备!N276=0,0,"'"&amp;装备!N276&amp;"'")</f>
        <v>0</v>
      </c>
      <c r="N258" s="32">
        <f>IF(装备!O276=0,0,"'"&amp;装备!O276&amp;"'")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IFERROR(VLOOKUP(C258,装备!$B:$E,3,FALSE),"")</f>
        <v/>
      </c>
      <c r="R258" s="36" t="str">
        <f>IFERROR(VLOOKUP(D258,装备!$B:$E,3,FALSE),"")</f>
        <v/>
      </c>
      <c r="S258" s="36" t="str">
        <f>IFERROR(VLOOKUP(E258,装备!$B:$E,3,FALSE),"")</f>
        <v/>
      </c>
      <c r="T258" s="36" t="str">
        <f>IFERROR(VLOOKUP(F258,装备!$B:$E,3,FALSE),"")</f>
        <v/>
      </c>
      <c r="U258" s="36" t="str">
        <f>IFERROR(VLOOKUP(G258,装备!$B:$E,3,FALSE),"")</f>
        <v/>
      </c>
      <c r="V258" s="36" t="str">
        <f>IFERROR(VLOOKUP(H258,装备!$B:$E,3,FALSE),"")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装备!A277</f>
        <v>0</v>
      </c>
      <c r="B259" s="32" t="str">
        <f>"'"&amp;装备!B277&amp;"'"</f>
        <v>''</v>
      </c>
      <c r="C259" s="32">
        <f>装备!J277</f>
        <v>0</v>
      </c>
      <c r="D259" s="32">
        <f>装备!K277</f>
        <v>0</v>
      </c>
      <c r="E259" s="32">
        <f>装备!L277</f>
        <v>0</v>
      </c>
      <c r="F259" s="32">
        <f>装备!M277</f>
        <v>0</v>
      </c>
      <c r="G259" s="32">
        <f>装备!N277</f>
        <v>0</v>
      </c>
      <c r="H259" s="32">
        <f>装备!O277</f>
        <v>0</v>
      </c>
      <c r="I259" s="32">
        <f>IF(装备!J277=0,0,"'"&amp;装备!J277&amp;"'")</f>
        <v>0</v>
      </c>
      <c r="J259" s="32">
        <f>IF(装备!K277=0,0,"'"&amp;装备!K277&amp;"'")</f>
        <v>0</v>
      </c>
      <c r="K259" s="32">
        <f>IF(装备!L277=0,0,"'"&amp;装备!L277&amp;"'")</f>
        <v>0</v>
      </c>
      <c r="L259" s="32">
        <f>IF(装备!M277=0,0,"'"&amp;装备!M277&amp;"'")</f>
        <v>0</v>
      </c>
      <c r="M259" s="32">
        <f>IF(装备!N277=0,0,"'"&amp;装备!N277&amp;"'")</f>
        <v>0</v>
      </c>
      <c r="N259" s="32">
        <f>IF(装备!O277=0,0,"'"&amp;装备!O277&amp;"'")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IFERROR(VLOOKUP(C259,装备!$B:$E,3,FALSE),"")</f>
        <v/>
      </c>
      <c r="R259" s="36" t="str">
        <f>IFERROR(VLOOKUP(D259,装备!$B:$E,3,FALSE),"")</f>
        <v/>
      </c>
      <c r="S259" s="36" t="str">
        <f>IFERROR(VLOOKUP(E259,装备!$B:$E,3,FALSE),"")</f>
        <v/>
      </c>
      <c r="T259" s="36" t="str">
        <f>IFERROR(VLOOKUP(F259,装备!$B:$E,3,FALSE),"")</f>
        <v/>
      </c>
      <c r="U259" s="36" t="str">
        <f>IFERROR(VLOOKUP(G259,装备!$B:$E,3,FALSE),"")</f>
        <v/>
      </c>
      <c r="V259" s="36" t="str">
        <f>IFERROR(VLOOKUP(H259,装备!$B:$E,3,FALSE),"")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装备!A278</f>
        <v>0</v>
      </c>
      <c r="B260" s="32" t="str">
        <f>"'"&amp;装备!B278&amp;"'"</f>
        <v>''</v>
      </c>
      <c r="C260" s="32">
        <f>装备!J278</f>
        <v>0</v>
      </c>
      <c r="D260" s="32">
        <f>装备!K278</f>
        <v>0</v>
      </c>
      <c r="E260" s="32">
        <f>装备!L278</f>
        <v>0</v>
      </c>
      <c r="F260" s="32">
        <f>装备!M278</f>
        <v>0</v>
      </c>
      <c r="G260" s="32">
        <f>装备!N278</f>
        <v>0</v>
      </c>
      <c r="H260" s="32">
        <f>装备!O278</f>
        <v>0</v>
      </c>
      <c r="I260" s="32">
        <f>IF(装备!J278=0,0,"'"&amp;装备!J278&amp;"'")</f>
        <v>0</v>
      </c>
      <c r="J260" s="32">
        <f>IF(装备!K278=0,0,"'"&amp;装备!K278&amp;"'")</f>
        <v>0</v>
      </c>
      <c r="K260" s="32">
        <f>IF(装备!L278=0,0,"'"&amp;装备!L278&amp;"'")</f>
        <v>0</v>
      </c>
      <c r="L260" s="32">
        <f>IF(装备!M278=0,0,"'"&amp;装备!M278&amp;"'")</f>
        <v>0</v>
      </c>
      <c r="M260" s="32">
        <f>IF(装备!N278=0,0,"'"&amp;装备!N278&amp;"'")</f>
        <v>0</v>
      </c>
      <c r="N260" s="32">
        <f>IF(装备!O278=0,0,"'"&amp;装备!O278&amp;"'")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IFERROR(VLOOKUP(C260,装备!$B:$E,3,FALSE),"")</f>
        <v/>
      </c>
      <c r="R260" s="36" t="str">
        <f>IFERROR(VLOOKUP(D260,装备!$B:$E,3,FALSE),"")</f>
        <v/>
      </c>
      <c r="S260" s="36" t="str">
        <f>IFERROR(VLOOKUP(E260,装备!$B:$E,3,FALSE),"")</f>
        <v/>
      </c>
      <c r="T260" s="36" t="str">
        <f>IFERROR(VLOOKUP(F260,装备!$B:$E,3,FALSE),"")</f>
        <v/>
      </c>
      <c r="U260" s="36" t="str">
        <f>IFERROR(VLOOKUP(G260,装备!$B:$E,3,FALSE),"")</f>
        <v/>
      </c>
      <c r="V260" s="36" t="str">
        <f>IFERROR(VLOOKUP(H260,装备!$B:$E,3,FALSE),"")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装备!A279</f>
        <v>0</v>
      </c>
      <c r="B261" s="32" t="str">
        <f>"'"&amp;装备!B279&amp;"'"</f>
        <v>''</v>
      </c>
      <c r="C261" s="32">
        <f>装备!J279</f>
        <v>0</v>
      </c>
      <c r="D261" s="32">
        <f>装备!K279</f>
        <v>0</v>
      </c>
      <c r="E261" s="32">
        <f>装备!L279</f>
        <v>0</v>
      </c>
      <c r="F261" s="32">
        <f>装备!M279</f>
        <v>0</v>
      </c>
      <c r="G261" s="32">
        <f>装备!N279</f>
        <v>0</v>
      </c>
      <c r="H261" s="32">
        <f>装备!O279</f>
        <v>0</v>
      </c>
      <c r="I261" s="32">
        <f>IF(装备!J279=0,0,"'"&amp;装备!J279&amp;"'")</f>
        <v>0</v>
      </c>
      <c r="J261" s="32">
        <f>IF(装备!K279=0,0,"'"&amp;装备!K279&amp;"'")</f>
        <v>0</v>
      </c>
      <c r="K261" s="32">
        <f>IF(装备!L279=0,0,"'"&amp;装备!L279&amp;"'")</f>
        <v>0</v>
      </c>
      <c r="L261" s="32">
        <f>IF(装备!M279=0,0,"'"&amp;装备!M279&amp;"'")</f>
        <v>0</v>
      </c>
      <c r="M261" s="32">
        <f>IF(装备!N279=0,0,"'"&amp;装备!N279&amp;"'")</f>
        <v>0</v>
      </c>
      <c r="N261" s="32">
        <f>IF(装备!O279=0,0,"'"&amp;装备!O279&amp;"'")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IFERROR(VLOOKUP(C261,装备!$B:$E,3,FALSE),"")</f>
        <v/>
      </c>
      <c r="R261" s="36" t="str">
        <f>IFERROR(VLOOKUP(D261,装备!$B:$E,3,FALSE),"")</f>
        <v/>
      </c>
      <c r="S261" s="36" t="str">
        <f>IFERROR(VLOOKUP(E261,装备!$B:$E,3,FALSE),"")</f>
        <v/>
      </c>
      <c r="T261" s="36" t="str">
        <f>IFERROR(VLOOKUP(F261,装备!$B:$E,3,FALSE),"")</f>
        <v/>
      </c>
      <c r="U261" s="36" t="str">
        <f>IFERROR(VLOOKUP(G261,装备!$B:$E,3,FALSE),"")</f>
        <v/>
      </c>
      <c r="V261" s="36" t="str">
        <f>IFERROR(VLOOKUP(H261,装备!$B:$E,3,FALSE),"")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装备!A280</f>
        <v>0</v>
      </c>
      <c r="B262" s="32" t="str">
        <f>"'"&amp;装备!B280&amp;"'"</f>
        <v>''</v>
      </c>
      <c r="C262" s="32">
        <f>装备!J280</f>
        <v>0</v>
      </c>
      <c r="D262" s="32">
        <f>装备!K280</f>
        <v>0</v>
      </c>
      <c r="E262" s="32">
        <f>装备!L280</f>
        <v>0</v>
      </c>
      <c r="F262" s="32">
        <f>装备!M280</f>
        <v>0</v>
      </c>
      <c r="G262" s="32">
        <f>装备!N280</f>
        <v>0</v>
      </c>
      <c r="H262" s="32">
        <f>装备!O280</f>
        <v>0</v>
      </c>
      <c r="I262" s="32">
        <f>IF(装备!J280=0,0,"'"&amp;装备!J280&amp;"'")</f>
        <v>0</v>
      </c>
      <c r="J262" s="32">
        <f>IF(装备!K280=0,0,"'"&amp;装备!K280&amp;"'")</f>
        <v>0</v>
      </c>
      <c r="K262" s="32">
        <f>IF(装备!L280=0,0,"'"&amp;装备!L280&amp;"'")</f>
        <v>0</v>
      </c>
      <c r="L262" s="32">
        <f>IF(装备!M280=0,0,"'"&amp;装备!M280&amp;"'")</f>
        <v>0</v>
      </c>
      <c r="M262" s="32">
        <f>IF(装备!N280=0,0,"'"&amp;装备!N280&amp;"'")</f>
        <v>0</v>
      </c>
      <c r="N262" s="32">
        <f>IF(装备!O280=0,0,"'"&amp;装备!O280&amp;"'")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IFERROR(VLOOKUP(C262,装备!$B:$E,3,FALSE),"")</f>
        <v/>
      </c>
      <c r="R262" s="36" t="str">
        <f>IFERROR(VLOOKUP(D262,装备!$B:$E,3,FALSE),"")</f>
        <v/>
      </c>
      <c r="S262" s="36" t="str">
        <f>IFERROR(VLOOKUP(E262,装备!$B:$E,3,FALSE),"")</f>
        <v/>
      </c>
      <c r="T262" s="36" t="str">
        <f>IFERROR(VLOOKUP(F262,装备!$B:$E,3,FALSE),"")</f>
        <v/>
      </c>
      <c r="U262" s="36" t="str">
        <f>IFERROR(VLOOKUP(G262,装备!$B:$E,3,FALSE),"")</f>
        <v/>
      </c>
      <c r="V262" s="36" t="str">
        <f>IFERROR(VLOOKUP(H262,装备!$B:$E,3,FALSE),"")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装备!A281</f>
        <v>0</v>
      </c>
      <c r="B263" s="32" t="str">
        <f>"'"&amp;装备!B281&amp;"'"</f>
        <v>''</v>
      </c>
      <c r="C263" s="32">
        <f>装备!J281</f>
        <v>0</v>
      </c>
      <c r="D263" s="32">
        <f>装备!K281</f>
        <v>0</v>
      </c>
      <c r="E263" s="32">
        <f>装备!L281</f>
        <v>0</v>
      </c>
      <c r="F263" s="32">
        <f>装备!M281</f>
        <v>0</v>
      </c>
      <c r="G263" s="32">
        <f>装备!N281</f>
        <v>0</v>
      </c>
      <c r="H263" s="32">
        <f>装备!O281</f>
        <v>0</v>
      </c>
      <c r="I263" s="32">
        <f>IF(装备!J281=0,0,"'"&amp;装备!J281&amp;"'")</f>
        <v>0</v>
      </c>
      <c r="J263" s="32">
        <f>IF(装备!K281=0,0,"'"&amp;装备!K281&amp;"'")</f>
        <v>0</v>
      </c>
      <c r="K263" s="32">
        <f>IF(装备!L281=0,0,"'"&amp;装备!L281&amp;"'")</f>
        <v>0</v>
      </c>
      <c r="L263" s="32">
        <f>IF(装备!M281=0,0,"'"&amp;装备!M281&amp;"'")</f>
        <v>0</v>
      </c>
      <c r="M263" s="32">
        <f>IF(装备!N281=0,0,"'"&amp;装备!N281&amp;"'")</f>
        <v>0</v>
      </c>
      <c r="N263" s="32">
        <f>IF(装备!O281=0,0,"'"&amp;装备!O281&amp;"'")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IFERROR(VLOOKUP(C263,装备!$B:$E,3,FALSE),"")</f>
        <v/>
      </c>
      <c r="R263" s="36" t="str">
        <f>IFERROR(VLOOKUP(D263,装备!$B:$E,3,FALSE),"")</f>
        <v/>
      </c>
      <c r="S263" s="36" t="str">
        <f>IFERROR(VLOOKUP(E263,装备!$B:$E,3,FALSE),"")</f>
        <v/>
      </c>
      <c r="T263" s="36" t="str">
        <f>IFERROR(VLOOKUP(F263,装备!$B:$E,3,FALSE),"")</f>
        <v/>
      </c>
      <c r="U263" s="36" t="str">
        <f>IFERROR(VLOOKUP(G263,装备!$B:$E,3,FALSE),"")</f>
        <v/>
      </c>
      <c r="V263" s="36" t="str">
        <f>IFERROR(VLOOKUP(H263,装备!$B:$E,3,FALSE),"")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4" t="s">
        <v>98</v>
      </c>
      <c r="B1" s="14" t="s">
        <v>99</v>
      </c>
      <c r="C1" s="14" t="s">
        <v>100</v>
      </c>
      <c r="D1" s="15" t="s">
        <v>101</v>
      </c>
      <c r="E1" s="15" t="s">
        <v>111</v>
      </c>
      <c r="F1" s="15" t="s">
        <v>103</v>
      </c>
      <c r="G1" s="15" t="s">
        <v>732</v>
      </c>
      <c r="H1" s="16" t="s">
        <v>733</v>
      </c>
      <c r="I1" s="20" t="s">
        <v>734</v>
      </c>
      <c r="J1" s="21" t="s">
        <v>730</v>
      </c>
      <c r="K1" s="22" t="s">
        <v>114</v>
      </c>
      <c r="L1" s="23" t="s">
        <v>115</v>
      </c>
      <c r="M1" s="24" t="s">
        <v>735</v>
      </c>
      <c r="N1" s="25" t="s">
        <v>736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800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"|n攻击10%概率附加|cffff4646业力*1|r魔法伤害|n"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800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"|n攻击10%概率附加|cffff4646业力*1|r魔法伤害|n"</v>
      </c>
      <c r="L4" t="str">
        <f>IF(装备!U4="",0,""""&amp;装备!U4&amp;"""")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"|n攻击10%概率附加|cffff4646业力*1|r魔法伤害|n"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800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"|n攻击10%概率附加|cffff4646业力*1|r魔法伤害|n"</v>
      </c>
      <c r="L6" t="str">
        <f>IF(装备!U6="",0,""""&amp;装备!U6&amp;"""")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2500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"|n攻击10%概率附加|cffff4646业力*1|r魔法伤害|n"</v>
      </c>
      <c r="L7" t="str">
        <f>IF(装备!U7="",0,""""&amp;装备!U7&amp;"""")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2500</v>
      </c>
      <c r="E8">
        <f>IF(ISTEXT(装备!G8)=TRUE,"'"&amp;装备!G8&amp;"'",装备!G8)</f>
        <v>85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"|n攻击10%概率附加|cffff4646业力*1|r魔法伤害|n"</v>
      </c>
      <c r="L8" t="str">
        <f>IF(装备!U8="",0,""""&amp;装备!U8&amp;"""")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2500</v>
      </c>
      <c r="E9">
        <f>IF(ISTEXT(装备!G9)=TRUE,"'"&amp;装备!G9&amp;"'",装备!G9)</f>
        <v>85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"|n攻击10%概率附加|cffff4646业力*1|r魔法伤害|n"</v>
      </c>
      <c r="L9" t="str">
        <f>IF(装备!U9="",0,""""&amp;装备!U9&amp;"""")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2500</v>
      </c>
      <c r="E10">
        <f>IF(ISTEXT(装备!G10)=TRUE,"'"&amp;装备!G10&amp;"'",装备!G10)</f>
        <v>85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"|n攻击10%概率附加|cffff4646业力*1|r魔法伤害|n"</v>
      </c>
      <c r="L10" t="str">
        <f>IF(装备!U10="",0,""""&amp;装备!U10&amp;"""")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2500</v>
      </c>
      <c r="E11">
        <f>IF(ISTEXT(装备!G11)=TRUE,"'"&amp;装备!G11&amp;"'",装备!G11)</f>
        <v>85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"|n攻击10%概率附加|cffff4646业力*1|r魔法伤害|n"</v>
      </c>
      <c r="L11" t="str">
        <f>IF(装备!U11="",0,""""&amp;装备!U11&amp;"""")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10000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"|n攻击10%概率附加|cffff4646业力*1|r魔法伤害|n"</v>
      </c>
      <c r="L12" t="str">
        <f>IF(装备!U12="",0,""""&amp;装备!U12&amp;"""")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8000</v>
      </c>
      <c r="E13">
        <f>IF(ISTEXT(装备!G13)=TRUE,"'"&amp;装备!G13&amp;"'",装备!G13)</f>
        <v>70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"|n攻击10%概率附加|cffff4646业力*1|r魔法伤害|n"</v>
      </c>
      <c r="L13" t="str">
        <f>IF(装备!U13="",0,""""&amp;装备!U13&amp;"""")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8000</v>
      </c>
      <c r="E14">
        <f>IF(ISTEXT(装备!G14)=TRUE,"'"&amp;装备!G14&amp;"'",装备!G14)</f>
        <v>70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"|n攻击10%概率附加|cffff4646业力*1|r魔法伤害|n"</v>
      </c>
      <c r="L14" t="str">
        <f>IF(装备!U14="",0,""""&amp;装备!U14&amp;"""")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8000</v>
      </c>
      <c r="E15">
        <f>IF(ISTEXT(装备!G15)=TRUE,"'"&amp;装备!G15&amp;"'",装备!G15)</f>
        <v>70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"|n攻击10%概率附加|cffff4646业力*1|r魔法伤害|n"</v>
      </c>
      <c r="L15" t="str">
        <f>IF(装备!U15="",0,""""&amp;装备!U15&amp;"""")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8000</v>
      </c>
      <c r="E16">
        <f>IF(ISTEXT(装备!G16)=TRUE,"'"&amp;装备!G16&amp;"'",装备!G16)</f>
        <v>70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"|n攻击10%概率附加|cffff4646业力*1|r魔法伤害|n"</v>
      </c>
      <c r="L16" t="str">
        <f>IF(装备!U16="",0,""""&amp;装备!U16&amp;"""")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"|n攻击10%概率附加|cffff4646业力*1|r魔法伤害|n"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60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"|n攻击10%概率附加|cffff4646业力*1|r魔法伤害|n"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60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"|n攻击10%概率附加|cffff4646业力*1|r魔法伤害|n"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60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"|n攻击10%概率附加|cffff4646业力*1|r魔法伤害|n"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60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"|n攻击10%概率附加|cffff4646业力*1|r魔法伤害|n"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"|n攻击10%概率附加|cffff4646业力*1|r魔法伤害|n"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"|n攻击10%概率附加|cffff4646业力*1|r魔法伤害|n"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"|n攻击10%概率附加|cffff4646业力*1|r魔法伤害|n"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"|n攻击10%概率附加|cffff4646业力*1|r魔法伤害|n"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"|n攻击10%概率附加|cffff4646业力*1|r魔法伤害|n"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"|n攻击10%概率附加|cffff4646业力*1|r魔法伤害|n|n|Cff999999装备进化：未开放|r"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800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800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800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2500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2500</v>
      </c>
      <c r="E58">
        <f>IF(ISTEXT(装备!G58)=TRUE,"'"&amp;装备!G58&amp;"'",装备!G58)</f>
        <v>85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2500</v>
      </c>
      <c r="E59">
        <f>IF(ISTEXT(装备!G59)=TRUE,"'"&amp;装备!G59&amp;"'",装备!G59)</f>
        <v>85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2500</v>
      </c>
      <c r="E60">
        <f>IF(ISTEXT(装备!G60)=TRUE,"'"&amp;装备!G60&amp;"'",装备!G60)</f>
        <v>85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2500</v>
      </c>
      <c r="E61">
        <f>IF(ISTEXT(装备!G61)=TRUE,"'"&amp;装备!G61&amp;"'",装备!G61)</f>
        <v>85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10000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8000</v>
      </c>
      <c r="E63">
        <f>IF(ISTEXT(装备!G63)=TRUE,"'"&amp;装备!G63&amp;"'",装备!G63)</f>
        <v>70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8000</v>
      </c>
      <c r="E64">
        <f>IF(ISTEXT(装备!G64)=TRUE,"'"&amp;装备!G64&amp;"'",装备!G64)</f>
        <v>70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8000</v>
      </c>
      <c r="E65">
        <f>IF(ISTEXT(装备!G65)=TRUE,"'"&amp;装备!G65&amp;"'",装备!G65)</f>
        <v>70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8000</v>
      </c>
      <c r="E66">
        <f>IF(ISTEXT(装备!G66)=TRUE,"'"&amp;装备!G66&amp;"'",装备!G66)</f>
        <v>70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60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60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60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60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IF(装备!B113="",0,"'"&amp;装备!B113&amp;"'")</f>
        <v>'CF01'</v>
      </c>
      <c r="B92" t="e">
        <f>装备!#REF!</f>
        <v>#REF!</v>
      </c>
      <c r="C92">
        <f>装备!E113</f>
        <v>0</v>
      </c>
      <c r="D92">
        <f>装备!F113</f>
        <v>0</v>
      </c>
      <c r="E92">
        <f>IF(ISTEXT(装备!G113)=TRUE,"'"&amp;装备!G113&amp;"'",装备!G113)</f>
        <v>0</v>
      </c>
      <c r="F92">
        <f>IF(ISTEXT(装备!H113)=TRUE,"'"&amp;装备!H113&amp;"'",装备!H113)</f>
        <v>0</v>
      </c>
      <c r="G92">
        <f>IF(装备!I113="",0,"'"&amp;装备!I113&amp;"'")</f>
        <v>0</v>
      </c>
      <c r="H92">
        <f>IF(装备!R113="",0,装备!R113)</f>
        <v>0</v>
      </c>
      <c r="I92">
        <f>IF(装备!S113="",0,装备!S113)</f>
        <v>0</v>
      </c>
      <c r="J92" t="str">
        <f>IF(装备!C113="",0,""""&amp;装备!C113&amp;"""")</f>
        <v>"随机法宝"</v>
      </c>
      <c r="K92" t="str">
        <f>IF(装备!T113="","""""",""""&amp;装备!T113&amp;"""")</f>
        <v>"获得一个随机品质的法宝。|n|n|Cff00ff7f副本难度影响法宝品质稀有度。|r"</v>
      </c>
      <c r="L92" t="str">
        <f>IF(装备!U113="",0,""""&amp;装备!U113&amp;"""")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IF(装备!B168="",0,"'"&amp;装备!B168&amp;"'")</f>
        <v>'IP01'</v>
      </c>
      <c r="B93" t="e">
        <f>装备!#REF!</f>
        <v>#REF!</v>
      </c>
      <c r="C93">
        <f>装备!E168</f>
        <v>0</v>
      </c>
      <c r="D93">
        <f>装备!F168</f>
        <v>0</v>
      </c>
      <c r="E93">
        <f>IF(ISTEXT(装备!G168)=TRUE,"'"&amp;装备!G168&amp;"'",装备!G168)</f>
        <v>0</v>
      </c>
      <c r="F93">
        <f>IF(ISTEXT(装备!H168)=TRUE,"'"&amp;装备!H168&amp;"'",装备!H168)</f>
        <v>0</v>
      </c>
      <c r="G93">
        <f>IF(装备!I168="",0,"'"&amp;装备!I168&amp;"'")</f>
        <v>0</v>
      </c>
      <c r="H93">
        <f>IF(装备!R168="",0,装备!R168)</f>
        <v>0</v>
      </c>
      <c r="I93">
        <f>IF(装备!S168="",0,装备!S168)</f>
        <v>0</v>
      </c>
      <c r="J93" t="str">
        <f>IF(装备!C168="",0,""""&amp;装备!C168&amp;"""")</f>
        <v>"时渊碎片"</v>
      </c>
      <c r="K93" t="str">
        <f>IF(装备!T168="","""""",""""&amp;装备!T168&amp;"""")</f>
        <v>"进入时渊副本消耗时渊碎片"</v>
      </c>
      <c r="L93" t="str">
        <f>IF(装备!U168="",0,""""&amp;装备!U168&amp;"""")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IF(装备!B169="",0,"'"&amp;装备!B169&amp;"'")</f>
        <v>'IP02'</v>
      </c>
      <c r="B94">
        <f>装备!D113</f>
        <v>0</v>
      </c>
      <c r="C94">
        <f>装备!E169</f>
        <v>0</v>
      </c>
      <c r="D94">
        <f>装备!F169</f>
        <v>0</v>
      </c>
      <c r="E94">
        <f>IF(ISTEXT(装备!G169)=TRUE,"'"&amp;装备!G169&amp;"'",装备!G169)</f>
        <v>0</v>
      </c>
      <c r="F94">
        <f>IF(ISTEXT(装备!H169)=TRUE,"'"&amp;装备!H169&amp;"'",装备!H169)</f>
        <v>0</v>
      </c>
      <c r="G94">
        <f>IF(装备!I169="",0,"'"&amp;装备!I169&amp;"'")</f>
        <v>0</v>
      </c>
      <c r="H94">
        <f>IF(装备!R169="",0,装备!R169)</f>
        <v>0</v>
      </c>
      <c r="I94">
        <f>IF(装备!S169="",0,装备!S169)</f>
        <v>0</v>
      </c>
      <c r="J94" t="str">
        <f>IF(装备!C169="",0,""""&amp;装备!C169&amp;"""")</f>
        <v>"补天石"</v>
      </c>
      <c r="K94" t="str">
        <f>IF(装备!T169="","""""",""""&amp;装备!T169&amp;"""")</f>
        <v>"点击|Cffffc926选中指定法宝|r后，再点击|Cffffc926重铸|r，可|Cffffc926重置|r指定法宝，|Cffffc926品质不变|r。|n|n|Cff00ff7f每次重铸消耗1个补天石|r"</v>
      </c>
      <c r="L94" t="str">
        <f>IF(装备!U169="",0,""""&amp;装备!U169&amp;"""")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IF(装备!B170="",0,"'"&amp;装备!B170&amp;"'")</f>
        <v>'IP03'</v>
      </c>
      <c r="B95">
        <f>装备!D114</f>
        <v>0</v>
      </c>
      <c r="C95">
        <f>装备!E170</f>
        <v>0</v>
      </c>
      <c r="D95">
        <f>装备!F170</f>
        <v>0</v>
      </c>
      <c r="E95">
        <f>IF(ISTEXT(装备!G170)=TRUE,"'"&amp;装备!G170&amp;"'",装备!G170)</f>
        <v>0</v>
      </c>
      <c r="F95">
        <f>IF(ISTEXT(装备!H170)=TRUE,"'"&amp;装备!H170&amp;"'",装备!H170)</f>
        <v>0</v>
      </c>
      <c r="G95">
        <f>IF(装备!I170="",0,"'"&amp;装备!I170&amp;"'")</f>
        <v>0</v>
      </c>
      <c r="H95">
        <f>IF(装备!R170="",0,装备!R170)</f>
        <v>0</v>
      </c>
      <c r="I95">
        <f>IF(装备!S170="",0,装备!S170)</f>
        <v>0</v>
      </c>
      <c r="J95" t="str">
        <f>IF(装备!C170="",0,""""&amp;装备!C170&amp;"""")</f>
        <v>"鸿蒙结晶"</v>
      </c>
      <c r="K95" t="str">
        <f>IF(装备!T170="","""""",""""&amp;装备!T170&amp;"""")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IF(装备!U170="",0,""""&amp;装备!U170&amp;"""")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IF(装备!B173="",0,"'"&amp;装备!B173&amp;"'")</f>
        <v>'IT01'</v>
      </c>
      <c r="B96">
        <f>装备!D115</f>
        <v>0</v>
      </c>
      <c r="C96">
        <f>装备!E173</f>
        <v>0</v>
      </c>
      <c r="D96">
        <f>装备!F173</f>
        <v>0</v>
      </c>
      <c r="E96">
        <f>IF(ISTEXT(装备!G173)=TRUE,"'"&amp;装备!G173&amp;"'",装备!G173)</f>
        <v>0</v>
      </c>
      <c r="F96">
        <f>IF(ISTEXT(装备!H173)=TRUE,"'"&amp;装备!H173&amp;"'",装备!H173)</f>
        <v>0</v>
      </c>
      <c r="G96">
        <f>IF(装备!I173="",0,"'"&amp;装备!I173&amp;"'")</f>
        <v>0</v>
      </c>
      <c r="H96">
        <f>IF(装备!R173="",0,装备!R173)</f>
        <v>-8086</v>
      </c>
      <c r="I96">
        <f>IF(装备!S173="",0,装备!S173)</f>
        <v>-3245</v>
      </c>
      <c r="J96" t="str">
        <f>IF(装备!C173="",0,""""&amp;装备!C173&amp;"""")</f>
        <v>"噬心劫"</v>
      </c>
      <c r="K96" t="str">
        <f>IF(装备!T173="","""""",""""&amp;装备!T173&amp;"""")</f>
        <v>"渡过该劫后可结成低级道果。|n|n|Cfff0f0f0低级道果：|r|n攻击+1000|n法强+1000|n生命值+2000|n|Cffffd24d元神力+2|r|n|n|Cff00ff7f战力推荐：|r|n"</v>
      </c>
      <c r="L96" t="str">
        <f>IF(装备!U173="",0,""""&amp;装备!U173&amp;"""")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IF(装备!B174="",0,"'"&amp;装备!B174&amp;"'")</f>
        <v>'IT02'</v>
      </c>
      <c r="B97">
        <f>装备!D116</f>
        <v>0</v>
      </c>
      <c r="C97">
        <f>装备!E174</f>
        <v>0</v>
      </c>
      <c r="D97">
        <f>装备!F174</f>
        <v>0</v>
      </c>
      <c r="E97">
        <f>IF(ISTEXT(装备!G174)=TRUE,"'"&amp;装备!G174&amp;"'",装备!G174)</f>
        <v>0</v>
      </c>
      <c r="F97">
        <f>IF(ISTEXT(装备!H174)=TRUE,"'"&amp;装备!H174&amp;"'",装备!H174)</f>
        <v>0</v>
      </c>
      <c r="G97">
        <f>IF(装备!I174="",0,"'"&amp;装备!I174&amp;"'")</f>
        <v>0</v>
      </c>
      <c r="H97">
        <f>IF(装备!R174="",0,装备!R174)</f>
        <v>-7991</v>
      </c>
      <c r="I97">
        <f>IF(装备!S174="",0,装备!S174)</f>
        <v>-2312</v>
      </c>
      <c r="J97" t="str">
        <f>IF(装备!C174="",0,""""&amp;装备!C174&amp;"""")</f>
        <v>"三重轰雷劫"</v>
      </c>
      <c r="K97" t="str">
        <f>IF(装备!T174="","""""",""""&amp;装备!T174&amp;"""")</f>
        <v>"渡过该劫后可结成中级道果。|n|n|Cfff0f0f0中级道果：|r|n攻击+1500|n法强+1500|n生命值+3000 |n|Cffffd24d元神力+4|r|n|n|Cff00ff7f战力推荐：|r|n"</v>
      </c>
      <c r="L97" t="str">
        <f>IF(装备!U174="",0,""""&amp;装备!U174&amp;"""")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IF(装备!B175="",0,"'"&amp;装备!B175&amp;"'")</f>
        <v>'IT03'</v>
      </c>
      <c r="B98">
        <f>装备!D117</f>
        <v>0</v>
      </c>
      <c r="C98">
        <f>装备!E175</f>
        <v>0</v>
      </c>
      <c r="D98">
        <f>装备!F175</f>
        <v>0</v>
      </c>
      <c r="E98">
        <f>IF(ISTEXT(装备!G175)=TRUE,"'"&amp;装备!G175&amp;"'",装备!G175)</f>
        <v>0</v>
      </c>
      <c r="F98">
        <f>IF(ISTEXT(装备!H175)=TRUE,"'"&amp;装备!H175&amp;"'",装备!H175)</f>
        <v>0</v>
      </c>
      <c r="G98">
        <f>IF(装备!I175="",0,"'"&amp;装备!I175&amp;"'")</f>
        <v>0</v>
      </c>
      <c r="H98">
        <f>IF(装备!R175="",0,装备!R175)</f>
        <v>-8089</v>
      </c>
      <c r="I98">
        <f>IF(装备!S175="",0,装备!S175)</f>
        <v>-1230</v>
      </c>
      <c r="J98" t="str">
        <f>IF(装备!C175="",0,""""&amp;装备!C175&amp;"""")</f>
        <v>"六重天雷劫"</v>
      </c>
      <c r="K98" t="str">
        <f>IF(装备!T175="","""""",""""&amp;装备!T175&amp;"""")</f>
        <v>"渡过该劫后可结成|Cff00ff7f高级道果|r。|n|n|Cff00ff7f高级道果：|r|n攻击+2000|n法强+2000|n生命值+4000 |n|Cffffd24d元神力+5|r|n|n|Cff00ff7f战力推荐：|r|n"</v>
      </c>
      <c r="L98" t="str">
        <f>IF(装备!U175="",0,""""&amp;装备!U175&amp;"""")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IF(装备!B176="",0,"'"&amp;装备!B176&amp;"'")</f>
        <v>'IT04'</v>
      </c>
      <c r="B99">
        <f>装备!D118</f>
        <v>0</v>
      </c>
      <c r="C99">
        <f>装备!E176</f>
        <v>0</v>
      </c>
      <c r="D99">
        <f>装备!F176</f>
        <v>0</v>
      </c>
      <c r="E99">
        <f>IF(ISTEXT(装备!G176)=TRUE,"'"&amp;装备!G176&amp;"'",装备!G176)</f>
        <v>0</v>
      </c>
      <c r="F99">
        <f>IF(ISTEXT(装备!H176)=TRUE,"'"&amp;装备!H176&amp;"'",装备!H176)</f>
        <v>0</v>
      </c>
      <c r="G99">
        <f>IF(装备!I176="",0,"'"&amp;装备!I176&amp;"'")</f>
        <v>0</v>
      </c>
      <c r="H99">
        <f>IF(装备!R176="",0,装备!R176)</f>
        <v>-7794</v>
      </c>
      <c r="I99">
        <f>IF(装备!S176="",0,装备!S176)</f>
        <v>195</v>
      </c>
      <c r="J99" t="str">
        <f>IF(装备!C176="",0,""""&amp;装备!C176&amp;"""")</f>
        <v>"九重煅神劫"</v>
      </c>
      <c r="K99" t="str">
        <f>IF(装备!T176="","""""",""""&amp;装备!T176&amp;"""")</f>
        <v>"渡过该劫后可结成|Cff00ff7f黄级道果|r。|n|n|Cff00ff7f黄级道果：|r|n攻击+2500|n法强+2500|n生命值+5000|n|Cffffd24d元神力+6|r|n|n|Cff00ff7f战力推荐：|r|n"</v>
      </c>
      <c r="L99" t="str">
        <f>IF(装备!U176="",0,""""&amp;装备!U176&amp;"""")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IF(装备!B177="",0,"'"&amp;装备!B177&amp;"'")</f>
        <v>'IT05'</v>
      </c>
      <c r="B100">
        <f>装备!D119</f>
        <v>0</v>
      </c>
      <c r="C100">
        <f>装备!E177</f>
        <v>0</v>
      </c>
      <c r="D100">
        <f>装备!F177</f>
        <v>0</v>
      </c>
      <c r="E100">
        <f>IF(ISTEXT(装备!G177)=TRUE,"'"&amp;装备!G177&amp;"'",装备!G177)</f>
        <v>0</v>
      </c>
      <c r="F100">
        <f>IF(ISTEXT(装备!H177)=TRUE,"'"&amp;装备!H177&amp;"'",装备!H177)</f>
        <v>0</v>
      </c>
      <c r="G100">
        <f>IF(装备!I177="",0,"'"&amp;装备!I177&amp;"'")</f>
        <v>0</v>
      </c>
      <c r="H100">
        <f>IF(装备!R177="",0,装备!R177)</f>
        <v>-8110</v>
      </c>
      <c r="I100">
        <f>IF(装备!S177="",0,装备!S177)</f>
        <v>1810</v>
      </c>
      <c r="J100" t="str">
        <f>IF(装备!C177="",0,""""&amp;装备!C177&amp;"""")</f>
        <v>"灭魄血煞劫"</v>
      </c>
      <c r="K100" t="str">
        <f>IF(装备!T177="","""""",""""&amp;装备!T177&amp;"""")</f>
        <v>"渡过该劫后可结成|Cff00bfff玄级道果|r。|n|n|Cff00bfff玄级道果：|r|n攻击+3000|n法强+3000|n生命值+6000|n|Cffffd24d元神力+7|r|n|n|Cff00ff7f战力推荐：|r|n"</v>
      </c>
      <c r="L100" t="str">
        <f>IF(装备!U177="",0,""""&amp;装备!U177&amp;"""")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IF(装备!B178="",0,"'"&amp;装备!B178&amp;"'")</f>
        <v>'IT06'</v>
      </c>
      <c r="B101">
        <f>装备!D120</f>
        <v>0</v>
      </c>
      <c r="C101">
        <f>装备!E178</f>
        <v>0</v>
      </c>
      <c r="D101">
        <f>装备!F178</f>
        <v>0</v>
      </c>
      <c r="E101">
        <f>IF(ISTEXT(装备!G178)=TRUE,"'"&amp;装备!G178&amp;"'",装备!G178)</f>
        <v>0</v>
      </c>
      <c r="F101">
        <f>IF(ISTEXT(装备!H178)=TRUE,"'"&amp;装备!H178&amp;"'",装备!H178)</f>
        <v>0</v>
      </c>
      <c r="G101">
        <f>IF(装备!I178="",0,"'"&amp;装备!I178&amp;"'")</f>
        <v>0</v>
      </c>
      <c r="H101">
        <f>IF(装备!R178="",0,装备!R178)</f>
        <v>-7896</v>
      </c>
      <c r="I101">
        <f>IF(装备!S178="",0,装备!S178)</f>
        <v>3839</v>
      </c>
      <c r="J101" t="str">
        <f>IF(装备!C178="",0,""""&amp;装备!C178&amp;"""")</f>
        <v>"入微洞虚劫"</v>
      </c>
      <c r="K101" t="str">
        <f>IF(装备!T178="","""""",""""&amp;装备!T178&amp;"""")</f>
        <v>"渡过该劫后可结成|Cff00bfff地级道果|r。|n|n|Cff00bfff地级道果：|r|n攻击+4000|n法强+4000|n生命值+8000|n|Cffffd24d元神力+9|r|n|n|n|Cff00ff7f战力推荐：|r|n"</v>
      </c>
      <c r="L101" t="str">
        <f>IF(装备!U178="",0,""""&amp;装备!U178&amp;"""")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IF(装备!B179="",0,"'"&amp;装备!B179&amp;"'")</f>
        <v>'IT07'</v>
      </c>
      <c r="B102">
        <f>装备!D121</f>
        <v>0</v>
      </c>
      <c r="C102">
        <f>装备!E179</f>
        <v>0</v>
      </c>
      <c r="D102">
        <f>装备!F179</f>
        <v>0</v>
      </c>
      <c r="E102">
        <f>IF(ISTEXT(装备!G179)=TRUE,"'"&amp;装备!G179&amp;"'",装备!G179)</f>
        <v>0</v>
      </c>
      <c r="F102">
        <f>IF(ISTEXT(装备!H179)=TRUE,"'"&amp;装备!H179&amp;"'",装备!H179)</f>
        <v>0</v>
      </c>
      <c r="G102">
        <f>IF(装备!I179="",0,"'"&amp;装备!I179&amp;"'")</f>
        <v>0</v>
      </c>
      <c r="H102">
        <f>IF(装备!R179="",0,装备!R179)</f>
        <v>-7896</v>
      </c>
      <c r="I102">
        <f>IF(装备!S179="",0,装备!S179)</f>
        <v>5906</v>
      </c>
      <c r="J102" t="str">
        <f>IF(装备!C179="",0,""""&amp;装备!C179&amp;"""")</f>
        <v>"因果厄难劫"</v>
      </c>
      <c r="K102" t="str">
        <f>IF(装备!T179="","""""",""""&amp;装备!T179&amp;"""")</f>
        <v>"渡过该劫后可结成|Cffffc926天级道果|r。|n|n|Cffffc926天级道果：|r|n攻击+5000|n法强+5000|n生命值+10000|n|Cffffd24d元神力+11|r|n|n|Cff00ff7f战力推荐：|r|n"</v>
      </c>
      <c r="L102" t="str">
        <f>IF(装备!U179="",0,""""&amp;装备!U179&amp;"""")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IF(装备!B180="",0,"'"&amp;装备!B180&amp;"'")</f>
        <v>'IT08'</v>
      </c>
      <c r="B103">
        <f>装备!D122</f>
        <v>0</v>
      </c>
      <c r="C103">
        <f>装备!E180</f>
        <v>0</v>
      </c>
      <c r="D103">
        <f>装备!F180</f>
        <v>0</v>
      </c>
      <c r="E103">
        <f>IF(ISTEXT(装备!G180)=TRUE,"'"&amp;装备!G180&amp;"'",装备!G180)</f>
        <v>0</v>
      </c>
      <c r="F103">
        <f>IF(ISTEXT(装备!H180)=TRUE,"'"&amp;装备!H180&amp;"'",装备!H180)</f>
        <v>0</v>
      </c>
      <c r="G103">
        <f>IF(装备!I180="",0,"'"&amp;装备!I180&amp;"'")</f>
        <v>0</v>
      </c>
      <c r="H103">
        <f>IF(装备!R180="",0,装备!R180)</f>
        <v>-7970</v>
      </c>
      <c r="I103">
        <f>IF(装备!S180="",0,装备!S180)</f>
        <v>7965</v>
      </c>
      <c r="J103" t="str">
        <f>IF(装备!C180="",0,""""&amp;装备!C180&amp;"""")</f>
        <v>"迷魂幻世劫"</v>
      </c>
      <c r="K103" t="str">
        <f>IF(装备!T180="","""""",""""&amp;装备!T180&amp;"""")</f>
        <v>"渡过该劫后可结成|Cffffc926仙品道果|r。|n|n|Cffffc926仙品道果：|r|n攻击+6500|n法强+6500|n生命值+13000|n|Cffffd24d元神力+13|r|n|n|Cff00ff7f战力推荐：|r"</v>
      </c>
      <c r="L103" t="str">
        <f>IF(装备!U180="",0,""""&amp;装备!U180&amp;"""")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IF(装备!B181="",0,"'"&amp;装备!B181&amp;"'")</f>
        <v>'IT09'</v>
      </c>
      <c r="B104">
        <f>装备!D124</f>
        <v>0</v>
      </c>
      <c r="C104">
        <f>装备!E181</f>
        <v>0</v>
      </c>
      <c r="D104">
        <f>装备!F181</f>
        <v>0</v>
      </c>
      <c r="E104">
        <f>IF(ISTEXT(装备!G181)=TRUE,"'"&amp;装备!G181&amp;"'",装备!G181)</f>
        <v>0</v>
      </c>
      <c r="F104">
        <f>IF(ISTEXT(装备!H181)=TRUE,"'"&amp;装备!H181&amp;"'",装备!H181)</f>
        <v>0</v>
      </c>
      <c r="G104">
        <f>IF(装备!I181="",0,"'"&amp;装备!I181&amp;"'")</f>
        <v>0</v>
      </c>
      <c r="H104">
        <f>IF(装备!R181="",0,装备!R181)</f>
        <v>2100</v>
      </c>
      <c r="I104">
        <f>IF(装备!S181="",0,装备!S181)</f>
        <v>-5120</v>
      </c>
      <c r="J104" t="str">
        <f>IF(装备!C181="",0,""""&amp;装备!C181&amp;"""")</f>
        <v>"天人五衰劫"</v>
      </c>
      <c r="K104" t="str">
        <f>IF(装备!T181="","""""",""""&amp;装备!T181&amp;"""")</f>
        <v>"渡过该劫后可结成|Cffff0000至圣道果|r。|n|n|Cffff0000至圣道果：|r|n攻击+8000|n法强+8000|n生命值+16000|n|Cffffd24d元神力+16|r|n|n|Cff00ff7f战力推荐：|r"</v>
      </c>
      <c r="L104" t="str">
        <f>IF(装备!U181="",0,""""&amp;装备!U181&amp;"""")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IF(装备!B182="",0,"'"&amp;装备!B182&amp;"'")</f>
        <v>'IT10'</v>
      </c>
      <c r="B105">
        <f>装备!D125</f>
        <v>0</v>
      </c>
      <c r="C105">
        <f>装备!E182</f>
        <v>0</v>
      </c>
      <c r="D105">
        <f>装备!F182</f>
        <v>0</v>
      </c>
      <c r="E105">
        <f>IF(ISTEXT(装备!G182)=TRUE,"'"&amp;装备!G182&amp;"'",装备!G182)</f>
        <v>0</v>
      </c>
      <c r="F105">
        <f>IF(ISTEXT(装备!H182)=TRUE,"'"&amp;装备!H182&amp;"'",装备!H182)</f>
        <v>0</v>
      </c>
      <c r="G105">
        <f>IF(装备!I182="",0,"'"&amp;装备!I182&amp;"'")</f>
        <v>0</v>
      </c>
      <c r="H105">
        <f>IF(装备!R182="",0,装备!R182)</f>
        <v>2268</v>
      </c>
      <c r="I105">
        <f>IF(装备!S182="",0,装备!S182)</f>
        <v>-8065</v>
      </c>
      <c r="J105" t="str">
        <f>IF(装备!C182="",0,""""&amp;装备!C182&amp;"""")</f>
        <v>"|CffFF0000混元灭世劫|r"</v>
      </c>
      <c r="K105" t="str">
        <f>IF(装备!T182="","""""",""""&amp;装备!T182&amp;"""")</f>
        <v>"渡过该劫后可结成|Cffff0000混沌道果|r。|n|n|Cffff0000混沌道果：|r|n攻击+10000|n法强+10000|n生命值+20000|n|Cffffd24d元神力+20|r|n|n|Cff00ff7f战力推荐：|r"</v>
      </c>
      <c r="L105" t="str">
        <f>IF(装备!U182="",0,""""&amp;装备!U182&amp;"""")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IF(装备!B183="",0,"'"&amp;装备!B183&amp;"'")</f>
        <v>'IT11'</v>
      </c>
      <c r="B106">
        <f>装备!D126</f>
        <v>0</v>
      </c>
      <c r="C106">
        <f>装备!E183</f>
        <v>0</v>
      </c>
      <c r="D106">
        <f>装备!F183</f>
        <v>0</v>
      </c>
      <c r="E106">
        <f>IF(ISTEXT(装备!G183)=TRUE,"'"&amp;装备!G183&amp;"'",装备!G183)</f>
        <v>0</v>
      </c>
      <c r="F106">
        <f>IF(ISTEXT(装备!H183)=TRUE,"'"&amp;装备!H183&amp;"'",装备!H183)</f>
        <v>0</v>
      </c>
      <c r="G106">
        <f>IF(装备!I183="",0,"'"&amp;装备!I183&amp;"'")</f>
        <v>0</v>
      </c>
      <c r="H106">
        <f>IF(装备!R183="",0,装备!R183)</f>
        <v>0</v>
      </c>
      <c r="I106">
        <f>IF(装备!S183="",0,装备!S183)</f>
        <v>0</v>
      </c>
      <c r="J106" t="str">
        <f>IF(装备!C183="",0,""""&amp;装备!C183&amp;"""")</f>
        <v>"斩三尸"</v>
      </c>
      <c r="K106" t="str">
        <f>IF(装备!T183="","""""",""""&amp;装备!T183&amp;"""")</f>
        <v>"境界挑战11"</v>
      </c>
      <c r="L106" t="str">
        <f>IF(装备!U183="",0,""""&amp;装备!U183&amp;"""")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IF(装备!B184="",0,"'"&amp;装备!B184&amp;"'")</f>
        <v>'IT12'</v>
      </c>
      <c r="B107">
        <f>装备!D127</f>
        <v>0</v>
      </c>
      <c r="C107">
        <f>装备!E184</f>
        <v>0</v>
      </c>
      <c r="D107">
        <f>装备!F184</f>
        <v>0</v>
      </c>
      <c r="E107">
        <f>IF(ISTEXT(装备!G184)=TRUE,"'"&amp;装备!G184&amp;"'",装备!G184)</f>
        <v>0</v>
      </c>
      <c r="F107">
        <f>IF(ISTEXT(装备!H184)=TRUE,"'"&amp;装备!H184&amp;"'",装备!H184)</f>
        <v>0</v>
      </c>
      <c r="G107">
        <f>IF(装备!I184="",0,"'"&amp;装备!I184&amp;"'")</f>
        <v>0</v>
      </c>
      <c r="H107">
        <f>IF(装备!R184="",0,装备!R184)</f>
        <v>0</v>
      </c>
      <c r="I107">
        <f>IF(装备!S184="",0,装备!S184)</f>
        <v>0</v>
      </c>
      <c r="J107" t="str">
        <f>IF(装备!C184="",0,""""&amp;装备!C184&amp;"""")</f>
        <v>"无量量劫"</v>
      </c>
      <c r="K107" t="str">
        <f>IF(装备!T184="","""""",""""&amp;装备!T184&amp;"""")</f>
        <v>"境界挑战12"</v>
      </c>
      <c r="L107" t="str">
        <f>IF(装备!U184="",0,""""&amp;装备!U184&amp;"""")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IF(装备!B185="",0,"'"&amp;装备!B185&amp;"'")</f>
        <v>'IT13'</v>
      </c>
      <c r="B108">
        <f>装备!D128</f>
        <v>0</v>
      </c>
      <c r="C108">
        <f>装备!E185</f>
        <v>0</v>
      </c>
      <c r="D108">
        <f>装备!F185</f>
        <v>0</v>
      </c>
      <c r="E108">
        <f>IF(ISTEXT(装备!G185)=TRUE,"'"&amp;装备!G185&amp;"'",装备!G185)</f>
        <v>0</v>
      </c>
      <c r="F108">
        <f>IF(ISTEXT(装备!H185)=TRUE,"'"&amp;装备!H185&amp;"'",装备!H185)</f>
        <v>0</v>
      </c>
      <c r="G108">
        <f>IF(装备!I185="",0,"'"&amp;装备!I185&amp;"'")</f>
        <v>0</v>
      </c>
      <c r="H108">
        <f>IF(装备!R185="",0,装备!R185)</f>
        <v>0</v>
      </c>
      <c r="I108">
        <f>IF(装备!S185="",0,装备!S185)</f>
        <v>0</v>
      </c>
      <c r="J108" t="str">
        <f>IF(装备!C185="",0,""""&amp;装备!C185&amp;"""")</f>
        <v>"鸿钧对练"</v>
      </c>
      <c r="K108" t="str">
        <f>IF(装备!T185="","""""",""""&amp;装备!T185&amp;"""")</f>
        <v>"境界挑战13"</v>
      </c>
      <c r="L108" t="str">
        <f>IF(装备!U185="",0,""""&amp;装备!U185&amp;"""")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IF(装备!B186="",0,"'"&amp;装备!B186&amp;"'")</f>
        <v>'IT14'</v>
      </c>
      <c r="B109">
        <f>装备!D129</f>
        <v>0</v>
      </c>
      <c r="C109">
        <f>装备!E186</f>
        <v>0</v>
      </c>
      <c r="D109">
        <f>装备!F186</f>
        <v>0</v>
      </c>
      <c r="E109">
        <f>IF(ISTEXT(装备!G186)=TRUE,"'"&amp;装备!G186&amp;"'",装备!G186)</f>
        <v>0</v>
      </c>
      <c r="F109">
        <f>IF(ISTEXT(装备!H186)=TRUE,"'"&amp;装备!H186&amp;"'",装备!H186)</f>
        <v>0</v>
      </c>
      <c r="G109">
        <f>IF(装备!I186="",0,"'"&amp;装备!I186&amp;"'")</f>
        <v>0</v>
      </c>
      <c r="H109">
        <f>IF(装备!R186="",0,装备!R186)</f>
        <v>0</v>
      </c>
      <c r="I109">
        <f>IF(装备!S186="",0,装备!S186)</f>
        <v>0</v>
      </c>
      <c r="J109" t="str">
        <f>IF(装备!C186="",0,""""&amp;装备!C186&amp;"""")</f>
        <v>"境界挑战14"</v>
      </c>
      <c r="K109" t="str">
        <f>IF(装备!T186="","""""",""""&amp;装备!T186&amp;"""")</f>
        <v>"境界挑战14"</v>
      </c>
      <c r="L109" t="str">
        <f>IF(装备!U186="",0,""""&amp;装备!U186&amp;"""")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IF(装备!B190="",0,"'"&amp;装备!B190&amp;"'")</f>
        <v>'IS02'</v>
      </c>
      <c r="B110">
        <f>装备!D130</f>
        <v>0</v>
      </c>
      <c r="C110">
        <f>装备!E190</f>
        <v>0</v>
      </c>
      <c r="D110">
        <f>装备!F190</f>
        <v>0</v>
      </c>
      <c r="E110">
        <f>IF(ISTEXT(装备!G190)=TRUE,"'"&amp;装备!G190&amp;"'",装备!G190)</f>
        <v>0</v>
      </c>
      <c r="F110">
        <f>IF(ISTEXT(装备!H190)=TRUE,"'"&amp;装备!H190&amp;"'",装备!H190)</f>
        <v>0</v>
      </c>
      <c r="G110">
        <f>IF(装备!I190="",0,"'"&amp;装备!I190&amp;"'")</f>
        <v>0</v>
      </c>
      <c r="H110">
        <f>IF(装备!R190="",0,装备!R190)</f>
        <v>0</v>
      </c>
      <c r="I110">
        <f>IF(装备!S190="",0,装备!S190)</f>
        <v>0</v>
      </c>
      <c r="J110" t="str">
        <f>IF(装备!C190="",0,""""&amp;装备!C190&amp;"""")</f>
        <v>"抽技能W"</v>
      </c>
      <c r="K110" t="str">
        <f>IF(装备!T190="","""""",""""&amp;装备!T190&amp;"""")</f>
        <v>"抽技能W"</v>
      </c>
      <c r="L110" t="str">
        <f>IF(装备!U190="",0,""""&amp;装备!U190&amp;"""")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IF(装备!B191="",0,"'"&amp;装备!B191&amp;"'")</f>
        <v>'IS03'</v>
      </c>
      <c r="B111">
        <f>装备!D131</f>
        <v>0</v>
      </c>
      <c r="C111">
        <f>装备!E191</f>
        <v>0</v>
      </c>
      <c r="D111">
        <f>装备!F191</f>
        <v>0</v>
      </c>
      <c r="E111">
        <f>IF(ISTEXT(装备!G191)=TRUE,"'"&amp;装备!G191&amp;"'",装备!G191)</f>
        <v>0</v>
      </c>
      <c r="F111">
        <f>IF(ISTEXT(装备!H191)=TRUE,"'"&amp;装备!H191&amp;"'",装备!H191)</f>
        <v>0</v>
      </c>
      <c r="G111">
        <f>IF(装备!I191="",0,"'"&amp;装备!I191&amp;"'")</f>
        <v>0</v>
      </c>
      <c r="H111">
        <f>IF(装备!R191="",0,装备!R191)</f>
        <v>0</v>
      </c>
      <c r="I111">
        <f>IF(装备!S191="",0,装备!S191)</f>
        <v>0</v>
      </c>
      <c r="J111" t="str">
        <f>IF(装备!C191="",0,""""&amp;装备!C191&amp;"""")</f>
        <v>"抽技能E"</v>
      </c>
      <c r="K111" t="str">
        <f>IF(装备!T191="","""""",""""&amp;装备!T191&amp;"""")</f>
        <v>"抽技能E"</v>
      </c>
      <c r="L111" t="str">
        <f>IF(装备!U191="",0,""""&amp;装备!U191&amp;"""")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IF(装备!B196="",0,"'"&amp;装备!B196&amp;"'")</f>
        <v>'IS12'</v>
      </c>
      <c r="B114">
        <f>装备!D134</f>
        <v>0</v>
      </c>
      <c r="C114">
        <f>装备!E196</f>
        <v>0</v>
      </c>
      <c r="D114">
        <f>装备!F196</f>
        <v>0</v>
      </c>
      <c r="E114">
        <f>IF(ISTEXT(装备!G196)=TRUE,"'"&amp;装备!G196&amp;"'",装备!G196)</f>
        <v>0</v>
      </c>
      <c r="F114">
        <f>IF(ISTEXT(装备!H196)=TRUE,"'"&amp;装备!H196&amp;"'",装备!H196)</f>
        <v>0</v>
      </c>
      <c r="G114">
        <f>IF(装备!I196="",0,"'"&amp;装备!I196&amp;"'")</f>
        <v>0</v>
      </c>
      <c r="H114">
        <f>IF(装备!R196="",0,装备!R196)</f>
        <v>0</v>
      </c>
      <c r="I114">
        <f>IF(装备!S196="",0,装备!S196)</f>
        <v>0</v>
      </c>
      <c r="J114" t="str">
        <f>IF(装备!C196="",0,""""&amp;装备!C196&amp;"""")</f>
        <v>"|cffffcc00神兽抽取|r"</v>
      </c>
      <c r="K114" t="str">
        <f>IF(装备!T196="","""""",""""&amp;装备!T196&amp;"""")</f>
        <v>"|cffffcc00神兽抽取|r"</v>
      </c>
      <c r="L114" t="str">
        <f>IF(装备!U196="",0,""""&amp;装备!U196&amp;"""")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InitTypeIdStrings('IS12',"|cffffcc00神兽抽取|r","ReplaceableTextures\\CommandButtons\\BTNIS12.blp","|cffffcc00神兽抽取|r")</v>
      </c>
    </row>
    <row r="115" spans="1:14">
      <c r="A115" t="e">
        <f>IF(装备!#REF!="",0,"'"&amp;装备!#REF!&amp;"'")</f>
        <v>#REF!</v>
      </c>
      <c r="B115">
        <f>装备!D135</f>
        <v>0</v>
      </c>
      <c r="C115" t="e">
        <f>装备!#REF!</f>
        <v>#REF!</v>
      </c>
      <c r="D115" t="e">
        <f>装备!#REF!</f>
        <v>#REF!</v>
      </c>
      <c r="E115" t="e">
        <f>IF(ISTEXT(装备!#REF!)=TRUE,"'"&amp;装备!#REF!&amp;"'",装备!#REF!)</f>
        <v>#REF!</v>
      </c>
      <c r="F115" t="e">
        <f>IF(ISTEXT(装备!#REF!)=TRUE,"'"&amp;装备!#REF!&amp;"'",装备!#REF!)</f>
        <v>#REF!</v>
      </c>
      <c r="G115" t="e">
        <f>IF(装备!#REF!="",0,"'"&amp;装备!#REF!&amp;"'")</f>
        <v>#REF!</v>
      </c>
      <c r="H115" t="e">
        <f>IF(装备!#REF!="",0,装备!#REF!)</f>
        <v>#REF!</v>
      </c>
      <c r="I115" t="e">
        <f>IF(装备!#REF!="",0,装备!#REF!)</f>
        <v>#REF!</v>
      </c>
      <c r="J115" t="e">
        <f>IF(装备!#REF!="",0,""""&amp;装备!#REF!&amp;"""")</f>
        <v>#REF!</v>
      </c>
      <c r="K115" t="e">
        <f>IF(装备!#REF!="","""""",""""&amp;装备!#REF!&amp;"""")</f>
        <v>#REF!</v>
      </c>
      <c r="L115" t="e">
        <f>IF(装备!#REF!="",0,""""&amp;装备!#REF!&amp;"""")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IF(装备!#REF!="",0,"'"&amp;装备!#REF!&amp;"'")</f>
        <v>#REF!</v>
      </c>
      <c r="B116">
        <f>装备!D136</f>
        <v>0</v>
      </c>
      <c r="C116" t="e">
        <f>装备!#REF!</f>
        <v>#REF!</v>
      </c>
      <c r="D116" t="e">
        <f>装备!#REF!</f>
        <v>#REF!</v>
      </c>
      <c r="E116" t="e">
        <f>IF(ISTEXT(装备!#REF!)=TRUE,"'"&amp;装备!#REF!&amp;"'",装备!#REF!)</f>
        <v>#REF!</v>
      </c>
      <c r="F116" t="e">
        <f>IF(ISTEXT(装备!#REF!)=TRUE,"'"&amp;装备!#REF!&amp;"'",装备!#REF!)</f>
        <v>#REF!</v>
      </c>
      <c r="G116" t="e">
        <f>IF(装备!#REF!="",0,"'"&amp;装备!#REF!&amp;"'")</f>
        <v>#REF!</v>
      </c>
      <c r="H116" t="e">
        <f>IF(装备!#REF!="",0,装备!#REF!)</f>
        <v>#REF!</v>
      </c>
      <c r="I116" t="e">
        <f>IF(装备!#REF!="",0,装备!#REF!)</f>
        <v>#REF!</v>
      </c>
      <c r="J116" t="e">
        <f>IF(装备!#REF!="",0,""""&amp;装备!#REF!&amp;"""")</f>
        <v>#REF!</v>
      </c>
      <c r="K116" t="e">
        <f>IF(装备!#REF!="","""""",""""&amp;装备!#REF!&amp;"""")</f>
        <v>#REF!</v>
      </c>
      <c r="L116" t="e">
        <f>IF(装备!#REF!="",0,""""&amp;装备!#REF!&amp;"""")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IF(装备!#REF!="",0,"'"&amp;装备!#REF!&amp;"'")</f>
        <v>#REF!</v>
      </c>
      <c r="B117">
        <f>装备!D137</f>
        <v>0</v>
      </c>
      <c r="C117" t="e">
        <f>装备!#REF!</f>
        <v>#REF!</v>
      </c>
      <c r="D117" t="e">
        <f>装备!#REF!</f>
        <v>#REF!</v>
      </c>
      <c r="E117" t="e">
        <f>IF(ISTEXT(装备!#REF!)=TRUE,"'"&amp;装备!#REF!&amp;"'",装备!#REF!)</f>
        <v>#REF!</v>
      </c>
      <c r="F117" t="e">
        <f>IF(ISTEXT(装备!#REF!)=TRUE,"'"&amp;装备!#REF!&amp;"'",装备!#REF!)</f>
        <v>#REF!</v>
      </c>
      <c r="G117" t="e">
        <f>IF(装备!#REF!="",0,"'"&amp;装备!#REF!&amp;"'")</f>
        <v>#REF!</v>
      </c>
      <c r="H117" t="e">
        <f>IF(装备!#REF!="",0,装备!#REF!)</f>
        <v>#REF!</v>
      </c>
      <c r="I117" t="e">
        <f>IF(装备!#REF!="",0,装备!#REF!)</f>
        <v>#REF!</v>
      </c>
      <c r="J117" t="e">
        <f>IF(装备!#REF!="",0,""""&amp;装备!#REF!&amp;"""")</f>
        <v>#REF!</v>
      </c>
      <c r="K117" t="e">
        <f>IF(装备!#REF!="","""""",""""&amp;装备!#REF!&amp;"""")</f>
        <v>#REF!</v>
      </c>
      <c r="L117" t="e">
        <f>IF(装备!#REF!="",0,""""&amp;装备!#REF!&amp;"""")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IF(装备!#REF!="",0,"'"&amp;装备!#REF!&amp;"'")</f>
        <v>#REF!</v>
      </c>
      <c r="B118">
        <f>装备!D138</f>
        <v>0</v>
      </c>
      <c r="C118" t="e">
        <f>装备!#REF!</f>
        <v>#REF!</v>
      </c>
      <c r="D118" t="e">
        <f>装备!#REF!</f>
        <v>#REF!</v>
      </c>
      <c r="E118" t="e">
        <f>IF(ISTEXT(装备!#REF!)=TRUE,"'"&amp;装备!#REF!&amp;"'",装备!#REF!)</f>
        <v>#REF!</v>
      </c>
      <c r="F118" t="e">
        <f>IF(ISTEXT(装备!#REF!)=TRUE,"'"&amp;装备!#REF!&amp;"'",装备!#REF!)</f>
        <v>#REF!</v>
      </c>
      <c r="G118" t="e">
        <f>IF(装备!#REF!="",0,"'"&amp;装备!#REF!&amp;"'")</f>
        <v>#REF!</v>
      </c>
      <c r="H118" t="e">
        <f>IF(装备!#REF!="",0,装备!#REF!)</f>
        <v>#REF!</v>
      </c>
      <c r="I118" t="e">
        <f>IF(装备!#REF!="",0,装备!#REF!)</f>
        <v>#REF!</v>
      </c>
      <c r="J118" t="e">
        <f>IF(装备!#REF!="",0,""""&amp;装备!#REF!&amp;"""")</f>
        <v>#REF!</v>
      </c>
      <c r="K118" t="e">
        <f>IF(装备!#REF!="","""""",""""&amp;装备!#REF!&amp;"""")</f>
        <v>#REF!</v>
      </c>
      <c r="L118" t="e">
        <f>IF(装备!#REF!="",0,""""&amp;装备!#REF!&amp;"""")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IF(装备!#REF!="",0,"'"&amp;装备!#REF!&amp;"'")</f>
        <v>#REF!</v>
      </c>
      <c r="B119">
        <f>装备!D139</f>
        <v>0</v>
      </c>
      <c r="C119" t="e">
        <f>装备!#REF!</f>
        <v>#REF!</v>
      </c>
      <c r="D119" t="e">
        <f>装备!#REF!</f>
        <v>#REF!</v>
      </c>
      <c r="E119" t="e">
        <f>IF(ISTEXT(装备!#REF!)=TRUE,"'"&amp;装备!#REF!&amp;"'",装备!#REF!)</f>
        <v>#REF!</v>
      </c>
      <c r="F119" t="e">
        <f>IF(ISTEXT(装备!#REF!)=TRUE,"'"&amp;装备!#REF!&amp;"'",装备!#REF!)</f>
        <v>#REF!</v>
      </c>
      <c r="G119" t="e">
        <f>IF(装备!#REF!="",0,"'"&amp;装备!#REF!&amp;"'")</f>
        <v>#REF!</v>
      </c>
      <c r="H119" t="e">
        <f>IF(装备!#REF!="",0,装备!#REF!)</f>
        <v>#REF!</v>
      </c>
      <c r="I119" t="e">
        <f>IF(装备!#REF!="",0,装备!#REF!)</f>
        <v>#REF!</v>
      </c>
      <c r="J119" t="e">
        <f>IF(装备!#REF!="",0,""""&amp;装备!#REF!&amp;"""")</f>
        <v>#REF!</v>
      </c>
      <c r="K119" t="e">
        <f>IF(装备!#REF!="","""""",""""&amp;装备!#REF!&amp;"""")</f>
        <v>#REF!</v>
      </c>
      <c r="L119" t="e">
        <f>IF(装备!#REF!="",0,""""&amp;装备!#REF!&amp;"""")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IF(装备!#REF!="",0,"'"&amp;装备!#REF!&amp;"'")</f>
        <v>#REF!</v>
      </c>
      <c r="B120">
        <f>装备!D140</f>
        <v>0</v>
      </c>
      <c r="C120" t="e">
        <f>装备!#REF!</f>
        <v>#REF!</v>
      </c>
      <c r="D120" t="e">
        <f>装备!#REF!</f>
        <v>#REF!</v>
      </c>
      <c r="E120" t="e">
        <f>IF(ISTEXT(装备!#REF!)=TRUE,"'"&amp;装备!#REF!&amp;"'",装备!#REF!)</f>
        <v>#REF!</v>
      </c>
      <c r="F120" t="e">
        <f>IF(ISTEXT(装备!#REF!)=TRUE,"'"&amp;装备!#REF!&amp;"'",装备!#REF!)</f>
        <v>#REF!</v>
      </c>
      <c r="G120" t="e">
        <f>IF(装备!#REF!="",0,"'"&amp;装备!#REF!&amp;"'")</f>
        <v>#REF!</v>
      </c>
      <c r="H120" t="e">
        <f>IF(装备!#REF!="",0,装备!#REF!)</f>
        <v>#REF!</v>
      </c>
      <c r="I120" t="e">
        <f>IF(装备!#REF!="",0,装备!#REF!)</f>
        <v>#REF!</v>
      </c>
      <c r="J120" t="e">
        <f>IF(装备!#REF!="",0,""""&amp;装备!#REF!&amp;"""")</f>
        <v>#REF!</v>
      </c>
      <c r="K120" t="e">
        <f>IF(装备!#REF!="","""""",""""&amp;装备!#REF!&amp;"""")</f>
        <v>#REF!</v>
      </c>
      <c r="L120" t="e">
        <f>IF(装备!#REF!="",0,""""&amp;装备!#REF!&amp;"""")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IF(装备!#REF!="",0,"'"&amp;装备!#REF!&amp;"'")</f>
        <v>#REF!</v>
      </c>
      <c r="B121">
        <f>装备!D141</f>
        <v>0</v>
      </c>
      <c r="C121" t="e">
        <f>装备!#REF!</f>
        <v>#REF!</v>
      </c>
      <c r="D121" t="e">
        <f>装备!#REF!</f>
        <v>#REF!</v>
      </c>
      <c r="E121" t="e">
        <f>IF(ISTEXT(装备!#REF!)=TRUE,"'"&amp;装备!#REF!&amp;"'",装备!#REF!)</f>
        <v>#REF!</v>
      </c>
      <c r="F121" t="e">
        <f>IF(ISTEXT(装备!#REF!)=TRUE,"'"&amp;装备!#REF!&amp;"'",装备!#REF!)</f>
        <v>#REF!</v>
      </c>
      <c r="G121" t="e">
        <f>IF(装备!#REF!="",0,"'"&amp;装备!#REF!&amp;"'")</f>
        <v>#REF!</v>
      </c>
      <c r="H121" t="e">
        <f>IF(装备!#REF!="",0,装备!#REF!)</f>
        <v>#REF!</v>
      </c>
      <c r="I121" t="e">
        <f>IF(装备!#REF!="",0,装备!#REF!)</f>
        <v>#REF!</v>
      </c>
      <c r="J121" t="e">
        <f>IF(装备!#REF!="",0,""""&amp;装备!#REF!&amp;"""")</f>
        <v>#REF!</v>
      </c>
      <c r="K121" t="e">
        <f>IF(装备!#REF!="","""""",""""&amp;装备!#REF!&amp;"""")</f>
        <v>#REF!</v>
      </c>
      <c r="L121" t="e">
        <f>IF(装备!#REF!="",0,""""&amp;装备!#REF!&amp;"""")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IF(装备!#REF!="",0,"'"&amp;装备!#REF!&amp;"'")</f>
        <v>#REF!</v>
      </c>
      <c r="B122">
        <f>装备!D142</f>
        <v>0</v>
      </c>
      <c r="C122" t="e">
        <f>装备!#REF!</f>
        <v>#REF!</v>
      </c>
      <c r="D122" t="e">
        <f>装备!#REF!</f>
        <v>#REF!</v>
      </c>
      <c r="E122" t="e">
        <f>IF(ISTEXT(装备!#REF!)=TRUE,"'"&amp;装备!#REF!&amp;"'",装备!#REF!)</f>
        <v>#REF!</v>
      </c>
      <c r="F122" t="e">
        <f>IF(ISTEXT(装备!#REF!)=TRUE,"'"&amp;装备!#REF!&amp;"'",装备!#REF!)</f>
        <v>#REF!</v>
      </c>
      <c r="G122" t="e">
        <f>IF(装备!#REF!="",0,"'"&amp;装备!#REF!&amp;"'")</f>
        <v>#REF!</v>
      </c>
      <c r="H122" t="e">
        <f>IF(装备!#REF!="",0,装备!#REF!)</f>
        <v>#REF!</v>
      </c>
      <c r="I122" t="e">
        <f>IF(装备!#REF!="",0,装备!#REF!)</f>
        <v>#REF!</v>
      </c>
      <c r="J122" t="e">
        <f>IF(装备!#REF!="",0,""""&amp;装备!#REF!&amp;"""")</f>
        <v>#REF!</v>
      </c>
      <c r="K122" t="e">
        <f>IF(装备!#REF!="","""""",""""&amp;装备!#REF!&amp;"""")</f>
        <v>#REF!</v>
      </c>
      <c r="L122" t="e">
        <f>IF(装备!#REF!="",0,""""&amp;装备!#REF!&amp;"""")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IF(装备!B199="",0,"'"&amp;装备!B199&amp;"'")</f>
        <v>'IB01'</v>
      </c>
      <c r="B123">
        <f>装备!D143</f>
        <v>0</v>
      </c>
      <c r="C123">
        <f>装备!E199</f>
        <v>0</v>
      </c>
      <c r="D123">
        <f>装备!F199</f>
        <v>0</v>
      </c>
      <c r="E123">
        <f>IF(ISTEXT(装备!G199)=TRUE,"'"&amp;装备!G199&amp;"'",装备!G199)</f>
        <v>0</v>
      </c>
      <c r="F123">
        <f>IF(ISTEXT(装备!H199)=TRUE,"'"&amp;装备!H199&amp;"'",装备!H199)</f>
        <v>0</v>
      </c>
      <c r="G123">
        <f>IF(装备!I199="",0,"'"&amp;装备!I199&amp;"'")</f>
        <v>0</v>
      </c>
      <c r="H123">
        <f>IF(装备!R199="",0,装备!R199)</f>
        <v>0</v>
      </c>
      <c r="I123">
        <f>IF(装备!S199="",0,装备!S199)</f>
        <v>0</v>
      </c>
      <c r="J123" t="str">
        <f>IF(装备!C199="",0,""""&amp;装备!C199&amp;"""")</f>
        <v>"公众号礼包"</v>
      </c>
      <c r="K123" t="str">
        <f>IF(装备!T199="","""""",""""&amp;装备!T199&amp;"""")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IF(装备!U199="",0,""""&amp;装备!U199&amp;"""")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IF(装备!B200="",0,"'"&amp;装备!B200&amp;"'")</f>
        <v>'IB02'</v>
      </c>
      <c r="B124">
        <f>装备!D144</f>
        <v>0</v>
      </c>
      <c r="C124">
        <f>装备!E200</f>
        <v>0</v>
      </c>
      <c r="D124">
        <f>装备!F200</f>
        <v>0</v>
      </c>
      <c r="E124">
        <f>IF(ISTEXT(装备!G200)=TRUE,"'"&amp;装备!G200&amp;"'",装备!G200)</f>
        <v>0</v>
      </c>
      <c r="F124">
        <f>IF(ISTEXT(装备!H200)=TRUE,"'"&amp;装备!H200&amp;"'",装备!H200)</f>
        <v>0</v>
      </c>
      <c r="G124">
        <f>IF(装备!I200="",0,"'"&amp;装备!I200&amp;"'")</f>
        <v>0</v>
      </c>
      <c r="H124">
        <f>IF(装备!R200="",0,装备!R200)</f>
        <v>0</v>
      </c>
      <c r="I124">
        <f>IF(装备!S200="",0,装备!S200)</f>
        <v>0</v>
      </c>
      <c r="J124" t="str">
        <f>IF(装备!C200="",0,""""&amp;装备!C200&amp;"""")</f>
        <v>"入群礼包"</v>
      </c>
      <c r="K124" t="str">
        <f>IF(装备!T200="","""""",""""&amp;装备!T200&amp;"""")</f>
        <v>"加入《|cff00ffcc全民封神|r》官方QQ群，即可获得入群礼包码！|n|n输入礼包码即可获得：|n|cffffcc33金币+2000|n每秒攻击+2|n每秒业力+1|r"</v>
      </c>
      <c r="L124" t="str">
        <f>IF(装备!U200="",0,""""&amp;装备!U200&amp;"""")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IF(装备!B201="",0,"'"&amp;装备!B201&amp;"'")</f>
        <v>'IB03'</v>
      </c>
      <c r="B125">
        <f>装备!D145</f>
        <v>0</v>
      </c>
      <c r="C125">
        <f>装备!E201</f>
        <v>0</v>
      </c>
      <c r="D125">
        <f>装备!F201</f>
        <v>0</v>
      </c>
      <c r="E125">
        <f>IF(ISTEXT(装备!G201)=TRUE,"'"&amp;装备!G201&amp;"'",装备!G201)</f>
        <v>0</v>
      </c>
      <c r="F125">
        <f>IF(ISTEXT(装备!H201)=TRUE,"'"&amp;装备!H201&amp;"'",装备!H201)</f>
        <v>0</v>
      </c>
      <c r="G125">
        <f>IF(装备!I201="",0,"'"&amp;装备!I201&amp;"'")</f>
        <v>0</v>
      </c>
      <c r="H125">
        <f>IF(装备!R201="",0,装备!R201)</f>
        <v>0</v>
      </c>
      <c r="I125">
        <f>IF(装备!S201="",0,装备!S201)</f>
        <v>0</v>
      </c>
      <c r="J125" t="str">
        <f>IF(装备!C201="",0,""""&amp;装备!C201&amp;"""")</f>
        <v>"拜年礼包"</v>
      </c>
      <c r="K125" t="str">
        <f>IF(装备!T201="","""""",""""&amp;装备!T201&amp;"""")</f>
        <v>"|cff99ccff给与地图有效评论建议|r即可领取：|n|cffffff00杀敌生命+5|n杀敌业力+1|n|r|cffffcc33每级通行证永久增加3点杀敌生命奖励！|n|n|r|cff808080地图等级达到3级可领取|r"</v>
      </c>
      <c r="L125" t="str">
        <f>IF(装备!U201="",0,""""&amp;装备!U201&amp;"""")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|n杀敌业力+1|n|r|cffffcc33每级通行证永久增加3点杀敌生命奖励！|n|n|r|cff808080地图等级达到3级可领取|r")</v>
      </c>
    </row>
    <row r="126" spans="1:14">
      <c r="A126" t="str">
        <f>IF(装备!B202="",0,"'"&amp;装备!B202&amp;"'")</f>
        <v>'IB04'</v>
      </c>
      <c r="B126">
        <f>装备!D146</f>
        <v>0</v>
      </c>
      <c r="C126">
        <f>装备!E202</f>
        <v>0</v>
      </c>
      <c r="D126">
        <f>装备!F202</f>
        <v>0</v>
      </c>
      <c r="E126">
        <f>IF(ISTEXT(装备!G202)=TRUE,"'"&amp;装备!G202&amp;"'",装备!G202)</f>
        <v>0</v>
      </c>
      <c r="F126">
        <f>IF(ISTEXT(装备!H202)=TRUE,"'"&amp;装备!H202&amp;"'",装备!H202)</f>
        <v>0</v>
      </c>
      <c r="G126">
        <f>IF(装备!I202="",0,"'"&amp;装备!I202&amp;"'")</f>
        <v>0</v>
      </c>
      <c r="H126">
        <f>IF(装备!R202="",0,装备!R202)</f>
        <v>0</v>
      </c>
      <c r="I126">
        <f>IF(装备!S202="",0,装备!S202)</f>
        <v>0</v>
      </c>
      <c r="J126" t="str">
        <f>IF(装备!C202="",0,""""&amp;装备!C202&amp;"""")</f>
        <v>"收藏礼包"</v>
      </c>
      <c r="K126" t="str">
        <f>IF(装备!T202="","""""",""""&amp;装备!T202&amp;"""")</f>
        <v>"|cff99ccff房间大厅界面点击右上角《|r|cffcc99ff收藏|r|cff99ccff》后可领取该礼包。|n|n|r属性：|n|cffffcc33物理伤害+5%|n法术伤害+5%|r"</v>
      </c>
      <c r="L126" t="str">
        <f>IF(装备!U202="",0,""""&amp;装备!U202&amp;"""")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IF(装备!B203="",0,"'"&amp;装备!B203&amp;"'")</f>
        <v>'IB05'</v>
      </c>
      <c r="B127">
        <f>装备!D147</f>
        <v>0</v>
      </c>
      <c r="C127">
        <f>装备!E203</f>
        <v>0</v>
      </c>
      <c r="D127">
        <f>装备!F203</f>
        <v>0</v>
      </c>
      <c r="E127">
        <f>IF(ISTEXT(装备!G203)=TRUE,"'"&amp;装备!G203&amp;"'",装备!G203)</f>
        <v>0</v>
      </c>
      <c r="F127">
        <f>IF(ISTEXT(装备!H203)=TRUE,"'"&amp;装备!H203&amp;"'",装备!H203)</f>
        <v>0</v>
      </c>
      <c r="G127">
        <f>IF(装备!I203="",0,"'"&amp;装备!I203&amp;"'")</f>
        <v>0</v>
      </c>
      <c r="H127">
        <f>IF(装备!R203="",0,装备!R203)</f>
        <v>0</v>
      </c>
      <c r="I127">
        <f>IF(装备!S203="",0,装备!S203)</f>
        <v>0</v>
      </c>
      <c r="J127" t="str">
        <f>IF(装备!C203="",0,""""&amp;装备!C203&amp;"""")</f>
        <v>"重置版礼包"</v>
      </c>
      <c r="K127" t="str">
        <f>IF(装备!T203="","""""",""""&amp;装备!T203&amp;"""")</f>
        <v>"|cff33ff00购买魔兽重制版可领取该礼包！|n|n|r属性：|n|cffffcc33高级聚宝盆|r"</v>
      </c>
      <c r="L127" t="str">
        <f>IF(装备!U203="",0,""""&amp;装备!U203&amp;"""")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IF(装备!B217="",0,"'"&amp;装备!B217&amp;"'")</f>
        <v>'IF01'</v>
      </c>
      <c r="B128">
        <f>装备!D148</f>
        <v>0</v>
      </c>
      <c r="C128">
        <f>装备!E217</f>
        <v>0</v>
      </c>
      <c r="D128">
        <f>装备!F217</f>
        <v>0</v>
      </c>
      <c r="E128">
        <f>IF(ISTEXT(装备!G217)=TRUE,"'"&amp;装备!G217&amp;"'",装备!G217)</f>
        <v>0</v>
      </c>
      <c r="F128">
        <f>IF(ISTEXT(装备!H217)=TRUE,"'"&amp;装备!H217&amp;"'",装备!H217)</f>
        <v>0</v>
      </c>
      <c r="G128">
        <f>IF(装备!I217="",0,"'"&amp;装备!I217&amp;"'")</f>
        <v>0</v>
      </c>
      <c r="H128">
        <f>IF(装备!R217="",0,装备!R217)</f>
        <v>0</v>
      </c>
      <c r="I128">
        <f>IF(装备!S217="",0,装备!S217)</f>
        <v>0</v>
      </c>
      <c r="J128" t="str">
        <f>IF(装备!C217="",0,""""&amp;装备!C217&amp;"""")</f>
        <v>"攻击"</v>
      </c>
      <c r="K128" t="str">
        <f>IF(装备!T217="","""""",""""&amp;装备!T217&amp;"""")</f>
        <v>""</v>
      </c>
      <c r="L128">
        <f>IF(装备!U217="",0,""""&amp;装备!U217&amp;"""")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IF(装备!B218="",0,"'"&amp;装备!B218&amp;"'")</f>
        <v>'IF02'</v>
      </c>
      <c r="B129">
        <f>装备!D149</f>
        <v>0</v>
      </c>
      <c r="C129">
        <f>装备!E218</f>
        <v>0</v>
      </c>
      <c r="D129">
        <f>装备!F218</f>
        <v>0</v>
      </c>
      <c r="E129">
        <f>IF(ISTEXT(装备!G218)=TRUE,"'"&amp;装备!G218&amp;"'",装备!G218)</f>
        <v>0</v>
      </c>
      <c r="F129">
        <f>IF(ISTEXT(装备!H218)=TRUE,"'"&amp;装备!H218&amp;"'",装备!H218)</f>
        <v>0</v>
      </c>
      <c r="G129">
        <f>IF(装备!I218="",0,"'"&amp;装备!I218&amp;"'")</f>
        <v>0</v>
      </c>
      <c r="H129">
        <f>IF(装备!R218="",0,装备!R218)</f>
        <v>0</v>
      </c>
      <c r="I129">
        <f>IF(装备!S218="",0,装备!S218)</f>
        <v>0</v>
      </c>
      <c r="J129" t="str">
        <f>IF(装备!C218="",0,""""&amp;装备!C218&amp;"""")</f>
        <v>"法强"</v>
      </c>
      <c r="K129" t="str">
        <f>IF(装备!T218="","""""",""""&amp;装备!T218&amp;"""")</f>
        <v>""</v>
      </c>
      <c r="L129">
        <f>IF(装备!U218="",0,""""&amp;装备!U218&amp;"""")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IF(装备!B219="",0,"'"&amp;装备!B219&amp;"'")</f>
        <v>'IF03'</v>
      </c>
      <c r="B130">
        <f>装备!D150</f>
        <v>0</v>
      </c>
      <c r="C130">
        <f>装备!E219</f>
        <v>0</v>
      </c>
      <c r="D130">
        <f>装备!F219</f>
        <v>0</v>
      </c>
      <c r="E130">
        <f>IF(ISTEXT(装备!G219)=TRUE,"'"&amp;装备!G219&amp;"'",装备!G219)</f>
        <v>0</v>
      </c>
      <c r="F130">
        <f>IF(ISTEXT(装备!H219)=TRUE,"'"&amp;装备!H219&amp;"'",装备!H219)</f>
        <v>0</v>
      </c>
      <c r="G130">
        <f>IF(装备!I219="",0,"'"&amp;装备!I219&amp;"'")</f>
        <v>0</v>
      </c>
      <c r="H130">
        <f>IF(装备!R219="",0,装备!R219)</f>
        <v>0</v>
      </c>
      <c r="I130">
        <f>IF(装备!S219="",0,装备!S219)</f>
        <v>0</v>
      </c>
      <c r="J130" t="str">
        <f>IF(装备!C219="",0,""""&amp;装备!C219&amp;"""")</f>
        <v>"攻击"</v>
      </c>
      <c r="K130" t="str">
        <f>IF(装备!T219="","""""",""""&amp;装备!T219&amp;"""")</f>
        <v>""</v>
      </c>
      <c r="L130">
        <f>IF(装备!U219="",0,""""&amp;装备!U219&amp;"""")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IF(装备!B220="",0,"'"&amp;装备!B220&amp;"'")</f>
        <v>'IF04'</v>
      </c>
      <c r="B131">
        <f>装备!D151</f>
        <v>0</v>
      </c>
      <c r="C131">
        <f>装备!E220</f>
        <v>0</v>
      </c>
      <c r="D131">
        <f>装备!F220</f>
        <v>0</v>
      </c>
      <c r="E131">
        <f>IF(ISTEXT(装备!G220)=TRUE,"'"&amp;装备!G220&amp;"'",装备!G220)</f>
        <v>0</v>
      </c>
      <c r="F131">
        <f>IF(ISTEXT(装备!H220)=TRUE,"'"&amp;装备!H220&amp;"'",装备!H220)</f>
        <v>0</v>
      </c>
      <c r="G131">
        <f>IF(装备!I220="",0,"'"&amp;装备!I220&amp;"'")</f>
        <v>0</v>
      </c>
      <c r="H131">
        <f>IF(装备!R220="",0,装备!R220)</f>
        <v>0</v>
      </c>
      <c r="I131">
        <f>IF(装备!S220="",0,装备!S220)</f>
        <v>0</v>
      </c>
      <c r="J131" t="str">
        <f>IF(装备!C220="",0,""""&amp;装备!C220&amp;"""")</f>
        <v>"法强"</v>
      </c>
      <c r="K131" t="str">
        <f>IF(装备!T220="","""""",""""&amp;装备!T220&amp;"""")</f>
        <v>""</v>
      </c>
      <c r="L131">
        <f>IF(装备!U220="",0,""""&amp;装备!U220&amp;"""")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IF(装备!B221="",0,"'"&amp;装备!B221&amp;"'")</f>
        <v>'IF05'</v>
      </c>
      <c r="B132">
        <f>装备!D152</f>
        <v>0</v>
      </c>
      <c r="C132">
        <f>装备!E221</f>
        <v>0</v>
      </c>
      <c r="D132">
        <f>装备!F221</f>
        <v>0</v>
      </c>
      <c r="E132">
        <f>IF(ISTEXT(装备!G221)=TRUE,"'"&amp;装备!G221&amp;"'",装备!G221)</f>
        <v>0</v>
      </c>
      <c r="F132">
        <f>IF(ISTEXT(装备!H221)=TRUE,"'"&amp;装备!H221&amp;"'",装备!H221)</f>
        <v>0</v>
      </c>
      <c r="G132">
        <f>IF(装备!I221="",0,"'"&amp;装备!I221&amp;"'")</f>
        <v>0</v>
      </c>
      <c r="H132">
        <f>IF(装备!R221="",0,装备!R221)</f>
        <v>0</v>
      </c>
      <c r="I132">
        <f>IF(装备!S221="",0,装备!S221)</f>
        <v>0</v>
      </c>
      <c r="J132" t="str">
        <f>IF(装备!C221="",0,""""&amp;装备!C221&amp;"""")</f>
        <v>"攻击"</v>
      </c>
      <c r="K132" t="str">
        <f>IF(装备!T221="","""""",""""&amp;装备!T221&amp;"""")</f>
        <v>""</v>
      </c>
      <c r="L132">
        <f>IF(装备!U221="",0,""""&amp;装备!U221&amp;"""")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IF(装备!B222="",0,"'"&amp;装备!B222&amp;"'")</f>
        <v>'IF06'</v>
      </c>
      <c r="B133">
        <f>装备!D153</f>
        <v>0</v>
      </c>
      <c r="C133">
        <f>装备!E222</f>
        <v>0</v>
      </c>
      <c r="D133">
        <f>装备!F222</f>
        <v>0</v>
      </c>
      <c r="E133">
        <f>IF(ISTEXT(装备!G222)=TRUE,"'"&amp;装备!G222&amp;"'",装备!G222)</f>
        <v>0</v>
      </c>
      <c r="F133">
        <f>IF(ISTEXT(装备!H222)=TRUE,"'"&amp;装备!H222&amp;"'",装备!H222)</f>
        <v>0</v>
      </c>
      <c r="G133">
        <f>IF(装备!I222="",0,"'"&amp;装备!I222&amp;"'")</f>
        <v>0</v>
      </c>
      <c r="H133">
        <f>IF(装备!R222="",0,装备!R222)</f>
        <v>0</v>
      </c>
      <c r="I133">
        <f>IF(装备!S222="",0,装备!S222)</f>
        <v>0</v>
      </c>
      <c r="J133" t="str">
        <f>IF(装备!C222="",0,""""&amp;装备!C222&amp;"""")</f>
        <v>"法强"</v>
      </c>
      <c r="K133" t="str">
        <f>IF(装备!T222="","""""",""""&amp;装备!T222&amp;"""")</f>
        <v>""</v>
      </c>
      <c r="L133">
        <f>IF(装备!U222="",0,""""&amp;装备!U222&amp;"""")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IF(装备!B223="",0,"'"&amp;装备!B223&amp;"'")</f>
        <v>'IF07'</v>
      </c>
      <c r="B134">
        <f>装备!D154</f>
        <v>0</v>
      </c>
      <c r="C134">
        <f>装备!E223</f>
        <v>0</v>
      </c>
      <c r="D134">
        <f>装备!F223</f>
        <v>0</v>
      </c>
      <c r="E134">
        <f>IF(ISTEXT(装备!G223)=TRUE,"'"&amp;装备!G223&amp;"'",装备!G223)</f>
        <v>0</v>
      </c>
      <c r="F134">
        <f>IF(ISTEXT(装备!H223)=TRUE,"'"&amp;装备!H223&amp;"'",装备!H223)</f>
        <v>0</v>
      </c>
      <c r="G134">
        <f>IF(装备!I223="",0,"'"&amp;装备!I223&amp;"'")</f>
        <v>0</v>
      </c>
      <c r="H134">
        <f>IF(装备!R223="",0,装备!R223)</f>
        <v>0</v>
      </c>
      <c r="I134">
        <f>IF(装备!S223="",0,装备!S223)</f>
        <v>0</v>
      </c>
      <c r="J134" t="str">
        <f>IF(装备!C223="",0,""""&amp;装备!C223&amp;"""")</f>
        <v>"攻击"</v>
      </c>
      <c r="K134" t="str">
        <f>IF(装备!T223="","""""",""""&amp;装备!T223&amp;"""")</f>
        <v>""</v>
      </c>
      <c r="L134">
        <f>IF(装备!U223="",0,""""&amp;装备!U223&amp;"""")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IF(装备!B224="",0,"'"&amp;装备!B224&amp;"'")</f>
        <v>'IF08'</v>
      </c>
      <c r="B135">
        <f>装备!D155</f>
        <v>0</v>
      </c>
      <c r="C135">
        <f>装备!E224</f>
        <v>0</v>
      </c>
      <c r="D135">
        <f>装备!F224</f>
        <v>0</v>
      </c>
      <c r="E135">
        <f>IF(ISTEXT(装备!G224)=TRUE,"'"&amp;装备!G224&amp;"'",装备!G224)</f>
        <v>0</v>
      </c>
      <c r="F135">
        <f>IF(ISTEXT(装备!H224)=TRUE,"'"&amp;装备!H224&amp;"'",装备!H224)</f>
        <v>0</v>
      </c>
      <c r="G135">
        <f>IF(装备!I224="",0,"'"&amp;装备!I224&amp;"'")</f>
        <v>0</v>
      </c>
      <c r="H135">
        <f>IF(装备!R224="",0,装备!R224)</f>
        <v>0</v>
      </c>
      <c r="I135">
        <f>IF(装备!S224="",0,装备!S224)</f>
        <v>0</v>
      </c>
      <c r="J135" t="str">
        <f>IF(装备!C224="",0,""""&amp;装备!C224&amp;"""")</f>
        <v>"法强"</v>
      </c>
      <c r="K135" t="str">
        <f>IF(装备!T224="","""""",""""&amp;装备!T224&amp;"""")</f>
        <v>""</v>
      </c>
      <c r="L135">
        <f>IF(装备!U224="",0,""""&amp;装备!U224&amp;"""")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IF(装备!B225="",0,"'"&amp;装备!B225&amp;"'")</f>
        <v>'IF09'</v>
      </c>
      <c r="B136">
        <f>装备!D156</f>
        <v>0</v>
      </c>
      <c r="C136">
        <f>装备!E225</f>
        <v>0</v>
      </c>
      <c r="D136">
        <f>装备!F225</f>
        <v>0</v>
      </c>
      <c r="E136">
        <f>IF(ISTEXT(装备!G225)=TRUE,"'"&amp;装备!G225&amp;"'",装备!G225)</f>
        <v>0</v>
      </c>
      <c r="F136">
        <f>IF(ISTEXT(装备!H225)=TRUE,"'"&amp;装备!H225&amp;"'",装备!H225)</f>
        <v>0</v>
      </c>
      <c r="G136">
        <f>IF(装备!I225="",0,"'"&amp;装备!I225&amp;"'")</f>
        <v>0</v>
      </c>
      <c r="H136">
        <f>IF(装备!R225="",0,装备!R225)</f>
        <v>0</v>
      </c>
      <c r="I136">
        <f>IF(装备!S225="",0,装备!S225)</f>
        <v>0</v>
      </c>
      <c r="J136" t="str">
        <f>IF(装备!C225="",0,""""&amp;装备!C225&amp;"""")</f>
        <v>"攻击"</v>
      </c>
      <c r="K136" t="str">
        <f>IF(装备!T225="","""""",""""&amp;装备!T225&amp;"""")</f>
        <v>""</v>
      </c>
      <c r="L136">
        <f>IF(装备!U225="",0,""""&amp;装备!U225&amp;"""")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IF(装备!B226="",0,"'"&amp;装备!B226&amp;"'")</f>
        <v>'IF10'</v>
      </c>
      <c r="B137">
        <f>装备!D157</f>
        <v>0</v>
      </c>
      <c r="C137">
        <f>装备!E226</f>
        <v>0</v>
      </c>
      <c r="D137">
        <f>装备!F226</f>
        <v>0</v>
      </c>
      <c r="E137">
        <f>IF(ISTEXT(装备!G226)=TRUE,"'"&amp;装备!G226&amp;"'",装备!G226)</f>
        <v>0</v>
      </c>
      <c r="F137">
        <f>IF(ISTEXT(装备!H226)=TRUE,"'"&amp;装备!H226&amp;"'",装备!H226)</f>
        <v>0</v>
      </c>
      <c r="G137">
        <f>IF(装备!I226="",0,"'"&amp;装备!I226&amp;"'")</f>
        <v>0</v>
      </c>
      <c r="H137">
        <f>IF(装备!R226="",0,装备!R226)</f>
        <v>0</v>
      </c>
      <c r="I137">
        <f>IF(装备!S226="",0,装备!S226)</f>
        <v>0</v>
      </c>
      <c r="J137" t="str">
        <f>IF(装备!C226="",0,""""&amp;装备!C226&amp;"""")</f>
        <v>"法强"</v>
      </c>
      <c r="K137" t="str">
        <f>IF(装备!T226="","""""",""""&amp;装备!T226&amp;"""")</f>
        <v>""</v>
      </c>
      <c r="L137">
        <f>IF(装备!U226="",0,""""&amp;装备!U226&amp;"""")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IF(装备!B227="",0,"'"&amp;装备!B227&amp;"'")</f>
        <v>'IF11'</v>
      </c>
      <c r="B138">
        <f>装备!D158</f>
        <v>0</v>
      </c>
      <c r="C138">
        <f>装备!E227</f>
        <v>0</v>
      </c>
      <c r="D138">
        <f>装备!F227</f>
        <v>0</v>
      </c>
      <c r="E138">
        <f>IF(ISTEXT(装备!G227)=TRUE,"'"&amp;装备!G227&amp;"'",装备!G227)</f>
        <v>0</v>
      </c>
      <c r="F138">
        <f>IF(ISTEXT(装备!H227)=TRUE,"'"&amp;装备!H227&amp;"'",装备!H227)</f>
        <v>0</v>
      </c>
      <c r="G138">
        <f>IF(装备!I227="",0,"'"&amp;装备!I227&amp;"'")</f>
        <v>0</v>
      </c>
      <c r="H138">
        <f>IF(装备!R227="",0,装备!R227)</f>
        <v>0</v>
      </c>
      <c r="I138">
        <f>IF(装备!S227="",0,装备!S227)</f>
        <v>0</v>
      </c>
      <c r="J138" t="str">
        <f>IF(装备!C227="",0,""""&amp;装备!C227&amp;"""")</f>
        <v>"攻击和法强"</v>
      </c>
      <c r="K138" t="str">
        <f>IF(装备!T227="","""""",""""&amp;装备!T227&amp;"""")</f>
        <v>""</v>
      </c>
      <c r="L138">
        <f>IF(装备!U227="",0,""""&amp;装备!U227&amp;"""")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IF(装备!B228="",0,"'"&amp;装备!B228&amp;"'")</f>
        <v>'IF12'</v>
      </c>
      <c r="B139">
        <f>装备!D159</f>
        <v>0</v>
      </c>
      <c r="C139">
        <f>装备!E228</f>
        <v>0</v>
      </c>
      <c r="D139">
        <f>装备!F228</f>
        <v>0</v>
      </c>
      <c r="E139">
        <f>IF(ISTEXT(装备!G228)=TRUE,"'"&amp;装备!G228&amp;"'",装备!G228)</f>
        <v>0</v>
      </c>
      <c r="F139">
        <f>IF(ISTEXT(装备!H228)=TRUE,"'"&amp;装备!H228&amp;"'",装备!H228)</f>
        <v>0</v>
      </c>
      <c r="G139">
        <f>IF(装备!I228="",0,"'"&amp;装备!I228&amp;"'")</f>
        <v>0</v>
      </c>
      <c r="H139">
        <f>IF(装备!R228="",0,装备!R228)</f>
        <v>0</v>
      </c>
      <c r="I139">
        <f>IF(装备!S228="",0,装备!S228)</f>
        <v>0</v>
      </c>
      <c r="J139" t="str">
        <f>IF(装备!C228="",0,""""&amp;装备!C228&amp;"""")</f>
        <v>"暴击"</v>
      </c>
      <c r="K139" t="str">
        <f>IF(装备!T228="","""""",""""&amp;装备!T228&amp;"""")</f>
        <v>""</v>
      </c>
      <c r="L139">
        <f>IF(装备!U228="",0,""""&amp;装备!U228&amp;"""")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IF(装备!B229="",0,"'"&amp;装备!B229&amp;"'")</f>
        <v>'IF13'</v>
      </c>
      <c r="B140">
        <f>装备!D160</f>
        <v>0</v>
      </c>
      <c r="C140">
        <f>装备!E229</f>
        <v>0</v>
      </c>
      <c r="D140">
        <f>装备!F229</f>
        <v>0</v>
      </c>
      <c r="E140">
        <f>IF(ISTEXT(装备!G229)=TRUE,"'"&amp;装备!G229&amp;"'",装备!G229)</f>
        <v>0</v>
      </c>
      <c r="F140">
        <f>IF(ISTEXT(装备!H229)=TRUE,"'"&amp;装备!H229&amp;"'",装备!H229)</f>
        <v>0</v>
      </c>
      <c r="G140">
        <f>IF(装备!I229="",0,"'"&amp;装备!I229&amp;"'")</f>
        <v>0</v>
      </c>
      <c r="H140">
        <f>IF(装备!R229="",0,装备!R229)</f>
        <v>0</v>
      </c>
      <c r="I140">
        <f>IF(装备!S229="",0,装备!S229)</f>
        <v>0</v>
      </c>
      <c r="J140" t="str">
        <f>IF(装备!C229="",0,""""&amp;装备!C229&amp;"""")</f>
        <v>"爆伤"</v>
      </c>
      <c r="K140" t="str">
        <f>IF(装备!T229="","""""",""""&amp;装备!T229&amp;"""")</f>
        <v>""</v>
      </c>
      <c r="L140">
        <f>IF(装备!U229="",0,""""&amp;装备!U229&amp;"""")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IF(装备!B230="",0,"'"&amp;装备!B230&amp;"'")</f>
        <v>'IF14'</v>
      </c>
      <c r="B141">
        <f>装备!D161</f>
        <v>0</v>
      </c>
      <c r="C141">
        <f>装备!E230</f>
        <v>0</v>
      </c>
      <c r="D141">
        <f>装备!F230</f>
        <v>0</v>
      </c>
      <c r="E141">
        <f>IF(ISTEXT(装备!G230)=TRUE,"'"&amp;装备!G230&amp;"'",装备!G230)</f>
        <v>0</v>
      </c>
      <c r="F141">
        <f>IF(ISTEXT(装备!H230)=TRUE,"'"&amp;装备!H230&amp;"'",装备!H230)</f>
        <v>0</v>
      </c>
      <c r="G141">
        <f>IF(装备!I230="",0,"'"&amp;装备!I230&amp;"'")</f>
        <v>0</v>
      </c>
      <c r="H141">
        <f>IF(装备!R230="",0,装备!R230)</f>
        <v>0</v>
      </c>
      <c r="I141">
        <f>IF(装备!S230="",0,装备!S230)</f>
        <v>0</v>
      </c>
      <c r="J141" t="str">
        <f>IF(装备!C230="",0,""""&amp;装备!C230&amp;"""")</f>
        <v>"爆伤"</v>
      </c>
      <c r="K141" t="str">
        <f>IF(装备!T230="","""""",""""&amp;装备!T230&amp;"""")</f>
        <v>""</v>
      </c>
      <c r="L141">
        <f>IF(装备!U230="",0,""""&amp;装备!U230&amp;"""")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IF(装备!B231="",0,"'"&amp;装备!B231&amp;"'")</f>
        <v>'IF15'</v>
      </c>
      <c r="B142">
        <f>装备!D162</f>
        <v>0</v>
      </c>
      <c r="C142">
        <f>装备!E231</f>
        <v>0</v>
      </c>
      <c r="D142">
        <f>装备!F231</f>
        <v>0</v>
      </c>
      <c r="E142">
        <f>IF(ISTEXT(装备!G231)=TRUE,"'"&amp;装备!G231&amp;"'",装备!G231)</f>
        <v>0</v>
      </c>
      <c r="F142">
        <f>IF(ISTEXT(装备!H231)=TRUE,"'"&amp;装备!H231&amp;"'",装备!H231)</f>
        <v>0</v>
      </c>
      <c r="G142">
        <f>IF(装备!I231="",0,"'"&amp;装备!I231&amp;"'")</f>
        <v>0</v>
      </c>
      <c r="H142">
        <f>IF(装备!R231="",0,装备!R231)</f>
        <v>0</v>
      </c>
      <c r="I142">
        <f>IF(装备!S231="",0,装备!S231)</f>
        <v>0</v>
      </c>
      <c r="J142" t="str">
        <f>IF(装备!C231="",0,""""&amp;装备!C231&amp;"""")</f>
        <v>"爆伤"</v>
      </c>
      <c r="K142" t="str">
        <f>IF(装备!T231="","""""",""""&amp;装备!T231&amp;"""")</f>
        <v>""</v>
      </c>
      <c r="L142">
        <f>IF(装备!U231="",0,""""&amp;装备!U231&amp;"""")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IF(装备!B232="",0,"'"&amp;装备!B232&amp;"'")</f>
        <v>'IF16'</v>
      </c>
      <c r="B143">
        <f>装备!D163</f>
        <v>0</v>
      </c>
      <c r="C143">
        <f>装备!E232</f>
        <v>0</v>
      </c>
      <c r="D143">
        <f>装备!F232</f>
        <v>0</v>
      </c>
      <c r="E143">
        <f>IF(ISTEXT(装备!G232)=TRUE,"'"&amp;装备!G232&amp;"'",装备!G232)</f>
        <v>0</v>
      </c>
      <c r="F143">
        <f>IF(ISTEXT(装备!H232)=TRUE,"'"&amp;装备!H232&amp;"'",装备!H232)</f>
        <v>0</v>
      </c>
      <c r="G143">
        <f>IF(装备!I232="",0,"'"&amp;装备!I232&amp;"'")</f>
        <v>0</v>
      </c>
      <c r="H143">
        <f>IF(装备!R232="",0,装备!R232)</f>
        <v>0</v>
      </c>
      <c r="I143">
        <f>IF(装备!S232="",0,装备!S232)</f>
        <v>0</v>
      </c>
      <c r="J143" t="str">
        <f>IF(装备!C232="",0,""""&amp;装备!C232&amp;"""")</f>
        <v>"冷却缩减"</v>
      </c>
      <c r="K143" t="str">
        <f>IF(装备!T232="","""""",""""&amp;装备!T232&amp;"""")</f>
        <v>""</v>
      </c>
      <c r="L143">
        <f>IF(装备!U232="",0,""""&amp;装备!U232&amp;"""")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IF(装备!B233="",0,"'"&amp;装备!B233&amp;"'")</f>
        <v>'IF17'</v>
      </c>
      <c r="B144">
        <f>装备!D164</f>
        <v>0</v>
      </c>
      <c r="C144">
        <f>装备!E233</f>
        <v>0</v>
      </c>
      <c r="D144">
        <f>装备!F233</f>
        <v>0</v>
      </c>
      <c r="E144">
        <f>IF(ISTEXT(装备!G233)=TRUE,"'"&amp;装备!G233&amp;"'",装备!G233)</f>
        <v>0</v>
      </c>
      <c r="F144">
        <f>IF(ISTEXT(装备!H233)=TRUE,"'"&amp;装备!H233&amp;"'",装备!H233)</f>
        <v>0</v>
      </c>
      <c r="G144">
        <f>IF(装备!I233="",0,"'"&amp;装备!I233&amp;"'")</f>
        <v>0</v>
      </c>
      <c r="H144">
        <f>IF(装备!R233="",0,装备!R233)</f>
        <v>0</v>
      </c>
      <c r="I144">
        <f>IF(装备!S233="",0,装备!S233)</f>
        <v>0</v>
      </c>
      <c r="J144" t="str">
        <f>IF(装备!C233="",0,""""&amp;装备!C233&amp;"""")</f>
        <v>"冷却缩减"</v>
      </c>
      <c r="K144" t="str">
        <f>IF(装备!T233="","""""",""""&amp;装备!T233&amp;"""")</f>
        <v>""</v>
      </c>
      <c r="L144">
        <f>IF(装备!U233="",0,""""&amp;装备!U233&amp;"""")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IF(装备!B234="",0,"'"&amp;装备!B234&amp;"'")</f>
        <v>'IF18'</v>
      </c>
      <c r="B145">
        <f>装备!D165</f>
        <v>0</v>
      </c>
      <c r="C145">
        <f>装备!E234</f>
        <v>0</v>
      </c>
      <c r="D145">
        <f>装备!F234</f>
        <v>0</v>
      </c>
      <c r="E145">
        <f>IF(ISTEXT(装备!G234)=TRUE,"'"&amp;装备!G234&amp;"'",装备!G234)</f>
        <v>0</v>
      </c>
      <c r="F145">
        <f>IF(ISTEXT(装备!H234)=TRUE,"'"&amp;装备!H234&amp;"'",装备!H234)</f>
        <v>0</v>
      </c>
      <c r="G145">
        <f>IF(装备!I234="",0,"'"&amp;装备!I234&amp;"'")</f>
        <v>0</v>
      </c>
      <c r="H145">
        <f>IF(装备!R234="",0,装备!R234)</f>
        <v>0</v>
      </c>
      <c r="I145">
        <f>IF(装备!S234="",0,装备!S234)</f>
        <v>0</v>
      </c>
      <c r="J145" t="str">
        <f>IF(装备!C234="",0,""""&amp;装备!C234&amp;"""")</f>
        <v>"攻击速度"</v>
      </c>
      <c r="K145" t="str">
        <f>IF(装备!T234="","""""",""""&amp;装备!T234&amp;"""")</f>
        <v>""</v>
      </c>
      <c r="L145">
        <f>IF(装备!U234="",0,""""&amp;装备!U234&amp;"""")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IF(装备!B235="",0,"'"&amp;装备!B235&amp;"'")</f>
        <v>'IF19'</v>
      </c>
      <c r="B146">
        <f>装备!D166</f>
        <v>0</v>
      </c>
      <c r="C146">
        <f>装备!E235</f>
        <v>0</v>
      </c>
      <c r="D146">
        <f>装备!F235</f>
        <v>0</v>
      </c>
      <c r="E146">
        <f>IF(ISTEXT(装备!G235)=TRUE,"'"&amp;装备!G235&amp;"'",装备!G235)</f>
        <v>0</v>
      </c>
      <c r="F146">
        <f>IF(ISTEXT(装备!H235)=TRUE,"'"&amp;装备!H235&amp;"'",装备!H235)</f>
        <v>0</v>
      </c>
      <c r="G146">
        <f>IF(装备!I235="",0,"'"&amp;装备!I235&amp;"'")</f>
        <v>0</v>
      </c>
      <c r="H146">
        <f>IF(装备!R235="",0,装备!R235)</f>
        <v>0</v>
      </c>
      <c r="I146">
        <f>IF(装备!S235="",0,装备!S235)</f>
        <v>0</v>
      </c>
      <c r="J146" t="str">
        <f>IF(装备!C235="",0,""""&amp;装备!C235&amp;"""")</f>
        <v>"攻击速度"</v>
      </c>
      <c r="K146" t="str">
        <f>IF(装备!T235="","""""",""""&amp;装备!T235&amp;"""")</f>
        <v>""</v>
      </c>
      <c r="L146">
        <f>IF(装备!U235="",0,""""&amp;装备!U235&amp;"""")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IF(装备!B236="",0,"'"&amp;装备!B236&amp;"'")</f>
        <v>'IF20'</v>
      </c>
      <c r="B147">
        <f>装备!D167</f>
        <v>0</v>
      </c>
      <c r="C147">
        <f>装备!E236</f>
        <v>0</v>
      </c>
      <c r="D147">
        <f>装备!F236</f>
        <v>0</v>
      </c>
      <c r="E147">
        <f>IF(ISTEXT(装备!G236)=TRUE,"'"&amp;装备!G236&amp;"'",装备!G236)</f>
        <v>0</v>
      </c>
      <c r="F147">
        <f>IF(ISTEXT(装备!H236)=TRUE,"'"&amp;装备!H236&amp;"'",装备!H236)</f>
        <v>0</v>
      </c>
      <c r="G147">
        <f>IF(装备!I236="",0,"'"&amp;装备!I236&amp;"'")</f>
        <v>0</v>
      </c>
      <c r="H147">
        <f>IF(装备!R236="",0,装备!R236)</f>
        <v>0</v>
      </c>
      <c r="I147">
        <f>IF(装备!S236="",0,装备!S236)</f>
        <v>0</v>
      </c>
      <c r="J147" t="str">
        <f>IF(装备!C236="",0,""""&amp;装备!C236&amp;"""")</f>
        <v>"普攻伤害"</v>
      </c>
      <c r="K147" t="str">
        <f>IF(装备!T236="","""""",""""&amp;装备!T236&amp;"""")</f>
        <v>""</v>
      </c>
      <c r="L147">
        <f>IF(装备!U236="",0,""""&amp;装备!U236&amp;"""")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IF(装备!B237="",0,"'"&amp;装备!B237&amp;"'")</f>
        <v>'IF21'</v>
      </c>
      <c r="B148">
        <f>装备!D168</f>
        <v>0</v>
      </c>
      <c r="C148">
        <f>装备!E237</f>
        <v>0</v>
      </c>
      <c r="D148">
        <f>装备!F237</f>
        <v>0</v>
      </c>
      <c r="E148">
        <f>IF(ISTEXT(装备!G237)=TRUE,"'"&amp;装备!G237&amp;"'",装备!G237)</f>
        <v>0</v>
      </c>
      <c r="F148">
        <f>IF(ISTEXT(装备!H237)=TRUE,"'"&amp;装备!H237&amp;"'",装备!H237)</f>
        <v>0</v>
      </c>
      <c r="G148">
        <f>IF(装备!I237="",0,"'"&amp;装备!I237&amp;"'")</f>
        <v>0</v>
      </c>
      <c r="H148">
        <f>IF(装备!R237="",0,装备!R237)</f>
        <v>0</v>
      </c>
      <c r="I148">
        <f>IF(装备!S237="",0,装备!S237)</f>
        <v>0</v>
      </c>
      <c r="J148" t="str">
        <f>IF(装备!C237="",0,""""&amp;装备!C237&amp;"""")</f>
        <v>"普攻伤害"</v>
      </c>
      <c r="K148" t="str">
        <f>IF(装备!T237="","""""",""""&amp;装备!T237&amp;"""")</f>
        <v>""</v>
      </c>
      <c r="L148">
        <f>IF(装备!U237="",0,""""&amp;装备!U237&amp;"""")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IF(装备!B238="",0,"'"&amp;装备!B238&amp;"'")</f>
        <v>'IF22'</v>
      </c>
      <c r="B149">
        <f>装备!D169</f>
        <v>0</v>
      </c>
      <c r="C149">
        <f>装备!E238</f>
        <v>0</v>
      </c>
      <c r="D149">
        <f>装备!F238</f>
        <v>0</v>
      </c>
      <c r="E149">
        <f>IF(ISTEXT(装备!G238)=TRUE,"'"&amp;装备!G238&amp;"'",装备!G238)</f>
        <v>0</v>
      </c>
      <c r="F149">
        <f>IF(ISTEXT(装备!H238)=TRUE,"'"&amp;装备!H238&amp;"'",装备!H238)</f>
        <v>0</v>
      </c>
      <c r="G149">
        <f>IF(装备!I238="",0,"'"&amp;装备!I238&amp;"'")</f>
        <v>0</v>
      </c>
      <c r="H149">
        <f>IF(装备!R238="",0,装备!R238)</f>
        <v>0</v>
      </c>
      <c r="I149">
        <f>IF(装备!S238="",0,装备!S238)</f>
        <v>0</v>
      </c>
      <c r="J149" t="str">
        <f>IF(装备!C238="",0,""""&amp;装备!C238&amp;"""")</f>
        <v>"回蓝"</v>
      </c>
      <c r="K149" t="str">
        <f>IF(装备!T238="","""""",""""&amp;装备!T238&amp;"""")</f>
        <v>""</v>
      </c>
      <c r="L149">
        <f>IF(装备!U238="",0,""""&amp;装备!U238&amp;"""")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IF(装备!B239="",0,"'"&amp;装备!B239&amp;"'")</f>
        <v>'IF23'</v>
      </c>
      <c r="B150">
        <f>装备!D170</f>
        <v>0</v>
      </c>
      <c r="C150">
        <f>装备!E239</f>
        <v>0</v>
      </c>
      <c r="D150">
        <f>装备!F239</f>
        <v>0</v>
      </c>
      <c r="E150">
        <f>IF(ISTEXT(装备!G239)=TRUE,"'"&amp;装备!G239&amp;"'",装备!G239)</f>
        <v>0</v>
      </c>
      <c r="F150">
        <f>IF(ISTEXT(装备!H239)=TRUE,"'"&amp;装备!H239&amp;"'",装备!H239)</f>
        <v>0</v>
      </c>
      <c r="G150">
        <f>IF(装备!I239="",0,"'"&amp;装备!I239&amp;"'")</f>
        <v>0</v>
      </c>
      <c r="H150">
        <f>IF(装备!R239="",0,装备!R239)</f>
        <v>0</v>
      </c>
      <c r="I150">
        <f>IF(装备!S239="",0,装备!S239)</f>
        <v>0</v>
      </c>
      <c r="J150" t="str">
        <f>IF(装备!C239="",0,""""&amp;装备!C239&amp;"""")</f>
        <v>"回蓝"</v>
      </c>
      <c r="K150" t="str">
        <f>IF(装备!T239="","""""",""""&amp;装备!T239&amp;"""")</f>
        <v>""</v>
      </c>
      <c r="L150">
        <f>IF(装备!U239="",0,""""&amp;装备!U239&amp;"""")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IF(装备!B240="",0,"'"&amp;装备!B240&amp;"'")</f>
        <v>'IF24'</v>
      </c>
      <c r="B151">
        <f>装备!D171</f>
        <v>0</v>
      </c>
      <c r="C151">
        <f>装备!E240</f>
        <v>0</v>
      </c>
      <c r="D151">
        <f>装备!F240</f>
        <v>0</v>
      </c>
      <c r="E151">
        <f>IF(ISTEXT(装备!G240)=TRUE,"'"&amp;装备!G240&amp;"'",装备!G240)</f>
        <v>0</v>
      </c>
      <c r="F151">
        <f>IF(ISTEXT(装备!H240)=TRUE,"'"&amp;装备!H240&amp;"'",装备!H240)</f>
        <v>0</v>
      </c>
      <c r="G151">
        <f>IF(装备!I240="",0,"'"&amp;装备!I240&amp;"'")</f>
        <v>0</v>
      </c>
      <c r="H151">
        <f>IF(装备!R240="",0,装备!R240)</f>
        <v>0</v>
      </c>
      <c r="I151">
        <f>IF(装备!S240="",0,装备!S240)</f>
        <v>0</v>
      </c>
      <c r="J151" t="str">
        <f>IF(装备!C240="",0,""""&amp;装备!C240&amp;"""")</f>
        <v>"生命回复"</v>
      </c>
      <c r="K151" t="str">
        <f>IF(装备!T240="","""""",""""&amp;装备!T240&amp;"""")</f>
        <v>""</v>
      </c>
      <c r="L151">
        <f>IF(装备!U240="",0,""""&amp;装备!U240&amp;"""")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IF(装备!B241="",0,"'"&amp;装备!B241&amp;"'")</f>
        <v>'IF25'</v>
      </c>
      <c r="B152">
        <f>装备!D172</f>
        <v>0</v>
      </c>
      <c r="C152">
        <f>装备!E241</f>
        <v>0</v>
      </c>
      <c r="D152">
        <f>装备!F241</f>
        <v>0</v>
      </c>
      <c r="E152">
        <f>IF(ISTEXT(装备!G241)=TRUE,"'"&amp;装备!G241&amp;"'",装备!G241)</f>
        <v>0</v>
      </c>
      <c r="F152">
        <f>IF(ISTEXT(装备!H241)=TRUE,"'"&amp;装备!H241&amp;"'",装备!H241)</f>
        <v>0</v>
      </c>
      <c r="G152">
        <f>IF(装备!I241="",0,"'"&amp;装备!I241&amp;"'")</f>
        <v>0</v>
      </c>
      <c r="H152">
        <f>IF(装备!R241="",0,装备!R241)</f>
        <v>0</v>
      </c>
      <c r="I152">
        <f>IF(装备!S241="",0,装备!S241)</f>
        <v>0</v>
      </c>
      <c r="J152" t="str">
        <f>IF(装备!C241="",0,""""&amp;装备!C241&amp;"""")</f>
        <v>"伤害吸血"</v>
      </c>
      <c r="K152" t="str">
        <f>IF(装备!T241="","""""",""""&amp;装备!T241&amp;"""")</f>
        <v>""</v>
      </c>
      <c r="L152">
        <f>IF(装备!U241="",0,""""&amp;装备!U241&amp;"""")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IF(装备!B242="",0,"'"&amp;装备!B242&amp;"'")</f>
        <v>'IF26'</v>
      </c>
      <c r="B153">
        <f>装备!D173</f>
        <v>0</v>
      </c>
      <c r="C153">
        <f>装备!E242</f>
        <v>0</v>
      </c>
      <c r="D153">
        <f>装备!F242</f>
        <v>0</v>
      </c>
      <c r="E153">
        <f>IF(ISTEXT(装备!G242)=TRUE,"'"&amp;装备!G242&amp;"'",装备!G242)</f>
        <v>0</v>
      </c>
      <c r="F153">
        <f>IF(ISTEXT(装备!H242)=TRUE,"'"&amp;装备!H242&amp;"'",装备!H242)</f>
        <v>0</v>
      </c>
      <c r="G153">
        <f>IF(装备!I242="",0,"'"&amp;装备!I242&amp;"'")</f>
        <v>0</v>
      </c>
      <c r="H153">
        <f>IF(装备!R242="",0,装备!R242)</f>
        <v>0</v>
      </c>
      <c r="I153">
        <f>IF(装备!S242="",0,装备!S242)</f>
        <v>0</v>
      </c>
      <c r="J153" t="str">
        <f>IF(装备!C242="",0,""""&amp;装备!C242&amp;"""")</f>
        <v>"闪避"</v>
      </c>
      <c r="K153" t="str">
        <f>IF(装备!T242="","""""",""""&amp;装备!T242&amp;"""")</f>
        <v>""</v>
      </c>
      <c r="L153">
        <f>IF(装备!U242="",0,""""&amp;装备!U242&amp;"""")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IF(装备!B243="",0,"'"&amp;装备!B243&amp;"'")</f>
        <v>'IF27'</v>
      </c>
      <c r="B154">
        <f>装备!D174</f>
        <v>0</v>
      </c>
      <c r="C154">
        <f>装备!E243</f>
        <v>0</v>
      </c>
      <c r="D154">
        <f>装备!F243</f>
        <v>0</v>
      </c>
      <c r="E154">
        <f>IF(ISTEXT(装备!G243)=TRUE,"'"&amp;装备!G243&amp;"'",装备!G243)</f>
        <v>0</v>
      </c>
      <c r="F154">
        <f>IF(ISTEXT(装备!H243)=TRUE,"'"&amp;装备!H243&amp;"'",装备!H243)</f>
        <v>0</v>
      </c>
      <c r="G154">
        <f>IF(装备!I243="",0,"'"&amp;装备!I243&amp;"'")</f>
        <v>0</v>
      </c>
      <c r="H154">
        <f>IF(装备!R243="",0,装备!R243)</f>
        <v>0</v>
      </c>
      <c r="I154">
        <f>IF(装备!S243="",0,装备!S243)</f>
        <v>0</v>
      </c>
      <c r="J154" t="str">
        <f>IF(装备!C243="",0,""""&amp;装备!C243&amp;"""")</f>
        <v>"伤害减免"</v>
      </c>
      <c r="K154" t="str">
        <f>IF(装备!T243="","""""",""""&amp;装备!T243&amp;"""")</f>
        <v>""</v>
      </c>
      <c r="L154">
        <f>IF(装备!U243="",0,""""&amp;装备!U243&amp;"""")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IF(装备!B244="",0,"'"&amp;装备!B244&amp;"'")</f>
        <v>0</v>
      </c>
      <c r="B155">
        <f>装备!D175</f>
        <v>0</v>
      </c>
      <c r="C155">
        <f>装备!E244</f>
        <v>0</v>
      </c>
      <c r="D155">
        <f>装备!F244</f>
        <v>0</v>
      </c>
      <c r="E155">
        <f>IF(ISTEXT(装备!G244)=TRUE,"'"&amp;装备!G244&amp;"'",装备!G244)</f>
        <v>0</v>
      </c>
      <c r="F155">
        <f>IF(ISTEXT(装备!H244)=TRUE,"'"&amp;装备!H244&amp;"'",装备!H244)</f>
        <v>0</v>
      </c>
      <c r="G155">
        <f>IF(装备!I244="",0,"'"&amp;装备!I244&amp;"'")</f>
        <v>0</v>
      </c>
      <c r="H155">
        <f>IF(装备!R244="",0,装备!R244)</f>
        <v>0</v>
      </c>
      <c r="I155">
        <f>IF(装备!S244="",0,装备!S244)</f>
        <v>0</v>
      </c>
      <c r="J155">
        <f>IF(装备!C244="",0,""""&amp;装备!C244&amp;"""")</f>
        <v>0</v>
      </c>
      <c r="K155" t="str">
        <f>IF(装备!T244="","""""",""""&amp;装备!T244&amp;"""")</f>
        <v>""</v>
      </c>
      <c r="L155">
        <f>IF(装备!U244="",0,""""&amp;装备!U244&amp;"""")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IF(装备!B245="",0,"'"&amp;装备!B245&amp;"'")</f>
        <v>0</v>
      </c>
      <c r="B156">
        <f>装备!D176</f>
        <v>0</v>
      </c>
      <c r="C156">
        <f>装备!E245</f>
        <v>0</v>
      </c>
      <c r="D156">
        <f>装备!F245</f>
        <v>0</v>
      </c>
      <c r="E156">
        <f>IF(ISTEXT(装备!G245)=TRUE,"'"&amp;装备!G245&amp;"'",装备!G245)</f>
        <v>0</v>
      </c>
      <c r="F156">
        <f>IF(ISTEXT(装备!H245)=TRUE,"'"&amp;装备!H245&amp;"'",装备!H245)</f>
        <v>0</v>
      </c>
      <c r="G156">
        <f>IF(装备!I245="",0,"'"&amp;装备!I245&amp;"'")</f>
        <v>0</v>
      </c>
      <c r="H156">
        <f>IF(装备!R245="",0,装备!R245)</f>
        <v>0</v>
      </c>
      <c r="I156">
        <f>IF(装备!S245="",0,装备!S245)</f>
        <v>0</v>
      </c>
      <c r="J156">
        <f>IF(装备!C245="",0,""""&amp;装备!C245&amp;"""")</f>
        <v>0</v>
      </c>
      <c r="K156" t="str">
        <f>IF(装备!T245="","""""",""""&amp;装备!T245&amp;"""")</f>
        <v>""</v>
      </c>
      <c r="L156">
        <f>IF(装备!U245="",0,""""&amp;装备!U245&amp;"""")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IF(装备!B246="",0,"'"&amp;装备!B246&amp;"'")</f>
        <v>0</v>
      </c>
      <c r="B157">
        <f>装备!D177</f>
        <v>0</v>
      </c>
      <c r="C157">
        <f>装备!E246</f>
        <v>0</v>
      </c>
      <c r="D157">
        <f>装备!F246</f>
        <v>0</v>
      </c>
      <c r="E157">
        <f>IF(ISTEXT(装备!G246)=TRUE,"'"&amp;装备!G246&amp;"'",装备!G246)</f>
        <v>0</v>
      </c>
      <c r="F157">
        <f>IF(ISTEXT(装备!H246)=TRUE,"'"&amp;装备!H246&amp;"'",装备!H246)</f>
        <v>0</v>
      </c>
      <c r="G157">
        <f>IF(装备!I246="",0,"'"&amp;装备!I246&amp;"'")</f>
        <v>0</v>
      </c>
      <c r="H157">
        <f>IF(装备!R246="",0,装备!R246)</f>
        <v>0</v>
      </c>
      <c r="I157">
        <f>IF(装备!S246="",0,装备!S246)</f>
        <v>0</v>
      </c>
      <c r="J157">
        <f>IF(装备!C246="",0,""""&amp;装备!C246&amp;"""")</f>
        <v>0</v>
      </c>
      <c r="K157" t="str">
        <f>IF(装备!T246="","""""",""""&amp;装备!T246&amp;"""")</f>
        <v>""</v>
      </c>
      <c r="L157">
        <f>IF(装备!U246="",0,""""&amp;装备!U246&amp;"""")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IF(装备!B247="",0,"'"&amp;装备!B247&amp;"'")</f>
        <v>0</v>
      </c>
      <c r="B158">
        <f>装备!D178</f>
        <v>0</v>
      </c>
      <c r="C158">
        <f>装备!E247</f>
        <v>0</v>
      </c>
      <c r="D158">
        <f>装备!F247</f>
        <v>0</v>
      </c>
      <c r="E158">
        <f>IF(ISTEXT(装备!G247)=TRUE,"'"&amp;装备!G247&amp;"'",装备!G247)</f>
        <v>0</v>
      </c>
      <c r="F158">
        <f>IF(ISTEXT(装备!H247)=TRUE,"'"&amp;装备!H247&amp;"'",装备!H247)</f>
        <v>0</v>
      </c>
      <c r="G158">
        <f>IF(装备!I247="",0,"'"&amp;装备!I247&amp;"'")</f>
        <v>0</v>
      </c>
      <c r="H158">
        <f>IF(装备!R247="",0,装备!R247)</f>
        <v>0</v>
      </c>
      <c r="I158">
        <f>IF(装备!S247="",0,装备!S247)</f>
        <v>0</v>
      </c>
      <c r="J158">
        <f>IF(装备!C247="",0,""""&amp;装备!C247&amp;"""")</f>
        <v>0</v>
      </c>
      <c r="K158" t="str">
        <f>IF(装备!T247="","""""",""""&amp;装备!T247&amp;"""")</f>
        <v>""</v>
      </c>
      <c r="L158">
        <f>IF(装备!U247="",0,""""&amp;装备!U247&amp;"""")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IF(装备!B248="",0,"'"&amp;装备!B248&amp;"'")</f>
        <v>0</v>
      </c>
      <c r="B159">
        <f>装备!D179</f>
        <v>0</v>
      </c>
      <c r="C159">
        <f>装备!E248</f>
        <v>0</v>
      </c>
      <c r="D159">
        <f>装备!F248</f>
        <v>0</v>
      </c>
      <c r="E159">
        <f>IF(ISTEXT(装备!G248)=TRUE,"'"&amp;装备!G248&amp;"'",装备!G248)</f>
        <v>0</v>
      </c>
      <c r="F159">
        <f>IF(ISTEXT(装备!H248)=TRUE,"'"&amp;装备!H248&amp;"'",装备!H248)</f>
        <v>0</v>
      </c>
      <c r="G159">
        <f>IF(装备!I248="",0,"'"&amp;装备!I248&amp;"'")</f>
        <v>0</v>
      </c>
      <c r="H159">
        <f>IF(装备!R248="",0,装备!R248)</f>
        <v>0</v>
      </c>
      <c r="I159">
        <f>IF(装备!S248="",0,装备!S248)</f>
        <v>0</v>
      </c>
      <c r="J159">
        <f>IF(装备!C248="",0,""""&amp;装备!C248&amp;"""")</f>
        <v>0</v>
      </c>
      <c r="K159" t="str">
        <f>IF(装备!T248="","""""",""""&amp;装备!T248&amp;"""")</f>
        <v>""</v>
      </c>
      <c r="L159">
        <f>IF(装备!U248="",0,""""&amp;装备!U248&amp;"""")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IF(装备!B249="",0,"'"&amp;装备!B249&amp;"'")</f>
        <v>0</v>
      </c>
      <c r="B160">
        <f>装备!D180</f>
        <v>0</v>
      </c>
      <c r="C160">
        <f>装备!E249</f>
        <v>0</v>
      </c>
      <c r="D160">
        <f>装备!F249</f>
        <v>0</v>
      </c>
      <c r="E160">
        <f>IF(ISTEXT(装备!G249)=TRUE,"'"&amp;装备!G249&amp;"'",装备!G249)</f>
        <v>0</v>
      </c>
      <c r="F160">
        <f>IF(ISTEXT(装备!H249)=TRUE,"'"&amp;装备!H249&amp;"'",装备!H249)</f>
        <v>0</v>
      </c>
      <c r="G160">
        <f>IF(装备!I249="",0,"'"&amp;装备!I249&amp;"'")</f>
        <v>0</v>
      </c>
      <c r="H160">
        <f>IF(装备!R249="",0,装备!R249)</f>
        <v>0</v>
      </c>
      <c r="I160">
        <f>IF(装备!S249="",0,装备!S249)</f>
        <v>0</v>
      </c>
      <c r="J160">
        <f>IF(装备!C249="",0,""""&amp;装备!C249&amp;"""")</f>
        <v>0</v>
      </c>
      <c r="K160" t="str">
        <f>IF(装备!T249="","""""",""""&amp;装备!T249&amp;"""")</f>
        <v>""</v>
      </c>
      <c r="L160">
        <f>IF(装备!U249="",0,""""&amp;装备!U249&amp;"""")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IF(装备!B250="",0,"'"&amp;装备!B250&amp;"'")</f>
        <v>0</v>
      </c>
      <c r="B161">
        <f>装备!D181</f>
        <v>0</v>
      </c>
      <c r="C161">
        <f>装备!E250</f>
        <v>0</v>
      </c>
      <c r="D161">
        <f>装备!F250</f>
        <v>0</v>
      </c>
      <c r="E161">
        <f>IF(ISTEXT(装备!G250)=TRUE,"'"&amp;装备!G250&amp;"'",装备!G250)</f>
        <v>0</v>
      </c>
      <c r="F161">
        <f>IF(ISTEXT(装备!H250)=TRUE,"'"&amp;装备!H250&amp;"'",装备!H250)</f>
        <v>0</v>
      </c>
      <c r="G161">
        <f>IF(装备!I250="",0,"'"&amp;装备!I250&amp;"'")</f>
        <v>0</v>
      </c>
      <c r="H161">
        <f>IF(装备!R250="",0,装备!R250)</f>
        <v>0</v>
      </c>
      <c r="I161">
        <f>IF(装备!S250="",0,装备!S250)</f>
        <v>0</v>
      </c>
      <c r="J161">
        <f>IF(装备!C250="",0,""""&amp;装备!C250&amp;"""")</f>
        <v>0</v>
      </c>
      <c r="K161" t="str">
        <f>IF(装备!T250="","""""",""""&amp;装备!T250&amp;"""")</f>
        <v>""</v>
      </c>
      <c r="L161">
        <f>IF(装备!U250="",0,""""&amp;装备!U250&amp;"""")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IF(装备!B251="",0,"'"&amp;装备!B251&amp;"'")</f>
        <v>0</v>
      </c>
      <c r="B162">
        <f>装备!D182</f>
        <v>0</v>
      </c>
      <c r="C162">
        <f>装备!E251</f>
        <v>0</v>
      </c>
      <c r="D162">
        <f>装备!F251</f>
        <v>0</v>
      </c>
      <c r="E162">
        <f>IF(ISTEXT(装备!G251)=TRUE,"'"&amp;装备!G251&amp;"'",装备!G251)</f>
        <v>0</v>
      </c>
      <c r="F162">
        <f>IF(ISTEXT(装备!H251)=TRUE,"'"&amp;装备!H251&amp;"'",装备!H251)</f>
        <v>0</v>
      </c>
      <c r="G162">
        <f>IF(装备!I251="",0,"'"&amp;装备!I251&amp;"'")</f>
        <v>0</v>
      </c>
      <c r="H162">
        <f>IF(装备!R251="",0,装备!R251)</f>
        <v>0</v>
      </c>
      <c r="I162">
        <f>IF(装备!S251="",0,装备!S251)</f>
        <v>0</v>
      </c>
      <c r="J162">
        <f>IF(装备!C251="",0,""""&amp;装备!C251&amp;"""")</f>
        <v>0</v>
      </c>
      <c r="K162" t="str">
        <f>IF(装备!T251="","""""",""""&amp;装备!T251&amp;"""")</f>
        <v>""</v>
      </c>
      <c r="L162">
        <f>IF(装备!U251="",0,""""&amp;装备!U251&amp;"""")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IF(装备!B252="",0,"'"&amp;装备!B252&amp;"'")</f>
        <v>0</v>
      </c>
      <c r="B163">
        <f>装备!D183</f>
        <v>0</v>
      </c>
      <c r="C163">
        <f>装备!E252</f>
        <v>0</v>
      </c>
      <c r="D163">
        <f>装备!F252</f>
        <v>0</v>
      </c>
      <c r="E163">
        <f>IF(ISTEXT(装备!G252)=TRUE,"'"&amp;装备!G252&amp;"'",装备!G252)</f>
        <v>0</v>
      </c>
      <c r="F163">
        <f>IF(ISTEXT(装备!H252)=TRUE,"'"&amp;装备!H252&amp;"'",装备!H252)</f>
        <v>0</v>
      </c>
      <c r="G163">
        <f>IF(装备!I252="",0,"'"&amp;装备!I252&amp;"'")</f>
        <v>0</v>
      </c>
      <c r="H163">
        <f>IF(装备!R252="",0,装备!R252)</f>
        <v>0</v>
      </c>
      <c r="I163">
        <f>IF(装备!S252="",0,装备!S252)</f>
        <v>0</v>
      </c>
      <c r="J163">
        <f>IF(装备!C252="",0,""""&amp;装备!C252&amp;"""")</f>
        <v>0</v>
      </c>
      <c r="K163" t="str">
        <f>IF(装备!T252="","""""",""""&amp;装备!T252&amp;"""")</f>
        <v>""</v>
      </c>
      <c r="L163">
        <f>IF(装备!U252="",0,""""&amp;装备!U252&amp;"""")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IF(装备!B253="",0,"'"&amp;装备!B253&amp;"'")</f>
        <v>0</v>
      </c>
      <c r="B164">
        <f>装备!D184</f>
        <v>0</v>
      </c>
      <c r="C164">
        <f>装备!E253</f>
        <v>0</v>
      </c>
      <c r="D164">
        <f>装备!F253</f>
        <v>0</v>
      </c>
      <c r="E164">
        <f>IF(ISTEXT(装备!G253)=TRUE,"'"&amp;装备!G253&amp;"'",装备!G253)</f>
        <v>0</v>
      </c>
      <c r="F164">
        <f>IF(ISTEXT(装备!H253)=TRUE,"'"&amp;装备!H253&amp;"'",装备!H253)</f>
        <v>0</v>
      </c>
      <c r="G164">
        <f>IF(装备!I253="",0,"'"&amp;装备!I253&amp;"'")</f>
        <v>0</v>
      </c>
      <c r="H164">
        <f>IF(装备!R253="",0,装备!R253)</f>
        <v>0</v>
      </c>
      <c r="I164">
        <f>IF(装备!S253="",0,装备!S253)</f>
        <v>0</v>
      </c>
      <c r="J164">
        <f>IF(装备!C253="",0,""""&amp;装备!C253&amp;"""")</f>
        <v>0</v>
      </c>
      <c r="K164" t="str">
        <f>IF(装备!T253="","""""",""""&amp;装备!T253&amp;"""")</f>
        <v>""</v>
      </c>
      <c r="L164">
        <f>IF(装备!U253="",0,""""&amp;装备!U253&amp;"""")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IF(装备!B254="",0,"'"&amp;装备!B254&amp;"'")</f>
        <v>0</v>
      </c>
      <c r="B165">
        <f>装备!D185</f>
        <v>0</v>
      </c>
      <c r="C165">
        <f>装备!E254</f>
        <v>0</v>
      </c>
      <c r="D165">
        <f>装备!F254</f>
        <v>0</v>
      </c>
      <c r="E165">
        <f>IF(ISTEXT(装备!G254)=TRUE,"'"&amp;装备!G254&amp;"'",装备!G254)</f>
        <v>0</v>
      </c>
      <c r="F165">
        <f>IF(ISTEXT(装备!H254)=TRUE,"'"&amp;装备!H254&amp;"'",装备!H254)</f>
        <v>0</v>
      </c>
      <c r="G165">
        <f>IF(装备!I254="",0,"'"&amp;装备!I254&amp;"'")</f>
        <v>0</v>
      </c>
      <c r="H165">
        <f>IF(装备!R254="",0,装备!R254)</f>
        <v>0</v>
      </c>
      <c r="I165">
        <f>IF(装备!S254="",0,装备!S254)</f>
        <v>0</v>
      </c>
      <c r="J165">
        <f>IF(装备!C254="",0,""""&amp;装备!C254&amp;"""")</f>
        <v>0</v>
      </c>
      <c r="K165" t="str">
        <f>IF(装备!T254="","""""",""""&amp;装备!T254&amp;"""")</f>
        <v>""</v>
      </c>
      <c r="L165">
        <f>IF(装备!U254="",0,""""&amp;装备!U254&amp;"""")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IF(装备!B255="",0,"'"&amp;装备!B255&amp;"'")</f>
        <v>0</v>
      </c>
      <c r="B166">
        <f>装备!D186</f>
        <v>0</v>
      </c>
      <c r="C166">
        <f>装备!E255</f>
        <v>0</v>
      </c>
      <c r="D166">
        <f>装备!F255</f>
        <v>0</v>
      </c>
      <c r="E166">
        <f>IF(ISTEXT(装备!G255)=TRUE,"'"&amp;装备!G255&amp;"'",装备!G255)</f>
        <v>0</v>
      </c>
      <c r="F166">
        <f>IF(ISTEXT(装备!H255)=TRUE,"'"&amp;装备!H255&amp;"'",装备!H255)</f>
        <v>0</v>
      </c>
      <c r="G166">
        <f>IF(装备!I255="",0,"'"&amp;装备!I255&amp;"'")</f>
        <v>0</v>
      </c>
      <c r="H166">
        <f>IF(装备!R255="",0,装备!R255)</f>
        <v>0</v>
      </c>
      <c r="I166">
        <f>IF(装备!S255="",0,装备!S255)</f>
        <v>0</v>
      </c>
      <c r="J166">
        <f>IF(装备!C255="",0,""""&amp;装备!C255&amp;"""")</f>
        <v>0</v>
      </c>
      <c r="K166" t="str">
        <f>IF(装备!T255="","""""",""""&amp;装备!T255&amp;"""")</f>
        <v>""</v>
      </c>
      <c r="L166">
        <f>IF(装备!U255="",0,""""&amp;装备!U255&amp;"""")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IF(装备!B256="",0,"'"&amp;装备!B256&amp;"'")</f>
        <v>0</v>
      </c>
      <c r="B167">
        <f>装备!D188</f>
        <v>0</v>
      </c>
      <c r="C167">
        <f>装备!E256</f>
        <v>0</v>
      </c>
      <c r="D167">
        <f>装备!F256</f>
        <v>0</v>
      </c>
      <c r="E167">
        <f>IF(ISTEXT(装备!G256)=TRUE,"'"&amp;装备!G256&amp;"'",装备!G256)</f>
        <v>0</v>
      </c>
      <c r="F167">
        <f>IF(ISTEXT(装备!H256)=TRUE,"'"&amp;装备!H256&amp;"'",装备!H256)</f>
        <v>0</v>
      </c>
      <c r="G167">
        <f>IF(装备!I256="",0,"'"&amp;装备!I256&amp;"'")</f>
        <v>0</v>
      </c>
      <c r="H167">
        <f>IF(装备!R256="",0,装备!R256)</f>
        <v>0</v>
      </c>
      <c r="I167">
        <f>IF(装备!S256="",0,装备!S256)</f>
        <v>0</v>
      </c>
      <c r="J167">
        <f>IF(装备!C256="",0,""""&amp;装备!C256&amp;"""")</f>
        <v>0</v>
      </c>
      <c r="K167" t="str">
        <f>IF(装备!T256="","""""",""""&amp;装备!T256&amp;"""")</f>
        <v>""</v>
      </c>
      <c r="L167">
        <f>IF(装备!U256="",0,""""&amp;装备!U256&amp;"""")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IF(装备!B257="",0,"'"&amp;装备!B257&amp;"'")</f>
        <v>0</v>
      </c>
      <c r="B168">
        <f>装备!D189</f>
        <v>0</v>
      </c>
      <c r="C168">
        <f>装备!E257</f>
        <v>0</v>
      </c>
      <c r="D168">
        <f>装备!F257</f>
        <v>0</v>
      </c>
      <c r="E168">
        <f>IF(ISTEXT(装备!G257)=TRUE,"'"&amp;装备!G257&amp;"'",装备!G257)</f>
        <v>0</v>
      </c>
      <c r="F168">
        <f>IF(ISTEXT(装备!H257)=TRUE,"'"&amp;装备!H257&amp;"'",装备!H257)</f>
        <v>0</v>
      </c>
      <c r="G168">
        <f>IF(装备!I257="",0,"'"&amp;装备!I257&amp;"'")</f>
        <v>0</v>
      </c>
      <c r="H168">
        <f>IF(装备!R257="",0,装备!R257)</f>
        <v>0</v>
      </c>
      <c r="I168">
        <f>IF(装备!S257="",0,装备!S257)</f>
        <v>0</v>
      </c>
      <c r="J168">
        <f>IF(装备!C257="",0,""""&amp;装备!C257&amp;"""")</f>
        <v>0</v>
      </c>
      <c r="K168" t="str">
        <f>IF(装备!T257="","""""",""""&amp;装备!T257&amp;"""")</f>
        <v>""</v>
      </c>
      <c r="L168">
        <f>IF(装备!U257="",0,""""&amp;装备!U257&amp;"""")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IF(装备!B258="",0,"'"&amp;装备!B258&amp;"'")</f>
        <v>0</v>
      </c>
      <c r="B169">
        <f>装备!D190</f>
        <v>0</v>
      </c>
      <c r="C169">
        <f>装备!E258</f>
        <v>0</v>
      </c>
      <c r="D169">
        <f>装备!F258</f>
        <v>0</v>
      </c>
      <c r="E169">
        <f>IF(ISTEXT(装备!G258)=TRUE,"'"&amp;装备!G258&amp;"'",装备!G258)</f>
        <v>0</v>
      </c>
      <c r="F169">
        <f>IF(ISTEXT(装备!H258)=TRUE,"'"&amp;装备!H258&amp;"'",装备!H258)</f>
        <v>0</v>
      </c>
      <c r="G169">
        <f>IF(装备!I258="",0,"'"&amp;装备!I258&amp;"'")</f>
        <v>0</v>
      </c>
      <c r="H169">
        <f>IF(装备!R258="",0,装备!R258)</f>
        <v>0</v>
      </c>
      <c r="I169">
        <f>IF(装备!S258="",0,装备!S258)</f>
        <v>0</v>
      </c>
      <c r="J169">
        <f>IF(装备!C258="",0,""""&amp;装备!C258&amp;"""")</f>
        <v>0</v>
      </c>
      <c r="K169" t="str">
        <f>IF(装备!T258="","""""",""""&amp;装备!T258&amp;"""")</f>
        <v>""</v>
      </c>
      <c r="L169">
        <f>IF(装备!U258="",0,""""&amp;装备!U258&amp;"""")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IF(装备!B259="",0,"'"&amp;装备!B259&amp;"'")</f>
        <v>0</v>
      </c>
      <c r="B170">
        <f>装备!D191</f>
        <v>0</v>
      </c>
      <c r="C170">
        <f>装备!E259</f>
        <v>0</v>
      </c>
      <c r="D170">
        <f>装备!F259</f>
        <v>0</v>
      </c>
      <c r="E170">
        <f>IF(ISTEXT(装备!G259)=TRUE,"'"&amp;装备!G259&amp;"'",装备!G259)</f>
        <v>0</v>
      </c>
      <c r="F170">
        <f>IF(ISTEXT(装备!H259)=TRUE,"'"&amp;装备!H259&amp;"'",装备!H259)</f>
        <v>0</v>
      </c>
      <c r="G170">
        <f>IF(装备!I259="",0,"'"&amp;装备!I259&amp;"'")</f>
        <v>0</v>
      </c>
      <c r="H170">
        <f>IF(装备!R259="",0,装备!R259)</f>
        <v>0</v>
      </c>
      <c r="I170">
        <f>IF(装备!S259="",0,装备!S259)</f>
        <v>0</v>
      </c>
      <c r="J170">
        <f>IF(装备!C259="",0,""""&amp;装备!C259&amp;"""")</f>
        <v>0</v>
      </c>
      <c r="K170" t="str">
        <f>IF(装备!T259="","""""",""""&amp;装备!T259&amp;"""")</f>
        <v>""</v>
      </c>
      <c r="L170">
        <f>IF(装备!U259="",0,""""&amp;装备!U259&amp;"""")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IF(装备!B260="",0,"'"&amp;装备!B260&amp;"'")</f>
        <v>0</v>
      </c>
      <c r="B171">
        <f>装备!D192</f>
        <v>0</v>
      </c>
      <c r="C171">
        <f>装备!E260</f>
        <v>0</v>
      </c>
      <c r="D171">
        <f>装备!F260</f>
        <v>0</v>
      </c>
      <c r="E171">
        <f>IF(ISTEXT(装备!G260)=TRUE,"'"&amp;装备!G260&amp;"'",装备!G260)</f>
        <v>0</v>
      </c>
      <c r="F171">
        <f>IF(ISTEXT(装备!H260)=TRUE,"'"&amp;装备!H260&amp;"'",装备!H260)</f>
        <v>0</v>
      </c>
      <c r="G171">
        <f>IF(装备!I260="",0,"'"&amp;装备!I260&amp;"'")</f>
        <v>0</v>
      </c>
      <c r="H171">
        <f>IF(装备!R260="",0,装备!R260)</f>
        <v>0</v>
      </c>
      <c r="I171">
        <f>IF(装备!S260="",0,装备!S260)</f>
        <v>0</v>
      </c>
      <c r="J171">
        <f>IF(装备!C260="",0,""""&amp;装备!C260&amp;"""")</f>
        <v>0</v>
      </c>
      <c r="K171" t="str">
        <f>IF(装备!T260="","""""",""""&amp;装备!T260&amp;"""")</f>
        <v>""</v>
      </c>
      <c r="L171">
        <f>IF(装备!U260="",0,""""&amp;装备!U260&amp;"""")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IF(装备!B261="",0,"'"&amp;装备!B261&amp;"'")</f>
        <v>0</v>
      </c>
      <c r="B172">
        <f>装备!D193</f>
        <v>0</v>
      </c>
      <c r="C172">
        <f>装备!E261</f>
        <v>0</v>
      </c>
      <c r="D172">
        <f>装备!F261</f>
        <v>0</v>
      </c>
      <c r="E172">
        <f>IF(ISTEXT(装备!G261)=TRUE,"'"&amp;装备!G261&amp;"'",装备!G261)</f>
        <v>0</v>
      </c>
      <c r="F172">
        <f>IF(ISTEXT(装备!H261)=TRUE,"'"&amp;装备!H261&amp;"'",装备!H261)</f>
        <v>0</v>
      </c>
      <c r="G172">
        <f>IF(装备!I261="",0,"'"&amp;装备!I261&amp;"'")</f>
        <v>0</v>
      </c>
      <c r="H172">
        <f>IF(装备!R261="",0,装备!R261)</f>
        <v>0</v>
      </c>
      <c r="I172">
        <f>IF(装备!S261="",0,装备!S261)</f>
        <v>0</v>
      </c>
      <c r="J172">
        <f>IF(装备!C261="",0,""""&amp;装备!C261&amp;"""")</f>
        <v>0</v>
      </c>
      <c r="K172" t="str">
        <f>IF(装备!T261="","""""",""""&amp;装备!T261&amp;"""")</f>
        <v>""</v>
      </c>
      <c r="L172">
        <f>IF(装备!U261="",0,""""&amp;装备!U261&amp;"""")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IF(装备!B262="",0,"'"&amp;装备!B262&amp;"'")</f>
        <v>0</v>
      </c>
      <c r="B173">
        <f>装备!D194</f>
        <v>0</v>
      </c>
      <c r="C173">
        <f>装备!E262</f>
        <v>0</v>
      </c>
      <c r="D173">
        <f>装备!F262</f>
        <v>0</v>
      </c>
      <c r="E173">
        <f>IF(ISTEXT(装备!G262)=TRUE,"'"&amp;装备!G262&amp;"'",装备!G262)</f>
        <v>0</v>
      </c>
      <c r="F173">
        <f>IF(ISTEXT(装备!H262)=TRUE,"'"&amp;装备!H262&amp;"'",装备!H262)</f>
        <v>0</v>
      </c>
      <c r="G173">
        <f>IF(装备!I262="",0,"'"&amp;装备!I262&amp;"'")</f>
        <v>0</v>
      </c>
      <c r="H173">
        <f>IF(装备!R262="",0,装备!R262)</f>
        <v>0</v>
      </c>
      <c r="I173">
        <f>IF(装备!S262="",0,装备!S262)</f>
        <v>0</v>
      </c>
      <c r="J173">
        <f>IF(装备!C262="",0,""""&amp;装备!C262&amp;"""")</f>
        <v>0</v>
      </c>
      <c r="K173" t="str">
        <f>IF(装备!T262="","""""",""""&amp;装备!T262&amp;"""")</f>
        <v>""</v>
      </c>
      <c r="L173">
        <f>IF(装备!U262="",0,""""&amp;装备!U262&amp;"""")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IF(装备!B263="",0,"'"&amp;装备!B263&amp;"'")</f>
        <v>0</v>
      </c>
      <c r="B174">
        <f>装备!D195</f>
        <v>0</v>
      </c>
      <c r="C174">
        <f>装备!E263</f>
        <v>0</v>
      </c>
      <c r="D174">
        <f>装备!F263</f>
        <v>0</v>
      </c>
      <c r="E174">
        <f>IF(ISTEXT(装备!G263)=TRUE,"'"&amp;装备!G263&amp;"'",装备!G263)</f>
        <v>0</v>
      </c>
      <c r="F174">
        <f>IF(ISTEXT(装备!H263)=TRUE,"'"&amp;装备!H263&amp;"'",装备!H263)</f>
        <v>0</v>
      </c>
      <c r="G174">
        <f>IF(装备!I263="",0,"'"&amp;装备!I263&amp;"'")</f>
        <v>0</v>
      </c>
      <c r="H174">
        <f>IF(装备!R263="",0,装备!R263)</f>
        <v>0</v>
      </c>
      <c r="I174">
        <f>IF(装备!S263="",0,装备!S263)</f>
        <v>0</v>
      </c>
      <c r="J174">
        <f>IF(装备!C263="",0,""""&amp;装备!C263&amp;"""")</f>
        <v>0</v>
      </c>
      <c r="K174" t="str">
        <f>IF(装备!T263="","""""",""""&amp;装备!T263&amp;"""")</f>
        <v>""</v>
      </c>
      <c r="L174">
        <f>IF(装备!U263="",0,""""&amp;装备!U263&amp;"""")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IF(装备!B264="",0,"'"&amp;装备!B264&amp;"'")</f>
        <v>0</v>
      </c>
      <c r="B175">
        <f>装备!D196</f>
        <v>0</v>
      </c>
      <c r="C175">
        <f>装备!E264</f>
        <v>0</v>
      </c>
      <c r="D175">
        <f>装备!F264</f>
        <v>0</v>
      </c>
      <c r="E175">
        <f>IF(ISTEXT(装备!G264)=TRUE,"'"&amp;装备!G264&amp;"'",装备!G264)</f>
        <v>0</v>
      </c>
      <c r="F175">
        <f>IF(ISTEXT(装备!H264)=TRUE,"'"&amp;装备!H264&amp;"'",装备!H264)</f>
        <v>0</v>
      </c>
      <c r="G175">
        <f>IF(装备!I264="",0,"'"&amp;装备!I264&amp;"'")</f>
        <v>0</v>
      </c>
      <c r="H175">
        <f>IF(装备!R264="",0,装备!R264)</f>
        <v>0</v>
      </c>
      <c r="I175">
        <f>IF(装备!S264="",0,装备!S264)</f>
        <v>0</v>
      </c>
      <c r="J175">
        <f>IF(装备!C264="",0,""""&amp;装备!C264&amp;"""")</f>
        <v>0</v>
      </c>
      <c r="K175" t="str">
        <f>IF(装备!T264="","""""",""""&amp;装备!T264&amp;"""")</f>
        <v>""</v>
      </c>
      <c r="L175">
        <f>IF(装备!U264="",0,""""&amp;装备!U264&amp;"""")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IF(装备!B265="",0,"'"&amp;装备!B265&amp;"'")</f>
        <v>0</v>
      </c>
      <c r="B176" t="e">
        <f>装备!#REF!</f>
        <v>#REF!</v>
      </c>
      <c r="C176">
        <f>装备!E265</f>
        <v>0</v>
      </c>
      <c r="D176">
        <f>装备!F265</f>
        <v>0</v>
      </c>
      <c r="E176">
        <f>IF(ISTEXT(装备!G265)=TRUE,"'"&amp;装备!G265&amp;"'",装备!G265)</f>
        <v>0</v>
      </c>
      <c r="F176">
        <f>IF(ISTEXT(装备!H265)=TRUE,"'"&amp;装备!H265&amp;"'",装备!H265)</f>
        <v>0</v>
      </c>
      <c r="G176">
        <f>IF(装备!I265="",0,"'"&amp;装备!I265&amp;"'")</f>
        <v>0</v>
      </c>
      <c r="H176">
        <f>IF(装备!R265="",0,装备!R265)</f>
        <v>0</v>
      </c>
      <c r="I176">
        <f>IF(装备!S265="",0,装备!S265)</f>
        <v>0</v>
      </c>
      <c r="J176">
        <f>IF(装备!C265="",0,""""&amp;装备!C265&amp;"""")</f>
        <v>0</v>
      </c>
      <c r="K176" t="str">
        <f>IF(装备!T265="","""""",""""&amp;装备!T265&amp;"""")</f>
        <v>""</v>
      </c>
      <c r="L176">
        <f>IF(装备!U265="",0,""""&amp;装备!U265&amp;"""")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IF(装备!B266="",0,"'"&amp;装备!B266&amp;"'")</f>
        <v>0</v>
      </c>
      <c r="B177" t="e">
        <f>装备!#REF!</f>
        <v>#REF!</v>
      </c>
      <c r="C177">
        <f>装备!E266</f>
        <v>0</v>
      </c>
      <c r="D177">
        <f>装备!F266</f>
        <v>0</v>
      </c>
      <c r="E177">
        <f>IF(ISTEXT(装备!G266)=TRUE,"'"&amp;装备!G266&amp;"'",装备!G266)</f>
        <v>0</v>
      </c>
      <c r="F177">
        <f>IF(ISTEXT(装备!H266)=TRUE,"'"&amp;装备!H266&amp;"'",装备!H266)</f>
        <v>0</v>
      </c>
      <c r="G177">
        <f>IF(装备!I266="",0,"'"&amp;装备!I266&amp;"'")</f>
        <v>0</v>
      </c>
      <c r="H177">
        <f>IF(装备!R266="",0,装备!R266)</f>
        <v>0</v>
      </c>
      <c r="I177">
        <f>IF(装备!S266="",0,装备!S266)</f>
        <v>0</v>
      </c>
      <c r="J177">
        <f>IF(装备!C266="",0,""""&amp;装备!C266&amp;"""")</f>
        <v>0</v>
      </c>
      <c r="K177" t="str">
        <f>IF(装备!T266="","""""",""""&amp;装备!T266&amp;"""")</f>
        <v>""</v>
      </c>
      <c r="L177">
        <f>IF(装备!U266="",0,""""&amp;装备!U266&amp;"""")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IF(装备!B267="",0,"'"&amp;装备!B267&amp;"'")</f>
        <v>0</v>
      </c>
      <c r="B178" t="e">
        <f>装备!#REF!</f>
        <v>#REF!</v>
      </c>
      <c r="C178">
        <f>装备!E267</f>
        <v>0</v>
      </c>
      <c r="D178">
        <f>装备!F267</f>
        <v>0</v>
      </c>
      <c r="E178">
        <f>IF(ISTEXT(装备!G267)=TRUE,"'"&amp;装备!G267&amp;"'",装备!G267)</f>
        <v>0</v>
      </c>
      <c r="F178">
        <f>IF(ISTEXT(装备!H267)=TRUE,"'"&amp;装备!H267&amp;"'",装备!H267)</f>
        <v>0</v>
      </c>
      <c r="G178">
        <f>IF(装备!I267="",0,"'"&amp;装备!I267&amp;"'")</f>
        <v>0</v>
      </c>
      <c r="H178">
        <f>IF(装备!R267="",0,装备!R267)</f>
        <v>0</v>
      </c>
      <c r="I178">
        <f>IF(装备!S267="",0,装备!S267)</f>
        <v>0</v>
      </c>
      <c r="J178">
        <f>IF(装备!C267="",0,""""&amp;装备!C267&amp;"""")</f>
        <v>0</v>
      </c>
      <c r="K178" t="str">
        <f>IF(装备!T267="","""""",""""&amp;装备!T267&amp;"""")</f>
        <v>""</v>
      </c>
      <c r="L178">
        <f>IF(装备!U267="",0,""""&amp;装备!U267&amp;"""")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IF(装备!B268="",0,"'"&amp;装备!B268&amp;"'")</f>
        <v>0</v>
      </c>
      <c r="B179" t="e">
        <f>装备!#REF!</f>
        <v>#REF!</v>
      </c>
      <c r="C179">
        <f>装备!E268</f>
        <v>0</v>
      </c>
      <c r="D179">
        <f>装备!F268</f>
        <v>0</v>
      </c>
      <c r="E179">
        <f>IF(ISTEXT(装备!G268)=TRUE,"'"&amp;装备!G268&amp;"'",装备!G268)</f>
        <v>0</v>
      </c>
      <c r="F179">
        <f>IF(ISTEXT(装备!H268)=TRUE,"'"&amp;装备!H268&amp;"'",装备!H268)</f>
        <v>0</v>
      </c>
      <c r="G179">
        <f>IF(装备!I268="",0,"'"&amp;装备!I268&amp;"'")</f>
        <v>0</v>
      </c>
      <c r="H179">
        <f>IF(装备!R268="",0,装备!R268)</f>
        <v>0</v>
      </c>
      <c r="I179">
        <f>IF(装备!S268="",0,装备!S268)</f>
        <v>0</v>
      </c>
      <c r="J179">
        <f>IF(装备!C268="",0,""""&amp;装备!C268&amp;"""")</f>
        <v>0</v>
      </c>
      <c r="K179" t="str">
        <f>IF(装备!T268="","""""",""""&amp;装备!T268&amp;"""")</f>
        <v>""</v>
      </c>
      <c r="L179">
        <f>IF(装备!U268="",0,""""&amp;装备!U268&amp;"""")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IF(装备!B269="",0,"'"&amp;装备!B269&amp;"'")</f>
        <v>0</v>
      </c>
      <c r="B180" t="e">
        <f>装备!#REF!</f>
        <v>#REF!</v>
      </c>
      <c r="C180">
        <f>装备!E269</f>
        <v>0</v>
      </c>
      <c r="D180">
        <f>装备!F269</f>
        <v>0</v>
      </c>
      <c r="E180">
        <f>IF(ISTEXT(装备!G269)=TRUE,"'"&amp;装备!G269&amp;"'",装备!G269)</f>
        <v>0</v>
      </c>
      <c r="F180">
        <f>IF(ISTEXT(装备!H269)=TRUE,"'"&amp;装备!H269&amp;"'",装备!H269)</f>
        <v>0</v>
      </c>
      <c r="G180">
        <f>IF(装备!I269="",0,"'"&amp;装备!I269&amp;"'")</f>
        <v>0</v>
      </c>
      <c r="H180">
        <f>IF(装备!R269="",0,装备!R269)</f>
        <v>0</v>
      </c>
      <c r="I180">
        <f>IF(装备!S269="",0,装备!S269)</f>
        <v>0</v>
      </c>
      <c r="J180">
        <f>IF(装备!C269="",0,""""&amp;装备!C269&amp;"""")</f>
        <v>0</v>
      </c>
      <c r="K180" t="str">
        <f>IF(装备!T269="","""""",""""&amp;装备!T269&amp;"""")</f>
        <v>""</v>
      </c>
      <c r="L180">
        <f>IF(装备!U269="",0,""""&amp;装备!U269&amp;"""")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IF(装备!B270="",0,"'"&amp;装备!B270&amp;"'")</f>
        <v>0</v>
      </c>
      <c r="B181" t="e">
        <f>装备!#REF!</f>
        <v>#REF!</v>
      </c>
      <c r="C181">
        <f>装备!E270</f>
        <v>0</v>
      </c>
      <c r="D181">
        <f>装备!F270</f>
        <v>0</v>
      </c>
      <c r="E181">
        <f>IF(ISTEXT(装备!G270)=TRUE,"'"&amp;装备!G270&amp;"'",装备!G270)</f>
        <v>0</v>
      </c>
      <c r="F181">
        <f>IF(ISTEXT(装备!H270)=TRUE,"'"&amp;装备!H270&amp;"'",装备!H270)</f>
        <v>0</v>
      </c>
      <c r="G181">
        <f>IF(装备!I270="",0,"'"&amp;装备!I270&amp;"'")</f>
        <v>0</v>
      </c>
      <c r="H181">
        <f>IF(装备!R270="",0,装备!R270)</f>
        <v>0</v>
      </c>
      <c r="I181">
        <f>IF(装备!S270="",0,装备!S270)</f>
        <v>0</v>
      </c>
      <c r="J181">
        <f>IF(装备!C270="",0,""""&amp;装备!C270&amp;"""")</f>
        <v>0</v>
      </c>
      <c r="K181" t="str">
        <f>IF(装备!T270="","""""",""""&amp;装备!T270&amp;"""")</f>
        <v>""</v>
      </c>
      <c r="L181">
        <f>IF(装备!U270="",0,""""&amp;装备!U270&amp;"""")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IF(装备!B271="",0,"'"&amp;装备!B271&amp;"'")</f>
        <v>0</v>
      </c>
      <c r="B182" t="e">
        <f>装备!#REF!</f>
        <v>#REF!</v>
      </c>
      <c r="C182">
        <f>装备!E271</f>
        <v>0</v>
      </c>
      <c r="D182">
        <f>装备!F271</f>
        <v>0</v>
      </c>
      <c r="E182">
        <f>IF(ISTEXT(装备!G271)=TRUE,"'"&amp;装备!G271&amp;"'",装备!G271)</f>
        <v>0</v>
      </c>
      <c r="F182">
        <f>IF(ISTEXT(装备!H271)=TRUE,"'"&amp;装备!H271&amp;"'",装备!H271)</f>
        <v>0</v>
      </c>
      <c r="G182">
        <f>IF(装备!I271="",0,"'"&amp;装备!I271&amp;"'")</f>
        <v>0</v>
      </c>
      <c r="H182">
        <f>IF(装备!R271="",0,装备!R271)</f>
        <v>0</v>
      </c>
      <c r="I182">
        <f>IF(装备!S271="",0,装备!S271)</f>
        <v>0</v>
      </c>
      <c r="J182">
        <f>IF(装备!C271="",0,""""&amp;装备!C271&amp;"""")</f>
        <v>0</v>
      </c>
      <c r="K182" t="str">
        <f>IF(装备!T271="","""""",""""&amp;装备!T271&amp;"""")</f>
        <v>""</v>
      </c>
      <c r="L182">
        <f>IF(装备!U271="",0,""""&amp;装备!U271&amp;"""")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IF(装备!B272="",0,"'"&amp;装备!B272&amp;"'")</f>
        <v>0</v>
      </c>
      <c r="B183" t="e">
        <f>装备!#REF!</f>
        <v>#REF!</v>
      </c>
      <c r="C183">
        <f>装备!E272</f>
        <v>0</v>
      </c>
      <c r="D183">
        <f>装备!F272</f>
        <v>0</v>
      </c>
      <c r="E183">
        <f>IF(ISTEXT(装备!G272)=TRUE,"'"&amp;装备!G272&amp;"'",装备!G272)</f>
        <v>0</v>
      </c>
      <c r="F183">
        <f>IF(ISTEXT(装备!H272)=TRUE,"'"&amp;装备!H272&amp;"'",装备!H272)</f>
        <v>0</v>
      </c>
      <c r="G183">
        <f>IF(装备!I272="",0,"'"&amp;装备!I272&amp;"'")</f>
        <v>0</v>
      </c>
      <c r="H183">
        <f>IF(装备!R272="",0,装备!R272)</f>
        <v>0</v>
      </c>
      <c r="I183">
        <f>IF(装备!S272="",0,装备!S272)</f>
        <v>0</v>
      </c>
      <c r="J183">
        <f>IF(装备!C272="",0,""""&amp;装备!C272&amp;"""")</f>
        <v>0</v>
      </c>
      <c r="K183" t="str">
        <f>IF(装备!T272="","""""",""""&amp;装备!T272&amp;"""")</f>
        <v>""</v>
      </c>
      <c r="L183">
        <f>IF(装备!U272="",0,""""&amp;装备!U272&amp;"""")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IF(装备!B273="",0,"'"&amp;装备!B273&amp;"'")</f>
        <v>0</v>
      </c>
      <c r="B184">
        <f>装备!D199</f>
        <v>0</v>
      </c>
      <c r="C184">
        <f>装备!E273</f>
        <v>0</v>
      </c>
      <c r="D184">
        <f>装备!F273</f>
        <v>0</v>
      </c>
      <c r="E184">
        <f>IF(ISTEXT(装备!G273)=TRUE,"'"&amp;装备!G273&amp;"'",装备!G273)</f>
        <v>0</v>
      </c>
      <c r="F184">
        <f>IF(ISTEXT(装备!H273)=TRUE,"'"&amp;装备!H273&amp;"'",装备!H273)</f>
        <v>0</v>
      </c>
      <c r="G184">
        <f>IF(装备!I273="",0,"'"&amp;装备!I273&amp;"'")</f>
        <v>0</v>
      </c>
      <c r="H184">
        <f>IF(装备!R273="",0,装备!R273)</f>
        <v>0</v>
      </c>
      <c r="I184">
        <f>IF(装备!S273="",0,装备!S273)</f>
        <v>0</v>
      </c>
      <c r="J184">
        <f>IF(装备!C273="",0,""""&amp;装备!C273&amp;"""")</f>
        <v>0</v>
      </c>
      <c r="K184" t="str">
        <f>IF(装备!T273="","""""",""""&amp;装备!T273&amp;"""")</f>
        <v>""</v>
      </c>
      <c r="L184">
        <f>IF(装备!U273="",0,""""&amp;装备!U273&amp;"""")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IF(装备!B283="",0,"'"&amp;装备!B283&amp;"'")</f>
        <v>0</v>
      </c>
      <c r="B185">
        <f>装备!D200</f>
        <v>0</v>
      </c>
      <c r="C185">
        <f>装备!E283</f>
        <v>0</v>
      </c>
      <c r="D185">
        <f>装备!F283</f>
        <v>0</v>
      </c>
      <c r="E185">
        <f>IF(ISTEXT(装备!G274)=TRUE,"'"&amp;装备!G274&amp;"'",装备!G274)</f>
        <v>0</v>
      </c>
      <c r="F185">
        <f>IF(ISTEXT(装备!H274)=TRUE,"'"&amp;装备!H274&amp;"'",装备!H274)</f>
        <v>0</v>
      </c>
      <c r="G185">
        <f>IF(装备!I283="",0,"'"&amp;装备!I283&amp;"'")</f>
        <v>0</v>
      </c>
      <c r="H185">
        <f>IF(装备!R274="",0,装备!R274)</f>
        <v>0</v>
      </c>
      <c r="I185">
        <f>IF(装备!S274="",0,装备!S274)</f>
        <v>0</v>
      </c>
      <c r="J185">
        <f>IF(装备!C283="",0,""""&amp;装备!C283&amp;"""")</f>
        <v>0</v>
      </c>
      <c r="K185" t="str">
        <f>IF(装备!T283="","""""",""""&amp;装备!T283&amp;"""")</f>
        <v>""</v>
      </c>
      <c r="L185">
        <f>IF(装备!U283="",0,""""&amp;装备!U283&amp;"""")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IF(装备!B284="",0,"'"&amp;装备!B284&amp;"'")</f>
        <v>0</v>
      </c>
      <c r="B186">
        <f>装备!D201</f>
        <v>0</v>
      </c>
      <c r="C186">
        <f>装备!E284</f>
        <v>0</v>
      </c>
      <c r="D186">
        <f>装备!F284</f>
        <v>0</v>
      </c>
      <c r="E186">
        <f>IF(ISTEXT(装备!G275)=TRUE,"'"&amp;装备!G275&amp;"'",装备!G275)</f>
        <v>0</v>
      </c>
      <c r="F186">
        <f>IF(ISTEXT(装备!H275)=TRUE,"'"&amp;装备!H275&amp;"'",装备!H275)</f>
        <v>0</v>
      </c>
      <c r="G186">
        <f>IF(装备!I284="",0,"'"&amp;装备!I284&amp;"'")</f>
        <v>0</v>
      </c>
      <c r="H186">
        <f>IF(装备!R275="",0,装备!R275)</f>
        <v>0</v>
      </c>
      <c r="I186">
        <f>IF(装备!S275="",0,装备!S275)</f>
        <v>0</v>
      </c>
      <c r="J186">
        <f>IF(装备!C284="",0,""""&amp;装备!C284&amp;"""")</f>
        <v>0</v>
      </c>
      <c r="K186" t="str">
        <f>IF(装备!T284="","""""",""""&amp;装备!T284&amp;"""")</f>
        <v>""</v>
      </c>
      <c r="L186">
        <f>IF(装备!U284="",0,""""&amp;装备!U284&amp;"""")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IF(装备!B285="",0,"'"&amp;装备!B285&amp;"'")</f>
        <v>0</v>
      </c>
      <c r="B187">
        <f>装备!D202</f>
        <v>0</v>
      </c>
      <c r="C187">
        <f>装备!E285</f>
        <v>0</v>
      </c>
      <c r="D187">
        <f>装备!F285</f>
        <v>0</v>
      </c>
      <c r="E187">
        <f>IF(ISTEXT(装备!G276)=TRUE,"'"&amp;装备!G276&amp;"'",装备!G276)</f>
        <v>0</v>
      </c>
      <c r="F187">
        <f>IF(ISTEXT(装备!H276)=TRUE,"'"&amp;装备!H276&amp;"'",装备!H276)</f>
        <v>0</v>
      </c>
      <c r="G187">
        <f>IF(装备!I285="",0,"'"&amp;装备!I285&amp;"'")</f>
        <v>0</v>
      </c>
      <c r="H187">
        <f>IF(装备!R276="",0,装备!R276)</f>
        <v>0</v>
      </c>
      <c r="I187">
        <f>IF(装备!S276="",0,装备!S276)</f>
        <v>0</v>
      </c>
      <c r="J187">
        <f>IF(装备!C285="",0,""""&amp;装备!C285&amp;"""")</f>
        <v>0</v>
      </c>
      <c r="K187" t="str">
        <f>IF(装备!T285="","""""",""""&amp;装备!T285&amp;"""")</f>
        <v>""</v>
      </c>
      <c r="L187">
        <f>IF(装备!U285="",0,""""&amp;装备!U285&amp;"""")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IF(装备!B286="",0,"'"&amp;装备!B286&amp;"'")</f>
        <v>0</v>
      </c>
      <c r="B188">
        <f>装备!D203</f>
        <v>0</v>
      </c>
      <c r="C188">
        <f>装备!E286</f>
        <v>0</v>
      </c>
      <c r="D188">
        <f>装备!F286</f>
        <v>0</v>
      </c>
      <c r="E188">
        <f>IF(ISTEXT(装备!G277)=TRUE,"'"&amp;装备!G277&amp;"'",装备!G277)</f>
        <v>0</v>
      </c>
      <c r="F188">
        <f>IF(ISTEXT(装备!H277)=TRUE,"'"&amp;装备!H277&amp;"'",装备!H277)</f>
        <v>0</v>
      </c>
      <c r="G188">
        <f>IF(装备!I286="",0,"'"&amp;装备!I286&amp;"'")</f>
        <v>0</v>
      </c>
      <c r="H188">
        <f>IF(装备!R277="",0,装备!R277)</f>
        <v>0</v>
      </c>
      <c r="I188">
        <f>IF(装备!S277="",0,装备!S277)</f>
        <v>0</v>
      </c>
      <c r="J188">
        <f>IF(装备!C286="",0,""""&amp;装备!C286&amp;"""")</f>
        <v>0</v>
      </c>
      <c r="K188" t="str">
        <f>IF(装备!T286="","""""",""""&amp;装备!T286&amp;"""")</f>
        <v>""</v>
      </c>
      <c r="L188">
        <f>IF(装备!U286="",0,""""&amp;装备!U286&amp;"""")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IF(装备!B287="",0,"'"&amp;装备!B287&amp;"'")</f>
        <v>0</v>
      </c>
      <c r="B189">
        <f>装备!D204</f>
        <v>0</v>
      </c>
      <c r="C189">
        <f>装备!E287</f>
        <v>0</v>
      </c>
      <c r="D189">
        <f>装备!F287</f>
        <v>0</v>
      </c>
      <c r="E189">
        <f>IF(ISTEXT(装备!G278)=TRUE,"'"&amp;装备!G278&amp;"'",装备!G278)</f>
        <v>0</v>
      </c>
      <c r="F189">
        <f>IF(ISTEXT(装备!H278)=TRUE,"'"&amp;装备!H278&amp;"'",装备!H278)</f>
        <v>0</v>
      </c>
      <c r="G189">
        <f>IF(装备!I287="",0,"'"&amp;装备!I287&amp;"'")</f>
        <v>0</v>
      </c>
      <c r="H189">
        <f>IF(装备!R278="",0,装备!R278)</f>
        <v>0</v>
      </c>
      <c r="I189">
        <f>IF(装备!S278="",0,装备!S278)</f>
        <v>0</v>
      </c>
      <c r="J189">
        <f>IF(装备!C287="",0,""""&amp;装备!C287&amp;"""")</f>
        <v>0</v>
      </c>
      <c r="K189" t="str">
        <f>IF(装备!T287="","""""",""""&amp;装备!T287&amp;"""")</f>
        <v>""</v>
      </c>
      <c r="L189">
        <f>IF(装备!U287="",0,""""&amp;装备!U287&amp;"""")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IF(装备!B288="",0,"'"&amp;装备!B288&amp;"'")</f>
        <v>0</v>
      </c>
      <c r="B190">
        <f>装备!D205</f>
        <v>0</v>
      </c>
      <c r="C190">
        <f>装备!E288</f>
        <v>0</v>
      </c>
      <c r="D190">
        <f>装备!F288</f>
        <v>0</v>
      </c>
      <c r="E190">
        <f>IF(ISTEXT(装备!G279)=TRUE,"'"&amp;装备!G279&amp;"'",装备!G279)</f>
        <v>0</v>
      </c>
      <c r="F190">
        <f>IF(ISTEXT(装备!H279)=TRUE,"'"&amp;装备!H279&amp;"'",装备!H279)</f>
        <v>0</v>
      </c>
      <c r="G190">
        <f>IF(装备!I288="",0,"'"&amp;装备!I288&amp;"'")</f>
        <v>0</v>
      </c>
      <c r="H190">
        <f>IF(装备!R279="",0,装备!R279)</f>
        <v>0</v>
      </c>
      <c r="I190">
        <f>IF(装备!S279="",0,装备!S279)</f>
        <v>0</v>
      </c>
      <c r="J190">
        <f>IF(装备!C288="",0,""""&amp;装备!C288&amp;"""")</f>
        <v>0</v>
      </c>
      <c r="K190" t="str">
        <f>IF(装备!T288="","""""",""""&amp;装备!T288&amp;"""")</f>
        <v>""</v>
      </c>
      <c r="L190">
        <f>IF(装备!U288="",0,""""&amp;装备!U288&amp;"""")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IF(装备!B289="",0,"'"&amp;装备!B289&amp;"'")</f>
        <v>0</v>
      </c>
      <c r="B191">
        <f>装备!D206</f>
        <v>0</v>
      </c>
      <c r="C191">
        <f>装备!E289</f>
        <v>0</v>
      </c>
      <c r="D191">
        <f>装备!F289</f>
        <v>0</v>
      </c>
      <c r="E191">
        <f>IF(ISTEXT(装备!G280)=TRUE,"'"&amp;装备!G280&amp;"'",装备!G280)</f>
        <v>0</v>
      </c>
      <c r="F191">
        <f>IF(ISTEXT(装备!H280)=TRUE,"'"&amp;装备!H280&amp;"'",装备!H280)</f>
        <v>0</v>
      </c>
      <c r="G191">
        <f>IF(装备!I289="",0,"'"&amp;装备!I289&amp;"'")</f>
        <v>0</v>
      </c>
      <c r="H191">
        <f>IF(装备!R280="",0,装备!R280)</f>
        <v>0</v>
      </c>
      <c r="I191">
        <f>IF(装备!S280="",0,装备!S280)</f>
        <v>0</v>
      </c>
      <c r="J191">
        <f>IF(装备!C289="",0,""""&amp;装备!C289&amp;"""")</f>
        <v>0</v>
      </c>
      <c r="K191" t="str">
        <f>IF(装备!T289="","""""",""""&amp;装备!T289&amp;"""")</f>
        <v>""</v>
      </c>
      <c r="L191">
        <f>IF(装备!U289="",0,""""&amp;装备!U289&amp;"""")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IF(装备!B290="",0,"'"&amp;装备!B290&amp;"'")</f>
        <v>0</v>
      </c>
      <c r="B192">
        <f>装备!D217</f>
        <v>0</v>
      </c>
      <c r="C192">
        <f>装备!E290</f>
        <v>0</v>
      </c>
      <c r="D192">
        <f>装备!F290</f>
        <v>0</v>
      </c>
      <c r="E192">
        <f>IF(ISTEXT(装备!G281)=TRUE,"'"&amp;装备!G281&amp;"'",装备!G281)</f>
        <v>0</v>
      </c>
      <c r="F192">
        <f>IF(ISTEXT(装备!H281)=TRUE,"'"&amp;装备!H281&amp;"'",装备!H281)</f>
        <v>0</v>
      </c>
      <c r="G192">
        <f>IF(装备!I290="",0,"'"&amp;装备!I290&amp;"'")</f>
        <v>0</v>
      </c>
      <c r="H192">
        <f>IF(装备!R281="",0,装备!R281)</f>
        <v>0</v>
      </c>
      <c r="I192">
        <f>IF(装备!S281="",0,装备!S281)</f>
        <v>0</v>
      </c>
      <c r="J192">
        <f>IF(装备!C290="",0,""""&amp;装备!C290&amp;"""")</f>
        <v>0</v>
      </c>
      <c r="K192" t="str">
        <f>IF(装备!T290="","""""",""""&amp;装备!T290&amp;"""")</f>
        <v>""</v>
      </c>
      <c r="L192">
        <f>IF(装备!U290="",0,""""&amp;装备!U290&amp;"""")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IF(装备!B291="",0,"'"&amp;装备!B291&amp;"'")</f>
        <v>0</v>
      </c>
      <c r="B193">
        <f>装备!D218</f>
        <v>0</v>
      </c>
      <c r="C193">
        <f>装备!E291</f>
        <v>0</v>
      </c>
      <c r="D193">
        <f>装备!F291</f>
        <v>0</v>
      </c>
      <c r="E193">
        <f>IF(ISTEXT(装备!G282)=TRUE,"'"&amp;装备!G282&amp;"'",装备!G282)</f>
        <v>0</v>
      </c>
      <c r="F193">
        <f>IF(ISTEXT(装备!H282)=TRUE,"'"&amp;装备!H282&amp;"'",装备!H282)</f>
        <v>0</v>
      </c>
      <c r="G193">
        <f>IF(装备!I291="",0,"'"&amp;装备!I291&amp;"'")</f>
        <v>0</v>
      </c>
      <c r="H193">
        <f>IF(装备!R282="",0,装备!R282)</f>
        <v>0</v>
      </c>
      <c r="I193">
        <f>IF(装备!S282="",0,装备!S282)</f>
        <v>0</v>
      </c>
      <c r="J193">
        <f>IF(装备!C291="",0,""""&amp;装备!C291&amp;"""")</f>
        <v>0</v>
      </c>
      <c r="K193" t="str">
        <f>IF(装备!T291="","""""",""""&amp;装备!T291&amp;"""")</f>
        <v>""</v>
      </c>
      <c r="L193">
        <f>IF(装备!U291="",0,""""&amp;装备!U291&amp;"""")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IF(装备!B292="",0,"'"&amp;装备!B292&amp;"'")</f>
        <v>0</v>
      </c>
      <c r="B194">
        <f>装备!D219</f>
        <v>0</v>
      </c>
      <c r="C194">
        <f>装备!E292</f>
        <v>0</v>
      </c>
      <c r="D194">
        <f>装备!F292</f>
        <v>0</v>
      </c>
      <c r="E194">
        <f>IF(ISTEXT(装备!G283)=TRUE,"'"&amp;装备!G283&amp;"'",装备!G283)</f>
        <v>0</v>
      </c>
      <c r="F194">
        <f>IF(ISTEXT(装备!H283)=TRUE,"'"&amp;装备!H283&amp;"'",装备!H283)</f>
        <v>0</v>
      </c>
      <c r="G194">
        <f>IF(装备!I292="",0,"'"&amp;装备!I292&amp;"'")</f>
        <v>0</v>
      </c>
      <c r="H194">
        <f>IF(装备!R283="",0,装备!R283)</f>
        <v>0</v>
      </c>
      <c r="I194">
        <f>IF(装备!S283="",0,装备!S283)</f>
        <v>0</v>
      </c>
      <c r="J194">
        <f>IF(装备!C292="",0,""""&amp;装备!C292&amp;"""")</f>
        <v>0</v>
      </c>
      <c r="K194" t="str">
        <f>IF(装备!T292="","""""",""""&amp;装备!T292&amp;"""")</f>
        <v>""</v>
      </c>
      <c r="L194">
        <f>IF(装备!U292="",0,""""&amp;装备!U292&amp;"""")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IF(装备!B293="",0,"'"&amp;装备!B293&amp;"'")</f>
        <v>0</v>
      </c>
      <c r="B195">
        <f>装备!D220</f>
        <v>0</v>
      </c>
      <c r="C195">
        <f>装备!E293</f>
        <v>0</v>
      </c>
      <c r="D195">
        <f>装备!F293</f>
        <v>0</v>
      </c>
      <c r="E195">
        <f>IF(ISTEXT(装备!G284)=TRUE,"'"&amp;装备!G284&amp;"'",装备!G284)</f>
        <v>0</v>
      </c>
      <c r="F195">
        <f>IF(ISTEXT(装备!H284)=TRUE,"'"&amp;装备!H284&amp;"'",装备!H284)</f>
        <v>0</v>
      </c>
      <c r="G195">
        <f>IF(装备!I293="",0,"'"&amp;装备!I293&amp;"'")</f>
        <v>0</v>
      </c>
      <c r="H195">
        <f>IF(装备!R284="",0,装备!R284)</f>
        <v>0</v>
      </c>
      <c r="I195">
        <f>IF(装备!S284="",0,装备!S284)</f>
        <v>0</v>
      </c>
      <c r="J195">
        <f>IF(装备!C293="",0,""""&amp;装备!C293&amp;"""")</f>
        <v>0</v>
      </c>
      <c r="K195" t="str">
        <f>IF(装备!T293="","""""",""""&amp;装备!T293&amp;"""")</f>
        <v>""</v>
      </c>
      <c r="L195">
        <f>IF(装备!U293="",0,""""&amp;装备!U293&amp;"""")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IF(装备!B294="",0,"'"&amp;装备!B294&amp;"'")</f>
        <v>0</v>
      </c>
      <c r="B196">
        <f>装备!D221</f>
        <v>0</v>
      </c>
      <c r="C196">
        <f>装备!E294</f>
        <v>0</v>
      </c>
      <c r="D196">
        <f>装备!F294</f>
        <v>0</v>
      </c>
      <c r="E196">
        <f>IF(ISTEXT(装备!G285)=TRUE,"'"&amp;装备!G285&amp;"'",装备!G285)</f>
        <v>0</v>
      </c>
      <c r="F196">
        <f>IF(ISTEXT(装备!H285)=TRUE,"'"&amp;装备!H285&amp;"'",装备!H285)</f>
        <v>0</v>
      </c>
      <c r="G196">
        <f>IF(装备!I294="",0,"'"&amp;装备!I294&amp;"'")</f>
        <v>0</v>
      </c>
      <c r="H196">
        <f>IF(装备!R285="",0,装备!R285)</f>
        <v>0</v>
      </c>
      <c r="I196">
        <f>IF(装备!S285="",0,装备!S285)</f>
        <v>0</v>
      </c>
      <c r="J196">
        <f>IF(装备!C294="",0,""""&amp;装备!C294&amp;"""")</f>
        <v>0</v>
      </c>
      <c r="K196" t="str">
        <f>IF(装备!T294="","""""",""""&amp;装备!T294&amp;"""")</f>
        <v>""</v>
      </c>
      <c r="L196">
        <f>IF(装备!U294="",0,""""&amp;装备!U294&amp;"""")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IF(装备!B295="",0,"'"&amp;装备!B295&amp;"'")</f>
        <v>0</v>
      </c>
      <c r="B197">
        <f>装备!D222</f>
        <v>0</v>
      </c>
      <c r="C197">
        <f>装备!E295</f>
        <v>0</v>
      </c>
      <c r="D197">
        <f>装备!F295</f>
        <v>0</v>
      </c>
      <c r="E197">
        <f>IF(ISTEXT(装备!G286)=TRUE,"'"&amp;装备!G286&amp;"'",装备!G286)</f>
        <v>0</v>
      </c>
      <c r="F197">
        <f>IF(ISTEXT(装备!H286)=TRUE,"'"&amp;装备!H286&amp;"'",装备!H286)</f>
        <v>0</v>
      </c>
      <c r="G197">
        <f>IF(装备!I295="",0,"'"&amp;装备!I295&amp;"'")</f>
        <v>0</v>
      </c>
      <c r="H197">
        <f>IF(装备!R286="",0,装备!R286)</f>
        <v>0</v>
      </c>
      <c r="I197">
        <f>IF(装备!S286="",0,装备!S286)</f>
        <v>0</v>
      </c>
      <c r="J197">
        <f>IF(装备!C295="",0,""""&amp;装备!C295&amp;"""")</f>
        <v>0</v>
      </c>
      <c r="K197" t="str">
        <f>IF(装备!T295="","""""",""""&amp;装备!T295&amp;"""")</f>
        <v>""</v>
      </c>
      <c r="L197">
        <f>IF(装备!U295="",0,""""&amp;装备!U295&amp;"""")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IF(装备!B296="",0,"'"&amp;装备!B296&amp;"'")</f>
        <v>0</v>
      </c>
      <c r="B198">
        <f>装备!D223</f>
        <v>0</v>
      </c>
      <c r="C198">
        <f>装备!E296</f>
        <v>0</v>
      </c>
      <c r="D198">
        <f>装备!F296</f>
        <v>0</v>
      </c>
      <c r="E198">
        <f>IF(ISTEXT(装备!G287)=TRUE,"'"&amp;装备!G287&amp;"'",装备!G287)</f>
        <v>0</v>
      </c>
      <c r="F198">
        <f>IF(ISTEXT(装备!H287)=TRUE,"'"&amp;装备!H287&amp;"'",装备!H287)</f>
        <v>0</v>
      </c>
      <c r="G198">
        <f>IF(装备!I296="",0,"'"&amp;装备!I296&amp;"'")</f>
        <v>0</v>
      </c>
      <c r="H198">
        <f>IF(装备!R287="",0,装备!R287)</f>
        <v>0</v>
      </c>
      <c r="I198">
        <f>IF(装备!S287="",0,装备!S287)</f>
        <v>0</v>
      </c>
      <c r="J198">
        <f>IF(装备!C296="",0,""""&amp;装备!C296&amp;"""")</f>
        <v>0</v>
      </c>
      <c r="K198" t="str">
        <f>IF(装备!T296="","""""",""""&amp;装备!T296&amp;"""")</f>
        <v>""</v>
      </c>
      <c r="L198">
        <f>IF(装备!U296="",0,""""&amp;装备!U296&amp;"""")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IF(装备!B297="",0,"'"&amp;装备!B297&amp;"'")</f>
        <v>0</v>
      </c>
      <c r="B199">
        <f>装备!D224</f>
        <v>0</v>
      </c>
      <c r="C199">
        <f>装备!E297</f>
        <v>0</v>
      </c>
      <c r="D199">
        <f>装备!F297</f>
        <v>0</v>
      </c>
      <c r="E199">
        <f>IF(ISTEXT(装备!G288)=TRUE,"'"&amp;装备!G288&amp;"'",装备!G288)</f>
        <v>0</v>
      </c>
      <c r="F199">
        <f>IF(ISTEXT(装备!H288)=TRUE,"'"&amp;装备!H288&amp;"'",装备!H288)</f>
        <v>0</v>
      </c>
      <c r="G199">
        <f>IF(装备!I297="",0,"'"&amp;装备!I297&amp;"'")</f>
        <v>0</v>
      </c>
      <c r="H199">
        <f>IF(装备!R288="",0,装备!R288)</f>
        <v>0</v>
      </c>
      <c r="I199">
        <f>IF(装备!S288="",0,装备!S288)</f>
        <v>0</v>
      </c>
      <c r="J199">
        <f>IF(装备!C297="",0,""""&amp;装备!C297&amp;"""")</f>
        <v>0</v>
      </c>
      <c r="K199" t="str">
        <f>IF(装备!T297="","""""",""""&amp;装备!T297&amp;"""")</f>
        <v>""</v>
      </c>
      <c r="L199">
        <f>IF(装备!U297="",0,""""&amp;装备!U297&amp;"""")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IF(装备!B298="",0,"'"&amp;装备!B298&amp;"'")</f>
        <v>0</v>
      </c>
      <c r="B200">
        <f>装备!D225</f>
        <v>0</v>
      </c>
      <c r="C200">
        <f>装备!E298</f>
        <v>0</v>
      </c>
      <c r="D200">
        <f>装备!F298</f>
        <v>0</v>
      </c>
      <c r="E200">
        <f>IF(ISTEXT(装备!G289)=TRUE,"'"&amp;装备!G289&amp;"'",装备!G289)</f>
        <v>0</v>
      </c>
      <c r="F200">
        <f>IF(ISTEXT(装备!H289)=TRUE,"'"&amp;装备!H289&amp;"'",装备!H289)</f>
        <v>0</v>
      </c>
      <c r="G200">
        <f>IF(装备!I298="",0,"'"&amp;装备!I298&amp;"'")</f>
        <v>0</v>
      </c>
      <c r="H200">
        <f>IF(装备!R289="",0,装备!R289)</f>
        <v>0</v>
      </c>
      <c r="I200">
        <f>IF(装备!S289="",0,装备!S289)</f>
        <v>0</v>
      </c>
      <c r="J200">
        <f>IF(装备!C298="",0,""""&amp;装备!C298&amp;"""")</f>
        <v>0</v>
      </c>
      <c r="K200" t="str">
        <f>IF(装备!T298="","""""",""""&amp;装备!T298&amp;"""")</f>
        <v>""</v>
      </c>
      <c r="L200">
        <f>IF(装备!U298="",0,""""&amp;装备!U298&amp;"""")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IF(装备!B299="",0,"'"&amp;装备!B299&amp;"'")</f>
        <v>0</v>
      </c>
      <c r="B201">
        <f>装备!D226</f>
        <v>0</v>
      </c>
      <c r="C201">
        <f>装备!E299</f>
        <v>0</v>
      </c>
      <c r="D201">
        <f>装备!F299</f>
        <v>0</v>
      </c>
      <c r="E201">
        <f>IF(ISTEXT(装备!G290)=TRUE,"'"&amp;装备!G290&amp;"'",装备!G290)</f>
        <v>0</v>
      </c>
      <c r="F201">
        <f>IF(ISTEXT(装备!H290)=TRUE,"'"&amp;装备!H290&amp;"'",装备!H290)</f>
        <v>0</v>
      </c>
      <c r="G201">
        <f>IF(装备!I299="",0,"'"&amp;装备!I299&amp;"'")</f>
        <v>0</v>
      </c>
      <c r="H201">
        <f>IF(装备!R290="",0,装备!R290)</f>
        <v>0</v>
      </c>
      <c r="I201">
        <f>IF(装备!S290="",0,装备!S290)</f>
        <v>0</v>
      </c>
      <c r="J201">
        <f>IF(装备!C299="",0,""""&amp;装备!C299&amp;"""")</f>
        <v>0</v>
      </c>
      <c r="K201" t="str">
        <f>IF(装备!T299="","""""",""""&amp;装备!T299&amp;"""")</f>
        <v>""</v>
      </c>
      <c r="L201">
        <f>IF(装备!U299="",0,""""&amp;装备!U299&amp;"""")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IF(装备!B300="",0,"'"&amp;装备!B300&amp;"'")</f>
        <v>0</v>
      </c>
      <c r="B202">
        <f>装备!D227</f>
        <v>0</v>
      </c>
      <c r="C202">
        <f>装备!E300</f>
        <v>0</v>
      </c>
      <c r="D202">
        <f>装备!F300</f>
        <v>0</v>
      </c>
      <c r="E202">
        <f>IF(ISTEXT(装备!G291)=TRUE,"'"&amp;装备!G291&amp;"'",装备!G291)</f>
        <v>0</v>
      </c>
      <c r="F202">
        <f>IF(ISTEXT(装备!H291)=TRUE,"'"&amp;装备!H291&amp;"'",装备!H291)</f>
        <v>0</v>
      </c>
      <c r="G202">
        <f>IF(装备!I300="",0,"'"&amp;装备!I300&amp;"'")</f>
        <v>0</v>
      </c>
      <c r="H202">
        <f>IF(装备!R291="",0,装备!R291)</f>
        <v>0</v>
      </c>
      <c r="I202">
        <f>IF(装备!S291="",0,装备!S291)</f>
        <v>0</v>
      </c>
      <c r="J202">
        <f>IF(装备!C300="",0,""""&amp;装备!C300&amp;"""")</f>
        <v>0</v>
      </c>
      <c r="K202" t="str">
        <f>IF(装备!T300="","""""",""""&amp;装备!T300&amp;"""")</f>
        <v>""</v>
      </c>
      <c r="L202">
        <f>IF(装备!U300="",0,""""&amp;装备!U300&amp;"""")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IF(装备!B301="",0,"'"&amp;装备!B301&amp;"'")</f>
        <v>0</v>
      </c>
      <c r="B203">
        <f>装备!D228</f>
        <v>0</v>
      </c>
      <c r="C203">
        <f>装备!E301</f>
        <v>0</v>
      </c>
      <c r="D203">
        <f>装备!F301</f>
        <v>0</v>
      </c>
      <c r="E203">
        <f>IF(ISTEXT(装备!G292)=TRUE,"'"&amp;装备!G292&amp;"'",装备!G292)</f>
        <v>0</v>
      </c>
      <c r="F203">
        <f>IF(ISTEXT(装备!H292)=TRUE,"'"&amp;装备!H292&amp;"'",装备!H292)</f>
        <v>0</v>
      </c>
      <c r="G203">
        <f>IF(装备!I301="",0,"'"&amp;装备!I301&amp;"'")</f>
        <v>0</v>
      </c>
      <c r="H203">
        <f>IF(装备!R292="",0,装备!R292)</f>
        <v>0</v>
      </c>
      <c r="I203">
        <f>IF(装备!S292="",0,装备!S292)</f>
        <v>0</v>
      </c>
      <c r="J203">
        <f>IF(装备!C301="",0,""""&amp;装备!C301&amp;"""")</f>
        <v>0</v>
      </c>
      <c r="K203" t="str">
        <f>IF(装备!T301="","""""",""""&amp;装备!T301&amp;"""")</f>
        <v>""</v>
      </c>
      <c r="L203">
        <f>IF(装备!U301="",0,""""&amp;装备!U301&amp;"""")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IF(装备!B302="",0,"'"&amp;装备!B302&amp;"'")</f>
        <v>0</v>
      </c>
      <c r="B204">
        <f>装备!D229</f>
        <v>0</v>
      </c>
      <c r="C204">
        <f>装备!E302</f>
        <v>0</v>
      </c>
      <c r="D204">
        <f>装备!F302</f>
        <v>0</v>
      </c>
      <c r="E204">
        <f>IF(ISTEXT(装备!G293)=TRUE,"'"&amp;装备!G293&amp;"'",装备!G293)</f>
        <v>0</v>
      </c>
      <c r="F204">
        <f>IF(ISTEXT(装备!H293)=TRUE,"'"&amp;装备!H293&amp;"'",装备!H293)</f>
        <v>0</v>
      </c>
      <c r="G204">
        <f>IF(装备!I302="",0,"'"&amp;装备!I302&amp;"'")</f>
        <v>0</v>
      </c>
      <c r="H204">
        <f>IF(装备!R293="",0,装备!R293)</f>
        <v>0</v>
      </c>
      <c r="I204">
        <f>IF(装备!S293="",0,装备!S293)</f>
        <v>0</v>
      </c>
      <c r="J204">
        <f>IF(装备!C302="",0,""""&amp;装备!C302&amp;"""")</f>
        <v>0</v>
      </c>
      <c r="K204" t="str">
        <f>IF(装备!T302="","""""",""""&amp;装备!T302&amp;"""")</f>
        <v>""</v>
      </c>
      <c r="L204">
        <f>IF(装备!U302="",0,""""&amp;装备!U302&amp;"""")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IF(装备!B303="",0,"'"&amp;装备!B303&amp;"'")</f>
        <v>0</v>
      </c>
      <c r="B205">
        <f>装备!D230</f>
        <v>0</v>
      </c>
      <c r="C205">
        <f>装备!E303</f>
        <v>0</v>
      </c>
      <c r="D205">
        <f>装备!F303</f>
        <v>0</v>
      </c>
      <c r="E205">
        <f>IF(ISTEXT(装备!G294)=TRUE,"'"&amp;装备!G294&amp;"'",装备!G294)</f>
        <v>0</v>
      </c>
      <c r="F205">
        <f>IF(ISTEXT(装备!H294)=TRUE,"'"&amp;装备!H294&amp;"'",装备!H294)</f>
        <v>0</v>
      </c>
      <c r="G205">
        <f>IF(装备!I303="",0,"'"&amp;装备!I303&amp;"'")</f>
        <v>0</v>
      </c>
      <c r="H205">
        <f>IF(装备!R294="",0,装备!R294)</f>
        <v>0</v>
      </c>
      <c r="I205">
        <f>IF(装备!S294="",0,装备!S294)</f>
        <v>0</v>
      </c>
      <c r="J205">
        <f>IF(装备!C303="",0,""""&amp;装备!C303&amp;"""")</f>
        <v>0</v>
      </c>
      <c r="K205" t="str">
        <f>IF(装备!T303="","""""",""""&amp;装备!T303&amp;"""")</f>
        <v>""</v>
      </c>
      <c r="L205">
        <f>IF(装备!U303="",0,""""&amp;装备!U303&amp;"""")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IF(装备!B304="",0,"'"&amp;装备!B304&amp;"'")</f>
        <v>0</v>
      </c>
      <c r="B206">
        <f>装备!D231</f>
        <v>0</v>
      </c>
      <c r="C206">
        <f>装备!E304</f>
        <v>0</v>
      </c>
      <c r="D206">
        <f>装备!F304</f>
        <v>0</v>
      </c>
      <c r="E206">
        <f>IF(ISTEXT(装备!G295)=TRUE,"'"&amp;装备!G295&amp;"'",装备!G295)</f>
        <v>0</v>
      </c>
      <c r="F206">
        <f>IF(ISTEXT(装备!H295)=TRUE,"'"&amp;装备!H295&amp;"'",装备!H295)</f>
        <v>0</v>
      </c>
      <c r="G206">
        <f>IF(装备!I304="",0,"'"&amp;装备!I304&amp;"'")</f>
        <v>0</v>
      </c>
      <c r="H206">
        <f>IF(装备!R295="",0,装备!R295)</f>
        <v>0</v>
      </c>
      <c r="I206">
        <f>IF(装备!S295="",0,装备!S295)</f>
        <v>0</v>
      </c>
      <c r="J206">
        <f>IF(装备!C304="",0,""""&amp;装备!C304&amp;"""")</f>
        <v>0</v>
      </c>
      <c r="K206" t="str">
        <f>IF(装备!T304="","""""",""""&amp;装备!T304&amp;"""")</f>
        <v>""</v>
      </c>
      <c r="L206">
        <f>IF(装备!U304="",0,""""&amp;装备!U304&amp;"""")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IF(装备!B305="",0,"'"&amp;装备!B305&amp;"'")</f>
        <v>0</v>
      </c>
      <c r="B207">
        <f>装备!D232</f>
        <v>0</v>
      </c>
      <c r="C207">
        <f>装备!E305</f>
        <v>0</v>
      </c>
      <c r="D207">
        <f>装备!F305</f>
        <v>0</v>
      </c>
      <c r="E207">
        <f>IF(ISTEXT(装备!G296)=TRUE,"'"&amp;装备!G296&amp;"'",装备!G296)</f>
        <v>0</v>
      </c>
      <c r="F207">
        <f>IF(ISTEXT(装备!H296)=TRUE,"'"&amp;装备!H296&amp;"'",装备!H296)</f>
        <v>0</v>
      </c>
      <c r="G207">
        <f>IF(装备!I305="",0,"'"&amp;装备!I305&amp;"'")</f>
        <v>0</v>
      </c>
      <c r="H207">
        <f>IF(装备!R296="",0,装备!R296)</f>
        <v>0</v>
      </c>
      <c r="I207">
        <f>IF(装备!S296="",0,装备!S296)</f>
        <v>0</v>
      </c>
      <c r="J207">
        <f>IF(装备!C305="",0,""""&amp;装备!C305&amp;"""")</f>
        <v>0</v>
      </c>
      <c r="K207" t="str">
        <f>IF(装备!T305="","""""",""""&amp;装备!T305&amp;"""")</f>
        <v>""</v>
      </c>
      <c r="L207">
        <f>IF(装备!U305="",0,""""&amp;装备!U305&amp;"""")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IF(装备!B306="",0,"'"&amp;装备!B306&amp;"'")</f>
        <v>0</v>
      </c>
      <c r="B208">
        <f>装备!D233</f>
        <v>0</v>
      </c>
      <c r="C208">
        <f>装备!E306</f>
        <v>0</v>
      </c>
      <c r="D208">
        <f>装备!F306</f>
        <v>0</v>
      </c>
      <c r="E208">
        <f>IF(ISTEXT(装备!G297)=TRUE,"'"&amp;装备!G297&amp;"'",装备!G297)</f>
        <v>0</v>
      </c>
      <c r="F208">
        <f>IF(ISTEXT(装备!H297)=TRUE,"'"&amp;装备!H297&amp;"'",装备!H297)</f>
        <v>0</v>
      </c>
      <c r="G208">
        <f>IF(装备!I306="",0,"'"&amp;装备!I306&amp;"'")</f>
        <v>0</v>
      </c>
      <c r="H208">
        <f>IF(装备!R297="",0,装备!R297)</f>
        <v>0</v>
      </c>
      <c r="I208">
        <f>IF(装备!S297="",0,装备!S297)</f>
        <v>0</v>
      </c>
      <c r="J208">
        <f>IF(装备!C306="",0,""""&amp;装备!C306&amp;"""")</f>
        <v>0</v>
      </c>
      <c r="K208" t="str">
        <f>IF(装备!T306="","""""",""""&amp;装备!T306&amp;"""")</f>
        <v>""</v>
      </c>
      <c r="L208">
        <f>IF(装备!U306="",0,""""&amp;装备!U306&amp;"""")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IF(装备!B307="",0,"'"&amp;装备!B307&amp;"'")</f>
        <v>0</v>
      </c>
      <c r="B209">
        <f>装备!D234</f>
        <v>0</v>
      </c>
      <c r="C209">
        <f>装备!E307</f>
        <v>0</v>
      </c>
      <c r="D209">
        <f>装备!F307</f>
        <v>0</v>
      </c>
      <c r="E209">
        <f>IF(ISTEXT(装备!G298)=TRUE,"'"&amp;装备!G298&amp;"'",装备!G298)</f>
        <v>0</v>
      </c>
      <c r="F209">
        <f>IF(ISTEXT(装备!H298)=TRUE,"'"&amp;装备!H298&amp;"'",装备!H298)</f>
        <v>0</v>
      </c>
      <c r="G209">
        <f>IF(装备!I307="",0,"'"&amp;装备!I307&amp;"'")</f>
        <v>0</v>
      </c>
      <c r="H209">
        <f>IF(装备!R298="",0,装备!R298)</f>
        <v>0</v>
      </c>
      <c r="I209">
        <f>IF(装备!S298="",0,装备!S298)</f>
        <v>0</v>
      </c>
      <c r="J209">
        <f>IF(装备!C307="",0,""""&amp;装备!C307&amp;"""")</f>
        <v>0</v>
      </c>
      <c r="K209" t="str">
        <f>IF(装备!T307="","""""",""""&amp;装备!T307&amp;"""")</f>
        <v>""</v>
      </c>
      <c r="L209">
        <f>IF(装备!U307="",0,""""&amp;装备!U307&amp;"""")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IF(装备!B308="",0,"'"&amp;装备!B308&amp;"'")</f>
        <v>0</v>
      </c>
      <c r="B210">
        <f>装备!D235</f>
        <v>0</v>
      </c>
      <c r="C210">
        <f>装备!E308</f>
        <v>0</v>
      </c>
      <c r="D210">
        <f>装备!F308</f>
        <v>0</v>
      </c>
      <c r="E210">
        <f>IF(ISTEXT(装备!G299)=TRUE,"'"&amp;装备!G299&amp;"'",装备!G299)</f>
        <v>0</v>
      </c>
      <c r="F210">
        <f>IF(ISTEXT(装备!H299)=TRUE,"'"&amp;装备!H299&amp;"'",装备!H299)</f>
        <v>0</v>
      </c>
      <c r="G210">
        <f>IF(装备!I308="",0,"'"&amp;装备!I308&amp;"'")</f>
        <v>0</v>
      </c>
      <c r="H210">
        <f>IF(装备!R299="",0,装备!R299)</f>
        <v>0</v>
      </c>
      <c r="I210">
        <f>IF(装备!S299="",0,装备!S299)</f>
        <v>0</v>
      </c>
      <c r="J210">
        <f>IF(装备!C308="",0,""""&amp;装备!C308&amp;"""")</f>
        <v>0</v>
      </c>
      <c r="K210" t="str">
        <f>IF(装备!T308="","""""",""""&amp;装备!T308&amp;"""")</f>
        <v>""</v>
      </c>
      <c r="L210">
        <f>IF(装备!U308="",0,""""&amp;装备!U308&amp;"""")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IF(装备!B309="",0,"'"&amp;装备!B309&amp;"'")</f>
        <v>0</v>
      </c>
      <c r="B211">
        <f>装备!D236</f>
        <v>0</v>
      </c>
      <c r="C211">
        <f>装备!E309</f>
        <v>0</v>
      </c>
      <c r="D211">
        <f>装备!F309</f>
        <v>0</v>
      </c>
      <c r="E211">
        <f>IF(ISTEXT(装备!G300)=TRUE,"'"&amp;装备!G300&amp;"'",装备!G300)</f>
        <v>0</v>
      </c>
      <c r="F211">
        <f>IF(ISTEXT(装备!H300)=TRUE,"'"&amp;装备!H300&amp;"'",装备!H300)</f>
        <v>0</v>
      </c>
      <c r="G211">
        <f>IF(装备!I309="",0,"'"&amp;装备!I309&amp;"'")</f>
        <v>0</v>
      </c>
      <c r="H211">
        <f>IF(装备!R300="",0,装备!R300)</f>
        <v>0</v>
      </c>
      <c r="I211">
        <f>IF(装备!S300="",0,装备!S300)</f>
        <v>0</v>
      </c>
      <c r="J211">
        <f>IF(装备!C309="",0,""""&amp;装备!C309&amp;"""")</f>
        <v>0</v>
      </c>
      <c r="K211" t="str">
        <f>IF(装备!T309="","""""",""""&amp;装备!T309&amp;"""")</f>
        <v>""</v>
      </c>
      <c r="L211">
        <f>IF(装备!U309="",0,""""&amp;装备!U309&amp;"""")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IF(装备!B310="",0,"'"&amp;装备!B310&amp;"'")</f>
        <v>0</v>
      </c>
      <c r="B212">
        <f>装备!D237</f>
        <v>0</v>
      </c>
      <c r="C212">
        <f>装备!E310</f>
        <v>0</v>
      </c>
      <c r="D212">
        <f>装备!F310</f>
        <v>0</v>
      </c>
      <c r="E212">
        <f>IF(ISTEXT(装备!G301)=TRUE,"'"&amp;装备!G301&amp;"'",装备!G301)</f>
        <v>0</v>
      </c>
      <c r="F212">
        <f>IF(ISTEXT(装备!H301)=TRUE,"'"&amp;装备!H301&amp;"'",装备!H301)</f>
        <v>0</v>
      </c>
      <c r="G212">
        <f>IF(装备!I310="",0,"'"&amp;装备!I310&amp;"'")</f>
        <v>0</v>
      </c>
      <c r="H212">
        <f>IF(装备!R301="",0,装备!R301)</f>
        <v>0</v>
      </c>
      <c r="I212">
        <f>IF(装备!S301="",0,装备!S301)</f>
        <v>0</v>
      </c>
      <c r="J212">
        <f>IF(装备!C310="",0,""""&amp;装备!C310&amp;"""")</f>
        <v>0</v>
      </c>
      <c r="K212" t="str">
        <f>IF(装备!T310="","""""",""""&amp;装备!T310&amp;"""")</f>
        <v>""</v>
      </c>
      <c r="L212">
        <f>IF(装备!U310="",0,""""&amp;装备!U310&amp;"""")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IF(装备!B311="",0,"'"&amp;装备!B311&amp;"'")</f>
        <v>0</v>
      </c>
      <c r="B213">
        <f>装备!D238</f>
        <v>0</v>
      </c>
      <c r="C213">
        <f>装备!E311</f>
        <v>0</v>
      </c>
      <c r="D213">
        <f>装备!F311</f>
        <v>0</v>
      </c>
      <c r="E213">
        <f>IF(ISTEXT(装备!G302)=TRUE,"'"&amp;装备!G302&amp;"'",装备!G302)</f>
        <v>0</v>
      </c>
      <c r="F213">
        <f>IF(ISTEXT(装备!H302)=TRUE,"'"&amp;装备!H302&amp;"'",装备!H302)</f>
        <v>0</v>
      </c>
      <c r="G213">
        <f>IF(装备!I311="",0,"'"&amp;装备!I311&amp;"'")</f>
        <v>0</v>
      </c>
      <c r="H213">
        <f>IF(装备!R302="",0,装备!R302)</f>
        <v>0</v>
      </c>
      <c r="I213">
        <f>IF(装备!S302="",0,装备!S302)</f>
        <v>0</v>
      </c>
      <c r="J213">
        <f>IF(装备!C311="",0,""""&amp;装备!C311&amp;"""")</f>
        <v>0</v>
      </c>
      <c r="K213" t="str">
        <f>IF(装备!T311="","""""",""""&amp;装备!T311&amp;"""")</f>
        <v>""</v>
      </c>
      <c r="L213">
        <f>IF(装备!U311="",0,""""&amp;装备!U311&amp;"""")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IF(装备!B312="",0,"'"&amp;装备!B312&amp;"'")</f>
        <v>0</v>
      </c>
      <c r="B214">
        <f>装备!D239</f>
        <v>0</v>
      </c>
      <c r="C214">
        <f>装备!E312</f>
        <v>0</v>
      </c>
      <c r="D214">
        <f>装备!F312</f>
        <v>0</v>
      </c>
      <c r="E214">
        <f>IF(ISTEXT(装备!G303)=TRUE,"'"&amp;装备!G303&amp;"'",装备!G303)</f>
        <v>0</v>
      </c>
      <c r="F214">
        <f>IF(ISTEXT(装备!H303)=TRUE,"'"&amp;装备!H303&amp;"'",装备!H303)</f>
        <v>0</v>
      </c>
      <c r="G214">
        <f>IF(装备!I312="",0,"'"&amp;装备!I312&amp;"'")</f>
        <v>0</v>
      </c>
      <c r="H214">
        <f>IF(装备!R303="",0,装备!R303)</f>
        <v>0</v>
      </c>
      <c r="I214">
        <f>IF(装备!S303="",0,装备!S303)</f>
        <v>0</v>
      </c>
      <c r="J214">
        <f>IF(装备!C312="",0,""""&amp;装备!C312&amp;"""")</f>
        <v>0</v>
      </c>
      <c r="K214" t="str">
        <f>IF(装备!T312="","""""",""""&amp;装备!T312&amp;"""")</f>
        <v>""</v>
      </c>
      <c r="L214">
        <f>IF(装备!U312="",0,""""&amp;装备!U312&amp;"""")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IF(装备!B313="",0,"'"&amp;装备!B313&amp;"'")</f>
        <v>0</v>
      </c>
      <c r="B215">
        <f>装备!D240</f>
        <v>0</v>
      </c>
      <c r="C215">
        <f>装备!E313</f>
        <v>0</v>
      </c>
      <c r="D215">
        <f>装备!F313</f>
        <v>0</v>
      </c>
      <c r="E215">
        <f>IF(ISTEXT(装备!G304)=TRUE,"'"&amp;装备!G304&amp;"'",装备!G304)</f>
        <v>0</v>
      </c>
      <c r="F215">
        <f>IF(ISTEXT(装备!H304)=TRUE,"'"&amp;装备!H304&amp;"'",装备!H304)</f>
        <v>0</v>
      </c>
      <c r="G215">
        <f>IF(装备!I313="",0,"'"&amp;装备!I313&amp;"'")</f>
        <v>0</v>
      </c>
      <c r="H215">
        <f>IF(装备!R304="",0,装备!R304)</f>
        <v>0</v>
      </c>
      <c r="I215">
        <f>IF(装备!S304="",0,装备!S304)</f>
        <v>0</v>
      </c>
      <c r="J215">
        <f>IF(装备!C313="",0,""""&amp;装备!C313&amp;"""")</f>
        <v>0</v>
      </c>
      <c r="K215" t="str">
        <f>IF(装备!T313="","""""",""""&amp;装备!T313&amp;"""")</f>
        <v>""</v>
      </c>
      <c r="L215">
        <f>IF(装备!U313="",0,""""&amp;装备!U313&amp;"""")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IF(装备!B314="",0,"'"&amp;装备!B314&amp;"'")</f>
        <v>0</v>
      </c>
      <c r="B216">
        <f>装备!D241</f>
        <v>0</v>
      </c>
      <c r="C216">
        <f>装备!E314</f>
        <v>0</v>
      </c>
      <c r="D216">
        <f>装备!F314</f>
        <v>0</v>
      </c>
      <c r="E216">
        <f>IF(ISTEXT(装备!G305)=TRUE,"'"&amp;装备!G305&amp;"'",装备!G305)</f>
        <v>0</v>
      </c>
      <c r="F216">
        <f>IF(ISTEXT(装备!H305)=TRUE,"'"&amp;装备!H305&amp;"'",装备!H305)</f>
        <v>0</v>
      </c>
      <c r="G216">
        <f>IF(装备!I314="",0,"'"&amp;装备!I314&amp;"'")</f>
        <v>0</v>
      </c>
      <c r="H216">
        <f>IF(装备!R305="",0,装备!R305)</f>
        <v>0</v>
      </c>
      <c r="I216">
        <f>IF(装备!S305="",0,装备!S305)</f>
        <v>0</v>
      </c>
      <c r="J216">
        <f>IF(装备!C314="",0,""""&amp;装备!C314&amp;"""")</f>
        <v>0</v>
      </c>
      <c r="K216" t="str">
        <f>IF(装备!T314="","""""",""""&amp;装备!T314&amp;"""")</f>
        <v>""</v>
      </c>
      <c r="L216">
        <f>IF(装备!U314="",0,""""&amp;装备!U314&amp;"""")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IF(装备!B315="",0,"'"&amp;装备!B315&amp;"'")</f>
        <v>0</v>
      </c>
      <c r="B217">
        <f>装备!D242</f>
        <v>0</v>
      </c>
      <c r="C217">
        <f>装备!E315</f>
        <v>0</v>
      </c>
      <c r="D217">
        <f>装备!F315</f>
        <v>0</v>
      </c>
      <c r="E217">
        <f>IF(ISTEXT(装备!G306)=TRUE,"'"&amp;装备!G306&amp;"'",装备!G306)</f>
        <v>0</v>
      </c>
      <c r="F217">
        <f>IF(ISTEXT(装备!H306)=TRUE,"'"&amp;装备!H306&amp;"'",装备!H306)</f>
        <v>0</v>
      </c>
      <c r="G217">
        <f>IF(装备!I315="",0,"'"&amp;装备!I315&amp;"'")</f>
        <v>0</v>
      </c>
      <c r="H217">
        <f>IF(装备!R306="",0,装备!R306)</f>
        <v>0</v>
      </c>
      <c r="I217">
        <f>IF(装备!S306="",0,装备!S306)</f>
        <v>0</v>
      </c>
      <c r="J217">
        <f>IF(装备!C315="",0,""""&amp;装备!C315&amp;"""")</f>
        <v>0</v>
      </c>
      <c r="K217" t="str">
        <f>IF(装备!T315="","""""",""""&amp;装备!T315&amp;"""")</f>
        <v>""</v>
      </c>
      <c r="L217">
        <f>IF(装备!U315="",0,""""&amp;装备!U315&amp;"""")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IF(装备!B316="",0,"'"&amp;装备!B316&amp;"'")</f>
        <v>0</v>
      </c>
      <c r="B218">
        <f>装备!D243</f>
        <v>0</v>
      </c>
      <c r="C218">
        <f>装备!E316</f>
        <v>0</v>
      </c>
      <c r="D218">
        <f>装备!F316</f>
        <v>0</v>
      </c>
      <c r="E218">
        <f>IF(ISTEXT(装备!G307)=TRUE,"'"&amp;装备!G307&amp;"'",装备!G307)</f>
        <v>0</v>
      </c>
      <c r="F218">
        <f>IF(ISTEXT(装备!H307)=TRUE,"'"&amp;装备!H307&amp;"'",装备!H307)</f>
        <v>0</v>
      </c>
      <c r="G218">
        <f>IF(装备!I316="",0,"'"&amp;装备!I316&amp;"'")</f>
        <v>0</v>
      </c>
      <c r="H218">
        <f>IF(装备!R307="",0,装备!R307)</f>
        <v>0</v>
      </c>
      <c r="I218">
        <f>IF(装备!S307="",0,装备!S307)</f>
        <v>0</v>
      </c>
      <c r="J218">
        <f>IF(装备!C316="",0,""""&amp;装备!C316&amp;"""")</f>
        <v>0</v>
      </c>
      <c r="K218" t="str">
        <f>IF(装备!T316="","""""",""""&amp;装备!T316&amp;"""")</f>
        <v>""</v>
      </c>
      <c r="L218">
        <f>IF(装备!U316="",0,""""&amp;装备!U316&amp;"""")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IF(装备!B317="",0,"'"&amp;装备!B317&amp;"'")</f>
        <v>0</v>
      </c>
      <c r="B219">
        <f>装备!D244</f>
        <v>0</v>
      </c>
      <c r="C219">
        <f>装备!E317</f>
        <v>0</v>
      </c>
      <c r="D219">
        <f>装备!F317</f>
        <v>0</v>
      </c>
      <c r="E219">
        <f>IF(ISTEXT(装备!G308)=TRUE,"'"&amp;装备!G308&amp;"'",装备!G308)</f>
        <v>0</v>
      </c>
      <c r="F219">
        <f>IF(ISTEXT(装备!H308)=TRUE,"'"&amp;装备!H308&amp;"'",装备!H308)</f>
        <v>0</v>
      </c>
      <c r="G219">
        <f>IF(装备!I317="",0,"'"&amp;装备!I317&amp;"'")</f>
        <v>0</v>
      </c>
      <c r="H219">
        <f>IF(装备!R308="",0,装备!R308)</f>
        <v>0</v>
      </c>
      <c r="I219">
        <f>IF(装备!S308="",0,装备!S308)</f>
        <v>0</v>
      </c>
      <c r="J219">
        <f>IF(装备!C317="",0,""""&amp;装备!C317&amp;"""")</f>
        <v>0</v>
      </c>
      <c r="K219" t="str">
        <f>IF(装备!T317="","""""",""""&amp;装备!T317&amp;"""")</f>
        <v>""</v>
      </c>
      <c r="L219">
        <f>IF(装备!U317="",0,""""&amp;装备!U317&amp;"""")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IF(装备!B318="",0,"'"&amp;装备!B318&amp;"'")</f>
        <v>0</v>
      </c>
      <c r="B220">
        <f>装备!D245</f>
        <v>0</v>
      </c>
      <c r="C220">
        <f>装备!E318</f>
        <v>0</v>
      </c>
      <c r="D220">
        <f>装备!F318</f>
        <v>0</v>
      </c>
      <c r="E220">
        <f>IF(ISTEXT(装备!G309)=TRUE,"'"&amp;装备!G309&amp;"'",装备!G309)</f>
        <v>0</v>
      </c>
      <c r="F220">
        <f>IF(ISTEXT(装备!H309)=TRUE,"'"&amp;装备!H309&amp;"'",装备!H309)</f>
        <v>0</v>
      </c>
      <c r="G220">
        <f>IF(装备!I318="",0,"'"&amp;装备!I318&amp;"'")</f>
        <v>0</v>
      </c>
      <c r="H220">
        <f>IF(装备!R309="",0,装备!R309)</f>
        <v>0</v>
      </c>
      <c r="I220">
        <f>IF(装备!S309="",0,装备!S309)</f>
        <v>0</v>
      </c>
      <c r="J220">
        <f>IF(装备!C318="",0,""""&amp;装备!C318&amp;"""")</f>
        <v>0</v>
      </c>
      <c r="K220" t="str">
        <f>IF(装备!T318="","""""",""""&amp;装备!T318&amp;"""")</f>
        <v>""</v>
      </c>
      <c r="L220">
        <f>IF(装备!U318="",0,""""&amp;装备!U318&amp;"""")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IF(装备!B319="",0,"'"&amp;装备!B319&amp;"'")</f>
        <v>0</v>
      </c>
      <c r="B221">
        <f>装备!D246</f>
        <v>0</v>
      </c>
      <c r="C221">
        <f>装备!E319</f>
        <v>0</v>
      </c>
      <c r="D221">
        <f>装备!F319</f>
        <v>0</v>
      </c>
      <c r="E221">
        <f>IF(ISTEXT(装备!G310)=TRUE,"'"&amp;装备!G310&amp;"'",装备!G310)</f>
        <v>0</v>
      </c>
      <c r="F221">
        <f>IF(ISTEXT(装备!H310)=TRUE,"'"&amp;装备!H310&amp;"'",装备!H310)</f>
        <v>0</v>
      </c>
      <c r="G221">
        <f>IF(装备!I319="",0,"'"&amp;装备!I319&amp;"'")</f>
        <v>0</v>
      </c>
      <c r="H221">
        <f>IF(装备!R310="",0,装备!R310)</f>
        <v>0</v>
      </c>
      <c r="I221">
        <f>IF(装备!S310="",0,装备!S310)</f>
        <v>0</v>
      </c>
      <c r="J221">
        <f>IF(装备!C319="",0,""""&amp;装备!C319&amp;"""")</f>
        <v>0</v>
      </c>
      <c r="K221" t="str">
        <f>IF(装备!T319="","""""",""""&amp;装备!T319&amp;"""")</f>
        <v>""</v>
      </c>
      <c r="L221">
        <f>IF(装备!U319="",0,""""&amp;装备!U319&amp;"""")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IF(装备!B320="",0,"'"&amp;装备!B320&amp;"'")</f>
        <v>0</v>
      </c>
      <c r="B222">
        <f>装备!D247</f>
        <v>0</v>
      </c>
      <c r="C222">
        <f>装备!E320</f>
        <v>0</v>
      </c>
      <c r="D222">
        <f>装备!F320</f>
        <v>0</v>
      </c>
      <c r="E222">
        <f>IF(ISTEXT(装备!G311)=TRUE,"'"&amp;装备!G311&amp;"'",装备!G311)</f>
        <v>0</v>
      </c>
      <c r="F222">
        <f>IF(ISTEXT(装备!H311)=TRUE,"'"&amp;装备!H311&amp;"'",装备!H311)</f>
        <v>0</v>
      </c>
      <c r="G222">
        <f>IF(装备!I320="",0,"'"&amp;装备!I320&amp;"'")</f>
        <v>0</v>
      </c>
      <c r="H222">
        <f>IF(装备!R311="",0,装备!R311)</f>
        <v>0</v>
      </c>
      <c r="I222">
        <f>IF(装备!S311="",0,装备!S311)</f>
        <v>0</v>
      </c>
      <c r="J222">
        <f>IF(装备!C320="",0,""""&amp;装备!C320&amp;"""")</f>
        <v>0</v>
      </c>
      <c r="K222" t="str">
        <f>IF(装备!T320="","""""",""""&amp;装备!T320&amp;"""")</f>
        <v>""</v>
      </c>
      <c r="L222">
        <f>IF(装备!U320="",0,""""&amp;装备!U320&amp;"""")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IF(装备!B321="",0,"'"&amp;装备!B321&amp;"'")</f>
        <v>0</v>
      </c>
      <c r="B223">
        <f>装备!D248</f>
        <v>0</v>
      </c>
      <c r="C223">
        <f>装备!E321</f>
        <v>0</v>
      </c>
      <c r="D223">
        <f>装备!F321</f>
        <v>0</v>
      </c>
      <c r="E223">
        <f>IF(ISTEXT(装备!G312)=TRUE,"'"&amp;装备!G312&amp;"'",装备!G312)</f>
        <v>0</v>
      </c>
      <c r="F223">
        <f>IF(ISTEXT(装备!H312)=TRUE,"'"&amp;装备!H312&amp;"'",装备!H312)</f>
        <v>0</v>
      </c>
      <c r="G223">
        <f>IF(装备!I321="",0,"'"&amp;装备!I321&amp;"'")</f>
        <v>0</v>
      </c>
      <c r="H223">
        <f>IF(装备!R312="",0,装备!R312)</f>
        <v>0</v>
      </c>
      <c r="I223">
        <f>IF(装备!S312="",0,装备!S312)</f>
        <v>0</v>
      </c>
      <c r="J223">
        <f>IF(装备!C321="",0,""""&amp;装备!C321&amp;"""")</f>
        <v>0</v>
      </c>
      <c r="K223" t="str">
        <f>IF(装备!T321="","""""",""""&amp;装备!T321&amp;"""")</f>
        <v>""</v>
      </c>
      <c r="L223">
        <f>IF(装备!U321="",0,""""&amp;装备!U321&amp;"""")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IF(装备!B322="",0,"'"&amp;装备!B322&amp;"'")</f>
        <v>0</v>
      </c>
      <c r="B224">
        <f>装备!D249</f>
        <v>0</v>
      </c>
      <c r="C224">
        <f>装备!E322</f>
        <v>0</v>
      </c>
      <c r="D224">
        <f>装备!F322</f>
        <v>0</v>
      </c>
      <c r="E224">
        <f>IF(ISTEXT(装备!G313)=TRUE,"'"&amp;装备!G313&amp;"'",装备!G313)</f>
        <v>0</v>
      </c>
      <c r="F224">
        <f>IF(ISTEXT(装备!H313)=TRUE,"'"&amp;装备!H313&amp;"'",装备!H313)</f>
        <v>0</v>
      </c>
      <c r="G224">
        <f>IF(装备!I322="",0,"'"&amp;装备!I322&amp;"'")</f>
        <v>0</v>
      </c>
      <c r="H224">
        <f>IF(装备!R313="",0,装备!R313)</f>
        <v>0</v>
      </c>
      <c r="I224">
        <f>IF(装备!S313="",0,装备!S313)</f>
        <v>0</v>
      </c>
      <c r="J224">
        <f>IF(装备!C322="",0,""""&amp;装备!C322&amp;"""")</f>
        <v>0</v>
      </c>
      <c r="K224" t="str">
        <f>IF(装备!T322="","""""",""""&amp;装备!T322&amp;"""")</f>
        <v>""</v>
      </c>
      <c r="L224">
        <f>IF(装备!U322="",0,""""&amp;装备!U322&amp;"""")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IF(装备!B323="",0,"'"&amp;装备!B323&amp;"'")</f>
        <v>0</v>
      </c>
      <c r="B225">
        <f>装备!D250</f>
        <v>0</v>
      </c>
      <c r="C225">
        <f>装备!E323</f>
        <v>0</v>
      </c>
      <c r="D225">
        <f>装备!F323</f>
        <v>0</v>
      </c>
      <c r="E225">
        <f>IF(ISTEXT(装备!G314)=TRUE,"'"&amp;装备!G314&amp;"'",装备!G314)</f>
        <v>0</v>
      </c>
      <c r="F225">
        <f>IF(ISTEXT(装备!H314)=TRUE,"'"&amp;装备!H314&amp;"'",装备!H314)</f>
        <v>0</v>
      </c>
      <c r="G225">
        <f>IF(装备!I323="",0,"'"&amp;装备!I323&amp;"'")</f>
        <v>0</v>
      </c>
      <c r="H225">
        <f>IF(装备!R314="",0,装备!R314)</f>
        <v>0</v>
      </c>
      <c r="I225">
        <f>IF(装备!S314="",0,装备!S314)</f>
        <v>0</v>
      </c>
      <c r="J225">
        <f>IF(装备!C323="",0,""""&amp;装备!C323&amp;"""")</f>
        <v>0</v>
      </c>
      <c r="K225" t="str">
        <f>IF(装备!T323="","""""",""""&amp;装备!T323&amp;"""")</f>
        <v>""</v>
      </c>
      <c r="L225">
        <f>IF(装备!U323="",0,""""&amp;装备!U323&amp;"""")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3"/>
      <c r="CC1" s="3" t="s">
        <v>737</v>
      </c>
      <c r="CD1" s="3" t="s">
        <v>737</v>
      </c>
      <c r="CE1" s="3" t="s">
        <v>737</v>
      </c>
      <c r="CF1" s="3" t="s">
        <v>737</v>
      </c>
      <c r="CH1" s="3" t="s">
        <v>737</v>
      </c>
    </row>
    <row r="2" spans="3:85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 t="str">
        <f>装备!BO2</f>
        <v>杀敌金币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 t="str">
        <f>装备!BS2</f>
        <v>每秒金币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738</v>
      </c>
      <c r="CC2" s="3" t="s">
        <v>739</v>
      </c>
      <c r="CD2" s="3" t="s">
        <v>740</v>
      </c>
      <c r="CE2" s="3" t="s">
        <v>741</v>
      </c>
      <c r="CF2" s="3" t="s">
        <v>742</v>
      </c>
      <c r="CG2" s="3" t="s">
        <v>743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4000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InitUnitState('E006',12000,4000,0,0,0,0,0,0,0,0)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32000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InitUnitState('E011',60000,32000,0,0,0,0,0,0,0,0)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160000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InitUnitState('E016',300000,160000,0,0,0,0,0,0,0,0)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250000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InitUnitState('E021',800000,250000,0,0,0,0,0,0,0,0)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3600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InitUnitState('E106',3780,0,0,0,12600,3600,252,0,55,6)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45000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InitUnitState('E111',27000,0,0,0,90000,45000,1800,0,80,9)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81000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InitUnitState('E116',81000,0,0,0,270000,81000,5400,0,105,12)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225000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InitUnitState('E121',202500,0,0,0,675000,225000,13500,0,130,15)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744</v>
      </c>
      <c r="B1" s="3" t="s">
        <v>745</v>
      </c>
      <c r="C1" s="3" t="s">
        <v>746</v>
      </c>
      <c r="D1" s="3" t="s">
        <v>747</v>
      </c>
      <c r="E1" s="3" t="s">
        <v>748</v>
      </c>
    </row>
    <row r="2" ht="15" spans="1:5">
      <c r="A2" s="5">
        <v>1</v>
      </c>
      <c r="B2" s="5" t="s">
        <v>512</v>
      </c>
      <c r="C2" s="6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5">
        <v>1</v>
      </c>
      <c r="B3" s="5" t="s">
        <v>515</v>
      </c>
      <c r="C3" s="6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5">
        <v>1</v>
      </c>
      <c r="B4" s="5" t="s">
        <v>518</v>
      </c>
      <c r="C4" s="6">
        <v>4</v>
      </c>
      <c r="D4" s="3" t="str">
        <f>VLOOKUP(B4,装备!B:E,2,FALSE)</f>
        <v>快乐刷E</v>
      </c>
      <c r="E4" t="str">
        <f t="shared" si="0"/>
        <v>            ItemPoolAddItemType(ItemPool[1],'IN03',4)</v>
      </c>
    </row>
    <row r="5" ht="15" spans="1:5">
      <c r="A5" s="5">
        <v>1</v>
      </c>
      <c r="B5" s="5" t="s">
        <v>521</v>
      </c>
      <c r="C5" s="6">
        <v>1</v>
      </c>
      <c r="D5" s="3" t="str">
        <f>VLOOKUP(B5,装备!B:E,2,FALSE)</f>
        <v>九重锻神丹</v>
      </c>
      <c r="E5" t="str">
        <f t="shared" si="0"/>
        <v>            ItemPoolAddItemType(ItemPool[1],'IN04',1)</v>
      </c>
    </row>
    <row r="6" ht="15" spans="1:5">
      <c r="A6" s="5">
        <v>1</v>
      </c>
      <c r="B6" s="5" t="s">
        <v>524</v>
      </c>
      <c r="C6" s="6">
        <v>1</v>
      </c>
      <c r="D6" s="3" t="str">
        <f>VLOOKUP(B6,装备!B:E,2,FALSE)</f>
        <v>灭魄血煞丹</v>
      </c>
      <c r="E6" t="str">
        <f t="shared" si="0"/>
        <v>            ItemPoolAddItemType(ItemPool[1],'IN05',1)</v>
      </c>
    </row>
    <row r="7" ht="15" spans="1:5">
      <c r="A7" s="5">
        <v>1</v>
      </c>
      <c r="B7" s="5" t="s">
        <v>527</v>
      </c>
      <c r="C7" s="6">
        <v>1</v>
      </c>
      <c r="D7" s="3" t="str">
        <f>VLOOKUP(B7,装备!B:E,2,FALSE)</f>
        <v>入微洞虚丹</v>
      </c>
      <c r="E7" t="str">
        <f t="shared" si="0"/>
        <v>            ItemPoolAddItemType(ItemPool[1],'IN06',1)</v>
      </c>
    </row>
    <row r="8" ht="15" spans="1:5">
      <c r="A8" s="5">
        <v>1</v>
      </c>
      <c r="B8" s="5" t="s">
        <v>530</v>
      </c>
      <c r="C8" s="6">
        <v>2</v>
      </c>
      <c r="D8" s="3" t="str">
        <f>VLOOKUP(B8,装备!B:E,2,FALSE)</f>
        <v>来份快餐</v>
      </c>
      <c r="E8" t="str">
        <f t="shared" si="0"/>
        <v>            ItemPoolAddItemType(ItemPool[1],'IN07',2)</v>
      </c>
    </row>
    <row r="9" ht="15" spans="1:5">
      <c r="A9" s="5">
        <v>1</v>
      </c>
      <c r="B9" s="5" t="s">
        <v>533</v>
      </c>
      <c r="C9" s="6">
        <v>2</v>
      </c>
      <c r="D9" s="3" t="str">
        <f>VLOOKUP(B9,装备!B:E,2,FALSE)</f>
        <v>抬你一手</v>
      </c>
      <c r="E9" t="str">
        <f t="shared" si="0"/>
        <v>            ItemPoolAddItemType(ItemPool[1],'IN08',2)</v>
      </c>
    </row>
    <row r="10" ht="15" spans="1:5">
      <c r="A10" s="5">
        <v>1</v>
      </c>
      <c r="B10" s="5" t="s">
        <v>536</v>
      </c>
      <c r="C10" s="6">
        <v>3</v>
      </c>
      <c r="D10" s="3" t="str">
        <f>VLOOKUP(B10,装备!B:E,2,FALSE)</f>
        <v>我刷一会</v>
      </c>
      <c r="E10" t="str">
        <f t="shared" si="0"/>
        <v>            ItemPoolAddItemType(ItemPool[1],'IN09',3)</v>
      </c>
    </row>
    <row r="11" ht="15" spans="1:11">
      <c r="A11" s="5">
        <v>1</v>
      </c>
      <c r="B11" s="5" t="s">
        <v>539</v>
      </c>
      <c r="C11" s="6">
        <v>2</v>
      </c>
      <c r="D11" s="3" t="str">
        <f>VLOOKUP(B11,装备!B:E,2,FALSE)</f>
        <v>我再刷会</v>
      </c>
      <c r="E11" t="str">
        <f t="shared" si="0"/>
        <v>            ItemPoolAddItemType(ItemPool[1],'IN10',2)</v>
      </c>
      <c r="K11" s="9"/>
    </row>
    <row r="12" ht="15" spans="1:5">
      <c r="A12" s="5">
        <v>1</v>
      </c>
      <c r="B12" s="5" t="s">
        <v>542</v>
      </c>
      <c r="C12" s="6">
        <v>2</v>
      </c>
      <c r="D12" s="3" t="str">
        <f>VLOOKUP(B12,装备!B:E,2,FALSE)</f>
        <v>奥里给Lo他</v>
      </c>
      <c r="E12" t="str">
        <f t="shared" si="0"/>
        <v>            ItemPoolAddItemType(ItemPool[1],'IN11',2)</v>
      </c>
    </row>
    <row r="13" ht="15" spans="1:5">
      <c r="A13" s="5">
        <v>1</v>
      </c>
      <c r="B13" s="5" t="s">
        <v>545</v>
      </c>
      <c r="C13" s="6">
        <v>2</v>
      </c>
      <c r="D13" s="3" t="str">
        <f>VLOOKUP(B13,装备!B:E,2,FALSE)</f>
        <v>钱有点多</v>
      </c>
      <c r="E13" t="str">
        <f t="shared" si="0"/>
        <v>            ItemPoolAddItemType(ItemPool[1],'IN12',2)</v>
      </c>
    </row>
    <row r="14" ht="15" spans="1:5">
      <c r="A14" s="5">
        <v>1</v>
      </c>
      <c r="B14" s="5" t="s">
        <v>548</v>
      </c>
      <c r="C14" s="6">
        <v>4</v>
      </c>
      <c r="D14" s="3" t="str">
        <f>VLOOKUP(B14,装备!B:E,2,FALSE)</f>
        <v>钱有点少</v>
      </c>
      <c r="E14" t="str">
        <f t="shared" si="0"/>
        <v>            ItemPoolAddItemType(ItemPool[1],'IN13',4)</v>
      </c>
    </row>
    <row r="15" ht="15" spans="1:5">
      <c r="A15" s="5">
        <v>1</v>
      </c>
      <c r="B15" s="5" t="s">
        <v>551</v>
      </c>
      <c r="C15" s="6">
        <v>1</v>
      </c>
      <c r="D15" s="3" t="str">
        <f>VLOOKUP(B15,装备!B:E,2,FALSE)</f>
        <v>精准预判</v>
      </c>
      <c r="E15" t="str">
        <f t="shared" si="0"/>
        <v>            ItemPoolAddItemType(ItemPool[1],'IN14',1)</v>
      </c>
    </row>
    <row r="16" ht="15" spans="1:5">
      <c r="A16" s="5">
        <v>1</v>
      </c>
      <c r="B16" s="5" t="s">
        <v>554</v>
      </c>
      <c r="C16" s="6">
        <v>1</v>
      </c>
      <c r="D16" s="3" t="str">
        <f>VLOOKUP(B16,装备!B:E,2,FALSE)</f>
        <v>洗一手</v>
      </c>
      <c r="E16" t="str">
        <f t="shared" si="0"/>
        <v>            ItemPoolAddItemType(ItemPool[1],'IN15',1)</v>
      </c>
    </row>
    <row r="17" ht="15" spans="1:5">
      <c r="A17" s="5">
        <v>1</v>
      </c>
      <c r="B17" s="5" t="s">
        <v>557</v>
      </c>
      <c r="C17" s="6">
        <v>1</v>
      </c>
      <c r="D17" s="3" t="str">
        <f>VLOOKUP(B17,装备!B:E,2,FALSE)</f>
        <v>怼上去</v>
      </c>
      <c r="E17" t="str">
        <f t="shared" si="0"/>
        <v>            ItemPoolAddItemType(ItemPool[1],'IN16',1)</v>
      </c>
    </row>
    <row r="18" ht="15" spans="1:5">
      <c r="A18" s="5">
        <v>1</v>
      </c>
      <c r="B18" s="5" t="s">
        <v>560</v>
      </c>
      <c r="C18" s="6">
        <v>2</v>
      </c>
      <c r="D18" s="3" t="str">
        <f>VLOOKUP(B18,装备!B:E,2,FALSE)</f>
        <v>来点杀敌</v>
      </c>
      <c r="E18" t="str">
        <f t="shared" si="0"/>
        <v>            ItemPoolAddItemType(ItemPool[1],'IN17',2)</v>
      </c>
    </row>
    <row r="19" ht="15" spans="1:5">
      <c r="A19" s="5">
        <v>1</v>
      </c>
      <c r="B19" s="5" t="s">
        <v>563</v>
      </c>
      <c r="C19" s="6">
        <v>2</v>
      </c>
      <c r="D19" s="3" t="str">
        <f>VLOOKUP(B19,装备!B:E,2,FALSE)</f>
        <v>真就一点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5" spans="1:5">
      <c r="A21" s="5">
        <v>2</v>
      </c>
      <c r="B21" s="8" t="s">
        <v>697</v>
      </c>
      <c r="C21" s="6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5">
        <v>2</v>
      </c>
      <c r="B22" s="8" t="s">
        <v>698</v>
      </c>
      <c r="C22" s="6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5">
        <v>2</v>
      </c>
      <c r="B23" s="8" t="s">
        <v>700</v>
      </c>
      <c r="C23" s="6">
        <v>1</v>
      </c>
      <c r="D23" s="3" t="str">
        <f>VLOOKUP(B23,装备!B:E,2,FALSE)</f>
        <v>攻击</v>
      </c>
      <c r="E23" t="str">
        <f t="shared" si="1"/>
        <v>            ItemPoolAddItemType(ItemPool[2],'IF03',1)</v>
      </c>
    </row>
    <row r="24" ht="15" spans="1:5">
      <c r="A24" s="5">
        <v>2</v>
      </c>
      <c r="B24" s="8" t="s">
        <v>701</v>
      </c>
      <c r="C24" s="6">
        <v>1</v>
      </c>
      <c r="D24" s="3" t="str">
        <f>VLOOKUP(B24,装备!B:E,2,FALSE)</f>
        <v>法强</v>
      </c>
      <c r="E24" t="str">
        <f t="shared" si="1"/>
        <v>            ItemPoolAddItemType(ItemPool[2],'IF04',1)</v>
      </c>
    </row>
    <row r="25" ht="15" spans="1:5">
      <c r="A25" s="5">
        <v>2</v>
      </c>
      <c r="B25" s="8" t="s">
        <v>702</v>
      </c>
      <c r="C25" s="6">
        <v>1</v>
      </c>
      <c r="D25" s="3" t="str">
        <f>VLOOKUP(B25,装备!B:E,2,FALSE)</f>
        <v>攻击</v>
      </c>
      <c r="E25" t="str">
        <f t="shared" si="1"/>
        <v>            ItemPoolAddItemType(ItemPool[2],'IF05',1)</v>
      </c>
    </row>
    <row r="26" ht="15" spans="1:5">
      <c r="A26" s="5">
        <v>2</v>
      </c>
      <c r="B26" s="8" t="s">
        <v>703</v>
      </c>
      <c r="C26" s="6">
        <v>1</v>
      </c>
      <c r="D26" s="3" t="str">
        <f>VLOOKUP(B26,装备!B:E,2,FALSE)</f>
        <v>法强</v>
      </c>
      <c r="E26" t="str">
        <f t="shared" si="1"/>
        <v>            ItemPoolAddItemType(ItemPool[2],'IF06',1)</v>
      </c>
    </row>
    <row r="27" ht="15" spans="1:5">
      <c r="A27" s="5">
        <v>2</v>
      </c>
      <c r="B27" s="8" t="s">
        <v>704</v>
      </c>
      <c r="C27" s="6">
        <v>3</v>
      </c>
      <c r="D27" s="3" t="str">
        <f>VLOOKUP(B27,装备!B:E,2,FALSE)</f>
        <v>攻击</v>
      </c>
      <c r="E27" t="str">
        <f t="shared" si="1"/>
        <v>            ItemPoolAddItemType(ItemPool[2],'IF07',3)</v>
      </c>
    </row>
    <row r="28" ht="15" spans="1:5">
      <c r="A28" s="5">
        <v>2</v>
      </c>
      <c r="B28" s="8" t="s">
        <v>705</v>
      </c>
      <c r="C28" s="6">
        <v>3</v>
      </c>
      <c r="D28" s="3" t="str">
        <f>VLOOKUP(B28,装备!B:E,2,FALSE)</f>
        <v>法强</v>
      </c>
      <c r="E28" t="str">
        <f t="shared" si="1"/>
        <v>            ItemPoolAddItemType(ItemPool[2],'IF08',3)</v>
      </c>
    </row>
    <row r="29" ht="15" spans="1:5">
      <c r="A29" s="5">
        <v>2</v>
      </c>
      <c r="B29" s="8" t="s">
        <v>706</v>
      </c>
      <c r="C29" s="6">
        <v>1</v>
      </c>
      <c r="D29" s="3" t="str">
        <f>VLOOKUP(B29,装备!B:E,2,FALSE)</f>
        <v>攻击</v>
      </c>
      <c r="E29" t="str">
        <f t="shared" si="1"/>
        <v>            ItemPoolAddItemType(ItemPool[2],'IF09',1)</v>
      </c>
    </row>
    <row r="30" ht="15" spans="1:5">
      <c r="A30" s="5">
        <v>2</v>
      </c>
      <c r="B30" s="8" t="s">
        <v>707</v>
      </c>
      <c r="C30" s="6">
        <v>1</v>
      </c>
      <c r="D30" s="3" t="str">
        <f>VLOOKUP(B30,装备!B:E,2,FALSE)</f>
        <v>法强</v>
      </c>
      <c r="E30" t="str">
        <f t="shared" si="1"/>
        <v>            ItemPoolAddItemType(ItemPool[2],'IF10',1)</v>
      </c>
    </row>
    <row r="31" ht="15" spans="1:5">
      <c r="A31" s="5">
        <v>2</v>
      </c>
      <c r="B31" s="8" t="s">
        <v>708</v>
      </c>
      <c r="C31" s="6">
        <v>2</v>
      </c>
      <c r="D31" s="3" t="str">
        <f>VLOOKUP(B31,装备!B:E,2,FALSE)</f>
        <v>攻击和法强</v>
      </c>
      <c r="E31" t="str">
        <f t="shared" si="1"/>
        <v>            ItemPoolAddItemType(ItemPool[2],'IF11',2)</v>
      </c>
    </row>
    <row r="32" ht="15" spans="1:5">
      <c r="A32" s="5">
        <v>2</v>
      </c>
      <c r="B32" s="8" t="s">
        <v>710</v>
      </c>
      <c r="C32" s="6">
        <v>1</v>
      </c>
      <c r="D32" s="3" t="str">
        <f>VLOOKUP(B32,装备!B:E,2,FALSE)</f>
        <v>暴击</v>
      </c>
      <c r="E32" t="str">
        <f t="shared" si="1"/>
        <v>            ItemPoolAddItemType(ItemPool[2],'IF12',1)</v>
      </c>
    </row>
    <row r="33" ht="15" spans="1:5">
      <c r="A33" s="5">
        <v>2</v>
      </c>
      <c r="B33" s="8" t="s">
        <v>711</v>
      </c>
      <c r="C33" s="6">
        <v>3</v>
      </c>
      <c r="D33" s="3" t="str">
        <f>VLOOKUP(B33,装备!B:E,2,FALSE)</f>
        <v>爆伤</v>
      </c>
      <c r="E33" t="str">
        <f t="shared" si="1"/>
        <v>            ItemPoolAddItemType(ItemPool[2],'IF13',3)</v>
      </c>
    </row>
    <row r="34" ht="15" spans="1:5">
      <c r="A34" s="5">
        <v>2</v>
      </c>
      <c r="B34" s="8" t="s">
        <v>713</v>
      </c>
      <c r="C34" s="6">
        <v>2</v>
      </c>
      <c r="D34" s="3" t="str">
        <f>VLOOKUP(B34,装备!B:E,2,FALSE)</f>
        <v>爆伤</v>
      </c>
      <c r="E34" t="str">
        <f t="shared" si="1"/>
        <v>            ItemPoolAddItemType(ItemPool[2],'IF14',2)</v>
      </c>
    </row>
    <row r="35" ht="15" spans="1:5">
      <c r="A35" s="5">
        <v>2</v>
      </c>
      <c r="B35" s="8" t="s">
        <v>714</v>
      </c>
      <c r="C35" s="6">
        <v>1</v>
      </c>
      <c r="D35" s="3" t="str">
        <f>VLOOKUP(B35,装备!B:E,2,FALSE)</f>
        <v>爆伤</v>
      </c>
      <c r="E35" t="str">
        <f t="shared" si="1"/>
        <v>            ItemPoolAddItemType(ItemPool[2],'IF15',1)</v>
      </c>
    </row>
    <row r="36" ht="15" spans="1:5">
      <c r="A36" s="5">
        <v>2</v>
      </c>
      <c r="B36" s="8" t="s">
        <v>715</v>
      </c>
      <c r="C36" s="6">
        <v>2</v>
      </c>
      <c r="D36" s="3" t="str">
        <f>VLOOKUP(B36,装备!B:E,2,FALSE)</f>
        <v>冷却缩减</v>
      </c>
      <c r="E36" t="str">
        <f t="shared" si="1"/>
        <v>            ItemPoolAddItemType(ItemPool[2],'IF16',2)</v>
      </c>
    </row>
    <row r="37" ht="15" spans="1:5">
      <c r="A37" s="5">
        <v>2</v>
      </c>
      <c r="B37" s="8" t="s">
        <v>716</v>
      </c>
      <c r="C37" s="6">
        <v>1</v>
      </c>
      <c r="D37" s="3" t="str">
        <f>VLOOKUP(B37,装备!B:E,2,FALSE)</f>
        <v>冷却缩减</v>
      </c>
      <c r="E37" t="str">
        <f t="shared" si="1"/>
        <v>            ItemPoolAddItemType(ItemPool[2],'IF17',1)</v>
      </c>
    </row>
    <row r="38" ht="15" spans="1:5">
      <c r="A38" s="5">
        <v>2</v>
      </c>
      <c r="B38" s="8" t="s">
        <v>717</v>
      </c>
      <c r="C38" s="6">
        <v>2</v>
      </c>
      <c r="D38" s="3" t="str">
        <f>VLOOKUP(B38,装备!B:E,2,FALSE)</f>
        <v>攻击速度</v>
      </c>
      <c r="E38" t="str">
        <f t="shared" si="1"/>
        <v>            ItemPoolAddItemType(ItemPool[2],'IF18',2)</v>
      </c>
    </row>
    <row r="39" ht="15" spans="1:5">
      <c r="A39" s="5">
        <v>2</v>
      </c>
      <c r="B39" s="8" t="s">
        <v>719</v>
      </c>
      <c r="C39" s="6">
        <v>1</v>
      </c>
      <c r="D39" s="3" t="str">
        <f>VLOOKUP(B39,装备!B:E,2,FALSE)</f>
        <v>攻击速度</v>
      </c>
      <c r="E39" t="str">
        <f t="shared" si="1"/>
        <v>            ItemPoolAddItemType(ItemPool[2],'IF19',1)</v>
      </c>
    </row>
    <row r="40" ht="15" spans="1:5">
      <c r="A40" s="5">
        <v>2</v>
      </c>
      <c r="B40" s="8" t="s">
        <v>720</v>
      </c>
      <c r="C40" s="6">
        <v>3</v>
      </c>
      <c r="D40" s="3" t="str">
        <f>VLOOKUP(B40,装备!B:E,2,FALSE)</f>
        <v>普攻伤害</v>
      </c>
      <c r="E40" t="str">
        <f t="shared" si="1"/>
        <v>            ItemPoolAddItemType(ItemPool[2],'IF20',3)</v>
      </c>
    </row>
    <row r="41" ht="15" spans="1:5">
      <c r="A41" s="5">
        <v>2</v>
      </c>
      <c r="B41" s="8" t="s">
        <v>721</v>
      </c>
      <c r="C41" s="6">
        <v>1</v>
      </c>
      <c r="D41" s="3" t="str">
        <f>VLOOKUP(B41,装备!B:E,2,FALSE)</f>
        <v>普攻伤害</v>
      </c>
      <c r="E41" t="str">
        <f t="shared" si="1"/>
        <v>            ItemPoolAddItemType(ItemPool[2],'IF21',1)</v>
      </c>
    </row>
    <row r="42" ht="15" spans="1:5">
      <c r="A42" s="5">
        <v>2</v>
      </c>
      <c r="B42" s="8" t="s">
        <v>722</v>
      </c>
      <c r="C42" s="6">
        <v>3</v>
      </c>
      <c r="D42" s="3" t="str">
        <f>VLOOKUP(B42,装备!B:E,2,FALSE)</f>
        <v>回蓝</v>
      </c>
      <c r="E42" t="str">
        <f t="shared" si="1"/>
        <v>            ItemPoolAddItemType(ItemPool[2],'IF22',3)</v>
      </c>
    </row>
    <row r="43" ht="15" spans="1:5">
      <c r="A43" s="5">
        <v>2</v>
      </c>
      <c r="B43" s="8" t="s">
        <v>724</v>
      </c>
      <c r="C43" s="6">
        <v>1</v>
      </c>
      <c r="D43" s="3" t="str">
        <f>VLOOKUP(B43,装备!B:E,2,FALSE)</f>
        <v>回蓝</v>
      </c>
      <c r="E43" t="str">
        <f t="shared" si="1"/>
        <v>            ItemPoolAddItemType(ItemPool[2],'IF23',1)</v>
      </c>
    </row>
    <row r="44" ht="15" spans="1:5">
      <c r="A44" s="5">
        <v>2</v>
      </c>
      <c r="B44" s="8" t="s">
        <v>725</v>
      </c>
      <c r="C44" s="6">
        <v>2</v>
      </c>
      <c r="D44" s="3" t="str">
        <f>VLOOKUP(B44,装备!B:E,2,FALSE)</f>
        <v>生命回复</v>
      </c>
      <c r="E44" t="str">
        <f t="shared" si="1"/>
        <v>            ItemPoolAddItemType(ItemPool[2],'IF24',2)</v>
      </c>
    </row>
    <row r="45" ht="15" spans="1:5">
      <c r="A45" s="5">
        <v>2</v>
      </c>
      <c r="B45" s="8" t="s">
        <v>726</v>
      </c>
      <c r="C45" s="6">
        <v>2</v>
      </c>
      <c r="D45" s="3" t="str">
        <f>VLOOKUP(B45,装备!B:E,2,FALSE)</f>
        <v>伤害吸血</v>
      </c>
      <c r="E45" t="str">
        <f t="shared" si="1"/>
        <v>            ItemPoolAddItemType(ItemPool[2],'IF25',2)</v>
      </c>
    </row>
    <row r="46" ht="15" spans="1:5">
      <c r="A46" s="5">
        <v>2</v>
      </c>
      <c r="B46" s="8" t="s">
        <v>728</v>
      </c>
      <c r="C46" s="6">
        <v>3</v>
      </c>
      <c r="D46" s="3" t="str">
        <f>VLOOKUP(B46,装备!B:E,2,FALSE)</f>
        <v>闪避</v>
      </c>
      <c r="E46" t="str">
        <f t="shared" si="1"/>
        <v>            ItemPoolAddItemType(ItemPool[2],'IF26',3)</v>
      </c>
    </row>
    <row r="47" ht="15" spans="1:5">
      <c r="A47" s="5">
        <v>2</v>
      </c>
      <c r="B47" s="8" t="s">
        <v>729</v>
      </c>
      <c r="C47" s="6">
        <v>3</v>
      </c>
      <c r="D47" s="3" t="str">
        <f>VLOOKUP(B47,装备!B:E,2,FALSE)</f>
        <v>伤害减免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5" spans="1:4">
      <c r="A83" s="7"/>
      <c r="B83" s="10"/>
      <c r="C83" s="7"/>
      <c r="D83" s="3"/>
    </row>
    <row r="84" ht="15" spans="1:4">
      <c r="A84" s="7"/>
      <c r="B84" s="10"/>
      <c r="C84" s="7"/>
      <c r="D84" s="3"/>
    </row>
    <row r="85" ht="15" spans="1:4">
      <c r="A85" s="7"/>
      <c r="B85" s="10"/>
      <c r="C85" s="7"/>
      <c r="D85" s="3"/>
    </row>
    <row r="86" ht="15" spans="1:4">
      <c r="A86" s="7"/>
      <c r="B86" s="10"/>
      <c r="C86" s="7"/>
      <c r="D86" s="3"/>
    </row>
    <row r="87" ht="15" spans="1:4">
      <c r="A87" s="7"/>
      <c r="B87" s="10"/>
      <c r="C87" s="7"/>
      <c r="D87" s="3"/>
    </row>
    <row r="88" ht="15" spans="1:4">
      <c r="A88" s="7"/>
      <c r="B88" s="10"/>
      <c r="C88" s="7"/>
      <c r="D88" s="3"/>
    </row>
    <row r="89" ht="15" spans="1:4">
      <c r="A89" s="7"/>
      <c r="B89" s="11"/>
      <c r="C89" s="7"/>
      <c r="D89" s="3"/>
    </row>
    <row r="90" ht="15" spans="1:4">
      <c r="A90" s="7"/>
      <c r="B90" s="10"/>
      <c r="C90" s="7"/>
      <c r="D90" s="3"/>
    </row>
    <row r="91" ht="15" spans="1:4">
      <c r="A91" s="7"/>
      <c r="B91" s="10"/>
      <c r="C91" s="7"/>
      <c r="D91" s="3"/>
    </row>
    <row r="92" ht="15" spans="1:4">
      <c r="A92" s="7"/>
      <c r="B92" s="10"/>
      <c r="C92" s="7"/>
      <c r="D92" s="3"/>
    </row>
    <row r="93" ht="15" spans="2:4">
      <c r="B93" s="10"/>
      <c r="C93" s="7"/>
      <c r="D93" s="3"/>
    </row>
    <row r="94" ht="15" spans="2:4">
      <c r="B94" s="10"/>
      <c r="C94" s="7"/>
      <c r="D94" s="3"/>
    </row>
    <row r="95" ht="15" spans="1:4">
      <c r="A95" s="3"/>
      <c r="B95" s="12"/>
      <c r="D95" s="3"/>
    </row>
    <row r="96" ht="15" spans="1:4">
      <c r="A96" s="3"/>
      <c r="B96" s="12"/>
      <c r="D96" s="3"/>
    </row>
    <row r="97" ht="15" spans="1:4">
      <c r="A97" s="3"/>
      <c r="B97" s="12"/>
      <c r="D97" s="3"/>
    </row>
    <row r="98" ht="15" spans="1:4">
      <c r="A98" s="3"/>
      <c r="B98" s="12"/>
      <c r="D98" s="3"/>
    </row>
    <row r="99" ht="15" spans="1:4">
      <c r="A99" s="3"/>
      <c r="B99" s="12"/>
      <c r="D99" s="3"/>
    </row>
    <row r="100" ht="15" spans="1:4">
      <c r="A100" s="3"/>
      <c r="B100" s="12"/>
      <c r="D100" s="3"/>
    </row>
    <row r="101" ht="15" spans="1:4">
      <c r="A101" s="3"/>
      <c r="B101" s="12"/>
      <c r="D101" s="3"/>
    </row>
    <row r="102" ht="15" spans="1:4">
      <c r="A102" s="3"/>
      <c r="B102" s="12"/>
      <c r="D102" s="3"/>
    </row>
    <row r="103" ht="15" spans="1:4">
      <c r="A103" s="3"/>
      <c r="B103" s="12"/>
      <c r="D103" s="3"/>
    </row>
    <row r="104" ht="15" spans="1:4">
      <c r="A104" s="3"/>
      <c r="B104" s="12"/>
      <c r="D104" s="3"/>
    </row>
    <row r="105" ht="1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101</v>
      </c>
      <c r="E1" t="s">
        <v>102</v>
      </c>
      <c r="F1" t="s">
        <v>749</v>
      </c>
      <c r="G1" t="s">
        <v>750</v>
      </c>
      <c r="I1" t="s">
        <v>751</v>
      </c>
      <c r="J1">
        <v>11</v>
      </c>
      <c r="P1" t="s">
        <v>752</v>
      </c>
      <c r="U1" t="s">
        <v>753</v>
      </c>
      <c r="V1" t="s">
        <v>754</v>
      </c>
      <c r="X1" s="3" t="s">
        <v>755</v>
      </c>
    </row>
    <row r="2" spans="1:25">
      <c r="A2" t="s">
        <v>756</v>
      </c>
      <c r="D2">
        <v>800</v>
      </c>
      <c r="E2" s="1">
        <v>1</v>
      </c>
      <c r="F2" s="2">
        <f>D2/E2</f>
        <v>800</v>
      </c>
      <c r="I2" t="s">
        <v>757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758</v>
      </c>
      <c r="D3">
        <v>800</v>
      </c>
      <c r="E3" s="1">
        <v>1</v>
      </c>
      <c r="F3" s="2">
        <f t="shared" ref="F3:F25" si="1">D3/E3</f>
        <v>800</v>
      </c>
      <c r="I3" t="s">
        <v>759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760</v>
      </c>
      <c r="D4">
        <v>800</v>
      </c>
      <c r="E4" s="1">
        <v>1</v>
      </c>
      <c r="F4" s="2">
        <f t="shared" si="1"/>
        <v>800</v>
      </c>
      <c r="I4" t="s">
        <v>761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762</v>
      </c>
      <c r="D5">
        <v>800</v>
      </c>
      <c r="E5" s="1">
        <v>1</v>
      </c>
      <c r="F5" s="2">
        <f t="shared" si="1"/>
        <v>800</v>
      </c>
      <c r="I5" t="s">
        <v>763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764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765</v>
      </c>
      <c r="D7">
        <v>2500</v>
      </c>
      <c r="E7" s="1">
        <v>0.85</v>
      </c>
      <c r="F7" s="2">
        <f t="shared" si="1"/>
        <v>2941.17647058824</v>
      </c>
      <c r="J7" t="s">
        <v>766</v>
      </c>
      <c r="K7" s="3" t="s">
        <v>767</v>
      </c>
      <c r="L7" s="3" t="s">
        <v>768</v>
      </c>
      <c r="M7" t="s">
        <v>769</v>
      </c>
      <c r="N7" t="s">
        <v>770</v>
      </c>
      <c r="P7">
        <f t="shared" si="0"/>
        <v>85</v>
      </c>
    </row>
    <row r="8" spans="1:16">
      <c r="A8" t="s">
        <v>771</v>
      </c>
      <c r="D8">
        <v>2500</v>
      </c>
      <c r="E8" s="1">
        <v>0.85</v>
      </c>
      <c r="F8" s="2">
        <f t="shared" si="1"/>
        <v>2941.17647058824</v>
      </c>
      <c r="I8" t="s">
        <v>772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773</v>
      </c>
      <c r="D9">
        <v>2500</v>
      </c>
      <c r="E9" s="1">
        <v>0.85</v>
      </c>
      <c r="F9" s="2">
        <f t="shared" si="1"/>
        <v>2941.17647058824</v>
      </c>
      <c r="I9" t="s">
        <v>774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775</v>
      </c>
      <c r="D10">
        <v>2500</v>
      </c>
      <c r="E10" s="1">
        <v>0.85</v>
      </c>
      <c r="F10" s="2">
        <f t="shared" si="1"/>
        <v>2941.17647058824</v>
      </c>
      <c r="I10" t="s">
        <v>776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777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778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779</v>
      </c>
      <c r="D12">
        <v>8000</v>
      </c>
      <c r="E12" s="1">
        <v>0.7</v>
      </c>
      <c r="F12" s="2">
        <f t="shared" si="1"/>
        <v>11428.5714285714</v>
      </c>
      <c r="I12" t="s">
        <v>780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781</v>
      </c>
      <c r="D13">
        <v>8000</v>
      </c>
      <c r="E13" s="1">
        <v>0.7</v>
      </c>
      <c r="F13" s="2">
        <f t="shared" si="1"/>
        <v>11428.5714285714</v>
      </c>
      <c r="J13" s="2"/>
      <c r="M13" t="s">
        <v>782</v>
      </c>
      <c r="N13">
        <f>SUM(N8:N12)</f>
        <v>1061280</v>
      </c>
      <c r="P13">
        <f t="shared" si="0"/>
        <v>70</v>
      </c>
    </row>
    <row r="14" spans="1:16">
      <c r="A14" t="s">
        <v>783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784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785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786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787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788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789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790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791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792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793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794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795</v>
      </c>
      <c r="E26" t="s">
        <v>796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797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798</v>
      </c>
      <c r="B31" s="3" t="s">
        <v>101</v>
      </c>
      <c r="C31" s="3" t="s">
        <v>111</v>
      </c>
      <c r="F31" s="3" t="s">
        <v>799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800</v>
      </c>
      <c r="G32" s="3" t="s">
        <v>801</v>
      </c>
      <c r="H32" s="3" t="s">
        <v>749</v>
      </c>
      <c r="J32" s="3" t="s">
        <v>802</v>
      </c>
      <c r="K32" s="3" t="s">
        <v>803</v>
      </c>
      <c r="L32" s="3" t="s">
        <v>1</v>
      </c>
      <c r="M32" s="3" t="s">
        <v>749</v>
      </c>
      <c r="N32" s="3" t="s">
        <v>101</v>
      </c>
      <c r="O32" s="3" t="s">
        <v>103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101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101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796</v>
      </c>
      <c r="N41">
        <f>SUM(N33:N40)</f>
        <v>28860</v>
      </c>
      <c r="O41">
        <f>SUM(O33:O40)</f>
        <v>9600</v>
      </c>
    </row>
    <row r="42" spans="1:11">
      <c r="A42" s="3" t="s">
        <v>796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804</v>
      </c>
      <c r="B45" s="3" t="s">
        <v>805</v>
      </c>
      <c r="C45" s="3" t="s">
        <v>806</v>
      </c>
      <c r="F45" s="3" t="s">
        <v>807</v>
      </c>
      <c r="G45" s="1"/>
      <c r="H45" s="1"/>
      <c r="J45" s="3"/>
      <c r="K45" s="3"/>
    </row>
    <row r="46" spans="1:11">
      <c r="A46">
        <v>1</v>
      </c>
      <c r="B46">
        <f>A46*100</f>
        <v>100</v>
      </c>
      <c r="C46">
        <f>SUM(B$46:B69)</f>
        <v>30000</v>
      </c>
      <c r="F46" s="3" t="s">
        <v>808</v>
      </c>
      <c r="G46" s="4" t="s">
        <v>809</v>
      </c>
      <c r="H46" s="4" t="s">
        <v>153</v>
      </c>
      <c r="I46" s="3" t="s">
        <v>810</v>
      </c>
      <c r="K46" s="3"/>
    </row>
    <row r="47" spans="1:11">
      <c r="A47">
        <v>2</v>
      </c>
      <c r="B47">
        <f>A47*100</f>
        <v>200</v>
      </c>
      <c r="C47" s="3" t="s">
        <v>811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>A48*100</f>
        <v>300</v>
      </c>
      <c r="C48">
        <f>SUM(B$46:B72)</f>
        <v>37800</v>
      </c>
      <c r="F48">
        <v>2</v>
      </c>
      <c r="G48">
        <f t="shared" ref="G48:G55" si="11">150+150*F48</f>
        <v>450</v>
      </c>
      <c r="H48">
        <f t="shared" ref="H48:H56" si="12">F48*30</f>
        <v>60</v>
      </c>
      <c r="I48" s="1">
        <f t="shared" ref="I48:I56" si="13">30%+5%*F48</f>
        <v>0.4</v>
      </c>
      <c r="K48" s="3"/>
    </row>
    <row r="49" spans="1:11">
      <c r="A49">
        <v>4</v>
      </c>
      <c r="B49">
        <f t="shared" ref="B49:B63" si="14">A49*100</f>
        <v>400</v>
      </c>
      <c r="C49" s="3" t="s">
        <v>812</v>
      </c>
      <c r="F49">
        <v>3</v>
      </c>
      <c r="G49">
        <f t="shared" si="11"/>
        <v>600</v>
      </c>
      <c r="H49">
        <f t="shared" si="12"/>
        <v>90</v>
      </c>
      <c r="I49" s="1">
        <f t="shared" si="13"/>
        <v>0.45</v>
      </c>
      <c r="K49" s="3"/>
    </row>
    <row r="50" spans="1:9">
      <c r="A50">
        <v>5</v>
      </c>
      <c r="B50">
        <f t="shared" si="14"/>
        <v>500</v>
      </c>
      <c r="C50">
        <f>SUM(B$46:B75)</f>
        <v>46500</v>
      </c>
      <c r="F50">
        <v>4</v>
      </c>
      <c r="G50">
        <f t="shared" si="11"/>
        <v>750</v>
      </c>
      <c r="H50">
        <f t="shared" si="12"/>
        <v>120</v>
      </c>
      <c r="I50" s="1">
        <f t="shared" si="13"/>
        <v>0.5</v>
      </c>
    </row>
    <row r="51" spans="1:11">
      <c r="A51">
        <v>6</v>
      </c>
      <c r="B51">
        <f t="shared" si="14"/>
        <v>600</v>
      </c>
      <c r="F51">
        <v>5</v>
      </c>
      <c r="G51">
        <f t="shared" si="11"/>
        <v>900</v>
      </c>
      <c r="H51">
        <f t="shared" si="12"/>
        <v>150</v>
      </c>
      <c r="I51" s="1">
        <f t="shared" si="13"/>
        <v>0.55</v>
      </c>
      <c r="J51" s="3"/>
      <c r="K51" s="3"/>
    </row>
    <row r="52" spans="1:11">
      <c r="A52">
        <v>7</v>
      </c>
      <c r="B52">
        <f t="shared" si="14"/>
        <v>700</v>
      </c>
      <c r="F52">
        <v>6</v>
      </c>
      <c r="G52">
        <f t="shared" si="11"/>
        <v>1050</v>
      </c>
      <c r="H52">
        <f t="shared" si="12"/>
        <v>180</v>
      </c>
      <c r="I52" s="1">
        <f t="shared" si="13"/>
        <v>0.6</v>
      </c>
      <c r="J52" s="3"/>
      <c r="K52" s="3"/>
    </row>
    <row r="53" spans="1:11">
      <c r="A53">
        <v>8</v>
      </c>
      <c r="B53">
        <f t="shared" si="14"/>
        <v>800</v>
      </c>
      <c r="F53">
        <v>7</v>
      </c>
      <c r="G53">
        <f t="shared" si="11"/>
        <v>1200</v>
      </c>
      <c r="H53">
        <f t="shared" si="12"/>
        <v>210</v>
      </c>
      <c r="I53" s="1">
        <f t="shared" si="13"/>
        <v>0.65</v>
      </c>
      <c r="K53" s="3"/>
    </row>
    <row r="54" spans="1:11">
      <c r="A54">
        <v>9</v>
      </c>
      <c r="B54">
        <f t="shared" si="14"/>
        <v>900</v>
      </c>
      <c r="F54">
        <v>8</v>
      </c>
      <c r="G54">
        <f t="shared" si="11"/>
        <v>1350</v>
      </c>
      <c r="H54">
        <f t="shared" si="12"/>
        <v>240</v>
      </c>
      <c r="I54" s="1">
        <f t="shared" si="13"/>
        <v>0.7</v>
      </c>
      <c r="K54" s="3"/>
    </row>
    <row r="55" spans="1:11">
      <c r="A55">
        <v>10</v>
      </c>
      <c r="B55">
        <f t="shared" si="14"/>
        <v>1000</v>
      </c>
      <c r="F55">
        <v>9</v>
      </c>
      <c r="G55">
        <f t="shared" si="11"/>
        <v>1500</v>
      </c>
      <c r="H55">
        <f t="shared" si="12"/>
        <v>270</v>
      </c>
      <c r="I55" s="1">
        <f t="shared" si="13"/>
        <v>0.75</v>
      </c>
      <c r="K55" s="3"/>
    </row>
    <row r="56" spans="1:11">
      <c r="A56">
        <v>11</v>
      </c>
      <c r="B56">
        <f t="shared" si="14"/>
        <v>1100</v>
      </c>
      <c r="F56">
        <v>10</v>
      </c>
      <c r="H56">
        <f t="shared" si="12"/>
        <v>300</v>
      </c>
      <c r="I56" s="1">
        <f t="shared" si="13"/>
        <v>0.8</v>
      </c>
      <c r="K56" s="3"/>
    </row>
    <row r="57" spans="1:7">
      <c r="A57">
        <v>12</v>
      </c>
      <c r="B57">
        <f t="shared" si="14"/>
        <v>1200</v>
      </c>
      <c r="F57" s="3" t="s">
        <v>796</v>
      </c>
      <c r="G57">
        <f>SUM(G47:G56)</f>
        <v>8100</v>
      </c>
    </row>
    <row r="58" spans="1:11">
      <c r="A58">
        <v>13</v>
      </c>
      <c r="B58">
        <f t="shared" si="14"/>
        <v>1300</v>
      </c>
      <c r="K58" s="3"/>
    </row>
    <row r="59" spans="1:11">
      <c r="A59">
        <v>14</v>
      </c>
      <c r="B59">
        <f t="shared" si="14"/>
        <v>1400</v>
      </c>
      <c r="K59" s="3"/>
    </row>
    <row r="60" spans="1:11">
      <c r="A60">
        <v>15</v>
      </c>
      <c r="B60">
        <f t="shared" si="14"/>
        <v>1500</v>
      </c>
      <c r="K60" s="3"/>
    </row>
    <row r="61" spans="1:11">
      <c r="A61">
        <v>16</v>
      </c>
      <c r="B61">
        <f t="shared" si="14"/>
        <v>1600</v>
      </c>
      <c r="K61" s="3"/>
    </row>
    <row r="62" spans="1:11">
      <c r="A62">
        <v>17</v>
      </c>
      <c r="B62">
        <f t="shared" si="14"/>
        <v>1700</v>
      </c>
      <c r="K62" s="3"/>
    </row>
    <row r="63" spans="1:2">
      <c r="A63">
        <v>18</v>
      </c>
      <c r="B63">
        <f t="shared" si="14"/>
        <v>1800</v>
      </c>
    </row>
    <row r="64" spans="1:2">
      <c r="A64">
        <v>19</v>
      </c>
      <c r="B64">
        <f t="shared" ref="B64:B69" si="15">A64*100</f>
        <v>1900</v>
      </c>
    </row>
    <row r="65" spans="1:2">
      <c r="A65">
        <v>20</v>
      </c>
      <c r="B65">
        <f t="shared" si="15"/>
        <v>2000</v>
      </c>
    </row>
    <row r="66" spans="1:2">
      <c r="A66">
        <v>21</v>
      </c>
      <c r="B66">
        <f t="shared" si="15"/>
        <v>2100</v>
      </c>
    </row>
    <row r="67" spans="1:2">
      <c r="A67">
        <v>22</v>
      </c>
      <c r="B67">
        <f t="shared" si="15"/>
        <v>2200</v>
      </c>
    </row>
    <row r="68" spans="1:2">
      <c r="A68">
        <v>23</v>
      </c>
      <c r="B68">
        <f t="shared" si="15"/>
        <v>2300</v>
      </c>
    </row>
    <row r="69" spans="1:2">
      <c r="A69">
        <v>24</v>
      </c>
      <c r="B69">
        <f t="shared" si="15"/>
        <v>2400</v>
      </c>
    </row>
    <row r="70" spans="1:2">
      <c r="A70">
        <v>25</v>
      </c>
      <c r="B70">
        <f t="shared" ref="B70:B75" si="16">A70*100</f>
        <v>2500</v>
      </c>
    </row>
    <row r="71" spans="1:2">
      <c r="A71">
        <v>26</v>
      </c>
      <c r="B71">
        <f t="shared" si="16"/>
        <v>2600</v>
      </c>
    </row>
    <row r="72" spans="1:2">
      <c r="A72">
        <v>27</v>
      </c>
      <c r="B72">
        <f t="shared" si="16"/>
        <v>2700</v>
      </c>
    </row>
    <row r="73" spans="1:2">
      <c r="A73">
        <v>28</v>
      </c>
      <c r="B73">
        <f t="shared" si="16"/>
        <v>2800</v>
      </c>
    </row>
    <row r="74" spans="1:2">
      <c r="A74">
        <v>29</v>
      </c>
      <c r="B74">
        <f t="shared" si="16"/>
        <v>2900</v>
      </c>
    </row>
    <row r="75" spans="1:2">
      <c r="A75">
        <v>30</v>
      </c>
      <c r="B75">
        <f t="shared" si="16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2020-01-19T19:41:19Z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