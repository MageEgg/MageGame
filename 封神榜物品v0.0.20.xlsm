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P000!$A$1:$AP$702</definedName>
  </definedNames>
  <calcPr calcId="125725"/>
</workbook>
</file>

<file path=xl/calcChain.xml><?xml version="1.0" encoding="utf-8"?>
<calcChain xmlns="http://schemas.openxmlformats.org/spreadsheetml/2006/main">
  <c r="M108" i="1"/>
  <c r="I108"/>
  <c r="K108" s="1"/>
  <c r="H108"/>
  <c r="J108" s="1"/>
  <c r="B108"/>
  <c r="FS108" i="2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V108"/>
  <c r="CR108"/>
  <c r="CQ108"/>
  <c r="CP108"/>
  <c r="CO108"/>
  <c r="CN108"/>
  <c r="B75" i="7" l="1"/>
  <c r="B74"/>
  <c r="B73"/>
  <c r="B72"/>
  <c r="B71"/>
  <c r="B70"/>
  <c r="B69"/>
  <c r="B68"/>
  <c r="B67"/>
  <c r="B66"/>
  <c r="B65"/>
  <c r="B64"/>
  <c r="B63"/>
  <c r="B62"/>
  <c r="B61"/>
  <c r="B60"/>
  <c r="B59"/>
  <c r="B58"/>
  <c r="C48" s="1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G57" s="1"/>
  <c r="B48"/>
  <c r="I47"/>
  <c r="H47"/>
  <c r="G47"/>
  <c r="B47"/>
  <c r="B46"/>
  <c r="C46" s="1"/>
  <c r="G42"/>
  <c r="B42"/>
  <c r="G41"/>
  <c r="N40"/>
  <c r="M40"/>
  <c r="O40" s="1"/>
  <c r="G40"/>
  <c r="O39"/>
  <c r="M39"/>
  <c r="N39" s="1"/>
  <c r="G39"/>
  <c r="N38"/>
  <c r="M38"/>
  <c r="O38" s="1"/>
  <c r="G38"/>
  <c r="O37"/>
  <c r="N37"/>
  <c r="M37"/>
  <c r="G37"/>
  <c r="H37" s="1"/>
  <c r="O36"/>
  <c r="N36"/>
  <c r="M36"/>
  <c r="G36"/>
  <c r="N35"/>
  <c r="M35"/>
  <c r="O35" s="1"/>
  <c r="G35"/>
  <c r="H42" s="1"/>
  <c r="O34"/>
  <c r="N34"/>
  <c r="M34"/>
  <c r="H34"/>
  <c r="G34"/>
  <c r="O33"/>
  <c r="M33"/>
  <c r="N33" s="1"/>
  <c r="G33"/>
  <c r="H39" s="1"/>
  <c r="G26"/>
  <c r="P25"/>
  <c r="F25"/>
  <c r="P24"/>
  <c r="F24"/>
  <c r="P23"/>
  <c r="F23"/>
  <c r="P22"/>
  <c r="F22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P13"/>
  <c r="F13"/>
  <c r="P12"/>
  <c r="M12"/>
  <c r="N12" s="1"/>
  <c r="K12"/>
  <c r="L12" s="1"/>
  <c r="J12"/>
  <c r="F12"/>
  <c r="G16" s="1"/>
  <c r="J10" s="1"/>
  <c r="P11"/>
  <c r="M11"/>
  <c r="N11" s="1"/>
  <c r="K11"/>
  <c r="L11" s="1"/>
  <c r="F11"/>
  <c r="P10"/>
  <c r="M10"/>
  <c r="N10" s="1"/>
  <c r="K10"/>
  <c r="L10" s="1"/>
  <c r="F10"/>
  <c r="P9"/>
  <c r="M9"/>
  <c r="K9"/>
  <c r="L9" s="1"/>
  <c r="F9"/>
  <c r="P8"/>
  <c r="M8"/>
  <c r="N8" s="1"/>
  <c r="K8"/>
  <c r="L8" s="1"/>
  <c r="F8"/>
  <c r="P7"/>
  <c r="F7"/>
  <c r="G11" s="1"/>
  <c r="J9" s="1"/>
  <c r="Y6"/>
  <c r="X6"/>
  <c r="P6"/>
  <c r="F6"/>
  <c r="Y5"/>
  <c r="X5"/>
  <c r="P5"/>
  <c r="F5"/>
  <c r="Y4"/>
  <c r="X4"/>
  <c r="P4"/>
  <c r="J4"/>
  <c r="N9" s="1"/>
  <c r="F4"/>
  <c r="Y3"/>
  <c r="X3"/>
  <c r="P3"/>
  <c r="F3"/>
  <c r="G6" s="1"/>
  <c r="J8" s="1"/>
  <c r="Y2"/>
  <c r="P2"/>
  <c r="F2"/>
  <c r="N41" l="1"/>
  <c r="N13"/>
  <c r="O41"/>
  <c r="H35"/>
  <c r="C50"/>
  <c r="F26"/>
  <c r="F27" s="1"/>
  <c r="H33"/>
  <c r="H38"/>
  <c r="H36"/>
  <c r="H40"/>
  <c r="H41"/>
  <c r="AA48" i="2" l="1"/>
  <c r="AA43"/>
  <c r="AA38"/>
  <c r="AA33"/>
  <c r="W23"/>
  <c r="W18"/>
  <c r="W13"/>
  <c r="W8"/>
  <c r="B186" i="1" l="1"/>
  <c r="I186" s="1"/>
  <c r="K186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B97" i="1"/>
  <c r="H97" s="1"/>
  <c r="J97" s="1"/>
  <c r="B96"/>
  <c r="B95"/>
  <c r="H95" s="1"/>
  <c r="J95" s="1"/>
  <c r="B94"/>
  <c r="B93"/>
  <c r="H93" s="1"/>
  <c r="J93" s="1"/>
  <c r="B92"/>
  <c r="H92" s="1"/>
  <c r="J92" s="1"/>
  <c r="B91"/>
  <c r="H91" s="1"/>
  <c r="J91" s="1"/>
  <c r="B90"/>
  <c r="B89"/>
  <c r="H89" s="1"/>
  <c r="J89" s="1"/>
  <c r="B88"/>
  <c r="B99"/>
  <c r="H99" s="1"/>
  <c r="J99" s="1"/>
  <c r="B98"/>
  <c r="M98" s="1"/>
  <c r="B103"/>
  <c r="H103" s="1"/>
  <c r="J103" s="1"/>
  <c r="B102"/>
  <c r="B101"/>
  <c r="H101" s="1"/>
  <c r="J101" s="1"/>
  <c r="B100"/>
  <c r="B107"/>
  <c r="H107" s="1"/>
  <c r="J107" s="1"/>
  <c r="B106"/>
  <c r="M106" s="1"/>
  <c r="B105"/>
  <c r="H105" s="1"/>
  <c r="J105" s="1"/>
  <c r="B104"/>
  <c r="M104" s="1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8" i="2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L128" i="4" s="1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U221"/>
  <c r="CR219" s="1"/>
  <c r="C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U220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Q219"/>
  <c r="CP219"/>
  <c r="CO219"/>
  <c r="CN219"/>
  <c r="U219"/>
  <c r="CR218" s="1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CR215" s="1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Q214"/>
  <c r="CP214"/>
  <c r="CO214"/>
  <c r="CN214"/>
  <c r="U214"/>
  <c r="CR213" s="1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Q213"/>
  <c r="CP213"/>
  <c r="CO213"/>
  <c r="CN213"/>
  <c r="U213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CR210" s="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127" i="4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126" i="4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Q206"/>
  <c r="CP206"/>
  <c r="CO206"/>
  <c r="CN206"/>
  <c r="U206"/>
  <c r="L125" i="4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124" i="4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L123" i="4" s="1"/>
  <c r="FS203" i="2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L122" i="4" s="1"/>
  <c r="FS202" i="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Q202"/>
  <c r="CP202"/>
  <c r="CO202"/>
  <c r="CN202"/>
  <c r="U202"/>
  <c r="L121" i="4" s="1"/>
  <c r="FS201" i="2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L120" i="4" s="1"/>
  <c r="FS200" i="2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Q200"/>
  <c r="CP200"/>
  <c r="CO200"/>
  <c r="CN200"/>
  <c r="U200"/>
  <c r="L119" i="4" s="1"/>
  <c r="FS199" i="2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L118" i="4" s="1"/>
  <c r="FS198" i="2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Q198"/>
  <c r="CP198"/>
  <c r="CO198"/>
  <c r="CN198"/>
  <c r="U198"/>
  <c r="L117" i="4" s="1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U197"/>
  <c r="L116" i="4" s="1"/>
  <c r="FS196" i="2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Q196"/>
  <c r="CP196"/>
  <c r="CO196"/>
  <c r="CN196"/>
  <c r="U196"/>
  <c r="L115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L114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CR186" s="1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09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08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07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06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05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04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03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02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01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00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99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U174"/>
  <c r="L98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97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U172"/>
  <c r="L96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U171"/>
  <c r="CR170" s="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L95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94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U167"/>
  <c r="L93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CR138" s="1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CR149" s="1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CR148" s="1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CR135" s="1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CR134" s="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CR132" s="1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CR131" s="1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CR129" s="1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CR128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27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25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24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CR123" s="1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U119"/>
  <c r="CR107" s="1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U115"/>
  <c r="CR112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CR111" s="1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L92" i="4" s="1"/>
  <c r="FS112" i="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CN75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311" i="5" s="1"/>
  <c r="I72" i="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F309" i="5" s="1"/>
  <c r="AB70" i="2"/>
  <c r="I309" i="5" s="1"/>
  <c r="I70" i="2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B69" i="2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303" i="5" s="1"/>
  <c r="I64" i="2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C300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Q51"/>
  <c r="CP51"/>
  <c r="CO51"/>
  <c r="AB51"/>
  <c r="I299" i="5" s="1"/>
  <c r="C299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C298"/>
  <c r="T50" i="2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C297"/>
  <c r="T49" i="2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E48"/>
  <c r="DD48"/>
  <c r="DC48"/>
  <c r="CQ48"/>
  <c r="CP48"/>
  <c r="CO48"/>
  <c r="AB48"/>
  <c r="I296" i="5" s="1"/>
  <c r="C296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C295"/>
  <c r="T47" i="2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C294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C293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C292"/>
  <c r="T44" i="2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E43"/>
  <c r="DD43"/>
  <c r="DC43"/>
  <c r="CQ43"/>
  <c r="CP43"/>
  <c r="CO43"/>
  <c r="AB43"/>
  <c r="I291" i="5" s="1"/>
  <c r="C291"/>
  <c r="T43" i="2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C290"/>
  <c r="T42" i="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CN41" s="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C289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Q39"/>
  <c r="CP39"/>
  <c r="CO39"/>
  <c r="AB39"/>
  <c r="I288" i="5" s="1"/>
  <c r="C288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CQ38"/>
  <c r="CP38"/>
  <c r="CO38"/>
  <c r="AB38"/>
  <c r="I287" i="5" s="1"/>
  <c r="C287"/>
  <c r="T38" i="2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C286"/>
  <c r="T37" i="2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C285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284" i="5" s="1"/>
  <c r="C284"/>
  <c r="T35" i="2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C283"/>
  <c r="T34" i="2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E33"/>
  <c r="DD33"/>
  <c r="DC33"/>
  <c r="CQ33"/>
  <c r="CP33"/>
  <c r="CO33"/>
  <c r="AB33"/>
  <c r="I282" i="5" s="1"/>
  <c r="C282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C281"/>
  <c r="T32" i="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AB31"/>
  <c r="I280" i="5" s="1"/>
  <c r="C280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C279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CQ29"/>
  <c r="CP29"/>
  <c r="CO29"/>
  <c r="AB29"/>
  <c r="I278" i="5" s="1"/>
  <c r="C278"/>
  <c r="T29" i="2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AB28"/>
  <c r="I277" i="5" s="1"/>
  <c r="C277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CQ23"/>
  <c r="CP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50" s="1"/>
  <c r="EV2"/>
  <c r="EU2"/>
  <c r="ET2"/>
  <c r="ET85" s="1"/>
  <c r="ES2"/>
  <c r="ES84" s="1"/>
  <c r="ER2"/>
  <c r="ER83" s="1"/>
  <c r="EQ2"/>
  <c r="EP2"/>
  <c r="EO2"/>
  <c r="EN2"/>
  <c r="EM2"/>
  <c r="EL2"/>
  <c r="EK2"/>
  <c r="EJ2"/>
  <c r="EI2"/>
  <c r="EH2"/>
  <c r="EG2"/>
  <c r="EF2"/>
  <c r="EE2"/>
  <c r="ED2"/>
  <c r="EC2"/>
  <c r="EC77" s="1"/>
  <c r="EB2"/>
  <c r="EA2"/>
  <c r="DZ2"/>
  <c r="DY2"/>
  <c r="DX2"/>
  <c r="DW2"/>
  <c r="DV2"/>
  <c r="DV26" s="1"/>
  <c r="DU2"/>
  <c r="DU12" s="1"/>
  <c r="DT2"/>
  <c r="DT26" s="1"/>
  <c r="DS2"/>
  <c r="DR2"/>
  <c r="DQ2"/>
  <c r="DQ80" s="1"/>
  <c r="DP2"/>
  <c r="DP79" s="1"/>
  <c r="DO2"/>
  <c r="DN2"/>
  <c r="DM2"/>
  <c r="DL2"/>
  <c r="DK2"/>
  <c r="DK50" s="1"/>
  <c r="DJ2"/>
  <c r="DJ50" s="1"/>
  <c r="DI2"/>
  <c r="DH2"/>
  <c r="DH77" s="1"/>
  <c r="DG2"/>
  <c r="DG43" s="1"/>
  <c r="DF2"/>
  <c r="DF81" s="1"/>
  <c r="DE2"/>
  <c r="DD2"/>
  <c r="DD70" s="1"/>
  <c r="DC2"/>
  <c r="DC23" s="1"/>
  <c r="DB2"/>
  <c r="DB25" s="1"/>
  <c r="B248" i="1"/>
  <c r="I248" s="1"/>
  <c r="K248" s="1"/>
  <c r="B247"/>
  <c r="I247" s="1"/>
  <c r="K247" s="1"/>
  <c r="B246"/>
  <c r="I246" s="1"/>
  <c r="K246" s="1"/>
  <c r="B245"/>
  <c r="I245" s="1"/>
  <c r="K245" s="1"/>
  <c r="B244"/>
  <c r="I244" s="1"/>
  <c r="K244" s="1"/>
  <c r="B243"/>
  <c r="H243" s="1"/>
  <c r="J243" s="1"/>
  <c r="B242"/>
  <c r="I242" s="1"/>
  <c r="K242" s="1"/>
  <c r="B241"/>
  <c r="I241" s="1"/>
  <c r="K241" s="1"/>
  <c r="B240"/>
  <c r="I240" s="1"/>
  <c r="K240" s="1"/>
  <c r="B239"/>
  <c r="I239" s="1"/>
  <c r="K239" s="1"/>
  <c r="B238"/>
  <c r="I238" s="1"/>
  <c r="K238" s="1"/>
  <c r="B237"/>
  <c r="H237" s="1"/>
  <c r="J237" s="1"/>
  <c r="B236"/>
  <c r="I236" s="1"/>
  <c r="K236" s="1"/>
  <c r="B235"/>
  <c r="I235" s="1"/>
  <c r="K235" s="1"/>
  <c r="B234"/>
  <c r="I234" s="1"/>
  <c r="K234" s="1"/>
  <c r="B233"/>
  <c r="I233" s="1"/>
  <c r="K233" s="1"/>
  <c r="B232"/>
  <c r="I232" s="1"/>
  <c r="K232" s="1"/>
  <c r="B231"/>
  <c r="H231" s="1"/>
  <c r="J231" s="1"/>
  <c r="B230"/>
  <c r="I230" s="1"/>
  <c r="K230" s="1"/>
  <c r="B229"/>
  <c r="I229" s="1"/>
  <c r="K229" s="1"/>
  <c r="B228"/>
  <c r="I228" s="1"/>
  <c r="K228" s="1"/>
  <c r="B227"/>
  <c r="I227" s="1"/>
  <c r="K227" s="1"/>
  <c r="B226"/>
  <c r="I226" s="1"/>
  <c r="K226" s="1"/>
  <c r="B225"/>
  <c r="H225" s="1"/>
  <c r="J225" s="1"/>
  <c r="B224"/>
  <c r="I224" s="1"/>
  <c r="K224" s="1"/>
  <c r="B223"/>
  <c r="I223" s="1"/>
  <c r="K223" s="1"/>
  <c r="B222"/>
  <c r="I222" s="1"/>
  <c r="K222" s="1"/>
  <c r="B221"/>
  <c r="I221" s="1"/>
  <c r="K221" s="1"/>
  <c r="B220"/>
  <c r="B219"/>
  <c r="H219" s="1"/>
  <c r="J219" s="1"/>
  <c r="B218"/>
  <c r="I218" s="1"/>
  <c r="K218" s="1"/>
  <c r="B217"/>
  <c r="I217" s="1"/>
  <c r="K217" s="1"/>
  <c r="B216"/>
  <c r="B215"/>
  <c r="I215" s="1"/>
  <c r="K215" s="1"/>
  <c r="B214"/>
  <c r="B213"/>
  <c r="H213" s="1"/>
  <c r="J213" s="1"/>
  <c r="B212"/>
  <c r="I212" s="1"/>
  <c r="K212" s="1"/>
  <c r="B211"/>
  <c r="I211" s="1"/>
  <c r="K211" s="1"/>
  <c r="B210"/>
  <c r="I210" s="1"/>
  <c r="K210" s="1"/>
  <c r="B209"/>
  <c r="B208"/>
  <c r="B207"/>
  <c r="H207" s="1"/>
  <c r="J207" s="1"/>
  <c r="B206"/>
  <c r="I206" s="1"/>
  <c r="K206" s="1"/>
  <c r="B205"/>
  <c r="I205" s="1"/>
  <c r="K205" s="1"/>
  <c r="B204"/>
  <c r="B203"/>
  <c r="I203" s="1"/>
  <c r="K203" s="1"/>
  <c r="B202"/>
  <c r="I202" s="1"/>
  <c r="K202" s="1"/>
  <c r="B201"/>
  <c r="H201" s="1"/>
  <c r="J201" s="1"/>
  <c r="B200"/>
  <c r="B199"/>
  <c r="I199" s="1"/>
  <c r="K199" s="1"/>
  <c r="B198"/>
  <c r="B197"/>
  <c r="I197" s="1"/>
  <c r="K197" s="1"/>
  <c r="B196"/>
  <c r="I196" s="1"/>
  <c r="K196" s="1"/>
  <c r="B195"/>
  <c r="H195" s="1"/>
  <c r="J195" s="1"/>
  <c r="B194"/>
  <c r="I194" s="1"/>
  <c r="K194" s="1"/>
  <c r="B193"/>
  <c r="B192"/>
  <c r="B191"/>
  <c r="I191" s="1"/>
  <c r="K191" s="1"/>
  <c r="B190"/>
  <c r="B189"/>
  <c r="H189" s="1"/>
  <c r="J189" s="1"/>
  <c r="B188"/>
  <c r="I188" s="1"/>
  <c r="K188" s="1"/>
  <c r="B187"/>
  <c r="M187" s="1"/>
  <c r="B185"/>
  <c r="I185" s="1"/>
  <c r="K185" s="1"/>
  <c r="B184"/>
  <c r="M184" s="1"/>
  <c r="B183"/>
  <c r="B182"/>
  <c r="H182" s="1"/>
  <c r="J182" s="1"/>
  <c r="B181"/>
  <c r="I181" s="1"/>
  <c r="K181" s="1"/>
  <c r="B180"/>
  <c r="H180" s="1"/>
  <c r="J180" s="1"/>
  <c r="B179"/>
  <c r="I179" s="1"/>
  <c r="K179" s="1"/>
  <c r="B178"/>
  <c r="M178" s="1"/>
  <c r="B177"/>
  <c r="I177" s="1"/>
  <c r="K177" s="1"/>
  <c r="B176"/>
  <c r="M176" s="1"/>
  <c r="B175"/>
  <c r="B174"/>
  <c r="H174" s="1"/>
  <c r="J174" s="1"/>
  <c r="B173"/>
  <c r="B172"/>
  <c r="H172" s="1"/>
  <c r="J172" s="1"/>
  <c r="B171"/>
  <c r="I171" s="1"/>
  <c r="K171" s="1"/>
  <c r="B170"/>
  <c r="M170" s="1"/>
  <c r="B169"/>
  <c r="I169" s="1"/>
  <c r="K169" s="1"/>
  <c r="B168"/>
  <c r="M168" s="1"/>
  <c r="B167"/>
  <c r="B166"/>
  <c r="H166" s="1"/>
  <c r="J166" s="1"/>
  <c r="B165"/>
  <c r="I165" s="1"/>
  <c r="K165" s="1"/>
  <c r="B164"/>
  <c r="H164" s="1"/>
  <c r="J164" s="1"/>
  <c r="B163"/>
  <c r="I163" s="1"/>
  <c r="K163" s="1"/>
  <c r="B162"/>
  <c r="B161"/>
  <c r="I161" s="1"/>
  <c r="K161" s="1"/>
  <c r="B160"/>
  <c r="M160" s="1"/>
  <c r="B159"/>
  <c r="B158"/>
  <c r="H158" s="1"/>
  <c r="J158" s="1"/>
  <c r="B157"/>
  <c r="I157" s="1"/>
  <c r="K157" s="1"/>
  <c r="B156"/>
  <c r="H156" s="1"/>
  <c r="J156" s="1"/>
  <c r="B155"/>
  <c r="I155" s="1"/>
  <c r="K155" s="1"/>
  <c r="B154"/>
  <c r="M154" s="1"/>
  <c r="B153"/>
  <c r="B152"/>
  <c r="M152" s="1"/>
  <c r="B151"/>
  <c r="I151" s="1"/>
  <c r="K151" s="1"/>
  <c r="B150"/>
  <c r="H150" s="1"/>
  <c r="J150" s="1"/>
  <c r="B149"/>
  <c r="B148"/>
  <c r="H148" s="1"/>
  <c r="J148" s="1"/>
  <c r="B147"/>
  <c r="I147" s="1"/>
  <c r="K147" s="1"/>
  <c r="B146"/>
  <c r="M146" s="1"/>
  <c r="B145"/>
  <c r="I145" s="1"/>
  <c r="K145" s="1"/>
  <c r="B144"/>
  <c r="M144" s="1"/>
  <c r="B143"/>
  <c r="B142"/>
  <c r="H142" s="1"/>
  <c r="J142" s="1"/>
  <c r="B141"/>
  <c r="B140"/>
  <c r="H140" s="1"/>
  <c r="J140" s="1"/>
  <c r="B139"/>
  <c r="I139" s="1"/>
  <c r="K139" s="1"/>
  <c r="B138"/>
  <c r="M138" s="1"/>
  <c r="B137"/>
  <c r="I137" s="1"/>
  <c r="K137" s="1"/>
  <c r="B136"/>
  <c r="M136" s="1"/>
  <c r="B135"/>
  <c r="I135" s="1"/>
  <c r="K135" s="1"/>
  <c r="B134"/>
  <c r="H134" s="1"/>
  <c r="J134" s="1"/>
  <c r="B133"/>
  <c r="I133" s="1"/>
  <c r="K133" s="1"/>
  <c r="B132"/>
  <c r="H132" s="1"/>
  <c r="J132" s="1"/>
  <c r="B131"/>
  <c r="B130"/>
  <c r="M130" s="1"/>
  <c r="B129"/>
  <c r="B128"/>
  <c r="M128" s="1"/>
  <c r="B127"/>
  <c r="H127" s="1"/>
  <c r="J127" s="1"/>
  <c r="B126"/>
  <c r="H126" s="1"/>
  <c r="J126" s="1"/>
  <c r="B125"/>
  <c r="B124"/>
  <c r="M124" s="1"/>
  <c r="B123"/>
  <c r="H123" s="1"/>
  <c r="J123" s="1"/>
  <c r="B122"/>
  <c r="I122" s="1"/>
  <c r="K122" s="1"/>
  <c r="B121"/>
  <c r="M121" s="1"/>
  <c r="B120"/>
  <c r="H120" s="1"/>
  <c r="J120" s="1"/>
  <c r="B119"/>
  <c r="B118"/>
  <c r="B117"/>
  <c r="H117" s="1"/>
  <c r="J117" s="1"/>
  <c r="B116"/>
  <c r="H116" s="1"/>
  <c r="J116" s="1"/>
  <c r="B115"/>
  <c r="M115" s="1"/>
  <c r="B114"/>
  <c r="H114" s="1"/>
  <c r="J114" s="1"/>
  <c r="B113"/>
  <c r="B112"/>
  <c r="B111"/>
  <c r="B110"/>
  <c r="H110" s="1"/>
  <c r="J110" s="1"/>
  <c r="B109"/>
  <c r="H109" s="1"/>
  <c r="J109" s="1"/>
  <c r="B87"/>
  <c r="H87" s="1"/>
  <c r="J87" s="1"/>
  <c r="B86"/>
  <c r="M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M76" s="1"/>
  <c r="B75"/>
  <c r="H75" s="1"/>
  <c r="J75" s="1"/>
  <c r="B74"/>
  <c r="H74" s="1"/>
  <c r="J74" s="1"/>
  <c r="B73"/>
  <c r="M73" s="1"/>
  <c r="B72"/>
  <c r="H72" s="1"/>
  <c r="J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B56"/>
  <c r="M56" s="1"/>
  <c r="B55"/>
  <c r="M55" s="1"/>
  <c r="B54"/>
  <c r="H54" s="1"/>
  <c r="J54" s="1"/>
  <c r="B53"/>
  <c r="H53" s="1"/>
  <c r="J53" s="1"/>
  <c r="B52"/>
  <c r="M52" s="1"/>
  <c r="B51"/>
  <c r="H51" s="1"/>
  <c r="J51" s="1"/>
  <c r="B50"/>
  <c r="M50" s="1"/>
  <c r="B49"/>
  <c r="M49" s="1"/>
  <c r="B48"/>
  <c r="H48" s="1"/>
  <c r="J48" s="1"/>
  <c r="B47"/>
  <c r="H47" s="1"/>
  <c r="J47" s="1"/>
  <c r="B46"/>
  <c r="M46" s="1"/>
  <c r="B45"/>
  <c r="H45" s="1"/>
  <c r="J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H39" s="1"/>
  <c r="J39" s="1"/>
  <c r="B38"/>
  <c r="M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H29" s="1"/>
  <c r="J29" s="1"/>
  <c r="B28"/>
  <c r="M28" s="1"/>
  <c r="B27"/>
  <c r="H27" s="1"/>
  <c r="J27" s="1"/>
  <c r="B26"/>
  <c r="H26" s="1"/>
  <c r="J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M4" s="1"/>
  <c r="B3"/>
  <c r="H3" s="1"/>
  <c r="J3" s="1"/>
  <c r="I129" l="1"/>
  <c r="K129" s="1"/>
  <c r="DC8" i="2"/>
  <c r="I119" i="1"/>
  <c r="K119" s="1"/>
  <c r="I143"/>
  <c r="K143" s="1"/>
  <c r="I216"/>
  <c r="K216" s="1"/>
  <c r="CR33" i="2"/>
  <c r="DG48"/>
  <c r="I111" i="1"/>
  <c r="K111" s="1"/>
  <c r="I183"/>
  <c r="K183" s="1"/>
  <c r="CR21" i="2"/>
  <c r="M113" i="1"/>
  <c r="I198"/>
  <c r="K198" s="1"/>
  <c r="DG33" i="2"/>
  <c r="M162" i="1"/>
  <c r="I175"/>
  <c r="K175" s="1"/>
  <c r="I220"/>
  <c r="K220" s="1"/>
  <c r="CR19" i="2"/>
  <c r="CR164"/>
  <c r="I141" i="1"/>
  <c r="K141" s="1"/>
  <c r="I153"/>
  <c r="K153" s="1"/>
  <c r="I190"/>
  <c r="K190" s="1"/>
  <c r="CR121" i="2"/>
  <c r="CR144"/>
  <c r="I131" i="1"/>
  <c r="K131" s="1"/>
  <c r="I167"/>
  <c r="K167" s="1"/>
  <c r="CR65" i="2"/>
  <c r="CN74"/>
  <c r="CR156"/>
  <c r="I193" i="1"/>
  <c r="K193" s="1"/>
  <c r="CR151" i="2"/>
  <c r="CR120"/>
  <c r="CR55"/>
  <c r="CU97"/>
  <c r="I209" i="1"/>
  <c r="K209" s="1"/>
  <c r="CR163" i="2"/>
  <c r="CR194"/>
  <c r="I173" i="1"/>
  <c r="K173" s="1"/>
  <c r="CR150" i="2"/>
  <c r="CU104"/>
  <c r="CR74"/>
  <c r="CR166"/>
  <c r="CU277"/>
  <c r="CR71"/>
  <c r="CR72"/>
  <c r="CR117"/>
  <c r="CU92"/>
  <c r="I214" i="1"/>
  <c r="K214" s="1"/>
  <c r="CR51" i="2"/>
  <c r="I204" i="1"/>
  <c r="K204" s="1"/>
  <c r="CR159" i="2"/>
  <c r="CU103"/>
  <c r="M92" i="1"/>
  <c r="H186"/>
  <c r="J186" s="1"/>
  <c r="CO15" i="2"/>
  <c r="CR154"/>
  <c r="CU186"/>
  <c r="M186" i="1"/>
  <c r="CR4" i="2"/>
  <c r="CR61"/>
  <c r="CR160"/>
  <c r="CR165"/>
  <c r="CU263"/>
  <c r="CU273"/>
  <c r="CU90"/>
  <c r="H98" i="1"/>
  <c r="J98" s="1"/>
  <c r="CR53" i="2"/>
  <c r="CR145"/>
  <c r="CU216"/>
  <c r="CU227"/>
  <c r="CU239"/>
  <c r="CU251"/>
  <c r="CU88"/>
  <c r="CU93"/>
  <c r="I159" i="1"/>
  <c r="K159" s="1"/>
  <c r="I208"/>
  <c r="K208" s="1"/>
  <c r="CU110" i="2"/>
  <c r="CU89"/>
  <c r="CU100"/>
  <c r="CU106"/>
  <c r="I112" i="1"/>
  <c r="K112" s="1"/>
  <c r="CN72" i="2"/>
  <c r="CR116"/>
  <c r="CU130"/>
  <c r="CR171"/>
  <c r="CU283"/>
  <c r="CU288"/>
  <c r="CU336"/>
  <c r="I149" i="1"/>
  <c r="K149" s="1"/>
  <c r="CR17" i="2"/>
  <c r="CU142"/>
  <c r="CU107"/>
  <c r="I125" i="1"/>
  <c r="K125" s="1"/>
  <c r="CR15" i="2"/>
  <c r="CP72"/>
  <c r="CR137"/>
  <c r="CR161"/>
  <c r="CU171"/>
  <c r="CU176"/>
  <c r="CU179"/>
  <c r="CU94"/>
  <c r="H88" i="1"/>
  <c r="J88" s="1"/>
  <c r="H94"/>
  <c r="J94" s="1"/>
  <c r="I200"/>
  <c r="K200" s="1"/>
  <c r="CR48" i="2"/>
  <c r="M88" i="1"/>
  <c r="M94"/>
  <c r="CR10" i="2"/>
  <c r="CR11"/>
  <c r="CU151"/>
  <c r="CU161"/>
  <c r="CU310"/>
  <c r="CU314"/>
  <c r="CU326"/>
  <c r="CU332"/>
  <c r="CU95"/>
  <c r="CU101"/>
  <c r="M118" i="1"/>
  <c r="AO20" i="2"/>
  <c r="W269" i="5" s="1"/>
  <c r="CU137" i="2"/>
  <c r="CR141"/>
  <c r="CR147"/>
  <c r="CU213"/>
  <c r="CU91"/>
  <c r="CU98"/>
  <c r="CU105"/>
  <c r="H102" i="1"/>
  <c r="J102" s="1"/>
  <c r="H90"/>
  <c r="J90" s="1"/>
  <c r="H96"/>
  <c r="J96" s="1"/>
  <c r="I192"/>
  <c r="K192" s="1"/>
  <c r="CR157" i="2"/>
  <c r="CU102"/>
  <c r="M90" i="1"/>
  <c r="M96"/>
  <c r="CR63" i="2"/>
  <c r="CU96"/>
  <c r="CU99"/>
  <c r="M89" i="1"/>
  <c r="M91"/>
  <c r="M93"/>
  <c r="M95"/>
  <c r="M97"/>
  <c r="M99"/>
  <c r="H100"/>
  <c r="J100" s="1"/>
  <c r="M105"/>
  <c r="H104"/>
  <c r="J104" s="1"/>
  <c r="M107"/>
  <c r="M101"/>
  <c r="M103"/>
  <c r="H106"/>
  <c r="J106" s="1"/>
  <c r="M100"/>
  <c r="M102"/>
  <c r="M248"/>
  <c r="H79"/>
  <c r="J79" s="1"/>
  <c r="M18"/>
  <c r="M218"/>
  <c r="M155"/>
  <c r="H248"/>
  <c r="J248" s="1"/>
  <c r="M236"/>
  <c r="M245"/>
  <c r="H146"/>
  <c r="J146" s="1"/>
  <c r="I118"/>
  <c r="K118" s="1"/>
  <c r="AI180" i="5"/>
  <c r="CD180" s="1"/>
  <c r="H66" i="1"/>
  <c r="J66" s="1"/>
  <c r="H86"/>
  <c r="J86" s="1"/>
  <c r="M230"/>
  <c r="M85"/>
  <c r="I124"/>
  <c r="K124" s="1"/>
  <c r="M9"/>
  <c r="H42"/>
  <c r="J42" s="1"/>
  <c r="H52"/>
  <c r="J52" s="1"/>
  <c r="H113"/>
  <c r="J113" s="1"/>
  <c r="H112"/>
  <c r="J112" s="1"/>
  <c r="H121"/>
  <c r="J121" s="1"/>
  <c r="CU113" i="2"/>
  <c r="H49" i="1"/>
  <c r="J49" s="1"/>
  <c r="M200"/>
  <c r="N8" i="4"/>
  <c r="DB13" i="2"/>
  <c r="DB21"/>
  <c r="DJ29"/>
  <c r="DB33"/>
  <c r="DF43"/>
  <c r="CU118"/>
  <c r="CU123"/>
  <c r="CU126"/>
  <c r="CU133"/>
  <c r="CU156"/>
  <c r="CU187"/>
  <c r="CU209"/>
  <c r="CU223"/>
  <c r="CU231"/>
  <c r="CU235"/>
  <c r="CU243"/>
  <c r="CU247"/>
  <c r="CU255"/>
  <c r="CU274"/>
  <c r="CU280"/>
  <c r="CU290"/>
  <c r="CU305"/>
  <c r="N193" i="4"/>
  <c r="AI48" i="5"/>
  <c r="CD48" s="1"/>
  <c r="CR13" i="2"/>
  <c r="DB45"/>
  <c r="DH58"/>
  <c r="CU163"/>
  <c r="CU168"/>
  <c r="CU198"/>
  <c r="CU201"/>
  <c r="CU206"/>
  <c r="CU218"/>
  <c r="CU220"/>
  <c r="CU271"/>
  <c r="CU275"/>
  <c r="CU294"/>
  <c r="CU306"/>
  <c r="CU337"/>
  <c r="AI30" i="5"/>
  <c r="CD30" s="1"/>
  <c r="AT75"/>
  <c r="CE75" s="1"/>
  <c r="DB5" i="2"/>
  <c r="CU5" s="1"/>
  <c r="M48" i="1"/>
  <c r="H55"/>
  <c r="J55" s="1"/>
  <c r="H171"/>
  <c r="J171" s="1"/>
  <c r="DB8" i="2"/>
  <c r="CR9"/>
  <c r="CO17"/>
  <c r="AO18"/>
  <c r="W267" i="5" s="1"/>
  <c r="CR23" i="2"/>
  <c r="CN35"/>
  <c r="CN36"/>
  <c r="EW36"/>
  <c r="DF40"/>
  <c r="CR45"/>
  <c r="CN50"/>
  <c r="CN51"/>
  <c r="DH56"/>
  <c r="DH57"/>
  <c r="DH59"/>
  <c r="DH60"/>
  <c r="CR67"/>
  <c r="CR70"/>
  <c r="AW73"/>
  <c r="AF312" i="5" s="1"/>
  <c r="CU120" i="2"/>
  <c r="CU125"/>
  <c r="CU143"/>
  <c r="CU146"/>
  <c r="CU158"/>
  <c r="CU173"/>
  <c r="CU181"/>
  <c r="CU189"/>
  <c r="CU190"/>
  <c r="CU193"/>
  <c r="CU230"/>
  <c r="CU242"/>
  <c r="CU254"/>
  <c r="CU264"/>
  <c r="CU270"/>
  <c r="CU289"/>
  <c r="CU301"/>
  <c r="CU313"/>
  <c r="CU316"/>
  <c r="CU319"/>
  <c r="CU325"/>
  <c r="CU331"/>
  <c r="CU338"/>
  <c r="DF28"/>
  <c r="DB30"/>
  <c r="DB42"/>
  <c r="DH54"/>
  <c r="DH55"/>
  <c r="DH61"/>
  <c r="DH62"/>
  <c r="CU115"/>
  <c r="CU131"/>
  <c r="CU134"/>
  <c r="CU140"/>
  <c r="CU153"/>
  <c r="CU165"/>
  <c r="CU208"/>
  <c r="CU211"/>
  <c r="CU222"/>
  <c r="CU226"/>
  <c r="CU234"/>
  <c r="CU238"/>
  <c r="CU246"/>
  <c r="CU250"/>
  <c r="CU258"/>
  <c r="CU265"/>
  <c r="CU293"/>
  <c r="BE144" i="5"/>
  <c r="CF144" s="1"/>
  <c r="BE152"/>
  <c r="CF152" s="1"/>
  <c r="BE177"/>
  <c r="CF177" s="1"/>
  <c r="CA297"/>
  <c r="CH297" s="1"/>
  <c r="H63" i="1"/>
  <c r="J63" s="1"/>
  <c r="H131"/>
  <c r="J131" s="1"/>
  <c r="I152"/>
  <c r="K152" s="1"/>
  <c r="I160"/>
  <c r="K160" s="1"/>
  <c r="H170"/>
  <c r="J170" s="1"/>
  <c r="H236"/>
  <c r="J236" s="1"/>
  <c r="DB4" i="2"/>
  <c r="CU4" s="1"/>
  <c r="CO13"/>
  <c r="AO22"/>
  <c r="W271" i="5" s="1"/>
  <c r="CR30" i="2"/>
  <c r="CR42"/>
  <c r="CN47"/>
  <c r="CN48"/>
  <c r="CP69"/>
  <c r="CN71"/>
  <c r="CU109"/>
  <c r="CU111"/>
  <c r="CU122"/>
  <c r="CU128"/>
  <c r="CR146"/>
  <c r="CU148"/>
  <c r="CR158"/>
  <c r="CU160"/>
  <c r="CU170"/>
  <c r="CU178"/>
  <c r="CU195"/>
  <c r="CU200"/>
  <c r="CU203"/>
  <c r="CU259"/>
  <c r="CU266"/>
  <c r="CU281"/>
  <c r="CU297"/>
  <c r="M26" i="1"/>
  <c r="DB7" i="2"/>
  <c r="CU7" s="1"/>
  <c r="CR25"/>
  <c r="CN32"/>
  <c r="CN33"/>
  <c r="EW33"/>
  <c r="DF37"/>
  <c r="CN70"/>
  <c r="CU117"/>
  <c r="CU155"/>
  <c r="CU167"/>
  <c r="CU172"/>
  <c r="CU175"/>
  <c r="CU183"/>
  <c r="CU215"/>
  <c r="CU217"/>
  <c r="CU233"/>
  <c r="CU245"/>
  <c r="CU257"/>
  <c r="CU260"/>
  <c r="CU267"/>
  <c r="CU282"/>
  <c r="CU292"/>
  <c r="CU304"/>
  <c r="CU329"/>
  <c r="M45" i="1"/>
  <c r="M62"/>
  <c r="M81"/>
  <c r="M159"/>
  <c r="DB39" i="2"/>
  <c r="CN44"/>
  <c r="CN45"/>
  <c r="CU112"/>
  <c r="CU150"/>
  <c r="CU162"/>
  <c r="CU192"/>
  <c r="CR203"/>
  <c r="CU210"/>
  <c r="CU219"/>
  <c r="CU225"/>
  <c r="CU229"/>
  <c r="CU237"/>
  <c r="CU241"/>
  <c r="CU249"/>
  <c r="CU253"/>
  <c r="CU276"/>
  <c r="CU296"/>
  <c r="CU299"/>
  <c r="CU308"/>
  <c r="CU311"/>
  <c r="CU317"/>
  <c r="CU320"/>
  <c r="CU323"/>
  <c r="CU330"/>
  <c r="CU335"/>
  <c r="AB146" i="3"/>
  <c r="AI267" i="5"/>
  <c r="CD267" s="1"/>
  <c r="CR39" i="2"/>
  <c r="CU119"/>
  <c r="CU136"/>
  <c r="CU139"/>
  <c r="CU157"/>
  <c r="CU180"/>
  <c r="CU185"/>
  <c r="CU194"/>
  <c r="CU197"/>
  <c r="CU202"/>
  <c r="CU205"/>
  <c r="CU221"/>
  <c r="CU269"/>
  <c r="CU300"/>
  <c r="CU312"/>
  <c r="CU318"/>
  <c r="I158" i="1"/>
  <c r="K158" s="1"/>
  <c r="M167"/>
  <c r="M212"/>
  <c r="M233"/>
  <c r="DB3" i="2"/>
  <c r="CU3" s="1"/>
  <c r="DB6"/>
  <c r="CU6" s="1"/>
  <c r="DV9"/>
  <c r="DB27"/>
  <c r="CN30"/>
  <c r="EW30"/>
  <c r="DF34"/>
  <c r="CN42"/>
  <c r="DF49"/>
  <c r="CU114"/>
  <c r="CU124"/>
  <c r="CU127"/>
  <c r="CU152"/>
  <c r="CR162"/>
  <c r="CU164"/>
  <c r="CU169"/>
  <c r="CU174"/>
  <c r="CU177"/>
  <c r="CU212"/>
  <c r="CU224"/>
  <c r="CU236"/>
  <c r="CU248"/>
  <c r="CU295"/>
  <c r="CU307"/>
  <c r="CN29"/>
  <c r="DB36"/>
  <c r="DB51"/>
  <c r="CU121"/>
  <c r="CU147"/>
  <c r="CU159"/>
  <c r="CR185"/>
  <c r="CU228"/>
  <c r="CU232"/>
  <c r="CU240"/>
  <c r="CU244"/>
  <c r="CU252"/>
  <c r="CU256"/>
  <c r="CU261"/>
  <c r="CU284"/>
  <c r="CU287"/>
  <c r="CU302"/>
  <c r="CU333"/>
  <c r="X20" i="5"/>
  <c r="CC20" s="1"/>
  <c r="X68"/>
  <c r="CC68" s="1"/>
  <c r="H32" i="1"/>
  <c r="J32" s="1"/>
  <c r="H50"/>
  <c r="J50" s="1"/>
  <c r="M126"/>
  <c r="M147"/>
  <c r="CR6" i="2"/>
  <c r="DB17"/>
  <c r="CR36"/>
  <c r="DB41"/>
  <c r="DF46"/>
  <c r="CR57"/>
  <c r="CR59"/>
  <c r="CU116"/>
  <c r="CU141"/>
  <c r="CU144"/>
  <c r="CR152"/>
  <c r="CU154"/>
  <c r="CU166"/>
  <c r="CR169"/>
  <c r="CU182"/>
  <c r="CU184"/>
  <c r="CU188"/>
  <c r="CU191"/>
  <c r="CU196"/>
  <c r="CU199"/>
  <c r="CU204"/>
  <c r="CU207"/>
  <c r="CU214"/>
  <c r="CU262"/>
  <c r="CU268"/>
  <c r="CU272"/>
  <c r="CU278"/>
  <c r="CU285"/>
  <c r="CU291"/>
  <c r="CU303"/>
  <c r="CU309"/>
  <c r="CU315"/>
  <c r="CU321"/>
  <c r="CU324"/>
  <c r="CU327"/>
  <c r="CU334"/>
  <c r="X32" i="5"/>
  <c r="CC32" s="1"/>
  <c r="BE216"/>
  <c r="CF216" s="1"/>
  <c r="BE249"/>
  <c r="CF249" s="1"/>
  <c r="DB15" i="2"/>
  <c r="DB19"/>
  <c r="DF31"/>
  <c r="CN38"/>
  <c r="CN39"/>
  <c r="EW39"/>
  <c r="DB48"/>
  <c r="CU129"/>
  <c r="CU132"/>
  <c r="CU135"/>
  <c r="CU138"/>
  <c r="CU145"/>
  <c r="CU149"/>
  <c r="CU279"/>
  <c r="CU286"/>
  <c r="CU298"/>
  <c r="CU322"/>
  <c r="CU328"/>
  <c r="AB228" i="3"/>
  <c r="AI12" i="5"/>
  <c r="CD12" s="1"/>
  <c r="AT57"/>
  <c r="CE57" s="1"/>
  <c r="BP58"/>
  <c r="CG58" s="1"/>
  <c r="X64"/>
  <c r="CC64" s="1"/>
  <c r="CA141"/>
  <c r="CH141" s="1"/>
  <c r="AI159"/>
  <c r="CD159" s="1"/>
  <c r="AI207"/>
  <c r="CD207" s="1"/>
  <c r="AB10" i="3"/>
  <c r="CA313" i="5"/>
  <c r="CH313" s="1"/>
  <c r="M8" i="1"/>
  <c r="H68"/>
  <c r="J68" s="1"/>
  <c r="H118"/>
  <c r="J118" s="1"/>
  <c r="H163"/>
  <c r="J163" s="1"/>
  <c r="M171"/>
  <c r="H200"/>
  <c r="J200" s="1"/>
  <c r="H218"/>
  <c r="J218" s="1"/>
  <c r="AB218" i="3"/>
  <c r="N200" i="4"/>
  <c r="N212"/>
  <c r="M220"/>
  <c r="M221"/>
  <c r="N224"/>
  <c r="X14" i="5"/>
  <c r="CC14" s="1"/>
  <c r="X28"/>
  <c r="CC28" s="1"/>
  <c r="BE37"/>
  <c r="CF37" s="1"/>
  <c r="AI42"/>
  <c r="CD42" s="1"/>
  <c r="CA44"/>
  <c r="CH44" s="1"/>
  <c r="AT45"/>
  <c r="CE45" s="1"/>
  <c r="X46"/>
  <c r="CC46" s="1"/>
  <c r="AT63"/>
  <c r="CE63" s="1"/>
  <c r="AT65"/>
  <c r="CE65" s="1"/>
  <c r="CA245"/>
  <c r="CH245" s="1"/>
  <c r="CA273"/>
  <c r="CH273" s="1"/>
  <c r="M242" i="1"/>
  <c r="AB55" i="3"/>
  <c r="AB86"/>
  <c r="AB162"/>
  <c r="X4" i="5"/>
  <c r="CC4" s="1"/>
  <c r="X6"/>
  <c r="CC6" s="1"/>
  <c r="X10"/>
  <c r="CC10" s="1"/>
  <c r="BE19"/>
  <c r="CF19" s="1"/>
  <c r="AI24"/>
  <c r="CD24" s="1"/>
  <c r="CA26"/>
  <c r="CH26" s="1"/>
  <c r="AT27"/>
  <c r="CE27" s="1"/>
  <c r="AT59"/>
  <c r="CE59" s="1"/>
  <c r="BE141"/>
  <c r="CF141" s="1"/>
  <c r="BE153"/>
  <c r="CF153" s="1"/>
  <c r="BE168"/>
  <c r="CF168" s="1"/>
  <c r="BE251"/>
  <c r="CF251" s="1"/>
  <c r="CA251"/>
  <c r="CH251" s="1"/>
  <c r="H61" i="1"/>
  <c r="J61" s="1"/>
  <c r="I110"/>
  <c r="K110" s="1"/>
  <c r="M117"/>
  <c r="H124"/>
  <c r="J124" s="1"/>
  <c r="H147"/>
  <c r="J147" s="1"/>
  <c r="I162"/>
  <c r="K162" s="1"/>
  <c r="H242"/>
  <c r="J242" s="1"/>
  <c r="CA8" i="5"/>
  <c r="CH8" s="1"/>
  <c r="AT9"/>
  <c r="CE9" s="1"/>
  <c r="BP98"/>
  <c r="CG98" s="1"/>
  <c r="BE120"/>
  <c r="CF120" s="1"/>
  <c r="BE127"/>
  <c r="CF127" s="1"/>
  <c r="BE129"/>
  <c r="CF129" s="1"/>
  <c r="CA223"/>
  <c r="CH223" s="1"/>
  <c r="CA237"/>
  <c r="CH237" s="1"/>
  <c r="AI303"/>
  <c r="CD303" s="1"/>
  <c r="M39" i="1"/>
  <c r="I154"/>
  <c r="K154" s="1"/>
  <c r="I178"/>
  <c r="K178" s="1"/>
  <c r="M188"/>
  <c r="M224"/>
  <c r="BP76" i="5"/>
  <c r="CG76" s="1"/>
  <c r="BP94"/>
  <c r="CG94" s="1"/>
  <c r="CA213"/>
  <c r="CH213" s="1"/>
  <c r="CA252"/>
  <c r="CH252" s="1"/>
  <c r="BE253"/>
  <c r="CF253" s="1"/>
  <c r="CA255"/>
  <c r="CH255" s="1"/>
  <c r="BE261"/>
  <c r="CF261" s="1"/>
  <c r="CA309"/>
  <c r="CH309" s="1"/>
  <c r="M14" i="1"/>
  <c r="M139"/>
  <c r="M206"/>
  <c r="I109"/>
  <c r="K109" s="1"/>
  <c r="I123"/>
  <c r="K123" s="1"/>
  <c r="H139"/>
  <c r="J139" s="1"/>
  <c r="I146"/>
  <c r="K146" s="1"/>
  <c r="H154"/>
  <c r="J154" s="1"/>
  <c r="H178"/>
  <c r="J178" s="1"/>
  <c r="H188"/>
  <c r="J188" s="1"/>
  <c r="H206"/>
  <c r="J206" s="1"/>
  <c r="H224"/>
  <c r="J224" s="1"/>
  <c r="AB170" i="3"/>
  <c r="BE49" i="5"/>
  <c r="CF49" s="1"/>
  <c r="BP79"/>
  <c r="CG79" s="1"/>
  <c r="BP81"/>
  <c r="CG81" s="1"/>
  <c r="BP90"/>
  <c r="CG90" s="1"/>
  <c r="CA117"/>
  <c r="CH117" s="1"/>
  <c r="CA189"/>
  <c r="CH189" s="1"/>
  <c r="AI219"/>
  <c r="CD219" s="1"/>
  <c r="CA225"/>
  <c r="CH225" s="1"/>
  <c r="CA226"/>
  <c r="CH226" s="1"/>
  <c r="CA228"/>
  <c r="CH228" s="1"/>
  <c r="BE237"/>
  <c r="CF237" s="1"/>
  <c r="CA249"/>
  <c r="CH249" s="1"/>
  <c r="BE276"/>
  <c r="CF276" s="1"/>
  <c r="AB88" i="3"/>
  <c r="BE31" i="5"/>
  <c r="CF31" s="1"/>
  <c r="X106"/>
  <c r="CC106" s="1"/>
  <c r="CA165"/>
  <c r="CH165" s="1"/>
  <c r="AI243"/>
  <c r="CD243" s="1"/>
  <c r="BE289"/>
  <c r="CF289" s="1"/>
  <c r="M44" i="1"/>
  <c r="M80"/>
  <c r="H28"/>
  <c r="J28" s="1"/>
  <c r="H38"/>
  <c r="J38" s="1"/>
  <c r="H73"/>
  <c r="J73" s="1"/>
  <c r="M114"/>
  <c r="H138"/>
  <c r="J138" s="1"/>
  <c r="H187"/>
  <c r="J187" s="1"/>
  <c r="M239"/>
  <c r="AB80" i="3"/>
  <c r="BE13" i="5"/>
  <c r="CF13" s="1"/>
  <c r="X82"/>
  <c r="CC82" s="1"/>
  <c r="BE131"/>
  <c r="CF131" s="1"/>
  <c r="AI183"/>
  <c r="CD183" s="1"/>
  <c r="BE189"/>
  <c r="CF189" s="1"/>
  <c r="AI192"/>
  <c r="CD192" s="1"/>
  <c r="CA200"/>
  <c r="CH200" s="1"/>
  <c r="CA201"/>
  <c r="CH201" s="1"/>
  <c r="AI216"/>
  <c r="CD216" s="1"/>
  <c r="AI229"/>
  <c r="CD229" s="1"/>
  <c r="AI231"/>
  <c r="CD231" s="1"/>
  <c r="AI240"/>
  <c r="CD240" s="1"/>
  <c r="M194" i="1"/>
  <c r="BP50" i="5"/>
  <c r="CG50" s="1"/>
  <c r="BP51"/>
  <c r="CG51" s="1"/>
  <c r="BP52"/>
  <c r="CG52" s="1"/>
  <c r="CA153"/>
  <c r="CH153" s="1"/>
  <c r="BE156"/>
  <c r="CF156" s="1"/>
  <c r="BE165"/>
  <c r="CF165" s="1"/>
  <c r="CA177"/>
  <c r="CH177" s="1"/>
  <c r="BE273"/>
  <c r="CF273" s="1"/>
  <c r="H56" i="1"/>
  <c r="J56" s="1"/>
  <c r="I113"/>
  <c r="K113" s="1"/>
  <c r="I144"/>
  <c r="K144" s="1"/>
  <c r="H194"/>
  <c r="J194" s="1"/>
  <c r="H212"/>
  <c r="J212" s="1"/>
  <c r="H230"/>
  <c r="J230" s="1"/>
  <c r="AB175" i="3"/>
  <c r="BP32" i="5"/>
  <c r="CG32" s="1"/>
  <c r="BP33"/>
  <c r="CG33" s="1"/>
  <c r="BP34"/>
  <c r="CG34" s="1"/>
  <c r="BP45"/>
  <c r="CG45" s="1"/>
  <c r="AT83"/>
  <c r="CE83" s="1"/>
  <c r="M93"/>
  <c r="CB93" s="1"/>
  <c r="BP99"/>
  <c r="CG99" s="1"/>
  <c r="CA103"/>
  <c r="CH103" s="1"/>
  <c r="AT104"/>
  <c r="CE104" s="1"/>
  <c r="AI107"/>
  <c r="CD107" s="1"/>
  <c r="AI110"/>
  <c r="CD110" s="1"/>
  <c r="CA111"/>
  <c r="CH111" s="1"/>
  <c r="CA112"/>
  <c r="CH112" s="1"/>
  <c r="BE117"/>
  <c r="CF117" s="1"/>
  <c r="CA129"/>
  <c r="CH129" s="1"/>
  <c r="BE132"/>
  <c r="CF132" s="1"/>
  <c r="AI135"/>
  <c r="CD135" s="1"/>
  <c r="AI144"/>
  <c r="CD144" s="1"/>
  <c r="AI171"/>
  <c r="CD171" s="1"/>
  <c r="BE192"/>
  <c r="CF192" s="1"/>
  <c r="AI195"/>
  <c r="CD195" s="1"/>
  <c r="AI204"/>
  <c r="CD204" s="1"/>
  <c r="BP14"/>
  <c r="CG14" s="1"/>
  <c r="BP15"/>
  <c r="CG15" s="1"/>
  <c r="BP16"/>
  <c r="CG16" s="1"/>
  <c r="BP27"/>
  <c r="CG27" s="1"/>
  <c r="AI173"/>
  <c r="CD173" s="1"/>
  <c r="CA261"/>
  <c r="CH261" s="1"/>
  <c r="AI279"/>
  <c r="CD279" s="1"/>
  <c r="BE285"/>
  <c r="CF285" s="1"/>
  <c r="CA285"/>
  <c r="CH285" s="1"/>
  <c r="BE291"/>
  <c r="CF291" s="1"/>
  <c r="BE297"/>
  <c r="CF297" s="1"/>
  <c r="BE312"/>
  <c r="CF312" s="1"/>
  <c r="I126" i="1"/>
  <c r="K126" s="1"/>
  <c r="M135"/>
  <c r="M143"/>
  <c r="BP9" i="5"/>
  <c r="CG9" s="1"/>
  <c r="X38"/>
  <c r="CC38" s="1"/>
  <c r="X50"/>
  <c r="CC50" s="1"/>
  <c r="BP60"/>
  <c r="CG60" s="1"/>
  <c r="AI97"/>
  <c r="CD97" s="1"/>
  <c r="AI123"/>
  <c r="CD123" s="1"/>
  <c r="BE213"/>
  <c r="CF213" s="1"/>
  <c r="BE240"/>
  <c r="CF240" s="1"/>
  <c r="BE288"/>
  <c r="CF288" s="1"/>
  <c r="BE309"/>
  <c r="CF309" s="1"/>
  <c r="AB84" i="3"/>
  <c r="AB212"/>
  <c r="AB82"/>
  <c r="AB59"/>
  <c r="DU9" i="2"/>
  <c r="EW42"/>
  <c r="EW45"/>
  <c r="EW48"/>
  <c r="EW51"/>
  <c r="DF52"/>
  <c r="DF54"/>
  <c r="DF56"/>
  <c r="DF58"/>
  <c r="DF60"/>
  <c r="DF62"/>
  <c r="DF64"/>
  <c r="DF66"/>
  <c r="EC68"/>
  <c r="DH71"/>
  <c r="DF73"/>
  <c r="DD75"/>
  <c r="DD77"/>
  <c r="DB78"/>
  <c r="DP80"/>
  <c r="DQ81"/>
  <c r="DF82"/>
  <c r="ER84"/>
  <c r="ES85"/>
  <c r="ET86"/>
  <c r="AB16" i="3"/>
  <c r="AB20"/>
  <c r="AB81"/>
  <c r="AB144"/>
  <c r="M31" i="1"/>
  <c r="M87"/>
  <c r="M191"/>
  <c r="M197"/>
  <c r="M203"/>
  <c r="M209"/>
  <c r="M215"/>
  <c r="M221"/>
  <c r="M227"/>
  <c r="DV11" i="2"/>
  <c r="DH29"/>
  <c r="DH32"/>
  <c r="DH35"/>
  <c r="DH41"/>
  <c r="DH44"/>
  <c r="DH47"/>
  <c r="DH50"/>
  <c r="EC58"/>
  <c r="EC60"/>
  <c r="EC62"/>
  <c r="EC64"/>
  <c r="EC66"/>
  <c r="DD68"/>
  <c r="EC73"/>
  <c r="DH76"/>
  <c r="DB79"/>
  <c r="DP81"/>
  <c r="DQ82"/>
  <c r="DF83"/>
  <c r="ER85"/>
  <c r="ES86"/>
  <c r="ET87"/>
  <c r="AB58" i="3"/>
  <c r="AB120"/>
  <c r="AB190"/>
  <c r="M37" i="1"/>
  <c r="DT9" i="2"/>
  <c r="DH38"/>
  <c r="H25" i="1"/>
  <c r="J25" s="1"/>
  <c r="M69"/>
  <c r="H76"/>
  <c r="J76" s="1"/>
  <c r="H122"/>
  <c r="J122" s="1"/>
  <c r="M125"/>
  <c r="M131"/>
  <c r="I138"/>
  <c r="K138" s="1"/>
  <c r="M151"/>
  <c r="M163"/>
  <c r="I170"/>
  <c r="K170" s="1"/>
  <c r="I184"/>
  <c r="K184" s="1"/>
  <c r="H191"/>
  <c r="J191" s="1"/>
  <c r="H197"/>
  <c r="J197" s="1"/>
  <c r="H203"/>
  <c r="J203" s="1"/>
  <c r="H209"/>
  <c r="J209" s="1"/>
  <c r="H215"/>
  <c r="J215" s="1"/>
  <c r="H221"/>
  <c r="J221" s="1"/>
  <c r="H227"/>
  <c r="J227" s="1"/>
  <c r="H233"/>
  <c r="J233" s="1"/>
  <c r="H239"/>
  <c r="J239" s="1"/>
  <c r="H245"/>
  <c r="J245" s="1"/>
  <c r="CR8" i="2"/>
  <c r="DB10"/>
  <c r="DU11"/>
  <c r="DV13"/>
  <c r="DV15"/>
  <c r="DV17"/>
  <c r="DV19"/>
  <c r="DV21"/>
  <c r="DV23"/>
  <c r="DV25"/>
  <c r="DK30"/>
  <c r="DK33"/>
  <c r="DK36"/>
  <c r="DK39"/>
  <c r="DK42"/>
  <c r="DK45"/>
  <c r="DK48"/>
  <c r="DK51"/>
  <c r="DD54"/>
  <c r="DD56"/>
  <c r="DD58"/>
  <c r="CU58" s="1"/>
  <c r="DD60"/>
  <c r="DD62"/>
  <c r="DD64"/>
  <c r="DD66"/>
  <c r="CN69"/>
  <c r="DH69"/>
  <c r="DF71"/>
  <c r="DD73"/>
  <c r="AW76"/>
  <c r="DB80"/>
  <c r="DP82"/>
  <c r="DQ83"/>
  <c r="DF84"/>
  <c r="ER86"/>
  <c r="ES87"/>
  <c r="CR110"/>
  <c r="M7" i="1"/>
  <c r="M13"/>
  <c r="CR3" i="2"/>
  <c r="DT11"/>
  <c r="DU13"/>
  <c r="DU15"/>
  <c r="DU17"/>
  <c r="DV27"/>
  <c r="DB28"/>
  <c r="DF29"/>
  <c r="DJ30"/>
  <c r="DB31"/>
  <c r="DF32"/>
  <c r="DJ33"/>
  <c r="DB34"/>
  <c r="DF35"/>
  <c r="DJ36"/>
  <c r="DB37"/>
  <c r="DF38"/>
  <c r="DJ39"/>
  <c r="DB40"/>
  <c r="DF41"/>
  <c r="DJ42"/>
  <c r="DB43"/>
  <c r="DF44"/>
  <c r="DJ45"/>
  <c r="DB46"/>
  <c r="DF47"/>
  <c r="DJ48"/>
  <c r="DB49"/>
  <c r="DF50"/>
  <c r="DJ51"/>
  <c r="EC71"/>
  <c r="DH74"/>
  <c r="DF76"/>
  <c r="DB81"/>
  <c r="DP83"/>
  <c r="DQ84"/>
  <c r="DF85"/>
  <c r="ER87"/>
  <c r="AB83" i="3"/>
  <c r="AB125"/>
  <c r="AB251"/>
  <c r="N7" i="4"/>
  <c r="M24" i="1"/>
  <c r="M57"/>
  <c r="I121"/>
  <c r="K121" s="1"/>
  <c r="H125"/>
  <c r="J125" s="1"/>
  <c r="I150"/>
  <c r="K150" s="1"/>
  <c r="I176"/>
  <c r="K176" s="1"/>
  <c r="M183"/>
  <c r="H190"/>
  <c r="J190" s="1"/>
  <c r="H196"/>
  <c r="J196" s="1"/>
  <c r="H202"/>
  <c r="J202" s="1"/>
  <c r="H208"/>
  <c r="J208" s="1"/>
  <c r="H214"/>
  <c r="J214" s="1"/>
  <c r="H220"/>
  <c r="J220" s="1"/>
  <c r="H226"/>
  <c r="J226" s="1"/>
  <c r="H232"/>
  <c r="J232" s="1"/>
  <c r="H238"/>
  <c r="J238" s="1"/>
  <c r="H244"/>
  <c r="J244" s="1"/>
  <c r="DV8" i="2"/>
  <c r="DB12"/>
  <c r="DT13"/>
  <c r="DB14"/>
  <c r="DT15"/>
  <c r="DB16"/>
  <c r="DT17"/>
  <c r="DB18"/>
  <c r="DT19"/>
  <c r="DB20"/>
  <c r="DT21"/>
  <c r="DB22"/>
  <c r="DT23"/>
  <c r="DB24"/>
  <c r="DT25"/>
  <c r="DB26"/>
  <c r="EW28"/>
  <c r="EW31"/>
  <c r="EW34"/>
  <c r="EW37"/>
  <c r="EW40"/>
  <c r="EW43"/>
  <c r="EW46"/>
  <c r="EW49"/>
  <c r="DB52"/>
  <c r="CN53"/>
  <c r="DH53"/>
  <c r="CN55"/>
  <c r="CN57"/>
  <c r="CN59"/>
  <c r="CN61"/>
  <c r="CN63"/>
  <c r="DH63"/>
  <c r="CN65"/>
  <c r="DH65"/>
  <c r="CN67"/>
  <c r="DH67"/>
  <c r="DF69"/>
  <c r="DD71"/>
  <c r="AW74"/>
  <c r="CR75"/>
  <c r="ET78"/>
  <c r="DB82"/>
  <c r="DP84"/>
  <c r="DQ85"/>
  <c r="DF86"/>
  <c r="CR168"/>
  <c r="CR172"/>
  <c r="CR174"/>
  <c r="CR176"/>
  <c r="CR178"/>
  <c r="CR180"/>
  <c r="CR182"/>
  <c r="CR196"/>
  <c r="CR198"/>
  <c r="CR200"/>
  <c r="CR202"/>
  <c r="CR204"/>
  <c r="CR206"/>
  <c r="AB103" i="3"/>
  <c r="AB194"/>
  <c r="AB210"/>
  <c r="M111" i="1"/>
  <c r="I130"/>
  <c r="K130" s="1"/>
  <c r="CR5" i="2"/>
  <c r="DU8"/>
  <c r="AO19"/>
  <c r="AO21"/>
  <c r="AO23"/>
  <c r="AO25"/>
  <c r="DT27"/>
  <c r="CR28"/>
  <c r="DH30"/>
  <c r="CR31"/>
  <c r="DH33"/>
  <c r="CR34"/>
  <c r="DH36"/>
  <c r="CR37"/>
  <c r="DH39"/>
  <c r="CR40"/>
  <c r="DH42"/>
  <c r="CR43"/>
  <c r="DH45"/>
  <c r="CR46"/>
  <c r="DH48"/>
  <c r="CR49"/>
  <c r="DH51"/>
  <c r="EW52"/>
  <c r="CR68"/>
  <c r="EC69"/>
  <c r="CP70"/>
  <c r="DH72"/>
  <c r="DF74"/>
  <c r="DD76"/>
  <c r="ES78"/>
  <c r="ET79"/>
  <c r="DB83"/>
  <c r="DP85"/>
  <c r="DQ86"/>
  <c r="DF87"/>
  <c r="AB13" i="3"/>
  <c r="AB207"/>
  <c r="M74" i="1"/>
  <c r="I115"/>
  <c r="K115" s="1"/>
  <c r="H130"/>
  <c r="J130" s="1"/>
  <c r="I136"/>
  <c r="K136" s="1"/>
  <c r="H155"/>
  <c r="J155" s="1"/>
  <c r="H162"/>
  <c r="J162" s="1"/>
  <c r="I168"/>
  <c r="K168" s="1"/>
  <c r="M175"/>
  <c r="DT8" i="2"/>
  <c r="DV10"/>
  <c r="CR12"/>
  <c r="CR14"/>
  <c r="CR16"/>
  <c r="CR18"/>
  <c r="CR20"/>
  <c r="CR22"/>
  <c r="CR24"/>
  <c r="CR26"/>
  <c r="AO27"/>
  <c r="DK28"/>
  <c r="DK31"/>
  <c r="DK34"/>
  <c r="DK37"/>
  <c r="DK40"/>
  <c r="DK43"/>
  <c r="DK46"/>
  <c r="DK49"/>
  <c r="DF53"/>
  <c r="CR54"/>
  <c r="DF55"/>
  <c r="CR56"/>
  <c r="DF57"/>
  <c r="CR58"/>
  <c r="DF59"/>
  <c r="CR60"/>
  <c r="DF61"/>
  <c r="CR62"/>
  <c r="DF63"/>
  <c r="CR64"/>
  <c r="DF65"/>
  <c r="CR66"/>
  <c r="DF67"/>
  <c r="DD69"/>
  <c r="CR73"/>
  <c r="ER78"/>
  <c r="ES79"/>
  <c r="ET80"/>
  <c r="DB84"/>
  <c r="DP86"/>
  <c r="DQ87"/>
  <c r="AB19" i="3"/>
  <c r="AB60"/>
  <c r="M33" i="1"/>
  <c r="H111"/>
  <c r="J111" s="1"/>
  <c r="I120"/>
  <c r="K120" s="1"/>
  <c r="I142"/>
  <c r="K142" s="1"/>
  <c r="CR7" i="2"/>
  <c r="DB9"/>
  <c r="DU10"/>
  <c r="DJ28"/>
  <c r="DB29"/>
  <c r="DF30"/>
  <c r="DJ31"/>
  <c r="DB32"/>
  <c r="DF33"/>
  <c r="DJ34"/>
  <c r="DB35"/>
  <c r="DF36"/>
  <c r="DJ37"/>
  <c r="DB38"/>
  <c r="DF39"/>
  <c r="DJ40"/>
  <c r="DF42"/>
  <c r="DJ43"/>
  <c r="DB44"/>
  <c r="DF45"/>
  <c r="DJ46"/>
  <c r="DB47"/>
  <c r="DF48"/>
  <c r="CU48" s="1"/>
  <c r="DJ49"/>
  <c r="DB50"/>
  <c r="DF51"/>
  <c r="DK52"/>
  <c r="EC59"/>
  <c r="EC61"/>
  <c r="EC63"/>
  <c r="EC65"/>
  <c r="EC67"/>
  <c r="CP68"/>
  <c r="DH70"/>
  <c r="DF72"/>
  <c r="DD74"/>
  <c r="ER79"/>
  <c r="ES80"/>
  <c r="ET81"/>
  <c r="DB85"/>
  <c r="DP87"/>
  <c r="AB116" i="3"/>
  <c r="AB209"/>
  <c r="AB257"/>
  <c r="DT10" i="2"/>
  <c r="DV12"/>
  <c r="DV14"/>
  <c r="DV16"/>
  <c r="DV18"/>
  <c r="DV20"/>
  <c r="DV22"/>
  <c r="DV24"/>
  <c r="EW29"/>
  <c r="EW32"/>
  <c r="EW35"/>
  <c r="EW38"/>
  <c r="EW41"/>
  <c r="EW44"/>
  <c r="EW47"/>
  <c r="DJ52"/>
  <c r="DD53"/>
  <c r="DD55"/>
  <c r="DD57"/>
  <c r="DD59"/>
  <c r="DD61"/>
  <c r="DD63"/>
  <c r="CU63" s="1"/>
  <c r="DD65"/>
  <c r="DD67"/>
  <c r="EC72"/>
  <c r="CP73"/>
  <c r="DH75"/>
  <c r="DF78"/>
  <c r="ER80"/>
  <c r="ES81"/>
  <c r="ET82"/>
  <c r="DB86"/>
  <c r="AB105" i="3"/>
  <c r="AB168"/>
  <c r="M119" i="1"/>
  <c r="M179"/>
  <c r="DB11" i="2"/>
  <c r="CU11" s="1"/>
  <c r="CO14"/>
  <c r="DU14"/>
  <c r="CO16"/>
  <c r="DU16"/>
  <c r="CO18"/>
  <c r="DU18"/>
  <c r="CO20"/>
  <c r="DU20"/>
  <c r="CO22"/>
  <c r="DU22"/>
  <c r="CN28"/>
  <c r="DH28"/>
  <c r="CR29"/>
  <c r="CN31"/>
  <c r="DH31"/>
  <c r="CR32"/>
  <c r="CN34"/>
  <c r="DH34"/>
  <c r="CR35"/>
  <c r="CN37"/>
  <c r="DH37"/>
  <c r="CR38"/>
  <c r="CN40"/>
  <c r="DH40"/>
  <c r="CR41"/>
  <c r="CN43"/>
  <c r="DH43"/>
  <c r="CR44"/>
  <c r="CN46"/>
  <c r="DH46"/>
  <c r="CR47"/>
  <c r="CN49"/>
  <c r="DH49"/>
  <c r="CR50"/>
  <c r="CN68"/>
  <c r="DH68"/>
  <c r="DF70"/>
  <c r="DD72"/>
  <c r="AW75"/>
  <c r="CR76"/>
  <c r="DQ78"/>
  <c r="DF79"/>
  <c r="ER81"/>
  <c r="ES82"/>
  <c r="ET83"/>
  <c r="DB87"/>
  <c r="AB99" i="3"/>
  <c r="AB225"/>
  <c r="M15" i="1"/>
  <c r="M20"/>
  <c r="H4"/>
  <c r="J4" s="1"/>
  <c r="M72"/>
  <c r="H119"/>
  <c r="J119" s="1"/>
  <c r="I134"/>
  <c r="K134" s="1"/>
  <c r="I166"/>
  <c r="K166" s="1"/>
  <c r="H179"/>
  <c r="J179" s="1"/>
  <c r="I187"/>
  <c r="K187" s="1"/>
  <c r="H193"/>
  <c r="J193" s="1"/>
  <c r="H199"/>
  <c r="J199" s="1"/>
  <c r="H205"/>
  <c r="J205" s="1"/>
  <c r="H211"/>
  <c r="J211" s="1"/>
  <c r="H217"/>
  <c r="J217" s="1"/>
  <c r="H223"/>
  <c r="J223" s="1"/>
  <c r="H229"/>
  <c r="J229" s="1"/>
  <c r="H235"/>
  <c r="J235" s="1"/>
  <c r="H241"/>
  <c r="J241" s="1"/>
  <c r="H247"/>
  <c r="J247" s="1"/>
  <c r="DT12" i="2"/>
  <c r="DT14"/>
  <c r="DT16"/>
  <c r="DT18"/>
  <c r="DT20"/>
  <c r="DT22"/>
  <c r="DB23"/>
  <c r="DT24"/>
  <c r="DK29"/>
  <c r="DK32"/>
  <c r="DK35"/>
  <c r="DK38"/>
  <c r="DK41"/>
  <c r="DK44"/>
  <c r="DK47"/>
  <c r="CN52"/>
  <c r="DH52"/>
  <c r="CN54"/>
  <c r="CN56"/>
  <c r="CN58"/>
  <c r="CN60"/>
  <c r="CN62"/>
  <c r="CN64"/>
  <c r="DH64"/>
  <c r="CN66"/>
  <c r="DH66"/>
  <c r="CR69"/>
  <c r="EC70"/>
  <c r="CP71"/>
  <c r="CN73"/>
  <c r="DH73"/>
  <c r="DF75"/>
  <c r="DF77"/>
  <c r="DP78"/>
  <c r="DQ79"/>
  <c r="DF80"/>
  <c r="ER82"/>
  <c r="ES83"/>
  <c r="ET84"/>
  <c r="DJ32"/>
  <c r="DJ35"/>
  <c r="DJ38"/>
  <c r="DJ41"/>
  <c r="DJ44"/>
  <c r="DJ47"/>
  <c r="DF68"/>
  <c r="AB126" i="3"/>
  <c r="AB198"/>
  <c r="AB174"/>
  <c r="AB250"/>
  <c r="M194" i="4"/>
  <c r="N194"/>
  <c r="N205"/>
  <c r="X13" i="5"/>
  <c r="CC13" s="1"/>
  <c r="BE20"/>
  <c r="CF20" s="1"/>
  <c r="BP24"/>
  <c r="CG24" s="1"/>
  <c r="X31"/>
  <c r="CC31" s="1"/>
  <c r="BE38"/>
  <c r="CF38" s="1"/>
  <c r="BP42"/>
  <c r="CG42" s="1"/>
  <c r="X49"/>
  <c r="CC49" s="1"/>
  <c r="AT55"/>
  <c r="CE55" s="1"/>
  <c r="AT56"/>
  <c r="CE56" s="1"/>
  <c r="CA63"/>
  <c r="CH63" s="1"/>
  <c r="AI66"/>
  <c r="CD66" s="1"/>
  <c r="M69"/>
  <c r="CB69" s="1"/>
  <c r="CA72"/>
  <c r="CH72" s="1"/>
  <c r="AT82"/>
  <c r="CE82" s="1"/>
  <c r="X88"/>
  <c r="CC88" s="1"/>
  <c r="BP88"/>
  <c r="CG88" s="1"/>
  <c r="CA97"/>
  <c r="CH97" s="1"/>
  <c r="CA113"/>
  <c r="CH113" s="1"/>
  <c r="BE119"/>
  <c r="CF119" s="1"/>
  <c r="CA119"/>
  <c r="CH119" s="1"/>
  <c r="BE121"/>
  <c r="CF121" s="1"/>
  <c r="CA123"/>
  <c r="CH123" s="1"/>
  <c r="BE139"/>
  <c r="CF139" s="1"/>
  <c r="CA145"/>
  <c r="CH145" s="1"/>
  <c r="BE164"/>
  <c r="CF164" s="1"/>
  <c r="AI187"/>
  <c r="CD187" s="1"/>
  <c r="CA210"/>
  <c r="CH210" s="1"/>
  <c r="CA212"/>
  <c r="CH212" s="1"/>
  <c r="BE228"/>
  <c r="CF228" s="1"/>
  <c r="CA235"/>
  <c r="CH235" s="1"/>
  <c r="CA238"/>
  <c r="CH238" s="1"/>
  <c r="AI239"/>
  <c r="CD239" s="1"/>
  <c r="CA240"/>
  <c r="CH240" s="1"/>
  <c r="AI241"/>
  <c r="CD241" s="1"/>
  <c r="CA257"/>
  <c r="CH257" s="1"/>
  <c r="BE263"/>
  <c r="CF263" s="1"/>
  <c r="CA263"/>
  <c r="CH263" s="1"/>
  <c r="CA270"/>
  <c r="CH270" s="1"/>
  <c r="CA272"/>
  <c r="CH272" s="1"/>
  <c r="BE284"/>
  <c r="CF284" s="1"/>
  <c r="BE286"/>
  <c r="CF286" s="1"/>
  <c r="CA293"/>
  <c r="CH293" s="1"/>
  <c r="CA299"/>
  <c r="CH299" s="1"/>
  <c r="CA306"/>
  <c r="CH306" s="1"/>
  <c r="CA308"/>
  <c r="CH308" s="1"/>
  <c r="AB258" i="3"/>
  <c r="M190" i="4"/>
  <c r="M191"/>
  <c r="N191"/>
  <c r="N198"/>
  <c r="N201"/>
  <c r="AT11" i="5"/>
  <c r="CE11" s="1"/>
  <c r="AI13"/>
  <c r="CD13" s="1"/>
  <c r="AT29"/>
  <c r="CE29" s="1"/>
  <c r="AI31"/>
  <c r="CD31" s="1"/>
  <c r="AT47"/>
  <c r="CE47" s="1"/>
  <c r="AI49"/>
  <c r="CD49" s="1"/>
  <c r="X62"/>
  <c r="CC62" s="1"/>
  <c r="X67"/>
  <c r="CC67" s="1"/>
  <c r="AI68"/>
  <c r="CD68" s="1"/>
  <c r="AI69"/>
  <c r="CD69" s="1"/>
  <c r="AT80"/>
  <c r="CE80" s="1"/>
  <c r="BP92"/>
  <c r="CG92" s="1"/>
  <c r="AT95"/>
  <c r="CE95" s="1"/>
  <c r="CA96"/>
  <c r="CH96" s="1"/>
  <c r="CA98"/>
  <c r="CH98" s="1"/>
  <c r="BP100"/>
  <c r="CG100" s="1"/>
  <c r="BE109"/>
  <c r="CF109" s="1"/>
  <c r="AI132"/>
  <c r="CD132" s="1"/>
  <c r="CA152"/>
  <c r="CH152" s="1"/>
  <c r="CA175"/>
  <c r="CH175" s="1"/>
  <c r="CA178"/>
  <c r="CH178" s="1"/>
  <c r="AI179"/>
  <c r="CD179" s="1"/>
  <c r="CA180"/>
  <c r="CH180" s="1"/>
  <c r="AI181"/>
  <c r="CD181" s="1"/>
  <c r="CA197"/>
  <c r="CH197" s="1"/>
  <c r="BE201"/>
  <c r="CF201" s="1"/>
  <c r="BE203"/>
  <c r="CF203" s="1"/>
  <c r="CA203"/>
  <c r="CH203" s="1"/>
  <c r="BE205"/>
  <c r="CF205" s="1"/>
  <c r="CA207"/>
  <c r="CH207" s="1"/>
  <c r="BE223"/>
  <c r="CF223" s="1"/>
  <c r="CA229"/>
  <c r="CH229" s="1"/>
  <c r="BE248"/>
  <c r="CF248" s="1"/>
  <c r="BE250"/>
  <c r="CF250" s="1"/>
  <c r="BE265"/>
  <c r="CF265" s="1"/>
  <c r="CA267"/>
  <c r="CH267" s="1"/>
  <c r="BE301"/>
  <c r="CF301" s="1"/>
  <c r="BE303"/>
  <c r="CF303" s="1"/>
  <c r="AB56" i="3"/>
  <c r="AB113"/>
  <c r="AB159"/>
  <c r="AB187"/>
  <c r="AB192"/>
  <c r="AB206"/>
  <c r="M182" i="4"/>
  <c r="M183"/>
  <c r="M185"/>
  <c r="M186"/>
  <c r="M188"/>
  <c r="N188"/>
  <c r="N192"/>
  <c r="N195"/>
  <c r="N199"/>
  <c r="BP3" i="5"/>
  <c r="CG3" s="1"/>
  <c r="BP4"/>
  <c r="CG4" s="1"/>
  <c r="AT5"/>
  <c r="CE5" s="1"/>
  <c r="X22"/>
  <c r="CC22" s="1"/>
  <c r="X40"/>
  <c r="CC40" s="1"/>
  <c r="CA61"/>
  <c r="CH61" s="1"/>
  <c r="BE65"/>
  <c r="CF65" s="1"/>
  <c r="AI67"/>
  <c r="CD67" s="1"/>
  <c r="AT69"/>
  <c r="CE69" s="1"/>
  <c r="BE73"/>
  <c r="CF73" s="1"/>
  <c r="AT76"/>
  <c r="CE76" s="1"/>
  <c r="BP82"/>
  <c r="CG82" s="1"/>
  <c r="BP87"/>
  <c r="CG87" s="1"/>
  <c r="CA109"/>
  <c r="CH109" s="1"/>
  <c r="CA115"/>
  <c r="CH115" s="1"/>
  <c r="CA118"/>
  <c r="CH118" s="1"/>
  <c r="AI119"/>
  <c r="CD119" s="1"/>
  <c r="CA120"/>
  <c r="CH120" s="1"/>
  <c r="AI121"/>
  <c r="CD121" s="1"/>
  <c r="CA137"/>
  <c r="CH137" s="1"/>
  <c r="BE143"/>
  <c r="CF143" s="1"/>
  <c r="CA143"/>
  <c r="CH143" s="1"/>
  <c r="BE145"/>
  <c r="CF145" s="1"/>
  <c r="CA147"/>
  <c r="CH147" s="1"/>
  <c r="BE163"/>
  <c r="CF163" s="1"/>
  <c r="CA169"/>
  <c r="CH169" s="1"/>
  <c r="BE188"/>
  <c r="CF188" s="1"/>
  <c r="AI209"/>
  <c r="CD209" s="1"/>
  <c r="AI211"/>
  <c r="CD211" s="1"/>
  <c r="AI213"/>
  <c r="CD213" s="1"/>
  <c r="CA234"/>
  <c r="CH234" s="1"/>
  <c r="CA236"/>
  <c r="CH236" s="1"/>
  <c r="BE252"/>
  <c r="CF252" s="1"/>
  <c r="CA259"/>
  <c r="CH259" s="1"/>
  <c r="CA262"/>
  <c r="CH262" s="1"/>
  <c r="AI263"/>
  <c r="CD263" s="1"/>
  <c r="CA264"/>
  <c r="CH264" s="1"/>
  <c r="AI269"/>
  <c r="CD269" s="1"/>
  <c r="AI271"/>
  <c r="CD271" s="1"/>
  <c r="AI273"/>
  <c r="CD273" s="1"/>
  <c r="BE275"/>
  <c r="CF275" s="1"/>
  <c r="BE283"/>
  <c r="CF283" s="1"/>
  <c r="CA291"/>
  <c r="CH291" s="1"/>
  <c r="CA295"/>
  <c r="CH295" s="1"/>
  <c r="CA298"/>
  <c r="CH298" s="1"/>
  <c r="AI299"/>
  <c r="CD299" s="1"/>
  <c r="CA300"/>
  <c r="CH300" s="1"/>
  <c r="AI305"/>
  <c r="CD305" s="1"/>
  <c r="AI307"/>
  <c r="CD307" s="1"/>
  <c r="AI309"/>
  <c r="CD309" s="1"/>
  <c r="AB233" i="3"/>
  <c r="M180" i="4"/>
  <c r="M181"/>
  <c r="N181"/>
  <c r="N182"/>
  <c r="CA3" i="5"/>
  <c r="CH3" s="1"/>
  <c r="X8"/>
  <c r="CC8" s="1"/>
  <c r="X16"/>
  <c r="CC16" s="1"/>
  <c r="BP18"/>
  <c r="CG18" s="1"/>
  <c r="X26"/>
  <c r="CC26" s="1"/>
  <c r="X34"/>
  <c r="CC34" s="1"/>
  <c r="BP36"/>
  <c r="CG36" s="1"/>
  <c r="X44"/>
  <c r="CC44" s="1"/>
  <c r="X52"/>
  <c r="CC52" s="1"/>
  <c r="BP54"/>
  <c r="CG54" s="1"/>
  <c r="X56"/>
  <c r="CC56" s="1"/>
  <c r="CA56"/>
  <c r="CH56" s="1"/>
  <c r="AI62"/>
  <c r="CD62" s="1"/>
  <c r="M63"/>
  <c r="CB63" s="1"/>
  <c r="X63"/>
  <c r="CC63" s="1"/>
  <c r="BP66"/>
  <c r="CG66" s="1"/>
  <c r="AT74"/>
  <c r="CE74" s="1"/>
  <c r="X92"/>
  <c r="CC92" s="1"/>
  <c r="BE96"/>
  <c r="CF96" s="1"/>
  <c r="X97"/>
  <c r="CC97" s="1"/>
  <c r="BE128"/>
  <c r="CF128" s="1"/>
  <c r="AI151"/>
  <c r="CD151" s="1"/>
  <c r="AI156"/>
  <c r="CD156" s="1"/>
  <c r="CA176"/>
  <c r="CH176" s="1"/>
  <c r="CA199"/>
  <c r="CH199" s="1"/>
  <c r="CA202"/>
  <c r="CH202" s="1"/>
  <c r="AI203"/>
  <c r="CD203" s="1"/>
  <c r="CA204"/>
  <c r="CH204" s="1"/>
  <c r="AI205"/>
  <c r="CD205" s="1"/>
  <c r="CA221"/>
  <c r="CH221" s="1"/>
  <c r="BE225"/>
  <c r="CF225" s="1"/>
  <c r="BE227"/>
  <c r="CF227" s="1"/>
  <c r="CA227"/>
  <c r="CH227" s="1"/>
  <c r="BE229"/>
  <c r="CF229" s="1"/>
  <c r="CA231"/>
  <c r="CH231" s="1"/>
  <c r="BE247"/>
  <c r="CF247" s="1"/>
  <c r="CA253"/>
  <c r="CH253" s="1"/>
  <c r="AI265"/>
  <c r="CD265" s="1"/>
  <c r="CA289"/>
  <c r="CH289" s="1"/>
  <c r="AI301"/>
  <c r="CD301" s="1"/>
  <c r="AB122" i="3"/>
  <c r="AB155"/>
  <c r="AB157"/>
  <c r="AB166"/>
  <c r="AB177"/>
  <c r="AB195"/>
  <c r="AB242"/>
  <c r="M9" i="4"/>
  <c r="N10"/>
  <c r="N11"/>
  <c r="N13"/>
  <c r="M14"/>
  <c r="N16"/>
  <c r="N17"/>
  <c r="M18"/>
  <c r="N19"/>
  <c r="N22"/>
  <c r="N25"/>
  <c r="N28"/>
  <c r="N29"/>
  <c r="N31"/>
  <c r="M32"/>
  <c r="M33"/>
  <c r="N34"/>
  <c r="N35"/>
  <c r="N37"/>
  <c r="M38"/>
  <c r="N40"/>
  <c r="N41"/>
  <c r="M42"/>
  <c r="N43"/>
  <c r="N46"/>
  <c r="N52"/>
  <c r="M53"/>
  <c r="N58"/>
  <c r="M59"/>
  <c r="M60"/>
  <c r="M62"/>
  <c r="N64"/>
  <c r="M65"/>
  <c r="M66"/>
  <c r="N70"/>
  <c r="M71"/>
  <c r="M72"/>
  <c r="M73"/>
  <c r="M75"/>
  <c r="N76"/>
  <c r="M77"/>
  <c r="M78"/>
  <c r="M79"/>
  <c r="N82"/>
  <c r="M83"/>
  <c r="M85"/>
  <c r="N88"/>
  <c r="M89"/>
  <c r="M90"/>
  <c r="M91"/>
  <c r="M92"/>
  <c r="N94"/>
  <c r="M95"/>
  <c r="M96"/>
  <c r="M97"/>
  <c r="M98"/>
  <c r="N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N178"/>
  <c r="M179"/>
  <c r="N179"/>
  <c r="N180"/>
  <c r="AT13" i="5"/>
  <c r="CE13" s="1"/>
  <c r="CA14"/>
  <c r="CH14" s="1"/>
  <c r="AT31"/>
  <c r="CE31" s="1"/>
  <c r="CA32"/>
  <c r="CH32" s="1"/>
  <c r="AT49"/>
  <c r="CE49" s="1"/>
  <c r="CA50"/>
  <c r="CH50" s="1"/>
  <c r="BP56"/>
  <c r="CG56" s="1"/>
  <c r="AI60"/>
  <c r="CD60" s="1"/>
  <c r="X61"/>
  <c r="CC61" s="1"/>
  <c r="BE74"/>
  <c r="CF74" s="1"/>
  <c r="X76"/>
  <c r="CC76" s="1"/>
  <c r="CA80"/>
  <c r="CH80" s="1"/>
  <c r="AT89"/>
  <c r="CE89" s="1"/>
  <c r="AI94"/>
  <c r="CD94" s="1"/>
  <c r="CA116"/>
  <c r="CH116" s="1"/>
  <c r="CA139"/>
  <c r="CH139" s="1"/>
  <c r="CA142"/>
  <c r="CH142" s="1"/>
  <c r="AI143"/>
  <c r="CD143" s="1"/>
  <c r="CA144"/>
  <c r="CH144" s="1"/>
  <c r="AI145"/>
  <c r="CD145" s="1"/>
  <c r="CA161"/>
  <c r="CH161" s="1"/>
  <c r="BE167"/>
  <c r="CF167" s="1"/>
  <c r="CA167"/>
  <c r="CH167" s="1"/>
  <c r="BE169"/>
  <c r="CF169" s="1"/>
  <c r="CA171"/>
  <c r="CH171" s="1"/>
  <c r="BE187"/>
  <c r="CF187" s="1"/>
  <c r="BE212"/>
  <c r="CF212" s="1"/>
  <c r="BE214"/>
  <c r="CF214" s="1"/>
  <c r="AI233"/>
  <c r="CD233" s="1"/>
  <c r="AI235"/>
  <c r="CD235" s="1"/>
  <c r="AI237"/>
  <c r="CD237" s="1"/>
  <c r="CA258"/>
  <c r="CH258" s="1"/>
  <c r="CA260"/>
  <c r="CH260" s="1"/>
  <c r="BE272"/>
  <c r="CF272" s="1"/>
  <c r="BE274"/>
  <c r="CF274" s="1"/>
  <c r="CA281"/>
  <c r="CH281" s="1"/>
  <c r="CA287"/>
  <c r="CH287" s="1"/>
  <c r="CA294"/>
  <c r="CH294" s="1"/>
  <c r="CA296"/>
  <c r="CH296" s="1"/>
  <c r="BE308"/>
  <c r="CF308" s="1"/>
  <c r="BE310"/>
  <c r="CF310" s="1"/>
  <c r="BE311"/>
  <c r="CF311" s="1"/>
  <c r="X7"/>
  <c r="CC7" s="1"/>
  <c r="X91"/>
  <c r="CC91" s="1"/>
  <c r="X93"/>
  <c r="CC93" s="1"/>
  <c r="AI227"/>
  <c r="CD227" s="1"/>
  <c r="AB260" i="3"/>
  <c r="N14" i="4"/>
  <c r="N20"/>
  <c r="N26"/>
  <c r="N56"/>
  <c r="N62"/>
  <c r="N68"/>
  <c r="N74"/>
  <c r="N80"/>
  <c r="N86"/>
  <c r="N92"/>
  <c r="N98"/>
  <c r="N104"/>
  <c r="N110"/>
  <c r="N116"/>
  <c r="N122"/>
  <c r="N128"/>
  <c r="N134"/>
  <c r="N140"/>
  <c r="N146"/>
  <c r="N152"/>
  <c r="N158"/>
  <c r="N164"/>
  <c r="N170"/>
  <c r="N176"/>
  <c r="M218"/>
  <c r="N218"/>
  <c r="M3" i="5"/>
  <c r="CB3" s="1"/>
  <c r="X3"/>
  <c r="CC3" s="1"/>
  <c r="AT4"/>
  <c r="CE4" s="1"/>
  <c r="BP5"/>
  <c r="CG5" s="1"/>
  <c r="AI6"/>
  <c r="CD6" s="1"/>
  <c r="AI7"/>
  <c r="CD7" s="1"/>
  <c r="CA15"/>
  <c r="CH15" s="1"/>
  <c r="CA33"/>
  <c r="CH33" s="1"/>
  <c r="CA51"/>
  <c r="CH51" s="1"/>
  <c r="X58"/>
  <c r="CC58" s="1"/>
  <c r="AT64"/>
  <c r="CE64" s="1"/>
  <c r="X70"/>
  <c r="CC70" s="1"/>
  <c r="BP70"/>
  <c r="CG70" s="1"/>
  <c r="CA74"/>
  <c r="CH74" s="1"/>
  <c r="CA81"/>
  <c r="CH81" s="1"/>
  <c r="AI84"/>
  <c r="CD84" s="1"/>
  <c r="M87"/>
  <c r="CB87" s="1"/>
  <c r="AI88"/>
  <c r="CD88" s="1"/>
  <c r="CA90"/>
  <c r="CH90" s="1"/>
  <c r="AT105"/>
  <c r="CE105" s="1"/>
  <c r="AI111"/>
  <c r="CD111" s="1"/>
  <c r="AI120"/>
  <c r="CD120" s="1"/>
  <c r="CA140"/>
  <c r="CH140" s="1"/>
  <c r="AI147"/>
  <c r="CD147" s="1"/>
  <c r="CA163"/>
  <c r="CH163" s="1"/>
  <c r="CA166"/>
  <c r="CH166" s="1"/>
  <c r="AI167"/>
  <c r="CD167" s="1"/>
  <c r="CA168"/>
  <c r="CH168" s="1"/>
  <c r="AI169"/>
  <c r="CD169" s="1"/>
  <c r="CA185"/>
  <c r="CH185" s="1"/>
  <c r="BE191"/>
  <c r="CF191" s="1"/>
  <c r="CA191"/>
  <c r="CH191" s="1"/>
  <c r="BE193"/>
  <c r="CF193" s="1"/>
  <c r="CA195"/>
  <c r="CH195" s="1"/>
  <c r="BE211"/>
  <c r="CF211" s="1"/>
  <c r="CA217"/>
  <c r="CH217" s="1"/>
  <c r="BE236"/>
  <c r="CF236" s="1"/>
  <c r="BE238"/>
  <c r="CF238" s="1"/>
  <c r="AI257"/>
  <c r="CD257" s="1"/>
  <c r="AI259"/>
  <c r="CD259" s="1"/>
  <c r="AI261"/>
  <c r="CD261" s="1"/>
  <c r="BE271"/>
  <c r="CF271" s="1"/>
  <c r="CA279"/>
  <c r="CH279" s="1"/>
  <c r="CA283"/>
  <c r="CH283" s="1"/>
  <c r="CA286"/>
  <c r="CH286" s="1"/>
  <c r="AI287"/>
  <c r="CD287" s="1"/>
  <c r="CA288"/>
  <c r="CH288" s="1"/>
  <c r="AI293"/>
  <c r="CD293" s="1"/>
  <c r="AI295"/>
  <c r="CD295" s="1"/>
  <c r="AI297"/>
  <c r="CD297" s="1"/>
  <c r="BE299"/>
  <c r="CF299" s="1"/>
  <c r="BE307"/>
  <c r="CF307" s="1"/>
  <c r="M214" i="4"/>
  <c r="M215"/>
  <c r="N215"/>
  <c r="N222"/>
  <c r="N225"/>
  <c r="BP10" i="5"/>
  <c r="CG10" s="1"/>
  <c r="BP12"/>
  <c r="CG12" s="1"/>
  <c r="BP13"/>
  <c r="CG13" s="1"/>
  <c r="AI18"/>
  <c r="CD18" s="1"/>
  <c r="AI20"/>
  <c r="CD20" s="1"/>
  <c r="CA20"/>
  <c r="CH20" s="1"/>
  <c r="BP28"/>
  <c r="CG28" s="1"/>
  <c r="BP30"/>
  <c r="CG30" s="1"/>
  <c r="BP31"/>
  <c r="CG31" s="1"/>
  <c r="AI36"/>
  <c r="CD36" s="1"/>
  <c r="AI38"/>
  <c r="CD38" s="1"/>
  <c r="CA38"/>
  <c r="CH38" s="1"/>
  <c r="BP46"/>
  <c r="CG46" s="1"/>
  <c r="BP48"/>
  <c r="CG48" s="1"/>
  <c r="BP49"/>
  <c r="CG49" s="1"/>
  <c r="AI54"/>
  <c r="CD54" s="1"/>
  <c r="BE61"/>
  <c r="CF61" s="1"/>
  <c r="AT62"/>
  <c r="CE62" s="1"/>
  <c r="AT77"/>
  <c r="CE77" s="1"/>
  <c r="X80"/>
  <c r="CC80" s="1"/>
  <c r="X85"/>
  <c r="CC85" s="1"/>
  <c r="AI86"/>
  <c r="CD86" s="1"/>
  <c r="AI87"/>
  <c r="CD87" s="1"/>
  <c r="AI99"/>
  <c r="CD99" s="1"/>
  <c r="AI109"/>
  <c r="CD109" s="1"/>
  <c r="CA125"/>
  <c r="CH125" s="1"/>
  <c r="CA131"/>
  <c r="CH131" s="1"/>
  <c r="BE133"/>
  <c r="CF133" s="1"/>
  <c r="BE151"/>
  <c r="CF151" s="1"/>
  <c r="CA157"/>
  <c r="CH157" s="1"/>
  <c r="BE176"/>
  <c r="CF176" s="1"/>
  <c r="AI197"/>
  <c r="CD197" s="1"/>
  <c r="AI199"/>
  <c r="CD199" s="1"/>
  <c r="CA222"/>
  <c r="CH222" s="1"/>
  <c r="CA224"/>
  <c r="CH224" s="1"/>
  <c r="CA247"/>
  <c r="CH247" s="1"/>
  <c r="CA250"/>
  <c r="CH250" s="1"/>
  <c r="AI251"/>
  <c r="CD251" s="1"/>
  <c r="AI253"/>
  <c r="CD253" s="1"/>
  <c r="CA277"/>
  <c r="CH277" s="1"/>
  <c r="AI289"/>
  <c r="CD289" s="1"/>
  <c r="AB219" i="3"/>
  <c r="M208" i="4"/>
  <c r="M209"/>
  <c r="N216"/>
  <c r="N219"/>
  <c r="N223"/>
  <c r="AT15" i="5"/>
  <c r="CE15" s="1"/>
  <c r="AT17"/>
  <c r="CE17" s="1"/>
  <c r="CA18"/>
  <c r="CH18" s="1"/>
  <c r="X18"/>
  <c r="CC18" s="1"/>
  <c r="X19"/>
  <c r="CC19" s="1"/>
  <c r="AT21"/>
  <c r="CE21" s="1"/>
  <c r="BE25"/>
  <c r="CF25" s="1"/>
  <c r="AT33"/>
  <c r="CE33" s="1"/>
  <c r="AT35"/>
  <c r="CE35" s="1"/>
  <c r="CA36"/>
  <c r="CH36" s="1"/>
  <c r="X36"/>
  <c r="CC36" s="1"/>
  <c r="X37"/>
  <c r="CC37" s="1"/>
  <c r="AT39"/>
  <c r="CE39" s="1"/>
  <c r="BE43"/>
  <c r="CF43" s="1"/>
  <c r="AT51"/>
  <c r="CE51" s="1"/>
  <c r="AT53"/>
  <c r="CE53" s="1"/>
  <c r="CA54"/>
  <c r="CH54" s="1"/>
  <c r="X54"/>
  <c r="CC54" s="1"/>
  <c r="M55"/>
  <c r="CB55" s="1"/>
  <c r="X55"/>
  <c r="CC55" s="1"/>
  <c r="M57"/>
  <c r="CB57" s="1"/>
  <c r="X57"/>
  <c r="CC57" s="1"/>
  <c r="BP64"/>
  <c r="CG64" s="1"/>
  <c r="BP69"/>
  <c r="CG69" s="1"/>
  <c r="BE83"/>
  <c r="CF83" s="1"/>
  <c r="AI85"/>
  <c r="CD85" s="1"/>
  <c r="AT87"/>
  <c r="CE87" s="1"/>
  <c r="BE91"/>
  <c r="CF91" s="1"/>
  <c r="AT94"/>
  <c r="CE94" s="1"/>
  <c r="AT103"/>
  <c r="CE103" s="1"/>
  <c r="CA106"/>
  <c r="CH106" s="1"/>
  <c r="CA107"/>
  <c r="CH107" s="1"/>
  <c r="BE116"/>
  <c r="CF116" s="1"/>
  <c r="AI139"/>
  <c r="CD139" s="1"/>
  <c r="CA164"/>
  <c r="CH164" s="1"/>
  <c r="BE180"/>
  <c r="CF180" s="1"/>
  <c r="CA187"/>
  <c r="CH187" s="1"/>
  <c r="CA190"/>
  <c r="CH190" s="1"/>
  <c r="AI191"/>
  <c r="CD191" s="1"/>
  <c r="CA192"/>
  <c r="CH192" s="1"/>
  <c r="AI193"/>
  <c r="CD193" s="1"/>
  <c r="CA209"/>
  <c r="CH209" s="1"/>
  <c r="BE215"/>
  <c r="CF215" s="1"/>
  <c r="CA215"/>
  <c r="CH215" s="1"/>
  <c r="BE217"/>
  <c r="CF217" s="1"/>
  <c r="CA219"/>
  <c r="CH219" s="1"/>
  <c r="BE235"/>
  <c r="CF235" s="1"/>
  <c r="CA241"/>
  <c r="CH241" s="1"/>
  <c r="BE260"/>
  <c r="CF260" s="1"/>
  <c r="BE262"/>
  <c r="CF262" s="1"/>
  <c r="CA269"/>
  <c r="CH269" s="1"/>
  <c r="CA275"/>
  <c r="CH275" s="1"/>
  <c r="CA282"/>
  <c r="CH282" s="1"/>
  <c r="CA284"/>
  <c r="CH284" s="1"/>
  <c r="BE296"/>
  <c r="CF296" s="1"/>
  <c r="BE298"/>
  <c r="CF298" s="1"/>
  <c r="CA305"/>
  <c r="CH305" s="1"/>
  <c r="CA311"/>
  <c r="CH311" s="1"/>
  <c r="M206" i="4"/>
  <c r="N206"/>
  <c r="N217"/>
  <c r="BP6" i="5"/>
  <c r="CG6" s="1"/>
  <c r="AT7"/>
  <c r="CE7" s="1"/>
  <c r="AT8"/>
  <c r="CE8" s="1"/>
  <c r="AT14"/>
  <c r="CE14" s="1"/>
  <c r="BP22"/>
  <c r="CG22" s="1"/>
  <c r="AT26"/>
  <c r="CE26" s="1"/>
  <c r="AT32"/>
  <c r="CE32" s="1"/>
  <c r="BP40"/>
  <c r="CG40" s="1"/>
  <c r="AT44"/>
  <c r="CE44" s="1"/>
  <c r="AT50"/>
  <c r="CE50" s="1"/>
  <c r="X74"/>
  <c r="CC74" s="1"/>
  <c r="CA78"/>
  <c r="CH78" s="1"/>
  <c r="X78"/>
  <c r="CC78" s="1"/>
  <c r="AI80"/>
  <c r="CD80" s="1"/>
  <c r="M81"/>
  <c r="CB81" s="1"/>
  <c r="X81"/>
  <c r="CC81" s="1"/>
  <c r="BP84"/>
  <c r="CG84" s="1"/>
  <c r="X86"/>
  <c r="CC86" s="1"/>
  <c r="AT92"/>
  <c r="CE92" s="1"/>
  <c r="BE104"/>
  <c r="CF104" s="1"/>
  <c r="CA127"/>
  <c r="CH127" s="1"/>
  <c r="CA130"/>
  <c r="CH130" s="1"/>
  <c r="AI131"/>
  <c r="CD131" s="1"/>
  <c r="CA132"/>
  <c r="CH132" s="1"/>
  <c r="AI133"/>
  <c r="CD133" s="1"/>
  <c r="CA149"/>
  <c r="CH149" s="1"/>
  <c r="BE155"/>
  <c r="CF155" s="1"/>
  <c r="BE157"/>
  <c r="CF157" s="1"/>
  <c r="BE175"/>
  <c r="CF175" s="1"/>
  <c r="BE200"/>
  <c r="CF200" s="1"/>
  <c r="AI221"/>
  <c r="CD221" s="1"/>
  <c r="AI223"/>
  <c r="CD223" s="1"/>
  <c r="AI225"/>
  <c r="CD225" s="1"/>
  <c r="AI228"/>
  <c r="CD228" s="1"/>
  <c r="CA246"/>
  <c r="CH246" s="1"/>
  <c r="CA248"/>
  <c r="CH248" s="1"/>
  <c r="AI255"/>
  <c r="CD255" s="1"/>
  <c r="BE277"/>
  <c r="CF277" s="1"/>
  <c r="BE279"/>
  <c r="CF279" s="1"/>
  <c r="AI291"/>
  <c r="CD291" s="1"/>
  <c r="BE313"/>
  <c r="CF313" s="1"/>
  <c r="AB156" i="3"/>
  <c r="AB213"/>
  <c r="M202" i="4"/>
  <c r="M203"/>
  <c r="N203"/>
  <c r="N210"/>
  <c r="N213"/>
  <c r="AT3" i="5"/>
  <c r="CE3" s="1"/>
  <c r="BE7"/>
  <c r="CF7" s="1"/>
  <c r="AI14"/>
  <c r="CD14" s="1"/>
  <c r="AI15"/>
  <c r="CD15" s="1"/>
  <c r="BP21"/>
  <c r="CG21" s="1"/>
  <c r="X25"/>
  <c r="CC25" s="1"/>
  <c r="AI32"/>
  <c r="CD32" s="1"/>
  <c r="AI33"/>
  <c r="CD33" s="1"/>
  <c r="BP39"/>
  <c r="CG39" s="1"/>
  <c r="X43"/>
  <c r="CC43" s="1"/>
  <c r="AI50"/>
  <c r="CD50" s="1"/>
  <c r="AI51"/>
  <c r="CD51" s="1"/>
  <c r="CA62"/>
  <c r="CH62" s="1"/>
  <c r="AT71"/>
  <c r="CE71" s="1"/>
  <c r="BP72"/>
  <c r="CG72" s="1"/>
  <c r="BE92"/>
  <c r="CF92" s="1"/>
  <c r="X94"/>
  <c r="CC94" s="1"/>
  <c r="BE115"/>
  <c r="CF115" s="1"/>
  <c r="CA121"/>
  <c r="CH121" s="1"/>
  <c r="BE140"/>
  <c r="CF140" s="1"/>
  <c r="AI168"/>
  <c r="CD168" s="1"/>
  <c r="CA188"/>
  <c r="CH188" s="1"/>
  <c r="BE204"/>
  <c r="CF204" s="1"/>
  <c r="CA211"/>
  <c r="CH211" s="1"/>
  <c r="CA214"/>
  <c r="CH214" s="1"/>
  <c r="AI215"/>
  <c r="CD215" s="1"/>
  <c r="CA216"/>
  <c r="CH216" s="1"/>
  <c r="AI217"/>
  <c r="CD217" s="1"/>
  <c r="CA233"/>
  <c r="CH233" s="1"/>
  <c r="BE239"/>
  <c r="CF239" s="1"/>
  <c r="CA239"/>
  <c r="CH239" s="1"/>
  <c r="BE241"/>
  <c r="CF241" s="1"/>
  <c r="CA243"/>
  <c r="CH243" s="1"/>
  <c r="BE259"/>
  <c r="CF259" s="1"/>
  <c r="BE264"/>
  <c r="CF264" s="1"/>
  <c r="CA271"/>
  <c r="CH271" s="1"/>
  <c r="CA274"/>
  <c r="CH274" s="1"/>
  <c r="AI275"/>
  <c r="CD275" s="1"/>
  <c r="CA276"/>
  <c r="CH276" s="1"/>
  <c r="AI281"/>
  <c r="CD281" s="1"/>
  <c r="AI283"/>
  <c r="CD283" s="1"/>
  <c r="AI285"/>
  <c r="CD285" s="1"/>
  <c r="BE287"/>
  <c r="CF287" s="1"/>
  <c r="BE295"/>
  <c r="CF295" s="1"/>
  <c r="BE300"/>
  <c r="CF300" s="1"/>
  <c r="CA303"/>
  <c r="CH303" s="1"/>
  <c r="CA307"/>
  <c r="CH307" s="1"/>
  <c r="CA310"/>
  <c r="CH310" s="1"/>
  <c r="AI311"/>
  <c r="CD311" s="1"/>
  <c r="CA312"/>
  <c r="CH312" s="1"/>
  <c r="M196" i="4"/>
  <c r="M197"/>
  <c r="N204"/>
  <c r="N207"/>
  <c r="N211"/>
  <c r="CA9" i="5"/>
  <c r="CH9" s="1"/>
  <c r="AT20"/>
  <c r="CE20" s="1"/>
  <c r="AT38"/>
  <c r="CE38" s="1"/>
  <c r="BE55"/>
  <c r="CF55" s="1"/>
  <c r="AT58"/>
  <c r="CE58" s="1"/>
  <c r="BP63"/>
  <c r="CG63" s="1"/>
  <c r="X73"/>
  <c r="CC73" s="1"/>
  <c r="M75"/>
  <c r="CB75" s="1"/>
  <c r="X75"/>
  <c r="CC75" s="1"/>
  <c r="BP78"/>
  <c r="CG78" s="1"/>
  <c r="AT81"/>
  <c r="CE81" s="1"/>
  <c r="AT85"/>
  <c r="CE85" s="1"/>
  <c r="AT93"/>
  <c r="CE93" s="1"/>
  <c r="X98"/>
  <c r="CC98" s="1"/>
  <c r="CA101"/>
  <c r="CH101" s="1"/>
  <c r="BE101"/>
  <c r="CF101" s="1"/>
  <c r="AT102"/>
  <c r="CE102" s="1"/>
  <c r="CA102"/>
  <c r="CH102" s="1"/>
  <c r="CA128"/>
  <c r="CH128" s="1"/>
  <c r="CA151"/>
  <c r="CH151" s="1"/>
  <c r="CA154"/>
  <c r="CH154" s="1"/>
  <c r="AI155"/>
  <c r="CD155" s="1"/>
  <c r="CA156"/>
  <c r="CH156" s="1"/>
  <c r="AI157"/>
  <c r="CD157" s="1"/>
  <c r="CA173"/>
  <c r="CH173" s="1"/>
  <c r="BE179"/>
  <c r="CF179" s="1"/>
  <c r="BE181"/>
  <c r="CF181" s="1"/>
  <c r="BE199"/>
  <c r="CF199" s="1"/>
  <c r="CA205"/>
  <c r="CH205" s="1"/>
  <c r="BE224"/>
  <c r="CF224" s="1"/>
  <c r="BE226"/>
  <c r="CF226" s="1"/>
  <c r="AI245"/>
  <c r="CD245" s="1"/>
  <c r="AI247"/>
  <c r="CD247" s="1"/>
  <c r="AI249"/>
  <c r="CD249" s="1"/>
  <c r="AI252"/>
  <c r="CD252" s="1"/>
  <c r="CA265"/>
  <c r="CH265" s="1"/>
  <c r="AI277"/>
  <c r="CD277" s="1"/>
  <c r="CA301"/>
  <c r="CH301" s="1"/>
  <c r="P213" i="3"/>
  <c r="P243"/>
  <c r="P236"/>
  <c r="P251"/>
  <c r="P245"/>
  <c r="P246"/>
  <c r="P237"/>
  <c r="P230"/>
  <c r="P263"/>
  <c r="P219"/>
  <c r="P186"/>
  <c r="P84"/>
  <c r="P75"/>
  <c r="P66"/>
  <c r="P57"/>
  <c r="P48"/>
  <c r="P39"/>
  <c r="P218"/>
  <c r="P215"/>
  <c r="P222"/>
  <c r="P183"/>
  <c r="P85"/>
  <c r="P76"/>
  <c r="P67"/>
  <c r="P58"/>
  <c r="P49"/>
  <c r="P231"/>
  <c r="P176"/>
  <c r="P173"/>
  <c r="P36"/>
  <c r="P177"/>
  <c r="P81"/>
  <c r="P72"/>
  <c r="P194"/>
  <c r="P207"/>
  <c r="P195"/>
  <c r="P82"/>
  <c r="P73"/>
  <c r="P64"/>
  <c r="P55"/>
  <c r="P46"/>
  <c r="P37"/>
  <c r="P212"/>
  <c r="P34"/>
  <c r="P31"/>
  <c r="P28"/>
  <c r="P25"/>
  <c r="P22"/>
  <c r="P19"/>
  <c r="P16"/>
  <c r="P13"/>
  <c r="P10"/>
  <c r="P7"/>
  <c r="P4"/>
  <c r="P78"/>
  <c r="P69"/>
  <c r="P60"/>
  <c r="P51"/>
  <c r="P42"/>
  <c r="P206"/>
  <c r="P201"/>
  <c r="P200"/>
  <c r="P225"/>
  <c r="AB2"/>
  <c r="M133" i="1"/>
  <c r="M141"/>
  <c r="M165"/>
  <c r="M17"/>
  <c r="H22"/>
  <c r="J22" s="1"/>
  <c r="M41"/>
  <c r="H46"/>
  <c r="J46" s="1"/>
  <c r="M65"/>
  <c r="H70"/>
  <c r="J70" s="1"/>
  <c r="M110"/>
  <c r="H115"/>
  <c r="J115" s="1"/>
  <c r="I117"/>
  <c r="K117" s="1"/>
  <c r="I128"/>
  <c r="K128" s="1"/>
  <c r="H136"/>
  <c r="J136" s="1"/>
  <c r="H144"/>
  <c r="J144" s="1"/>
  <c r="H152"/>
  <c r="J152" s="1"/>
  <c r="H160"/>
  <c r="J160" s="1"/>
  <c r="H168"/>
  <c r="J168" s="1"/>
  <c r="H176"/>
  <c r="J176" s="1"/>
  <c r="H184"/>
  <c r="J184" s="1"/>
  <c r="M190"/>
  <c r="M193"/>
  <c r="M196"/>
  <c r="M199"/>
  <c r="M202"/>
  <c r="M205"/>
  <c r="M208"/>
  <c r="M211"/>
  <c r="M214"/>
  <c r="M217"/>
  <c r="M220"/>
  <c r="M223"/>
  <c r="M226"/>
  <c r="M229"/>
  <c r="M232"/>
  <c r="M235"/>
  <c r="M238"/>
  <c r="M241"/>
  <c r="M244"/>
  <c r="M247"/>
  <c r="P17" i="3"/>
  <c r="AB21"/>
  <c r="P27"/>
  <c r="AB31"/>
  <c r="P41"/>
  <c r="P43"/>
  <c r="AB64"/>
  <c r="AB68"/>
  <c r="AB79"/>
  <c r="P86"/>
  <c r="AB90"/>
  <c r="AB114"/>
  <c r="AB124"/>
  <c r="AB129"/>
  <c r="AB134"/>
  <c r="AB142"/>
  <c r="AB171"/>
  <c r="AB179"/>
  <c r="A2" i="1"/>
  <c r="M149"/>
  <c r="M173"/>
  <c r="M6"/>
  <c r="H11"/>
  <c r="J11" s="1"/>
  <c r="M19"/>
  <c r="M30"/>
  <c r="H35"/>
  <c r="J35" s="1"/>
  <c r="M43"/>
  <c r="M54"/>
  <c r="H59"/>
  <c r="J59" s="1"/>
  <c r="M67"/>
  <c r="M78"/>
  <c r="H83"/>
  <c r="J83" s="1"/>
  <c r="M112"/>
  <c r="M123"/>
  <c r="H128"/>
  <c r="J128" s="1"/>
  <c r="H133"/>
  <c r="J133" s="1"/>
  <c r="H141"/>
  <c r="J141" s="1"/>
  <c r="H149"/>
  <c r="J149" s="1"/>
  <c r="H157"/>
  <c r="J157" s="1"/>
  <c r="H165"/>
  <c r="J165" s="1"/>
  <c r="H173"/>
  <c r="J173" s="1"/>
  <c r="H181"/>
  <c r="J181" s="1"/>
  <c r="P14" i="3"/>
  <c r="AB18"/>
  <c r="P24"/>
  <c r="AB28"/>
  <c r="P45"/>
  <c r="AB53"/>
  <c r="AB57"/>
  <c r="P62"/>
  <c r="AB70"/>
  <c r="P77"/>
  <c r="AB112"/>
  <c r="AB131"/>
  <c r="AB136"/>
  <c r="AB140"/>
  <c r="AB188"/>
  <c r="AB191"/>
  <c r="M21" i="1"/>
  <c r="P5" i="3"/>
  <c r="P8"/>
  <c r="P11"/>
  <c r="AB15"/>
  <c r="P21"/>
  <c r="AB25"/>
  <c r="P68"/>
  <c r="AB115"/>
  <c r="AB121"/>
  <c r="AB147"/>
  <c r="AB149"/>
  <c r="AB167"/>
  <c r="AB169"/>
  <c r="P179"/>
  <c r="P2"/>
  <c r="M34" i="1"/>
  <c r="M58"/>
  <c r="M82"/>
  <c r="M127"/>
  <c r="M156"/>
  <c r="AB12" i="3"/>
  <c r="P18"/>
  <c r="AB22"/>
  <c r="AB35"/>
  <c r="AB40"/>
  <c r="AB48"/>
  <c r="P53"/>
  <c r="AB61"/>
  <c r="AB72"/>
  <c r="AB74"/>
  <c r="P79"/>
  <c r="AB85"/>
  <c r="AB93"/>
  <c r="AB98"/>
  <c r="AB108"/>
  <c r="AB110"/>
  <c r="AB138"/>
  <c r="AB145"/>
  <c r="AB158"/>
  <c r="M10" i="1"/>
  <c r="M23"/>
  <c r="M47"/>
  <c r="M132"/>
  <c r="M180"/>
  <c r="M12"/>
  <c r="M36"/>
  <c r="M60"/>
  <c r="M84"/>
  <c r="H135"/>
  <c r="J135" s="1"/>
  <c r="H143"/>
  <c r="J143" s="1"/>
  <c r="H151"/>
  <c r="J151" s="1"/>
  <c r="H159"/>
  <c r="J159" s="1"/>
  <c r="H167"/>
  <c r="J167" s="1"/>
  <c r="H175"/>
  <c r="J175" s="1"/>
  <c r="H183"/>
  <c r="J183" s="1"/>
  <c r="M189"/>
  <c r="M192"/>
  <c r="M195"/>
  <c r="M198"/>
  <c r="M201"/>
  <c r="M204"/>
  <c r="M207"/>
  <c r="M210"/>
  <c r="M213"/>
  <c r="M216"/>
  <c r="M219"/>
  <c r="M222"/>
  <c r="M225"/>
  <c r="M228"/>
  <c r="M231"/>
  <c r="M234"/>
  <c r="M237"/>
  <c r="M240"/>
  <c r="M243"/>
  <c r="M246"/>
  <c r="AB6" i="3"/>
  <c r="AB9"/>
  <c r="P15"/>
  <c r="AB32"/>
  <c r="AB38"/>
  <c r="P40"/>
  <c r="AB42"/>
  <c r="AB50"/>
  <c r="P59"/>
  <c r="P70"/>
  <c r="AB76"/>
  <c r="P83"/>
  <c r="AB95"/>
  <c r="AB100"/>
  <c r="AB104"/>
  <c r="AB106"/>
  <c r="AB152"/>
  <c r="AB154"/>
  <c r="AB176"/>
  <c r="AB182"/>
  <c r="AB200"/>
  <c r="M116" i="1"/>
  <c r="M140"/>
  <c r="M164"/>
  <c r="M27"/>
  <c r="M75"/>
  <c r="I114"/>
  <c r="K114" s="1"/>
  <c r="M120"/>
  <c r="M137"/>
  <c r="I140"/>
  <c r="K140" s="1"/>
  <c r="M153"/>
  <c r="I156"/>
  <c r="K156" s="1"/>
  <c r="M169"/>
  <c r="I172"/>
  <c r="K172" s="1"/>
  <c r="M185"/>
  <c r="I189"/>
  <c r="K189" s="1"/>
  <c r="I195"/>
  <c r="K195" s="1"/>
  <c r="I201"/>
  <c r="K201" s="1"/>
  <c r="I207"/>
  <c r="K207" s="1"/>
  <c r="I213"/>
  <c r="K213" s="1"/>
  <c r="I219"/>
  <c r="K219" s="1"/>
  <c r="I225"/>
  <c r="K225" s="1"/>
  <c r="I231"/>
  <c r="K231" s="1"/>
  <c r="I237"/>
  <c r="K237" s="1"/>
  <c r="I243"/>
  <c r="K243" s="1"/>
  <c r="AB3" i="3"/>
  <c r="P12"/>
  <c r="AB29"/>
  <c r="AB44"/>
  <c r="AB46"/>
  <c r="AB52"/>
  <c r="AB63"/>
  <c r="AB65"/>
  <c r="AB67"/>
  <c r="P74"/>
  <c r="AB87"/>
  <c r="AB91"/>
  <c r="AB117"/>
  <c r="AB123"/>
  <c r="AB130"/>
  <c r="AB132"/>
  <c r="AB165"/>
  <c r="AB189"/>
  <c r="M71" i="1"/>
  <c r="M148"/>
  <c r="M172"/>
  <c r="M3"/>
  <c r="M51"/>
  <c r="I127"/>
  <c r="K127" s="1"/>
  <c r="M129"/>
  <c r="I132"/>
  <c r="K132" s="1"/>
  <c r="M145"/>
  <c r="I148"/>
  <c r="K148" s="1"/>
  <c r="M161"/>
  <c r="I164"/>
  <c r="K164" s="1"/>
  <c r="M177"/>
  <c r="I180"/>
  <c r="K180" s="1"/>
  <c r="M5"/>
  <c r="M16"/>
  <c r="M29"/>
  <c r="M40"/>
  <c r="M53"/>
  <c r="M64"/>
  <c r="M77"/>
  <c r="M109"/>
  <c r="I116"/>
  <c r="K116" s="1"/>
  <c r="M122"/>
  <c r="M134"/>
  <c r="M142"/>
  <c r="M150"/>
  <c r="M158"/>
  <c r="M166"/>
  <c r="M174"/>
  <c r="M182"/>
  <c r="H192"/>
  <c r="J192" s="1"/>
  <c r="H198"/>
  <c r="J198" s="1"/>
  <c r="H204"/>
  <c r="J204" s="1"/>
  <c r="H210"/>
  <c r="J210" s="1"/>
  <c r="H216"/>
  <c r="J216" s="1"/>
  <c r="H222"/>
  <c r="J222" s="1"/>
  <c r="H228"/>
  <c r="J228" s="1"/>
  <c r="H234"/>
  <c r="J234" s="1"/>
  <c r="H240"/>
  <c r="J240" s="1"/>
  <c r="H246"/>
  <c r="J246" s="1"/>
  <c r="P6" i="3"/>
  <c r="P9"/>
  <c r="AB26"/>
  <c r="P35"/>
  <c r="P38"/>
  <c r="P50"/>
  <c r="P61"/>
  <c r="AB78"/>
  <c r="AB89"/>
  <c r="AB102"/>
  <c r="AB119"/>
  <c r="AB128"/>
  <c r="AB135"/>
  <c r="AB139"/>
  <c r="AB143"/>
  <c r="AB150"/>
  <c r="AB161"/>
  <c r="AB172"/>
  <c r="AB180"/>
  <c r="AB183"/>
  <c r="H129" i="1"/>
  <c r="J129" s="1"/>
  <c r="H137"/>
  <c r="J137" s="1"/>
  <c r="H145"/>
  <c r="J145" s="1"/>
  <c r="H153"/>
  <c r="J153" s="1"/>
  <c r="H161"/>
  <c r="J161" s="1"/>
  <c r="H169"/>
  <c r="J169" s="1"/>
  <c r="H177"/>
  <c r="J177" s="1"/>
  <c r="H185"/>
  <c r="J185" s="1"/>
  <c r="P3" i="3"/>
  <c r="AB4"/>
  <c r="AB7"/>
  <c r="AB23"/>
  <c r="P32"/>
  <c r="AB36"/>
  <c r="P44"/>
  <c r="AB54"/>
  <c r="P63"/>
  <c r="P65"/>
  <c r="AB69"/>
  <c r="AB111"/>
  <c r="AB133"/>
  <c r="AB141"/>
  <c r="P182"/>
  <c r="I174" i="1"/>
  <c r="K174" s="1"/>
  <c r="I182"/>
  <c r="K182" s="1"/>
  <c r="P29" i="3"/>
  <c r="AB33"/>
  <c r="P52"/>
  <c r="AB94"/>
  <c r="AB96"/>
  <c r="AB109"/>
  <c r="AB137"/>
  <c r="AB148"/>
  <c r="AB151"/>
  <c r="AB164"/>
  <c r="P180"/>
  <c r="AB197"/>
  <c r="AB201"/>
  <c r="AB204"/>
  <c r="P224"/>
  <c r="AB17"/>
  <c r="P26"/>
  <c r="AB30"/>
  <c r="AB43"/>
  <c r="AB47"/>
  <c r="AB49"/>
  <c r="P54"/>
  <c r="P56"/>
  <c r="AB71"/>
  <c r="AB97"/>
  <c r="AB216"/>
  <c r="AB14"/>
  <c r="P23"/>
  <c r="AB27"/>
  <c r="P33"/>
  <c r="AB39"/>
  <c r="AB41"/>
  <c r="AB73"/>
  <c r="AB75"/>
  <c r="P80"/>
  <c r="AB127"/>
  <c r="M157" i="1"/>
  <c r="M181"/>
  <c r="AB5" i="3"/>
  <c r="AB8"/>
  <c r="AB11"/>
  <c r="P20"/>
  <c r="AB24"/>
  <c r="P30"/>
  <c r="AB34"/>
  <c r="AB37"/>
  <c r="AB45"/>
  <c r="P47"/>
  <c r="AB51"/>
  <c r="AB62"/>
  <c r="AB66"/>
  <c r="P71"/>
  <c r="AB77"/>
  <c r="AB92"/>
  <c r="AB101"/>
  <c r="AB107"/>
  <c r="AB118"/>
  <c r="AB153"/>
  <c r="AB173"/>
  <c r="P235"/>
  <c r="P240"/>
  <c r="P248"/>
  <c r="AB262"/>
  <c r="P184"/>
  <c r="P199"/>
  <c r="P205"/>
  <c r="P210"/>
  <c r="AB211"/>
  <c r="P185"/>
  <c r="AB226"/>
  <c r="AB254"/>
  <c r="P187"/>
  <c r="P211"/>
  <c r="AB223"/>
  <c r="AB236"/>
  <c r="AB241"/>
  <c r="AB202"/>
  <c r="AB239"/>
  <c r="AB247"/>
  <c r="AB193"/>
  <c r="AB196"/>
  <c r="AB203"/>
  <c r="AB208"/>
  <c r="P216"/>
  <c r="AB227"/>
  <c r="AB230"/>
  <c r="P241"/>
  <c r="AB245"/>
  <c r="P254"/>
  <c r="P257"/>
  <c r="P191"/>
  <c r="AB221"/>
  <c r="P233"/>
  <c r="AB263"/>
  <c r="AB160"/>
  <c r="AB163"/>
  <c r="P192"/>
  <c r="P202"/>
  <c r="AB214"/>
  <c r="AB217"/>
  <c r="P227"/>
  <c r="AB234"/>
  <c r="P239"/>
  <c r="P260"/>
  <c r="AB178"/>
  <c r="P193"/>
  <c r="P196"/>
  <c r="P203"/>
  <c r="P221"/>
  <c r="AB237"/>
  <c r="P242"/>
  <c r="AB181"/>
  <c r="P197"/>
  <c r="AB215"/>
  <c r="P217"/>
  <c r="AB222"/>
  <c r="AB224"/>
  <c r="AB231"/>
  <c r="P234"/>
  <c r="AB240"/>
  <c r="P178"/>
  <c r="AB186"/>
  <c r="P209"/>
  <c r="AB235"/>
  <c r="AB243"/>
  <c r="AB248"/>
  <c r="M43" i="4"/>
  <c r="P174" i="3"/>
  <c r="P175"/>
  <c r="P181"/>
  <c r="AB184"/>
  <c r="AB185"/>
  <c r="P198"/>
  <c r="AB199"/>
  <c r="P204"/>
  <c r="AB205"/>
  <c r="P228"/>
  <c r="AB232"/>
  <c r="AB246"/>
  <c r="M19" i="4"/>
  <c r="P190" i="3"/>
  <c r="P226"/>
  <c r="P262"/>
  <c r="M12" i="4"/>
  <c r="M13"/>
  <c r="M36"/>
  <c r="M37"/>
  <c r="M84"/>
  <c r="M86"/>
  <c r="M87"/>
  <c r="M88"/>
  <c r="AB238" i="3"/>
  <c r="AB249"/>
  <c r="AB255"/>
  <c r="P258"/>
  <c r="AB259"/>
  <c r="M11" i="4"/>
  <c r="M35"/>
  <c r="M80"/>
  <c r="M81"/>
  <c r="M82"/>
  <c r="P232" i="3"/>
  <c r="M10" i="4"/>
  <c r="M34"/>
  <c r="M74"/>
  <c r="M76"/>
  <c r="M8"/>
  <c r="M30"/>
  <c r="M31"/>
  <c r="M67"/>
  <c r="M68"/>
  <c r="M69"/>
  <c r="M70"/>
  <c r="AB229" i="3"/>
  <c r="P238"/>
  <c r="AB244"/>
  <c r="P249"/>
  <c r="P255"/>
  <c r="AB256"/>
  <c r="P259"/>
  <c r="M6" i="4"/>
  <c r="M7"/>
  <c r="M29"/>
  <c r="M61"/>
  <c r="M63"/>
  <c r="M64"/>
  <c r="P223" i="3"/>
  <c r="P247"/>
  <c r="P250"/>
  <c r="AB252"/>
  <c r="N5" i="4"/>
  <c r="M5"/>
  <c r="M26"/>
  <c r="M27"/>
  <c r="M28"/>
  <c r="M54"/>
  <c r="M55"/>
  <c r="M56"/>
  <c r="M57"/>
  <c r="M58"/>
  <c r="P208" i="3"/>
  <c r="M3" i="4"/>
  <c r="N4"/>
  <c r="M4"/>
  <c r="M24"/>
  <c r="M25"/>
  <c r="M48"/>
  <c r="M49"/>
  <c r="M50"/>
  <c r="M51"/>
  <c r="M52"/>
  <c r="AB220" i="3"/>
  <c r="P229"/>
  <c r="P244"/>
  <c r="P256"/>
  <c r="AB261"/>
  <c r="N23" i="4"/>
  <c r="M23"/>
  <c r="N47"/>
  <c r="M47"/>
  <c r="P214" i="3"/>
  <c r="P252"/>
  <c r="AB253"/>
  <c r="M20" i="4"/>
  <c r="M21"/>
  <c r="M22"/>
  <c r="M44"/>
  <c r="M45"/>
  <c r="M46"/>
  <c r="P220" i="3"/>
  <c r="P261"/>
  <c r="M17" i="4"/>
  <c r="M41"/>
  <c r="M99"/>
  <c r="M100"/>
  <c r="P253" i="3"/>
  <c r="M15" i="4"/>
  <c r="M16"/>
  <c r="M39"/>
  <c r="M40"/>
  <c r="M93"/>
  <c r="M94"/>
  <c r="AT150" i="5"/>
  <c r="CE150" s="1"/>
  <c r="X150"/>
  <c r="CC150" s="1"/>
  <c r="BP150"/>
  <c r="CG150" s="1"/>
  <c r="CA150"/>
  <c r="CH150" s="1"/>
  <c r="BE150"/>
  <c r="CF150" s="1"/>
  <c r="AI150"/>
  <c r="CD150" s="1"/>
  <c r="AT198"/>
  <c r="CE198" s="1"/>
  <c r="X198"/>
  <c r="CC198" s="1"/>
  <c r="BP198"/>
  <c r="CG198" s="1"/>
  <c r="CA198"/>
  <c r="CH198" s="1"/>
  <c r="BE198"/>
  <c r="CF198" s="1"/>
  <c r="AI198"/>
  <c r="CD198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M199"/>
  <c r="N202"/>
  <c r="M211"/>
  <c r="N214"/>
  <c r="M223"/>
  <c r="BE14" i="5"/>
  <c r="CF14" s="1"/>
  <c r="M21"/>
  <c r="CB21" s="1"/>
  <c r="X21"/>
  <c r="CC21" s="1"/>
  <c r="BP25"/>
  <c r="CG25" s="1"/>
  <c r="BE32"/>
  <c r="CF32" s="1"/>
  <c r="M39"/>
  <c r="CB39" s="1"/>
  <c r="X39"/>
  <c r="CC39" s="1"/>
  <c r="BP43"/>
  <c r="CG43" s="1"/>
  <c r="BE50"/>
  <c r="CF50" s="1"/>
  <c r="AI55"/>
  <c r="CD55" s="1"/>
  <c r="BE56"/>
  <c r="CF56" s="1"/>
  <c r="BP57"/>
  <c r="CG57" s="1"/>
  <c r="CA66"/>
  <c r="CH66" s="1"/>
  <c r="X66"/>
  <c r="CC66" s="1"/>
  <c r="AT68"/>
  <c r="CE68" s="1"/>
  <c r="BE71"/>
  <c r="CF71" s="1"/>
  <c r="AT73"/>
  <c r="CE73" s="1"/>
  <c r="BP75"/>
  <c r="CG75" s="1"/>
  <c r="BP80"/>
  <c r="CG80" s="1"/>
  <c r="AI82"/>
  <c r="CD82" s="1"/>
  <c r="BP85"/>
  <c r="CG85" s="1"/>
  <c r="CA91"/>
  <c r="CH91" s="1"/>
  <c r="AI93"/>
  <c r="CD93" s="1"/>
  <c r="M150"/>
  <c r="CB150" s="1"/>
  <c r="AI153"/>
  <c r="CD153" s="1"/>
  <c r="CA179"/>
  <c r="CH179" s="1"/>
  <c r="CA193"/>
  <c r="CH193" s="1"/>
  <c r="M198"/>
  <c r="CB198" s="1"/>
  <c r="AI201"/>
  <c r="CD201" s="1"/>
  <c r="M187" i="4"/>
  <c r="N187"/>
  <c r="M198"/>
  <c r="M210"/>
  <c r="M222"/>
  <c r="BP7" i="5"/>
  <c r="CG7" s="1"/>
  <c r="AI8"/>
  <c r="CD8" s="1"/>
  <c r="AT19"/>
  <c r="CE19" s="1"/>
  <c r="AI21"/>
  <c r="CD21" s="1"/>
  <c r="AI26"/>
  <c r="CD26" s="1"/>
  <c r="AT37"/>
  <c r="CE37" s="1"/>
  <c r="AI39"/>
  <c r="CD39" s="1"/>
  <c r="AI44"/>
  <c r="CD44" s="1"/>
  <c r="CA57"/>
  <c r="CH57" s="1"/>
  <c r="BE67"/>
  <c r="CF67" s="1"/>
  <c r="BE68"/>
  <c r="CF68" s="1"/>
  <c r="CA75"/>
  <c r="CH75" s="1"/>
  <c r="X87"/>
  <c r="CC87" s="1"/>
  <c r="AT88"/>
  <c r="CE88" s="1"/>
  <c r="AI92"/>
  <c r="CD92" s="1"/>
  <c r="AI96"/>
  <c r="CD96" s="1"/>
  <c r="BE111"/>
  <c r="CF111" s="1"/>
  <c r="AT108"/>
  <c r="CE108" s="1"/>
  <c r="BP108"/>
  <c r="CG108" s="1"/>
  <c r="X108"/>
  <c r="CC108" s="1"/>
  <c r="CA108"/>
  <c r="CH108" s="1"/>
  <c r="BE108"/>
  <c r="CF108" s="1"/>
  <c r="AI108"/>
  <c r="CD108" s="1"/>
  <c r="N53" i="4"/>
  <c r="N59"/>
  <c r="N65"/>
  <c r="N71"/>
  <c r="N77"/>
  <c r="N83"/>
  <c r="N89"/>
  <c r="N95"/>
  <c r="N101"/>
  <c r="N107"/>
  <c r="N113"/>
  <c r="N119"/>
  <c r="N125"/>
  <c r="N131"/>
  <c r="N137"/>
  <c r="N143"/>
  <c r="N149"/>
  <c r="N155"/>
  <c r="N161"/>
  <c r="N167"/>
  <c r="N173"/>
  <c r="N186"/>
  <c r="N197"/>
  <c r="N209"/>
  <c r="N221"/>
  <c r="M13" i="5"/>
  <c r="CB13" s="1"/>
  <c r="AT16"/>
  <c r="CE16" s="1"/>
  <c r="CA25"/>
  <c r="CH25" s="1"/>
  <c r="M31"/>
  <c r="CB31" s="1"/>
  <c r="AT34"/>
  <c r="CE34" s="1"/>
  <c r="CA43"/>
  <c r="CH43" s="1"/>
  <c r="M49"/>
  <c r="CB49" s="1"/>
  <c r="AT52"/>
  <c r="CE52" s="1"/>
  <c r="AI58"/>
  <c r="CD58" s="1"/>
  <c r="M61"/>
  <c r="CB61" s="1"/>
  <c r="AT67"/>
  <c r="CE67" s="1"/>
  <c r="BP74"/>
  <c r="CG74" s="1"/>
  <c r="AI76"/>
  <c r="CD76" s="1"/>
  <c r="CA85"/>
  <c r="CH85" s="1"/>
  <c r="M91"/>
  <c r="CB91" s="1"/>
  <c r="X96"/>
  <c r="CC96" s="1"/>
  <c r="M108"/>
  <c r="CB108" s="1"/>
  <c r="BE23"/>
  <c r="CF23" s="1"/>
  <c r="AI23"/>
  <c r="CD23" s="1"/>
  <c r="X23"/>
  <c r="CC23" s="1"/>
  <c r="CA23"/>
  <c r="CH23" s="1"/>
  <c r="BP23"/>
  <c r="CG23" s="1"/>
  <c r="BE41"/>
  <c r="CF41" s="1"/>
  <c r="AI41"/>
  <c r="CD41" s="1"/>
  <c r="X41"/>
  <c r="CC41" s="1"/>
  <c r="CA41"/>
  <c r="CH41" s="1"/>
  <c r="BP41"/>
  <c r="CG41" s="1"/>
  <c r="AT114"/>
  <c r="CE114" s="1"/>
  <c r="X114"/>
  <c r="CC114" s="1"/>
  <c r="BP114"/>
  <c r="CG114" s="1"/>
  <c r="CA114"/>
  <c r="CH114" s="1"/>
  <c r="BE114"/>
  <c r="CF114" s="1"/>
  <c r="AI114"/>
  <c r="CD114" s="1"/>
  <c r="AT162"/>
  <c r="CE162" s="1"/>
  <c r="X162"/>
  <c r="CC162" s="1"/>
  <c r="BP162"/>
  <c r="CG162" s="1"/>
  <c r="CA162"/>
  <c r="CH162" s="1"/>
  <c r="BE162"/>
  <c r="CF162" s="1"/>
  <c r="AI162"/>
  <c r="CD162" s="1"/>
  <c r="CA6"/>
  <c r="CH6" s="1"/>
  <c r="AI10"/>
  <c r="CD10" s="1"/>
  <c r="M23"/>
  <c r="CB23" s="1"/>
  <c r="CA27"/>
  <c r="CH27" s="1"/>
  <c r="AI28"/>
  <c r="CD28" s="1"/>
  <c r="M41"/>
  <c r="CB41" s="1"/>
  <c r="CA45"/>
  <c r="CH45" s="1"/>
  <c r="AI46"/>
  <c r="CD46" s="1"/>
  <c r="AI61"/>
  <c r="CD61" s="1"/>
  <c r="BE62"/>
  <c r="CF62" s="1"/>
  <c r="CA68"/>
  <c r="CH68" s="1"/>
  <c r="CA69"/>
  <c r="CH69" s="1"/>
  <c r="AI90"/>
  <c r="CD90" s="1"/>
  <c r="AI91"/>
  <c r="CD91" s="1"/>
  <c r="BE110"/>
  <c r="CF110" s="1"/>
  <c r="M114"/>
  <c r="CB114" s="1"/>
  <c r="AI117"/>
  <c r="CD117" s="1"/>
  <c r="M162"/>
  <c r="CB162" s="1"/>
  <c r="AI165"/>
  <c r="CD165" s="1"/>
  <c r="N106" i="4"/>
  <c r="N112"/>
  <c r="N118"/>
  <c r="N124"/>
  <c r="N130"/>
  <c r="N136"/>
  <c r="N142"/>
  <c r="N148"/>
  <c r="N154"/>
  <c r="N160"/>
  <c r="N166"/>
  <c r="N172"/>
  <c r="N185"/>
  <c r="M195"/>
  <c r="M207"/>
  <c r="M219"/>
  <c r="AI4" i="5"/>
  <c r="CD4" s="1"/>
  <c r="BE8"/>
  <c r="CF8" s="1"/>
  <c r="M15"/>
  <c r="CB15" s="1"/>
  <c r="X15"/>
  <c r="CC15" s="1"/>
  <c r="BP19"/>
  <c r="CG19" s="1"/>
  <c r="BE26"/>
  <c r="CF26" s="1"/>
  <c r="M33"/>
  <c r="CB33" s="1"/>
  <c r="X33"/>
  <c r="CC33" s="1"/>
  <c r="BP37"/>
  <c r="CG37" s="1"/>
  <c r="BE44"/>
  <c r="CF44" s="1"/>
  <c r="M51"/>
  <c r="CB51" s="1"/>
  <c r="X51"/>
  <c r="CC51" s="1"/>
  <c r="BP68"/>
  <c r="CG68" s="1"/>
  <c r="AI70"/>
  <c r="CD70" s="1"/>
  <c r="BP73"/>
  <c r="CG73" s="1"/>
  <c r="CA79"/>
  <c r="CH79" s="1"/>
  <c r="AI81"/>
  <c r="CD81" s="1"/>
  <c r="M85"/>
  <c r="CB85" s="1"/>
  <c r="X90"/>
  <c r="CC90" s="1"/>
  <c r="BE95"/>
  <c r="CF95" s="1"/>
  <c r="AI115"/>
  <c r="CD115" s="1"/>
  <c r="CA159"/>
  <c r="CH159" s="1"/>
  <c r="AI163"/>
  <c r="CD163" s="1"/>
  <c r="M178" i="4"/>
  <c r="AT112" i="5"/>
  <c r="CE112" s="1"/>
  <c r="X112"/>
  <c r="CC112" s="1"/>
  <c r="BP112"/>
  <c r="CG112" s="1"/>
  <c r="BE112"/>
  <c r="CF112" s="1"/>
  <c r="AI112"/>
  <c r="CD112" s="1"/>
  <c r="AT126"/>
  <c r="CE126" s="1"/>
  <c r="X126"/>
  <c r="CC126" s="1"/>
  <c r="BP126"/>
  <c r="CG126" s="1"/>
  <c r="CA126"/>
  <c r="CH126" s="1"/>
  <c r="BE126"/>
  <c r="CF126" s="1"/>
  <c r="AI126"/>
  <c r="CD126" s="1"/>
  <c r="AT174"/>
  <c r="CE174" s="1"/>
  <c r="X174"/>
  <c r="CC174" s="1"/>
  <c r="BP174"/>
  <c r="CG174" s="1"/>
  <c r="CA174"/>
  <c r="CH174" s="1"/>
  <c r="BE174"/>
  <c r="CF174" s="1"/>
  <c r="AI174"/>
  <c r="CD174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4"/>
  <c r="M184"/>
  <c r="M193"/>
  <c r="N196"/>
  <c r="M205"/>
  <c r="N208"/>
  <c r="M217"/>
  <c r="N220"/>
  <c r="AT10" i="5"/>
  <c r="CE10" s="1"/>
  <c r="CA19"/>
  <c r="CH19" s="1"/>
  <c r="M25"/>
  <c r="CB25" s="1"/>
  <c r="AI25"/>
  <c r="CD25" s="1"/>
  <c r="AT28"/>
  <c r="CE28" s="1"/>
  <c r="CA37"/>
  <c r="CH37" s="1"/>
  <c r="M43"/>
  <c r="CB43" s="1"/>
  <c r="AI43"/>
  <c r="CD43" s="1"/>
  <c r="AT46"/>
  <c r="CE46" s="1"/>
  <c r="BP55"/>
  <c r="CG55" s="1"/>
  <c r="AI57"/>
  <c r="CD57" s="1"/>
  <c r="CA60"/>
  <c r="CH60" s="1"/>
  <c r="X60"/>
  <c r="CC60" s="1"/>
  <c r="AT61"/>
  <c r="CE61" s="1"/>
  <c r="BP62"/>
  <c r="CG62" s="1"/>
  <c r="AI64"/>
  <c r="CD64" s="1"/>
  <c r="BP67"/>
  <c r="CG67" s="1"/>
  <c r="CA73"/>
  <c r="CH73" s="1"/>
  <c r="AI75"/>
  <c r="CD75" s="1"/>
  <c r="M79"/>
  <c r="CB79" s="1"/>
  <c r="X79"/>
  <c r="CC79" s="1"/>
  <c r="CA84"/>
  <c r="CH84" s="1"/>
  <c r="X84"/>
  <c r="CC84" s="1"/>
  <c r="AT86"/>
  <c r="CE86" s="1"/>
  <c r="BE89"/>
  <c r="CF89" s="1"/>
  <c r="AT91"/>
  <c r="CE91" s="1"/>
  <c r="BP93"/>
  <c r="CG93" s="1"/>
  <c r="M112"/>
  <c r="CB112" s="1"/>
  <c r="M126"/>
  <c r="CB126" s="1"/>
  <c r="AI129"/>
  <c r="CD129" s="1"/>
  <c r="CA155"/>
  <c r="CH155" s="1"/>
  <c r="M174"/>
  <c r="CB174" s="1"/>
  <c r="AI177"/>
  <c r="CD177" s="1"/>
  <c r="BE17"/>
  <c r="CF17" s="1"/>
  <c r="AI17"/>
  <c r="CD17" s="1"/>
  <c r="X17"/>
  <c r="CC17" s="1"/>
  <c r="CA17"/>
  <c r="CH17" s="1"/>
  <c r="BP17"/>
  <c r="CG17" s="1"/>
  <c r="BE35"/>
  <c r="CF35" s="1"/>
  <c r="AI35"/>
  <c r="CD35" s="1"/>
  <c r="X35"/>
  <c r="CC35" s="1"/>
  <c r="CA35"/>
  <c r="CH35" s="1"/>
  <c r="BP35"/>
  <c r="CG35" s="1"/>
  <c r="BE53"/>
  <c r="CF53" s="1"/>
  <c r="AI53"/>
  <c r="CD53" s="1"/>
  <c r="X53"/>
  <c r="CC53" s="1"/>
  <c r="CA53"/>
  <c r="CH53" s="1"/>
  <c r="BP53"/>
  <c r="CG53" s="1"/>
  <c r="N183" i="4"/>
  <c r="M192"/>
  <c r="M204"/>
  <c r="M216"/>
  <c r="BP8" i="5"/>
  <c r="CG8" s="1"/>
  <c r="CA12"/>
  <c r="CH12" s="1"/>
  <c r="X12"/>
  <c r="CC12" s="1"/>
  <c r="M17"/>
  <c r="CB17" s="1"/>
  <c r="CA21"/>
  <c r="CH21" s="1"/>
  <c r="AI22"/>
  <c r="CD22" s="1"/>
  <c r="BP26"/>
  <c r="CG26" s="1"/>
  <c r="CA30"/>
  <c r="CH30" s="1"/>
  <c r="X30"/>
  <c r="CC30" s="1"/>
  <c r="M35"/>
  <c r="CB35" s="1"/>
  <c r="CA39"/>
  <c r="CH39" s="1"/>
  <c r="AI40"/>
  <c r="CD40" s="1"/>
  <c r="BP44"/>
  <c r="CG44" s="1"/>
  <c r="CA48"/>
  <c r="CH48" s="1"/>
  <c r="X48"/>
  <c r="CC48" s="1"/>
  <c r="M53"/>
  <c r="CB53" s="1"/>
  <c r="X69"/>
  <c r="CC69" s="1"/>
  <c r="AT70"/>
  <c r="CE70" s="1"/>
  <c r="AI74"/>
  <c r="CD74" s="1"/>
  <c r="AI78"/>
  <c r="CD78" s="1"/>
  <c r="AI79"/>
  <c r="CD79" s="1"/>
  <c r="BE85"/>
  <c r="CF85" s="1"/>
  <c r="BE86"/>
  <c r="CF86" s="1"/>
  <c r="CA92"/>
  <c r="CH92" s="1"/>
  <c r="CA93"/>
  <c r="CH93" s="1"/>
  <c r="CA105"/>
  <c r="CH105" s="1"/>
  <c r="AI127"/>
  <c r="CD127" s="1"/>
  <c r="AI175"/>
  <c r="CD175" s="1"/>
  <c r="CA7"/>
  <c r="CH7" s="1"/>
  <c r="M9"/>
  <c r="CB9" s="1"/>
  <c r="X9"/>
  <c r="CC9" s="1"/>
  <c r="AT23"/>
  <c r="CE23" s="1"/>
  <c r="M27"/>
  <c r="CB27" s="1"/>
  <c r="X27"/>
  <c r="CC27" s="1"/>
  <c r="AT41"/>
  <c r="CE41" s="1"/>
  <c r="M45"/>
  <c r="CB45" s="1"/>
  <c r="X45"/>
  <c r="CC45" s="1"/>
  <c r="CA55"/>
  <c r="CH55" s="1"/>
  <c r="AI56"/>
  <c r="CD56" s="1"/>
  <c r="CA67"/>
  <c r="CH67" s="1"/>
  <c r="M73"/>
  <c r="CB73" s="1"/>
  <c r="AT138"/>
  <c r="CE138" s="1"/>
  <c r="X138"/>
  <c r="CC138" s="1"/>
  <c r="BP138"/>
  <c r="CG138" s="1"/>
  <c r="CA138"/>
  <c r="CH138" s="1"/>
  <c r="BE138"/>
  <c r="CF138" s="1"/>
  <c r="AI138"/>
  <c r="CD138" s="1"/>
  <c r="AT186"/>
  <c r="CE186" s="1"/>
  <c r="X186"/>
  <c r="CC186" s="1"/>
  <c r="BP186"/>
  <c r="CG186" s="1"/>
  <c r="CA186"/>
  <c r="CH186" s="1"/>
  <c r="BE186"/>
  <c r="CF186" s="1"/>
  <c r="AI186"/>
  <c r="CD186" s="1"/>
  <c r="AI9"/>
  <c r="CD9" s="1"/>
  <c r="AT25"/>
  <c r="CE25" s="1"/>
  <c r="AI27"/>
  <c r="CD27" s="1"/>
  <c r="AT43"/>
  <c r="CE43" s="1"/>
  <c r="AI45"/>
  <c r="CD45" s="1"/>
  <c r="BP61"/>
  <c r="CG61" s="1"/>
  <c r="AI72"/>
  <c r="CD72" s="1"/>
  <c r="AI73"/>
  <c r="CD73" s="1"/>
  <c r="BE79"/>
  <c r="CF79" s="1"/>
  <c r="BE80"/>
  <c r="CF80" s="1"/>
  <c r="CA86"/>
  <c r="CH86" s="1"/>
  <c r="CA87"/>
  <c r="CH87" s="1"/>
  <c r="AI98"/>
  <c r="CD98" s="1"/>
  <c r="CA133"/>
  <c r="CH133" s="1"/>
  <c r="M138"/>
  <c r="CB138" s="1"/>
  <c r="AI141"/>
  <c r="CD141" s="1"/>
  <c r="CA181"/>
  <c r="CH181" s="1"/>
  <c r="M186"/>
  <c r="CB186" s="1"/>
  <c r="AI189"/>
  <c r="CD189" s="1"/>
  <c r="BE5"/>
  <c r="CF5" s="1"/>
  <c r="AI5"/>
  <c r="CD5" s="1"/>
  <c r="X5"/>
  <c r="CC5" s="1"/>
  <c r="CA5"/>
  <c r="CH5" s="1"/>
  <c r="BE59"/>
  <c r="CF59" s="1"/>
  <c r="AI59"/>
  <c r="CD59" s="1"/>
  <c r="X59"/>
  <c r="CC59" s="1"/>
  <c r="CA59"/>
  <c r="CH59" s="1"/>
  <c r="BP59"/>
  <c r="CG59" s="1"/>
  <c r="N49" i="4"/>
  <c r="N55"/>
  <c r="N61"/>
  <c r="N67"/>
  <c r="N73"/>
  <c r="N79"/>
  <c r="N85"/>
  <c r="N91"/>
  <c r="N97"/>
  <c r="N103"/>
  <c r="N109"/>
  <c r="N115"/>
  <c r="N121"/>
  <c r="N127"/>
  <c r="N133"/>
  <c r="N139"/>
  <c r="N145"/>
  <c r="N151"/>
  <c r="N157"/>
  <c r="N163"/>
  <c r="N169"/>
  <c r="N175"/>
  <c r="M189"/>
  <c r="N189"/>
  <c r="M201"/>
  <c r="M213"/>
  <c r="M225"/>
  <c r="M5" i="5"/>
  <c r="CB5" s="1"/>
  <c r="CA13"/>
  <c r="CH13" s="1"/>
  <c r="M19"/>
  <c r="CB19" s="1"/>
  <c r="AI19"/>
  <c r="CD19" s="1"/>
  <c r="AT22"/>
  <c r="CE22" s="1"/>
  <c r="CA31"/>
  <c r="CH31" s="1"/>
  <c r="M37"/>
  <c r="CB37" s="1"/>
  <c r="AI37"/>
  <c r="CD37" s="1"/>
  <c r="AT40"/>
  <c r="CE40" s="1"/>
  <c r="CA49"/>
  <c r="CH49" s="1"/>
  <c r="M59"/>
  <c r="CB59" s="1"/>
  <c r="AI63"/>
  <c r="CD63" s="1"/>
  <c r="M67"/>
  <c r="CB67" s="1"/>
  <c r="X72"/>
  <c r="CC72" s="1"/>
  <c r="BE77"/>
  <c r="CF77" s="1"/>
  <c r="AT79"/>
  <c r="CE79" s="1"/>
  <c r="BP86"/>
  <c r="CG86" s="1"/>
  <c r="BP91"/>
  <c r="CG91" s="1"/>
  <c r="CA110"/>
  <c r="CH110" s="1"/>
  <c r="AT111"/>
  <c r="CE111" s="1"/>
  <c r="CA135"/>
  <c r="CH135" s="1"/>
  <c r="CA183"/>
  <c r="CH183" s="1"/>
  <c r="BE11"/>
  <c r="CF11" s="1"/>
  <c r="AI11"/>
  <c r="CD11" s="1"/>
  <c r="X11"/>
  <c r="CC11" s="1"/>
  <c r="CA11"/>
  <c r="CH11" s="1"/>
  <c r="BP11"/>
  <c r="CG11" s="1"/>
  <c r="BE29"/>
  <c r="CF29" s="1"/>
  <c r="AI29"/>
  <c r="CD29" s="1"/>
  <c r="X29"/>
  <c r="CC29" s="1"/>
  <c r="CA29"/>
  <c r="CH29" s="1"/>
  <c r="BP29"/>
  <c r="CG29" s="1"/>
  <c r="BE47"/>
  <c r="CF47" s="1"/>
  <c r="AI47"/>
  <c r="CD47" s="1"/>
  <c r="X47"/>
  <c r="CC47" s="1"/>
  <c r="CA47"/>
  <c r="CH47" s="1"/>
  <c r="BP47"/>
  <c r="CG47" s="1"/>
  <c r="M200" i="4"/>
  <c r="M212"/>
  <c r="M224"/>
  <c r="AI3" i="5"/>
  <c r="CD3" s="1"/>
  <c r="M11"/>
  <c r="CB11" s="1"/>
  <c r="AI16"/>
  <c r="CD16" s="1"/>
  <c r="BP20"/>
  <c r="CG20" s="1"/>
  <c r="CA24"/>
  <c r="CH24" s="1"/>
  <c r="X24"/>
  <c r="CC24" s="1"/>
  <c r="M29"/>
  <c r="CB29" s="1"/>
  <c r="AI34"/>
  <c r="CD34" s="1"/>
  <c r="BP38"/>
  <c r="CG38" s="1"/>
  <c r="CA42"/>
  <c r="CH42" s="1"/>
  <c r="X42"/>
  <c r="CC42" s="1"/>
  <c r="M47"/>
  <c r="CB47" s="1"/>
  <c r="AI52"/>
  <c r="CD52" s="1"/>
  <c r="AI185"/>
  <c r="CD185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65"/>
  <c r="CG65" s="1"/>
  <c r="BP71"/>
  <c r="CG71" s="1"/>
  <c r="BP77"/>
  <c r="CG77" s="1"/>
  <c r="BP83"/>
  <c r="CG83" s="1"/>
  <c r="BP89"/>
  <c r="CG89" s="1"/>
  <c r="BP95"/>
  <c r="CG95" s="1"/>
  <c r="BE102"/>
  <c r="CF102" s="1"/>
  <c r="BP104"/>
  <c r="CG104" s="1"/>
  <c r="BP105"/>
  <c r="CG105" s="1"/>
  <c r="BP106"/>
  <c r="CG106" s="1"/>
  <c r="BE107"/>
  <c r="CF107" s="1"/>
  <c r="BP109"/>
  <c r="CG109" s="1"/>
  <c r="M109"/>
  <c r="CB109" s="1"/>
  <c r="M110"/>
  <c r="CB110" s="1"/>
  <c r="BE118"/>
  <c r="CF118" s="1"/>
  <c r="M124"/>
  <c r="CB124" s="1"/>
  <c r="BE130"/>
  <c r="CF130" s="1"/>
  <c r="M136"/>
  <c r="CB136" s="1"/>
  <c r="BE142"/>
  <c r="CF142" s="1"/>
  <c r="M148"/>
  <c r="CB148" s="1"/>
  <c r="BE154"/>
  <c r="CF154" s="1"/>
  <c r="M160"/>
  <c r="CB160" s="1"/>
  <c r="BE166"/>
  <c r="CF166" s="1"/>
  <c r="M172"/>
  <c r="CB172" s="1"/>
  <c r="BE178"/>
  <c r="CF178" s="1"/>
  <c r="M184"/>
  <c r="CB184" s="1"/>
  <c r="BE190"/>
  <c r="CF190" s="1"/>
  <c r="M196"/>
  <c r="CB196" s="1"/>
  <c r="BE202"/>
  <c r="CF202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BE4"/>
  <c r="CF4" s="1"/>
  <c r="M8"/>
  <c r="CB8" s="1"/>
  <c r="BE10"/>
  <c r="CF10" s="1"/>
  <c r="M14"/>
  <c r="CB14" s="1"/>
  <c r="BE16"/>
  <c r="CF16" s="1"/>
  <c r="M20"/>
  <c r="CB20" s="1"/>
  <c r="BE22"/>
  <c r="CF22" s="1"/>
  <c r="M26"/>
  <c r="CB26" s="1"/>
  <c r="BE28"/>
  <c r="CF28" s="1"/>
  <c r="M32"/>
  <c r="CB32" s="1"/>
  <c r="BE34"/>
  <c r="CF34" s="1"/>
  <c r="M38"/>
  <c r="CB38" s="1"/>
  <c r="BE40"/>
  <c r="CF40" s="1"/>
  <c r="M44"/>
  <c r="CB44" s="1"/>
  <c r="BE46"/>
  <c r="CF46" s="1"/>
  <c r="M50"/>
  <c r="CB50" s="1"/>
  <c r="BE52"/>
  <c r="CF52" s="1"/>
  <c r="M56"/>
  <c r="CB56" s="1"/>
  <c r="BE58"/>
  <c r="CF58" s="1"/>
  <c r="M62"/>
  <c r="CB62" s="1"/>
  <c r="BE64"/>
  <c r="CF64" s="1"/>
  <c r="CA65"/>
  <c r="CH65" s="1"/>
  <c r="M68"/>
  <c r="CB68" s="1"/>
  <c r="BE70"/>
  <c r="CF70" s="1"/>
  <c r="CA71"/>
  <c r="CH71" s="1"/>
  <c r="M74"/>
  <c r="CB74" s="1"/>
  <c r="BE76"/>
  <c r="CF76" s="1"/>
  <c r="CA77"/>
  <c r="CH77" s="1"/>
  <c r="M80"/>
  <c r="CB80" s="1"/>
  <c r="BE82"/>
  <c r="CF82" s="1"/>
  <c r="CA83"/>
  <c r="CH83" s="1"/>
  <c r="M86"/>
  <c r="CB86" s="1"/>
  <c r="BE88"/>
  <c r="CF88" s="1"/>
  <c r="CA89"/>
  <c r="CH89" s="1"/>
  <c r="M92"/>
  <c r="CB92" s="1"/>
  <c r="BE94"/>
  <c r="CF94" s="1"/>
  <c r="CA95"/>
  <c r="CH95" s="1"/>
  <c r="BP102"/>
  <c r="CG102" s="1"/>
  <c r="CA104"/>
  <c r="CH104" s="1"/>
  <c r="X109"/>
  <c r="CC109" s="1"/>
  <c r="X110"/>
  <c r="CC110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AI210"/>
  <c r="CD210" s="1"/>
  <c r="M213"/>
  <c r="CB213" s="1"/>
  <c r="BE219"/>
  <c r="CF219" s="1"/>
  <c r="AI222"/>
  <c r="CD222" s="1"/>
  <c r="M225"/>
  <c r="CB225" s="1"/>
  <c r="BE231"/>
  <c r="CF231" s="1"/>
  <c r="AI234"/>
  <c r="CD234" s="1"/>
  <c r="M237"/>
  <c r="CB237" s="1"/>
  <c r="BE243"/>
  <c r="CF243" s="1"/>
  <c r="AI246"/>
  <c r="CD246" s="1"/>
  <c r="M249"/>
  <c r="CB249" s="1"/>
  <c r="BE255"/>
  <c r="CF255" s="1"/>
  <c r="AI258"/>
  <c r="CD258" s="1"/>
  <c r="M261"/>
  <c r="CB261" s="1"/>
  <c r="BE267"/>
  <c r="CF267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3"/>
  <c r="CF3" s="1"/>
  <c r="CA4"/>
  <c r="CH4" s="1"/>
  <c r="M7"/>
  <c r="CB7" s="1"/>
  <c r="BE9"/>
  <c r="CF9" s="1"/>
  <c r="CA10"/>
  <c r="CH10" s="1"/>
  <c r="BE15"/>
  <c r="CF15" s="1"/>
  <c r="CA16"/>
  <c r="CH16" s="1"/>
  <c r="BE21"/>
  <c r="CF21" s="1"/>
  <c r="CA22"/>
  <c r="CH22" s="1"/>
  <c r="BE27"/>
  <c r="CF27" s="1"/>
  <c r="CA28"/>
  <c r="CH28" s="1"/>
  <c r="BE33"/>
  <c r="CF33" s="1"/>
  <c r="CA34"/>
  <c r="CH34" s="1"/>
  <c r="BE39"/>
  <c r="CF39" s="1"/>
  <c r="CA40"/>
  <c r="CH40" s="1"/>
  <c r="BE45"/>
  <c r="CF45" s="1"/>
  <c r="CA46"/>
  <c r="CH46" s="1"/>
  <c r="BE51"/>
  <c r="CF51" s="1"/>
  <c r="CA52"/>
  <c r="CH52" s="1"/>
  <c r="BE57"/>
  <c r="CF57" s="1"/>
  <c r="CA58"/>
  <c r="CH58" s="1"/>
  <c r="BE63"/>
  <c r="CF63" s="1"/>
  <c r="CA64"/>
  <c r="CH64" s="1"/>
  <c r="BE69"/>
  <c r="CF69" s="1"/>
  <c r="CA70"/>
  <c r="CH70" s="1"/>
  <c r="BE75"/>
  <c r="CF75" s="1"/>
  <c r="CA76"/>
  <c r="CH76" s="1"/>
  <c r="BE81"/>
  <c r="CF81" s="1"/>
  <c r="CA82"/>
  <c r="CH82" s="1"/>
  <c r="BE87"/>
  <c r="CF87" s="1"/>
  <c r="CA88"/>
  <c r="CH88" s="1"/>
  <c r="BE93"/>
  <c r="CF93" s="1"/>
  <c r="CA94"/>
  <c r="CH94" s="1"/>
  <c r="AT109"/>
  <c r="CE109" s="1"/>
  <c r="AT110"/>
  <c r="CE110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20"/>
  <c r="CE120" s="1"/>
  <c r="X120"/>
  <c r="CC120" s="1"/>
  <c r="BP120"/>
  <c r="CG120" s="1"/>
  <c r="AT132"/>
  <c r="CE132" s="1"/>
  <c r="X132"/>
  <c r="CC132" s="1"/>
  <c r="BP132"/>
  <c r="CG132" s="1"/>
  <c r="AT144"/>
  <c r="CE144" s="1"/>
  <c r="X144"/>
  <c r="CC144" s="1"/>
  <c r="BP144"/>
  <c r="CG144" s="1"/>
  <c r="AT156"/>
  <c r="CE156" s="1"/>
  <c r="X156"/>
  <c r="CC156" s="1"/>
  <c r="BP156"/>
  <c r="CG156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X99"/>
  <c r="CC99" s="1"/>
  <c r="M99"/>
  <c r="CB99" s="1"/>
  <c r="AT100"/>
  <c r="CE100" s="1"/>
  <c r="M100"/>
  <c r="CB100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6"/>
  <c r="CB6" s="1"/>
  <c r="M12"/>
  <c r="CB12" s="1"/>
  <c r="M18"/>
  <c r="CB18" s="1"/>
  <c r="M24"/>
  <c r="CB24" s="1"/>
  <c r="M30"/>
  <c r="CB30" s="1"/>
  <c r="M36"/>
  <c r="CB36" s="1"/>
  <c r="M42"/>
  <c r="CB42" s="1"/>
  <c r="M48"/>
  <c r="CB48" s="1"/>
  <c r="M54"/>
  <c r="CB54" s="1"/>
  <c r="M60"/>
  <c r="CB60" s="1"/>
  <c r="M66"/>
  <c r="CB66" s="1"/>
  <c r="M72"/>
  <c r="CB72" s="1"/>
  <c r="M78"/>
  <c r="CB78" s="1"/>
  <c r="M84"/>
  <c r="CB84" s="1"/>
  <c r="M90"/>
  <c r="CB90" s="1"/>
  <c r="AT96"/>
  <c r="CE96" s="1"/>
  <c r="M96"/>
  <c r="CB96" s="1"/>
  <c r="BP97"/>
  <c r="CG97" s="1"/>
  <c r="M97"/>
  <c r="CB97" s="1"/>
  <c r="M98"/>
  <c r="CB98" s="1"/>
  <c r="X100"/>
  <c r="CC100" s="1"/>
  <c r="M101"/>
  <c r="CB101" s="1"/>
  <c r="BP110"/>
  <c r="CG110" s="1"/>
  <c r="M113"/>
  <c r="CB113" s="1"/>
  <c r="AI122"/>
  <c r="CD122" s="1"/>
  <c r="M125"/>
  <c r="CB125" s="1"/>
  <c r="AI134"/>
  <c r="CD134" s="1"/>
  <c r="M137"/>
  <c r="CB137" s="1"/>
  <c r="AI146"/>
  <c r="CD146" s="1"/>
  <c r="M149"/>
  <c r="CB149" s="1"/>
  <c r="AI158"/>
  <c r="CD158" s="1"/>
  <c r="M161"/>
  <c r="CB161" s="1"/>
  <c r="AI170"/>
  <c r="CD170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AI100"/>
  <c r="CD100" s="1"/>
  <c r="X105"/>
  <c r="CC105" s="1"/>
  <c r="M105"/>
  <c r="CB105" s="1"/>
  <c r="AT106"/>
  <c r="CE106" s="1"/>
  <c r="M106"/>
  <c r="CB106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07"/>
  <c r="CC107" s="1"/>
  <c r="BP107"/>
  <c r="CG107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65"/>
  <c r="CB65" s="1"/>
  <c r="M71"/>
  <c r="CB71" s="1"/>
  <c r="M77"/>
  <c r="CB77" s="1"/>
  <c r="M83"/>
  <c r="CB83" s="1"/>
  <c r="M89"/>
  <c r="CB89" s="1"/>
  <c r="M95"/>
  <c r="CB95" s="1"/>
  <c r="M102"/>
  <c r="CB102" s="1"/>
  <c r="BP103"/>
  <c r="CG103" s="1"/>
  <c r="M103"/>
  <c r="CB103" s="1"/>
  <c r="M104"/>
  <c r="CB104" s="1"/>
  <c r="M107"/>
  <c r="CB107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N190" i="4"/>
  <c r="AT6" i="5"/>
  <c r="CE6" s="1"/>
  <c r="AT12"/>
  <c r="CE12" s="1"/>
  <c r="AT18"/>
  <c r="CE18" s="1"/>
  <c r="AT24"/>
  <c r="CE24" s="1"/>
  <c r="AT30"/>
  <c r="CE30" s="1"/>
  <c r="AT36"/>
  <c r="CE36" s="1"/>
  <c r="AT42"/>
  <c r="CE42" s="1"/>
  <c r="AT48"/>
  <c r="CE48" s="1"/>
  <c r="AT54"/>
  <c r="CE54" s="1"/>
  <c r="AT60"/>
  <c r="CE60" s="1"/>
  <c r="X65"/>
  <c r="CC65" s="1"/>
  <c r="AT66"/>
  <c r="CE66" s="1"/>
  <c r="X71"/>
  <c r="CC71" s="1"/>
  <c r="AT72"/>
  <c r="CE72" s="1"/>
  <c r="X77"/>
  <c r="CC77" s="1"/>
  <c r="AT78"/>
  <c r="CE78" s="1"/>
  <c r="X83"/>
  <c r="CC83" s="1"/>
  <c r="AT84"/>
  <c r="CE84" s="1"/>
  <c r="X89"/>
  <c r="CC89" s="1"/>
  <c r="AT90"/>
  <c r="CE90" s="1"/>
  <c r="X95"/>
  <c r="CC95" s="1"/>
  <c r="AT97"/>
  <c r="CE97" s="1"/>
  <c r="AT98"/>
  <c r="CE98" s="1"/>
  <c r="AT99"/>
  <c r="CE99" s="1"/>
  <c r="AI101"/>
  <c r="CD101" s="1"/>
  <c r="X102"/>
  <c r="CC102" s="1"/>
  <c r="X103"/>
  <c r="CC103" s="1"/>
  <c r="X104"/>
  <c r="CC104" s="1"/>
  <c r="AI106"/>
  <c r="CD106" s="1"/>
  <c r="AI113"/>
  <c r="CD113" s="1"/>
  <c r="M116"/>
  <c r="CB116" s="1"/>
  <c r="BE122"/>
  <c r="CF122" s="1"/>
  <c r="AI125"/>
  <c r="CD125" s="1"/>
  <c r="M128"/>
  <c r="CB128" s="1"/>
  <c r="BE134"/>
  <c r="CF134" s="1"/>
  <c r="AI137"/>
  <c r="CD137" s="1"/>
  <c r="M140"/>
  <c r="CB140" s="1"/>
  <c r="BE146"/>
  <c r="CF146" s="1"/>
  <c r="AI149"/>
  <c r="CD149" s="1"/>
  <c r="M152"/>
  <c r="CB152" s="1"/>
  <c r="BE158"/>
  <c r="CF158" s="1"/>
  <c r="AI161"/>
  <c r="CD161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BE6"/>
  <c r="CF6" s="1"/>
  <c r="M10"/>
  <c r="CB10" s="1"/>
  <c r="BE12"/>
  <c r="CF12" s="1"/>
  <c r="M16"/>
  <c r="CB16" s="1"/>
  <c r="BE18"/>
  <c r="CF18" s="1"/>
  <c r="M22"/>
  <c r="CB22" s="1"/>
  <c r="BE24"/>
  <c r="CF24" s="1"/>
  <c r="M28"/>
  <c r="CB28" s="1"/>
  <c r="BE30"/>
  <c r="CF30" s="1"/>
  <c r="M34"/>
  <c r="CB34" s="1"/>
  <c r="BE36"/>
  <c r="CF36" s="1"/>
  <c r="M40"/>
  <c r="CB40" s="1"/>
  <c r="BE42"/>
  <c r="CF42" s="1"/>
  <c r="M46"/>
  <c r="CB46" s="1"/>
  <c r="BE48"/>
  <c r="CF48" s="1"/>
  <c r="M52"/>
  <c r="CB52" s="1"/>
  <c r="BE54"/>
  <c r="CF54" s="1"/>
  <c r="M58"/>
  <c r="CB58" s="1"/>
  <c r="BE60"/>
  <c r="CF60" s="1"/>
  <c r="M64"/>
  <c r="CB64" s="1"/>
  <c r="AI65"/>
  <c r="CD65" s="1"/>
  <c r="BE66"/>
  <c r="CF66" s="1"/>
  <c r="M70"/>
  <c r="CB70" s="1"/>
  <c r="AI71"/>
  <c r="CD71" s="1"/>
  <c r="BE72"/>
  <c r="CF72" s="1"/>
  <c r="M76"/>
  <c r="CB76" s="1"/>
  <c r="AI77"/>
  <c r="CD77" s="1"/>
  <c r="BE78"/>
  <c r="CF78" s="1"/>
  <c r="M82"/>
  <c r="CB82" s="1"/>
  <c r="AI83"/>
  <c r="CD83" s="1"/>
  <c r="BE84"/>
  <c r="CF84" s="1"/>
  <c r="M88"/>
  <c r="CB88" s="1"/>
  <c r="AI89"/>
  <c r="CD89" s="1"/>
  <c r="BE90"/>
  <c r="CF90" s="1"/>
  <c r="M94"/>
  <c r="CB94" s="1"/>
  <c r="AI95"/>
  <c r="CD95" s="1"/>
  <c r="BE97"/>
  <c r="CF97" s="1"/>
  <c r="BE98"/>
  <c r="CF98" s="1"/>
  <c r="BE99"/>
  <c r="CF99" s="1"/>
  <c r="BE100"/>
  <c r="CF100" s="1"/>
  <c r="AT101"/>
  <c r="CE101" s="1"/>
  <c r="AI102"/>
  <c r="CD102" s="1"/>
  <c r="AI103"/>
  <c r="CD103" s="1"/>
  <c r="AI104"/>
  <c r="CD104" s="1"/>
  <c r="AI105"/>
  <c r="CD105" s="1"/>
  <c r="AI118"/>
  <c r="CD118" s="1"/>
  <c r="M121"/>
  <c r="CB121" s="1"/>
  <c r="CA124"/>
  <c r="CH124" s="1"/>
  <c r="AI130"/>
  <c r="CD130" s="1"/>
  <c r="M133"/>
  <c r="CB133" s="1"/>
  <c r="CA136"/>
  <c r="CH136" s="1"/>
  <c r="AI142"/>
  <c r="CD142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AT210"/>
  <c r="CE210" s="1"/>
  <c r="X210"/>
  <c r="CC210" s="1"/>
  <c r="BP210"/>
  <c r="CG210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BP111"/>
  <c r="CG111" s="1"/>
  <c r="X111"/>
  <c r="CC111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P96"/>
  <c r="CG96" s="1"/>
  <c r="CA99"/>
  <c r="CH99" s="1"/>
  <c r="CA100"/>
  <c r="CH100" s="1"/>
  <c r="BE103"/>
  <c r="CF103" s="1"/>
  <c r="BE105"/>
  <c r="CF105" s="1"/>
  <c r="BE106"/>
  <c r="CF106" s="1"/>
  <c r="AT107"/>
  <c r="CE107" s="1"/>
  <c r="M111"/>
  <c r="CB111" s="1"/>
  <c r="BE113"/>
  <c r="CF113" s="1"/>
  <c r="AI116"/>
  <c r="CD116" s="1"/>
  <c r="M119"/>
  <c r="CB119" s="1"/>
  <c r="CA122"/>
  <c r="CH122" s="1"/>
  <c r="BE125"/>
  <c r="CF125" s="1"/>
  <c r="AI128"/>
  <c r="CD128" s="1"/>
  <c r="M131"/>
  <c r="CB131" s="1"/>
  <c r="CA134"/>
  <c r="CH134" s="1"/>
  <c r="BE137"/>
  <c r="CF137" s="1"/>
  <c r="AI140"/>
  <c r="CD140" s="1"/>
  <c r="M143"/>
  <c r="CB143" s="1"/>
  <c r="CA146"/>
  <c r="CH146" s="1"/>
  <c r="BE149"/>
  <c r="CF149" s="1"/>
  <c r="AI152"/>
  <c r="CD152" s="1"/>
  <c r="M155"/>
  <c r="CB155" s="1"/>
  <c r="CA158"/>
  <c r="CH158" s="1"/>
  <c r="BE161"/>
  <c r="CF161" s="1"/>
  <c r="AI164"/>
  <c r="CD164" s="1"/>
  <c r="M167"/>
  <c r="CB167" s="1"/>
  <c r="CA170"/>
  <c r="CH170" s="1"/>
  <c r="BE173"/>
  <c r="CF173" s="1"/>
  <c r="AI176"/>
  <c r="CD176" s="1"/>
  <c r="M179"/>
  <c r="CB179" s="1"/>
  <c r="CA182"/>
  <c r="CH182" s="1"/>
  <c r="BE185"/>
  <c r="CF185" s="1"/>
  <c r="AI188"/>
  <c r="CD188" s="1"/>
  <c r="M191"/>
  <c r="CB191" s="1"/>
  <c r="CA194"/>
  <c r="CH194" s="1"/>
  <c r="BE197"/>
  <c r="CF197" s="1"/>
  <c r="AI200"/>
  <c r="CD200" s="1"/>
  <c r="M203"/>
  <c r="CB203" s="1"/>
  <c r="CA206"/>
  <c r="CH206" s="1"/>
  <c r="BE209"/>
  <c r="CF209" s="1"/>
  <c r="AI212"/>
  <c r="CD212" s="1"/>
  <c r="M215"/>
  <c r="CB215" s="1"/>
  <c r="CA218"/>
  <c r="CH218" s="1"/>
  <c r="BE221"/>
  <c r="CF221" s="1"/>
  <c r="AI224"/>
  <c r="CD224" s="1"/>
  <c r="M227"/>
  <c r="CB227" s="1"/>
  <c r="CA230"/>
  <c r="CH230" s="1"/>
  <c r="BE233"/>
  <c r="CF233" s="1"/>
  <c r="AI236"/>
  <c r="CD236" s="1"/>
  <c r="M239"/>
  <c r="CB239" s="1"/>
  <c r="CA242"/>
  <c r="CH242" s="1"/>
  <c r="BE245"/>
  <c r="CF245" s="1"/>
  <c r="AI248"/>
  <c r="CD248" s="1"/>
  <c r="M251"/>
  <c r="CB251" s="1"/>
  <c r="CA254"/>
  <c r="CH254" s="1"/>
  <c r="BE257"/>
  <c r="CF257" s="1"/>
  <c r="AI260"/>
  <c r="CD260" s="1"/>
  <c r="M263"/>
  <c r="CB263" s="1"/>
  <c r="CA266"/>
  <c r="CH266" s="1"/>
  <c r="BE269"/>
  <c r="CF269" s="1"/>
  <c r="AI272"/>
  <c r="CD272" s="1"/>
  <c r="M275"/>
  <c r="CB275" s="1"/>
  <c r="CA278"/>
  <c r="CH278" s="1"/>
  <c r="BE281"/>
  <c r="CF281" s="1"/>
  <c r="AI284"/>
  <c r="CD284" s="1"/>
  <c r="M287"/>
  <c r="CB287" s="1"/>
  <c r="CA290"/>
  <c r="CH290" s="1"/>
  <c r="BE293"/>
  <c r="CF293" s="1"/>
  <c r="AI296"/>
  <c r="CD296" s="1"/>
  <c r="M299"/>
  <c r="CB299" s="1"/>
  <c r="CA302"/>
  <c r="CH302" s="1"/>
  <c r="BE305"/>
  <c r="CF305" s="1"/>
  <c r="AI308"/>
  <c r="CD308" s="1"/>
  <c r="M311"/>
  <c r="CB311" s="1"/>
  <c r="CU56" i="2" l="1"/>
  <c r="CU54"/>
  <c r="CU9"/>
  <c r="CU36"/>
  <c r="CU70"/>
  <c r="CU62"/>
  <c r="CU87"/>
  <c r="T97" s="1"/>
  <c r="CV97" s="1"/>
  <c r="I97" i="1" s="1"/>
  <c r="K97" s="1"/>
  <c r="CU51" i="2"/>
  <c r="CU61"/>
  <c r="CU17"/>
  <c r="CV17" s="1"/>
  <c r="I17" i="1" s="1"/>
  <c r="K17" s="1"/>
  <c r="CU15" i="2"/>
  <c r="CV15" s="1"/>
  <c r="I15" i="1" s="1"/>
  <c r="K15" s="1"/>
  <c r="CU50" i="2"/>
  <c r="CV50" s="1"/>
  <c r="I50" i="1" s="1"/>
  <c r="K50" s="1"/>
  <c r="CU69" i="2"/>
  <c r="CV69" s="1"/>
  <c r="I69" i="1" s="1"/>
  <c r="K69" s="1"/>
  <c r="CU33" i="2"/>
  <c r="CV33" s="1"/>
  <c r="I33" i="1" s="1"/>
  <c r="K33" s="1"/>
  <c r="CU45" i="2"/>
  <c r="CU30"/>
  <c r="CV30" s="1"/>
  <c r="I30" i="1" s="1"/>
  <c r="K30" s="1"/>
  <c r="CU60" i="2"/>
  <c r="CU57"/>
  <c r="CU39"/>
  <c r="CV39" s="1"/>
  <c r="I39" i="1" s="1"/>
  <c r="K39" s="1"/>
  <c r="CU86" i="2"/>
  <c r="CU59"/>
  <c r="CV59" s="1"/>
  <c r="I59" i="1" s="1"/>
  <c r="K59" s="1"/>
  <c r="CU85" i="2"/>
  <c r="CV85" s="1"/>
  <c r="I85" i="1" s="1"/>
  <c r="K85" s="1"/>
  <c r="CU42" i="2"/>
  <c r="CV42" s="1"/>
  <c r="I42" i="1" s="1"/>
  <c r="K42" s="1"/>
  <c r="CU41" i="2"/>
  <c r="CV41" s="1"/>
  <c r="I41" i="1" s="1"/>
  <c r="K41" s="1"/>
  <c r="CU67" i="2"/>
  <c r="CV67" s="1"/>
  <c r="I67" i="1" s="1"/>
  <c r="K67" s="1"/>
  <c r="CU64" i="2"/>
  <c r="CU68"/>
  <c r="CU66"/>
  <c r="CU77"/>
  <c r="CU72"/>
  <c r="CU8"/>
  <c r="CU71"/>
  <c r="CU13"/>
  <c r="CV13" s="1"/>
  <c r="I13" i="1" s="1"/>
  <c r="K13" s="1"/>
  <c r="CU73" i="2"/>
  <c r="CV73" s="1"/>
  <c r="I73" i="1" s="1"/>
  <c r="K73" s="1"/>
  <c r="CU55" i="2"/>
  <c r="CV55" s="1"/>
  <c r="I55" i="1" s="1"/>
  <c r="K55" s="1"/>
  <c r="CU81" i="2"/>
  <c r="CV81" s="1"/>
  <c r="I81" i="1" s="1"/>
  <c r="K81" s="1"/>
  <c r="CU43" i="2"/>
  <c r="CV43" s="1"/>
  <c r="I43" i="1" s="1"/>
  <c r="K43" s="1"/>
  <c r="CU31" i="2"/>
  <c r="CV31" s="1"/>
  <c r="I31" i="1" s="1"/>
  <c r="K31" s="1"/>
  <c r="CU47" i="2"/>
  <c r="CV47" s="1"/>
  <c r="I47" i="1" s="1"/>
  <c r="K47" s="1"/>
  <c r="CU22" i="2"/>
  <c r="CU10"/>
  <c r="W276" i="5"/>
  <c r="X276" s="1"/>
  <c r="CC276" s="1"/>
  <c r="DU27" i="2"/>
  <c r="CU27" s="1"/>
  <c r="CV27" s="1"/>
  <c r="I27" i="1" s="1"/>
  <c r="K27" s="1"/>
  <c r="CO27" i="2"/>
  <c r="CU35"/>
  <c r="CV35" s="1"/>
  <c r="I35" i="1" s="1"/>
  <c r="K35" s="1"/>
  <c r="CU83" i="2"/>
  <c r="CV83" s="1"/>
  <c r="I83" i="1" s="1"/>
  <c r="K83" s="1"/>
  <c r="CU52" i="2"/>
  <c r="CV52" s="1"/>
  <c r="I52" i="1" s="1"/>
  <c r="K52" s="1"/>
  <c r="CU79" i="2"/>
  <c r="CU78"/>
  <c r="CV78" s="1"/>
  <c r="I78" i="1" s="1"/>
  <c r="K78" s="1"/>
  <c r="EC75" i="2"/>
  <c r="CU75" s="1"/>
  <c r="CV75" s="1"/>
  <c r="I75" i="1" s="1"/>
  <c r="K75" s="1"/>
  <c r="CP75" i="2"/>
  <c r="CU12"/>
  <c r="CU46"/>
  <c r="CV46" s="1"/>
  <c r="I46" i="1" s="1"/>
  <c r="K46" s="1"/>
  <c r="CU34" i="2"/>
  <c r="CV34" s="1"/>
  <c r="I34" i="1" s="1"/>
  <c r="K34" s="1"/>
  <c r="CU53" i="2"/>
  <c r="AF313" i="5"/>
  <c r="AI313" s="1"/>
  <c r="CD313" s="1"/>
  <c r="EC74" i="2"/>
  <c r="CU74" s="1"/>
  <c r="CV74" s="1"/>
  <c r="I74" i="1" s="1"/>
  <c r="K74" s="1"/>
  <c r="CP74" i="2"/>
  <c r="CP76"/>
  <c r="EC76"/>
  <c r="CU76" s="1"/>
  <c r="CV76" s="1"/>
  <c r="I76" i="1" s="1"/>
  <c r="K76" s="1"/>
  <c r="CU38" i="2"/>
  <c r="CV38" s="1"/>
  <c r="I38" i="1" s="1"/>
  <c r="K38" s="1"/>
  <c r="CU14" i="2"/>
  <c r="CV14" s="1"/>
  <c r="I14" i="1" s="1"/>
  <c r="K14" s="1"/>
  <c r="CU49" i="2"/>
  <c r="CV49" s="1"/>
  <c r="I49" i="1" s="1"/>
  <c r="K49" s="1"/>
  <c r="CU37" i="2"/>
  <c r="CV37" s="1"/>
  <c r="I37" i="1" s="1"/>
  <c r="K37" s="1"/>
  <c r="CU80" i="2"/>
  <c r="CU84"/>
  <c r="CV84" s="1"/>
  <c r="I84" i="1" s="1"/>
  <c r="K84" s="1"/>
  <c r="CU16" i="2"/>
  <c r="W268" i="5"/>
  <c r="X268" s="1"/>
  <c r="CC268" s="1"/>
  <c r="AO24" i="2"/>
  <c r="DU19"/>
  <c r="CU19" s="1"/>
  <c r="CV19" s="1"/>
  <c r="I19" i="1" s="1"/>
  <c r="K19" s="1"/>
  <c r="CO19" i="2"/>
  <c r="CU29"/>
  <c r="CV29" s="1"/>
  <c r="I29" i="1" s="1"/>
  <c r="K29" s="1"/>
  <c r="CU82" i="2"/>
  <c r="CV82" s="1"/>
  <c r="I82" i="1" s="1"/>
  <c r="K82" s="1"/>
  <c r="W270" i="5"/>
  <c r="X270" s="1"/>
  <c r="CC270" s="1"/>
  <c r="AO26" i="2"/>
  <c r="DU21"/>
  <c r="CU21" s="1"/>
  <c r="CV21" s="1"/>
  <c r="I21" i="1" s="1"/>
  <c r="K21" s="1"/>
  <c r="CO21" i="2"/>
  <c r="CU18"/>
  <c r="CU40"/>
  <c r="CV40" s="1"/>
  <c r="I40" i="1" s="1"/>
  <c r="K40" s="1"/>
  <c r="CU28" i="2"/>
  <c r="CV28" s="1"/>
  <c r="I28" i="1" s="1"/>
  <c r="K28" s="1"/>
  <c r="W272" i="5"/>
  <c r="X272" s="1"/>
  <c r="CC272" s="1"/>
  <c r="DU23" i="2"/>
  <c r="CU23" s="1"/>
  <c r="CV23" s="1"/>
  <c r="I23" i="1" s="1"/>
  <c r="K23" s="1"/>
  <c r="CO23" i="2"/>
  <c r="CU65"/>
  <c r="CV65" s="1"/>
  <c r="I65" i="1" s="1"/>
  <c r="K65" s="1"/>
  <c r="CU44" i="2"/>
  <c r="CV44" s="1"/>
  <c r="I44" i="1" s="1"/>
  <c r="K44" s="1"/>
  <c r="W274" i="5"/>
  <c r="X274" s="1"/>
  <c r="CC274" s="1"/>
  <c r="DU25" i="2"/>
  <c r="CU25" s="1"/>
  <c r="CV25" s="1"/>
  <c r="I25" i="1" s="1"/>
  <c r="K25" s="1"/>
  <c r="CO25" i="2"/>
  <c r="CU32"/>
  <c r="CV32" s="1"/>
  <c r="I32" i="1" s="1"/>
  <c r="K32" s="1"/>
  <c r="CU20" i="2"/>
  <c r="CV20" s="1"/>
  <c r="I20" i="1" s="1"/>
  <c r="K20" s="1"/>
  <c r="CV53" i="2"/>
  <c r="I53" i="1" s="1"/>
  <c r="K53" s="1"/>
  <c r="CV86" i="2"/>
  <c r="I86" i="1" s="1"/>
  <c r="K86" s="1"/>
  <c r="CV36" i="2"/>
  <c r="I36" i="1" s="1"/>
  <c r="K36" s="1"/>
  <c r="CV64" i="2"/>
  <c r="I64" i="1" s="1"/>
  <c r="K64" s="1"/>
  <c r="CV16" i="2"/>
  <c r="I16" i="1" s="1"/>
  <c r="K16" s="1"/>
  <c r="CV71" i="2"/>
  <c r="I71" i="1" s="1"/>
  <c r="K71" s="1"/>
  <c r="CV68" i="2"/>
  <c r="I68" i="1" s="1"/>
  <c r="K68" s="1"/>
  <c r="CV72" i="2"/>
  <c r="I72" i="1" s="1"/>
  <c r="K72" s="1"/>
  <c r="CV58" i="2"/>
  <c r="I58" i="1" s="1"/>
  <c r="K58" s="1"/>
  <c r="CV63" i="2"/>
  <c r="I63" i="1" s="1"/>
  <c r="K63" s="1"/>
  <c r="CV57" i="2"/>
  <c r="I57" i="1" s="1"/>
  <c r="K57" s="1"/>
  <c r="CV61" i="2"/>
  <c r="I61" i="1" s="1"/>
  <c r="K61" s="1"/>
  <c r="CV70" i="2"/>
  <c r="I70" i="1" s="1"/>
  <c r="K70" s="1"/>
  <c r="CV54" i="2"/>
  <c r="I54" i="1" s="1"/>
  <c r="K5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CV45" i="2"/>
  <c r="I45" i="1" s="1"/>
  <c r="K45" s="1"/>
  <c r="CV77" i="2"/>
  <c r="I77" i="1" s="1"/>
  <c r="K77" s="1"/>
  <c r="CV56" i="2"/>
  <c r="I56" i="1" s="1"/>
  <c r="K56" s="1"/>
  <c r="CV18" i="2"/>
  <c r="I18" i="1" s="1"/>
  <c r="K18" s="1"/>
  <c r="CV60" i="2"/>
  <c r="I60" i="1" s="1"/>
  <c r="K60" s="1"/>
  <c r="CV51" i="2"/>
  <c r="I51" i="1" s="1"/>
  <c r="K51" s="1"/>
  <c r="CV62" i="2"/>
  <c r="I62" i="1" s="1"/>
  <c r="K62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66" i="2"/>
  <c r="I66" i="1" s="1"/>
  <c r="K66" s="1"/>
  <c r="CV22" i="2"/>
  <c r="I22" i="1" s="1"/>
  <c r="K22" s="1"/>
  <c r="CV87" i="2"/>
  <c r="I87" i="1" s="1"/>
  <c r="K87" s="1"/>
  <c r="CV48" i="2"/>
  <c r="I48" i="1" s="1"/>
  <c r="K48" s="1"/>
  <c r="T107" i="2" l="1"/>
  <c r="CV107" s="1"/>
  <c r="I107" i="1" s="1"/>
  <c r="K107" s="1"/>
  <c r="T92" i="2"/>
  <c r="CV92" s="1"/>
  <c r="I92" i="1" s="1"/>
  <c r="K92" s="1"/>
  <c r="T102" i="2"/>
  <c r="CV102" s="1"/>
  <c r="I102" i="1" s="1"/>
  <c r="K102" s="1"/>
  <c r="T88" i="2"/>
  <c r="CV88" s="1"/>
  <c r="I88" i="1" s="1"/>
  <c r="K88" s="1"/>
  <c r="T98" i="2"/>
  <c r="CV98" s="1"/>
  <c r="I98" i="1" s="1"/>
  <c r="K98" s="1"/>
  <c r="CV79" i="2"/>
  <c r="I79" i="1" s="1"/>
  <c r="K79" s="1"/>
  <c r="T89" i="2"/>
  <c r="CV89" s="1"/>
  <c r="I89" i="1" s="1"/>
  <c r="K89" s="1"/>
  <c r="T99" i="2"/>
  <c r="CV99" s="1"/>
  <c r="I99" i="1" s="1"/>
  <c r="K99" s="1"/>
  <c r="T91" i="2"/>
  <c r="CV91" s="1"/>
  <c r="I91" i="1" s="1"/>
  <c r="K91" s="1"/>
  <c r="T101" i="2"/>
  <c r="CV101" s="1"/>
  <c r="I101" i="1" s="1"/>
  <c r="K101" s="1"/>
  <c r="T93" i="2"/>
  <c r="CV93" s="1"/>
  <c r="I93" i="1" s="1"/>
  <c r="K93" s="1"/>
  <c r="T103" i="2"/>
  <c r="CV103" s="1"/>
  <c r="I103" i="1" s="1"/>
  <c r="K103" s="1"/>
  <c r="T105" i="2"/>
  <c r="CV105" s="1"/>
  <c r="I105" i="1" s="1"/>
  <c r="K105" s="1"/>
  <c r="T95" i="2"/>
  <c r="CV95" s="1"/>
  <c r="I95" i="1" s="1"/>
  <c r="K95" s="1"/>
  <c r="T104" i="2"/>
  <c r="CV104" s="1"/>
  <c r="I104" i="1" s="1"/>
  <c r="K104" s="1"/>
  <c r="T94" i="2"/>
  <c r="CV94" s="1"/>
  <c r="I94" i="1" s="1"/>
  <c r="K94" s="1"/>
  <c r="T96" i="2"/>
  <c r="CV96" s="1"/>
  <c r="I96" i="1" s="1"/>
  <c r="K96" s="1"/>
  <c r="T106" i="2"/>
  <c r="CV106" s="1"/>
  <c r="I106" i="1" s="1"/>
  <c r="K106" s="1"/>
  <c r="CV80" i="2"/>
  <c r="I80" i="1" s="1"/>
  <c r="K80" s="1"/>
  <c r="T90" i="2"/>
  <c r="CV90" s="1"/>
  <c r="I90" i="1" s="1"/>
  <c r="K90" s="1"/>
  <c r="T100" i="2"/>
  <c r="CV100" s="1"/>
  <c r="I100" i="1" s="1"/>
  <c r="K100" s="1"/>
  <c r="W275" i="5"/>
  <c r="X275" s="1"/>
  <c r="CC275" s="1"/>
  <c r="DU26" i="2"/>
  <c r="CU26" s="1"/>
  <c r="CV26" s="1"/>
  <c r="I26" i="1" s="1"/>
  <c r="K26" s="1"/>
  <c r="CO26" i="2"/>
  <c r="W273" i="5"/>
  <c r="X273" s="1"/>
  <c r="CC273" s="1"/>
  <c r="DU24" i="2"/>
  <c r="CU24" s="1"/>
  <c r="CV24" s="1"/>
  <c r="I24" i="1" s="1"/>
  <c r="K24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<sst xmlns="http://schemas.openxmlformats.org/spreadsheetml/2006/main" count="4980" uniqueCount="841">
  <si>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</si>
  <si>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</si>
  <si>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</si>
  <si>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</si>
  <si>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</si>
  <si>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</si>
  <si>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</si>
  <si>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</si>
  <si>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</si>
  <si>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</si>
  <si>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</si>
  <si>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</si>
  <si>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</si>
  <si>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</si>
  <si>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</si>
  <si>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</si>
  <si>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</si>
  <si>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</si>
  <si>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</si>
  <si>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</si>
  <si>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</si>
  <si>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</si>
  <si>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</si>
  <si>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</si>
  <si>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</si>
  <si>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</si>
  <si>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</si>
  <si>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</si>
  <si>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</si>
  <si>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</si>
  <si>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</si>
  <si>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</si>
  <si>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</si>
  <si>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</si>
  <si>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</si>
  <si>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</si>
  <si>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</si>
  <si>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</si>
  <si>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</si>
  <si>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</si>
  <si>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</si>
  <si>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</si>
  <si>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</si>
  <si>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</si>
  <si>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</si>
  <si>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</si>
  <si>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</si>
  <si>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</si>
  <si>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</si>
  <si>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</si>
  <si>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</si>
  <si>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</si>
  <si>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</si>
  <si>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</si>
  <si>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</si>
  <si>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</si>
  <si>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</si>
  <si>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</si>
  <si>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</si>
  <si>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</si>
  <si>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</si>
  <si>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</si>
  <si>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</si>
  <si>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</si>
  <si>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</si>
  <si>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</si>
  <si>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</si>
  <si>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</si>
  <si>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</si>
  <si>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</si>
  <si>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</si>
  <si>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</si>
  <si>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</si>
  <si>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</si>
  <si>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</si>
  <si>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</si>
  <si>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</si>
  <si>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</si>
  <si>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</si>
  <si>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</si>
  <si>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</si>
  <si>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</si>
  <si>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</si>
  <si>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</si>
  <si>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</si>
  <si>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</si>
  <si>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</si>
  <si>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</si>
  <si>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</si>
  <si>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</si>
  <si>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</si>
  <si>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</si>
  <si>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</si>
  <si>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</si>
  <si>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</si>
  <si>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</si>
  <si>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</si>
  <si>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</si>
  <si>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</si>
  <si>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</si>
  <si>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</si>
  <si>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</si>
  <si>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</si>
  <si>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</si>
  <si>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</si>
  <si>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</si>
  <si>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</si>
  <si>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</si>
  <si>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</si>
  <si>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</si>
  <si>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</si>
  <si>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</si>
  <si>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</si>
  <si>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</si>
  <si>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</si>
  <si>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</si>
  <si>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</si>
  <si>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</si>
  <si>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</si>
  <si>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</si>
  <si>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</si>
  <si>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</si>
  <si>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</si>
  <si>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</si>
  <si>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</si>
  <si>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</si>
  <si>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</si>
  <si>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</si>
  <si>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</si>
  <si>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</si>
  <si>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</si>
  <si>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</si>
  <si>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</si>
  <si>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</si>
  <si>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</si>
  <si>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</si>
  <si>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</si>
  <si>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</si>
  <si>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</si>
  <si>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</si>
  <si>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</si>
  <si>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</si>
  <si>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</si>
  <si>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</si>
  <si>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</si>
  <si>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</si>
  <si>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</si>
  <si>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</si>
  <si>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</si>
  <si>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</si>
  <si>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</si>
  <si>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</si>
  <si>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</si>
  <si>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</si>
  <si>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</si>
  <si>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</si>
  <si>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</si>
  <si>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</si>
  <si>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</si>
  <si>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</si>
  <si>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</si>
  <si>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</si>
  <si>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</si>
  <si>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</si>
  <si>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</si>
  <si>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</si>
  <si>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</si>
  <si>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</si>
  <si>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</si>
  <si>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</si>
  <si>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</si>
  <si>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</si>
  <si>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</si>
  <si>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</si>
  <si>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</si>
  <si>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</si>
  <si>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</si>
  <si>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</si>
  <si>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</si>
  <si>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</si>
  <si>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</si>
  <si>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</si>
  <si>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</si>
  <si>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</si>
  <si>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</si>
  <si>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</si>
  <si>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</si>
  <si>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</si>
  <si>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</si>
  <si>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</si>
  <si>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</si>
  <si>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</si>
  <si>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</si>
  <si>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</si>
  <si>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</si>
  <si>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</si>
  <si>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</si>
  <si>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</si>
  <si>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</si>
  <si>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</si>
  <si>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</si>
  <si>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</si>
  <si>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</si>
  <si>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</si>
  <si>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</si>
  <si>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</si>
  <si>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</si>
  <si>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</si>
  <si>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</si>
  <si>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</si>
  <si>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</si>
  <si>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</si>
  <si>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</si>
  <si>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</si>
  <si>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</si>
  <si>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</si>
  <si>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</si>
  <si>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</si>
  <si>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</si>
  <si>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</si>
  <si>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</si>
  <si>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</si>
  <si>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</si>
  <si>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</si>
  <si>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</si>
  <si>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</si>
  <si>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</si>
  <si>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</si>
  <si>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</si>
  <si>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</si>
  <si>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</si>
  <si>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</si>
  <si>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</si>
  <si>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</si>
  <si>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</si>
  <si>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</si>
  <si>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</si>
  <si>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</si>
  <si>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</si>
  <si>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</si>
  <si>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</si>
  <si>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</si>
  <si>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</si>
  <si>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</si>
  <si>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</si>
  <si>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</si>
  <si>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</si>
  <si>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</si>
  <si>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</si>
  <si>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</si>
  <si>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</si>
  <si>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</si>
  <si>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</si>
  <si>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</si>
  <si>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</si>
  <si>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</si>
  <si>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</si>
  <si>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</si>
  <si>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</si>
  <si>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</si>
  <si>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</si>
  <si>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</si>
  <si>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</si>
  <si>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</si>
  <si>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</si>
  <si>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</si>
  <si>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</si>
  <si>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</si>
  <si>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</si>
  <si>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</si>
  <si>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</si>
  <si>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</si>
  <si>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</si>
  <si>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</si>
  <si>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</si>
  <si>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</si>
  <si>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</si>
  <si>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</si>
  <si>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</si>
  <si>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</si>
  <si>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</si>
  <si>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</si>
  <si>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</si>
  <si>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</si>
  <si>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</si>
  <si>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</si>
  <si>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</si>
  <si>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</si>
  <si>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</si>
  <si>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</si>
  <si>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</si>
  <si>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</si>
  <si>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</si>
  <si>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</si>
  <si>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</si>
  <si>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</si>
  <si>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</si>
  <si>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</si>
  <si>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</si>
  <si>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</si>
  <si>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</si>
  <si>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</si>
  <si>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</si>
  <si>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</si>
  <si>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</si>
  <si>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</si>
  <si>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</si>
  <si>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</si>
  <si>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</si>
  <si>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</si>
  <si>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</si>
  <si>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</si>
  <si>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</si>
  <si>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</si>
  <si>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</si>
  <si>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</si>
  <si>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</si>
  <si>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</si>
  <si>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</si>
  <si>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</si>
  <si>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</si>
  <si>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</si>
  <si>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</si>
  <si>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</si>
  <si>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</si>
  <si>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</si>
  <si>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</si>
  <si>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</si>
  <si>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</si>
  <si>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</si>
  <si>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</si>
  <si>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</si>
  <si>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</si>
  <si>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</si>
  <si>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</si>
  <si>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</si>
  <si>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</si>
  <si>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</si>
  <si>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</si>
  <si>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</si>
  <si>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</si>
  <si>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</si>
  <si>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</si>
  <si>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</si>
  <si>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</si>
  <si>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</si>
  <si>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</si>
  <si>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</si>
  <si>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</si>
  <si>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</si>
  <si>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</si>
  <si>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</si>
  <si>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</si>
  <si>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</si>
  <si>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</si>
  <si>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</si>
  <si>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</si>
  <si>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</si>
  <si>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</si>
  <si>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</si>
  <si>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</si>
  <si>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</si>
  <si>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</si>
  <si>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</si>
  <si>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</si>
  <si>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</si>
  <si>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</si>
  <si>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</si>
  <si>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</si>
  <si>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</si>
  <si>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</si>
  <si>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</si>
  <si>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</si>
  <si>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</si>
  <si>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</si>
  <si>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</si>
  <si>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</si>
  <si>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</si>
  <si>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</si>
  <si>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</si>
  <si>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</si>
  <si>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</si>
  <si>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</si>
  <si>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</si>
  <si>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</si>
  <si>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</si>
  <si>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</si>
  <si>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</si>
  <si>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</si>
  <si>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</si>
  <si>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</si>
  <si>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</si>
  <si>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</si>
  <si>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</si>
  <si>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</si>
  <si>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</si>
  <si>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</si>
  <si>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</si>
  <si>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</si>
  <si>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</si>
  <si>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</si>
  <si>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</si>
  <si>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</si>
  <si>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</si>
  <si>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</si>
  <si>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</si>
  <si>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</si>
  <si>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</si>
  <si>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</si>
  <si>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</si>
  <si>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</si>
  <si>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</si>
  <si>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</si>
  <si>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</si>
  <si>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</si>
  <si>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</si>
  <si>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</si>
  <si>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</si>
  <si>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</si>
  <si>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</si>
  <si>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</si>
  <si>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</si>
  <si>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</si>
  <si>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</si>
  <si>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</si>
  <si>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</si>
  <si>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</si>
  <si>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</si>
  <si>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</si>
  <si>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</si>
  <si>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</si>
  <si>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</si>
  <si>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</si>
  <si>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</si>
  <si>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</si>
  <si>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</si>
  <si>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</si>
  <si>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</si>
  <si>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</si>
  <si>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</si>
  <si>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</si>
  <si>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</si>
  <si>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</si>
  <si>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</si>
  <si>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</si>
  <si>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</si>
  <si>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</si>
  <si>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</si>
  <si>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</si>
  <si>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</si>
  <si>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</si>
  <si>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</si>
  <si>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</si>
  <si>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</si>
  <si>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</si>
  <si>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</si>
  <si>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</si>
  <si>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</si>
  <si>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</si>
  <si>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</si>
  <si>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</si>
  <si>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</si>
  <si>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</si>
  <si>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</si>
  <si>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</si>
  <si>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</si>
  <si>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</si>
  <si>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</si>
  <si>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</si>
  <si>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</si>
  <si>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</si>
  <si>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</si>
  <si>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</si>
  <si>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</si>
  <si>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</si>
  <si>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</si>
  <si>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</si>
  <si>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</si>
  <si>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</si>
  <si>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</si>
  <si>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</si>
  <si>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</si>
  <si>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</si>
  <si>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</si>
  <si>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</si>
  <si>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</si>
  <si>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</si>
  <si>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</si>
  <si>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</si>
  <si>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</si>
  <si>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</si>
  <si>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</si>
  <si>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</si>
  <si>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</si>
  <si>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</si>
  <si>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</si>
  <si>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</si>
  <si>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</si>
  <si>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</si>
  <si>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</si>
  <si>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</si>
  <si>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</si>
  <si>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</si>
  <si>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</si>
  <si>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</si>
  <si>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</si>
  <si>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</si>
  <si>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</si>
  <si>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</si>
  <si>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</si>
  <si>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</si>
  <si>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</si>
  <si>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</si>
  <si>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</si>
  <si>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</si>
  <si>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</si>
  <si>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</si>
  <si>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</si>
  <si>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</si>
  <si>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</si>
  <si>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</si>
  <si>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</si>
  <si>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</si>
  <si>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</si>
  <si>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</si>
  <si>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</si>
  <si>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</si>
  <si>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</si>
  <si>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</si>
  <si>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</si>
  <si>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</si>
  <si>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</si>
  <si>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</si>
  <si>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</si>
  <si>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</si>
  <si>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</si>
  <si>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</si>
  <si>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</si>
  <si>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</si>
  <si>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</si>
  <si>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</si>
  <si>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</si>
  <si>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</si>
  <si>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</si>
  <si>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</si>
  <si>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</si>
  <si>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</si>
  <si>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</si>
  <si>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</si>
  <si>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</si>
  <si>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</si>
  <si>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</si>
  <si>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</si>
  <si>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</si>
  <si>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</si>
  <si>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</si>
  <si>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</si>
  <si>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</si>
  <si>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</si>
  <si>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</si>
  <si>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</si>
  <si>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</si>
  <si>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</si>
  <si>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</si>
  <si>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</si>
  <si>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</si>
  <si>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</si>
  <si>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</si>
  <si>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</si>
  <si>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</si>
  <si>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</si>
  <si>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</si>
  <si>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</si>
  <si>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</si>
  <si>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</si>
  <si>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</si>
  <si>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</si>
  <si>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</si>
  <si>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</si>
  <si>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</si>
  <si>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</si>
  <si>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</si>
  <si>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</si>
  <si>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</si>
  <si>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</si>
  <si>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</si>
  <si>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</si>
  <si>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</si>
  <si>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</si>
  <si>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</si>
  <si>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</si>
  <si>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</si>
  <si>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</si>
  <si>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</si>
  <si>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</si>
  <si>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</si>
  <si>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</si>
  <si>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</si>
  <si>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</si>
  <si>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</si>
  <si>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</si>
  <si>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</si>
  <si>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</si>
  <si>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</si>
  <si>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</si>
  <si>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</si>
  <si>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</si>
  <si>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</si>
  <si>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</si>
  <si>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</si>
  <si>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</si>
  <si>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</si>
  <si>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</si>
  <si>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</si>
  <si>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</si>
  <si>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</si>
  <si>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</si>
  <si>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</si>
  <si>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</si>
  <si>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</si>
  <si>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</si>
  <si>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</si>
  <si>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</si>
  <si>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</si>
  <si>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r>
      <rPr>
        <sz val="11"/>
        <color theme="1"/>
        <rFont val="等线"/>
        <family val="3"/>
        <charset val="134"/>
        <scheme val="minor"/>
      </rPr>
      <t>IB52</t>
    </r>
  </si>
  <si>
    <r>
      <rPr>
        <sz val="11"/>
        <color theme="1"/>
        <rFont val="等线"/>
        <family val="3"/>
        <charset val="134"/>
        <scheme val="minor"/>
      </rPr>
      <t>IB53</t>
    </r>
  </si>
  <si>
    <r>
      <rPr>
        <sz val="11"/>
        <color theme="1"/>
        <rFont val="等线"/>
        <family val="3"/>
        <charset val="134"/>
        <scheme val="minor"/>
      </rPr>
      <t>IB54</t>
    </r>
  </si>
  <si>
    <r>
      <rPr>
        <sz val="11"/>
        <color theme="1"/>
        <rFont val="等线"/>
        <family val="3"/>
        <charset val="134"/>
        <scheme val="minor"/>
      </rPr>
      <t>IB55</t>
    </r>
  </si>
  <si>
    <r>
      <rPr>
        <sz val="11"/>
        <color theme="1"/>
        <rFont val="等线"/>
        <family val="3"/>
        <charset val="134"/>
        <scheme val="minor"/>
      </rPr>
      <t>IB56</t>
    </r>
  </si>
  <si>
    <r>
      <rPr>
        <sz val="11"/>
        <color theme="1"/>
        <rFont val="等线"/>
        <family val="3"/>
        <charset val="134"/>
        <scheme val="minor"/>
      </rPr>
      <t>IB57</t>
    </r>
  </si>
  <si>
    <r>
      <rPr>
        <sz val="11"/>
        <color theme="1"/>
        <rFont val="等线"/>
        <family val="3"/>
        <charset val="134"/>
        <scheme val="minor"/>
      </rPr>
      <t>IB58</t>
    </r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</si>
  <si>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</si>
  <si>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</si>
  <si>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</si>
  <si>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</si>
  <si>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</si>
  <si>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</si>
  <si>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</si>
  <si>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</si>
  <si>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</si>
  <si>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</si>
  <si>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</si>
  <si>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</si>
  <si>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</si>
  <si>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</si>
  <si>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</si>
  <si>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</si>
  <si>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</si>
  <si>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</si>
  <si>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</si>
  <si>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</si>
  <si>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</si>
  <si>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</si>
  <si>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</si>
  <si>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</si>
  <si>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</si>
  <si>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</si>
  <si>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</si>
  <si>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</si>
  <si>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</si>
  <si>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</si>
  <si>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</si>
  <si>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</si>
  <si>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</si>
  <si>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</si>
  <si>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</si>
  <si>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</si>
  <si>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</si>
  <si>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</si>
  <si>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</si>
  <si>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</si>
  <si>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</si>
  <si>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</si>
  <si>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</si>
  <si>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</si>
  <si>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</si>
  <si>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</si>
  <si>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</si>
  <si>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</si>
  <si>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</si>
  <si>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</si>
  <si>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</si>
  <si>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</si>
  <si>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</si>
  <si>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</si>
  <si>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</si>
  <si>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</si>
  <si>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</si>
  <si>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</si>
  <si>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</si>
  <si>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</si>
  <si>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</si>
  <si>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</si>
  <si>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</si>
  <si>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</si>
  <si>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</si>
  <si>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</si>
  <si>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</si>
  <si>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</si>
  <si>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</si>
  <si>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</si>
  <si>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</si>
  <si>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</si>
  <si>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</si>
  <si>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</si>
  <si>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</si>
  <si>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</si>
  <si>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</si>
  <si>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</si>
  <si>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</si>
  <si>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</si>
  <si>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</si>
  <si>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</si>
  <si>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</si>
  <si>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</si>
  <si>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</si>
  <si>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</si>
  <si>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</si>
  <si>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</si>
  <si>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</si>
  <si>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</si>
  <si>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</si>
  <si>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</si>
  <si>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</si>
  <si>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</si>
  <si>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</si>
  <si>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</si>
  <si>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</si>
  <si>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</si>
  <si>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</si>
  <si>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</si>
  <si>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</si>
  <si>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</si>
  <si>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</si>
  <si>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</si>
  <si>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</si>
  <si>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</si>
  <si>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</si>
  <si>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</si>
  <si>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</si>
  <si>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</si>
  <si>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</si>
  <si>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</si>
  <si>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</si>
  <si>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</si>
  <si>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</si>
  <si>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</si>
  <si>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</si>
  <si>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</si>
  <si>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</si>
  <si>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</si>
  <si>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</si>
  <si>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</si>
  <si>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</si>
  <si>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</si>
  <si>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</si>
  <si>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</si>
  <si>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</si>
  <si>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</si>
  <si>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</si>
  <si>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</si>
  <si>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</si>
  <si>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</si>
  <si>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</si>
  <si>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</si>
  <si>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</si>
  <si>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</si>
  <si>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</si>
  <si>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</si>
  <si>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</si>
  <si>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</si>
  <si>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</si>
  <si>
    <t>IZ01</t>
    <phoneticPr fontId="22" type="noConversion"/>
  </si>
  <si>
    <t>IZ0A</t>
    <phoneticPr fontId="22" type="noConversion"/>
  </si>
  <si>
    <t>暂停进攻</t>
    <phoneticPr fontId="22" type="noConversion"/>
  </si>
  <si>
    <t>ReplaceableTextures\\CommandButtons\\BTNDG11.blp</t>
    <phoneticPr fontId="22" type="noConversion"/>
  </si>
  <si>
    <t>ReplaceableTextures\\CommandButtons\\BTNDG12.blp</t>
  </si>
  <si>
    <t>ReplaceableTextures\\CommandButtons\\BTNDG13.blp</t>
  </si>
  <si>
    <t>ReplaceableTextures\\CommandButtons\\BTNDG14.blp</t>
  </si>
  <si>
    <t>ReplaceableTextures\\CommandButtons\\BTNDG15.blp</t>
  </si>
  <si>
    <t>ReplaceableTextures\\CommandButtons\\BTNDG16.blp</t>
  </si>
  <si>
    <t>ReplaceableTextures\\CommandButtons\\BTNDG17.blp</t>
  </si>
  <si>
    <t>ReplaceableTextures\\CommandButtons\\BTNDG18.blp</t>
  </si>
  <si>
    <t>ReplaceableTextures\\CommandButtons\\BTNDG19.blp</t>
  </si>
  <si>
    <t>ReplaceableTextures\\CommandButtons\\BTNDG20.blp</t>
  </si>
  <si>
    <t>ReplaceableTextures\\CommandButtons\\BTNDG01.blp</t>
    <phoneticPr fontId="22" type="noConversion"/>
  </si>
  <si>
    <t>ReplaceableTextures\\CommandButtons\\BTNDG02.blp</t>
  </si>
  <si>
    <t>ReplaceableTextures\\CommandButtons\\BTNDG03.blp</t>
  </si>
  <si>
    <t>ReplaceableTextures\\CommandButtons\\BTNDG04.blp</t>
  </si>
  <si>
    <t>ReplaceableTextures\\CommandButtons\\BTNDG05.blp</t>
  </si>
  <si>
    <t>ReplaceableTextures\\CommandButtons\\BTNDG06.blp</t>
  </si>
  <si>
    <t>ReplaceableTextures\\CommandButtons\\BTNDG07.blp</t>
  </si>
  <si>
    <t>ReplaceableTextures\\CommandButtons\\BTNDG08.blp</t>
  </si>
  <si>
    <t>ReplaceableTextures\\CommandButtons\\BTNDG09.blp</t>
  </si>
  <si>
    <t>ReplaceableTextures\\CommandButtons\\BTNDG10.blp</t>
  </si>
  <si>
    <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  <scheme val="minor"/>
      </rPr>
      <t>+3|n</t>
    </r>
    <r>
      <rPr>
        <sz val="11"/>
        <color theme="1"/>
        <rFont val="等线"/>
        <charset val="134"/>
        <scheme val="minor"/>
      </rPr>
      <t>杀敌攻击</t>
    </r>
    <r>
      <rPr>
        <sz val="11"/>
        <color theme="1"/>
        <rFont val="等线"/>
        <family val="3"/>
        <charset val="134"/>
        <scheme val="minor"/>
      </rPr>
      <t>+1|n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|n|n|r|cff99ccff公众号内回复《|r|cff33ff00全新封神|r|cff99ccff》查看专属礼包码！|r</t>
    </r>
    <phoneticPr fontId="22" type="noConversion"/>
  </si>
  <si>
    <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  <scheme val="minor"/>
      </rPr>
      <t>每秒攻击</t>
    </r>
    <r>
      <rPr>
        <sz val="11"/>
        <color theme="1"/>
        <rFont val="等线"/>
        <family val="3"/>
        <charset val="134"/>
        <scheme val="minor"/>
      </rPr>
      <t>+2|n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</si>
  <si>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r>
      <rPr>
        <sz val="11"/>
        <color theme="1"/>
        <rFont val="等线"/>
        <family val="3"/>
        <charset val="134"/>
        <scheme val="minor"/>
      </rPr>
      <t>|cff99ccff</t>
    </r>
    <r>
      <rPr>
        <sz val="11"/>
        <color theme="1"/>
        <rFont val="等线"/>
        <charset val="134"/>
        <scheme val="minor"/>
      </rPr>
      <t>给与地图有效评论建议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>即可领取：</t>
    </r>
    <r>
      <rPr>
        <sz val="11"/>
        <color theme="1"/>
        <rFont val="等线"/>
        <family val="3"/>
        <charset val="134"/>
        <scheme val="minor"/>
      </rPr>
      <t>|n|cffffff00</t>
    </r>
    <r>
      <rPr>
        <sz val="11"/>
        <color theme="1"/>
        <rFont val="等线"/>
        <charset val="134"/>
        <scheme val="minor"/>
      </rPr>
      <t>杀敌生命</t>
    </r>
    <r>
      <rPr>
        <sz val="11"/>
        <color theme="1"/>
        <rFont val="等线"/>
        <family val="3"/>
        <charset val="134"/>
        <scheme val="minor"/>
      </rPr>
      <t>+5|n</t>
    </r>
    <r>
      <rPr>
        <sz val="11"/>
        <color theme="1"/>
        <rFont val="等线"/>
        <charset val="134"/>
        <scheme val="minor"/>
      </rPr>
      <t>杀敌业力</t>
    </r>
    <r>
      <rPr>
        <sz val="11"/>
        <color theme="1"/>
        <rFont val="等线"/>
        <family val="3"/>
        <charset val="134"/>
        <scheme val="minor"/>
      </rPr>
      <t>+1|n|r|cffffcc33</t>
    </r>
    <r>
      <rPr>
        <sz val="11"/>
        <color theme="1"/>
        <rFont val="等线"/>
        <charset val="134"/>
        <scheme val="minor"/>
      </rPr>
      <t>每级通行证永久增加</t>
    </r>
    <r>
      <rPr>
        <sz val="11"/>
        <color theme="1"/>
        <rFont val="等线"/>
        <family val="3"/>
        <charset val="134"/>
        <scheme val="minor"/>
      </rPr>
      <t>3点杀敌生命</t>
    </r>
    <r>
      <rPr>
        <sz val="11"/>
        <color theme="1"/>
        <rFont val="等线"/>
        <charset val="134"/>
        <scheme val="minor"/>
      </rPr>
      <t>奖励！</t>
    </r>
    <r>
      <rPr>
        <sz val="11"/>
        <color theme="1"/>
        <rFont val="等线"/>
        <family val="3"/>
        <charset val="134"/>
        <scheme val="minor"/>
      </rPr>
      <t>|n|n|r|cff808080</t>
    </r>
    <r>
      <rPr>
        <sz val="11"/>
        <color theme="1"/>
        <rFont val="等线"/>
        <charset val="134"/>
        <scheme val="minor"/>
      </rPr>
      <t>地图等级达到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级可领取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/>
    </r>
    <phoneticPr fontId="22" type="noConversion"/>
  </si>
  <si>
    <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|n法术伤害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</si>
  <si>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t>|cff33ff00购买魔兽重制版可领取该礼包！|n|n|r属性：|n|cffffcc33高级聚宝盆|r</t>
  </si>
  <si>
    <t>|cff33ff00购买魔兽重制版可领取该礼包！|n|n|r属性：|n|cffffcc33高级聚宝盆|r</t>
    <phoneticPr fontId="22" type="noConversion"/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</si>
  <si>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</si>
  <si>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  <phoneticPr fontId="22" type="noConversion"/>
  </si>
  <si>
    <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杀敌业力+2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被动触发概率+2%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技能冷却-10%</t>
    </r>
    <phoneticPr fontId="22" type="noConversion"/>
  </si>
  <si>
    <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|n|n|r|cff99ccff游戏中输入《|r|cff33ff00魔芝RPG|r|cff99ccff》领取本礼包！|r</t>
    </r>
    <phoneticPr fontId="22" type="noConversion"/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</si>
  <si>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</si>
  <si>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加入《|cff00ffcc全民封神|r》官方QQ群，即可获得入群礼包码！|n|n输入礼包码即可获得：|n|cffffcc33金币+2000|n每秒攻击+2|n每秒业力+1|r</t>
  </si>
  <si>
    <t>|cff99ccff给与地图有效评论建议|r即可领取：|n|cffffff00杀敌生命+5|n杀敌业力+1|n|r|cffffcc33每级通行证永久增加3点杀敌生命奖励！|n|n|r|cff808080地图等级达到3级可领取|r</t>
  </si>
  <si>
    <t>|cff99ccff房间大厅界面点击右上角《|r|cffcc99ff收藏|r|cff99ccff》后可领取该礼包。|n|n|r属性：|n|cffffcc33物理伤害+5%|n法术伤害+5%|r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</si>
  <si>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</si>
  <si>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</si>
  <si>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升1级时间</t>
    <phoneticPr fontId="22" type="noConversion"/>
  </si>
  <si>
    <t>升8级时间</t>
    <phoneticPr fontId="22" type="noConversion"/>
  </si>
  <si>
    <t>杀敌金币</t>
    <phoneticPr fontId="22" type="noConversion"/>
  </si>
  <si>
    <t>每秒金币</t>
    <phoneticPr fontId="22" type="noConversion"/>
  </si>
  <si>
    <t>梯度增加</t>
    <phoneticPr fontId="22" type="noConversion"/>
  </si>
  <si>
    <t>波数</t>
    <phoneticPr fontId="22" type="noConversion"/>
  </si>
  <si>
    <t>金币奖励</t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</si>
  <si>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1总计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</si>
  <si>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2总计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</si>
  <si>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3总计</t>
    </r>
    <phoneticPr fontId="22" type="noConversion"/>
  </si>
  <si>
    <t>抽取神兽概率</t>
    <phoneticPr fontId="22" type="noConversion"/>
  </si>
  <si>
    <t>抽取次数</t>
    <phoneticPr fontId="22" type="noConversion"/>
  </si>
  <si>
    <t>中奖概率</t>
    <phoneticPr fontId="22" type="noConversion"/>
  </si>
  <si>
    <t>期望消耗</t>
    <phoneticPr fontId="22" type="noConversion"/>
  </si>
  <si>
    <t>抽奖消耗</t>
    <phoneticPr fontId="22" type="noConversion"/>
  </si>
  <si>
    <t>金币</t>
    <phoneticPr fontId="22" type="noConversion"/>
  </si>
  <si>
    <t>杀敌数</t>
    <phoneticPr fontId="22" type="noConversion"/>
  </si>
  <si>
    <t>木材</t>
    <phoneticPr fontId="22" type="noConversion"/>
  </si>
  <si>
    <t>合计</t>
    <phoneticPr fontId="22" type="noConversion"/>
  </si>
  <si>
    <t>数值</t>
    <phoneticPr fontId="22" type="noConversion"/>
  </si>
  <si>
    <t>类型</t>
    <phoneticPr fontId="22" type="noConversion"/>
  </si>
  <si>
    <t>|n攻击10%概率附加|cffff4646业力*1|r魔法伤害|n|n|Cff999999装备进化：未开放|r</t>
    <phoneticPr fontId="22" type="noConversion"/>
  </si>
  <si>
    <r>
      <t>|n攻击10%</t>
    </r>
    <r>
      <rPr>
        <sz val="11"/>
        <color theme="1"/>
        <rFont val="等线"/>
        <charset val="134"/>
        <scheme val="minor"/>
      </rPr>
      <t>概率附加</t>
    </r>
    <r>
      <rPr>
        <sz val="11"/>
        <color theme="1"/>
        <rFont val="等线"/>
        <family val="3"/>
        <charset val="134"/>
        <scheme val="minor"/>
      </rPr>
      <t>|cffff4646</t>
    </r>
    <r>
      <rPr>
        <sz val="11"/>
        <color theme="1"/>
        <rFont val="等线"/>
        <charset val="134"/>
        <scheme val="minor"/>
      </rPr>
      <t>业力</t>
    </r>
    <r>
      <rPr>
        <sz val="11"/>
        <color theme="1"/>
        <rFont val="等线"/>
        <family val="3"/>
        <charset val="134"/>
        <scheme val="minor"/>
      </rPr>
      <t>*1|r</t>
    </r>
    <r>
      <rPr>
        <sz val="11"/>
        <color theme="1"/>
        <rFont val="等线"/>
        <charset val="134"/>
        <scheme val="minor"/>
      </rPr>
      <t>魔法伤害</t>
    </r>
    <r>
      <rPr>
        <sz val="11"/>
        <color theme="1"/>
        <rFont val="等线"/>
        <family val="3"/>
        <charset val="134"/>
        <scheme val="minor"/>
      </rPr>
      <t>|n</t>
    </r>
    <phoneticPr fontId="22" type="noConversion"/>
  </si>
  <si>
    <t>升级C技能</t>
    <phoneticPr fontId="22" type="noConversion"/>
  </si>
  <si>
    <t>等级</t>
    <phoneticPr fontId="22" type="noConversion"/>
  </si>
  <si>
    <t>消耗</t>
    <phoneticPr fontId="22" type="noConversion"/>
  </si>
  <si>
    <t>杀敌生命</t>
    <phoneticPr fontId="22" type="noConversion"/>
  </si>
  <si>
    <t>回血效果</t>
    <phoneticPr fontId="22" type="noConversion"/>
  </si>
  <si>
    <t>CS01</t>
    <phoneticPr fontId="22" type="noConversion"/>
  </si>
  <si>
    <t>抽取Q技能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</si>
</sst>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4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18" fillId="8" borderId="1" xfId="0" applyFont="1" applyFill="1" applyBorder="1" applyAlignment="1">
      <alignment vertical="center"/>
    </xf>
    <xf numFmtId="9" fontId="18" fillId="0" borderId="0" xfId="0" applyNumberFormat="1" applyFon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4"/>
  <sheetViews>
    <sheetView tabSelected="1" workbookViewId="0">
      <pane xSplit="8" ySplit="2" topLeftCell="I99" activePane="bottomRight" state="frozen"/>
      <selection pane="topRight"/>
      <selection pane="bottomLeft"/>
      <selection pane="bottomRight" activeCell="H123" sqref="H123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248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|Cffbbbbbb属性：|r|n攻击+1000|n|n攻击10%概率附加|cffff4646业力*1|r魔法伤害|n|n|Cff00ff7f点击消耗800金币进行强化|n成功率100%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|Cffbbbbbb属性：|r|n攻击+1000|n|n攻击10%概率附加|cffff4646业力*1|r魔法伤害|n|n|Cff00ff7f点击消耗800金币进行强化|n成功率100%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|Cffbbbbbb属性：|r|n攻击+2500|n|n攻击10%概率附加|cffff4646业力*1|r魔法伤害|n|n|Cff00ff7f点击消耗800金币进行强化|n成功率100%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|Cffbbbbbb属性：|r|n攻击+2500|n|n攻击10%概率附加|cffff4646业力*1|r魔法伤害|n|n|Cff00ff7f点击消耗800金币进行强化|n成功率100%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|Cffbbbbbb属性：|r|n攻击+4000|n|n攻击10%概率附加|cffff4646业力*1|r魔法伤害|n|n|Cff00ff7f点击消耗800金币进行强化|n成功率100%</v>
      </c>
      <c r="J5" s="114" t="str">
        <f t="shared" si="2"/>
        <v>[武器]古纹剑lv3</v>
      </c>
      <c r="K5" s="114" t="str">
        <f t="shared" si="3"/>
        <v>|Cffbbbbbb属性：|r|n攻击+4000|n|n攻击10%概率附加|cffff4646业力*1|r魔法伤害|n|n|Cff00ff7f点击消耗800金币进行强化|n成功率100%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|Cffbbbbbb属性：|r|n攻击+6000|n|n攻击10%概率附加|cffff4646业力*1|r魔法伤害|n|n|Cff00ff7f点击消耗800金币进行强化|n成功率100%</v>
      </c>
      <c r="J6" s="114" t="str">
        <f t="shared" si="2"/>
        <v>[武器]古纹剑lv4</v>
      </c>
      <c r="K6" s="114" t="str">
        <f t="shared" si="3"/>
        <v>|Cffbbbbbb属性：|r|n攻击+6000|n|n攻击10%概率附加|cffff4646业力*1|r魔法伤害|n|n|Cff00ff7f点击消耗800金币进行强化|n成功率100%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|Cffbbbbbb属性：|r|n攻击+8000|n|n攻击10%概率附加|cffff4646业力*1|r魔法伤害|n|n|Cff00ff7f点击消耗2500金币进行晋阶挑战</v>
      </c>
      <c r="J7" s="114" t="str">
        <f t="shared" si="2"/>
        <v>[武器]古纹剑lv5</v>
      </c>
      <c r="K7" s="114" t="str">
        <f t="shared" si="3"/>
        <v>|Cffbbbbbb属性：|r|n攻击+8000|n|n攻击10%概率附加|cffff4646业力*1|r魔法伤害|n|n|Cff00ff7f点击消耗2500金币进行晋阶挑战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|Cffbbbbbb属性：|r|n攻击+12000|n业力+4000|n暴击+5%|n暴伤+100%|n伤害吸取+1%|n|n攻击10%概率附加|cffff4646业力*1|r魔法伤害|n|n|Cff00ff7f点击消耗2500金币进行强化|n成功率85%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|Cffbbbbbb属性：|r|n攻击+16000|n暴击+5%|n暴伤+100%|n伤害吸取+1%|n|n攻击10%概率附加|cffff4646业力*1|r魔法伤害|n|n|Cff00ff7f点击消耗2500金币进行强化|n成功率85%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|Cffbbbbbb属性：|r|n攻击+20000|n暴击+5%|n暴伤+100%|n伤害吸取+2%|n|n攻击10%概率附加|cffff4646业力*1|r魔法伤害|n|n|Cff00ff7f点击消耗2500金币进行强化|n成功率85%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|Cffbbbbbb属性：|r|n攻击+24000|n暴击+5%|n暴伤+100%|n伤害吸取+2%|n|n攻击10%概率附加|cffff4646业力*1|r魔法伤害|n|n|Cff00ff7f点击消耗2500金币进行强化|n成功率85%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|Cffbbbbbb属性：|r|n攻击+28000|n暴击+5%|n暴伤+100%|n伤害吸取+2%|n|n攻击10%概率附加|cffff4646业力*1|r魔法伤害|n|n|Cff00ff7f点击消耗10000金币进行晋阶挑战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|Cffbbbbbb属性：|r|n攻击+28000|n暴击+5%|n暴伤+100%|n伤害吸取+2%|n|n攻击10%概率附加|cffff4646业力*1|r魔法伤害|n|n|Cff00ff7f点击消耗10000金币进行晋阶挑战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|Cffbbbbbb属性：|r|n攻击+60000|n业力+32000|n暴击+6%|n暴伤+200%|n伤害吸取+3%|n|n攻击10%概率附加|cffff4646业力*1|r魔法伤害|n|n|Cff00ff7f点击消耗8000金币进行强化|n成功率70%</v>
      </c>
      <c r="J13" s="114" t="str">
        <f t="shared" si="4"/>
        <v>|Cff00BFFF[武器]太阿剑lv1|r</v>
      </c>
      <c r="K13" s="114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|Cffbbbbbb属性：|r|n攻击+80000|n暴击+6%|n暴伤+200%|n伤害吸取+3%|n|n攻击10%概率附加|cffff4646业力*1|r魔法伤害|n|n|Cff00ff7f点击消耗8000金币进行强化|n成功率70%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|Cffbbbbbb属性：|r|n攻击+100000|n暴击+6%|n暴伤+200%|n伤害吸取+3%|n|n攻击10%概率附加|cffff4646业力*1|r魔法伤害|n|n|Cff00ff7f点击消耗8000金币进行强化|n成功率70%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|Cffbbbbbb属性：|r|n攻击+120000|n暴击+6%|n暴伤+200%|n伤害吸取+3%|n|n攻击10%概率附加|cffff4646业力*1|r魔法伤害|n|n|Cff00ff7f点击消耗8000金币进行强化|n成功率70%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|Cffbbbbbb属性：|r|n攻击+140000|n暴击+6%|n暴伤+200%|n伤害吸取+3%|n|n攻击10%概率附加|cffff4646业力*1|r魔法伤害|n|n|Cff00ff7f点击消耗30000金币进行晋阶挑战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|Cffbbbbbb属性：|r|n攻击+140000|n暴击+6%|n暴伤+200%|n伤害吸取+3%|n|n攻击10%概率附加|cffff4646业力*1|r魔法伤害|n|n|Cff00ff7f点击消耗30000金币进行晋阶挑战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14" t="str">
        <f t="shared" si="4"/>
        <v>|CffFFC926[武器]轩辕剑lv1|r</v>
      </c>
      <c r="K18" s="114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|Cffbbbbbb属性：|r|n攻击+350000|n暴击+7%|n暴伤+300%|n伤害吸取+4%|n|n攻击10%概率附加|cffff4646业力*1|r魔法伤害|n|n|Cff00ff7f点击消耗20000金币进行强化|n成功率60%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|Cffbbbbbb属性：|r|n攻击+400000|n暴击+7%|n暴伤+300%|n伤害吸取+4%|n|n攻击10%概率附加|cffff4646业力*1|r魔法伤害|n|n|Cff00ff7f点击消耗20000金币进行强化|n成功率60%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|Cffbbbbbb属性：|r|n攻击+450000|n暴击+7%|n暴伤+300%|n伤害吸取+4%|n|n攻击10%概率附加|cffff4646业力*1|r魔法伤害|n|n|Cff00ff7f点击消耗20000金币进行强化|n成功率60%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|Cffbbbbbb属性：|r|n攻击+550000|n暴击+7%|n暴伤+300%|n伤害吸取+4%|n|n攻击10%概率附加|cffff4646业力*1|r魔法伤害|n|n|Cff00ff7f点击消耗35000金币进行晋阶挑战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|Cffbbbbbb属性：|r|n攻击+550000|n暴击+7%|n暴伤+300%|n伤害吸取+4%|n|n攻击10%概率附加|cffff4646业力*1|r魔法伤害|n|n|Cff00ff7f点击消耗35000金币进行晋阶挑战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|Cffbbbbbb属性：|r|n攻击+1000000|n暴击+8%|n暴伤+400%|n伤害吸取+5%|n|n攻击10%概率附加|cffff4646业力*1|r魔法伤害|n|n|Cff00ff7f点击消耗35000金币进行强化|n成功率50%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|Cffbbbbbb属性：|r|n攻击+1200000|n暴击+8%|n暴伤+400%|n伤害吸取+5%|n|n攻击10%概率附加|cffff4646业力*1|r魔法伤害|n|n|Cff00ff7f点击消耗35000金币进行强化|n成功率50%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|Cffbbbbbb属性：|r|n攻击+1400000|n暴击+8%|n暴伤+400%|n伤害吸取+5%|n|n攻击10%概率附加|cffff4646业力*1|r魔法伤害|n|n|Cff00ff7f点击消耗35000金币进行强化|n成功率50%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|Cffbbbbbb属性：|r|n攻击+1600000|n暴击+8%|n暴伤+400%|n伤害吸取+5%|n|n攻击10%概率附加|cffff4646业力*1|r魔法伤害|n|n|Cff999999装备进化：未开放|r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|Cffbbbbbb属性：|r|n攻击+1600000|n暴击+8%|n暴伤+400%|n伤害吸取+5%|n|n攻击10%概率附加|cffff4646业力*1|r魔法伤害|n|n|Cff999999装备进化：未开放|r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|Cffbbbbbb属性：|r|n护甲+30|n生命值+750|n生命回复+15|n|n|Cff00ff7f点击消耗800金币进行强化|n成功率100%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|Cffbbbbbb属性：|r|n护甲+30|n生命值+750|n生命回复+15|n|n|Cff00ff7f点击消耗800金币进行强化|n成功率100%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|Cffbbbbbb属性：|r|n护甲+60|n生命值+1500|n生命回复+30|n|n|Cff00ff7f点击消耗800金币进行强化|n成功率100%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|Cffbbbbbb属性：|r|n护甲+60|n生命值+1500|n生命回复+30|n|n|Cff00ff7f点击消耗800金币进行强化|n成功率100%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|Cffbbbbbb属性：|r|n护甲+90|n生命值+2250|n生命回复+45|n|n|Cff00ff7f点击消耗800金币进行强化|n成功率100%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|Cffbbbbbb属性：|r|n护甲+90|n生命值+2250|n生命回复+45|n|n|Cff00ff7f点击消耗800金币进行强化|n成功率100%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|Cffbbbbbb属性：|r|n护甲+120|n生命值+3750|n生命回复+75|n|n|Cff00ff7f点击消耗800金币进行强化|n成功率100%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|Cffbbbbbb属性：|r|n护甲+120|n生命值+3750|n生命回复+75|n|n|Cff00ff7f点击消耗800金币进行强化|n成功率100%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|Cffbbbbbb属性：|r|n护甲+150|n生命值+5250|n生命回复+105|n|n|Cff00ff7f点击消耗2500金币进行晋阶挑战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|Cffbbbbbb属性：|r|n护甲+150|n生命值+5250|n生命回复+105|n|n|Cff00ff7f点击消耗2500金币进行晋阶挑战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|Cffbbbbbb属性：|r|n护甲+200|n生命值+7500|n生命回复+150|n生命恢复%+1|n|n|Cff00ff7f点击消耗2500金币进行强化|n成功率85%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|Cffbbbbbb属性：|r|n护甲+200|n生命值+7500|n生命回复+150|n生命恢复%+1|n|n|Cff00ff7f点击消耗2500金币进行强化|n成功率85%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|Cffbbbbbb属性：|r|n护甲+260|n生命值+12000|n生命回复+240|n生命恢复%+1|n|n|Cff00ff7f点击消耗2500金币进行强化|n成功率85%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|Cffbbbbbb属性：|r|n护甲+260|n生命值+12000|n生命回复+240|n生命恢复%+1|n|n|Cff00ff7f点击消耗2500金币进行强化|n成功率85%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|Cffbbbbbb属性：|r|n护甲+320|n生命值+16500|n生命回复+330|n生命恢复%+1|n|n|Cff00ff7f点击消耗2500金币进行强化|n成功率85%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|Cffbbbbbb属性：|r|n护甲+320|n生命值+16500|n生命回复+330|n生命恢复%+1|n|n|Cff00ff7f点击消耗2500金币进行强化|n成功率85%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|Cffbbbbbb属性：|r|n护甲+380|n生命值+21000|n生命回复+420|n生命恢复%+1|n|n|Cff00ff7f点击消耗2500金币进行强化|n成功率85%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|Cffbbbbbb属性：|r|n护甲+380|n生命值+21000|n生命回复+420|n生命恢复%+1|n|n|Cff00ff7f点击消耗2500金币进行强化|n成功率85%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|Cffbbbbbb属性：|r|n护甲+440|n生命值+25500|n生命回复+510|n生命恢复%+1|n|n|Cff00ff7f点击消耗10000金币进行晋阶挑战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|Cffbbbbbb属性：|r|n护甲+440|n生命值+25500|n生命回复+510|n生命恢复%+1|n|n|Cff00ff7f点击消耗10000金币进行晋阶挑战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|Cffbbbbbb属性：|r|n护甲+500|n生命值+37500|n生命回复+750|n生命恢复%+1|n|n|Cff00ff7f点击消耗8000金币进行强化|n成功率70%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|Cffbbbbbb属性：|r|n护甲+500|n生命值+37500|n生命回复+750|n生命恢复%+1|n|n|Cff00ff7f点击消耗8000金币进行强化|n成功率70%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|Cffbbbbbb属性：|r|n护甲+580|n生命值+52500|n生命回复+1050|n生命恢复%+1|n|n|Cff00ff7f点击消耗8000金币进行强化|n成功率70%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|Cffbbbbbb属性：|r|n护甲+580|n生命值+52500|n生命回复+1050|n生命恢复%+1|n|n|Cff00ff7f点击消耗8000金币进行强化|n成功率70%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|Cffbbbbbb属性：|r|n护甲+660|n生命值+67500|n生命回复+1350|n生命恢复%+1|n|n|Cff00ff7f点击消耗8000金币进行强化|n成功率70%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|Cffbbbbbb属性：|r|n护甲+660|n生命值+67500|n生命回复+1350|n生命恢复%+1|n|n|Cff00ff7f点击消耗8000金币进行强化|n成功率70%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|Cffbbbbbb属性：|r|n护甲+740|n生命值+82500|n生命回复+1650|n生命恢复%+1|n|n|Cff00ff7f点击消耗8000金币进行强化|n成功率70%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|Cffbbbbbb属性：|r|n护甲+740|n生命值+82500|n生命回复+1650|n生命恢复%+1|n|n|Cff00ff7f点击消耗8000金币进行强化|n成功率70%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|Cffbbbbbb属性：|r|n护甲+820|n生命值+97500|n生命回复+1950|n生命恢复%+1|n|n|Cff00ff7f点击消耗30000金币进行晋阶挑战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|Cffbbbbbb属性：|r|n护甲+820|n生命值+97500|n生命回复+1950|n生命恢复%+1|n|n|Cff00ff7f点击消耗30000金币进行晋阶挑战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|Cffbbbbbb属性：|r|n护甲+1000|n生命值+150000|n生命回复+3000|n生命恢复%+2|n|n|Cff00ff7f点击消耗20000金币进行强化|n成功率60%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|Cffbbbbbb属性：|r|n护甲+1000|n生命值+150000|n生命回复+3000|n生命恢复%+2|n|n|Cff00ff7f点击消耗20000金币进行强化|n成功率60%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|Cffbbbbbb属性：|r|n护甲+1100|n生命值+225000|n生命回复+4500|n生命恢复%+2|n|n|Cff00ff7f点击消耗20000金币进行强化|n成功率60%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|Cffbbbbbb属性：|r|n护甲+1100|n生命值+225000|n生命回复+4500|n生命恢复%+2|n|n|Cff00ff7f点击消耗20000金币进行强化|n成功率60%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|Cffbbbbbb属性：|r|n护甲+1200|n生命值+300000|n生命回复+6000|n生命恢复%+2|n|n|Cff00ff7f点击消耗20000金币进行强化|n成功率60%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|Cffbbbbbb属性：|r|n护甲+1200|n生命值+300000|n生命回复+6000|n生命恢复%+2|n|n|Cff00ff7f点击消耗20000金币进行强化|n成功率60%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|Cffbbbbbb属性：|r|n护甲+1300|n生命值+375000|n生命回复+7500|n生命恢复%+2|n|n|Cff00ff7f点击消耗20000金币进行强化|n成功率60%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|Cffbbbbbb属性：|r|n护甲+1300|n生命值+375000|n生命回复+7500|n生命恢复%+2|n|n|Cff00ff7f点击消耗20000金币进行强化|n成功率60%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|Cffbbbbbb属性：|r|n护甲+1400|n生命值+450000|n生命回复+9000|n生命恢复%+2|n|n|Cff00ff7f点击消耗35000金币进行晋阶挑战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|Cffbbbbbb属性：|r|n护甲+1400|n生命值+450000|n生命回复+9000|n生命恢复%+2|n|n|Cff00ff7f点击消耗35000金币进行晋阶挑战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|Cffbbbbbb属性：|r|n护甲+2000|n生命值+750000|n生命回复+15000|n生命恢复%+3|n|n|Cff00ff7f点击消耗35000金币进行强化|n成功率50%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|Cffbbbbbb属性：|r|n护甲+2000|n生命值+750000|n生命回复+15000|n生命恢复%+3|n|n|Cff00ff7f点击消耗35000金币进行强化|n成功率50%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|Cffbbbbbb属性：|r|n护甲+2200|n生命值+1200000|n生命回复+24000|n生命恢复%+3|n|n|Cff00ff7f点击消耗35000金币进行强化|n成功率50%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|Cffbbbbbb属性：|r|n护甲+2200|n生命值+1200000|n生命回复+24000|n生命恢复%+3|n|n|Cff00ff7f点击消耗35000金币进行强化|n成功率50%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|Cffbbbbbb属性：|r|n护甲+2400|n生命值+1650000|n生命回复+33000|n生命恢复%+3|n|n|Cff00ff7f点击消耗35000金币进行强化|n成功率50%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|Cffbbbbbb属性：|r|n护甲+2400|n生命值+1650000|n生命回复+33000|n生命恢复%+3|n|n|Cff00ff7f点击消耗35000金币进行强化|n成功率50%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|Cffbbbbbb属性：|r|n护甲+2600|n生命值+2100000|n生命回复+42000|n生命恢复%+3|n|n|Cff00ff7f点击消耗35000金币进行强化|n成功率50%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|Cffbbbbbb属性：|r|n护甲+2600|n生命值+2100000|n生命回复+42000|n生命恢复%+3|n|n|Cff00ff7f点击消耗35000金币进行强化|n成功率50%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8" si="20">H83</f>
        <v>|Cff00BFFF地级道果|r</v>
      </c>
      <c r="K83" s="114" t="str">
        <f t="shared" ref="K83:K108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ReplaceableTextures\\CommandButtons\\BTNDG11.blp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ReplaceableTextures\\CommandButtons\\BTNDG12.blp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ReplaceableTextures\\CommandButtons\\BTNDG13.blp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ReplaceableTextures\\CommandButtons\\BTNDG14.blp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ReplaceableTextures\\CommandButtons\\BTNDG15.blp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ReplaceableTextures\\CommandButtons\\BTNDG16.blp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ReplaceableTextures\\CommandButtons\\BTNDG17.blp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ReplaceableTextures\\CommandButtons\\BTNDG18.blp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ReplaceableTextures\\CommandButtons\\BTNDG19.blp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ReplaceableTextures\\CommandButtons\\BTNDG20.blp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ReplaceableTextures\\CommandButtons\\BTNDG01.blp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ReplaceableTextures\\CommandButtons\\BTNDG02.blp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ReplaceableTextures\\CommandButtons\\BTNDG03.blp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ReplaceableTextures\\CommandButtons\\BTNDG04.blp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ReplaceableTextures\\CommandButtons\\BTNDG05.blp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ReplaceableTextures\\CommandButtons\\BTNDG06.blp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ReplaceableTextures\\CommandButtons\\BTNDG07.blp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ReplaceableTextures\\CommandButtons\\BTNDG08.blp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ReplaceableTextures\\CommandButtons\\BTNDG09.blp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ReplaceableTextures\\CommandButtons\\BTNDG10.blp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CS01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抽取Q技能</v>
      </c>
      <c r="I108" s="7" t="str">
        <f>VLOOKUP(B108,装备!B:CV,99,FALSE)</f>
        <v>抽取Q技能</v>
      </c>
      <c r="J108" s="114" t="str">
        <f t="shared" si="20"/>
        <v>抽取Q技能</v>
      </c>
      <c r="K108" s="114" t="str">
        <f t="shared" si="21"/>
        <v>抽取Q技能</v>
      </c>
      <c r="L108" s="7"/>
      <c r="M108" s="115" t="str">
        <f>VLOOKUP(LEFT(RIGHT(B108,5),4),装备!B:CU,20,FALSE)</f>
        <v>ReplaceableTextures\\CommandButtons\\BTN001.blp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CS21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升品质</v>
      </c>
      <c r="I109" s="7" t="str">
        <f>VLOOKUP(B109,装备!B:CV,99,FALSE)</f>
        <v>升品质</v>
      </c>
      <c r="J109" s="114" t="str">
        <f t="shared" ref="J109:J110" si="26">H109</f>
        <v>升品质</v>
      </c>
      <c r="K109" s="114" t="str">
        <f t="shared" ref="K109:K110" si="27">I109</f>
        <v>升品质</v>
      </c>
      <c r="L109" s="7"/>
      <c r="M109" s="115" t="str">
        <f>VLOOKUP(LEFT(RIGHT(B109,5),4),装备!B:CU,20,FALSE)</f>
        <v>ReplaceableTextures\\CommandButtons\\BTN008.blp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1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CS22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升S品质</v>
      </c>
      <c r="I110" s="7" t="str">
        <f>VLOOKUP(B110,装备!B:CV,99,FALSE)</f>
        <v>升S品质</v>
      </c>
      <c r="J110" s="114" t="str">
        <f t="shared" si="26"/>
        <v>升S品质</v>
      </c>
      <c r="K110" s="114" t="str">
        <f t="shared" si="27"/>
        <v>升S品质</v>
      </c>
      <c r="L110" s="7"/>
      <c r="M110" s="115" t="str">
        <f>VLOOKUP(LEFT(RIGHT(B110,5),4),装备!B:CU,20,FALSE)</f>
        <v>ReplaceableTextures\\CommandButtons\\BTN012.blp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CS23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劣质升品质</v>
      </c>
      <c r="I111" s="7" t="str">
        <f>VLOOKUP(B111,装备!B:CV,99,FALSE)</f>
        <v>劣质升品质</v>
      </c>
      <c r="J111" s="114" t="str">
        <f t="shared" ref="J111" si="28">H111</f>
        <v>劣质升品质</v>
      </c>
      <c r="K111" s="114" t="str">
        <f t="shared" ref="K111" si="29">I111</f>
        <v>劣质升品质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>
      <c r="A112" s="112"/>
      <c r="B112" s="7" t="str">
        <f>装备!B112</f>
        <v>CS24</v>
      </c>
      <c r="C112" s="7" t="s">
        <v>41</v>
      </c>
      <c r="D112" s="7" t="s">
        <v>81</v>
      </c>
      <c r="E112" s="7" t="s">
        <v>82</v>
      </c>
      <c r="F112" s="7"/>
      <c r="G112" s="7"/>
      <c r="H112" s="7" t="str">
        <f>VLOOKUP(LEFT(RIGHT(B112,5),4),装备!B:CU,2,FALSE)</f>
        <v>劣质升S品质</v>
      </c>
      <c r="I112" s="7" t="str">
        <f>VLOOKUP(B112,装备!B:CV,99,FALSE)</f>
        <v>劣质升S品质</v>
      </c>
      <c r="J112" s="114" t="str">
        <f t="shared" ref="J112" si="30">H112</f>
        <v>劣质升S品质</v>
      </c>
      <c r="K112" s="114" t="str">
        <f t="shared" ref="K112" si="31">I112</f>
        <v>劣质升S品质</v>
      </c>
      <c r="L112" s="7"/>
      <c r="M112" s="115" t="str">
        <f>VLOOKUP(LEFT(RIGHT(B112,5),4),装备!B:CU,20,FALSE)</f>
        <v>ReplaceableTextures\\CommandButtons\\BTN008.blp</v>
      </c>
      <c r="N112" s="132" t="s">
        <v>83</v>
      </c>
      <c r="O112" s="115" t="s">
        <v>88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89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/>
      <c r="AJ112" s="7"/>
      <c r="AK112" s="7">
        <v>0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 ht="15" customHeight="1">
      <c r="A113" s="112"/>
      <c r="B113" s="7" t="str">
        <f>装备!B113</f>
        <v>CF01</v>
      </c>
      <c r="C113" s="7" t="s">
        <v>41</v>
      </c>
      <c r="D113" s="7" t="s">
        <v>81</v>
      </c>
      <c r="E113" s="7"/>
      <c r="F113" s="7"/>
      <c r="G113" s="7"/>
      <c r="H113" s="7" t="str">
        <f>VLOOKUP(LEFT(RIGHT(B113,5),4),装备!B:CU,2,FALSE)</f>
        <v>随机法宝</v>
      </c>
      <c r="I113" s="7" t="str">
        <f>VLOOKUP(B113,装备!B:CV,99,FALSE)</f>
        <v>获得一个随机品质的法宝。|n|n|Cff00ff7f副本难度影响法宝品质稀有度。|r</v>
      </c>
      <c r="J113" s="114" t="str">
        <f t="shared" ref="J113" si="32">H113</f>
        <v>随机法宝</v>
      </c>
      <c r="K113" s="114" t="str">
        <f t="shared" ref="K113" si="33">I113</f>
        <v>获得一个随机品质的法宝。|n|n|Cff00ff7f副本难度影响法宝品质稀有度。|r</v>
      </c>
      <c r="L113" s="7"/>
      <c r="M113" s="115" t="str">
        <f>VLOOKUP(LEFT(RIGHT(B113,5),4),装备!B:CU,20,FALSE)</f>
        <v>ReplaceableTextures\\CommandButtons\\BTNCF01.blp</v>
      </c>
      <c r="N113" s="132" t="s">
        <v>83</v>
      </c>
      <c r="O113" s="115" t="s">
        <v>90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87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>
        <v>1</v>
      </c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I001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蛋黄月饼</v>
      </c>
      <c r="I114" s="7" t="str">
        <f>VLOOKUP(B114,装备!B:CV,99,FALSE)</f>
        <v>回复|Cffffd24d80%|r生命，|Cff00ff7f解除|r异常状态</v>
      </c>
      <c r="J114" s="114" t="str">
        <f t="shared" ref="J114:J117" si="34">H114</f>
        <v>蛋黄月饼</v>
      </c>
      <c r="K114" s="114" t="str">
        <f t="shared" ref="K114:K117" si="35">I114</f>
        <v>回复|Cffffd24d80%|r生命，|Cff00ff7f解除|r异常状态</v>
      </c>
      <c r="L114" s="7"/>
      <c r="M114" s="115" t="str">
        <f>VLOOKUP(LEFT(RIGHT(B114,5),4),装备!B:CU,20,FALSE)</f>
        <v>ReplaceableTextures\\CommandButtons\\BTNI001.blp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I002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豆沙月饼</v>
      </c>
      <c r="I115" s="7" t="str">
        <f>VLOOKUP(B115,装备!B:CV,99,FALSE)</f>
        <v>回复|Cff00bfff70%|r蓝量</v>
      </c>
      <c r="J115" s="114" t="str">
        <f t="shared" si="34"/>
        <v>豆沙月饼</v>
      </c>
      <c r="K115" s="114" t="str">
        <f t="shared" si="35"/>
        <v>回复|Cff00bfff70%|r蓝量</v>
      </c>
      <c r="L115" s="7"/>
      <c r="M115" s="115" t="str">
        <f>VLOOKUP(LEFT(RIGHT(B115,5),4),装备!B:CU,20,FALSE)</f>
        <v>ReplaceableTextures\\CommandButtons\\BTNI002.blp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I003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冰皮月饼</v>
      </c>
      <c r="I116" s="7" t="str">
        <f>VLOOKUP(B116,装备!B:CV,99,FALSE)</f>
        <v>攻击速度|Cffff8000+60%|r，持续15秒。</v>
      </c>
      <c r="J116" s="114" t="str">
        <f t="shared" si="34"/>
        <v>冰皮月饼</v>
      </c>
      <c r="K116" s="114" t="str">
        <f t="shared" si="35"/>
        <v>攻击速度|Cffff8000+60%|r，持续15秒。</v>
      </c>
      <c r="L116" s="7"/>
      <c r="M116" s="115" t="str">
        <f>VLOOKUP(LEFT(RIGHT(B116,5),4),装备!B:CU,20,FALSE)</f>
        <v>ReplaceableTextures\\CommandButtons\\BTNI003.blp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I004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果蔬月饼</v>
      </c>
      <c r="I117" s="7" t="str">
        <f>VLOOKUP(B117,装备!B:CV,99,FALSE)</f>
        <v>法术伤害提高|Cff00bfff40%|r，持续15秒。</v>
      </c>
      <c r="J117" s="114" t="str">
        <f t="shared" si="34"/>
        <v>果蔬月饼</v>
      </c>
      <c r="K117" s="114" t="str">
        <f t="shared" si="35"/>
        <v>法术伤害提高|Cff00bfff40%|r，持续15秒。</v>
      </c>
      <c r="L117" s="7"/>
      <c r="M117" s="115" t="str">
        <f>VLOOKUP(LEFT(RIGHT(B117,5),4),装备!B:CU,20,FALSE)</f>
        <v>ReplaceableTextures\\CommandButtons\\BTNI004.blp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I005</v>
      </c>
      <c r="C118" s="7" t="s">
        <v>41</v>
      </c>
      <c r="D118" s="7" t="s">
        <v>81</v>
      </c>
      <c r="E118" s="7" t="s">
        <v>82</v>
      </c>
      <c r="F118" s="7"/>
      <c r="G118" s="7"/>
      <c r="H118" s="7" t="str">
        <f>VLOOKUP(LEFT(RIGHT(B118,5),4),装备!B:CU,2,FALSE)</f>
        <v>鲜肉月饼</v>
      </c>
      <c r="I118" s="7" t="str">
        <f>VLOOKUP(B118,装备!B:CV,99,FALSE)</f>
        <v>物理伤害提高|Cffff800040%|r，持续15秒。</v>
      </c>
      <c r="J118" s="114" t="str">
        <f t="shared" ref="J118:J119" si="36">H118</f>
        <v>鲜肉月饼</v>
      </c>
      <c r="K118" s="114" t="str">
        <f t="shared" ref="K118:K119" si="37">I118</f>
        <v>物理伤害提高|Cffff800040%|r，持续15秒。</v>
      </c>
      <c r="L118" s="7"/>
      <c r="M118" s="115" t="str">
        <f>VLOOKUP(LEFT(RIGHT(B118,5),4),装备!B:CU,20,FALSE)</f>
        <v>ReplaceableTextures\\CommandButtons\\BTNI005.blp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89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1</v>
      </c>
      <c r="AO118" s="7">
        <v>1</v>
      </c>
      <c r="AP118" s="7">
        <v>1</v>
      </c>
    </row>
    <row r="119" spans="1:42">
      <c r="A119" s="112"/>
      <c r="B119" s="7" t="str">
        <f>装备!B119</f>
        <v>I011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聚宝盆lv1</v>
      </c>
      <c r="I119" s="7" t="str">
        <f>VLOOKUP(B119,装备!B:CV,99,FALSE)</f>
        <v>击杀|Cffffd24d600|r只怪物后可获得：|n|n|Cffffd24d金币：|r|n5556|n|n|Cffffd24d攻击和法强：|r|n598~998</v>
      </c>
      <c r="J119" s="114" t="str">
        <f t="shared" si="36"/>
        <v>聚宝盆lv1</v>
      </c>
      <c r="K119" s="114" t="str">
        <f t="shared" si="37"/>
        <v>击杀|Cffffd24d600|r只怪物后可获得：|n|n|Cffffd24d金币：|r|n5556|n|n|Cffffd24d攻击和法强：|r|n598~998</v>
      </c>
      <c r="L119" s="7"/>
      <c r="M119" s="115" t="str">
        <f>VLOOKUP(LEFT(RIGHT(B119,5),4),装备!B:CU,20,FALSE)</f>
        <v>ReplaceableTextures\\CommandButtons\\BTNI011.blp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91</v>
      </c>
      <c r="X119" s="7">
        <v>0</v>
      </c>
      <c r="Y119" s="132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300</v>
      </c>
      <c r="AO119" s="7"/>
      <c r="AP119" s="7"/>
    </row>
    <row r="120" spans="1:42">
      <c r="A120" s="112"/>
      <c r="B120" s="7" t="str">
        <f>装备!B120</f>
        <v>I012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聚宝盆lv2</v>
      </c>
      <c r="I120" s="7" t="str">
        <f>VLOOKUP(B120,装备!B:CV,99,FALSE)</f>
        <v>击杀|Cffffd24d600|r只怪物后可获得：|n|n|Cffffd24d金币：|r|n30769|n|n|Cffffd24d攻击和法强：|r|n2100~3500</v>
      </c>
      <c r="J120" s="114" t="str">
        <f t="shared" ref="J120:J121" si="38">H120</f>
        <v>聚宝盆lv2</v>
      </c>
      <c r="K120" s="114" t="str">
        <f t="shared" ref="K120:K121" si="39">I120</f>
        <v>击杀|Cffffd24d600|r只怪物后可获得：|n|n|Cffffd24d金币：|r|n30769|n|n|Cffffd24d攻击和法强：|r|n2100~3500</v>
      </c>
      <c r="L120" s="7"/>
      <c r="M120" s="115" t="str">
        <f>VLOOKUP(LEFT(RIGHT(B120,5),4),装备!B:CU,20,FALSE)</f>
        <v>ReplaceableTextures\\CommandButtons\\BTNI012.blp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91</v>
      </c>
      <c r="X120" s="7">
        <v>0</v>
      </c>
      <c r="Y120" s="132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300</v>
      </c>
      <c r="AO120" s="7"/>
      <c r="AP120" s="7"/>
    </row>
    <row r="121" spans="1:42">
      <c r="A121" s="112"/>
      <c r="B121" s="7" t="str">
        <f>装备!B121</f>
        <v>I013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聚宝盆lv3</v>
      </c>
      <c r="I121" s="7" t="str">
        <f>VLOOKUP(B121,装备!B:CV,99,FALSE)</f>
        <v>击杀|Cffffd24d600|r只怪物后可获得：|n|n|Cffffd24d金币：|r|n47619 |n|n|Cffffd24d攻击和法强：|r|n6000~10000</v>
      </c>
      <c r="J121" s="114" t="str">
        <f t="shared" si="38"/>
        <v>聚宝盆lv3</v>
      </c>
      <c r="K121" s="114" t="str">
        <f t="shared" si="39"/>
        <v>击杀|Cffffd24d600|r只怪物后可获得：|n|n|Cffffd24d金币：|r|n47619 |n|n|Cffffd24d攻击和法强：|r|n6000~10000</v>
      </c>
      <c r="L121" s="7"/>
      <c r="M121" s="115" t="str">
        <f>VLOOKUP(LEFT(RIGHT(B121,5),4),装备!B:CU,20,FALSE)</f>
        <v>ReplaceableTextures\\CommandButtons\\BTNI013.blp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91</v>
      </c>
      <c r="X121" s="7">
        <v>0</v>
      </c>
      <c r="Y121" s="132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300</v>
      </c>
      <c r="AO121" s="7"/>
      <c r="AP121" s="7"/>
    </row>
    <row r="122" spans="1:42">
      <c r="A122" s="112"/>
      <c r="B122" s="7" t="str">
        <f>装备!B122</f>
        <v>I014</v>
      </c>
      <c r="C122" s="7" t="s">
        <v>41</v>
      </c>
      <c r="D122" s="7" t="s">
        <v>81</v>
      </c>
      <c r="E122" s="7"/>
      <c r="F122" s="7"/>
      <c r="G122" s="7"/>
      <c r="H122" s="7" t="str">
        <f>VLOOKUP(LEFT(RIGHT(B122,5),4),装备!B:CU,2,FALSE)</f>
        <v>聚宝盆lv4</v>
      </c>
      <c r="I122" s="7" t="str">
        <f>VLOOKUP(B122,装备!B:CV,99,FALSE)</f>
        <v>击杀|Cffffd24d600|r只怪物后可获得：|n|n|Cffffd24d金币：|r|n80952  |n|n|Cffffd24d攻击和法强：|r|n11880~19800</v>
      </c>
      <c r="J122" s="114" t="str">
        <f t="shared" ref="J122:J149" si="40">H122</f>
        <v>聚宝盆lv4</v>
      </c>
      <c r="K122" s="114" t="str">
        <f t="shared" ref="K122:K149" si="41">I122</f>
        <v>击杀|Cffffd24d600|r只怪物后可获得：|n|n|Cffffd24d金币：|r|n80952  |n|n|Cffffd24d攻击和法强：|r|n11880~19800</v>
      </c>
      <c r="L122" s="7"/>
      <c r="M122" s="115" t="str">
        <f>VLOOKUP(LEFT(RIGHT(B122,5),4),装备!B:CU,20,FALSE)</f>
        <v>ReplaceableTextures\\CommandButtons\\BTNI014.blp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91</v>
      </c>
      <c r="X122" s="7">
        <v>0</v>
      </c>
      <c r="Y122" s="132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300</v>
      </c>
      <c r="AO122" s="7"/>
      <c r="AP122" s="7"/>
    </row>
    <row r="123" spans="1:42">
      <c r="A123" s="112"/>
      <c r="B123" s="7" t="str">
        <f>装备!B123</f>
        <v>INDA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 xml:space="preserve">开启后获得|Cffffd24d42~700木头|r或|Cffffd24d随机锦囊卡|r。|n|n|Cff00ff7f掉落时激活的星宿越多，人品越好 |r     </v>
      </c>
      <c r="J123" s="114" t="str">
        <f t="shared" si="40"/>
        <v>幸运星盒</v>
      </c>
      <c r="K123" s="114" t="str">
        <f t="shared" si="41"/>
        <v xml:space="preserve">开启后获得|Cffffd24d42~700木头|r或|Cffffd24d随机锦囊卡|r。|n|n|Cff00ff7f掉落时激活的星宿越多，人品越好 |r     </v>
      </c>
      <c r="L123" s="7"/>
      <c r="M123" s="115" t="str">
        <f>VLOOKUP(LEFT(RIGHT(B123,5),4),装备!B:CU,20,FALSE)</f>
        <v>ReplaceableTextures\\CommandButtons\\BTNIND1.blp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89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</v>
      </c>
      <c r="AO123" s="7">
        <v>1</v>
      </c>
      <c r="AP123" s="7">
        <v>1</v>
      </c>
    </row>
    <row r="124" spans="1:42">
      <c r="A124" s="112"/>
      <c r="B124" s="7" t="str">
        <f>装备!B124</f>
        <v>INDB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INDC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INDD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INDE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幸运星盒</v>
      </c>
      <c r="I127" s="7" t="str">
        <f>VLOOKUP(B127,装备!B:CV,99,FALSE)</f>
        <v xml:space="preserve">开启后获得|Cffffd24d42~700木头|r或|Cffffd24d随机锦囊卡|r。|n|n|Cff00ff7f掉落时激活的星宿越多，人品越好 |r     </v>
      </c>
      <c r="J127" s="114" t="str">
        <f t="shared" si="40"/>
        <v>幸运星盒</v>
      </c>
      <c r="K127" s="114" t="str">
        <f t="shared" si="41"/>
        <v xml:space="preserve">开启后获得|Cffffd24d42~700木头|r或|Cffffd24d随机锦囊卡|r。|n|n|Cff00ff7f掉落时激活的星宿越多，人品越好 |r     </v>
      </c>
      <c r="L127" s="7"/>
      <c r="M127" s="115" t="str">
        <f>VLOOKUP(LEFT(RIGHT(B127,5),4),装备!B:CU,20,FALSE)</f>
        <v>ReplaceableTextures\\CommandButtons\\BTNIND1.blp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INDF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炽星魔盒</v>
      </c>
      <c r="I128" s="7" t="str">
        <f>VLOOKUP(B128,装备!B:CV,99,FALSE)</f>
        <v>开启后随机获得一张|Cffffd24d锦囊卡|r</v>
      </c>
      <c r="J128" s="114" t="str">
        <f t="shared" si="40"/>
        <v>炽星魔盒</v>
      </c>
      <c r="K128" s="114" t="str">
        <f t="shared" si="41"/>
        <v>开启后随机获得一张|Cffffd24d锦囊卡|r</v>
      </c>
      <c r="L128" s="7"/>
      <c r="M128" s="115" t="str">
        <f>VLOOKUP(LEFT(RIGHT(B128,5),4),装备!B:CU,20,FALSE)</f>
        <v>ReplaceableTextures\\CommandButtons\\BTNIND2.blp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INDG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幸运星盒</v>
      </c>
      <c r="I129" s="7" t="str">
        <f>VLOOKUP(B129,装备!B:CV,99,FALSE)</f>
        <v xml:space="preserve">开启后获得|Cffffd24d42~700木头|r或|Cffffd24d随机锦囊卡|r。|n|n|Cff00ff7f掉落时激活的星宿越多，人品越好 |r     </v>
      </c>
      <c r="J129" s="114" t="str">
        <f t="shared" si="40"/>
        <v>幸运星盒</v>
      </c>
      <c r="K129" s="114" t="str">
        <f t="shared" si="41"/>
        <v xml:space="preserve">开启后获得|Cffffd24d42~700木头|r或|Cffffd24d随机锦囊卡|r。|n|n|Cff00ff7f掉落时激活的星宿越多，人品越好 |r     </v>
      </c>
      <c r="L129" s="7"/>
      <c r="M129" s="115" t="str">
        <f>VLOOKUP(LEFT(RIGHT(B129,5),4),装备!B:CU,20,FALSE)</f>
        <v>ReplaceableTextures\\CommandButtons\\BTNIND1.blp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INDH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si="40"/>
        <v>幸运星盒</v>
      </c>
      <c r="K130" s="114" t="str">
        <f t="shared" si="41"/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INDI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ref="J131:J138" si="42">H131</f>
        <v>幸运星盒</v>
      </c>
      <c r="K131" s="114" t="str">
        <f t="shared" ref="K131:K138" si="43">I131</f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INDJ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si="42"/>
        <v>幸运星盒</v>
      </c>
      <c r="K132" s="114" t="str">
        <f t="shared" si="43"/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INDK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幸运星盒</v>
      </c>
      <c r="I133" s="7" t="str">
        <f>VLOOKUP(B133,装备!B:CV,99,FALSE)</f>
        <v xml:space="preserve">开启后获得|Cffffd24d42~700木头|r或|Cffffd24d随机锦囊卡|r。|n|n|Cff00ff7f掉落时激活的星宿越多，人品越好 |r     </v>
      </c>
      <c r="J133" s="114" t="str">
        <f t="shared" si="42"/>
        <v>幸运星盒</v>
      </c>
      <c r="K133" s="114" t="str">
        <f t="shared" si="43"/>
        <v xml:space="preserve">开启后获得|Cffffd24d42~700木头|r或|Cffffd24d随机锦囊卡|r。|n|n|Cff00ff7f掉落时激活的星宿越多，人品越好 |r     </v>
      </c>
      <c r="L133" s="7"/>
      <c r="M133" s="115" t="str">
        <f>VLOOKUP(LEFT(RIGHT(B133,5),4),装备!B:CU,20,FALSE)</f>
        <v>ReplaceableTextures\\CommandButtons\\BTNIND1.blp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INDL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炽星魔盒</v>
      </c>
      <c r="I134" s="7" t="str">
        <f>VLOOKUP(B134,装备!B:CV,99,FALSE)</f>
        <v>开启后随机获得一张|Cffffd24d锦囊卡|r</v>
      </c>
      <c r="J134" s="114" t="str">
        <f t="shared" si="42"/>
        <v>炽星魔盒</v>
      </c>
      <c r="K134" s="114" t="str">
        <f t="shared" si="43"/>
        <v>开启后随机获得一张|Cffffd24d锦囊卡|r</v>
      </c>
      <c r="L134" s="7"/>
      <c r="M134" s="115" t="str">
        <f>VLOOKUP(LEFT(RIGHT(B134,5),4),装备!B:CU,20,FALSE)</f>
        <v>ReplaceableTextures\\CommandButtons\\BTNIND2.blp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INDM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幸运星盒</v>
      </c>
      <c r="I135" s="7" t="str">
        <f>VLOOKUP(B135,装备!B:CV,99,FALSE)</f>
        <v xml:space="preserve">开启后获得|Cffffd24d42~700木头|r或|Cffffd24d随机锦囊卡|r。|n|n|Cff00ff7f掉落时激活的星宿越多，人品越好 |r     </v>
      </c>
      <c r="J135" s="114" t="str">
        <f t="shared" si="42"/>
        <v>幸运星盒</v>
      </c>
      <c r="K135" s="114" t="str">
        <f t="shared" si="43"/>
        <v xml:space="preserve">开启后获得|Cffffd24d42~700木头|r或|Cffffd24d随机锦囊卡|r。|n|n|Cff00ff7f掉落时激活的星宿越多，人品越好 |r     </v>
      </c>
      <c r="L135" s="7"/>
      <c r="M135" s="115" t="str">
        <f>VLOOKUP(LEFT(RIGHT(B135,5),4),装备!B:CU,20,FALSE)</f>
        <v>ReplaceableTextures\\CommandButtons\\BTNIND1.blp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INDN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2"/>
        <v>幸运星盒</v>
      </c>
      <c r="K136" s="114" t="str">
        <f t="shared" si="43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INDO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2"/>
        <v>幸运星盒</v>
      </c>
      <c r="K137" s="114" t="str">
        <f t="shared" si="43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INDP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2"/>
        <v>幸运星盒</v>
      </c>
      <c r="K138" s="114" t="str">
        <f t="shared" si="43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INDQ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幸运星盒</v>
      </c>
      <c r="I139" s="7" t="str">
        <f>VLOOKUP(B139,装备!B:CV,99,FALSE)</f>
        <v xml:space="preserve">开启后获得|Cffffd24d42~700木头|r或|Cffffd24d随机锦囊卡|r。|n|n|Cff00ff7f掉落时激活的星宿越多，人品越好 |r     </v>
      </c>
      <c r="J139" s="114" t="str">
        <f t="shared" si="40"/>
        <v>幸运星盒</v>
      </c>
      <c r="K139" s="114" t="str">
        <f t="shared" si="41"/>
        <v xml:space="preserve">开启后获得|Cffffd24d42~700木头|r或|Cffffd24d随机锦囊卡|r。|n|n|Cff00ff7f掉落时激活的星宿越多，人品越好 |r     </v>
      </c>
      <c r="L139" s="7"/>
      <c r="M139" s="115" t="str">
        <f>VLOOKUP(LEFT(RIGHT(B139,5),4),装备!B:CU,20,FALSE)</f>
        <v>ReplaceableTextures\\CommandButtons\\BTNIND1.blp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INDR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炽星魔盒</v>
      </c>
      <c r="I140" s="7" t="str">
        <f>VLOOKUP(B140,装备!B:CV,99,FALSE)</f>
        <v>开启后随机获得一张|Cffffd24d锦囊卡|r</v>
      </c>
      <c r="J140" s="114" t="str">
        <f t="shared" si="40"/>
        <v>炽星魔盒</v>
      </c>
      <c r="K140" s="114" t="str">
        <f t="shared" si="41"/>
        <v>开启后随机获得一张|Cffffd24d锦囊卡|r</v>
      </c>
      <c r="L140" s="7"/>
      <c r="M140" s="115" t="str">
        <f>VLOOKUP(LEFT(RIGHT(B140,5),4),装备!B:CU,20,FALSE)</f>
        <v>ReplaceableTextures\\CommandButtons\\BTNIND2.blp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INDS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幸运星盒</v>
      </c>
      <c r="I141" s="7" t="str">
        <f>VLOOKUP(B141,装备!B:CV,99,FALSE)</f>
        <v xml:space="preserve">开启后获得|Cffffd24d42~700木头|r或|Cffffd24d随机锦囊卡|r。|n|n|Cff00ff7f掉落时激活的星宿越多，人品越好 |r     </v>
      </c>
      <c r="J141" s="114" t="str">
        <f t="shared" ref="J141:J142" si="44">H141</f>
        <v>幸运星盒</v>
      </c>
      <c r="K141" s="114" t="str">
        <f t="shared" ref="K141:K142" si="45">I141</f>
        <v xml:space="preserve">开启后获得|Cffffd24d42~700木头|r或|Cffffd24d随机锦囊卡|r。|n|n|Cff00ff7f掉落时激活的星宿越多，人品越好 |r     </v>
      </c>
      <c r="L141" s="7"/>
      <c r="M141" s="115" t="str">
        <f>VLOOKUP(LEFT(RIGHT(B141,5),4),装备!B:CU,20,FALSE)</f>
        <v>ReplaceableTextures\\CommandButtons\\BTNIND1.blp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INDT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si="44"/>
        <v>幸运星盒</v>
      </c>
      <c r="K142" s="114" t="str">
        <f t="shared" si="45"/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INDU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ref="J143:J144" si="46">H143</f>
        <v>幸运星盒</v>
      </c>
      <c r="K143" s="114" t="str">
        <f t="shared" ref="K143:K144" si="47">I143</f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INDV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si="46"/>
        <v>幸运星盒</v>
      </c>
      <c r="K144" s="114" t="str">
        <f t="shared" si="47"/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INDW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幸运星盒</v>
      </c>
      <c r="I145" s="7" t="str">
        <f>VLOOKUP(B145,装备!B:CV,99,FALSE)</f>
        <v xml:space="preserve">开启后获得|Cffffd24d42~700木头|r或|Cffffd24d随机锦囊卡|r。|n|n|Cff00ff7f掉落时激活的星宿越多，人品越好 |r     </v>
      </c>
      <c r="J145" s="114" t="str">
        <f t="shared" si="40"/>
        <v>幸运星盒</v>
      </c>
      <c r="K145" s="114" t="str">
        <f t="shared" si="41"/>
        <v xml:space="preserve">开启后获得|Cffffd24d42~700木头|r或|Cffffd24d随机锦囊卡|r。|n|n|Cff00ff7f掉落时激活的星宿越多，人品越好 |r     </v>
      </c>
      <c r="L145" s="7"/>
      <c r="M145" s="115" t="str">
        <f>VLOOKUP(LEFT(RIGHT(B145,5),4),装备!B:CU,20,FALSE)</f>
        <v>ReplaceableTextures\\CommandButtons\\BTNIND1.blp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INDX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炽星魔盒</v>
      </c>
      <c r="I146" s="7" t="str">
        <f>VLOOKUP(B146,装备!B:CV,99,FALSE)</f>
        <v>开启后随机获得一张|Cffffd24d锦囊卡|r</v>
      </c>
      <c r="J146" s="114" t="str">
        <f t="shared" ref="J146" si="48">H146</f>
        <v>炽星魔盒</v>
      </c>
      <c r="K146" s="114" t="str">
        <f t="shared" ref="K146" si="49">I146</f>
        <v>开启后随机获得一张|Cffffd24d锦囊卡|r</v>
      </c>
      <c r="L146" s="7"/>
      <c r="M146" s="115" t="str">
        <f>VLOOKUP(LEFT(RIGHT(B146,5),4),装备!B:CU,20,FALSE)</f>
        <v>ReplaceableTextures\\CommandButtons\\BTNIND2.blp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IN00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锦囊</v>
      </c>
      <c r="I147" s="7" t="str">
        <f>VLOOKUP(B147,装备!B:CV,99,FALSE)</f>
        <v>开出一个随机锦囊</v>
      </c>
      <c r="J147" s="114" t="str">
        <f t="shared" si="40"/>
        <v>锦囊</v>
      </c>
      <c r="K147" s="114" t="str">
        <f t="shared" si="41"/>
        <v>开出一个随机锦囊</v>
      </c>
      <c r="L147" s="7"/>
      <c r="M147" s="115" t="str">
        <f>VLOOKUP(LEFT(RIGHT(B147,5),4),装备!B:CU,20,FALSE)</f>
        <v>ReplaceableTextures\\CommandButtons\\BTNIN00.blp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IN01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快乐刷Q</v>
      </c>
      <c r="I148" s="7" t="str">
        <f>VLOOKUP(B148,装备!B:CV,99,FALSE)</f>
        <v>为|Cffffd24d当前的Q技能|r附魔随机效果。|n|n|Cff00ff7f替换技能后，附魔效果消失。|r</v>
      </c>
      <c r="J148" s="114" t="str">
        <f t="shared" si="40"/>
        <v>快乐刷Q</v>
      </c>
      <c r="K148" s="114" t="str">
        <f t="shared" si="41"/>
        <v>为|Cffffd24d当前的Q技能|r附魔随机效果。|n|n|Cff00ff7f替换技能后，附魔效果消失。|r</v>
      </c>
      <c r="L148" s="7"/>
      <c r="M148" s="115" t="str">
        <f>VLOOKUP(LEFT(RIGHT(B148,5),4),装备!B:CU,20,FALSE)</f>
        <v>ReplaceableTextures\\CommandButtons\\BTNIN01.blp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IN02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快乐刷W</v>
      </c>
      <c r="I149" s="7" t="str">
        <f>VLOOKUP(B149,装备!B:CV,99,FALSE)</f>
        <v>为|Cffffd24d当前的W技能|r附魔随机效果。|n|n|Cff00ff7f替换技能后，附魔效果消失。|r</v>
      </c>
      <c r="J149" s="114" t="str">
        <f t="shared" si="40"/>
        <v>快乐刷W</v>
      </c>
      <c r="K149" s="114" t="str">
        <f t="shared" si="41"/>
        <v>为|Cffffd24d当前的W技能|r附魔随机效果。|n|n|Cff00ff7f替换技能后，附魔效果消失。|r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ReplaceableTextures\\CommandButtons\\BTNIN02.blp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IN03</v>
      </c>
      <c r="C150" s="7" t="s">
        <v>41</v>
      </c>
      <c r="D150" s="7" t="s">
        <v>81</v>
      </c>
      <c r="E150" s="7" t="s">
        <v>82</v>
      </c>
      <c r="F150" s="7"/>
      <c r="G150" s="7"/>
      <c r="H150" s="7" t="str">
        <f>VLOOKUP(LEFT(RIGHT(B150,5),4),装备!B:CU,2,FALSE)</f>
        <v>快乐刷E</v>
      </c>
      <c r="I150" s="7" t="str">
        <f>VLOOKUP(B150,装备!B:CV,99,FALSE)</f>
        <v>为|Cffffd24d当前的E技能|r附魔随机效果。|n|n|Cff00ff7f替换技能后，附魔效果消失。|r</v>
      </c>
      <c r="J150" s="114" t="str">
        <f t="shared" ref="J150:J157" si="50">H150</f>
        <v>快乐刷E</v>
      </c>
      <c r="K150" s="114" t="str">
        <f t="shared" ref="K150:K157" si="51">I150</f>
        <v>为|Cffffd24d当前的E技能|r附魔随机效果。|n|n|Cff00ff7f替换技能后，附魔效果消失。|r</v>
      </c>
      <c r="L150" s="7"/>
      <c r="M150" s="115" t="str">
        <f>VLOOKUP(LEFT(RIGHT(B150,5),4),装备!B:CU,20,FALSE)</f>
        <v>ReplaceableTextures\\CommandButtons\\BTNIN03.blp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IN04</v>
      </c>
      <c r="C151" s="7" t="s">
        <v>41</v>
      </c>
      <c r="D151" s="7" t="s">
        <v>81</v>
      </c>
      <c r="E151" s="7" t="s">
        <v>92</v>
      </c>
      <c r="F151" s="7"/>
      <c r="G151" s="7"/>
      <c r="H151" s="7" t="str">
        <f>VLOOKUP(LEFT(RIGHT(B151,5),4),装备!B:CU,2,FALSE)</f>
        <v>九重锻神丹</v>
      </c>
      <c r="I151" s="7" t="str">
        <f>VLOOKUP(B151,装备!B:CV,99,FALSE)</f>
        <v>秒杀|Cffffc926雷神化身|n|n|r|Cff00ff7f雷神化身：|n|r渡劫NPC-九重锻神劫Boss</v>
      </c>
      <c r="J151" s="114" t="str">
        <f t="shared" ref="J151:J154" si="52">H151</f>
        <v>九重锻神丹</v>
      </c>
      <c r="K151" s="114" t="str">
        <f t="shared" ref="K151:K154" si="53">I151</f>
        <v>秒杀|Cffffc926雷神化身|n|n|r|Cff00ff7f雷神化身：|n|r渡劫NPC-九重锻神劫Boss</v>
      </c>
      <c r="L151" s="7"/>
      <c r="M151" s="115" t="str">
        <f>VLOOKUP(LEFT(RIGHT(B151,5),4),装备!B:CU,20,FALSE)</f>
        <v>ReplaceableTextures\\CommandButtons\\BTNIN04.blp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IN05</v>
      </c>
      <c r="C152" s="7" t="s">
        <v>41</v>
      </c>
      <c r="D152" s="7" t="s">
        <v>81</v>
      </c>
      <c r="E152" s="7" t="s">
        <v>93</v>
      </c>
      <c r="F152" s="7"/>
      <c r="G152" s="7"/>
      <c r="H152" s="7" t="str">
        <f>VLOOKUP(LEFT(RIGHT(B152,5),4),装备!B:CU,2,FALSE)</f>
        <v>灭魄血煞丹</v>
      </c>
      <c r="I152" s="7" t="str">
        <f>VLOOKUP(B152,装备!B:CV,99,FALSE)</f>
        <v>秒杀|Cffffc926灾厄|n|n|r|Cff00ff7f灾厄：|n|r渡劫NPC-灭魄血煞劫Boss</v>
      </c>
      <c r="J152" s="114" t="str">
        <f t="shared" si="52"/>
        <v>灭魄血煞丹</v>
      </c>
      <c r="K152" s="114" t="str">
        <f t="shared" si="53"/>
        <v>秒杀|Cffffc926灾厄|n|n|r|Cff00ff7f灾厄：|n|r渡劫NPC-灭魄血煞劫Boss</v>
      </c>
      <c r="L152" s="7"/>
      <c r="M152" s="115" t="str">
        <f>VLOOKUP(LEFT(RIGHT(B152,5),4),装备!B:CU,20,FALSE)</f>
        <v>ReplaceableTextures\\CommandButtons\\BTNIN05.blp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IN06</v>
      </c>
      <c r="C153" s="7" t="s">
        <v>41</v>
      </c>
      <c r="D153" s="7" t="s">
        <v>81</v>
      </c>
      <c r="E153" s="7" t="s">
        <v>94</v>
      </c>
      <c r="F153" s="7"/>
      <c r="G153" s="7"/>
      <c r="H153" s="7" t="str">
        <f>VLOOKUP(LEFT(RIGHT(B153,5),4),装备!B:CU,2,FALSE)</f>
        <v>入微洞虚丹</v>
      </c>
      <c r="I153" s="7" t="str">
        <f>VLOOKUP(B153,装备!B:CV,99,FALSE)</f>
        <v>秒杀|Cffffc926芥子魔|n|n|r|Cff00ff7f芥子魔：|n|r渡劫NPC-入微洞虚劫Boss</v>
      </c>
      <c r="J153" s="114" t="str">
        <f t="shared" si="52"/>
        <v>入微洞虚丹</v>
      </c>
      <c r="K153" s="114" t="str">
        <f t="shared" si="53"/>
        <v>秒杀|Cffffc926芥子魔|n|n|r|Cff00ff7f芥子魔：|n|r渡劫NPC-入微洞虚劫Boss</v>
      </c>
      <c r="L153" s="7"/>
      <c r="M153" s="115" t="str">
        <f>VLOOKUP(LEFT(RIGHT(B153,5),4),装备!B:CU,20,FALSE)</f>
        <v>ReplaceableTextures\\CommandButtons\\BTNIN06.blp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IN07</v>
      </c>
      <c r="C154" s="7" t="s">
        <v>41</v>
      </c>
      <c r="D154" s="7" t="s">
        <v>81</v>
      </c>
      <c r="E154" s="7" t="s">
        <v>82</v>
      </c>
      <c r="F154" s="7"/>
      <c r="G154" s="7"/>
      <c r="H154" s="7" t="str">
        <f>VLOOKUP(LEFT(RIGHT(B154,5),4),装备!B:CU,2,FALSE)</f>
        <v>来份快餐</v>
      </c>
      <c r="I154" s="7" t="str">
        <f>VLOOKUP(B154,装备!B:CV,99,FALSE)</f>
        <v>每秒回复|Cffffc92630%|r生命值，持续|Cffffc9266|r秒</v>
      </c>
      <c r="J154" s="114" t="str">
        <f t="shared" si="52"/>
        <v>来份快餐</v>
      </c>
      <c r="K154" s="114" t="str">
        <f t="shared" si="53"/>
        <v>每秒回复|Cffffc92630%|r生命值，持续|Cffffc9266|r秒</v>
      </c>
      <c r="L154" s="7"/>
      <c r="M154" s="115" t="str">
        <f>VLOOKUP(LEFT(RIGHT(B154,5),4),装备!B:CU,20,FALSE)</f>
        <v>ReplaceableTextures\\CommandButtons\\BTNIN07.blp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IN08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抬你一手</v>
      </c>
      <c r="I155" s="7" t="str">
        <f>VLOOKUP(B155,装备!B:CV,99,FALSE)</f>
        <v>|CffFFC926击杀|r当前存在的|Cffffc926进攻怪|r和|Cffffc926Boss|r。|n|n|Cff00ff7f无法在大决战时使用|r</v>
      </c>
      <c r="J155" s="114" t="str">
        <f t="shared" si="50"/>
        <v>抬你一手</v>
      </c>
      <c r="K155" s="114" t="str">
        <f t="shared" si="51"/>
        <v>|CffFFC926击杀|r当前存在的|Cffffc926进攻怪|r和|Cffffc926Boss|r。|n|n|Cff00ff7f无法在大决战时使用|r</v>
      </c>
      <c r="L155" s="7"/>
      <c r="M155" s="115" t="str">
        <f>VLOOKUP(LEFT(RIGHT(B155,5),4),装备!B:CU,20,FALSE)</f>
        <v>ReplaceableTextures\\CommandButtons\\BTNIN08.blp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IN09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我刷一会</v>
      </c>
      <c r="I156" s="7" t="str">
        <f>VLOOKUP(B156,装备!B:CV,99,FALSE)</f>
        <v>暂停|Cffffc926场上已存在的进攻怪|r10秒</v>
      </c>
      <c r="J156" s="114" t="str">
        <f t="shared" si="50"/>
        <v>我刷一会</v>
      </c>
      <c r="K156" s="114" t="str">
        <f t="shared" si="51"/>
        <v>暂停|Cffffc926场上已存在的进攻怪|r10秒</v>
      </c>
      <c r="L156" s="7"/>
      <c r="M156" s="115" t="str">
        <f>VLOOKUP(LEFT(RIGHT(B156,5),4),装备!B:CU,20,FALSE)</f>
        <v>ReplaceableTextures\\CommandButtons\\BTNIN09.blp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IN10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我再刷会</v>
      </c>
      <c r="I157" s="7" t="str">
        <f>VLOOKUP(B157,装备!B:CV,99,FALSE)</f>
        <v>暂停场上|Cffffc926已存在的进攻怪|r20秒</v>
      </c>
      <c r="J157" s="114" t="str">
        <f t="shared" si="50"/>
        <v>我再刷会</v>
      </c>
      <c r="K157" s="114" t="str">
        <f t="shared" si="51"/>
        <v>暂停场上|Cffffc926已存在的进攻怪|r20秒</v>
      </c>
      <c r="L157" s="7"/>
      <c r="M157" s="115" t="str">
        <f>VLOOKUP(LEFT(RIGHT(B157,5),4),装备!B:CU,20,FALSE)</f>
        <v>ReplaceableTextures\\CommandButtons\\BTNIN10.blp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IN11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奥里给Lo他</v>
      </c>
      <c r="I158" s="7" t="str">
        <f>VLOOKUP(B158,装备!B:CV,99,FALSE)</f>
        <v>|CffFFC9265|r秒内提高|Cffffc926300%|r伤害加成</v>
      </c>
      <c r="J158" s="114" t="str">
        <f t="shared" ref="J158:J164" si="54">H158</f>
        <v>奥里给Lo他</v>
      </c>
      <c r="K158" s="114" t="str">
        <f t="shared" ref="K158:K164" si="55">I158</f>
        <v>|CffFFC9265|r秒内提高|Cffffc926300%|r伤害加成</v>
      </c>
      <c r="L158" s="7"/>
      <c r="M158" s="115" t="str">
        <f>VLOOKUP(LEFT(RIGHT(B158,5),4),装备!B:CU,20,FALSE)</f>
        <v>ReplaceableTextures\\CommandButtons\\BTNIN11.blp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IN12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钱有点多</v>
      </c>
      <c r="I159" s="7" t="str">
        <f>VLOOKUP(B159,装备!B:CV,99,FALSE)</f>
        <v>获得|Cffffc92620000|r金币</v>
      </c>
      <c r="J159" s="114" t="str">
        <f t="shared" si="54"/>
        <v>钱有点多</v>
      </c>
      <c r="K159" s="114" t="str">
        <f t="shared" si="55"/>
        <v>获得|Cffffc92620000|r金币</v>
      </c>
      <c r="L159" s="7"/>
      <c r="M159" s="115" t="str">
        <f>VLOOKUP(LEFT(RIGHT(B159,5),4),装备!B:CU,20,FALSE)</f>
        <v>ReplaceableTextures\\CommandButtons\\BTNIN12.blp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IN13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钱有点少</v>
      </c>
      <c r="I160" s="7" t="str">
        <f>VLOOKUP(B160,装备!B:CV,99,FALSE)</f>
        <v>获得|Cffffc9262000|r金币</v>
      </c>
      <c r="J160" s="114" t="str">
        <f t="shared" si="54"/>
        <v>钱有点少</v>
      </c>
      <c r="K160" s="114" t="str">
        <f t="shared" si="55"/>
        <v>获得|Cffffc9262000|r金币</v>
      </c>
      <c r="L160" s="7"/>
      <c r="M160" s="115" t="str">
        <f>VLOOKUP(LEFT(RIGHT(B160,5),4),装备!B:CU,20,FALSE)</f>
        <v>ReplaceableTextures\\CommandButtons\\BTNIN13.blp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IN14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精准预判</v>
      </c>
      <c r="I161" s="7" t="str">
        <f>VLOOKUP(B161,装备!B:CV,99,FALSE)</f>
        <v>若使用后|Cffffc9265|r秒内|Cffffc926基地濒死|r，则击杀其600码范围内所有生物。|n|n|Cff00ff7f不分敌我|r</v>
      </c>
      <c r="J161" s="114" t="str">
        <f t="shared" si="54"/>
        <v>精准预判</v>
      </c>
      <c r="K161" s="114" t="str">
        <f t="shared" si="55"/>
        <v>若使用后|Cffffc9265|r秒内|Cffffc926基地濒死|r，则击杀其600码范围内所有生物。|n|n|Cff00ff7f不分敌我|r</v>
      </c>
      <c r="L161" s="7"/>
      <c r="M161" s="115" t="str">
        <f>VLOOKUP(LEFT(RIGHT(B161,5),4),装备!B:CU,20,FALSE)</f>
        <v>ReplaceableTextures\\CommandButtons\\BTNIN14.blp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IN15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洗一手</v>
      </c>
      <c r="I162" s="7" t="str">
        <f>VLOOKUP(B162,装备!B:CV,99,FALSE)</f>
        <v>获得一个|Cffffc926补天石|r。|n|n|Cff00ff7f“法宝F4”查看，重置指定法宝，品质不变。|r</v>
      </c>
      <c r="J162" s="114" t="str">
        <f t="shared" si="54"/>
        <v>洗一手</v>
      </c>
      <c r="K162" s="114" t="str">
        <f t="shared" si="55"/>
        <v>获得一个|Cffffc926补天石|r。|n|n|Cff00ff7f“法宝F4”查看，重置指定法宝，品质不变。|r</v>
      </c>
      <c r="L162" s="7"/>
      <c r="M162" s="115" t="str">
        <f>VLOOKUP(LEFT(RIGHT(B162,5),4),装备!B:CU,20,FALSE)</f>
        <v>ReplaceableTextures\\CommandButtons\\BTNIN15.blp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IN16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怼上去</v>
      </c>
      <c r="I163" s="7" t="str">
        <f>VLOOKUP(B163,装备!B:CV,99,FALSE)</f>
        <v>获得一个|Cffff0000鸿蒙结晶|r。|n|n|Cff00ff7f“法宝F4”查看，重置指定法宝，品质提升一级。|r</v>
      </c>
      <c r="J163" s="114" t="str">
        <f t="shared" si="54"/>
        <v>怼上去</v>
      </c>
      <c r="K163" s="114" t="str">
        <f t="shared" si="55"/>
        <v>获得一个|Cffff0000鸿蒙结晶|r。|n|n|Cff00ff7f“法宝F4”查看，重置指定法宝，品质提升一级。|r</v>
      </c>
      <c r="L163" s="7"/>
      <c r="M163" s="115" t="str">
        <f>VLOOKUP(LEFT(RIGHT(B163,5),4),装备!B:CU,20,FALSE)</f>
        <v>ReplaceableTextures\\CommandButtons\\BTNIN16.blp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IN17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来点杀敌</v>
      </c>
      <c r="I164" s="7" t="str">
        <f>VLOOKUP(B164,装备!B:CV,99,FALSE)</f>
        <v>木头|Cffffc926+3000|r</v>
      </c>
      <c r="J164" s="114" t="str">
        <f t="shared" si="54"/>
        <v>来点杀敌</v>
      </c>
      <c r="K164" s="114" t="str">
        <f t="shared" si="55"/>
        <v>木头|Cffffc926+3000|r</v>
      </c>
      <c r="L164" s="7"/>
      <c r="M164" s="115" t="str">
        <f>VLOOKUP(LEFT(RIGHT(B164,5),4),装备!B:CU,20,FALSE)</f>
        <v>ReplaceableTextures\\CommandButtons\\BTNIN17.blp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IN18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真就一点</v>
      </c>
      <c r="I165" s="7" t="str">
        <f>VLOOKUP(B165,装备!B:CV,99,FALSE)</f>
        <v>木头|Cffffc926+300|r</v>
      </c>
      <c r="J165" s="114" t="str">
        <f t="shared" ref="J165" si="56">H165</f>
        <v>真就一点</v>
      </c>
      <c r="K165" s="114" t="str">
        <f t="shared" ref="K165" si="57">I165</f>
        <v>木头|Cffffc926+300|r</v>
      </c>
      <c r="L165" s="7"/>
      <c r="M165" s="115" t="str">
        <f>VLOOKUP(LEFT(RIGHT(B165,5),4),装备!B:CU,20,FALSE)</f>
        <v>ReplaceableTextures\\CommandButtons\\BTNIN18.blp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IN19</v>
      </c>
      <c r="C166" s="7" t="s">
        <v>41</v>
      </c>
      <c r="D166" s="7" t="s">
        <v>81</v>
      </c>
      <c r="E166" s="7" t="s">
        <v>82</v>
      </c>
      <c r="F166" s="7"/>
      <c r="G166" s="7"/>
      <c r="H166" s="7" t="str">
        <f>VLOOKUP(LEFT(RIGHT(B166,5),4),装备!B:CU,2,FALSE)</f>
        <v>技能附魔券</v>
      </c>
      <c r="I166" s="7" t="str">
        <f>VLOOKUP(B166,装备!B:CV,99,FALSE)</f>
        <v>使用后获得|Cffffc926随机类型技能附魔卡|r</v>
      </c>
      <c r="J166" s="114" t="str">
        <f t="shared" ref="J166" si="58">H166</f>
        <v>技能附魔券</v>
      </c>
      <c r="K166" s="114" t="str">
        <f t="shared" ref="K166" si="59">I166</f>
        <v>使用后获得|Cffffc926随机类型技能附魔卡|r</v>
      </c>
      <c r="L166" s="7"/>
      <c r="M166" s="115" t="str">
        <f>VLOOKUP(LEFT(RIGHT(B166,5),4),装备!B:CU,20,FALSE)</f>
        <v>ReplaceableTextures\\CommandButtons\\BTNIN19.blp</v>
      </c>
      <c r="N166" s="132" t="s">
        <v>83</v>
      </c>
      <c r="O166" s="115" t="s">
        <v>88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89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/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IP01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时渊碎片</v>
      </c>
      <c r="I167" s="7" t="str">
        <f>VLOOKUP(B167,装备!B:CV,99,FALSE)</f>
        <v>进入时渊副本消耗时渊碎片</v>
      </c>
      <c r="J167" s="114" t="str">
        <f t="shared" ref="J167" si="60">H167</f>
        <v>时渊碎片</v>
      </c>
      <c r="K167" s="114" t="str">
        <f t="shared" ref="K167" si="61">I167</f>
        <v>进入时渊副本消耗时渊碎片</v>
      </c>
      <c r="L167" s="7"/>
      <c r="M167" s="115" t="str">
        <f>VLOOKUP(LEFT(RIGHT(B167,5),4),装备!B:CU,20,FALSE)</f>
        <v>ReplaceableTextures\\CommandButtons\\BTNIP01.blp</v>
      </c>
      <c r="N167" s="132" t="s">
        <v>83</v>
      </c>
      <c r="O167" s="115" t="s">
        <v>90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87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>
        <v>1</v>
      </c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IP02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补天石</v>
      </c>
      <c r="I168" s="7" t="str">
        <f>VLOOKUP(B168,装备!B:CV,99,FALSE)</f>
        <v>点击|Cffffc926选中指定法宝|r后，再点击|Cffffc926重铸|r，可|Cffffc926重置|r指定法宝，|Cffffc926品质不变|r。|n|n|Cff00ff7f每次重铸消耗1个补天石|r</v>
      </c>
      <c r="J168" s="114" t="str">
        <f t="shared" ref="J168:J172" si="62">H168</f>
        <v>补天石</v>
      </c>
      <c r="K168" s="114" t="str">
        <f t="shared" ref="K168:K172" si="63">I168</f>
        <v>点击|Cffffc926选中指定法宝|r后，再点击|Cffffc926重铸|r，可|Cffffc926重置|r指定法宝，|Cffffc926品质不变|r。|n|n|Cff00ff7f每次重铸消耗1个补天石|r</v>
      </c>
      <c r="L168" s="7"/>
      <c r="M168" s="115" t="str">
        <f>VLOOKUP(LEFT(RIGHT(B168,5),4),装备!B:CU,20,FALSE)</f>
        <v>ReplaceableTextures\\CommandButtons\\BTNIP02.blp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IP03</v>
      </c>
      <c r="C169" s="7" t="s">
        <v>41</v>
      </c>
      <c r="D169" s="7" t="s">
        <v>81</v>
      </c>
      <c r="E169" s="7"/>
      <c r="F169" s="7"/>
      <c r="G169" s="7"/>
      <c r="H169" s="7" t="str">
        <f>VLOOKUP(LEFT(RIGHT(B169,5),4),装备!B:CU,2,FALSE)</f>
        <v>鸿蒙结晶</v>
      </c>
      <c r="I169" s="7" t="str">
        <f>VLOOKUP(B169,装备!B:CV,99,FALSE)</f>
        <v>点击|Cffffc926选中指定法宝|r后，再点击|Cffffc926锻造|r，可|Cffffc926重置|r指定法宝，|Cffffc926品质提升一级|r。|n|n|Cff00ff7f每次重铸消耗1个鸿蒙结晶|r</v>
      </c>
      <c r="J169" s="114" t="str">
        <f t="shared" si="62"/>
        <v>鸿蒙结晶</v>
      </c>
      <c r="K169" s="114" t="str">
        <f t="shared" si="63"/>
        <v>点击|Cffffc926选中指定法宝|r后，再点击|Cffffc926锻造|r，可|Cffffc926重置|r指定法宝，|Cffffc926品质提升一级|r。|n|n|Cff00ff7f每次重铸消耗1个鸿蒙结晶|r</v>
      </c>
      <c r="L169" s="7"/>
      <c r="M169" s="115" t="str">
        <f>VLOOKUP(LEFT(RIGHT(B169,5),4),装备!B:CU,20,FALSE)</f>
        <v>ReplaceableTextures\\CommandButtons\\BTNIP03.blp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87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>
        <v>1</v>
      </c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IP04</v>
      </c>
      <c r="C170" s="7" t="s">
        <v>41</v>
      </c>
      <c r="D170" s="7" t="s">
        <v>81</v>
      </c>
      <c r="E170" s="7" t="s">
        <v>82</v>
      </c>
      <c r="F170" s="7"/>
      <c r="G170" s="7"/>
      <c r="H170" s="7" t="str">
        <f>VLOOKUP(LEFT(RIGHT(B170,5),4),装备!B:CU,2,FALSE)</f>
        <v>神兽洗灵石</v>
      </c>
      <c r="I170" s="7">
        <f>VLOOKUP(B170,装备!B:CV,99,FALSE)</f>
        <v>0</v>
      </c>
      <c r="J170" s="114" t="str">
        <f t="shared" ref="J170:J171" si="64">H170</f>
        <v>神兽洗灵石</v>
      </c>
      <c r="K170" s="114">
        <f t="shared" ref="K170:K171" si="65">I170</f>
        <v>0</v>
      </c>
      <c r="L170" s="7"/>
      <c r="M170" s="115" t="str">
        <f>VLOOKUP(LEFT(RIGHT(B170,5),4),装备!B:CU,20,FALSE)</f>
        <v>ReplaceableTextures\\CommandButtons\\BTNIP04.blp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89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/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IP05</v>
      </c>
      <c r="C171" s="7" t="s">
        <v>41</v>
      </c>
      <c r="D171" s="7" t="s">
        <v>81</v>
      </c>
      <c r="E171" s="7" t="s">
        <v>82</v>
      </c>
      <c r="F171" s="7"/>
      <c r="G171" s="7"/>
      <c r="H171" s="7" t="str">
        <f>VLOOKUP(LEFT(RIGHT(B171,5),4),装备!B:CU,2,FALSE)</f>
        <v>虚空圣战卡</v>
      </c>
      <c r="I171" s="7">
        <f>VLOOKUP(B171,装备!B:CV,99,FALSE)</f>
        <v>0</v>
      </c>
      <c r="J171" s="114" t="str">
        <f t="shared" si="64"/>
        <v>虚空圣战卡</v>
      </c>
      <c r="K171" s="114">
        <f t="shared" si="65"/>
        <v>0</v>
      </c>
      <c r="L171" s="7"/>
      <c r="M171" s="115" t="str">
        <f>VLOOKUP(LEFT(RIGHT(B171,5),4),装备!B:CU,20,FALSE)</f>
        <v>ReplaceableTextures\\CommandButtons\\BTNIP05.blp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89</v>
      </c>
      <c r="X171" s="7">
        <v>0</v>
      </c>
      <c r="Y171" s="132" t="s">
        <v>83</v>
      </c>
      <c r="Z171" s="7">
        <v>0</v>
      </c>
      <c r="AA171" s="7">
        <v>0</v>
      </c>
      <c r="AB171" s="7">
        <v>0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/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IT01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噬心劫</v>
      </c>
      <c r="I172" s="7" t="str">
        <f>VLOOKUP(B172,装备!B:CV,99,FALSE)</f>
        <v>渡过该劫后可结成低级道果。|n|n|Cfff0f0f0低级道果：|r|n攻击+1000|n法强+1000|n生命值+2000|n|Cffffd24d元神力+2|r|n|n|Cff00ff7f战力推荐：|r|n</v>
      </c>
      <c r="J172" s="114" t="str">
        <f t="shared" si="62"/>
        <v>噬心劫</v>
      </c>
      <c r="K172" s="114" t="str">
        <f t="shared" si="63"/>
        <v>渡过该劫后可结成低级道果。|n|n|Cfff0f0f0低级道果：|r|n攻击+1000|n法强+1000|n生命值+2000|n|Cffffd24d元神力+2|r|n|n|Cff00ff7f战力推荐：|r|n</v>
      </c>
      <c r="L172" s="7"/>
      <c r="M172" s="115" t="str">
        <f>VLOOKUP(LEFT(RIGHT(B172,5),4),装备!B:CU,20,FALSE)</f>
        <v>ReplaceableTextures\\CommandButtons\\BTNIT01.blp</v>
      </c>
      <c r="N172" s="132" t="s">
        <v>83</v>
      </c>
      <c r="O172" s="115" t="s">
        <v>90</v>
      </c>
      <c r="P172" s="7">
        <v>0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87</v>
      </c>
      <c r="X172" s="7">
        <v>2000</v>
      </c>
      <c r="Y172" s="132" t="s">
        <v>83</v>
      </c>
      <c r="Z172" s="7">
        <v>0</v>
      </c>
      <c r="AA172" s="7">
        <v>0</v>
      </c>
      <c r="AB172" s="114">
        <v>1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>
        <v>1</v>
      </c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IT02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三重轰雷劫</v>
      </c>
      <c r="I173" s="7" t="str">
        <f>VLOOKUP(B173,装备!B:CV,99,FALSE)</f>
        <v>渡过该劫后可结成中级道果。|n|n|Cfff0f0f0中级道果：|r|n攻击+1500|n法强+1500|n生命值+3000 |n|Cffffd24d元神力+4|r|n|n|Cff00ff7f战力推荐：|r|n</v>
      </c>
      <c r="J173" s="114" t="str">
        <f t="shared" ref="J173:J208" si="66">H173</f>
        <v>三重轰雷劫</v>
      </c>
      <c r="K173" s="114" t="str">
        <f t="shared" ref="K173:K208" si="67">I173</f>
        <v>渡过该劫后可结成中级道果。|n|n|Cfff0f0f0中级道果：|r|n攻击+1500|n法强+1500|n生命值+3000 |n|Cffffd24d元神力+4|r|n|n|Cff00ff7f战力推荐：|r|n</v>
      </c>
      <c r="L173" s="7"/>
      <c r="M173" s="115" t="str">
        <f>VLOOKUP(LEFT(RIGHT(B173,5),4),装备!B:CU,20,FALSE)</f>
        <v>ReplaceableTextures\\CommandButtons\\BTNIT02.blp</v>
      </c>
      <c r="N173" s="132" t="s">
        <v>83</v>
      </c>
      <c r="O173" s="115" t="s">
        <v>90</v>
      </c>
      <c r="P173" s="7">
        <v>1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4000</v>
      </c>
      <c r="Y173" s="132" t="s">
        <v>83</v>
      </c>
      <c r="Z173" s="7">
        <v>0</v>
      </c>
      <c r="AA173" s="7">
        <v>0</v>
      </c>
      <c r="AB173" s="114">
        <v>2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IT03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六重天雷劫</v>
      </c>
      <c r="I174" s="7" t="str">
        <f>VLOOKUP(B174,装备!B:CV,99,FALSE)</f>
        <v>渡过该劫后可结成|Cff00ff7f高级道果|r。|n|n|Cff00ff7f高级道果：|r|n攻击+2000|n法强+2000|n生命值+4000 |n|Cffffd24d元神力+5|r|n|n|Cff00ff7f战力推荐：|r|n</v>
      </c>
      <c r="J174" s="114" t="str">
        <f t="shared" si="66"/>
        <v>六重天雷劫</v>
      </c>
      <c r="K174" s="114" t="str">
        <f t="shared" si="67"/>
        <v>渡过该劫后可结成|Cff00ff7f高级道果|r。|n|n|Cff00ff7f高级道果：|r|n攻击+2000|n法强+2000|n生命值+4000 |n|Cffffd24d元神力+5|r|n|n|Cff00ff7f战力推荐：|r|n</v>
      </c>
      <c r="L174" s="7"/>
      <c r="M174" s="115" t="str">
        <f>VLOOKUP(LEFT(RIGHT(B174,5),4),装备!B:CU,20,FALSE)</f>
        <v>ReplaceableTextures\\CommandButtons\\BTNIT03.blp</v>
      </c>
      <c r="N174" s="132" t="s">
        <v>83</v>
      </c>
      <c r="O174" s="115" t="s">
        <v>90</v>
      </c>
      <c r="P174" s="7">
        <v>2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6000</v>
      </c>
      <c r="Y174" s="132" t="s">
        <v>83</v>
      </c>
      <c r="Z174" s="7">
        <v>0</v>
      </c>
      <c r="AA174" s="7">
        <v>0</v>
      </c>
      <c r="AB174" s="114">
        <v>3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IT04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九重煅神劫</v>
      </c>
      <c r="I175" s="7" t="str">
        <f>VLOOKUP(B175,装备!B:CV,99,FALSE)</f>
        <v>渡过该劫后可结成|Cff00ff7f黄级道果|r。|n|n|Cff00ff7f黄级道果：|r|n攻击+2500|n法强+2500|n生命值+5000|n|Cffffd24d元神力+6|r|n|n|Cff00ff7f战力推荐：|r|n</v>
      </c>
      <c r="J175" s="114" t="str">
        <f t="shared" si="66"/>
        <v>九重煅神劫</v>
      </c>
      <c r="K175" s="114" t="str">
        <f t="shared" si="67"/>
        <v>渡过该劫后可结成|Cff00ff7f黄级道果|r。|n|n|Cff00ff7f黄级道果：|r|n攻击+2500|n法强+2500|n生命值+5000|n|Cffffd24d元神力+6|r|n|n|Cff00ff7f战力推荐：|r|n</v>
      </c>
      <c r="L175" s="7"/>
      <c r="M175" s="115" t="str">
        <f>VLOOKUP(LEFT(RIGHT(B175,5),4),装备!B:CU,20,FALSE)</f>
        <v>ReplaceableTextures\\CommandButtons\\BTNIT04.blp</v>
      </c>
      <c r="N175" s="132" t="s">
        <v>83</v>
      </c>
      <c r="O175" s="115" t="s">
        <v>90</v>
      </c>
      <c r="P175" s="7">
        <v>3</v>
      </c>
      <c r="Q175" s="7">
        <v>0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10000</v>
      </c>
      <c r="Y175" s="132" t="s">
        <v>83</v>
      </c>
      <c r="Z175" s="7">
        <v>0</v>
      </c>
      <c r="AA175" s="7">
        <v>0</v>
      </c>
      <c r="AB175" s="114">
        <v>4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IT05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灭魄血煞劫</v>
      </c>
      <c r="I176" s="7" t="str">
        <f>VLOOKUP(B176,装备!B:CV,99,FALSE)</f>
        <v>渡过该劫后可结成|Cff00bfff玄级道果|r。|n|n|Cff00bfff玄级道果：|r|n攻击+3000|n法强+3000|n生命值+6000|n|Cffffd24d元神力+7|r|n|n|Cff00ff7f战力推荐：|r|n</v>
      </c>
      <c r="J176" s="114" t="str">
        <f t="shared" si="66"/>
        <v>灭魄血煞劫</v>
      </c>
      <c r="K176" s="114" t="str">
        <f t="shared" si="67"/>
        <v>渡过该劫后可结成|Cff00bfff玄级道果|r。|n|n|Cff00bfff玄级道果：|r|n攻击+3000|n法强+3000|n生命值+6000|n|Cffffd24d元神力+7|r|n|n|Cff00ff7f战力推荐：|r|n</v>
      </c>
      <c r="L176" s="7"/>
      <c r="M176" s="115" t="str">
        <f>VLOOKUP(LEFT(RIGHT(B176,5),4),装备!B:CU,20,FALSE)</f>
        <v>ReplaceableTextures\\CommandButtons\\BTNIT05.blp</v>
      </c>
      <c r="N176" s="132" t="s">
        <v>83</v>
      </c>
      <c r="O176" s="115" t="s">
        <v>90</v>
      </c>
      <c r="P176" s="7">
        <v>0</v>
      </c>
      <c r="Q176" s="7">
        <v>1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15000</v>
      </c>
      <c r="Y176" s="132" t="s">
        <v>83</v>
      </c>
      <c r="Z176" s="7">
        <v>0</v>
      </c>
      <c r="AA176" s="7">
        <v>0</v>
      </c>
      <c r="AB176" s="114">
        <v>5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IT06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入微洞虚劫</v>
      </c>
      <c r="I177" s="7" t="str">
        <f>VLOOKUP(B177,装备!B:CV,99,FALSE)</f>
        <v>渡过该劫后可结成|Cff00bfff地级道果|r。|n|n|Cff00bfff地级道果：|r|n攻击+4000|n法强+4000|n生命值+8000|n|Cffffd24d元神力+9|r|n|n|n|Cff00ff7f战力推荐：|r|n</v>
      </c>
      <c r="J177" s="114" t="str">
        <f t="shared" si="66"/>
        <v>入微洞虚劫</v>
      </c>
      <c r="K177" s="114" t="str">
        <f t="shared" si="67"/>
        <v>渡过该劫后可结成|Cff00bfff地级道果|r。|n|n|Cff00bfff地级道果：|r|n攻击+4000|n法强+4000|n生命值+8000|n|Cffffd24d元神力+9|r|n|n|n|Cff00ff7f战力推荐：|r|n</v>
      </c>
      <c r="L177" s="7"/>
      <c r="M177" s="115" t="str">
        <f>VLOOKUP(LEFT(RIGHT(B177,5),4),装备!B:CU,20,FALSE)</f>
        <v>ReplaceableTextures\\CommandButtons\\BTNIT06.blp</v>
      </c>
      <c r="N177" s="132" t="s">
        <v>83</v>
      </c>
      <c r="O177" s="115" t="s">
        <v>90</v>
      </c>
      <c r="P177" s="7">
        <v>1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20000</v>
      </c>
      <c r="Y177" s="132" t="s">
        <v>83</v>
      </c>
      <c r="Z177" s="7">
        <v>0</v>
      </c>
      <c r="AA177" s="7">
        <v>0</v>
      </c>
      <c r="AB177" s="114">
        <v>6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IT07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因果厄难劫</v>
      </c>
      <c r="I178" s="7" t="str">
        <f>VLOOKUP(B178,装备!B:CV,99,FALSE)</f>
        <v>渡过该劫后可结成|Cffffc926天级道果|r。|n|n|Cffffc926天级道果：|r|n攻击+5000|n法强+5000|n生命值+10000|n|Cffffd24d元神力+11|r|n|n|Cff00ff7f战力推荐：|r|n</v>
      </c>
      <c r="J178" s="114" t="str">
        <f t="shared" si="66"/>
        <v>因果厄难劫</v>
      </c>
      <c r="K178" s="114" t="str">
        <f t="shared" si="67"/>
        <v>渡过该劫后可结成|Cffffc926天级道果|r。|n|n|Cffffc926天级道果：|r|n攻击+5000|n法强+5000|n生命值+10000|n|Cffffd24d元神力+11|r|n|n|Cff00ff7f战力推荐：|r|n</v>
      </c>
      <c r="L178" s="7"/>
      <c r="M178" s="115" t="str">
        <f>VLOOKUP(LEFT(RIGHT(B178,5),4),装备!B:CU,20,FALSE)</f>
        <v>ReplaceableTextures\\CommandButtons\\BTNIT07.blp</v>
      </c>
      <c r="N178" s="132" t="s">
        <v>83</v>
      </c>
      <c r="O178" s="115" t="s">
        <v>90</v>
      </c>
      <c r="P178" s="7">
        <v>2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30000</v>
      </c>
      <c r="Y178" s="132" t="s">
        <v>83</v>
      </c>
      <c r="Z178" s="7">
        <v>0</v>
      </c>
      <c r="AA178" s="7">
        <v>0</v>
      </c>
      <c r="AB178" s="114">
        <v>7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IT08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迷魂幻世劫</v>
      </c>
      <c r="I179" s="7" t="str">
        <f>VLOOKUP(B179,装备!B:CV,99,FALSE)</f>
        <v>渡过该劫后可结成|Cffffc926仙品道果|r。|n|n|Cffffc926仙品道果：|r|n攻击+6500|n法强+6500|n生命值+13000|n|Cffffd24d元神力+13|r|n|n|Cff00ff7f战力推荐：|r</v>
      </c>
      <c r="J179" s="114" t="str">
        <f t="shared" si="66"/>
        <v>迷魂幻世劫</v>
      </c>
      <c r="K179" s="114" t="str">
        <f t="shared" si="67"/>
        <v>渡过该劫后可结成|Cffffc926仙品道果|r。|n|n|Cffffc926仙品道果：|r|n攻击+6500|n法强+6500|n生命值+13000|n|Cffffd24d元神力+13|r|n|n|Cff00ff7f战力推荐：|r</v>
      </c>
      <c r="L179" s="7"/>
      <c r="M179" s="115" t="str">
        <f>VLOOKUP(LEFT(RIGHT(B179,5),4),装备!B:CU,20,FALSE)</f>
        <v>ReplaceableTextures\\CommandButtons\\BTNIT08.blp</v>
      </c>
      <c r="N179" s="132" t="s">
        <v>83</v>
      </c>
      <c r="O179" s="115" t="s">
        <v>90</v>
      </c>
      <c r="P179" s="7">
        <v>3</v>
      </c>
      <c r="Q179" s="7">
        <v>1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40000</v>
      </c>
      <c r="Y179" s="132" t="s">
        <v>83</v>
      </c>
      <c r="Z179" s="7">
        <v>0</v>
      </c>
      <c r="AA179" s="7">
        <v>0</v>
      </c>
      <c r="AB179" s="114">
        <v>8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IT09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天人五衰劫</v>
      </c>
      <c r="I180" s="7" t="str">
        <f>VLOOKUP(B180,装备!B:CV,99,FALSE)</f>
        <v>渡过该劫后可结成|Cffff0000至圣道果|r。|n|n|Cffff0000至圣道果：|r|n攻击+8000|n法强+8000|n生命值+16000|n|Cffffd24d元神力+16|r|n|n|Cff00ff7f战力推荐：|r</v>
      </c>
      <c r="J180" s="114" t="str">
        <f t="shared" si="66"/>
        <v>天人五衰劫</v>
      </c>
      <c r="K180" s="114" t="str">
        <f t="shared" si="67"/>
        <v>渡过该劫后可结成|Cffff0000至圣道果|r。|n|n|Cffff0000至圣道果：|r|n攻击+8000|n法强+8000|n生命值+16000|n|Cffffd24d元神力+16|r|n|n|Cff00ff7f战力推荐：|r</v>
      </c>
      <c r="L180" s="7"/>
      <c r="M180" s="115" t="str">
        <f>VLOOKUP(LEFT(RIGHT(B180,5),4),装备!B:CU,20,FALSE)</f>
        <v>ReplaceableTextures\\CommandButtons\\BTNIT09.blp</v>
      </c>
      <c r="N180" s="132" t="s">
        <v>83</v>
      </c>
      <c r="O180" s="115" t="s">
        <v>90</v>
      </c>
      <c r="P180" s="7">
        <v>0</v>
      </c>
      <c r="Q180" s="7">
        <v>2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50000</v>
      </c>
      <c r="Y180" s="132" t="s">
        <v>83</v>
      </c>
      <c r="Z180" s="7">
        <v>0</v>
      </c>
      <c r="AA180" s="7">
        <v>0</v>
      </c>
      <c r="AB180" s="114">
        <v>9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IT10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|CffFF0000混元灭世劫|r</v>
      </c>
      <c r="I181" s="7" t="str">
        <f>VLOOKUP(B181,装备!B:CV,99,FALSE)</f>
        <v>渡过该劫后可结成|Cffff0000混沌道果|r。|n|n|Cffff0000混沌道果：|r|n攻击+10000|n法强+10000|n生命值+20000|n|Cffffd24d元神力+20|r|n|n|Cff00ff7f战力推荐：|r</v>
      </c>
      <c r="J181" s="114" t="str">
        <f t="shared" si="66"/>
        <v>|CffFF0000混元灭世劫|r</v>
      </c>
      <c r="K181" s="114" t="str">
        <f t="shared" si="67"/>
        <v>渡过该劫后可结成|Cffff0000混沌道果|r。|n|n|Cffff0000混沌道果：|r|n攻击+10000|n法强+10000|n生命值+20000|n|Cffffd24d元神力+20|r|n|n|Cff00ff7f战力推荐：|r</v>
      </c>
      <c r="L181" s="7"/>
      <c r="M181" s="115" t="str">
        <f>VLOOKUP(LEFT(RIGHT(B181,5),4),装备!B:CU,20,FALSE)</f>
        <v>ReplaceableTextures\\CommandButtons\\BTNIT10.blp</v>
      </c>
      <c r="N181" s="132" t="s">
        <v>83</v>
      </c>
      <c r="O181" s="115" t="s">
        <v>90</v>
      </c>
      <c r="P181" s="7">
        <v>1</v>
      </c>
      <c r="Q181" s="7">
        <v>2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80000</v>
      </c>
      <c r="Y181" s="132" t="s">
        <v>83</v>
      </c>
      <c r="Z181" s="7">
        <v>0</v>
      </c>
      <c r="AA181" s="7">
        <v>0</v>
      </c>
      <c r="AB181" s="114">
        <v>10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IT11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斩三尸</v>
      </c>
      <c r="I182" s="7" t="str">
        <f>VLOOKUP(B182,装备!B:CV,99,FALSE)</f>
        <v>境界挑战11</v>
      </c>
      <c r="J182" s="114" t="str">
        <f t="shared" ref="J182:J188" si="68">H182</f>
        <v>斩三尸</v>
      </c>
      <c r="K182" s="114" t="str">
        <f t="shared" ref="K182:K188" si="69">I182</f>
        <v>境界挑战11</v>
      </c>
      <c r="L182" s="7"/>
      <c r="M182" s="115" t="str">
        <f>VLOOKUP(LEFT(RIGHT(B182,5),4),装备!B:CU,20,FALSE)</f>
        <v>ReplaceableTextures\\CommandButtons\\BTNIT11.blp</v>
      </c>
      <c r="N182" s="132" t="s">
        <v>83</v>
      </c>
      <c r="O182" s="115" t="s">
        <v>90</v>
      </c>
      <c r="P182" s="7">
        <v>2</v>
      </c>
      <c r="Q182" s="7">
        <v>1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0</v>
      </c>
      <c r="Y182" s="132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IT12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无量量劫</v>
      </c>
      <c r="I183" s="7" t="str">
        <f>VLOOKUP(B183,装备!B:CV,99,FALSE)</f>
        <v>境界挑战12</v>
      </c>
      <c r="J183" s="114" t="str">
        <f t="shared" si="68"/>
        <v>无量量劫</v>
      </c>
      <c r="K183" s="114" t="str">
        <f t="shared" si="69"/>
        <v>境界挑战12</v>
      </c>
      <c r="L183" s="7"/>
      <c r="M183" s="115" t="str">
        <f>VLOOKUP(LEFT(RIGHT(B183,5),4),装备!B:CU,20,FALSE)</f>
        <v>ReplaceableTextures\\CommandButtons\\BTNIT12.blp</v>
      </c>
      <c r="N183" s="132" t="s">
        <v>83</v>
      </c>
      <c r="O183" s="115" t="s">
        <v>90</v>
      </c>
      <c r="P183" s="7">
        <v>3</v>
      </c>
      <c r="Q183" s="7">
        <v>1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IT13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鸿钧对练</v>
      </c>
      <c r="I184" s="7" t="str">
        <f>VLOOKUP(B184,装备!B:CV,99,FALSE)</f>
        <v>境界挑战13</v>
      </c>
      <c r="J184" s="114" t="str">
        <f t="shared" si="68"/>
        <v>鸿钧对练</v>
      </c>
      <c r="K184" s="114" t="str">
        <f t="shared" si="69"/>
        <v>境界挑战13</v>
      </c>
      <c r="L184" s="7"/>
      <c r="M184" s="115" t="str">
        <f>VLOOKUP(LEFT(RIGHT(B184,5),4),装备!B:CU,20,FALSE)</f>
        <v>ReplaceableTextures\\CommandButtons\\BTNIT13.blp</v>
      </c>
      <c r="N184" s="132" t="s">
        <v>83</v>
      </c>
      <c r="O184" s="115" t="s">
        <v>90</v>
      </c>
      <c r="P184" s="7">
        <v>0</v>
      </c>
      <c r="Q184" s="7">
        <v>2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IT14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境界挑战14</v>
      </c>
      <c r="I185" s="7" t="str">
        <f>VLOOKUP(B185,装备!B:CV,99,FALSE)</f>
        <v>境界挑战14</v>
      </c>
      <c r="J185" s="114" t="str">
        <f t="shared" si="68"/>
        <v>境界挑战14</v>
      </c>
      <c r="K185" s="114" t="str">
        <f t="shared" si="69"/>
        <v>境界挑战14</v>
      </c>
      <c r="L185" s="7"/>
      <c r="M185" s="115" t="str">
        <f>VLOOKUP(LEFT(RIGHT(B185,5),4),装备!B:CU,20,FALSE)</f>
        <v>ReplaceableTextures\\CommandButtons\\BTNIT14.blp</v>
      </c>
      <c r="N185" s="132" t="s">
        <v>83</v>
      </c>
      <c r="O185" s="115" t="s">
        <v>90</v>
      </c>
      <c r="P185" s="7">
        <v>1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0</v>
      </c>
      <c r="Y185" s="132" t="s">
        <v>83</v>
      </c>
      <c r="Z185" s="7">
        <v>0</v>
      </c>
      <c r="AA185" s="7">
        <v>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IZ0A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暂停进攻</v>
      </c>
      <c r="I186" s="7" t="str">
        <f>VLOOKUP(B186,装备!B:CV,99,FALSE)</f>
        <v>暂停进攻</v>
      </c>
      <c r="J186" s="114" t="str">
        <f t="shared" si="68"/>
        <v>暂停进攻</v>
      </c>
      <c r="K186" s="114" t="str">
        <f t="shared" si="69"/>
        <v>暂停进攻</v>
      </c>
      <c r="L186" s="7"/>
      <c r="M186" s="115" t="str">
        <f>VLOOKUP(LEFT(RIGHT(B186,5),4),装备!B:CU,20,FALSE)</f>
        <v>ReplaceableTextures\\CommandButtons\\BTNIZ0A.blp</v>
      </c>
      <c r="N186" s="132" t="s">
        <v>83</v>
      </c>
      <c r="O186" s="115" t="s">
        <v>90</v>
      </c>
      <c r="P186" s="7">
        <v>1</v>
      </c>
      <c r="Q186" s="7">
        <v>2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10000</v>
      </c>
      <c r="Y186" s="132" t="s">
        <v>83</v>
      </c>
      <c r="Z186" s="7">
        <v>120</v>
      </c>
      <c r="AA186" s="7">
        <v>300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IZ01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团队副本-万仙阵</v>
      </c>
      <c r="I187" s="7" t="str">
        <f>VLOOKUP(B187,装备!B:CV,99,FALSE)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7" s="114" t="str">
        <f t="shared" ref="J187" si="70">H187</f>
        <v>团队副本-万仙阵</v>
      </c>
      <c r="K187" s="114" t="str">
        <f t="shared" ref="K187" si="71">I187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7" s="7"/>
      <c r="M187" s="115" t="str">
        <f>VLOOKUP(LEFT(RIGHT(B187,5),4),装备!B:CU,20,FALSE)</f>
        <v>ReplaceableTextures\\CommandButtons\\BTNIZ01.blp</v>
      </c>
      <c r="N187" s="132" t="s">
        <v>83</v>
      </c>
      <c r="O187" s="115" t="s">
        <v>90</v>
      </c>
      <c r="P187" s="7">
        <v>1</v>
      </c>
      <c r="Q187" s="7">
        <v>2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0</v>
      </c>
      <c r="Y187" s="132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IS01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抽技能Q</v>
      </c>
      <c r="I188" s="7" t="str">
        <f>VLOOKUP(B188,装备!B:CV,99,FALSE)</f>
        <v>抽技能Q</v>
      </c>
      <c r="J188" s="114" t="str">
        <f t="shared" si="68"/>
        <v>抽技能Q</v>
      </c>
      <c r="K188" s="114" t="str">
        <f t="shared" si="69"/>
        <v>抽技能Q</v>
      </c>
      <c r="L188" s="7"/>
      <c r="M188" s="115" t="str">
        <f>VLOOKUP(LEFT(RIGHT(B188,5),4),装备!B:CU,20,FALSE)</f>
        <v>ReplaceableTextures\\CommandButtons\\BTN001.blp</v>
      </c>
      <c r="N188" s="132" t="s">
        <v>83</v>
      </c>
      <c r="O188" s="115" t="s">
        <v>90</v>
      </c>
      <c r="P188" s="7">
        <v>0</v>
      </c>
      <c r="Q188" s="7">
        <v>0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IS02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抽技能W</v>
      </c>
      <c r="I189" s="7" t="str">
        <f>VLOOKUP(B189,装备!B:CV,99,FALSE)</f>
        <v>抽技能W</v>
      </c>
      <c r="J189" s="114" t="str">
        <f t="shared" si="66"/>
        <v>抽技能W</v>
      </c>
      <c r="K189" s="114" t="str">
        <f t="shared" si="67"/>
        <v>抽技能W</v>
      </c>
      <c r="L189" s="7"/>
      <c r="M189" s="115" t="str">
        <f>VLOOKUP(LEFT(RIGHT(B189,5),4),装备!B:CU,20,FALSE)</f>
        <v>ReplaceableTextures\\CommandButtons\\BTN002.blp</v>
      </c>
      <c r="N189" s="132" t="s">
        <v>83</v>
      </c>
      <c r="O189" s="115" t="s">
        <v>90</v>
      </c>
      <c r="P189" s="7">
        <v>1</v>
      </c>
      <c r="Q189" s="7">
        <v>0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IS03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抽技能E</v>
      </c>
      <c r="I190" s="7" t="str">
        <f>VLOOKUP(B190,装备!B:CV,99,FALSE)</f>
        <v>抽技能E</v>
      </c>
      <c r="J190" s="114" t="str">
        <f t="shared" si="66"/>
        <v>抽技能E</v>
      </c>
      <c r="K190" s="114" t="str">
        <f t="shared" si="67"/>
        <v>抽技能E</v>
      </c>
      <c r="L190" s="7"/>
      <c r="M190" s="115" t="str">
        <f>VLOOKUP(LEFT(RIGHT(B190,5),4),装备!B:CU,20,FALSE)</f>
        <v>ReplaceableTextures\\CommandButtons\\BTN003.blp</v>
      </c>
      <c r="N190" s="132" t="s">
        <v>83</v>
      </c>
      <c r="O190" s="115" t="s">
        <v>90</v>
      </c>
      <c r="P190" s="7">
        <v>2</v>
      </c>
      <c r="Q190" s="7">
        <v>0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IS21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Q附魔</v>
      </c>
      <c r="I191" s="7" t="str">
        <f>VLOOKUP(B191,装备!B:CV,99,FALSE)</f>
        <v>Q附魔</v>
      </c>
      <c r="J191" s="114" t="str">
        <f t="shared" si="66"/>
        <v>Q附魔</v>
      </c>
      <c r="K191" s="114" t="str">
        <f t="shared" si="67"/>
        <v>Q附魔</v>
      </c>
      <c r="L191" s="7"/>
      <c r="M191" s="115" t="str">
        <f>VLOOKUP(LEFT(RIGHT(B191,5),4),装备!B:CU,20,FALSE)</f>
        <v>ReplaceableTextures\\CommandButtons\\BTNIN01.blp</v>
      </c>
      <c r="N191" s="132" t="s">
        <v>83</v>
      </c>
      <c r="O191" s="115" t="s">
        <v>90</v>
      </c>
      <c r="P191" s="7">
        <v>0</v>
      </c>
      <c r="Q191" s="7">
        <v>2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360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IS22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W附魔</v>
      </c>
      <c r="I192" s="7" t="str">
        <f>VLOOKUP(B192,装备!B:CV,99,FALSE)</f>
        <v>W附魔</v>
      </c>
      <c r="J192" s="114" t="str">
        <f t="shared" ref="J192:J193" si="72">H192</f>
        <v>W附魔</v>
      </c>
      <c r="K192" s="114" t="str">
        <f t="shared" ref="K192:K193" si="73">I192</f>
        <v>W附魔</v>
      </c>
      <c r="L192" s="7"/>
      <c r="M192" s="115" t="str">
        <f>VLOOKUP(LEFT(RIGHT(B192,5),4),装备!B:CU,20,FALSE)</f>
        <v>ReplaceableTextures\\CommandButtons\\BTNIN02.blp</v>
      </c>
      <c r="N192" s="132" t="s">
        <v>83</v>
      </c>
      <c r="O192" s="115" t="s">
        <v>90</v>
      </c>
      <c r="P192" s="7">
        <v>1</v>
      </c>
      <c r="Q192" s="7">
        <v>2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360</v>
      </c>
      <c r="AA192" s="7">
        <v>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IS23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E附魔</v>
      </c>
      <c r="I193" s="7" t="str">
        <f>VLOOKUP(B193,装备!B:CV,99,FALSE)</f>
        <v>E附魔</v>
      </c>
      <c r="J193" s="114" t="str">
        <f t="shared" si="72"/>
        <v>E附魔</v>
      </c>
      <c r="K193" s="114" t="str">
        <f t="shared" si="73"/>
        <v>E附魔</v>
      </c>
      <c r="L193" s="7"/>
      <c r="M193" s="115" t="str">
        <f>VLOOKUP(LEFT(RIGHT(B193,5),4),装备!B:CU,20,FALSE)</f>
        <v>ReplaceableTextures\\CommandButtons\\BTNIN03.blp</v>
      </c>
      <c r="N193" s="132" t="s">
        <v>83</v>
      </c>
      <c r="O193" s="115" t="s">
        <v>90</v>
      </c>
      <c r="P193" s="7">
        <v>2</v>
      </c>
      <c r="Q193" s="7">
        <v>2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360</v>
      </c>
      <c r="AA193" s="7">
        <v>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IS11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占星</v>
      </c>
      <c r="I194" s="7" t="str">
        <f>VLOOKUP(B194,装备!B:CV,99,FALSE)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94" s="114" t="str">
        <f t="shared" ref="J194" si="74">H194</f>
        <v>占星</v>
      </c>
      <c r="K194" s="114" t="str">
        <f t="shared" ref="K194" si="75">I194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94" s="7"/>
      <c r="M194" s="115" t="str">
        <f>VLOOKUP(LEFT(RIGHT(B194,5),4),装备!B:CU,20,FALSE)</f>
        <v>ReplaceableTextures\\CommandButtons\\BTNIS11.blp</v>
      </c>
      <c r="N194" s="132" t="s">
        <v>83</v>
      </c>
      <c r="O194" s="115" t="s">
        <v>90</v>
      </c>
      <c r="P194" s="7">
        <v>0</v>
      </c>
      <c r="Q194" s="7">
        <v>0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0</v>
      </c>
      <c r="AA194" s="7">
        <v>240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IH00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觉醒兽魂</v>
      </c>
      <c r="I195" s="7" t="str">
        <f>VLOOKUP(B195,装备!B:CV,99,FALSE)</f>
        <v>抽中所有兽魂后觉醒|Cffff0000神兽神通（R）|r。|n|n|Cff00ff7f觉醒时将根据你抽中的兽魂，随机领悟对应的神兽神通。|r</v>
      </c>
      <c r="J195" s="114" t="str">
        <f t="shared" si="66"/>
        <v>觉醒兽魂</v>
      </c>
      <c r="K195" s="114" t="str">
        <f t="shared" si="67"/>
        <v>抽中所有兽魂后觉醒|Cffff0000神兽神通（R）|r。|n|n|Cff00ff7f觉醒时将根据你抽中的兽魂，随机领悟对应的神兽神通。|r</v>
      </c>
      <c r="L195" s="7"/>
      <c r="M195" s="115" t="str">
        <f>VLOOKUP(LEFT(RIGHT(B195,5),4),装备!B:CU,20,FALSE)</f>
        <v>ReplaceableTextures\\CommandButtons\\BTNIH00.blp</v>
      </c>
      <c r="N195" s="132" t="s">
        <v>83</v>
      </c>
      <c r="O195" s="115" t="s">
        <v>90</v>
      </c>
      <c r="P195" s="7">
        <v>3</v>
      </c>
      <c r="Q195" s="7">
        <v>2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IH01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|CffFF0000陛犴之魂|r</v>
      </c>
      <c r="I196" s="7" t="str">
        <f>VLOOKUP(B196,装备!B:CV,99,FALSE)</f>
        <v>|Cff999999基础属性：|n|r攻击+20%|n|n|Cff999999神通传承：|n|r|Cffff0000血之裂痕|r</v>
      </c>
      <c r="J196" s="114" t="str">
        <f t="shared" si="66"/>
        <v>|CffFF0000陛犴之魂|r</v>
      </c>
      <c r="K196" s="114" t="str">
        <f t="shared" si="67"/>
        <v>|Cff999999基础属性：|n|r攻击+20%|n|n|Cff999999神通传承：|n|r|Cffff0000血之裂痕|r</v>
      </c>
      <c r="L196" s="7"/>
      <c r="M196" s="115" t="str">
        <f>VLOOKUP(LEFT(RIGHT(B196,5),4),装备!B:CU,20,FALSE)</f>
        <v>ReplaceableTextures\\CommandButtons\\BTNIH01.blp</v>
      </c>
      <c r="N196" s="132" t="s">
        <v>83</v>
      </c>
      <c r="O196" s="115" t="s">
        <v>90</v>
      </c>
      <c r="P196" s="7">
        <v>0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IH02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|CffFF0000奎牛之魂|r</v>
      </c>
      <c r="I197" s="7" t="str">
        <f>VLOOKUP(B197,装备!B:CV,99,FALSE)</f>
        <v>|Cff999999基础属性：|n|r法强+20%|n|n|Cff999999神通传承：|n|r|Cffff0000十绝阵|r</v>
      </c>
      <c r="J197" s="114" t="str">
        <f t="shared" si="66"/>
        <v>|CffFF0000奎牛之魂|r</v>
      </c>
      <c r="K197" s="114" t="str">
        <f t="shared" si="67"/>
        <v>|Cff999999基础属性：|n|r法强+20%|n|n|Cff999999神通传承：|n|r|Cffff0000十绝阵|r</v>
      </c>
      <c r="L197" s="7"/>
      <c r="M197" s="115" t="str">
        <f>VLOOKUP(LEFT(RIGHT(B197,5),4),装备!B:CU,20,FALSE)</f>
        <v>ReplaceableTextures\\CommandButtons\\BTNIH02.blp</v>
      </c>
      <c r="N197" s="132" t="s">
        <v>83</v>
      </c>
      <c r="O197" s="115" t="s">
        <v>90</v>
      </c>
      <c r="P197" s="7">
        <v>1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IH03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|CffFF0000墨麒麟之魂|r</v>
      </c>
      <c r="I198" s="7" t="str">
        <f>VLOOKUP(B198,装备!B:CV,99,FALSE)</f>
        <v>|Cff999999基础属性：|n|r生命+40%|n|n|Cff999999神通传承：|n|r|Cffff0000八荒斗神|r</v>
      </c>
      <c r="J198" s="114" t="str">
        <f t="shared" si="66"/>
        <v>|CffFF0000墨麒麟之魂|r</v>
      </c>
      <c r="K198" s="114" t="str">
        <f t="shared" si="67"/>
        <v>|Cff999999基础属性：|n|r生命+40%|n|n|Cff999999神通传承：|n|r|Cffff0000八荒斗神|r</v>
      </c>
      <c r="L198" s="7"/>
      <c r="M198" s="115" t="str">
        <f>VLOOKUP(LEFT(RIGHT(B198,5),4),装备!B:CU,20,FALSE)</f>
        <v>ReplaceableTextures\\CommandButtons\\BTNIH03.blp</v>
      </c>
      <c r="N198" s="132" t="s">
        <v>83</v>
      </c>
      <c r="O198" s="115" t="s">
        <v>90</v>
      </c>
      <c r="P198" s="7">
        <v>2</v>
      </c>
      <c r="Q198" s="7">
        <v>0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IH04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|CffFF0000狻猊之魂|r</v>
      </c>
      <c r="I199" s="7" t="str">
        <f>VLOOKUP(B199,装备!B:CV,99,FALSE)</f>
        <v>|Cff999999基础属性：|n|r物穿+10%|n|n|Cff999999神通传承：|n|r|Cffff0000冰封之域|r</v>
      </c>
      <c r="J199" s="114" t="str">
        <f t="shared" si="66"/>
        <v>|CffFF0000狻猊之魂|r</v>
      </c>
      <c r="K199" s="114" t="str">
        <f t="shared" si="67"/>
        <v>|Cff999999基础属性：|n|r物穿+10%|n|n|Cff999999神通传承：|n|r|Cffff0000冰封之域|r</v>
      </c>
      <c r="L199" s="7"/>
      <c r="M199" s="115" t="str">
        <f>VLOOKUP(LEFT(RIGHT(B199,5),4),装备!B:CU,20,FALSE)</f>
        <v>ReplaceableTextures\\CommandButtons\\BTNIH04.blp</v>
      </c>
      <c r="N199" s="132" t="s">
        <v>83</v>
      </c>
      <c r="O199" s="115" t="s">
        <v>90</v>
      </c>
      <c r="P199" s="7">
        <v>3</v>
      </c>
      <c r="Q199" s="7">
        <v>0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IH05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|CffFF0000青鸾之魂|r</v>
      </c>
      <c r="I200" s="7" t="str">
        <f>VLOOKUP(B200,装备!B:CV,99,FALSE)</f>
        <v>|Cff999999基础属性：|n|r法穿+10%|n|n|Cff999999神通传承：|n|r|Cffff0000离魂秘术|r</v>
      </c>
      <c r="J200" s="114" t="str">
        <f t="shared" si="66"/>
        <v>|CffFF0000青鸾之魂|r</v>
      </c>
      <c r="K200" s="114" t="str">
        <f t="shared" si="67"/>
        <v>|Cff999999基础属性：|n|r法穿+10%|n|n|Cff999999神通传承：|n|r|Cffff0000离魂秘术|r</v>
      </c>
      <c r="L200" s="7"/>
      <c r="M200" s="115" t="str">
        <f>VLOOKUP(LEFT(RIGHT(B200,5),4),装备!B:CU,20,FALSE)</f>
        <v>ReplaceableTextures\\CommandButtons\\BTNIH05.blp</v>
      </c>
      <c r="N200" s="132" t="s">
        <v>83</v>
      </c>
      <c r="O200" s="115" t="s">
        <v>90</v>
      </c>
      <c r="P200" s="7">
        <v>0</v>
      </c>
      <c r="Q200" s="7">
        <v>1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IH06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|CffFF0000狰狞之魂|r</v>
      </c>
      <c r="I201" s="7" t="str">
        <f>VLOOKUP(B201,装备!B:CV,99,FALSE)</f>
        <v>|Cff999999基础属性：|n|r暴击+5%，爆伤+50%|n|n|Cff999999神通传承：|n|r|Cffff0000修罗之怒|r</v>
      </c>
      <c r="J201" s="114" t="str">
        <f t="shared" si="66"/>
        <v>|CffFF0000狰狞之魂|r</v>
      </c>
      <c r="K201" s="114" t="str">
        <f t="shared" si="67"/>
        <v>|Cff999999基础属性：|n|r暴击+5%，爆伤+50%|n|n|Cff999999神通传承：|n|r|Cffff0000修罗之怒|r</v>
      </c>
      <c r="L201" s="7"/>
      <c r="M201" s="115" t="str">
        <f>VLOOKUP(LEFT(RIGHT(B201,5),4),装备!B:CU,20,FALSE)</f>
        <v>ReplaceableTextures\\CommandButtons\\BTNIH06.blp</v>
      </c>
      <c r="N201" s="132" t="s">
        <v>83</v>
      </c>
      <c r="O201" s="115" t="s">
        <v>90</v>
      </c>
      <c r="P201" s="7">
        <v>1</v>
      </c>
      <c r="Q201" s="7">
        <v>1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IH07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|CffFF0000神威黑虎之魂|r</v>
      </c>
      <c r="I202" s="7" t="str">
        <f>VLOOKUP(B202,装备!B:CV,99,FALSE)</f>
        <v>|Cff999999基础属性：|n|r攻速+50%|n|n|Cff999999神通传承：|n|r|Cffff0000神威一击|r</v>
      </c>
      <c r="J202" s="114" t="str">
        <f t="shared" si="66"/>
        <v>|CffFF0000神威黑虎之魂|r</v>
      </c>
      <c r="K202" s="114" t="str">
        <f t="shared" si="67"/>
        <v>|Cff999999基础属性：|n|r攻速+50%|n|n|Cff999999神通传承：|n|r|Cffff0000神威一击|r</v>
      </c>
      <c r="L202" s="7"/>
      <c r="M202" s="115" t="str">
        <f>VLOOKUP(LEFT(RIGHT(B202,5),4),装备!B:CU,20,FALSE)</f>
        <v>ReplaceableTextures\\CommandButtons\\BTNIH07.blp</v>
      </c>
      <c r="N202" s="132" t="s">
        <v>83</v>
      </c>
      <c r="O202" s="115" t="s">
        <v>90</v>
      </c>
      <c r="P202" s="7">
        <v>2</v>
      </c>
      <c r="Q202" s="7">
        <v>1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IH08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|CffFF0000孔雀之魂|r</v>
      </c>
      <c r="I203" s="7" t="str">
        <f>VLOOKUP(B203,装备!B:CV,99,FALSE)</f>
        <v>|Cff999999基础属性：|n|r冷却+10%|n|n|Cff999999神通传承：|n|r|Cffff0000道法自然|r</v>
      </c>
      <c r="J203" s="114" t="str">
        <f t="shared" si="66"/>
        <v>|CffFF0000孔雀之魂|r</v>
      </c>
      <c r="K203" s="114" t="str">
        <f t="shared" si="67"/>
        <v>|Cff999999基础属性：|n|r冷却+10%|n|n|Cff999999神通传承：|n|r|Cffff0000道法自然|r</v>
      </c>
      <c r="L203" s="7"/>
      <c r="M203" s="115" t="str">
        <f>VLOOKUP(LEFT(RIGHT(B203,5),4),装备!B:CU,20,FALSE)</f>
        <v>ReplaceableTextures\\CommandButtons\\BTNIH08.blp</v>
      </c>
      <c r="N203" s="132" t="s">
        <v>83</v>
      </c>
      <c r="O203" s="115" t="s">
        <v>90</v>
      </c>
      <c r="P203" s="7">
        <v>3</v>
      </c>
      <c r="Q203" s="7">
        <v>1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IB01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公众号礼包</v>
      </c>
      <c r="I204" s="7" t="str">
        <f>VLOOKUP(B204,装备!B:CV,99,FALSE)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4" s="114" t="str">
        <f t="shared" si="66"/>
        <v>公众号礼包</v>
      </c>
      <c r="K204" s="114" t="str">
        <f t="shared" si="6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4" s="7"/>
      <c r="M204" s="115" t="str">
        <f>VLOOKUP(LEFT(RIGHT(B204,5),4),装备!B:CU,20,FALSE)</f>
        <v>ReplaceableTextures\\CommandButtons\\BTNIB01.blp</v>
      </c>
      <c r="N204" s="132" t="s">
        <v>83</v>
      </c>
      <c r="O204" s="115" t="s">
        <v>90</v>
      </c>
      <c r="P204" s="7">
        <v>0</v>
      </c>
      <c r="Q204" s="7">
        <v>0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IB02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入群礼包</v>
      </c>
      <c r="I205" s="7" t="str">
        <f>VLOOKUP(B205,装备!B:CV,99,FALSE)</f>
        <v>加入《|cff00ffcc全民封神|r》官方QQ群，即可获得入群礼包码！|n|n输入礼包码即可获得：|n|cffffcc33金币+2000|n每秒攻击+2|n每秒业力+1|r</v>
      </c>
      <c r="J205" s="114" t="str">
        <f t="shared" si="66"/>
        <v>入群礼包</v>
      </c>
      <c r="K205" s="114" t="str">
        <f t="shared" si="67"/>
        <v>加入《|cff00ffcc全民封神|r》官方QQ群，即可获得入群礼包码！|n|n输入礼包码即可获得：|n|cffffcc33金币+2000|n每秒攻击+2|n每秒业力+1|r</v>
      </c>
      <c r="L205" s="7"/>
      <c r="M205" s="115" t="str">
        <f>VLOOKUP(LEFT(RIGHT(B205,5),4),装备!B:CU,20,FALSE)</f>
        <v>ReplaceableTextures\\CommandButtons\\BTNIB02.blp</v>
      </c>
      <c r="N205" s="132" t="s">
        <v>83</v>
      </c>
      <c r="O205" s="115" t="s">
        <v>90</v>
      </c>
      <c r="P205" s="7">
        <v>1</v>
      </c>
      <c r="Q205" s="7">
        <v>0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IB03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拜年礼包</v>
      </c>
      <c r="I206" s="7" t="str">
        <f>VLOOKUP(B206,装备!B:CV,99,FALSE)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06" s="114" t="str">
        <f t="shared" si="66"/>
        <v>拜年礼包</v>
      </c>
      <c r="K206" s="114" t="str">
        <f t="shared" si="67"/>
        <v>|cff99ccff给与地图有效评论建议|r即可领取：|n|cffffff00杀敌生命+5|n杀敌业力+1|n|r|cffffcc33每级通行证永久增加3点杀敌生命奖励！|n|n|r|cff808080地图等级达到3级可领取|r</v>
      </c>
      <c r="L206" s="7"/>
      <c r="M206" s="115" t="str">
        <f>VLOOKUP(LEFT(RIGHT(B206,5),4),装备!B:CU,20,FALSE)</f>
        <v>ReplaceableTextures\\CommandButtons\\BTNIB03.blp</v>
      </c>
      <c r="N206" s="132" t="s">
        <v>83</v>
      </c>
      <c r="O206" s="115" t="s">
        <v>90</v>
      </c>
      <c r="P206" s="7">
        <v>2</v>
      </c>
      <c r="Q206" s="7">
        <v>0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IB04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收藏礼包</v>
      </c>
      <c r="I207" s="7" t="str">
        <f>VLOOKUP(B207,装备!B:CV,99,FALSE)</f>
        <v>|cff99ccff房间大厅界面点击右上角《|r|cffcc99ff收藏|r|cff99ccff》后可领取该礼包。|n|n|r属性：|n|cffffcc33物理伤害+5%|n法术伤害+5%|r</v>
      </c>
      <c r="J207" s="114" t="str">
        <f t="shared" si="66"/>
        <v>收藏礼包</v>
      </c>
      <c r="K207" s="114" t="str">
        <f t="shared" si="67"/>
        <v>|cff99ccff房间大厅界面点击右上角《|r|cffcc99ff收藏|r|cff99ccff》后可领取该礼包。|n|n|r属性：|n|cffffcc33物理伤害+5%|n法术伤害+5%|r</v>
      </c>
      <c r="L207" s="7"/>
      <c r="M207" s="115" t="str">
        <f>VLOOKUP(LEFT(RIGHT(B207,5),4),装备!B:CU,20,FALSE)</f>
        <v>ReplaceableTextures\\CommandButtons\\BTNIB04.blp</v>
      </c>
      <c r="N207" s="132" t="s">
        <v>83</v>
      </c>
      <c r="O207" s="115" t="s">
        <v>90</v>
      </c>
      <c r="P207" s="7">
        <v>3</v>
      </c>
      <c r="Q207" s="7">
        <v>0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IB05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重置版礼包</v>
      </c>
      <c r="I208" s="7" t="str">
        <f>VLOOKUP(B208,装备!B:CV,99,FALSE)</f>
        <v>|cff33ff00购买魔兽重制版可领取该礼包！|n|n|r属性：|n|cffffcc33高级聚宝盆|r</v>
      </c>
      <c r="J208" s="114" t="str">
        <f t="shared" si="66"/>
        <v>重置版礼包</v>
      </c>
      <c r="K208" s="114" t="str">
        <f t="shared" si="67"/>
        <v>|cff33ff00购买魔兽重制版可领取该礼包！|n|n|r属性：|n|cffffcc33高级聚宝盆|r</v>
      </c>
      <c r="L208" s="7"/>
      <c r="M208" s="115" t="str">
        <f>VLOOKUP(LEFT(RIGHT(B208,5),4),装备!B:CU,20,FALSE)</f>
        <v>ReplaceableTextures\\CommandButtons\\BTNIB05.blp</v>
      </c>
      <c r="N208" s="132" t="s">
        <v>83</v>
      </c>
      <c r="O208" s="115" t="s">
        <v>90</v>
      </c>
      <c r="P208" s="7">
        <v>0</v>
      </c>
      <c r="Q208" s="7">
        <v>1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IB06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公会福利</v>
      </c>
      <c r="I209" s="7" t="str">
        <f>VLOOKUP(B209,装备!B:CV,99,FALSE)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9" s="114" t="str">
        <f t="shared" ref="J209:J212" si="76">H209</f>
        <v>公会福利</v>
      </c>
      <c r="K209" s="114" t="str">
        <f t="shared" ref="K209:K212" si="77">I209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9" s="7"/>
      <c r="M209" s="115" t="str">
        <f>VLOOKUP(LEFT(RIGHT(B209,5),4),装备!B:CU,20,FALSE)</f>
        <v>ReplaceableTextures\\CommandButtons\\BTNIB06.blp</v>
      </c>
      <c r="N209" s="132" t="s">
        <v>83</v>
      </c>
      <c r="O209" s="115" t="s">
        <v>90</v>
      </c>
      <c r="P209" s="7">
        <v>1</v>
      </c>
      <c r="Q209" s="7">
        <v>1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IB07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星耀礼包</v>
      </c>
      <c r="I210" s="7" t="str">
        <f>VLOOKUP(B210,装备!B:CV,99,FALSE)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0" s="114" t="str">
        <f t="shared" si="76"/>
        <v>星耀礼包</v>
      </c>
      <c r="K210" s="114" t="str">
        <f t="shared" si="7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0" s="7"/>
      <c r="M210" s="115" t="str">
        <f>VLOOKUP(LEFT(RIGHT(B210,5),4),装备!B:CU,20,FALSE)</f>
        <v>ReplaceableTextures\\CommandButtons\\BTNIB07.blp</v>
      </c>
      <c r="N210" s="132" t="s">
        <v>83</v>
      </c>
      <c r="O210" s="115" t="s">
        <v>90</v>
      </c>
      <c r="P210" s="7">
        <v>2</v>
      </c>
      <c r="Q210" s="7">
        <v>1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IB08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魔芝RPG礼包</v>
      </c>
      <c r="I211" s="7" t="str">
        <f>VLOOKUP(B211,装备!B:CV,99,FALSE)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1" s="114" t="str">
        <f t="shared" si="76"/>
        <v>魔芝RPG礼包</v>
      </c>
      <c r="K211" s="114" t="str">
        <f t="shared" si="7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1" s="7"/>
      <c r="M211" s="115" t="str">
        <f>VLOOKUP(LEFT(RIGHT(B211,5),4),装备!B:CU,20,FALSE)</f>
        <v>ReplaceableTextures\\CommandButtons\\BTNIB08.blp</v>
      </c>
      <c r="N211" s="132" t="s">
        <v>83</v>
      </c>
      <c r="O211" s="115" t="s">
        <v>90</v>
      </c>
      <c r="P211" s="7">
        <v>3</v>
      </c>
      <c r="Q211" s="7">
        <v>1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1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IB09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老铁礼包</v>
      </c>
      <c r="I212" s="7">
        <f>VLOOKUP(B212,装备!B:CV,99,FALSE)</f>
        <v>0</v>
      </c>
      <c r="J212" s="114" t="str">
        <f t="shared" si="76"/>
        <v>老铁礼包</v>
      </c>
      <c r="K212" s="114">
        <f t="shared" si="77"/>
        <v>0</v>
      </c>
      <c r="L212" s="7"/>
      <c r="M212" s="115" t="str">
        <f>VLOOKUP(LEFT(RIGHT(B212,5),4),装备!B:CU,20,FALSE)</f>
        <v>ReplaceableTextures\\CommandButtons\\BTNIB09.blp</v>
      </c>
      <c r="N212" s="132" t="s">
        <v>83</v>
      </c>
      <c r="O212" s="115" t="s">
        <v>90</v>
      </c>
      <c r="P212" s="7">
        <v>0</v>
      </c>
      <c r="Q212" s="7">
        <v>0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1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IB51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已领取公众号礼包</v>
      </c>
      <c r="I213" s="7" t="str">
        <f>VLOOKUP(B213,装备!B:CV,99,FALSE)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14" t="str">
        <f>H213</f>
        <v>已领取公众号礼包</v>
      </c>
      <c r="K213" s="114" t="str">
        <f>I213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7"/>
      <c r="M213" s="115" t="str">
        <f>VLOOKUP(LEFT(RIGHT(B213,5),4),装备!B:CU,20,FALSE)</f>
        <v>ReplaceableTextures\\CommandButtons\\BTNIB51.blp</v>
      </c>
      <c r="N213" s="132" t="s">
        <v>83</v>
      </c>
      <c r="O213" s="115" t="s">
        <v>90</v>
      </c>
      <c r="P213" s="7">
        <v>0</v>
      </c>
      <c r="Q213" s="7">
        <v>0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IB52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已领取入群礼包</v>
      </c>
      <c r="I214" s="7" t="str">
        <f>VLOOKUP(B214,装备!B:CV,99,FALSE)</f>
        <v>加入《|cff00ffcc全民封神|r》官方QQ群，即可获得入群礼包码！|n|n输入礼包码即可获得：|n|cffffcc33金币+2000|n每秒攻击+2|n每秒业力+1|r</v>
      </c>
      <c r="J214" s="114" t="str">
        <f t="shared" ref="J214:J219" si="78">H214</f>
        <v>已领取入群礼包</v>
      </c>
      <c r="K214" s="114" t="str">
        <f t="shared" ref="K214:K219" si="79">I214</f>
        <v>加入《|cff00ffcc全民封神|r》官方QQ群，即可获得入群礼包码！|n|n输入礼包码即可获得：|n|cffffcc33金币+2000|n每秒攻击+2|n每秒业力+1|r</v>
      </c>
      <c r="L214" s="7"/>
      <c r="M214" s="115" t="str">
        <f>VLOOKUP(LEFT(RIGHT(B214,5),4),装备!B:CU,20,FALSE)</f>
        <v>ReplaceableTextures\\CommandButtons\\BTNIB52.blp</v>
      </c>
      <c r="N214" s="132" t="s">
        <v>83</v>
      </c>
      <c r="O214" s="115" t="s">
        <v>90</v>
      </c>
      <c r="P214" s="7">
        <v>1</v>
      </c>
      <c r="Q214" s="7">
        <v>0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IB53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已领取拜年礼包</v>
      </c>
      <c r="I215" s="7" t="str">
        <f>VLOOKUP(B215,装备!B:CV,99,FALSE)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15" s="114" t="str">
        <f t="shared" si="78"/>
        <v>已领取拜年礼包</v>
      </c>
      <c r="K215" s="114" t="str">
        <f t="shared" si="79"/>
        <v>|cff99ccff给与地图有效评论建议|r即可领取：|n|cffffff00杀敌生命+5|n杀敌业力+1|n|r|cffffcc33每级通行证永久增加3点杀敌生命奖励！|n|n|r|cff808080地图等级达到3级可领取|r</v>
      </c>
      <c r="L215" s="7"/>
      <c r="M215" s="115" t="str">
        <f>VLOOKUP(LEFT(RIGHT(B215,5),4),装备!B:CU,20,FALSE)</f>
        <v>ReplaceableTextures\\CommandButtons\\BTNIB53.blp</v>
      </c>
      <c r="N215" s="132" t="s">
        <v>83</v>
      </c>
      <c r="O215" s="115" t="s">
        <v>90</v>
      </c>
      <c r="P215" s="7">
        <v>2</v>
      </c>
      <c r="Q215" s="7">
        <v>0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IB54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已领取收藏礼包</v>
      </c>
      <c r="I216" s="7" t="str">
        <f>VLOOKUP(B216,装备!B:CV,99,FALSE)</f>
        <v>|cff99ccff房间大厅界面点击右上角《|r|cffcc99ff收藏|r|cff99ccff》后可领取该礼包。|n|n|r属性：|n|cffffcc33物理伤害+5%|n法术伤害+5%|r</v>
      </c>
      <c r="J216" s="114" t="str">
        <f t="shared" si="78"/>
        <v>已领取收藏礼包</v>
      </c>
      <c r="K216" s="114" t="str">
        <f t="shared" si="79"/>
        <v>|cff99ccff房间大厅界面点击右上角《|r|cffcc99ff收藏|r|cff99ccff》后可领取该礼包。|n|n|r属性：|n|cffffcc33物理伤害+5%|n法术伤害+5%|r</v>
      </c>
      <c r="L216" s="7"/>
      <c r="M216" s="115" t="str">
        <f>VLOOKUP(LEFT(RIGHT(B216,5),4),装备!B:CU,20,FALSE)</f>
        <v>ReplaceableTextures\\CommandButtons\\BTNIB54.blp</v>
      </c>
      <c r="N216" s="132" t="s">
        <v>83</v>
      </c>
      <c r="O216" s="115" t="s">
        <v>90</v>
      </c>
      <c r="P216" s="7">
        <v>3</v>
      </c>
      <c r="Q216" s="7">
        <v>0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IB55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已领取重置版礼包</v>
      </c>
      <c r="I217" s="7" t="str">
        <f>VLOOKUP(B217,装备!B:CV,99,FALSE)</f>
        <v>|cff33ff00购买魔兽重制版可领取该礼包！|n|n|r属性：|n|cffffcc33高级聚宝盆|r</v>
      </c>
      <c r="J217" s="114" t="str">
        <f t="shared" si="78"/>
        <v>已领取重置版礼包</v>
      </c>
      <c r="K217" s="114" t="str">
        <f t="shared" si="79"/>
        <v>|cff33ff00购买魔兽重制版可领取该礼包！|n|n|r属性：|n|cffffcc33高级聚宝盆|r</v>
      </c>
      <c r="L217" s="7"/>
      <c r="M217" s="115" t="str">
        <f>VLOOKUP(LEFT(RIGHT(B217,5),4),装备!B:CU,20,FALSE)</f>
        <v>ReplaceableTextures\\CommandButtons\\BTNIB55.blp</v>
      </c>
      <c r="N217" s="132" t="s">
        <v>83</v>
      </c>
      <c r="O217" s="115" t="s">
        <v>90</v>
      </c>
      <c r="P217" s="7">
        <v>0</v>
      </c>
      <c r="Q217" s="7">
        <v>1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0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IB56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已领取公会福利</v>
      </c>
      <c r="I218" s="7" t="str">
        <f>VLOOKUP(B218,装备!B:CV,99,FALSE)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14" t="str">
        <f t="shared" si="78"/>
        <v>已领取公会福利</v>
      </c>
      <c r="K218" s="114" t="str">
        <f t="shared" si="7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7"/>
      <c r="M218" s="115" t="str">
        <f>VLOOKUP(LEFT(RIGHT(B218,5),4),装备!B:CU,20,FALSE)</f>
        <v>ReplaceableTextures\\CommandButtons\\BTNIB56.blp</v>
      </c>
      <c r="N218" s="132" t="s">
        <v>83</v>
      </c>
      <c r="O218" s="115" t="s">
        <v>90</v>
      </c>
      <c r="P218" s="7">
        <v>1</v>
      </c>
      <c r="Q218" s="7">
        <v>1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0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IB57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已领取星耀礼包</v>
      </c>
      <c r="I219" s="7" t="str">
        <f>VLOOKUP(B219,装备!B:CV,99,FALSE)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14" t="str">
        <f t="shared" si="78"/>
        <v>已领取星耀礼包</v>
      </c>
      <c r="K219" s="114" t="str">
        <f t="shared" si="7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7"/>
      <c r="M219" s="115" t="str">
        <f>VLOOKUP(LEFT(RIGHT(B219,5),4),装备!B:CU,20,FALSE)</f>
        <v>ReplaceableTextures\\CommandButtons\\BTNIB57.blp</v>
      </c>
      <c r="N219" s="132" t="s">
        <v>83</v>
      </c>
      <c r="O219" s="115" t="s">
        <v>90</v>
      </c>
      <c r="P219" s="7">
        <v>2</v>
      </c>
      <c r="Q219" s="7">
        <v>1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0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IB58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已领取魔芝RPG礼包</v>
      </c>
      <c r="I220" s="7" t="str">
        <f>VLOOKUP(B220,装备!B:CV,99,FALSE)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14" t="str">
        <f>H220</f>
        <v>已领取魔芝RPG礼包</v>
      </c>
      <c r="K220" s="114" t="str">
        <f>I220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7"/>
      <c r="M220" s="115" t="str">
        <f>VLOOKUP(LEFT(RIGHT(B220,5),4),装备!B:CU,20,FALSE)</f>
        <v>ReplaceableTextures\\CommandButtons\\BTNIB58.blp</v>
      </c>
      <c r="N220" s="132" t="s">
        <v>83</v>
      </c>
      <c r="O220" s="115" t="s">
        <v>90</v>
      </c>
      <c r="P220" s="7">
        <v>3</v>
      </c>
      <c r="Q220" s="7">
        <v>1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0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IB59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已领取老铁礼包</v>
      </c>
      <c r="I221" s="7" t="str">
        <f>VLOOKUP(B221,装备!B:CV,99,FALSE)</f>
        <v>已领取老铁礼包</v>
      </c>
      <c r="J221" s="114" t="str">
        <f>H221</f>
        <v>已领取老铁礼包</v>
      </c>
      <c r="K221" s="114" t="str">
        <f>I221</f>
        <v>已领取老铁礼包</v>
      </c>
      <c r="L221" s="7"/>
      <c r="M221" s="115" t="str">
        <f>VLOOKUP(LEFT(RIGHT(B221,5),4),装备!B:CU,20,FALSE)</f>
        <v>ReplaceableTextures\\CommandButtons\\BTNIB59.blp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0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IF01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攻击</v>
      </c>
      <c r="I222" s="7">
        <f>VLOOKUP(B222,装备!B:CV,99,FALSE)</f>
        <v>0</v>
      </c>
      <c r="J222" s="114" t="str">
        <f t="shared" ref="J222" si="80">H222</f>
        <v>攻击</v>
      </c>
      <c r="K222" s="114">
        <f t="shared" ref="K222" si="81">I222</f>
        <v>0</v>
      </c>
      <c r="L222" s="7"/>
      <c r="M222" s="115" t="str">
        <f>VLOOKUP(LEFT(RIGHT(B222,5),4),装备!B:CU,20,FALSE)</f>
        <v>ReplaceableTextures\\CommandButtons\\BTNIF01.blp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IF02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法强</v>
      </c>
      <c r="I223" s="7">
        <f>VLOOKUP(B223,装备!B:CV,99,FALSE)</f>
        <v>0</v>
      </c>
      <c r="J223" s="114" t="str">
        <f t="shared" ref="J223:J248" si="82">H223</f>
        <v>法强</v>
      </c>
      <c r="K223" s="114">
        <f t="shared" ref="K223:K248" si="83">I223</f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IF03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攻击</v>
      </c>
      <c r="I224" s="7">
        <f>VLOOKUP(B224,装备!B:CV,99,FALSE)</f>
        <v>0</v>
      </c>
      <c r="J224" s="114" t="str">
        <f t="shared" si="82"/>
        <v>攻击</v>
      </c>
      <c r="K224" s="114">
        <f t="shared" si="83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IF04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法强</v>
      </c>
      <c r="I225" s="7">
        <f>VLOOKUP(B225,装备!B:CV,99,FALSE)</f>
        <v>0</v>
      </c>
      <c r="J225" s="114" t="str">
        <f t="shared" si="82"/>
        <v>法强</v>
      </c>
      <c r="K225" s="114">
        <f t="shared" si="83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IF05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攻击</v>
      </c>
      <c r="I226" s="7">
        <f>VLOOKUP(B226,装备!B:CV,99,FALSE)</f>
        <v>0</v>
      </c>
      <c r="J226" s="114" t="str">
        <f t="shared" si="82"/>
        <v>攻击</v>
      </c>
      <c r="K226" s="114">
        <f t="shared" si="83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IF06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法强</v>
      </c>
      <c r="I227" s="7">
        <f>VLOOKUP(B227,装备!B:CV,99,FALSE)</f>
        <v>0</v>
      </c>
      <c r="J227" s="114" t="str">
        <f t="shared" si="82"/>
        <v>法强</v>
      </c>
      <c r="K227" s="114">
        <f t="shared" si="83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IF07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攻击</v>
      </c>
      <c r="I228" s="7">
        <f>VLOOKUP(B228,装备!B:CV,99,FALSE)</f>
        <v>0</v>
      </c>
      <c r="J228" s="114" t="str">
        <f t="shared" si="82"/>
        <v>攻击</v>
      </c>
      <c r="K228" s="114">
        <f t="shared" si="83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IF08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法强</v>
      </c>
      <c r="I229" s="7">
        <f>VLOOKUP(B229,装备!B:CV,99,FALSE)</f>
        <v>0</v>
      </c>
      <c r="J229" s="114" t="str">
        <f t="shared" si="82"/>
        <v>法强</v>
      </c>
      <c r="K229" s="114">
        <f t="shared" si="83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IF09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攻击</v>
      </c>
      <c r="I230" s="7">
        <f>VLOOKUP(B230,装备!B:CV,99,FALSE)</f>
        <v>0</v>
      </c>
      <c r="J230" s="114" t="str">
        <f t="shared" si="82"/>
        <v>攻击</v>
      </c>
      <c r="K230" s="114">
        <f t="shared" si="83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IF10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法强</v>
      </c>
      <c r="I231" s="7">
        <f>VLOOKUP(B231,装备!B:CV,99,FALSE)</f>
        <v>0</v>
      </c>
      <c r="J231" s="114" t="str">
        <f t="shared" si="82"/>
        <v>法强</v>
      </c>
      <c r="K231" s="114">
        <f t="shared" si="83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IF11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攻击和法强</v>
      </c>
      <c r="I232" s="7">
        <f>VLOOKUP(B232,装备!B:CV,99,FALSE)</f>
        <v>0</v>
      </c>
      <c r="J232" s="114" t="str">
        <f t="shared" si="82"/>
        <v>攻击和法强</v>
      </c>
      <c r="K232" s="114">
        <f t="shared" si="83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IF12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暴击</v>
      </c>
      <c r="I233" s="7">
        <f>VLOOKUP(B233,装备!B:CV,99,FALSE)</f>
        <v>0</v>
      </c>
      <c r="J233" s="114" t="str">
        <f t="shared" si="82"/>
        <v>暴击</v>
      </c>
      <c r="K233" s="114">
        <f t="shared" si="83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IF13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爆伤</v>
      </c>
      <c r="I234" s="7">
        <f>VLOOKUP(B234,装备!B:CV,99,FALSE)</f>
        <v>0</v>
      </c>
      <c r="J234" s="114" t="str">
        <f t="shared" si="82"/>
        <v>爆伤</v>
      </c>
      <c r="K234" s="114">
        <f t="shared" si="83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IF14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爆伤</v>
      </c>
      <c r="I235" s="7">
        <f>VLOOKUP(B235,装备!B:CV,99,FALSE)</f>
        <v>0</v>
      </c>
      <c r="J235" s="114" t="str">
        <f t="shared" si="82"/>
        <v>爆伤</v>
      </c>
      <c r="K235" s="114">
        <f t="shared" si="83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IF15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爆伤</v>
      </c>
      <c r="I236" s="7">
        <f>VLOOKUP(B236,装备!B:CV,99,FALSE)</f>
        <v>0</v>
      </c>
      <c r="J236" s="114" t="str">
        <f t="shared" si="82"/>
        <v>爆伤</v>
      </c>
      <c r="K236" s="114">
        <f t="shared" si="83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IF16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冷却缩减</v>
      </c>
      <c r="I237" s="7">
        <f>VLOOKUP(B237,装备!B:CV,99,FALSE)</f>
        <v>0</v>
      </c>
      <c r="J237" s="114" t="str">
        <f t="shared" si="82"/>
        <v>冷却缩减</v>
      </c>
      <c r="K237" s="114">
        <f t="shared" si="83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IF17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冷却缩减</v>
      </c>
      <c r="I238" s="7">
        <f>VLOOKUP(B238,装备!B:CV,99,FALSE)</f>
        <v>0</v>
      </c>
      <c r="J238" s="114" t="str">
        <f t="shared" si="82"/>
        <v>冷却缩减</v>
      </c>
      <c r="K238" s="114">
        <f t="shared" si="83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IF18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攻击速度</v>
      </c>
      <c r="I239" s="7">
        <f>VLOOKUP(B239,装备!B:CV,99,FALSE)</f>
        <v>0</v>
      </c>
      <c r="J239" s="114" t="str">
        <f t="shared" si="82"/>
        <v>攻击速度</v>
      </c>
      <c r="K239" s="114">
        <f t="shared" si="83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IF19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攻击速度</v>
      </c>
      <c r="I240" s="7">
        <f>VLOOKUP(B240,装备!B:CV,99,FALSE)</f>
        <v>0</v>
      </c>
      <c r="J240" s="114" t="str">
        <f t="shared" si="82"/>
        <v>攻击速度</v>
      </c>
      <c r="K240" s="114">
        <f t="shared" si="83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IF20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普攻伤害</v>
      </c>
      <c r="I241" s="7">
        <f>VLOOKUP(B241,装备!B:CV,99,FALSE)</f>
        <v>0</v>
      </c>
      <c r="J241" s="114" t="str">
        <f t="shared" si="82"/>
        <v>普攻伤害</v>
      </c>
      <c r="K241" s="114">
        <f t="shared" si="83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IF21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普攻伤害</v>
      </c>
      <c r="I242" s="7">
        <f>VLOOKUP(B242,装备!B:CV,99,FALSE)</f>
        <v>0</v>
      </c>
      <c r="J242" s="114" t="str">
        <f t="shared" si="82"/>
        <v>普攻伤害</v>
      </c>
      <c r="K242" s="114">
        <f t="shared" si="83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IF22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回蓝</v>
      </c>
      <c r="I243" s="7">
        <f>VLOOKUP(B243,装备!B:CV,99,FALSE)</f>
        <v>0</v>
      </c>
      <c r="J243" s="114" t="str">
        <f t="shared" si="82"/>
        <v>回蓝</v>
      </c>
      <c r="K243" s="114">
        <f t="shared" si="83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 t="str">
        <f>装备!B244</f>
        <v>IF23</v>
      </c>
      <c r="C244" s="7" t="s">
        <v>41</v>
      </c>
      <c r="D244" s="7" t="s">
        <v>81</v>
      </c>
      <c r="E244" s="7"/>
      <c r="F244" s="7"/>
      <c r="G244" s="7"/>
      <c r="H244" s="7" t="str">
        <f>VLOOKUP(LEFT(RIGHT(B244,5),4),装备!B:CU,2,FALSE)</f>
        <v>回蓝</v>
      </c>
      <c r="I244" s="7">
        <f>VLOOKUP(B244,装备!B:CV,99,FALSE)</f>
        <v>0</v>
      </c>
      <c r="J244" s="114" t="str">
        <f t="shared" si="82"/>
        <v>回蓝</v>
      </c>
      <c r="K244" s="114">
        <f t="shared" si="83"/>
        <v>0</v>
      </c>
      <c r="L244" s="7"/>
      <c r="M244" s="115">
        <f>VLOOKUP(LEFT(RIGHT(B244,5),4),装备!B:CU,20,FALSE)</f>
        <v>0</v>
      </c>
      <c r="N244" s="132" t="s">
        <v>83</v>
      </c>
      <c r="O244" s="115" t="s">
        <v>90</v>
      </c>
      <c r="P244" s="7">
        <v>0</v>
      </c>
      <c r="Q244" s="7">
        <v>0</v>
      </c>
      <c r="R244" s="132" t="s">
        <v>83</v>
      </c>
      <c r="S244" s="132" t="s">
        <v>83</v>
      </c>
      <c r="T244" s="132" t="s">
        <v>83</v>
      </c>
      <c r="U244" s="132" t="s">
        <v>83</v>
      </c>
      <c r="V244" s="7"/>
      <c r="W244" s="7" t="s">
        <v>87</v>
      </c>
      <c r="X244" s="7">
        <v>0</v>
      </c>
      <c r="Y244" s="132" t="s">
        <v>83</v>
      </c>
      <c r="Z244" s="7">
        <v>0</v>
      </c>
      <c r="AA244" s="7">
        <v>0</v>
      </c>
      <c r="AB244" s="7">
        <v>0</v>
      </c>
      <c r="AC244" s="7">
        <v>1</v>
      </c>
      <c r="AD244" s="7">
        <v>1</v>
      </c>
      <c r="AE244" s="132" t="s">
        <v>83</v>
      </c>
      <c r="AF244" s="132" t="s">
        <v>83</v>
      </c>
      <c r="AG244" s="132" t="s">
        <v>83</v>
      </c>
      <c r="AH244" s="132" t="s">
        <v>83</v>
      </c>
      <c r="AI244" s="7">
        <v>1</v>
      </c>
      <c r="AJ244" s="7"/>
      <c r="AK244" s="7">
        <v>1</v>
      </c>
      <c r="AL244" s="7">
        <v>1</v>
      </c>
      <c r="AM244" s="132" t="s">
        <v>83</v>
      </c>
      <c r="AN244" s="7">
        <v>1</v>
      </c>
      <c r="AO244" s="7">
        <v>1</v>
      </c>
      <c r="AP244" s="7">
        <v>1</v>
      </c>
    </row>
    <row r="245" spans="1:42">
      <c r="A245" s="112"/>
      <c r="B245" s="7" t="str">
        <f>装备!B245</f>
        <v>IF24</v>
      </c>
      <c r="C245" s="7" t="s">
        <v>41</v>
      </c>
      <c r="D245" s="7" t="s">
        <v>81</v>
      </c>
      <c r="E245" s="7"/>
      <c r="F245" s="7"/>
      <c r="G245" s="7"/>
      <c r="H245" s="7" t="str">
        <f>VLOOKUP(LEFT(RIGHT(B245,5),4),装备!B:CU,2,FALSE)</f>
        <v>生命回复</v>
      </c>
      <c r="I245" s="7">
        <f>VLOOKUP(B245,装备!B:CV,99,FALSE)</f>
        <v>0</v>
      </c>
      <c r="J245" s="114" t="str">
        <f t="shared" si="82"/>
        <v>生命回复</v>
      </c>
      <c r="K245" s="114">
        <f t="shared" si="83"/>
        <v>0</v>
      </c>
      <c r="L245" s="7"/>
      <c r="M245" s="115">
        <f>VLOOKUP(LEFT(RIGHT(B245,5),4),装备!B:CU,20,FALSE)</f>
        <v>0</v>
      </c>
      <c r="N245" s="132" t="s">
        <v>83</v>
      </c>
      <c r="O245" s="115" t="s">
        <v>90</v>
      </c>
      <c r="P245" s="7">
        <v>0</v>
      </c>
      <c r="Q245" s="7">
        <v>0</v>
      </c>
      <c r="R245" s="132" t="s">
        <v>83</v>
      </c>
      <c r="S245" s="132" t="s">
        <v>83</v>
      </c>
      <c r="T245" s="132" t="s">
        <v>83</v>
      </c>
      <c r="U245" s="132" t="s">
        <v>83</v>
      </c>
      <c r="V245" s="7"/>
      <c r="W245" s="7" t="s">
        <v>87</v>
      </c>
      <c r="X245" s="7">
        <v>0</v>
      </c>
      <c r="Y245" s="132" t="s">
        <v>83</v>
      </c>
      <c r="Z245" s="7">
        <v>0</v>
      </c>
      <c r="AA245" s="7">
        <v>0</v>
      </c>
      <c r="AB245" s="7">
        <v>0</v>
      </c>
      <c r="AC245" s="7">
        <v>1</v>
      </c>
      <c r="AD245" s="7">
        <v>1</v>
      </c>
      <c r="AE245" s="132" t="s">
        <v>83</v>
      </c>
      <c r="AF245" s="132" t="s">
        <v>83</v>
      </c>
      <c r="AG245" s="132" t="s">
        <v>83</v>
      </c>
      <c r="AH245" s="132" t="s">
        <v>83</v>
      </c>
      <c r="AI245" s="7">
        <v>1</v>
      </c>
      <c r="AJ245" s="7"/>
      <c r="AK245" s="7">
        <v>1</v>
      </c>
      <c r="AL245" s="7">
        <v>1</v>
      </c>
      <c r="AM245" s="132" t="s">
        <v>83</v>
      </c>
      <c r="AN245" s="7">
        <v>1</v>
      </c>
      <c r="AO245" s="7">
        <v>1</v>
      </c>
      <c r="AP245" s="7">
        <v>1</v>
      </c>
    </row>
    <row r="246" spans="1:42">
      <c r="A246" s="112"/>
      <c r="B246" s="7" t="str">
        <f>装备!B246</f>
        <v>IF25</v>
      </c>
      <c r="C246" s="7" t="s">
        <v>41</v>
      </c>
      <c r="D246" s="7" t="s">
        <v>81</v>
      </c>
      <c r="E246" s="7"/>
      <c r="F246" s="7"/>
      <c r="G246" s="7"/>
      <c r="H246" s="7" t="str">
        <f>VLOOKUP(LEFT(RIGHT(B246,5),4),装备!B:CU,2,FALSE)</f>
        <v>伤害吸血</v>
      </c>
      <c r="I246" s="7">
        <f>VLOOKUP(B246,装备!B:CV,99,FALSE)</f>
        <v>0</v>
      </c>
      <c r="J246" s="114" t="str">
        <f t="shared" si="82"/>
        <v>伤害吸血</v>
      </c>
      <c r="K246" s="114">
        <f t="shared" si="83"/>
        <v>0</v>
      </c>
      <c r="L246" s="7"/>
      <c r="M246" s="115">
        <f>VLOOKUP(LEFT(RIGHT(B246,5),4),装备!B:CU,20,FALSE)</f>
        <v>0</v>
      </c>
      <c r="N246" s="132" t="s">
        <v>83</v>
      </c>
      <c r="O246" s="115" t="s">
        <v>90</v>
      </c>
      <c r="P246" s="7">
        <v>0</v>
      </c>
      <c r="Q246" s="7">
        <v>0</v>
      </c>
      <c r="R246" s="132" t="s">
        <v>83</v>
      </c>
      <c r="S246" s="132" t="s">
        <v>83</v>
      </c>
      <c r="T246" s="132" t="s">
        <v>83</v>
      </c>
      <c r="U246" s="132" t="s">
        <v>83</v>
      </c>
      <c r="V246" s="7"/>
      <c r="W246" s="7" t="s">
        <v>87</v>
      </c>
      <c r="X246" s="7">
        <v>0</v>
      </c>
      <c r="Y246" s="132" t="s">
        <v>83</v>
      </c>
      <c r="Z246" s="7">
        <v>0</v>
      </c>
      <c r="AA246" s="7">
        <v>0</v>
      </c>
      <c r="AB246" s="7">
        <v>0</v>
      </c>
      <c r="AC246" s="7">
        <v>1</v>
      </c>
      <c r="AD246" s="7">
        <v>1</v>
      </c>
      <c r="AE246" s="132" t="s">
        <v>83</v>
      </c>
      <c r="AF246" s="132" t="s">
        <v>83</v>
      </c>
      <c r="AG246" s="132" t="s">
        <v>83</v>
      </c>
      <c r="AH246" s="132" t="s">
        <v>83</v>
      </c>
      <c r="AI246" s="7">
        <v>1</v>
      </c>
      <c r="AJ246" s="7"/>
      <c r="AK246" s="7">
        <v>1</v>
      </c>
      <c r="AL246" s="7">
        <v>1</v>
      </c>
      <c r="AM246" s="132" t="s">
        <v>83</v>
      </c>
      <c r="AN246" s="7">
        <v>1</v>
      </c>
      <c r="AO246" s="7">
        <v>1</v>
      </c>
      <c r="AP246" s="7">
        <v>1</v>
      </c>
    </row>
    <row r="247" spans="1:42">
      <c r="A247" s="112"/>
      <c r="B247" s="7" t="str">
        <f>装备!B247</f>
        <v>IF26</v>
      </c>
      <c r="C247" s="7" t="s">
        <v>41</v>
      </c>
      <c r="D247" s="7" t="s">
        <v>81</v>
      </c>
      <c r="E247" s="7"/>
      <c r="F247" s="7"/>
      <c r="G247" s="7"/>
      <c r="H247" s="7" t="str">
        <f>VLOOKUP(LEFT(RIGHT(B247,5),4),装备!B:CU,2,FALSE)</f>
        <v>闪避</v>
      </c>
      <c r="I247" s="7">
        <f>VLOOKUP(B247,装备!B:CV,99,FALSE)</f>
        <v>0</v>
      </c>
      <c r="J247" s="114" t="str">
        <f t="shared" si="82"/>
        <v>闪避</v>
      </c>
      <c r="K247" s="114">
        <f t="shared" si="83"/>
        <v>0</v>
      </c>
      <c r="L247" s="7"/>
      <c r="M247" s="115">
        <f>VLOOKUP(LEFT(RIGHT(B247,5),4),装备!B:CU,20,FALSE)</f>
        <v>0</v>
      </c>
      <c r="N247" s="132" t="s">
        <v>83</v>
      </c>
      <c r="O247" s="115" t="s">
        <v>90</v>
      </c>
      <c r="P247" s="7">
        <v>0</v>
      </c>
      <c r="Q247" s="7">
        <v>0</v>
      </c>
      <c r="R247" s="132" t="s">
        <v>83</v>
      </c>
      <c r="S247" s="132" t="s">
        <v>83</v>
      </c>
      <c r="T247" s="132" t="s">
        <v>83</v>
      </c>
      <c r="U247" s="132" t="s">
        <v>83</v>
      </c>
      <c r="V247" s="7"/>
      <c r="W247" s="7" t="s">
        <v>87</v>
      </c>
      <c r="X247" s="7">
        <v>0</v>
      </c>
      <c r="Y247" s="132" t="s">
        <v>83</v>
      </c>
      <c r="Z247" s="7">
        <v>0</v>
      </c>
      <c r="AA247" s="7">
        <v>0</v>
      </c>
      <c r="AB247" s="7">
        <v>0</v>
      </c>
      <c r="AC247" s="7">
        <v>1</v>
      </c>
      <c r="AD247" s="7">
        <v>1</v>
      </c>
      <c r="AE247" s="132" t="s">
        <v>83</v>
      </c>
      <c r="AF247" s="132" t="s">
        <v>83</v>
      </c>
      <c r="AG247" s="132" t="s">
        <v>83</v>
      </c>
      <c r="AH247" s="132" t="s">
        <v>83</v>
      </c>
      <c r="AI247" s="7">
        <v>1</v>
      </c>
      <c r="AJ247" s="7"/>
      <c r="AK247" s="7">
        <v>1</v>
      </c>
      <c r="AL247" s="7">
        <v>1</v>
      </c>
      <c r="AM247" s="132" t="s">
        <v>83</v>
      </c>
      <c r="AN247" s="7">
        <v>1</v>
      </c>
      <c r="AO247" s="7">
        <v>1</v>
      </c>
      <c r="AP247" s="7">
        <v>1</v>
      </c>
    </row>
    <row r="248" spans="1:42">
      <c r="A248" s="112"/>
      <c r="B248" s="7" t="str">
        <f>装备!B248</f>
        <v>IF27</v>
      </c>
      <c r="C248" s="7" t="s">
        <v>41</v>
      </c>
      <c r="D248" s="7" t="s">
        <v>81</v>
      </c>
      <c r="E248" s="7"/>
      <c r="F248" s="7"/>
      <c r="G248" s="7"/>
      <c r="H248" s="7" t="str">
        <f>VLOOKUP(LEFT(RIGHT(B248,5),4),装备!B:CU,2,FALSE)</f>
        <v>伤害减免</v>
      </c>
      <c r="I248" s="7">
        <f>VLOOKUP(B248,装备!B:CV,99,FALSE)</f>
        <v>0</v>
      </c>
      <c r="J248" s="114" t="str">
        <f t="shared" si="82"/>
        <v>伤害减免</v>
      </c>
      <c r="K248" s="114">
        <f t="shared" si="83"/>
        <v>0</v>
      </c>
      <c r="L248" s="7"/>
      <c r="M248" s="115">
        <f>VLOOKUP(LEFT(RIGHT(B248,5),4),装备!B:CU,20,FALSE)</f>
        <v>0</v>
      </c>
      <c r="N248" s="132" t="s">
        <v>83</v>
      </c>
      <c r="O248" s="115" t="s">
        <v>90</v>
      </c>
      <c r="P248" s="7">
        <v>0</v>
      </c>
      <c r="Q248" s="7">
        <v>0</v>
      </c>
      <c r="R248" s="132" t="s">
        <v>83</v>
      </c>
      <c r="S248" s="132" t="s">
        <v>83</v>
      </c>
      <c r="T248" s="132" t="s">
        <v>83</v>
      </c>
      <c r="U248" s="132" t="s">
        <v>83</v>
      </c>
      <c r="V248" s="7"/>
      <c r="W248" s="7" t="s">
        <v>87</v>
      </c>
      <c r="X248" s="7">
        <v>0</v>
      </c>
      <c r="Y248" s="132" t="s">
        <v>83</v>
      </c>
      <c r="Z248" s="7">
        <v>0</v>
      </c>
      <c r="AA248" s="7">
        <v>0</v>
      </c>
      <c r="AB248" s="7">
        <v>0</v>
      </c>
      <c r="AC248" s="7">
        <v>1</v>
      </c>
      <c r="AD248" s="7">
        <v>1</v>
      </c>
      <c r="AE248" s="132" t="s">
        <v>83</v>
      </c>
      <c r="AF248" s="132" t="s">
        <v>83</v>
      </c>
      <c r="AG248" s="132" t="s">
        <v>83</v>
      </c>
      <c r="AH248" s="132" t="s">
        <v>83</v>
      </c>
      <c r="AI248" s="7">
        <v>1</v>
      </c>
      <c r="AJ248" s="7"/>
      <c r="AK248" s="7">
        <v>1</v>
      </c>
      <c r="AL248" s="7">
        <v>1</v>
      </c>
      <c r="AM248" s="132" t="s">
        <v>83</v>
      </c>
      <c r="AN248" s="7">
        <v>1</v>
      </c>
      <c r="AO248" s="7">
        <v>1</v>
      </c>
      <c r="AP248" s="7">
        <v>1</v>
      </c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1:42">
      <c r="A289" s="112"/>
      <c r="B289" s="7"/>
      <c r="C289" s="7"/>
      <c r="D289" s="7"/>
      <c r="E289" s="7"/>
      <c r="F289" s="7"/>
      <c r="G289" s="7"/>
      <c r="H289" s="7"/>
      <c r="I289" s="7"/>
      <c r="J289" s="114"/>
      <c r="K289" s="114"/>
      <c r="L289" s="7"/>
      <c r="M289" s="115"/>
      <c r="N289" s="7"/>
      <c r="O289" s="115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</row>
    <row r="290" spans="1:42">
      <c r="A290" s="112"/>
      <c r="B290" s="7"/>
      <c r="C290" s="7"/>
      <c r="D290" s="7"/>
      <c r="E290" s="7"/>
      <c r="F290" s="7"/>
      <c r="G290" s="7"/>
      <c r="H290" s="7"/>
      <c r="I290" s="7"/>
      <c r="J290" s="114"/>
      <c r="K290" s="114"/>
      <c r="L290" s="7"/>
      <c r="M290" s="115"/>
      <c r="N290" s="7"/>
      <c r="O290" s="115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</row>
    <row r="291" spans="1:42">
      <c r="A291" s="112"/>
      <c r="B291" s="7"/>
      <c r="C291" s="7"/>
      <c r="D291" s="7"/>
      <c r="E291" s="7"/>
      <c r="F291" s="7"/>
      <c r="G291" s="7"/>
      <c r="H291" s="7"/>
      <c r="I291" s="7"/>
      <c r="J291" s="114"/>
      <c r="K291" s="114"/>
      <c r="L291" s="7"/>
      <c r="M291" s="115"/>
      <c r="N291" s="7"/>
      <c r="O291" s="115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</row>
    <row r="292" spans="1:42">
      <c r="A292" s="112"/>
      <c r="B292" s="7"/>
      <c r="C292" s="7"/>
      <c r="D292" s="7"/>
      <c r="E292" s="7"/>
      <c r="F292" s="7"/>
      <c r="G292" s="7"/>
      <c r="H292" s="7"/>
      <c r="I292" s="7"/>
      <c r="J292" s="114"/>
      <c r="K292" s="114"/>
      <c r="L292" s="7"/>
      <c r="M292" s="115"/>
      <c r="N292" s="7"/>
      <c r="O292" s="115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</row>
    <row r="293" spans="1:42">
      <c r="A293" s="112"/>
      <c r="B293" s="7"/>
      <c r="C293" s="7"/>
      <c r="D293" s="7"/>
      <c r="E293" s="7"/>
      <c r="F293" s="7"/>
      <c r="G293" s="7"/>
      <c r="H293" s="7"/>
      <c r="I293" s="7"/>
      <c r="J293" s="114"/>
      <c r="K293" s="114"/>
      <c r="L293" s="7"/>
      <c r="M293" s="115"/>
      <c r="N293" s="7"/>
      <c r="O293" s="115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</row>
    <row r="294" spans="1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1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1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1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1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1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1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1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1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1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1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16"/>
      <c r="C342" s="7"/>
      <c r="D342" s="7"/>
      <c r="E342" s="7"/>
      <c r="H342" s="7"/>
      <c r="J342" s="114"/>
      <c r="K342" s="7"/>
      <c r="L342" s="7"/>
      <c r="O342" s="115"/>
      <c r="P342" s="7"/>
      <c r="Q342" s="7"/>
      <c r="W342" s="108"/>
      <c r="X342" s="108"/>
      <c r="Z342" s="7"/>
      <c r="AA342" s="7"/>
      <c r="AC342" s="7"/>
      <c r="AD342" s="7"/>
      <c r="AI342" s="7"/>
      <c r="AJ342" s="7"/>
      <c r="AK342" s="7"/>
      <c r="AO342" s="7"/>
      <c r="AP342" s="7"/>
    </row>
    <row r="343" spans="2:42">
      <c r="B343" s="116"/>
      <c r="C343" s="7"/>
      <c r="D343" s="7"/>
      <c r="E343" s="7"/>
      <c r="H343" s="7"/>
      <c r="J343" s="114"/>
      <c r="K343" s="7"/>
      <c r="L343" s="7"/>
      <c r="O343" s="115"/>
      <c r="P343" s="7"/>
      <c r="Q343" s="7"/>
      <c r="W343" s="108"/>
      <c r="X343" s="108"/>
      <c r="Z343" s="7"/>
      <c r="AA343" s="7"/>
      <c r="AC343" s="7"/>
      <c r="AD343" s="7"/>
      <c r="AI343" s="7"/>
      <c r="AJ343" s="7"/>
      <c r="AK343" s="7"/>
      <c r="AO343" s="7"/>
      <c r="AP343" s="7"/>
    </row>
    <row r="344" spans="2:42">
      <c r="B344" s="116"/>
      <c r="C344" s="7"/>
      <c r="D344" s="7"/>
      <c r="E344" s="7"/>
      <c r="H344" s="7"/>
      <c r="J344" s="114"/>
      <c r="K344" s="7"/>
      <c r="L344" s="7"/>
      <c r="O344" s="115"/>
      <c r="P344" s="7"/>
      <c r="Q344" s="7"/>
      <c r="W344" s="108"/>
      <c r="X344" s="108"/>
      <c r="Z344" s="7"/>
      <c r="AA344" s="7"/>
      <c r="AC344" s="7"/>
      <c r="AD344" s="7"/>
      <c r="AI344" s="7"/>
      <c r="AJ344" s="7"/>
      <c r="AK344" s="7"/>
      <c r="AO344" s="7"/>
      <c r="AP344" s="7"/>
    </row>
    <row r="345" spans="2:42">
      <c r="B345" s="116"/>
      <c r="C345" s="7"/>
      <c r="D345" s="7"/>
      <c r="E345" s="7"/>
      <c r="H345" s="7"/>
      <c r="J345" s="114"/>
      <c r="K345" s="7"/>
      <c r="L345" s="7"/>
      <c r="O345" s="115"/>
      <c r="P345" s="7"/>
      <c r="Q345" s="7"/>
      <c r="W345" s="108"/>
      <c r="X345" s="108"/>
      <c r="Z345" s="7"/>
      <c r="AA345" s="7"/>
      <c r="AC345" s="7"/>
      <c r="AD345" s="7"/>
      <c r="AI345" s="7"/>
      <c r="AJ345" s="7"/>
      <c r="AK345" s="7"/>
      <c r="AO345" s="7"/>
      <c r="AP345" s="7"/>
    </row>
    <row r="346" spans="2:42">
      <c r="B346" s="116"/>
      <c r="C346" s="7"/>
      <c r="D346" s="7"/>
      <c r="E346" s="7"/>
      <c r="H346" s="7"/>
      <c r="J346" s="114"/>
      <c r="K346" s="7"/>
      <c r="L346" s="7"/>
      <c r="O346" s="115"/>
      <c r="P346" s="7"/>
      <c r="Q346" s="7"/>
      <c r="W346" s="108"/>
      <c r="X346" s="108"/>
      <c r="Z346" s="7"/>
      <c r="AA346" s="7"/>
      <c r="AC346" s="7"/>
      <c r="AD346" s="7"/>
      <c r="AI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O348" s="115"/>
      <c r="P348" s="7"/>
      <c r="Q348" s="7"/>
      <c r="W348" s="7"/>
      <c r="X348" s="7"/>
      <c r="Z348" s="7"/>
      <c r="AA348" s="7"/>
      <c r="AC348" s="7"/>
      <c r="AD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O349" s="115"/>
      <c r="P349" s="7"/>
      <c r="Q349" s="7"/>
      <c r="W349" s="7"/>
      <c r="X349" s="7"/>
      <c r="Z349" s="7"/>
      <c r="AA349" s="7"/>
      <c r="AC349" s="7"/>
      <c r="AD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O350" s="115"/>
      <c r="P350" s="7"/>
      <c r="Q350" s="7"/>
      <c r="W350" s="7"/>
      <c r="X350" s="7"/>
      <c r="Z350" s="7"/>
      <c r="AA350" s="7"/>
      <c r="AC350" s="7"/>
      <c r="AD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O351" s="115"/>
      <c r="P351" s="7"/>
      <c r="Q351" s="7"/>
      <c r="W351" s="7"/>
      <c r="X351" s="7"/>
      <c r="Z351" s="7"/>
      <c r="AA351" s="7"/>
      <c r="AC351" s="7"/>
      <c r="AD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O352" s="115"/>
      <c r="P352" s="7"/>
      <c r="Q352" s="7"/>
      <c r="W352" s="7"/>
      <c r="X352" s="7"/>
      <c r="Z352" s="7"/>
      <c r="AA352" s="7"/>
      <c r="AC352" s="7"/>
      <c r="AD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4"/>
      <c r="K353" s="7"/>
      <c r="L353" s="7"/>
      <c r="M353" s="117"/>
      <c r="P353" s="7"/>
      <c r="Q353" s="7"/>
      <c r="W353" s="7"/>
      <c r="X353" s="7"/>
      <c r="Z353" s="7"/>
      <c r="AA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4"/>
      <c r="K354" s="7"/>
      <c r="L354" s="7"/>
      <c r="M354" s="117"/>
      <c r="P354" s="7"/>
      <c r="Q354" s="7"/>
      <c r="W354" s="7"/>
      <c r="X354" s="7"/>
      <c r="Z354" s="7"/>
      <c r="AA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4"/>
      <c r="K355" s="7"/>
      <c r="L355" s="7"/>
      <c r="M355" s="117"/>
      <c r="P355" s="7"/>
      <c r="Q355" s="7"/>
      <c r="W355" s="7"/>
      <c r="X355" s="7"/>
      <c r="Z355" s="7"/>
      <c r="AA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4"/>
      <c r="K356" s="7"/>
      <c r="L356" s="7"/>
      <c r="M356" s="117"/>
      <c r="P356" s="7"/>
      <c r="Q356" s="7"/>
      <c r="W356" s="7"/>
      <c r="X356" s="7"/>
      <c r="Z356" s="7"/>
      <c r="AA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4"/>
      <c r="K357" s="7"/>
      <c r="L357" s="7"/>
      <c r="M357" s="117"/>
      <c r="P357" s="7"/>
      <c r="Q357" s="7"/>
      <c r="W357" s="7"/>
      <c r="X357" s="7"/>
      <c r="Z357" s="7"/>
      <c r="AA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108"/>
      <c r="S369" s="108"/>
      <c r="T369" s="108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108"/>
      <c r="S370" s="108"/>
      <c r="T370" s="108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>
      <c r="B371" s="108"/>
      <c r="C371" s="7"/>
      <c r="D371" s="7"/>
      <c r="E371" s="7"/>
      <c r="H371" s="7"/>
      <c r="J371" s="118"/>
      <c r="K371" s="108"/>
      <c r="L371" s="7"/>
      <c r="M371" s="117"/>
      <c r="O371" s="115"/>
      <c r="P371" s="7"/>
      <c r="Q371" s="7"/>
      <c r="R371" s="108"/>
      <c r="S371" s="108"/>
      <c r="T371" s="108"/>
      <c r="W371" s="108"/>
      <c r="X371" s="7"/>
      <c r="Z371" s="7"/>
      <c r="AA371" s="7"/>
      <c r="AB371" s="7"/>
      <c r="AC371" s="7"/>
      <c r="AD371" s="7"/>
      <c r="AI371" s="7"/>
      <c r="AJ371" s="7"/>
      <c r="AK371" s="7"/>
      <c r="AO371" s="7"/>
      <c r="AP371" s="7"/>
    </row>
    <row r="372" spans="2:42">
      <c r="B372" s="108"/>
      <c r="C372" s="7"/>
      <c r="D372" s="7"/>
      <c r="E372" s="7"/>
      <c r="H372" s="7"/>
      <c r="J372" s="118"/>
      <c r="K372" s="108"/>
      <c r="L372" s="7"/>
      <c r="M372" s="117"/>
      <c r="O372" s="115"/>
      <c r="P372" s="7"/>
      <c r="Q372" s="7"/>
      <c r="R372" s="108"/>
      <c r="S372" s="108"/>
      <c r="T372" s="108"/>
      <c r="W372" s="108"/>
      <c r="X372" s="7"/>
      <c r="Z372" s="7"/>
      <c r="AA372" s="7"/>
      <c r="AB372" s="7"/>
      <c r="AC372" s="7"/>
      <c r="AD372" s="7"/>
      <c r="AI372" s="7"/>
      <c r="AJ372" s="7"/>
      <c r="AK372" s="7"/>
      <c r="AO372" s="7"/>
      <c r="AP372" s="7"/>
    </row>
    <row r="373" spans="2:42">
      <c r="B373" s="108"/>
      <c r="C373" s="7"/>
      <c r="D373" s="7"/>
      <c r="E373" s="7"/>
      <c r="H373" s="7"/>
      <c r="J373" s="118"/>
      <c r="K373" s="108"/>
      <c r="L373" s="7"/>
      <c r="M373" s="117"/>
      <c r="O373" s="115"/>
      <c r="P373" s="7"/>
      <c r="Q373" s="7"/>
      <c r="R373" s="108"/>
      <c r="S373" s="108"/>
      <c r="T373" s="108"/>
      <c r="W373" s="108"/>
      <c r="X373" s="7"/>
      <c r="Z373" s="7"/>
      <c r="AA373" s="7"/>
      <c r="AB373" s="7"/>
      <c r="AC373" s="7"/>
      <c r="AD373" s="7"/>
      <c r="AI373" s="7"/>
      <c r="AJ373" s="7"/>
      <c r="AK373" s="7"/>
      <c r="AO373" s="7"/>
      <c r="AP373" s="7"/>
    </row>
    <row r="374" spans="2:42">
      <c r="B374" s="108"/>
      <c r="C374" s="7"/>
      <c r="D374" s="7"/>
      <c r="E374" s="7"/>
      <c r="H374" s="7"/>
      <c r="J374" s="118"/>
      <c r="K374" s="108"/>
      <c r="L374" s="7"/>
      <c r="M374" s="117"/>
      <c r="O374" s="115"/>
      <c r="P374" s="7"/>
      <c r="Q374" s="7"/>
      <c r="R374" s="7"/>
      <c r="S374" s="7"/>
      <c r="T374" s="7"/>
      <c r="W374" s="108"/>
      <c r="X374" s="7"/>
      <c r="Z374" s="7"/>
      <c r="AA374" s="7"/>
      <c r="AB374" s="7"/>
      <c r="AC374" s="7"/>
      <c r="AD374" s="7"/>
      <c r="AI374" s="7"/>
      <c r="AJ374" s="7"/>
      <c r="AK374" s="7"/>
      <c r="AO374" s="7"/>
      <c r="AP374" s="7"/>
    </row>
    <row r="375" spans="2:42">
      <c r="B375" s="108"/>
      <c r="C375" s="7"/>
      <c r="D375" s="7"/>
      <c r="E375" s="7"/>
      <c r="H375" s="7"/>
      <c r="J375" s="118"/>
      <c r="K375" s="108"/>
      <c r="L375" s="7"/>
      <c r="M375" s="117"/>
      <c r="O375" s="115"/>
      <c r="P375" s="7"/>
      <c r="Q375" s="7"/>
      <c r="R375" s="7"/>
      <c r="S375" s="7"/>
      <c r="T375" s="7"/>
      <c r="W375" s="108"/>
      <c r="X375" s="7"/>
      <c r="Z375" s="7"/>
      <c r="AA375" s="7"/>
      <c r="AB375" s="7"/>
      <c r="AC375" s="7"/>
      <c r="AD375" s="7"/>
      <c r="AI375" s="7"/>
      <c r="AJ375" s="7"/>
      <c r="AK375" s="7"/>
      <c r="AO375" s="7"/>
      <c r="AP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 s="109" customFormat="1">
      <c r="E389" s="7"/>
      <c r="H389" s="7"/>
      <c r="J389" s="114"/>
      <c r="AB389" s="7"/>
    </row>
    <row r="390" spans="2:42" s="109" customFormat="1">
      <c r="E390" s="7"/>
      <c r="H390" s="7"/>
      <c r="J390" s="114"/>
      <c r="AB390" s="7"/>
    </row>
    <row r="391" spans="2:42" s="109" customFormat="1">
      <c r="E391" s="7"/>
      <c r="H391" s="7"/>
      <c r="J391" s="114"/>
      <c r="AB391" s="7"/>
    </row>
    <row r="392" spans="2:42" s="109" customFormat="1">
      <c r="E392" s="7"/>
      <c r="H392" s="7"/>
      <c r="J392" s="114"/>
      <c r="AB392" s="7"/>
    </row>
    <row r="393" spans="2:42" s="109" customFormat="1">
      <c r="E393" s="7"/>
      <c r="H393" s="7"/>
      <c r="J393" s="114"/>
      <c r="AB393" s="7"/>
    </row>
    <row r="394" spans="2:42">
      <c r="B394" s="108"/>
      <c r="C394" s="7"/>
      <c r="D394" s="7"/>
      <c r="E394" s="7"/>
      <c r="H394" s="7"/>
      <c r="J394" s="114"/>
      <c r="K394" s="7"/>
      <c r="L394" s="7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14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14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14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I398" s="109"/>
      <c r="J398" s="109"/>
      <c r="K398" s="7"/>
      <c r="L398" s="7"/>
      <c r="M398" s="109"/>
      <c r="O398" s="115"/>
      <c r="P398" s="7"/>
      <c r="Q398" s="7"/>
      <c r="W398" s="7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I399" s="109"/>
      <c r="J399" s="109"/>
      <c r="K399" s="7"/>
      <c r="L399" s="7"/>
      <c r="M399" s="109"/>
      <c r="O399" s="115"/>
      <c r="P399" s="7"/>
      <c r="Q399" s="7"/>
      <c r="W399" s="7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I400" s="109"/>
      <c r="J400" s="109"/>
      <c r="K400" s="7"/>
      <c r="L400" s="7"/>
      <c r="M400" s="109"/>
      <c r="O400" s="115"/>
      <c r="P400" s="7"/>
      <c r="Q400" s="7"/>
      <c r="W400" s="7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I401" s="109"/>
      <c r="J401" s="108"/>
      <c r="K401" s="7"/>
      <c r="L401" s="7"/>
      <c r="M401" s="109"/>
      <c r="O401" s="115"/>
      <c r="P401" s="7"/>
      <c r="Q401" s="7"/>
      <c r="W401" s="7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I402" s="109"/>
      <c r="J402" s="108"/>
      <c r="K402" s="7"/>
      <c r="L402" s="7"/>
      <c r="M402" s="109"/>
      <c r="O402" s="115"/>
      <c r="P402" s="7"/>
      <c r="Q402" s="7"/>
      <c r="W402" s="7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7"/>
      <c r="O403" s="115"/>
      <c r="P403" s="7"/>
      <c r="Q403" s="7"/>
      <c r="W403" s="108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7"/>
      <c r="O404" s="115"/>
      <c r="P404" s="7"/>
      <c r="Q404" s="7"/>
      <c r="W404" s="108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7"/>
      <c r="O405" s="115"/>
      <c r="P405" s="7"/>
      <c r="Q405" s="7"/>
      <c r="W405" s="108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7"/>
      <c r="O406" s="115"/>
      <c r="P406" s="7"/>
      <c r="Q406" s="7"/>
      <c r="W406" s="108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8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8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8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8"/>
      <c r="C413" s="7"/>
      <c r="D413" s="7"/>
      <c r="E413" s="7"/>
      <c r="H413" s="7"/>
      <c r="J413" s="114"/>
      <c r="K413" s="7"/>
      <c r="L413" s="7"/>
      <c r="M413" s="119"/>
      <c r="O413" s="115"/>
      <c r="P413" s="7"/>
      <c r="Q413" s="7"/>
      <c r="W413" s="7"/>
      <c r="X413" s="7"/>
      <c r="Z413" s="7"/>
      <c r="AA413" s="7"/>
      <c r="AC413" s="7"/>
      <c r="AD413" s="7"/>
      <c r="AI413" s="7"/>
      <c r="AJ413" s="7"/>
      <c r="AK413" s="7"/>
      <c r="AO413" s="7"/>
      <c r="AP413" s="7"/>
    </row>
    <row r="414" spans="2:42">
      <c r="B414" s="108"/>
      <c r="C414" s="7"/>
      <c r="D414" s="7"/>
      <c r="E414" s="7"/>
      <c r="H414" s="7"/>
      <c r="J414" s="114"/>
      <c r="K414" s="7"/>
      <c r="L414" s="7"/>
      <c r="M414" s="119"/>
      <c r="O414" s="115"/>
      <c r="P414" s="7"/>
      <c r="Q414" s="7"/>
      <c r="W414" s="7"/>
      <c r="X414" s="7"/>
      <c r="Z414" s="7"/>
      <c r="AA414" s="7"/>
      <c r="AC414" s="7"/>
      <c r="AD414" s="7"/>
      <c r="AI414" s="7"/>
      <c r="AJ414" s="7"/>
      <c r="AK414" s="7"/>
      <c r="AO414" s="7"/>
      <c r="AP414" s="7"/>
    </row>
    <row r="415" spans="2:42">
      <c r="B415" s="109"/>
      <c r="C415" s="7"/>
      <c r="D415" s="7"/>
      <c r="E415" s="7"/>
      <c r="H415" s="7"/>
      <c r="J415" s="114"/>
      <c r="K415" s="7"/>
      <c r="L415" s="7"/>
      <c r="M415" s="119"/>
      <c r="O415" s="115"/>
      <c r="P415" s="7"/>
      <c r="Q415" s="7"/>
      <c r="W415" s="7"/>
      <c r="X415" s="7"/>
      <c r="Z415" s="7"/>
      <c r="AA415" s="7"/>
      <c r="AC415" s="7"/>
      <c r="AD415" s="7"/>
      <c r="AI415" s="7"/>
      <c r="AJ415" s="7"/>
      <c r="AK415" s="7"/>
      <c r="AO415" s="7"/>
      <c r="AP415" s="7"/>
    </row>
    <row r="416" spans="2:42">
      <c r="B416" s="109"/>
      <c r="C416" s="7"/>
      <c r="D416" s="7"/>
      <c r="E416" s="7"/>
      <c r="H416" s="7"/>
      <c r="J416" s="114"/>
      <c r="K416" s="7"/>
      <c r="L416" s="7"/>
      <c r="M416" s="119"/>
      <c r="O416" s="115"/>
      <c r="P416" s="7"/>
      <c r="Q416" s="7"/>
      <c r="W416" s="7"/>
      <c r="X416" s="7"/>
      <c r="Z416" s="7"/>
      <c r="AA416" s="7"/>
      <c r="AC416" s="7"/>
      <c r="AD416" s="7"/>
      <c r="AI416" s="7"/>
      <c r="AJ416" s="7"/>
      <c r="AK416" s="7"/>
      <c r="AO416" s="7"/>
      <c r="AP416" s="7"/>
    </row>
    <row r="417" spans="2:42">
      <c r="B417" s="109"/>
      <c r="C417" s="7"/>
      <c r="D417" s="7"/>
      <c r="E417" s="7"/>
      <c r="H417" s="7"/>
      <c r="J417" s="114"/>
      <c r="K417" s="7"/>
      <c r="L417" s="7"/>
      <c r="M417" s="119"/>
      <c r="O417" s="115"/>
      <c r="P417" s="7"/>
      <c r="Q417" s="7"/>
      <c r="W417" s="7"/>
      <c r="X417" s="7"/>
      <c r="Z417" s="7"/>
      <c r="AA417" s="7"/>
      <c r="AC417" s="7"/>
      <c r="AD417" s="7"/>
      <c r="AI417" s="7"/>
      <c r="AJ417" s="7"/>
      <c r="AK417" s="7"/>
      <c r="AO417" s="7"/>
      <c r="AP417" s="7"/>
    </row>
    <row r="418" spans="2:42">
      <c r="B418" s="108"/>
      <c r="C418" s="7"/>
      <c r="D418" s="7"/>
      <c r="E418" s="7"/>
      <c r="H418" s="7"/>
      <c r="I418" s="109"/>
      <c r="J418" s="114"/>
      <c r="K418" s="7"/>
      <c r="L418" s="7"/>
      <c r="M418" s="117"/>
      <c r="O418" s="115"/>
      <c r="P418" s="7"/>
      <c r="Q418" s="7"/>
      <c r="W418" s="108"/>
      <c r="X418" s="7"/>
      <c r="Z418" s="7"/>
      <c r="AA418" s="7"/>
      <c r="AC418" s="7"/>
      <c r="AD418" s="7"/>
      <c r="AJ418" s="7"/>
      <c r="AK418" s="7"/>
    </row>
    <row r="419" spans="2:42">
      <c r="B419" s="108"/>
      <c r="C419" s="7"/>
      <c r="D419" s="7"/>
      <c r="E419" s="7"/>
      <c r="H419" s="7"/>
      <c r="J419" s="114"/>
      <c r="K419" s="7"/>
      <c r="L419" s="7"/>
      <c r="M419" s="117"/>
      <c r="O419" s="115"/>
      <c r="P419" s="7"/>
      <c r="Q419" s="7"/>
      <c r="W419" s="108"/>
      <c r="X419" s="7"/>
      <c r="Z419" s="7"/>
      <c r="AA419" s="7"/>
      <c r="AC419" s="7"/>
      <c r="AD419" s="7"/>
      <c r="AJ419" s="7"/>
      <c r="AK419" s="7"/>
    </row>
    <row r="420" spans="2:42">
      <c r="B420" s="108"/>
      <c r="C420" s="7"/>
      <c r="D420" s="7"/>
      <c r="E420" s="7"/>
      <c r="H420" s="7"/>
      <c r="J420" s="114"/>
      <c r="K420" s="7"/>
      <c r="L420" s="7"/>
      <c r="M420" s="117"/>
      <c r="O420" s="115"/>
      <c r="P420" s="7"/>
      <c r="Q420" s="7"/>
      <c r="W420" s="108"/>
      <c r="X420" s="7"/>
      <c r="Z420" s="7"/>
      <c r="AA420" s="7"/>
      <c r="AC420" s="7"/>
      <c r="AD420" s="7"/>
      <c r="AJ420" s="7"/>
      <c r="AK420" s="7"/>
    </row>
    <row r="421" spans="2:42">
      <c r="B421" s="108"/>
      <c r="C421" s="7"/>
      <c r="D421" s="7"/>
      <c r="E421" s="7"/>
      <c r="H421" s="7"/>
      <c r="J421" s="114"/>
      <c r="K421" s="7"/>
      <c r="L421" s="7"/>
      <c r="M421" s="117"/>
      <c r="O421" s="115"/>
      <c r="P421" s="7"/>
      <c r="Q421" s="7"/>
      <c r="W421" s="108"/>
      <c r="X421" s="7"/>
      <c r="Z421" s="7"/>
      <c r="AA421" s="7"/>
      <c r="AC421" s="7"/>
      <c r="AD421" s="7"/>
      <c r="AJ421" s="7"/>
      <c r="AK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108"/>
      <c r="X422" s="7"/>
      <c r="Z422" s="7"/>
      <c r="AA422" s="7"/>
      <c r="AC422" s="7"/>
      <c r="AD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P430" s="7"/>
      <c r="Q430" s="7"/>
      <c r="W430" s="7"/>
      <c r="X430" s="7"/>
      <c r="Z430" s="7"/>
      <c r="AA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P431" s="7"/>
      <c r="Q431" s="7"/>
      <c r="W431" s="7"/>
      <c r="X431" s="7"/>
      <c r="Z431" s="7"/>
      <c r="AA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O432" s="115"/>
      <c r="P432" s="7"/>
      <c r="Q432" s="7"/>
      <c r="W432" s="7"/>
      <c r="X432" s="7"/>
      <c r="Z432" s="7"/>
      <c r="AA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O433" s="115"/>
      <c r="P433" s="7"/>
      <c r="Q433" s="7"/>
      <c r="W433" s="7"/>
      <c r="X433" s="7"/>
      <c r="Z433" s="7"/>
      <c r="AA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O434" s="115"/>
      <c r="P434" s="7"/>
      <c r="Q434" s="7"/>
      <c r="W434" s="7"/>
      <c r="X434" s="7"/>
      <c r="Z434" s="7"/>
      <c r="AA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L454" s="7"/>
      <c r="M454"/>
      <c r="O454" s="115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L455" s="7"/>
      <c r="M455"/>
      <c r="O455" s="115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L456" s="7"/>
      <c r="M456"/>
      <c r="O456" s="115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L457" s="7"/>
      <c r="M457"/>
      <c r="O457" s="115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L458" s="7"/>
      <c r="M458"/>
      <c r="O458" s="115"/>
      <c r="P458" s="7"/>
      <c r="Q458" s="7"/>
      <c r="W458" s="7"/>
      <c r="X458" s="7"/>
      <c r="Z458" s="7"/>
      <c r="AA458" s="7"/>
      <c r="AB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7"/>
      <c r="X459" s="7"/>
      <c r="Z459" s="7"/>
      <c r="AA459" s="7"/>
      <c r="AB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7"/>
      <c r="X460" s="7"/>
      <c r="Z460" s="7"/>
      <c r="AA460" s="7"/>
      <c r="AB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7"/>
      <c r="X461" s="7"/>
      <c r="Z461" s="7"/>
      <c r="AA461" s="7"/>
      <c r="AB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7"/>
      <c r="X462" s="7"/>
      <c r="Z462" s="7"/>
      <c r="AA462" s="7"/>
      <c r="AB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108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108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108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8"/>
      <c r="C474" s="7"/>
      <c r="D474" s="7"/>
      <c r="E474" s="7"/>
      <c r="H474" s="7"/>
      <c r="J474" s="114"/>
      <c r="K474" s="7"/>
      <c r="M474" s="120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8"/>
      <c r="C475" s="7"/>
      <c r="D475" s="7"/>
      <c r="E475" s="7"/>
      <c r="H475" s="7"/>
      <c r="J475" s="114"/>
      <c r="K475" s="7"/>
      <c r="M475" s="120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8"/>
      <c r="C476" s="7"/>
      <c r="D476" s="7"/>
      <c r="E476" s="7"/>
      <c r="H476" s="7"/>
      <c r="J476" s="114"/>
      <c r="K476" s="7"/>
      <c r="M476" s="120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8"/>
      <c r="C477" s="7"/>
      <c r="D477" s="7"/>
      <c r="E477" s="7"/>
      <c r="H477" s="7"/>
      <c r="J477" s="114"/>
      <c r="K477" s="7"/>
      <c r="M477" s="120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8"/>
      <c r="C478" s="7"/>
      <c r="D478" s="7"/>
      <c r="E478" s="7"/>
      <c r="H478" s="7"/>
      <c r="J478" s="114"/>
      <c r="K478" s="7"/>
      <c r="M478" s="120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9"/>
      <c r="C493" s="7"/>
      <c r="D493" s="7"/>
      <c r="E493" s="7"/>
      <c r="H493" s="7"/>
      <c r="I493" s="109"/>
      <c r="J493" s="114"/>
      <c r="K493" s="7"/>
      <c r="L493" s="7"/>
      <c r="M493" s="120"/>
      <c r="O493" s="115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9"/>
      <c r="C494" s="7"/>
      <c r="D494" s="7"/>
      <c r="E494" s="7"/>
      <c r="H494" s="7"/>
      <c r="I494" s="109"/>
      <c r="J494" s="114"/>
      <c r="K494" s="7"/>
      <c r="L494" s="7"/>
      <c r="M494" s="120"/>
      <c r="O494" s="115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9"/>
      <c r="C495" s="7"/>
      <c r="D495" s="7"/>
      <c r="E495" s="7"/>
      <c r="H495" s="7"/>
      <c r="I495" s="109"/>
      <c r="J495" s="114"/>
      <c r="K495" s="7"/>
      <c r="L495" s="7"/>
      <c r="M495" s="120"/>
      <c r="O495" s="115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9"/>
      <c r="C496" s="7"/>
      <c r="D496" s="7"/>
      <c r="E496" s="7"/>
      <c r="H496" s="7"/>
      <c r="I496" s="109"/>
      <c r="J496" s="114"/>
      <c r="K496" s="7"/>
      <c r="L496" s="7"/>
      <c r="M496" s="120"/>
      <c r="O496" s="115"/>
      <c r="P496" s="7"/>
      <c r="Q496" s="7"/>
      <c r="W496" s="7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9"/>
      <c r="C497" s="7"/>
      <c r="D497" s="7"/>
      <c r="E497" s="7"/>
      <c r="H497" s="7"/>
      <c r="I497" s="109"/>
      <c r="J497" s="114"/>
      <c r="K497" s="7"/>
      <c r="L497" s="7"/>
      <c r="M497" s="120"/>
      <c r="O497" s="115"/>
      <c r="P497" s="7"/>
      <c r="Q497" s="7"/>
      <c r="W497" s="7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J504" s="114"/>
      <c r="K504" s="7"/>
      <c r="L504" s="7"/>
      <c r="O504" s="115"/>
      <c r="P504" s="7"/>
      <c r="Q504" s="7"/>
      <c r="W504" s="108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J505" s="114"/>
      <c r="K505" s="7"/>
      <c r="L505" s="7"/>
      <c r="O505" s="115"/>
      <c r="P505" s="7"/>
      <c r="Q505" s="7"/>
      <c r="W505" s="108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J506" s="114"/>
      <c r="K506" s="7"/>
      <c r="L506" s="7"/>
      <c r="O506" s="115"/>
      <c r="P506" s="7"/>
      <c r="Q506" s="7"/>
      <c r="W506" s="108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J507" s="114"/>
      <c r="K507" s="7"/>
      <c r="L507" s="7"/>
      <c r="O507" s="115"/>
      <c r="P507" s="7"/>
      <c r="Q507" s="7"/>
      <c r="W507" s="108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08"/>
      <c r="C508" s="7"/>
      <c r="D508" s="7"/>
      <c r="E508" s="7"/>
      <c r="H508" s="7"/>
      <c r="J508" s="114"/>
      <c r="K508" s="7"/>
      <c r="L508" s="7"/>
      <c r="O508" s="115"/>
      <c r="P508" s="7"/>
      <c r="Q508" s="7"/>
      <c r="W508" s="108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08"/>
      <c r="C509" s="7"/>
      <c r="D509" s="7"/>
      <c r="E509" s="7"/>
      <c r="H509" s="7"/>
      <c r="I509" s="7"/>
      <c r="J509" s="114"/>
      <c r="K509" s="7"/>
      <c r="L509" s="7"/>
      <c r="N509" s="108"/>
      <c r="O509" s="115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N510" s="108"/>
      <c r="O510" s="115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08"/>
      <c r="C511" s="7"/>
      <c r="D511" s="7"/>
      <c r="E511" s="7"/>
      <c r="H511" s="7"/>
      <c r="I511" s="7"/>
      <c r="J511" s="114"/>
      <c r="K511" s="7"/>
      <c r="L511" s="7"/>
      <c r="N511" s="108"/>
      <c r="O511" s="115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>
      <c r="B512" s="108"/>
      <c r="C512" s="7"/>
      <c r="D512" s="7"/>
      <c r="E512" s="7"/>
      <c r="H512" s="7"/>
      <c r="I512" s="7"/>
      <c r="J512" s="114"/>
      <c r="K512" s="7"/>
      <c r="L512" s="7"/>
      <c r="N512" s="108"/>
      <c r="O512" s="115"/>
      <c r="P512" s="7"/>
      <c r="Q512" s="7"/>
      <c r="W512" s="7"/>
      <c r="X512" s="7"/>
      <c r="Z512" s="7"/>
      <c r="AA512" s="7"/>
      <c r="AC512" s="7"/>
      <c r="AD512" s="7"/>
      <c r="AI512" s="7"/>
      <c r="AJ512" s="7"/>
      <c r="AK512" s="7"/>
      <c r="AO512" s="7"/>
      <c r="AP512" s="7"/>
    </row>
    <row r="513" spans="2:42" s="110" customFormat="1">
      <c r="B513" s="121"/>
      <c r="C513" s="122"/>
      <c r="D513" s="122"/>
      <c r="E513" s="7"/>
      <c r="H513" s="7"/>
      <c r="I513" s="122"/>
      <c r="J513" s="123"/>
      <c r="K513" s="122"/>
      <c r="L513" s="122"/>
      <c r="M513" s="117"/>
      <c r="P513" s="122"/>
      <c r="Q513" s="122"/>
      <c r="W513" s="122"/>
      <c r="X513" s="122"/>
      <c r="Z513" s="122"/>
      <c r="AA513" s="7"/>
      <c r="AB513" s="121"/>
      <c r="AC513" s="122"/>
      <c r="AD513" s="122"/>
      <c r="AI513" s="122"/>
      <c r="AJ513" s="122"/>
      <c r="AK513" s="122"/>
      <c r="AN513" s="121"/>
      <c r="AO513" s="122"/>
      <c r="AP513" s="122"/>
    </row>
    <row r="514" spans="2:42" s="110" customFormat="1">
      <c r="B514" s="121"/>
      <c r="C514" s="122"/>
      <c r="D514" s="122"/>
      <c r="E514" s="7"/>
      <c r="H514" s="7"/>
      <c r="I514" s="122"/>
      <c r="J514" s="123"/>
      <c r="K514" s="122"/>
      <c r="L514" s="122"/>
      <c r="M514" s="117"/>
      <c r="P514" s="122"/>
      <c r="Q514" s="122"/>
      <c r="W514" s="122"/>
      <c r="X514" s="122"/>
      <c r="Z514" s="122"/>
      <c r="AA514" s="7"/>
      <c r="AB514" s="121"/>
      <c r="AC514" s="122"/>
      <c r="AD514" s="122"/>
      <c r="AI514" s="122"/>
      <c r="AJ514" s="122"/>
      <c r="AK514" s="122"/>
      <c r="AN514" s="121"/>
      <c r="AO514" s="122"/>
      <c r="AP514" s="122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7"/>
      <c r="J529" s="114"/>
      <c r="K529" s="7"/>
      <c r="L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7"/>
      <c r="J530" s="114"/>
      <c r="K530" s="7"/>
      <c r="L530" s="7"/>
      <c r="P530" s="7"/>
      <c r="Q530" s="7"/>
      <c r="W530" s="7"/>
      <c r="X530" s="7"/>
      <c r="Z530" s="7"/>
      <c r="AA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7"/>
      <c r="J531" s="114"/>
      <c r="K531" s="7"/>
      <c r="L531" s="7"/>
      <c r="P531" s="7"/>
      <c r="Q531" s="7"/>
      <c r="W531" s="7"/>
      <c r="X531" s="7"/>
      <c r="Z531" s="7"/>
      <c r="AA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7"/>
      <c r="J532" s="114"/>
      <c r="K532" s="7"/>
      <c r="L532" s="7"/>
      <c r="P532" s="7"/>
      <c r="Q532" s="7"/>
      <c r="W532" s="7"/>
      <c r="X532" s="7"/>
      <c r="Z532" s="7"/>
      <c r="AA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7"/>
      <c r="J533" s="114"/>
      <c r="K533" s="7"/>
      <c r="L533" s="7"/>
      <c r="P533" s="7"/>
      <c r="Q533" s="7"/>
      <c r="W533" s="7"/>
      <c r="X533" s="7"/>
      <c r="Z533" s="7"/>
      <c r="AA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09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108"/>
      <c r="C538" s="7"/>
      <c r="D538" s="7"/>
      <c r="E538" s="7"/>
      <c r="H538" s="7"/>
      <c r="I538" s="114"/>
      <c r="J538" s="114"/>
      <c r="K538" s="7"/>
      <c r="L538" s="7"/>
      <c r="P538" s="7"/>
      <c r="Q538" s="7"/>
      <c r="V538" s="7"/>
      <c r="W538" s="108"/>
      <c r="X538" s="7"/>
      <c r="Z538" s="7"/>
      <c r="AA538" s="7"/>
      <c r="AB538" s="7"/>
      <c r="AC538" s="7"/>
      <c r="AD538" s="7"/>
      <c r="AI538" s="7"/>
      <c r="AJ538" s="7"/>
      <c r="AK538" s="7"/>
      <c r="AO538" s="7"/>
      <c r="AP538" s="7"/>
    </row>
    <row r="539" spans="2:42">
      <c r="B539" s="108"/>
      <c r="C539" s="7"/>
      <c r="D539" s="7"/>
      <c r="E539" s="7"/>
      <c r="H539" s="7"/>
      <c r="I539" s="114"/>
      <c r="J539" s="114"/>
      <c r="K539" s="7"/>
      <c r="L539" s="7"/>
      <c r="P539" s="7"/>
      <c r="Q539" s="7"/>
      <c r="V539" s="7"/>
      <c r="W539" s="108"/>
      <c r="X539" s="7"/>
      <c r="Z539" s="7"/>
      <c r="AA539" s="7"/>
      <c r="AB539" s="7"/>
      <c r="AC539" s="7"/>
      <c r="AD539" s="7"/>
      <c r="AI539" s="7"/>
      <c r="AJ539" s="7"/>
      <c r="AK539" s="7"/>
      <c r="AO539" s="7"/>
      <c r="AP539" s="7"/>
    </row>
    <row r="540" spans="2:42">
      <c r="B540" s="108"/>
      <c r="C540" s="7"/>
      <c r="D540" s="7"/>
      <c r="E540" s="7"/>
      <c r="H540" s="7"/>
      <c r="I540" s="114"/>
      <c r="J540" s="114"/>
      <c r="K540" s="7"/>
      <c r="L540" s="7"/>
      <c r="P540" s="7"/>
      <c r="Q540" s="7"/>
      <c r="V540" s="7"/>
      <c r="W540" s="108"/>
      <c r="X540" s="7"/>
      <c r="Z540" s="7"/>
      <c r="AA540" s="7"/>
      <c r="AB540" s="7"/>
      <c r="AC540" s="7"/>
      <c r="AD540" s="7"/>
      <c r="AI540" s="7"/>
      <c r="AJ540" s="7"/>
      <c r="AK540" s="7"/>
      <c r="AO540" s="7"/>
      <c r="AP540" s="7"/>
    </row>
    <row r="541" spans="2:42">
      <c r="B541" s="108"/>
      <c r="C541" s="7"/>
      <c r="D541" s="7"/>
      <c r="E541" s="7"/>
      <c r="H541" s="7"/>
      <c r="I541" s="114"/>
      <c r="J541" s="114"/>
      <c r="K541" s="7"/>
      <c r="L541" s="7"/>
      <c r="P541" s="7"/>
      <c r="Q541" s="7"/>
      <c r="V541" s="7"/>
      <c r="W541" s="108"/>
      <c r="X541" s="7"/>
      <c r="Z541" s="7"/>
      <c r="AA541" s="7"/>
      <c r="AB541" s="7"/>
      <c r="AC541" s="7"/>
      <c r="AD541" s="7"/>
      <c r="AI541" s="7"/>
      <c r="AJ541" s="7"/>
      <c r="AK541" s="7"/>
      <c r="AO541" s="7"/>
      <c r="AP541" s="7"/>
    </row>
    <row r="542" spans="2:42">
      <c r="B542" s="108"/>
      <c r="C542" s="7"/>
      <c r="D542" s="7"/>
      <c r="E542" s="7"/>
      <c r="H542" s="7"/>
      <c r="I542" s="114"/>
      <c r="J542" s="114"/>
      <c r="K542" s="7"/>
      <c r="L542" s="7"/>
      <c r="P542" s="7"/>
      <c r="Q542" s="7"/>
      <c r="V542" s="7"/>
      <c r="W542" s="108"/>
      <c r="X542" s="7"/>
      <c r="Z542" s="7"/>
      <c r="AA542" s="7"/>
      <c r="AB542" s="7"/>
      <c r="AC542" s="7"/>
      <c r="AD542" s="7"/>
      <c r="AI542" s="7"/>
      <c r="AJ542" s="7"/>
      <c r="AK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F545" s="7"/>
      <c r="G545" s="7"/>
      <c r="H545" s="7"/>
      <c r="I545" s="7"/>
      <c r="J545" s="114"/>
      <c r="K545" s="114"/>
      <c r="L545" s="7"/>
      <c r="M545" s="115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</row>
    <row r="546" spans="2:42">
      <c r="B546" s="7"/>
      <c r="C546" s="7"/>
      <c r="D546" s="7"/>
      <c r="E546" s="7"/>
      <c r="F546" s="7"/>
      <c r="G546" s="7"/>
      <c r="H546" s="7"/>
      <c r="I546" s="7"/>
      <c r="J546" s="114"/>
      <c r="K546" s="114"/>
      <c r="L546" s="7"/>
      <c r="M546" s="115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</row>
    <row r="547" spans="2:42">
      <c r="B547" s="7"/>
      <c r="C547" s="7"/>
      <c r="D547" s="7"/>
      <c r="E547" s="7"/>
      <c r="F547" s="7"/>
      <c r="G547" s="7"/>
      <c r="H547" s="7"/>
      <c r="I547" s="7"/>
      <c r="J547" s="114"/>
      <c r="K547" s="114"/>
      <c r="L547" s="7"/>
      <c r="M547" s="115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</row>
    <row r="548" spans="2:42">
      <c r="B548" s="7"/>
      <c r="C548" s="7"/>
      <c r="D548" s="7"/>
      <c r="E548" s="7"/>
      <c r="F548" s="7"/>
      <c r="G548" s="7"/>
      <c r="H548" s="7"/>
      <c r="I548" s="7"/>
      <c r="J548" s="114"/>
      <c r="K548" s="114"/>
      <c r="L548" s="7"/>
      <c r="M548" s="115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</row>
    <row r="549" spans="2:42">
      <c r="B549" s="7"/>
      <c r="C549" s="7"/>
      <c r="D549" s="7"/>
      <c r="E549" s="7"/>
      <c r="F549" s="7"/>
      <c r="G549" s="7"/>
      <c r="H549" s="7"/>
      <c r="I549" s="7"/>
      <c r="J549" s="114"/>
      <c r="K549" s="114"/>
      <c r="L549" s="7"/>
      <c r="M549" s="115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</row>
    <row r="550" spans="2:42">
      <c r="B550" s="7"/>
      <c r="C550" s="7"/>
      <c r="D550" s="7"/>
      <c r="E550" s="7"/>
      <c r="H550" s="7"/>
      <c r="I550" s="114"/>
      <c r="J550" s="114"/>
      <c r="K550" s="7"/>
      <c r="L550" s="7"/>
      <c r="M550" s="124"/>
      <c r="O550" s="7"/>
      <c r="P550" s="7"/>
      <c r="Q550" s="7"/>
      <c r="W550" s="7"/>
      <c r="X550" s="7"/>
      <c r="Z550" s="7"/>
      <c r="AA550" s="7"/>
      <c r="AC550" s="7"/>
      <c r="AD550" s="7"/>
      <c r="AI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114"/>
      <c r="J551" s="114"/>
      <c r="K551" s="7"/>
      <c r="L551" s="7"/>
      <c r="M551" s="124"/>
      <c r="O551" s="7"/>
      <c r="P551" s="7"/>
      <c r="Q551" s="7"/>
      <c r="W551" s="7"/>
      <c r="X551" s="7"/>
      <c r="Z551" s="7"/>
      <c r="AA551" s="7"/>
      <c r="AC551" s="7"/>
      <c r="AD551" s="7"/>
      <c r="AI551" s="7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114"/>
      <c r="J552" s="114"/>
      <c r="K552" s="7"/>
      <c r="L552" s="7"/>
      <c r="M552" s="125"/>
      <c r="O552" s="7"/>
      <c r="P552" s="7"/>
      <c r="Q552" s="7"/>
      <c r="W552" s="7"/>
      <c r="X552" s="7"/>
      <c r="Z552" s="7"/>
      <c r="AA552" s="7"/>
      <c r="AC552" s="7"/>
      <c r="AD552" s="7"/>
      <c r="AI552" s="108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114"/>
      <c r="J553" s="114"/>
      <c r="K553" s="7"/>
      <c r="L553" s="7"/>
      <c r="M553" s="124"/>
      <c r="O553" s="7"/>
      <c r="P553" s="7"/>
      <c r="Q553" s="7"/>
      <c r="W553" s="7"/>
      <c r="X553" s="7"/>
      <c r="Z553" s="7"/>
      <c r="AA553" s="7"/>
      <c r="AC553" s="7"/>
      <c r="AD553" s="7"/>
      <c r="AI553" s="108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114"/>
      <c r="J554" s="114"/>
      <c r="K554" s="7"/>
      <c r="L554" s="7"/>
      <c r="M554" s="124"/>
      <c r="O554" s="7"/>
      <c r="P554" s="7"/>
      <c r="Q554" s="7"/>
      <c r="W554" s="7"/>
      <c r="X554" s="7"/>
      <c r="Z554" s="7"/>
      <c r="AA554" s="7"/>
      <c r="AC554" s="7"/>
      <c r="AD554" s="7"/>
      <c r="AI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4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4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4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4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4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5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5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5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5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5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L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L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L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L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L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M600" s="124"/>
      <c r="N600" s="108"/>
      <c r="O600" s="126"/>
      <c r="P600" s="7"/>
      <c r="Q600" s="7"/>
      <c r="W600" s="7"/>
      <c r="X600" s="7"/>
      <c r="Z600" s="7"/>
      <c r="AA600" s="7"/>
      <c r="AB600" s="7"/>
      <c r="AC600" s="7"/>
      <c r="AD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4"/>
      <c r="K601" s="7"/>
      <c r="M601" s="124"/>
      <c r="N601" s="108"/>
      <c r="O601" s="126"/>
      <c r="P601" s="7"/>
      <c r="Q601" s="7"/>
      <c r="W601" s="7"/>
      <c r="X601" s="7"/>
      <c r="Z601" s="7"/>
      <c r="AA601" s="7"/>
      <c r="AB601" s="7"/>
      <c r="AC601" s="7"/>
      <c r="AD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4"/>
      <c r="K602" s="7"/>
      <c r="M602" s="124"/>
      <c r="N602" s="108"/>
      <c r="O602" s="126"/>
      <c r="P602" s="7"/>
      <c r="Q602" s="7"/>
      <c r="W602" s="7"/>
      <c r="X602" s="7"/>
      <c r="Z602" s="7"/>
      <c r="AA602" s="7"/>
      <c r="AB602" s="7"/>
      <c r="AC602" s="7"/>
      <c r="AD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4"/>
      <c r="K603" s="7"/>
      <c r="M603" s="124"/>
      <c r="N603" s="108"/>
      <c r="O603" s="126"/>
      <c r="P603" s="7"/>
      <c r="Q603" s="7"/>
      <c r="W603" s="7"/>
      <c r="X603" s="7"/>
      <c r="Z603" s="7"/>
      <c r="AA603" s="7"/>
      <c r="AB603" s="7"/>
      <c r="AC603" s="7"/>
      <c r="AD603" s="7"/>
      <c r="AJ603" s="7"/>
      <c r="AK603" s="7"/>
      <c r="AO603" s="7"/>
      <c r="AP603" s="7"/>
    </row>
    <row r="604" spans="2:42">
      <c r="B604" s="7"/>
      <c r="C604" s="7"/>
      <c r="D604" s="7"/>
      <c r="E604" s="7"/>
      <c r="H604" s="7"/>
      <c r="I604" s="7"/>
      <c r="J604" s="114"/>
      <c r="K604" s="7"/>
      <c r="M604" s="124"/>
      <c r="N604" s="108"/>
      <c r="O604" s="126"/>
      <c r="P604" s="7"/>
      <c r="Q604" s="7"/>
      <c r="W604" s="7"/>
      <c r="X604" s="7"/>
      <c r="Z604" s="7"/>
      <c r="AA604" s="7"/>
      <c r="AB604" s="7"/>
      <c r="AC604" s="7"/>
      <c r="AD604" s="7"/>
      <c r="AJ604" s="7"/>
      <c r="AK604" s="7"/>
      <c r="AO604" s="7"/>
      <c r="AP604" s="7"/>
    </row>
    <row r="605" spans="2:42">
      <c r="B605" s="7"/>
      <c r="C605" s="7"/>
      <c r="D605" s="7"/>
      <c r="E605" s="7"/>
      <c r="H605" s="7"/>
      <c r="I605" s="7"/>
      <c r="J605" s="114"/>
      <c r="K605" s="7"/>
      <c r="L605" s="7"/>
      <c r="M605" s="126"/>
      <c r="O605" s="112"/>
      <c r="P605" s="7"/>
      <c r="Q605" s="7"/>
      <c r="V605" s="7"/>
      <c r="W605" s="108"/>
      <c r="X605" s="7"/>
      <c r="Z605" s="7"/>
      <c r="AA605" s="7"/>
      <c r="AC605" s="7"/>
      <c r="AD605" s="7"/>
      <c r="AJ605" s="7"/>
      <c r="AK605" s="7"/>
    </row>
    <row r="606" spans="2:42">
      <c r="B606" s="7"/>
      <c r="C606" s="7"/>
      <c r="D606" s="7"/>
      <c r="E606" s="7"/>
      <c r="H606" s="7"/>
      <c r="I606" s="7"/>
      <c r="J606" s="114"/>
      <c r="K606" s="7"/>
      <c r="L606" s="7"/>
      <c r="M606" s="126"/>
      <c r="O606" s="112"/>
      <c r="P606" s="7"/>
      <c r="Q606" s="7"/>
      <c r="V606" s="7"/>
      <c r="W606" s="108"/>
      <c r="X606" s="7"/>
      <c r="Z606" s="7"/>
      <c r="AA606" s="7"/>
      <c r="AB606" s="7"/>
      <c r="AC606" s="7"/>
      <c r="AD606" s="7"/>
      <c r="AJ606" s="7"/>
      <c r="AK606" s="7"/>
    </row>
    <row r="607" spans="2:42">
      <c r="B607" s="7"/>
      <c r="C607" s="7"/>
      <c r="D607" s="7"/>
      <c r="E607" s="7"/>
      <c r="H607" s="7"/>
      <c r="I607" s="7"/>
      <c r="J607" s="114"/>
      <c r="K607" s="7"/>
      <c r="L607" s="7"/>
      <c r="M607" s="126"/>
      <c r="O607" s="112"/>
      <c r="P607" s="7"/>
      <c r="Q607" s="7"/>
      <c r="V607" s="7"/>
      <c r="W607" s="108"/>
      <c r="X607" s="7"/>
      <c r="Z607" s="7"/>
      <c r="AA607" s="7"/>
      <c r="AB607" s="7"/>
      <c r="AC607" s="7"/>
      <c r="AD607" s="7"/>
      <c r="AJ607" s="7"/>
      <c r="AK607" s="7"/>
    </row>
    <row r="608" spans="2:42">
      <c r="B608" s="7"/>
      <c r="C608" s="7"/>
      <c r="D608" s="7"/>
      <c r="E608" s="7"/>
      <c r="H608" s="7"/>
      <c r="I608" s="7"/>
      <c r="J608" s="114"/>
      <c r="K608" s="7"/>
      <c r="L608" s="7"/>
      <c r="M608" s="126"/>
      <c r="O608" s="112"/>
      <c r="P608" s="7"/>
      <c r="Q608" s="7"/>
      <c r="V608" s="7"/>
      <c r="W608" s="108"/>
      <c r="X608" s="7"/>
      <c r="Z608" s="7"/>
      <c r="AA608" s="7"/>
      <c r="AB608" s="7"/>
      <c r="AC608" s="7"/>
      <c r="AD608" s="7"/>
      <c r="AJ608" s="7"/>
      <c r="AK608" s="7"/>
    </row>
    <row r="609" spans="2:42" s="111" customFormat="1">
      <c r="B609" s="127"/>
      <c r="C609" s="127"/>
      <c r="D609" s="127"/>
      <c r="E609" s="7"/>
      <c r="H609" s="7"/>
      <c r="I609" s="127"/>
      <c r="J609" s="128"/>
      <c r="K609" s="127"/>
      <c r="L609" s="127"/>
      <c r="M609" s="129"/>
      <c r="O609" s="130"/>
      <c r="P609" s="127"/>
      <c r="Q609" s="127"/>
      <c r="V609" s="127"/>
      <c r="W609" s="131"/>
      <c r="X609" s="127"/>
      <c r="Z609" s="127"/>
      <c r="AA609" s="127"/>
      <c r="AB609" s="131"/>
      <c r="AC609" s="127"/>
      <c r="AD609" s="127"/>
      <c r="AJ609" s="127"/>
      <c r="AK609" s="127"/>
      <c r="AN609" s="131"/>
    </row>
    <row r="610" spans="2:42" s="111" customFormat="1">
      <c r="B610" s="127"/>
      <c r="C610" s="127"/>
      <c r="D610" s="127"/>
      <c r="E610" s="7"/>
      <c r="H610" s="7"/>
      <c r="I610" s="127"/>
      <c r="J610" s="128"/>
      <c r="K610" s="127"/>
      <c r="L610" s="127"/>
      <c r="M610" s="129"/>
      <c r="O610" s="130"/>
      <c r="P610" s="127"/>
      <c r="Q610" s="127"/>
      <c r="V610" s="127"/>
      <c r="W610" s="131"/>
      <c r="X610" s="127"/>
      <c r="Z610" s="127"/>
      <c r="AA610" s="127"/>
      <c r="AB610" s="131"/>
      <c r="AC610" s="127"/>
      <c r="AD610" s="127"/>
      <c r="AJ610" s="127"/>
      <c r="AK610" s="127"/>
      <c r="AN610" s="131"/>
    </row>
    <row r="611" spans="2:42" s="111" customFormat="1">
      <c r="B611" s="127"/>
      <c r="C611" s="127"/>
      <c r="D611" s="127"/>
      <c r="E611" s="7"/>
      <c r="H611" s="7"/>
      <c r="I611" s="127"/>
      <c r="J611" s="128"/>
      <c r="K611" s="127"/>
      <c r="L611" s="127"/>
      <c r="M611" s="129"/>
      <c r="O611" s="130"/>
      <c r="P611" s="127"/>
      <c r="Q611" s="127"/>
      <c r="V611" s="127"/>
      <c r="W611" s="131"/>
      <c r="X611" s="127"/>
      <c r="Z611" s="127"/>
      <c r="AA611" s="127"/>
      <c r="AB611" s="131"/>
      <c r="AC611" s="127"/>
      <c r="AD611" s="127"/>
      <c r="AJ611" s="127"/>
      <c r="AK611" s="127"/>
      <c r="AN611" s="131"/>
    </row>
    <row r="612" spans="2:42" s="111" customFormat="1">
      <c r="B612" s="127"/>
      <c r="C612" s="127"/>
      <c r="D612" s="127"/>
      <c r="E612" s="7"/>
      <c r="H612" s="7"/>
      <c r="I612" s="127"/>
      <c r="J612" s="128"/>
      <c r="K612" s="127"/>
      <c r="L612" s="127"/>
      <c r="M612" s="129"/>
      <c r="O612" s="130"/>
      <c r="P612" s="127"/>
      <c r="Q612" s="127"/>
      <c r="V612" s="127"/>
      <c r="W612" s="131"/>
      <c r="X612" s="127"/>
      <c r="Z612" s="127"/>
      <c r="AA612" s="127"/>
      <c r="AB612" s="131"/>
      <c r="AC612" s="127"/>
      <c r="AD612" s="127"/>
      <c r="AJ612" s="127"/>
      <c r="AK612" s="127"/>
      <c r="AN612" s="131"/>
    </row>
    <row r="613" spans="2:42">
      <c r="B613" s="7"/>
      <c r="C613" s="7"/>
      <c r="D613" s="7"/>
      <c r="E613" s="7"/>
      <c r="H613" s="7"/>
      <c r="I613" s="7"/>
      <c r="J613" s="114"/>
      <c r="K613" s="7"/>
      <c r="L613" s="7"/>
      <c r="M613" s="126"/>
      <c r="O613" s="112"/>
      <c r="P613" s="7"/>
      <c r="Q613" s="7"/>
      <c r="W613" s="7"/>
      <c r="X613" s="7"/>
      <c r="Z613" s="7"/>
      <c r="AA613" s="7"/>
      <c r="AC613" s="7"/>
      <c r="AD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4"/>
      <c r="K614" s="7"/>
      <c r="L614" s="7"/>
      <c r="M614" s="126"/>
      <c r="O614" s="112"/>
      <c r="P614" s="7"/>
      <c r="Q614" s="7"/>
      <c r="W614" s="7"/>
      <c r="X614" s="7"/>
      <c r="Z614" s="7"/>
      <c r="AA614" s="7"/>
      <c r="AB614" s="7"/>
      <c r="AC614" s="7"/>
      <c r="AD614" s="7"/>
      <c r="AJ614" s="7"/>
      <c r="AK614" s="7"/>
      <c r="AO614" s="7"/>
      <c r="AP614" s="7"/>
    </row>
    <row r="615" spans="2:42">
      <c r="B615" s="7"/>
      <c r="C615" s="7"/>
      <c r="D615" s="7"/>
      <c r="E615" s="7"/>
      <c r="H615" s="7"/>
      <c r="I615" s="7"/>
      <c r="J615" s="114"/>
      <c r="K615" s="7"/>
      <c r="L615" s="7"/>
      <c r="M615" s="126"/>
      <c r="O615" s="112"/>
      <c r="P615" s="7"/>
      <c r="Q615" s="7"/>
      <c r="W615" s="7"/>
      <c r="X615" s="7"/>
      <c r="Z615" s="7"/>
      <c r="AA615" s="7"/>
      <c r="AB615" s="7"/>
      <c r="AC615" s="7"/>
      <c r="AD615" s="7"/>
      <c r="AJ615" s="7"/>
      <c r="AK615" s="7"/>
      <c r="AO615" s="7"/>
      <c r="AP615" s="7"/>
    </row>
    <row r="616" spans="2:42">
      <c r="B616" s="7"/>
      <c r="C616" s="7"/>
      <c r="D616" s="7"/>
      <c r="E616" s="7"/>
      <c r="H616" s="7"/>
      <c r="I616" s="7"/>
      <c r="J616" s="114"/>
      <c r="K616" s="7"/>
      <c r="L616" s="7"/>
      <c r="M616" s="126"/>
      <c r="O616" s="112"/>
      <c r="P616" s="7"/>
      <c r="Q616" s="7"/>
      <c r="W616" s="7"/>
      <c r="X616" s="7"/>
      <c r="Z616" s="7"/>
      <c r="AA616" s="7"/>
      <c r="AB616" s="7"/>
      <c r="AC616" s="7"/>
      <c r="AD616" s="7"/>
      <c r="AJ616" s="7"/>
      <c r="AK616" s="7"/>
      <c r="AO616" s="7"/>
      <c r="AP616" s="7"/>
    </row>
    <row r="617" spans="2:42" s="111" customFormat="1">
      <c r="B617" s="127"/>
      <c r="C617" s="127"/>
      <c r="D617" s="127"/>
      <c r="E617" s="7"/>
      <c r="H617" s="7"/>
      <c r="I617" s="127"/>
      <c r="J617" s="128"/>
      <c r="K617" s="127"/>
      <c r="L617" s="127"/>
      <c r="M617" s="129"/>
      <c r="O617" s="130"/>
      <c r="P617" s="127"/>
      <c r="Q617" s="127"/>
      <c r="W617" s="127"/>
      <c r="X617" s="127"/>
      <c r="Z617" s="127"/>
      <c r="AA617" s="127"/>
      <c r="AB617" s="131"/>
      <c r="AC617" s="127"/>
      <c r="AD617" s="127"/>
      <c r="AJ617" s="127"/>
      <c r="AK617" s="127"/>
      <c r="AN617" s="131"/>
      <c r="AO617" s="127"/>
      <c r="AP617" s="127"/>
    </row>
    <row r="618" spans="2:42" s="111" customFormat="1">
      <c r="B618" s="127"/>
      <c r="C618" s="127"/>
      <c r="D618" s="127"/>
      <c r="E618" s="7"/>
      <c r="H618" s="7"/>
      <c r="I618" s="127"/>
      <c r="J618" s="128"/>
      <c r="K618" s="127"/>
      <c r="L618" s="127"/>
      <c r="M618" s="129"/>
      <c r="O618" s="130"/>
      <c r="P618" s="127"/>
      <c r="Q618" s="127"/>
      <c r="W618" s="127"/>
      <c r="X618" s="127"/>
      <c r="Z618" s="127"/>
      <c r="AA618" s="127"/>
      <c r="AB618" s="131"/>
      <c r="AC618" s="127"/>
      <c r="AD618" s="127"/>
      <c r="AJ618" s="127"/>
      <c r="AK618" s="127"/>
      <c r="AN618" s="131"/>
      <c r="AO618" s="127"/>
      <c r="AP618" s="127"/>
    </row>
    <row r="619" spans="2:42" s="111" customFormat="1">
      <c r="B619" s="127"/>
      <c r="C619" s="127"/>
      <c r="D619" s="127"/>
      <c r="E619" s="7"/>
      <c r="H619" s="7"/>
      <c r="I619" s="127"/>
      <c r="J619" s="128"/>
      <c r="K619" s="127"/>
      <c r="L619" s="127"/>
      <c r="M619" s="129"/>
      <c r="O619" s="130"/>
      <c r="P619" s="127"/>
      <c r="Q619" s="127"/>
      <c r="W619" s="127"/>
      <c r="X619" s="127"/>
      <c r="Z619" s="127"/>
      <c r="AA619" s="127"/>
      <c r="AB619" s="131"/>
      <c r="AC619" s="127"/>
      <c r="AD619" s="127"/>
      <c r="AJ619" s="127"/>
      <c r="AK619" s="127"/>
      <c r="AN619" s="131"/>
      <c r="AO619" s="127"/>
      <c r="AP619" s="127"/>
    </row>
    <row r="620" spans="2:42" s="111" customFormat="1">
      <c r="B620" s="127"/>
      <c r="C620" s="127"/>
      <c r="D620" s="127"/>
      <c r="E620" s="7"/>
      <c r="H620" s="7"/>
      <c r="I620" s="127"/>
      <c r="J620" s="128"/>
      <c r="K620" s="127"/>
      <c r="L620" s="127"/>
      <c r="M620" s="129"/>
      <c r="O620" s="130"/>
      <c r="P620" s="127"/>
      <c r="Q620" s="127"/>
      <c r="W620" s="127"/>
      <c r="X620" s="127"/>
      <c r="Z620" s="127"/>
      <c r="AA620" s="127"/>
      <c r="AB620" s="131"/>
      <c r="AC620" s="127"/>
      <c r="AD620" s="127"/>
      <c r="AJ620" s="127"/>
      <c r="AK620" s="127"/>
      <c r="AN620" s="131"/>
      <c r="AO620" s="127"/>
      <c r="AP620" s="12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7"/>
      <c r="C630" s="7"/>
      <c r="D630" s="7"/>
      <c r="E630" s="7"/>
      <c r="H630" s="7"/>
      <c r="I630" s="7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M631" s="115"/>
      <c r="O631" s="7"/>
      <c r="P631" s="7"/>
      <c r="Q631" s="7"/>
      <c r="W631" s="7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M632" s="115"/>
      <c r="O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7"/>
      <c r="C633" s="7"/>
      <c r="D633" s="7"/>
      <c r="E633" s="7"/>
      <c r="H633" s="7"/>
      <c r="I633" s="7"/>
      <c r="J633" s="114"/>
      <c r="K633" s="7"/>
      <c r="L633" s="7"/>
      <c r="M633" s="115"/>
      <c r="O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7"/>
      <c r="C634" s="7"/>
      <c r="D634" s="7"/>
      <c r="E634" s="7"/>
      <c r="H634" s="7"/>
      <c r="I634" s="7"/>
      <c r="J634" s="114"/>
      <c r="K634" s="7"/>
      <c r="L634" s="7"/>
      <c r="M634" s="115"/>
      <c r="O634" s="7"/>
      <c r="P634" s="7"/>
      <c r="Q634" s="7"/>
      <c r="W634" s="7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114"/>
      <c r="C635" s="7"/>
      <c r="D635" s="7"/>
      <c r="E635" s="7"/>
      <c r="H635" s="7"/>
      <c r="I635" s="114"/>
      <c r="J635" s="114"/>
      <c r="K635" s="7"/>
      <c r="L635" s="7"/>
      <c r="M635" s="115"/>
      <c r="O635" s="7"/>
      <c r="P635" s="7"/>
      <c r="Q635" s="7"/>
      <c r="W635" s="7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O636" s="112"/>
      <c r="P636" s="7"/>
      <c r="Q636" s="7"/>
      <c r="V636" s="7"/>
      <c r="W636" s="108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  <c r="AO640" s="7"/>
      <c r="AP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W642" s="7"/>
      <c r="X642" s="7"/>
      <c r="Z642" s="7"/>
      <c r="AA642" s="7"/>
      <c r="AC642" s="7"/>
      <c r="AD642" s="7"/>
      <c r="AI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W643" s="7"/>
      <c r="X643" s="7"/>
      <c r="Z643" s="7"/>
      <c r="AA643" s="7"/>
      <c r="AC643" s="7"/>
      <c r="AD643" s="7"/>
      <c r="AI643" s="7"/>
      <c r="AJ643" s="7"/>
      <c r="AK643" s="7"/>
      <c r="AO643" s="7"/>
      <c r="AP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W644" s="7"/>
      <c r="X644" s="7"/>
      <c r="Z644" s="7"/>
      <c r="AA644" s="7"/>
      <c r="AC644" s="7"/>
      <c r="AD644" s="7"/>
      <c r="AI644" s="7"/>
      <c r="AJ644" s="7"/>
      <c r="AK644" s="7"/>
      <c r="AO644" s="7"/>
      <c r="AP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W645" s="7"/>
      <c r="X645" s="7"/>
      <c r="Z645" s="7"/>
      <c r="AA645" s="7"/>
      <c r="AC645" s="7"/>
      <c r="AD645" s="7"/>
      <c r="AI645" s="7"/>
      <c r="AJ645" s="7"/>
      <c r="AK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I646" s="7"/>
      <c r="AJ646" s="7"/>
      <c r="AK646" s="7"/>
      <c r="AO646" s="7"/>
      <c r="AP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  <c r="AO647" s="7"/>
      <c r="AP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7"/>
      <c r="J650" s="114"/>
      <c r="K650" s="7"/>
      <c r="L650" s="7"/>
      <c r="P650" s="7"/>
      <c r="Q650" s="7"/>
      <c r="R650" s="108"/>
      <c r="S650" s="108"/>
      <c r="T650" s="108"/>
      <c r="W650" s="7"/>
      <c r="X650" s="7"/>
      <c r="Z650" s="7"/>
      <c r="AA650" s="7"/>
      <c r="AC650" s="7"/>
      <c r="AD650" s="7"/>
      <c r="AJ650" s="7"/>
      <c r="AK650" s="7"/>
    </row>
    <row r="651" spans="2:42">
      <c r="B651" s="7"/>
      <c r="C651" s="7"/>
      <c r="D651" s="7"/>
      <c r="E651" s="7"/>
      <c r="H651" s="7"/>
      <c r="I651" s="7"/>
      <c r="J651" s="114"/>
      <c r="K651" s="7"/>
      <c r="L651" s="7"/>
      <c r="P651" s="7"/>
      <c r="Q651" s="7"/>
      <c r="R651" s="108"/>
      <c r="S651" s="108"/>
      <c r="T651" s="108"/>
      <c r="W651" s="7"/>
      <c r="X651" s="7"/>
      <c r="Z651" s="7"/>
      <c r="AA651" s="7"/>
      <c r="AC651" s="7"/>
      <c r="AD651" s="7"/>
      <c r="AJ651" s="7"/>
      <c r="AK651" s="7"/>
    </row>
    <row r="652" spans="2:42">
      <c r="B652" s="7"/>
      <c r="C652" s="7"/>
      <c r="D652" s="7"/>
      <c r="E652" s="7"/>
      <c r="H652" s="7"/>
      <c r="I652" s="7"/>
      <c r="J652" s="114"/>
      <c r="K652" s="7"/>
      <c r="L652" s="7"/>
      <c r="P652" s="7"/>
      <c r="Q652" s="7"/>
      <c r="R652" s="108"/>
      <c r="S652" s="108"/>
      <c r="T652" s="108"/>
      <c r="W652" s="7"/>
      <c r="X652" s="7"/>
      <c r="Z652" s="7"/>
      <c r="AA652" s="7"/>
      <c r="AC652" s="7"/>
      <c r="AD652" s="7"/>
      <c r="AJ652" s="7"/>
      <c r="AK652" s="7"/>
    </row>
    <row r="653" spans="2:42">
      <c r="B653" s="7"/>
      <c r="C653" s="7"/>
      <c r="D653" s="7"/>
      <c r="E653" s="7"/>
      <c r="H653" s="7"/>
      <c r="I653" s="7"/>
      <c r="J653" s="114"/>
      <c r="K653" s="7"/>
      <c r="L653" s="7"/>
      <c r="P653" s="7"/>
      <c r="Q653" s="7"/>
      <c r="R653" s="108"/>
      <c r="S653" s="108"/>
      <c r="T653" s="108"/>
      <c r="W653" s="7"/>
      <c r="X653" s="7"/>
      <c r="Z653" s="7"/>
      <c r="AA653" s="7"/>
      <c r="AC653" s="7"/>
      <c r="AD653" s="7"/>
      <c r="AJ653" s="7"/>
      <c r="AK653" s="7"/>
    </row>
    <row r="654" spans="2:42">
      <c r="B654" s="7"/>
      <c r="C654" s="7"/>
      <c r="D654" s="7"/>
      <c r="E654" s="7"/>
      <c r="H654" s="7"/>
      <c r="I654" s="7"/>
      <c r="J654" s="114"/>
      <c r="K654" s="7"/>
      <c r="L654" s="7"/>
      <c r="P654" s="7"/>
      <c r="Q654" s="7"/>
      <c r="R654" s="108"/>
      <c r="S654" s="108"/>
      <c r="T654" s="108"/>
      <c r="W654" s="7"/>
      <c r="X654" s="7"/>
      <c r="Z654" s="7"/>
      <c r="AA654" s="7"/>
      <c r="AC654" s="7"/>
      <c r="AD654" s="7"/>
      <c r="AJ654" s="7"/>
      <c r="AK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I658" s="112"/>
      <c r="J658" s="114"/>
      <c r="K658" s="7"/>
      <c r="M658" s="120"/>
      <c r="W658" s="7"/>
      <c r="Z658" s="7"/>
      <c r="AA658" s="7"/>
      <c r="AC658" s="7"/>
      <c r="AD658" s="7"/>
      <c r="AI658" s="7"/>
      <c r="AO658" s="7"/>
    </row>
    <row r="659" spans="2:41">
      <c r="B659" s="7"/>
      <c r="C659" s="7"/>
      <c r="D659" s="7"/>
      <c r="E659" s="7"/>
      <c r="H659" s="7"/>
      <c r="I659" s="112"/>
      <c r="J659" s="114"/>
      <c r="K659" s="7"/>
      <c r="M659" s="120"/>
      <c r="W659" s="7"/>
      <c r="Z659" s="7"/>
      <c r="AA659" s="7"/>
      <c r="AC659" s="7"/>
      <c r="AD659" s="7"/>
      <c r="AI659" s="7"/>
      <c r="AO659" s="7"/>
    </row>
    <row r="660" spans="2:41">
      <c r="B660" s="7"/>
      <c r="C660" s="7"/>
      <c r="D660" s="7"/>
      <c r="E660" s="7"/>
      <c r="H660" s="7"/>
      <c r="I660" s="112"/>
      <c r="J660" s="114"/>
      <c r="K660" s="7"/>
      <c r="M660" s="120"/>
      <c r="W660" s="7"/>
      <c r="Z660" s="7"/>
      <c r="AA660" s="7"/>
      <c r="AC660" s="7"/>
      <c r="AD660" s="7"/>
      <c r="AI660" s="7"/>
      <c r="AO660" s="7"/>
    </row>
    <row r="661" spans="2:41">
      <c r="B661" s="7"/>
      <c r="C661" s="7"/>
      <c r="D661" s="7"/>
      <c r="E661" s="7"/>
      <c r="H661" s="7"/>
      <c r="I661" s="112"/>
      <c r="J661" s="114"/>
      <c r="K661" s="7"/>
      <c r="M661" s="120"/>
      <c r="W661" s="7"/>
      <c r="Z661" s="7"/>
      <c r="AA661" s="7"/>
      <c r="AC661" s="7"/>
      <c r="AD661" s="7"/>
      <c r="AI661" s="7"/>
      <c r="AO661" s="7"/>
    </row>
    <row r="662" spans="2:41">
      <c r="B662" s="7"/>
      <c r="C662" s="7"/>
      <c r="D662" s="7"/>
      <c r="E662" s="7"/>
      <c r="H662" s="7"/>
      <c r="I662" s="112"/>
      <c r="J662" s="114"/>
      <c r="K662" s="7"/>
      <c r="M662" s="120"/>
      <c r="W662" s="7"/>
      <c r="Z662" s="7"/>
      <c r="AA662" s="7"/>
      <c r="AC662" s="7"/>
      <c r="AD662" s="7"/>
      <c r="AI662" s="7"/>
      <c r="AO662" s="7"/>
    </row>
    <row r="663" spans="2:41">
      <c r="B663" s="7"/>
      <c r="C663" s="7"/>
      <c r="D663" s="7"/>
      <c r="E663" s="7"/>
      <c r="H663" s="7"/>
      <c r="J663" s="114"/>
      <c r="K663" s="7"/>
    </row>
    <row r="664" spans="2:41">
      <c r="B664" s="7"/>
      <c r="C664" s="7"/>
      <c r="D664" s="7"/>
      <c r="E664" s="7"/>
      <c r="H664" s="7"/>
      <c r="J664" s="114"/>
      <c r="K664" s="108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  <c r="J698" s="114"/>
    </row>
    <row r="699" spans="5:10">
      <c r="E699" s="7"/>
      <c r="J699" s="114"/>
    </row>
    <row r="700" spans="5:10">
      <c r="E700" s="7"/>
      <c r="J700" s="114"/>
    </row>
    <row r="701" spans="5:10">
      <c r="E701" s="7"/>
      <c r="J701" s="114"/>
    </row>
    <row r="702" spans="5:10">
      <c r="E702" s="7"/>
      <c r="J702" s="114"/>
    </row>
    <row r="703" spans="5:10">
      <c r="E703" s="7"/>
    </row>
    <row r="704" spans="5:10">
      <c r="E704" s="7"/>
    </row>
  </sheetData>
  <autoFilter ref="A1:AP702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8"/>
  <sheetViews>
    <sheetView workbookViewId="0">
      <pane xSplit="5" ySplit="2" topLeftCell="F96" activePane="bottomRight" state="frozen"/>
      <selection pane="topRight"/>
      <selection pane="bottomLeft"/>
      <selection pane="bottomRight" activeCell="U108" sqref="B108:U108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9" t="s">
        <v>95</v>
      </c>
      <c r="G1" s="139"/>
      <c r="H1" s="139"/>
      <c r="I1" s="139"/>
      <c r="J1" s="139"/>
      <c r="K1" s="139"/>
      <c r="L1" s="139"/>
      <c r="M1" s="139"/>
      <c r="N1" s="139"/>
      <c r="O1" s="139"/>
      <c r="P1" s="140" t="s">
        <v>96</v>
      </c>
      <c r="Q1" s="141"/>
      <c r="R1" s="141"/>
      <c r="S1" s="142"/>
      <c r="T1" s="143" t="s">
        <v>7</v>
      </c>
      <c r="U1" s="143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4" t="s">
        <v>97</v>
      </c>
      <c r="CS1" s="66"/>
      <c r="CT1" s="66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spans="1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0" t="s">
        <v>102</v>
      </c>
      <c r="Q2" s="50" t="s">
        <v>112</v>
      </c>
      <c r="R2" s="50" t="s">
        <v>113</v>
      </c>
      <c r="S2" s="50" t="s">
        <v>114</v>
      </c>
      <c r="T2" s="53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1" t="s">
        <v>138</v>
      </c>
      <c r="AS2" s="61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3" t="s">
        <v>152</v>
      </c>
      <c r="BM2" s="63" t="s">
        <v>153</v>
      </c>
      <c r="BN2" s="63" t="s">
        <v>154</v>
      </c>
      <c r="BO2" s="63" t="s">
        <v>813</v>
      </c>
      <c r="BP2" s="63" t="s">
        <v>155</v>
      </c>
      <c r="BQ2" s="63" t="s">
        <v>156</v>
      </c>
      <c r="BR2" s="63" t="s">
        <v>157</v>
      </c>
      <c r="BS2" s="63" t="s">
        <v>814</v>
      </c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 t="str">
        <f t="shared" si="0"/>
        <v>杀敌金币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 t="str">
        <f t="shared" si="0"/>
        <v>每秒金币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166</v>
      </c>
      <c r="C3" s="10" t="s">
        <v>167</v>
      </c>
      <c r="D3" s="45"/>
      <c r="E3" s="46"/>
      <c r="F3" s="47">
        <v>800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137" t="s">
        <v>833</v>
      </c>
      <c r="U3" s="55" t="s">
        <v>168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169</v>
      </c>
      <c r="C4" s="10" t="s">
        <v>170</v>
      </c>
      <c r="D4" s="45"/>
      <c r="E4" s="46"/>
      <c r="F4" s="47">
        <v>800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137" t="s">
        <v>833</v>
      </c>
      <c r="U4" s="55" t="s">
        <v>168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InitEquipData('E002',,"",,E003,800,100,'','','','','','',"ReplaceableTextures\\CommandButtons\\BTNZ01.blp")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171</v>
      </c>
      <c r="C5" s="10" t="s">
        <v>172</v>
      </c>
      <c r="D5" s="45"/>
      <c r="E5" s="46"/>
      <c r="F5" s="47">
        <v>800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137" t="s">
        <v>833</v>
      </c>
      <c r="U5" s="55" t="s">
        <v>168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InitEquipData('E003',,"",,E004,800,100,'','','','','','',"ReplaceableTextures\\CommandButtons\\BTNZ01.blp")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173</v>
      </c>
      <c r="C6" s="10" t="s">
        <v>174</v>
      </c>
      <c r="D6" s="45"/>
      <c r="E6" s="46"/>
      <c r="F6" s="47">
        <v>800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137" t="s">
        <v>833</v>
      </c>
      <c r="U6" s="55" t="s">
        <v>168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InitEquipData('E004',,"",,E005,800,100,'','','','','','',"ReplaceableTextures\\CommandButtons\\BTNZ01.blp")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175</v>
      </c>
      <c r="C7" s="10" t="s">
        <v>176</v>
      </c>
      <c r="D7" s="45"/>
      <c r="E7" s="46"/>
      <c r="F7" s="47">
        <v>2500</v>
      </c>
      <c r="G7" s="48">
        <v>100</v>
      </c>
      <c r="H7" s="49" t="s">
        <v>177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137" t="s">
        <v>833</v>
      </c>
      <c r="U7" s="55" t="s">
        <v>168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InitEquipData('E005',,"",,E006,2500,100,'','','','','','',"ReplaceableTextures\\CommandButtons\\BTNZ02.blp")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178</v>
      </c>
      <c r="C8" s="10" t="s">
        <v>179</v>
      </c>
      <c r="D8" s="45"/>
      <c r="E8" s="46"/>
      <c r="F8" s="47">
        <v>2500</v>
      </c>
      <c r="G8" s="48">
        <v>85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137" t="s">
        <v>833</v>
      </c>
      <c r="U8" s="55" t="s">
        <v>180</v>
      </c>
      <c r="V8" s="56">
        <v>12000</v>
      </c>
      <c r="W8" s="56">
        <f>V8-V7</f>
        <v>4000</v>
      </c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InitUnitState('E006',12000,4000,,,,,,,,)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InitEquipData('E006',,"",,E007,2500,85,'','','','','','',"ReplaceableTextures\\CommandButtons\\BTNZ02.blp")</v>
      </c>
      <c r="CS8" s="65"/>
      <c r="CT8" s="65"/>
      <c r="CU8" s="67" t="str">
        <f t="shared" si="78"/>
        <v>|n攻击+12000|n业力+4000|n暴击+5%|n暴伤+100%|n伤害吸取+1%|n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>|n业力+4000</v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181</v>
      </c>
      <c r="C9" s="10" t="s">
        <v>182</v>
      </c>
      <c r="D9" s="45"/>
      <c r="E9" s="46"/>
      <c r="F9" s="47">
        <v>2500</v>
      </c>
      <c r="G9" s="48">
        <v>85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137" t="s">
        <v>833</v>
      </c>
      <c r="U9" s="55" t="s">
        <v>180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InitEquipData('E007',,"",,E008,2500,85,'','','','','','',"ReplaceableTextures\\CommandButtons\\BTNZ02.blp")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183</v>
      </c>
      <c r="C10" s="10" t="s">
        <v>184</v>
      </c>
      <c r="D10" s="45"/>
      <c r="E10" s="46"/>
      <c r="F10" s="47">
        <v>2500</v>
      </c>
      <c r="G10" s="48">
        <v>85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137" t="s">
        <v>833</v>
      </c>
      <c r="U10" s="55" t="s">
        <v>180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InitEquipData('E008',,"",,E009,2500,85,'','','','','','',"ReplaceableTextures\\CommandButtons\\BTNZ02.blp")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185</v>
      </c>
      <c r="C11" s="10" t="s">
        <v>186</v>
      </c>
      <c r="D11" s="45"/>
      <c r="E11" s="46"/>
      <c r="F11" s="47">
        <v>2500</v>
      </c>
      <c r="G11" s="48">
        <v>85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137" t="s">
        <v>833</v>
      </c>
      <c r="U11" s="55" t="s">
        <v>180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InitEquipData('E009',,"",,E010,2500,85,'','','','','','',"ReplaceableTextures\\CommandButtons\\BTNZ02.blp")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187</v>
      </c>
      <c r="C12" s="10" t="s">
        <v>188</v>
      </c>
      <c r="D12" s="45"/>
      <c r="E12" s="46"/>
      <c r="F12" s="47">
        <v>10000</v>
      </c>
      <c r="G12" s="48">
        <v>100</v>
      </c>
      <c r="H12" s="49" t="s">
        <v>189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137" t="s">
        <v>833</v>
      </c>
      <c r="U12" s="55" t="s">
        <v>180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InitEquipData('E010',,"",,E011,10000,100,'','','','','','',"ReplaceableTextures\\CommandButtons\\BTNZ03.blp")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190</v>
      </c>
      <c r="C13" s="10" t="s">
        <v>191</v>
      </c>
      <c r="D13" s="45"/>
      <c r="E13" s="46"/>
      <c r="F13" s="47">
        <v>8000</v>
      </c>
      <c r="G13" s="48">
        <v>70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137" t="s">
        <v>833</v>
      </c>
      <c r="U13" s="55" t="s">
        <v>192</v>
      </c>
      <c r="V13" s="56">
        <v>60000</v>
      </c>
      <c r="W13" s="56">
        <f>V13-V12</f>
        <v>32000</v>
      </c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InitUnitState('E011',60000,32000,,,,,,,,)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InitEquipData('E011',,"",,E012,8000,70,'','','','','','',"ReplaceableTextures\\CommandButtons\\BTNZ03.blp")</v>
      </c>
      <c r="CS13" s="65"/>
      <c r="CT13" s="65"/>
      <c r="CU13" s="67" t="str">
        <f t="shared" si="78"/>
        <v>|n攻击+60000|n业力+32000|n暴击+6%|n暴伤+200%|n伤害吸取+3%|n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3" t="str">
        <f t="shared" si="149"/>
        <v>|n攻击+60000</v>
      </c>
      <c r="DC13" s="43" t="str">
        <f t="shared" si="150"/>
        <v>|n业力+32000</v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193</v>
      </c>
      <c r="C14" s="10" t="s">
        <v>194</v>
      </c>
      <c r="D14" s="45"/>
      <c r="E14" s="46"/>
      <c r="F14" s="47">
        <v>8000</v>
      </c>
      <c r="G14" s="48">
        <v>70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137" t="s">
        <v>833</v>
      </c>
      <c r="U14" s="55" t="s">
        <v>192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InitEquipData('E012',,"",,E013,8000,70,'','','','','','',"ReplaceableTextures\\CommandButtons\\BTNZ03.blp")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195</v>
      </c>
      <c r="C15" s="10" t="s">
        <v>196</v>
      </c>
      <c r="D15" s="45"/>
      <c r="E15" s="46"/>
      <c r="F15" s="47">
        <v>8000</v>
      </c>
      <c r="G15" s="48">
        <v>70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137" t="s">
        <v>833</v>
      </c>
      <c r="U15" s="55" t="s">
        <v>192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InitEquipData('E013',,"",,E014,8000,70,'','','','','','',"ReplaceableTextures\\CommandButtons\\BTNZ03.blp")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197</v>
      </c>
      <c r="C16" s="10" t="s">
        <v>198</v>
      </c>
      <c r="D16" s="45"/>
      <c r="E16" s="46"/>
      <c r="F16" s="47">
        <v>8000</v>
      </c>
      <c r="G16" s="48">
        <v>70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137" t="s">
        <v>833</v>
      </c>
      <c r="U16" s="55" t="s">
        <v>192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InitEquipData('E014',,"",,E015,8000,70,'','','','','','',"ReplaceableTextures\\CommandButtons\\BTNZ03.blp")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199</v>
      </c>
      <c r="C17" s="10" t="s">
        <v>200</v>
      </c>
      <c r="D17" s="45"/>
      <c r="E17" s="46"/>
      <c r="F17" s="47">
        <v>30000</v>
      </c>
      <c r="G17" s="48">
        <v>100</v>
      </c>
      <c r="H17" s="49" t="s">
        <v>201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137" t="s">
        <v>833</v>
      </c>
      <c r="U17" s="55" t="s">
        <v>192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InitEquipData('E015',,"",,E016,30000,100,'','','','','','',"ReplaceableTextures\\CommandButtons\\BTNZ04.blp")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202</v>
      </c>
      <c r="C18" s="10" t="s">
        <v>203</v>
      </c>
      <c r="D18" s="45"/>
      <c r="E18" s="46"/>
      <c r="F18" s="47">
        <v>20000</v>
      </c>
      <c r="G18" s="48">
        <v>60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137" t="s">
        <v>833</v>
      </c>
      <c r="U18" s="55" t="s">
        <v>204</v>
      </c>
      <c r="V18" s="56">
        <v>300000</v>
      </c>
      <c r="W18" s="56">
        <f>V18-V17</f>
        <v>160000</v>
      </c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InitUnitState('E016',300000,160000,,,,,,,,)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InitEquipData('E016',,"",,E017,20000,60,'','','','','','',"ReplaceableTextures\\CommandButtons\\BTNZ04.blp")</v>
      </c>
      <c r="CS18" s="65"/>
      <c r="CT18" s="65"/>
      <c r="CU18" s="67" t="str">
        <f t="shared" si="78"/>
        <v>|n攻击+300000|n业力+160000|n暴击+7%|n暴伤+300%|n伤害吸取+4%|n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3" t="str">
        <f t="shared" si="149"/>
        <v>|n攻击+300000</v>
      </c>
      <c r="DC18" s="43" t="str">
        <f t="shared" si="150"/>
        <v>|n业力+160000</v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205</v>
      </c>
      <c r="C19" s="10" t="s">
        <v>206</v>
      </c>
      <c r="D19" s="45"/>
      <c r="E19" s="46"/>
      <c r="F19" s="47">
        <v>20000</v>
      </c>
      <c r="G19" s="48">
        <v>60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137" t="s">
        <v>833</v>
      </c>
      <c r="U19" s="55" t="s">
        <v>204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InitEquipData('E017',,"",,E018,20000,60,'','','','','','',"ReplaceableTextures\\CommandButtons\\BTNZ04.blp")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207</v>
      </c>
      <c r="C20" s="10" t="s">
        <v>208</v>
      </c>
      <c r="D20" s="45"/>
      <c r="E20" s="46"/>
      <c r="F20" s="47">
        <v>20000</v>
      </c>
      <c r="G20" s="48">
        <v>60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137" t="s">
        <v>833</v>
      </c>
      <c r="U20" s="55" t="s">
        <v>204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InitEquipData('E018',,"",,E019,20000,60,'','','','','','',"ReplaceableTextures\\CommandButtons\\BTNZ04.blp")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209</v>
      </c>
      <c r="C21" s="10" t="s">
        <v>210</v>
      </c>
      <c r="D21" s="45"/>
      <c r="E21" s="46"/>
      <c r="F21" s="47">
        <v>20000</v>
      </c>
      <c r="G21" s="48">
        <v>60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137" t="s">
        <v>833</v>
      </c>
      <c r="U21" s="55" t="s">
        <v>204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InitEquipData('E019',,"",,E020,20000,60,'','','','','','',"ReplaceableTextures\\CommandButtons\\BTNZ04.blp")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211</v>
      </c>
      <c r="C22" s="10" t="s">
        <v>212</v>
      </c>
      <c r="D22" s="45"/>
      <c r="E22" s="46"/>
      <c r="F22" s="47">
        <v>35000</v>
      </c>
      <c r="G22" s="48">
        <v>100</v>
      </c>
      <c r="H22" s="49" t="s">
        <v>213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137" t="s">
        <v>833</v>
      </c>
      <c r="U22" s="55" t="s">
        <v>204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InitEquipData('E020',,"",,E021,35000,100,'','','','','','',"ReplaceableTextures\\CommandButtons\\BTNZ05.blp")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214</v>
      </c>
      <c r="C23" s="10" t="s">
        <v>215</v>
      </c>
      <c r="D23" s="45"/>
      <c r="E23" s="46"/>
      <c r="F23" s="47">
        <v>35000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137" t="s">
        <v>833</v>
      </c>
      <c r="U23" s="55" t="s">
        <v>216</v>
      </c>
      <c r="V23" s="56">
        <v>800000</v>
      </c>
      <c r="W23" s="56">
        <f>V23-V22</f>
        <v>250000</v>
      </c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InitUnitState('E021',800000,250000,,,,,,,,)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InitEquipData('E021',,"",,E022,35000,50,'','','','','','',"ReplaceableTextures\\CommandButtons\\BTNZ05.blp")</v>
      </c>
      <c r="CS23" s="65"/>
      <c r="CT23" s="65"/>
      <c r="CU23" s="67" t="str">
        <f t="shared" si="78"/>
        <v>|n攻击+800000|n业力+250000|n暴击+8%|n暴伤+400%|n伤害吸取+5%|n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3" t="str">
        <f t="shared" si="220"/>
        <v>|n攻击+800000</v>
      </c>
      <c r="DC23" s="43" t="str">
        <f t="shared" si="221"/>
        <v>|n业力+250000</v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217</v>
      </c>
      <c r="C24" s="10" t="s">
        <v>218</v>
      </c>
      <c r="D24" s="45"/>
      <c r="E24" s="46"/>
      <c r="F24" s="47">
        <v>35000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137" t="s">
        <v>833</v>
      </c>
      <c r="U24" s="55" t="s">
        <v>216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InitEquipData('E022',,"",,E023,35000,50,'','','','','','',"ReplaceableTextures\\CommandButtons\\BTNZ05.blp")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219</v>
      </c>
      <c r="C25" s="10" t="s">
        <v>220</v>
      </c>
      <c r="D25" s="45"/>
      <c r="E25" s="46"/>
      <c r="F25" s="47">
        <v>35000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137" t="s">
        <v>833</v>
      </c>
      <c r="U25" s="55" t="s">
        <v>216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InitEquipData('E023',,"",,E024,35000,50,'','','','','','',"ReplaceableTextures\\CommandButtons\\BTNZ05.blp")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221</v>
      </c>
      <c r="C26" s="10" t="s">
        <v>222</v>
      </c>
      <c r="D26" s="45"/>
      <c r="E26" s="46"/>
      <c r="F26" s="47">
        <v>35000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137" t="s">
        <v>833</v>
      </c>
      <c r="U26" s="55" t="s">
        <v>216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InitEquipData('E024',,"",,E025,35000,50,'','','','','','',"ReplaceableTextures\\CommandButtons\\BTNZ05.blp")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223</v>
      </c>
      <c r="C27" s="10" t="s">
        <v>224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137" t="s">
        <v>832</v>
      </c>
      <c r="U27" s="55" t="s">
        <v>216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226</v>
      </c>
      <c r="C28" s="3" t="s">
        <v>227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228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229</v>
      </c>
      <c r="C29" s="3" t="s">
        <v>230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228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231</v>
      </c>
      <c r="C30" s="3" t="s">
        <v>232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228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233</v>
      </c>
      <c r="C31" s="3" t="s">
        <v>234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228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235</v>
      </c>
      <c r="C32" s="3" t="s">
        <v>236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228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237</v>
      </c>
      <c r="C33" s="3" t="s">
        <v>238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239</v>
      </c>
      <c r="V33" s="56">
        <v>3780</v>
      </c>
      <c r="W33" s="56"/>
      <c r="X33"/>
      <c r="Y33"/>
      <c r="Z33" s="56">
        <v>12600</v>
      </c>
      <c r="AA33" s="56">
        <f>Z33-Z32</f>
        <v>3600</v>
      </c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InitUnitState('E106',3780,,,,12600,3600,252,,55,6)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|n攻击+3780|n生命值+12600|n魔法值+3600|n生命回复+252|n攻速+55%|n闪避+6%|n每秒业力+6|n</v>
      </c>
      <c r="CV33" s="5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>|n魔法值+3600</v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240</v>
      </c>
      <c r="C34" s="3" t="s">
        <v>241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239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242</v>
      </c>
      <c r="C35" s="3" t="s">
        <v>243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239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244</v>
      </c>
      <c r="C36" s="3" t="s">
        <v>245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239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246</v>
      </c>
      <c r="C37" s="3" t="s">
        <v>247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239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248</v>
      </c>
      <c r="C38" s="3" t="s">
        <v>249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250</v>
      </c>
      <c r="V38" s="56">
        <v>27000</v>
      </c>
      <c r="W38" s="56"/>
      <c r="X38"/>
      <c r="Y38" s="56"/>
      <c r="Z38" s="56">
        <v>90000</v>
      </c>
      <c r="AA38" s="56">
        <f>Z38-Z37</f>
        <v>45000</v>
      </c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InitUnitState('E111',27000,,,,90000,45000,1800,,80,9)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|n攻击+27000|n生命值+90000|n魔法值+45000|n生命回复+1800|n攻速+80%|n闪避+9%|n每秒业力+11|n</v>
      </c>
      <c r="CV38" s="5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>|n魔法值+45000</v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251</v>
      </c>
      <c r="C39" s="3" t="s">
        <v>252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250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253</v>
      </c>
      <c r="C40" s="3" t="s">
        <v>254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250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255</v>
      </c>
      <c r="C41" s="3" t="s">
        <v>256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250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257</v>
      </c>
      <c r="C42" s="3" t="s">
        <v>258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250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259</v>
      </c>
      <c r="C43" s="3" t="s">
        <v>260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261</v>
      </c>
      <c r="V43" s="56">
        <v>81000</v>
      </c>
      <c r="W43" s="56"/>
      <c r="X43"/>
      <c r="Y43" s="56"/>
      <c r="Z43" s="56">
        <v>270000</v>
      </c>
      <c r="AA43" s="56">
        <f>Z43-Z42</f>
        <v>81000</v>
      </c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InitUnitState('E116',81000,,,,270000,81000,5400,,105,12)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|n攻击+81000|n生命值+270000|n魔法值+81000|n生命回复+5400|n攻速+105%|n闪避+12%|n每秒业力+16|n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>|n魔法值+81000</v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262</v>
      </c>
      <c r="C44" s="3" t="s">
        <v>263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261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264</v>
      </c>
      <c r="C45" s="3" t="s">
        <v>265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261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266</v>
      </c>
      <c r="C46" s="3" t="s">
        <v>267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261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268</v>
      </c>
      <c r="C47" s="3" t="s">
        <v>269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261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270</v>
      </c>
      <c r="C48" s="3" t="s">
        <v>271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272</v>
      </c>
      <c r="V48" s="56">
        <v>202500</v>
      </c>
      <c r="W48" s="56"/>
      <c r="X48"/>
      <c r="Y48" s="56"/>
      <c r="Z48" s="56">
        <v>675000</v>
      </c>
      <c r="AA48" s="56">
        <f>Z48-Z47</f>
        <v>225000</v>
      </c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InitUnitState('E121',202500,,,,675000,225000,13500,,130,15)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|n攻击+202500|n生命值+675000|n魔法值+225000|n生命回复+13500|n攻速+130%|n闪避+15%|n每秒业力+21|n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>|n魔法值+225000</v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273</v>
      </c>
      <c r="C49" s="3" t="s">
        <v>274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272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275</v>
      </c>
      <c r="C50" s="3" t="s">
        <v>276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272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277</v>
      </c>
      <c r="C51" s="3" t="s">
        <v>278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272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279</v>
      </c>
      <c r="C52" s="3" t="s">
        <v>280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272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281</v>
      </c>
      <c r="C53" s="10" t="s">
        <v>282</v>
      </c>
      <c r="D53" s="45"/>
      <c r="E53" s="46"/>
      <c r="F53" s="47">
        <v>800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283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284</v>
      </c>
      <c r="C54" s="10" t="s">
        <v>285</v>
      </c>
      <c r="D54" s="45"/>
      <c r="E54" s="46"/>
      <c r="F54" s="47">
        <v>800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283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286</v>
      </c>
      <c r="C55" s="10" t="s">
        <v>287</v>
      </c>
      <c r="D55" s="45"/>
      <c r="E55" s="46"/>
      <c r="F55" s="47">
        <v>800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283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InitEquipData('E203',,"",,E204,800,100,'','','','','','',"ReplaceableTextures\\CommandButtons\\BTNZ13.blp")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288</v>
      </c>
      <c r="C56" s="10" t="s">
        <v>289</v>
      </c>
      <c r="D56" s="45"/>
      <c r="E56" s="46"/>
      <c r="F56" s="47">
        <v>800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283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InitEquipData('E204',,"",,E205,800,100,'','','','','','',"ReplaceableTextures\\CommandButtons\\BTNZ13.blp")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290</v>
      </c>
      <c r="C57" s="10" t="s">
        <v>291</v>
      </c>
      <c r="D57" s="45"/>
      <c r="E57" s="46"/>
      <c r="F57" s="47">
        <v>2500</v>
      </c>
      <c r="G57" s="48">
        <v>100</v>
      </c>
      <c r="H57" s="49" t="s">
        <v>292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283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InitEquipData('E205',,"",,E206,2500,100,'','','','','','',"ReplaceableTextures\\CommandButtons\\BTNZ13.blp")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293</v>
      </c>
      <c r="C58" s="10" t="s">
        <v>294</v>
      </c>
      <c r="D58" s="45"/>
      <c r="E58" s="46"/>
      <c r="F58" s="47">
        <v>2500</v>
      </c>
      <c r="G58" s="48">
        <v>85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295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InitEquipData('E206',,"",,E207,2500,85,'','','','','','',"ReplaceableTextures\\CommandButtons\\BTNZ13.blp")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296</v>
      </c>
      <c r="C59" s="10" t="s">
        <v>297</v>
      </c>
      <c r="D59" s="45"/>
      <c r="E59" s="46"/>
      <c r="F59" s="47">
        <v>2500</v>
      </c>
      <c r="G59" s="48">
        <v>85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295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InitEquipData('E207',,"",,E208,2500,85,'','','','','','',"ReplaceableTextures\\CommandButtons\\BTNZ14.blp")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298</v>
      </c>
      <c r="C60" s="10" t="s">
        <v>299</v>
      </c>
      <c r="D60" s="45"/>
      <c r="E60" s="46"/>
      <c r="F60" s="47">
        <v>2500</v>
      </c>
      <c r="G60" s="48">
        <v>85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295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InitEquipData('E208',,"",,E209,2500,85,'','','','','','',"ReplaceableTextures\\CommandButtons\\BTNZ14.blp")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300</v>
      </c>
      <c r="C61" s="10" t="s">
        <v>301</v>
      </c>
      <c r="D61" s="45"/>
      <c r="E61" s="46"/>
      <c r="F61" s="47">
        <v>2500</v>
      </c>
      <c r="G61" s="48">
        <v>85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295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InitEquipData('E209',,"",,E210,2500,85,'','','','','','',"ReplaceableTextures\\CommandButtons\\BTNZ14.blp")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302</v>
      </c>
      <c r="C62" s="10" t="s">
        <v>303</v>
      </c>
      <c r="D62" s="45"/>
      <c r="E62" s="46"/>
      <c r="F62" s="47">
        <v>10000</v>
      </c>
      <c r="G62" s="48">
        <v>100</v>
      </c>
      <c r="H62" s="49" t="s">
        <v>304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295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InitEquipData('E210',,"",,E211,10000,100,'','','','','','',"ReplaceableTextures\\CommandButtons\\BTNZ14.blp")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305</v>
      </c>
      <c r="C63" s="10" t="s">
        <v>306</v>
      </c>
      <c r="D63" s="45"/>
      <c r="E63" s="46"/>
      <c r="F63" s="47">
        <v>8000</v>
      </c>
      <c r="G63" s="48">
        <v>70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307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308</v>
      </c>
      <c r="C64" s="10" t="s">
        <v>309</v>
      </c>
      <c r="D64" s="45"/>
      <c r="E64" s="46"/>
      <c r="F64" s="47">
        <v>8000</v>
      </c>
      <c r="G64" s="48">
        <v>70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307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InitEquipData('E212',,"",,E213,8000,70,'','','','','','',"ReplaceableTextures\\CommandButtons\\BTNZ13.blp")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310</v>
      </c>
      <c r="C65" s="10" t="s">
        <v>311</v>
      </c>
      <c r="D65" s="45"/>
      <c r="E65" s="46"/>
      <c r="F65" s="47">
        <v>8000</v>
      </c>
      <c r="G65" s="48">
        <v>70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307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InitEquipData('E213',,"",,E214,8000,70,'','','','','','',"ReplaceableTextures\\CommandButtons\\BTNZ13.blp")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312</v>
      </c>
      <c r="C66" s="10" t="s">
        <v>313</v>
      </c>
      <c r="D66" s="45"/>
      <c r="E66" s="46"/>
      <c r="F66" s="47">
        <v>8000</v>
      </c>
      <c r="G66" s="48">
        <v>70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307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InitEquipData('E214',,"",,E215,8000,70,'','','','','','',"ReplaceableTextures\\CommandButtons\\BTNZ13.blp")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314</v>
      </c>
      <c r="C67" s="10" t="s">
        <v>315</v>
      </c>
      <c r="D67" s="45"/>
      <c r="E67" s="46"/>
      <c r="F67" s="47">
        <v>30000</v>
      </c>
      <c r="G67" s="48">
        <v>100</v>
      </c>
      <c r="H67" s="49" t="s">
        <v>316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307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InitEquipData('E215',,"",,E216,30000,100,'','','','','','',"ReplaceableTextures\\CommandButtons\\BTNZ14.blp")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317</v>
      </c>
      <c r="C68" s="10" t="s">
        <v>318</v>
      </c>
      <c r="D68" s="45"/>
      <c r="E68" s="46"/>
      <c r="F68" s="47">
        <v>20000</v>
      </c>
      <c r="G68" s="48">
        <v>60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319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InitEquipData('E216',,"",,E217,20000,60,'','','','','','',"ReplaceableTextures\\CommandButtons\\BTNZ14.blp")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320</v>
      </c>
      <c r="C69" s="10" t="s">
        <v>321</v>
      </c>
      <c r="D69" s="45"/>
      <c r="E69" s="46"/>
      <c r="F69" s="47">
        <v>20000</v>
      </c>
      <c r="G69" s="48">
        <v>60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319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InitEquipData('E217',,"",,E218,20000,60,'','','','','','',"ReplaceableTextures\\CommandButtons\\BTNZ14.blp")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322</v>
      </c>
      <c r="C70" s="10" t="s">
        <v>323</v>
      </c>
      <c r="D70" s="45"/>
      <c r="E70" s="46"/>
      <c r="F70" s="47">
        <v>20000</v>
      </c>
      <c r="G70" s="48">
        <v>60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319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InitEquipData('E218',,"",,E219,20000,60,'','','','','','',"ReplaceableTextures\\CommandButtons\\BTNZ14.blp")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324</v>
      </c>
      <c r="C71" s="10" t="s">
        <v>325</v>
      </c>
      <c r="D71" s="45"/>
      <c r="E71" s="46"/>
      <c r="F71" s="47">
        <v>20000</v>
      </c>
      <c r="G71" s="48">
        <v>60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319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InitEquipData('E219',,"",,E220,20000,60,'','','','','','',"ReplaceableTextures\\CommandButtons\\BTNZ14.blp")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326</v>
      </c>
      <c r="C72" s="10" t="s">
        <v>327</v>
      </c>
      <c r="D72" s="45"/>
      <c r="E72" s="46"/>
      <c r="F72" s="47">
        <v>35000</v>
      </c>
      <c r="G72" s="48">
        <v>100</v>
      </c>
      <c r="H72" s="49" t="s">
        <v>328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319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InitEquipData('E220',,"",,E221,35000,100,'','','','','','',"ReplaceableTextures\\CommandButtons\\BTNZ15.blp")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329</v>
      </c>
      <c r="C73" s="10" t="s">
        <v>330</v>
      </c>
      <c r="D73" s="45"/>
      <c r="E73" s="46"/>
      <c r="F73" s="47">
        <v>35000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331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InitEquipData('E221',,"",,E222,35000,50,'','','','','','',"ReplaceableTextures\\CommandButtons\\BTNZ15.blp")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332</v>
      </c>
      <c r="C74" s="10" t="s">
        <v>333</v>
      </c>
      <c r="D74" s="45"/>
      <c r="E74" s="46"/>
      <c r="F74" s="47">
        <v>35000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331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InitEquipData('E222',,"",,E223,35000,50,'','','','','','',"ReplaceableTextures\\CommandButtons\\BTNZ15.blp")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334</v>
      </c>
      <c r="C75" s="10" t="s">
        <v>335</v>
      </c>
      <c r="D75" s="45"/>
      <c r="E75" s="46"/>
      <c r="F75" s="47">
        <v>35000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331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InitEquipData('E223',,"",,E224,35000,50,'','','','','','',"ReplaceableTextures\\CommandButtons\\BTNZ15.blp")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336</v>
      </c>
      <c r="C76" s="10" t="s">
        <v>337</v>
      </c>
      <c r="D76" s="45"/>
      <c r="E76" s="46"/>
      <c r="F76" s="47">
        <v>35000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331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InitEquipData('E224',,"",,E225,35000,50,'','','','','','',"ReplaceableTextures\\CommandButtons\\BTNZ15.blp")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338</v>
      </c>
      <c r="C77" s="10" t="s">
        <v>339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225</v>
      </c>
      <c r="U77" s="55" t="s">
        <v>331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340</v>
      </c>
      <c r="C78" s="69" t="s">
        <v>341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342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343</v>
      </c>
      <c r="C79" s="69" t="s">
        <v>344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345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346</v>
      </c>
      <c r="C80" s="9" t="s">
        <v>347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348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349</v>
      </c>
      <c r="C81" s="9" t="s">
        <v>350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351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352</v>
      </c>
      <c r="C82" s="9" t="s">
        <v>353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354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355</v>
      </c>
      <c r="C83" s="10" t="s">
        <v>356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357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358</v>
      </c>
      <c r="C84" s="10" t="s">
        <v>359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360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361</v>
      </c>
      <c r="C85" s="10" t="s">
        <v>362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363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364</v>
      </c>
      <c r="C86" s="10" t="s">
        <v>365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366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367</v>
      </c>
      <c r="C87" s="10" t="s">
        <v>368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369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732</v>
      </c>
      <c r="C88" s="134" t="s">
        <v>742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775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733</v>
      </c>
      <c r="C89" s="134" t="s">
        <v>743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776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734</v>
      </c>
      <c r="C90" s="9" t="s">
        <v>744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777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735</v>
      </c>
      <c r="C91" s="9" t="s">
        <v>745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778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736</v>
      </c>
      <c r="C92" s="9" t="s">
        <v>746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779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737</v>
      </c>
      <c r="C93" s="10" t="s">
        <v>747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780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738</v>
      </c>
      <c r="C94" s="10" t="s">
        <v>748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781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739</v>
      </c>
      <c r="C95" s="10" t="s">
        <v>749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782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740</v>
      </c>
      <c r="C96" s="10" t="s">
        <v>750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783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741</v>
      </c>
      <c r="C97" s="10" t="s">
        <v>751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784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752</v>
      </c>
      <c r="C98" s="134" t="s">
        <v>762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785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753</v>
      </c>
      <c r="C99" s="134" t="s">
        <v>763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786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754</v>
      </c>
      <c r="C100" s="9" t="s">
        <v>764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787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755</v>
      </c>
      <c r="C101" s="9" t="s">
        <v>765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788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756</v>
      </c>
      <c r="C102" s="9" t="s">
        <v>766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789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8" si="1245">IF(V102="","","|n"&amp;DB$2&amp;"+"&amp;V102&amp;DB$1)</f>
        <v/>
      </c>
      <c r="DC102" s="43" t="str">
        <f t="shared" ref="DC102:DC108" si="1246">IF(W102="","","|n"&amp;DC$2&amp;"+"&amp;W102&amp;DC$1)</f>
        <v/>
      </c>
      <c r="DD102" s="43" t="str">
        <f t="shared" ref="DD102:DD108" si="1247">IF(X102="","","|n"&amp;DD$2&amp;"+"&amp;X102&amp;DD$1)</f>
        <v/>
      </c>
      <c r="DE102" s="43" t="str">
        <f t="shared" ref="DE102:DE108" si="1248">IF(Y102="","","|n"&amp;DE$2&amp;"+"&amp;Y102&amp;DE$1)</f>
        <v/>
      </c>
      <c r="DF102" s="43" t="str">
        <f t="shared" ref="DF102:DF108" si="1249">IF(Z102="","","|n"&amp;DF$2&amp;"+"&amp;Z102&amp;DF$1)</f>
        <v/>
      </c>
      <c r="DG102" s="43" t="str">
        <f t="shared" ref="DG102:DG108" si="1250">IF(AA102="","","|n"&amp;DG$2&amp;"+"&amp;AA102&amp;DG$1)</f>
        <v/>
      </c>
      <c r="DH102" s="43" t="str">
        <f t="shared" ref="DH102:DH108" si="1251">IF(AB102="","","|n"&amp;DH$2&amp;"+"&amp;AB102&amp;DH$1)</f>
        <v/>
      </c>
      <c r="DI102" s="43" t="str">
        <f t="shared" ref="DI102:DI108" si="1252">IF(AC102="","","|n"&amp;DI$2&amp;"+"&amp;AC102&amp;DI$1)</f>
        <v/>
      </c>
      <c r="DJ102" s="43" t="str">
        <f t="shared" ref="DJ102:DJ108" si="1253">IF(AD102="","","|n"&amp;DJ$2&amp;"+"&amp;AD102&amp;DJ$1)</f>
        <v/>
      </c>
      <c r="DK102" s="43" t="str">
        <f t="shared" ref="DK102:DK108" si="1254">IF(AE102="","","|n"&amp;DK$2&amp;"+"&amp;AE102&amp;DK$1)</f>
        <v/>
      </c>
      <c r="DL102" s="43" t="str">
        <f t="shared" ref="DL102:DL108" si="1255">IF(AF102="","","|n"&amp;DL$2&amp;"+"&amp;AF102&amp;DL$1)</f>
        <v/>
      </c>
      <c r="DM102" s="43" t="str">
        <f t="shared" ref="DM102:DM108" si="1256">IF(AG102="","","|n"&amp;DM$2&amp;"+"&amp;AG102&amp;DM$1)</f>
        <v/>
      </c>
      <c r="DN102" s="43" t="str">
        <f t="shared" ref="DN102:DN108" si="1257">IF(AH102="","","|n"&amp;DN$2&amp;"+"&amp;AH102&amp;DN$1)</f>
        <v/>
      </c>
      <c r="DO102" s="43" t="str">
        <f t="shared" ref="DO102:DO108" si="1258">IF(AI102="","","|n"&amp;DO$2&amp;"+"&amp;AI102&amp;DO$1)</f>
        <v/>
      </c>
      <c r="DP102" s="43" t="str">
        <f t="shared" ref="DP102:DP108" si="1259">IF(AJ102="","","|n"&amp;DP$2&amp;"+"&amp;AJ102&amp;DP$1)</f>
        <v/>
      </c>
      <c r="DQ102" s="43" t="str">
        <f t="shared" ref="DQ102:DQ108" si="1260">IF(AK102="","","|n"&amp;DQ$2&amp;"+"&amp;AK102&amp;DQ$1)</f>
        <v/>
      </c>
      <c r="DR102" s="43" t="str">
        <f t="shared" ref="DR102:DR108" si="1261">IF(AL102="","","|n"&amp;DR$2&amp;"+"&amp;AL102&amp;DR$1)</f>
        <v/>
      </c>
      <c r="DS102" s="43" t="str">
        <f t="shared" ref="DS102:DS108" si="1262">IF(AM102="","","|n"&amp;DS$2&amp;"+"&amp;AM102&amp;DS$1)</f>
        <v/>
      </c>
      <c r="DT102" s="43" t="str">
        <f t="shared" ref="DT102:DT108" si="1263">IF(AN102="","","|n"&amp;DT$2&amp;"+"&amp;AN102&amp;DT$1)</f>
        <v/>
      </c>
      <c r="DU102" s="43" t="str">
        <f t="shared" ref="DU102:DU108" si="1264">IF(AO102="","","|n"&amp;DU$2&amp;"+"&amp;AO102&amp;DU$1)</f>
        <v/>
      </c>
      <c r="DV102" s="43" t="str">
        <f t="shared" ref="DV102:DV108" si="1265">IF(AP102="","","|n"&amp;DV$2&amp;"+"&amp;AP102&amp;DV$1)</f>
        <v/>
      </c>
      <c r="DW102" s="43" t="str">
        <f t="shared" ref="DW102:DW108" si="1266">IF(AQ102="","","|n"&amp;DW$2&amp;"+"&amp;AQ102&amp;DW$1)</f>
        <v/>
      </c>
      <c r="DX102" s="43" t="str">
        <f t="shared" ref="DX102:DX108" si="1267">IF(AR102="","","|n"&amp;DX$2&amp;"+"&amp;AR102&amp;DX$1)</f>
        <v/>
      </c>
      <c r="DY102" s="43" t="str">
        <f t="shared" ref="DY102:DY108" si="1268">IF(AS102="","","|n"&amp;DY$2&amp;"+"&amp;AS102&amp;DY$1)</f>
        <v/>
      </c>
      <c r="DZ102" s="43" t="str">
        <f t="shared" ref="DZ102:DZ108" si="1269">IF(AT102="","","|n"&amp;DZ$2&amp;"+"&amp;AT102&amp;DZ$1)</f>
        <v/>
      </c>
      <c r="EA102" s="43" t="str">
        <f t="shared" ref="EA102:EA108" si="1270">IF(AU102="","","|n"&amp;EA$2&amp;"+"&amp;AU102&amp;EA$1)</f>
        <v/>
      </c>
      <c r="EB102" s="43" t="str">
        <f t="shared" ref="EB102:EB108" si="1271">IF(AV102="","","|n"&amp;EB$2&amp;"+"&amp;AV102&amp;EB$1)</f>
        <v/>
      </c>
      <c r="EC102" s="43" t="str">
        <f t="shared" ref="EC102:EC108" si="1272">IF(AW102="","","|n"&amp;EC$2&amp;"+"&amp;AW102&amp;EC$1)</f>
        <v/>
      </c>
      <c r="ED102" s="43" t="str">
        <f t="shared" ref="ED102:ED108" si="1273">IF(AX102="","","|n"&amp;ED$2&amp;"+"&amp;AX102&amp;ED$1)</f>
        <v/>
      </c>
      <c r="EE102" s="43" t="str">
        <f t="shared" ref="EE102:EE108" si="1274">IF(AY102="","","|n"&amp;EE$2&amp;"+"&amp;AY102&amp;EE$1)</f>
        <v/>
      </c>
      <c r="EF102" s="43" t="str">
        <f t="shared" ref="EF102:EF108" si="1275">IF(AZ102="","","|n"&amp;EF$2&amp;"+"&amp;AZ102&amp;EF$1)</f>
        <v/>
      </c>
      <c r="EG102" s="43" t="str">
        <f t="shared" ref="EG102:EG108" si="1276">IF(BA102="","","|n"&amp;EG$2&amp;"+"&amp;BA102&amp;EG$1)</f>
        <v/>
      </c>
      <c r="EH102" s="43" t="str">
        <f t="shared" ref="EH102:EH108" si="1277">IF(BB102="","","|n"&amp;EH$2&amp;"+"&amp;BB102&amp;EH$1)</f>
        <v/>
      </c>
      <c r="EI102" s="43" t="str">
        <f t="shared" ref="EI102:EI108" si="1278">IF(BC102="","","|n"&amp;EI$2&amp;"+"&amp;BC102&amp;EI$1)</f>
        <v/>
      </c>
      <c r="EJ102" s="43" t="str">
        <f t="shared" ref="EJ102:EJ108" si="1279">IF(BD102="","","|n"&amp;EJ$2&amp;"+"&amp;BD102&amp;EJ$1)</f>
        <v/>
      </c>
      <c r="EK102" s="43" t="str">
        <f t="shared" ref="EK102:EK108" si="1280">IF(BE102="","","|n"&amp;EK$2&amp;"+"&amp;BE102&amp;EK$1)</f>
        <v/>
      </c>
      <c r="EL102" s="43" t="str">
        <f t="shared" ref="EL102:EL108" si="1281">IF(BF102="","","|n"&amp;EL$2&amp;"+"&amp;BF102&amp;EL$1)</f>
        <v/>
      </c>
      <c r="EM102" s="43" t="str">
        <f t="shared" ref="EM102:EM108" si="1282">IF(BG102="","","|n"&amp;EM$2&amp;"+"&amp;BG102&amp;EM$1)</f>
        <v/>
      </c>
      <c r="EN102" s="43" t="str">
        <f t="shared" ref="EN102:EN108" si="1283">IF(BH102="","","|n"&amp;EN$2&amp;"+"&amp;BH102&amp;EN$1)</f>
        <v/>
      </c>
      <c r="EO102" s="43" t="str">
        <f t="shared" ref="EO102:EO108" si="1284">IF(BI102="","","|n"&amp;EO$2&amp;"+"&amp;BI102&amp;EO$1)</f>
        <v/>
      </c>
      <c r="EP102" s="43" t="str">
        <f t="shared" ref="EP102:EP108" si="1285">IF(BJ102="","","|n"&amp;EP$2&amp;"+"&amp;BJ102&amp;EP$1)</f>
        <v/>
      </c>
      <c r="EQ102" s="43" t="str">
        <f t="shared" ref="EQ102:EQ108" si="1286">IF(BK102="","","|n"&amp;EQ$2&amp;"+"&amp;BK102&amp;EQ$1)</f>
        <v/>
      </c>
      <c r="ER102" s="43" t="str">
        <f t="shared" ref="ER102:ER108" si="1287">IF(BL102="","","|n"&amp;ER$2&amp;"+"&amp;BL102&amp;ER$1)</f>
        <v/>
      </c>
      <c r="ES102" s="43" t="str">
        <f t="shared" ref="ES102:ES108" si="1288">IF(BM102="","","|n"&amp;ES$2&amp;"+"&amp;BM102&amp;ES$1)</f>
        <v/>
      </c>
      <c r="ET102" s="43" t="str">
        <f t="shared" ref="ET102:ET108" si="1289">IF(BN102="","","|n"&amp;ET$2&amp;"+"&amp;BN102&amp;ET$1)</f>
        <v/>
      </c>
      <c r="EU102" s="43" t="str">
        <f t="shared" ref="EU102:EU108" si="1290">IF(BO102="","","|n"&amp;EU$2&amp;"+"&amp;BO102&amp;EU$1)</f>
        <v/>
      </c>
      <c r="EV102" s="43" t="str">
        <f t="shared" ref="EV102:EV108" si="1291">IF(BP102="","","|n"&amp;EV$2&amp;"+"&amp;BP102&amp;EV$1)</f>
        <v/>
      </c>
      <c r="EW102" s="43" t="str">
        <f t="shared" ref="EW102:EW108" si="1292">IF(BQ102="","","|n"&amp;EW$2&amp;"+"&amp;BQ102&amp;EW$1)</f>
        <v/>
      </c>
      <c r="EX102" s="43" t="str">
        <f t="shared" ref="EX102:EX108" si="1293">IF(BR102="","","|n"&amp;EX$2&amp;"+"&amp;BR102&amp;EX$1)</f>
        <v/>
      </c>
      <c r="EY102" s="43" t="str">
        <f t="shared" ref="EY102:EY108" si="1294">IF(BS102="","","|n"&amp;EY$2&amp;"+"&amp;BS102&amp;EY$1)</f>
        <v/>
      </c>
      <c r="EZ102" s="43" t="str">
        <f t="shared" ref="EZ102:EZ108" si="1295">IF(BT102="","","|n"&amp;EZ$2&amp;"+"&amp;BT102&amp;EZ$1)</f>
        <v/>
      </c>
      <c r="FA102" s="43" t="str">
        <f t="shared" ref="FA102:FA108" si="1296">IF(BU102="","","|n"&amp;FA$2&amp;"+"&amp;BU102&amp;FA$1)</f>
        <v/>
      </c>
      <c r="FB102" s="43" t="str">
        <f t="shared" ref="FB102:FB108" si="1297">IF(BV102="","","|n"&amp;FB$2&amp;"+"&amp;BV102&amp;FB$1)</f>
        <v/>
      </c>
      <c r="FC102" s="43" t="str">
        <f t="shared" ref="FC102:FC108" si="1298">IF(BW102="","","|n"&amp;FC$2&amp;"+"&amp;BW102&amp;FC$1)</f>
        <v/>
      </c>
      <c r="FD102" s="43" t="str">
        <f t="shared" ref="FD102:FD108" si="1299">IF(BX102="","","|n"&amp;FD$2&amp;"+"&amp;BX102&amp;FD$1)</f>
        <v/>
      </c>
      <c r="FE102" s="43" t="str">
        <f t="shared" ref="FE102:FE108" si="1300">IF(BY102="","","|n"&amp;FE$2&amp;"+"&amp;BY102&amp;FE$1)</f>
        <v/>
      </c>
      <c r="FF102" s="43" t="str">
        <f t="shared" ref="FF102:FF108" si="1301">IF(BZ102="","","|n"&amp;FF$2&amp;"+"&amp;BZ102&amp;FF$1)</f>
        <v/>
      </c>
      <c r="FG102" s="43" t="str">
        <f t="shared" ref="FG102:FG108" si="1302">IF(CA102="","","|n"&amp;FG$2&amp;"+"&amp;CA102&amp;FG$1)</f>
        <v/>
      </c>
      <c r="FH102" s="43" t="str">
        <f t="shared" ref="FH102:FH108" si="1303">IF(CB102="","","|n"&amp;FH$2&amp;"+"&amp;CB102&amp;FH$1)</f>
        <v/>
      </c>
      <c r="FI102" s="43" t="str">
        <f t="shared" ref="FI102:FI108" si="1304">IF(CC102="","","|n"&amp;FI$2&amp;"+"&amp;CC102&amp;FI$1)</f>
        <v/>
      </c>
      <c r="FJ102" s="43" t="str">
        <f t="shared" ref="FJ102:FJ108" si="1305">IF(CD102="","","|n"&amp;FJ$2&amp;"+"&amp;CD102&amp;FJ$1)</f>
        <v/>
      </c>
      <c r="FK102" s="43" t="str">
        <f t="shared" ref="FK102:FK108" si="1306">IF(CE102="","","|n"&amp;FK$2&amp;"+"&amp;CE102&amp;FK$1)</f>
        <v/>
      </c>
      <c r="FL102" s="43" t="str">
        <f t="shared" ref="FL102:FL108" si="1307">IF(CF102="","","|n"&amp;FL$2&amp;"+"&amp;CF102&amp;FL$1)</f>
        <v/>
      </c>
      <c r="FM102" s="43" t="str">
        <f t="shared" ref="FM102:FM108" si="1308">IF(CG102="","","|n"&amp;FM$2&amp;"+"&amp;CG102&amp;FM$1)</f>
        <v/>
      </c>
      <c r="FN102" s="43" t="str">
        <f t="shared" ref="FN102:FN108" si="1309">IF(CH102="","","|n"&amp;FN$2&amp;"+"&amp;CH102&amp;FN$1)</f>
        <v/>
      </c>
      <c r="FO102" s="43" t="str">
        <f t="shared" ref="FO102:FO108" si="1310">IF(CI102="","","|n"&amp;FO$2&amp;"+"&amp;CI102&amp;FO$1)</f>
        <v/>
      </c>
      <c r="FP102" s="43" t="str">
        <f t="shared" ref="FP102:FP108" si="1311">IF(CJ102="","","|n"&amp;FP$2&amp;"+"&amp;CJ102&amp;FP$1)</f>
        <v/>
      </c>
      <c r="FQ102" s="43" t="str">
        <f t="shared" ref="FQ102:FQ108" si="1312">IF(CK102="","","|n"&amp;FQ$2&amp;"+"&amp;CK102&amp;FQ$1)</f>
        <v/>
      </c>
      <c r="FR102" s="43" t="str">
        <f t="shared" ref="FR102:FR108" si="1313">IF(CL102="","","|n"&amp;FR$2&amp;"+"&amp;CL102&amp;FR$1)</f>
        <v/>
      </c>
      <c r="FS102" s="43" t="str">
        <f t="shared" ref="FS102:FS108" si="1314">IF(CM102="","","|n"&amp;FS$2&amp;"+"&amp;CM102&amp;FS$1)</f>
        <v/>
      </c>
    </row>
    <row r="103" spans="1:175" ht="16.5">
      <c r="A103" s="4"/>
      <c r="B103" s="4" t="s">
        <v>757</v>
      </c>
      <c r="C103" s="10" t="s">
        <v>767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790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758</v>
      </c>
      <c r="C104" s="10" t="s">
        <v>768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791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759</v>
      </c>
      <c r="C105" s="10" t="s">
        <v>769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792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760</v>
      </c>
      <c r="C106" s="10" t="s">
        <v>770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793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761</v>
      </c>
      <c r="C107" s="10" t="s">
        <v>771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794</v>
      </c>
      <c r="CN107" s="12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7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:CV108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839</v>
      </c>
      <c r="C108" s="4" t="s">
        <v>840</v>
      </c>
      <c r="T108" s="4" t="s">
        <v>840</v>
      </c>
      <c r="U108" s="55" t="s">
        <v>559</v>
      </c>
      <c r="CN108" s="12" t="str">
        <f t="shared" si="1315"/>
        <v>InitUnitState('CS01',,,,,,,,,,)</v>
      </c>
      <c r="CO108" s="12" t="str">
        <f t="shared" si="1316"/>
        <v>InitUnitNormal('CS01',,,,,,,,,,)</v>
      </c>
      <c r="CP108" s="12" t="str">
        <f t="shared" si="1317"/>
        <v>InitUnitMagic('CS01',,,,,,,,,,)</v>
      </c>
      <c r="CQ108" s="12" t="str">
        <f t="shared" si="1318"/>
        <v>InitUnitAdd('CS01',,,,,,,,,,)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67" t="str">
        <f t="shared" si="1319"/>
        <v>|n</v>
      </c>
      <c r="CV108" s="5" t="str">
        <f t="shared" si="1320"/>
        <v>抽取Q技能</v>
      </c>
      <c r="CW108" s="6"/>
      <c r="CX108" s="6"/>
      <c r="CY108" s="6"/>
      <c r="CZ108" s="6"/>
      <c r="DA108" s="6"/>
      <c r="DB108" s="43" t="str">
        <f t="shared" si="1245"/>
        <v/>
      </c>
      <c r="DC108" s="43" t="str">
        <f t="shared" si="1246"/>
        <v/>
      </c>
      <c r="DD108" s="43" t="str">
        <f t="shared" si="1247"/>
        <v/>
      </c>
      <c r="DE108" s="43" t="str">
        <f t="shared" si="1248"/>
        <v/>
      </c>
      <c r="DF108" s="43" t="str">
        <f t="shared" si="1249"/>
        <v/>
      </c>
      <c r="DG108" s="43" t="str">
        <f t="shared" si="1250"/>
        <v/>
      </c>
      <c r="DH108" s="43" t="str">
        <f t="shared" si="1251"/>
        <v/>
      </c>
      <c r="DI108" s="43" t="str">
        <f t="shared" si="1252"/>
        <v/>
      </c>
      <c r="DJ108" s="43" t="str">
        <f t="shared" si="1253"/>
        <v/>
      </c>
      <c r="DK108" s="43" t="str">
        <f t="shared" si="1254"/>
        <v/>
      </c>
      <c r="DL108" s="43" t="str">
        <f t="shared" si="1255"/>
        <v/>
      </c>
      <c r="DM108" s="43" t="str">
        <f t="shared" si="1256"/>
        <v/>
      </c>
      <c r="DN108" s="43" t="str">
        <f t="shared" si="1257"/>
        <v/>
      </c>
      <c r="DO108" s="43" t="str">
        <f t="shared" si="1258"/>
        <v/>
      </c>
      <c r="DP108" s="43" t="str">
        <f t="shared" si="1259"/>
        <v/>
      </c>
      <c r="DQ108" s="43" t="str">
        <f t="shared" si="1260"/>
        <v/>
      </c>
      <c r="DR108" s="43" t="str">
        <f t="shared" si="1261"/>
        <v/>
      </c>
      <c r="DS108" s="43" t="str">
        <f t="shared" si="1262"/>
        <v/>
      </c>
      <c r="DT108" s="43" t="str">
        <f t="shared" si="1263"/>
        <v/>
      </c>
      <c r="DU108" s="43" t="str">
        <f t="shared" si="1264"/>
        <v/>
      </c>
      <c r="DV108" s="43" t="str">
        <f t="shared" si="1265"/>
        <v/>
      </c>
      <c r="DW108" s="43" t="str">
        <f t="shared" si="1266"/>
        <v/>
      </c>
      <c r="DX108" s="43" t="str">
        <f t="shared" si="1267"/>
        <v/>
      </c>
      <c r="DY108" s="43" t="str">
        <f t="shared" si="1268"/>
        <v/>
      </c>
      <c r="DZ108" s="43" t="str">
        <f t="shared" si="1269"/>
        <v/>
      </c>
      <c r="EA108" s="43" t="str">
        <f t="shared" si="1270"/>
        <v/>
      </c>
      <c r="EB108" s="43" t="str">
        <f t="shared" si="1271"/>
        <v/>
      </c>
      <c r="EC108" s="43" t="str">
        <f t="shared" si="1272"/>
        <v/>
      </c>
      <c r="ED108" s="43" t="str">
        <f t="shared" si="1273"/>
        <v/>
      </c>
      <c r="EE108" s="43" t="str">
        <f t="shared" si="1274"/>
        <v/>
      </c>
      <c r="EF108" s="43" t="str">
        <f t="shared" si="1275"/>
        <v/>
      </c>
      <c r="EG108" s="43" t="str">
        <f t="shared" si="1276"/>
        <v/>
      </c>
      <c r="EH108" s="43" t="str">
        <f t="shared" si="1277"/>
        <v/>
      </c>
      <c r="EI108" s="43" t="str">
        <f t="shared" si="1278"/>
        <v/>
      </c>
      <c r="EJ108" s="43" t="str">
        <f t="shared" si="1279"/>
        <v/>
      </c>
      <c r="EK108" s="43" t="str">
        <f t="shared" si="1280"/>
        <v/>
      </c>
      <c r="EL108" s="43" t="str">
        <f t="shared" si="1281"/>
        <v/>
      </c>
      <c r="EM108" s="43" t="str">
        <f t="shared" si="1282"/>
        <v/>
      </c>
      <c r="EN108" s="43" t="str">
        <f t="shared" si="1283"/>
        <v/>
      </c>
      <c r="EO108" s="43" t="str">
        <f t="shared" si="1284"/>
        <v/>
      </c>
      <c r="EP108" s="43" t="str">
        <f t="shared" si="1285"/>
        <v/>
      </c>
      <c r="EQ108" s="43" t="str">
        <f t="shared" si="1286"/>
        <v/>
      </c>
      <c r="ER108" s="43" t="str">
        <f t="shared" si="1287"/>
        <v/>
      </c>
      <c r="ES108" s="43" t="str">
        <f t="shared" si="1288"/>
        <v/>
      </c>
      <c r="ET108" s="43" t="str">
        <f t="shared" si="1289"/>
        <v/>
      </c>
      <c r="EU108" s="43" t="str">
        <f t="shared" si="1290"/>
        <v/>
      </c>
      <c r="EV108" s="43" t="str">
        <f t="shared" si="1291"/>
        <v/>
      </c>
      <c r="EW108" s="43" t="str">
        <f t="shared" si="1292"/>
        <v/>
      </c>
      <c r="EX108" s="43" t="str">
        <f t="shared" si="1293"/>
        <v/>
      </c>
      <c r="EY108" s="43" t="str">
        <f t="shared" si="1294"/>
        <v/>
      </c>
      <c r="EZ108" s="43" t="str">
        <f t="shared" si="1295"/>
        <v/>
      </c>
      <c r="FA108" s="43" t="str">
        <f t="shared" si="1296"/>
        <v/>
      </c>
      <c r="FB108" s="43" t="str">
        <f t="shared" si="1297"/>
        <v/>
      </c>
      <c r="FC108" s="43" t="str">
        <f t="shared" si="1298"/>
        <v/>
      </c>
      <c r="FD108" s="43" t="str">
        <f t="shared" si="1299"/>
        <v/>
      </c>
      <c r="FE108" s="43" t="str">
        <f t="shared" si="1300"/>
        <v/>
      </c>
      <c r="FF108" s="43" t="str">
        <f t="shared" si="1301"/>
        <v/>
      </c>
      <c r="FG108" s="43" t="str">
        <f t="shared" si="1302"/>
        <v/>
      </c>
      <c r="FH108" s="43" t="str">
        <f t="shared" si="1303"/>
        <v/>
      </c>
      <c r="FI108" s="43" t="str">
        <f t="shared" si="1304"/>
        <v/>
      </c>
      <c r="FJ108" s="43" t="str">
        <f t="shared" si="1305"/>
        <v/>
      </c>
      <c r="FK108" s="43" t="str">
        <f t="shared" si="1306"/>
        <v/>
      </c>
      <c r="FL108" s="43" t="str">
        <f t="shared" si="1307"/>
        <v/>
      </c>
      <c r="FM108" s="43" t="str">
        <f t="shared" si="1308"/>
        <v/>
      </c>
      <c r="FN108" s="43" t="str">
        <f t="shared" si="1309"/>
        <v/>
      </c>
      <c r="FO108" s="43" t="str">
        <f t="shared" si="1310"/>
        <v/>
      </c>
      <c r="FP108" s="43" t="str">
        <f t="shared" si="1311"/>
        <v/>
      </c>
      <c r="FQ108" s="43" t="str">
        <f t="shared" si="1312"/>
        <v/>
      </c>
      <c r="FR108" s="43" t="str">
        <f t="shared" si="1313"/>
        <v/>
      </c>
      <c r="FS108" s="43" t="str">
        <f t="shared" si="1314"/>
        <v/>
      </c>
    </row>
    <row r="109" spans="1:175" ht="16.5">
      <c r="A109" s="4"/>
      <c r="B109" s="4" t="s">
        <v>370</v>
      </c>
      <c r="C109" s="4" t="s">
        <v>371</v>
      </c>
      <c r="T109" s="4" t="s">
        <v>371</v>
      </c>
      <c r="U109" s="55" t="s">
        <v>372</v>
      </c>
      <c r="CN109" s="12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2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2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2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67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5" t="str">
        <f t="shared" ref="CV109:CV110" si="1326">T109</f>
        <v>升品质</v>
      </c>
      <c r="CW109" s="6"/>
      <c r="CX109" s="6"/>
      <c r="CY109" s="6"/>
      <c r="CZ109" s="6"/>
      <c r="DA109" s="6"/>
      <c r="DB109" s="43" t="str">
        <f t="shared" ref="DB109:DB110" si="1327">IF(V109="","","|n"&amp;DB$2&amp;"+"&amp;V109&amp;DB$1)</f>
        <v/>
      </c>
      <c r="DC109" s="43" t="str">
        <f t="shared" ref="DC109:DC110" si="1328">IF(W109="","","|n"&amp;DC$2&amp;"+"&amp;W109&amp;DC$1)</f>
        <v/>
      </c>
      <c r="DD109" s="43" t="str">
        <f t="shared" ref="DD109:DD110" si="1329">IF(X109="","","|n"&amp;DD$2&amp;"+"&amp;X109&amp;DD$1)</f>
        <v/>
      </c>
      <c r="DE109" s="43" t="str">
        <f t="shared" ref="DE109:DE110" si="1330">IF(Y109="","","|n"&amp;DE$2&amp;"+"&amp;Y109&amp;DE$1)</f>
        <v/>
      </c>
      <c r="DF109" s="43" t="str">
        <f t="shared" ref="DF109:DF110" si="1331">IF(Z109="","","|n"&amp;DF$2&amp;"+"&amp;Z109&amp;DF$1)</f>
        <v/>
      </c>
      <c r="DG109" s="43" t="str">
        <f t="shared" ref="DG109:DG110" si="1332">IF(AA109="","","|n"&amp;DG$2&amp;"+"&amp;AA109&amp;DG$1)</f>
        <v/>
      </c>
      <c r="DH109" s="43" t="str">
        <f t="shared" ref="DH109:DH110" si="1333">IF(AB109="","","|n"&amp;DH$2&amp;"+"&amp;AB109&amp;DH$1)</f>
        <v/>
      </c>
      <c r="DI109" s="43" t="str">
        <f t="shared" ref="DI109:DI110" si="1334">IF(AC109="","","|n"&amp;DI$2&amp;"+"&amp;AC109&amp;DI$1)</f>
        <v/>
      </c>
      <c r="DJ109" s="43" t="str">
        <f t="shared" ref="DJ109:DJ110" si="1335">IF(AD109="","","|n"&amp;DJ$2&amp;"+"&amp;AD109&amp;DJ$1)</f>
        <v/>
      </c>
      <c r="DK109" s="43" t="str">
        <f t="shared" ref="DK109:DK110" si="1336">IF(AE109="","","|n"&amp;DK$2&amp;"+"&amp;AE109&amp;DK$1)</f>
        <v/>
      </c>
      <c r="DL109" s="43" t="str">
        <f t="shared" ref="DL109:DL110" si="1337">IF(AF109="","","|n"&amp;DL$2&amp;"+"&amp;AF109&amp;DL$1)</f>
        <v/>
      </c>
      <c r="DM109" s="43" t="str">
        <f t="shared" ref="DM109:DM110" si="1338">IF(AG109="","","|n"&amp;DM$2&amp;"+"&amp;AG109&amp;DM$1)</f>
        <v/>
      </c>
      <c r="DN109" s="43" t="str">
        <f t="shared" ref="DN109:DN110" si="1339">IF(AH109="","","|n"&amp;DN$2&amp;"+"&amp;AH109&amp;DN$1)</f>
        <v/>
      </c>
      <c r="DO109" s="43" t="str">
        <f t="shared" ref="DO109:DO110" si="1340">IF(AI109="","","|n"&amp;DO$2&amp;"+"&amp;AI109&amp;DO$1)</f>
        <v/>
      </c>
      <c r="DP109" s="43" t="str">
        <f t="shared" ref="DP109:DP110" si="1341">IF(AJ109="","","|n"&amp;DP$2&amp;"+"&amp;AJ109&amp;DP$1)</f>
        <v/>
      </c>
      <c r="DQ109" s="43" t="str">
        <f t="shared" ref="DQ109:DQ110" si="1342">IF(AK109="","","|n"&amp;DQ$2&amp;"+"&amp;AK109&amp;DQ$1)</f>
        <v/>
      </c>
      <c r="DR109" s="43" t="str">
        <f t="shared" ref="DR109:DR110" si="1343">IF(AL109="","","|n"&amp;DR$2&amp;"+"&amp;AL109&amp;DR$1)</f>
        <v/>
      </c>
      <c r="DS109" s="43" t="str">
        <f t="shared" ref="DS109:DS110" si="1344">IF(AM109="","","|n"&amp;DS$2&amp;"+"&amp;AM109&amp;DS$1)</f>
        <v/>
      </c>
      <c r="DT109" s="43" t="str">
        <f t="shared" ref="DT109:DT110" si="1345">IF(AN109="","","|n"&amp;DT$2&amp;"+"&amp;AN109&amp;DT$1)</f>
        <v/>
      </c>
      <c r="DU109" s="43" t="str">
        <f t="shared" ref="DU109:DU110" si="1346">IF(AO109="","","|n"&amp;DU$2&amp;"+"&amp;AO109&amp;DU$1)</f>
        <v/>
      </c>
      <c r="DV109" s="43" t="str">
        <f t="shared" ref="DV109:DV110" si="1347">IF(AP109="","","|n"&amp;DV$2&amp;"+"&amp;AP109&amp;DV$1)</f>
        <v/>
      </c>
      <c r="DW109" s="43" t="str">
        <f t="shared" ref="DW109:DW110" si="1348">IF(AQ109="","","|n"&amp;DW$2&amp;"+"&amp;AQ109&amp;DW$1)</f>
        <v/>
      </c>
      <c r="DX109" s="43" t="str">
        <f t="shared" ref="DX109:DX110" si="1349">IF(AR109="","","|n"&amp;DX$2&amp;"+"&amp;AR109&amp;DX$1)</f>
        <v/>
      </c>
      <c r="DY109" s="43" t="str">
        <f t="shared" ref="DY109:DY110" si="1350">IF(AS109="","","|n"&amp;DY$2&amp;"+"&amp;AS109&amp;DY$1)</f>
        <v/>
      </c>
      <c r="DZ109" s="43" t="str">
        <f t="shared" ref="DZ109:DZ110" si="1351">IF(AT109="","","|n"&amp;DZ$2&amp;"+"&amp;AT109&amp;DZ$1)</f>
        <v/>
      </c>
      <c r="EA109" s="43" t="str">
        <f t="shared" ref="EA109:EA110" si="1352">IF(AU109="","","|n"&amp;EA$2&amp;"+"&amp;AU109&amp;EA$1)</f>
        <v/>
      </c>
      <c r="EB109" s="43" t="str">
        <f t="shared" ref="EB109:EB110" si="1353">IF(AV109="","","|n"&amp;EB$2&amp;"+"&amp;AV109&amp;EB$1)</f>
        <v/>
      </c>
      <c r="EC109" s="43" t="str">
        <f t="shared" ref="EC109:EC110" si="1354">IF(AW109="","","|n"&amp;EC$2&amp;"+"&amp;AW109&amp;EC$1)</f>
        <v/>
      </c>
      <c r="ED109" s="43" t="str">
        <f t="shared" ref="ED109:ED110" si="1355">IF(AX109="","","|n"&amp;ED$2&amp;"+"&amp;AX109&amp;ED$1)</f>
        <v/>
      </c>
      <c r="EE109" s="43" t="str">
        <f t="shared" ref="EE109:EE110" si="1356">IF(AY109="","","|n"&amp;EE$2&amp;"+"&amp;AY109&amp;EE$1)</f>
        <v/>
      </c>
      <c r="EF109" s="43" t="str">
        <f t="shared" ref="EF109:EF110" si="1357">IF(AZ109="","","|n"&amp;EF$2&amp;"+"&amp;AZ109&amp;EF$1)</f>
        <v/>
      </c>
      <c r="EG109" s="43" t="str">
        <f t="shared" ref="EG109:EG110" si="1358">IF(BA109="","","|n"&amp;EG$2&amp;"+"&amp;BA109&amp;EG$1)</f>
        <v/>
      </c>
      <c r="EH109" s="43" t="str">
        <f t="shared" ref="EH109:EH110" si="1359">IF(BB109="","","|n"&amp;EH$2&amp;"+"&amp;BB109&amp;EH$1)</f>
        <v/>
      </c>
      <c r="EI109" s="43" t="str">
        <f t="shared" ref="EI109:EI110" si="1360">IF(BC109="","","|n"&amp;EI$2&amp;"+"&amp;BC109&amp;EI$1)</f>
        <v/>
      </c>
      <c r="EJ109" s="43" t="str">
        <f t="shared" ref="EJ109:EJ110" si="1361">IF(BD109="","","|n"&amp;EJ$2&amp;"+"&amp;BD109&amp;EJ$1)</f>
        <v/>
      </c>
      <c r="EK109" s="43" t="str">
        <f t="shared" ref="EK109:EK110" si="1362">IF(BE109="","","|n"&amp;EK$2&amp;"+"&amp;BE109&amp;EK$1)</f>
        <v/>
      </c>
      <c r="EL109" s="43" t="str">
        <f t="shared" ref="EL109:EL110" si="1363">IF(BF109="","","|n"&amp;EL$2&amp;"+"&amp;BF109&amp;EL$1)</f>
        <v/>
      </c>
      <c r="EM109" s="43" t="str">
        <f t="shared" ref="EM109:EM110" si="1364">IF(BG109="","","|n"&amp;EM$2&amp;"+"&amp;BG109&amp;EM$1)</f>
        <v/>
      </c>
      <c r="EN109" s="43" t="str">
        <f t="shared" ref="EN109:EN110" si="1365">IF(BH109="","","|n"&amp;EN$2&amp;"+"&amp;BH109&amp;EN$1)</f>
        <v/>
      </c>
      <c r="EO109" s="43" t="str">
        <f t="shared" ref="EO109:EO110" si="1366">IF(BI109="","","|n"&amp;EO$2&amp;"+"&amp;BI109&amp;EO$1)</f>
        <v/>
      </c>
      <c r="EP109" s="43" t="str">
        <f t="shared" ref="EP109:EP110" si="1367">IF(BJ109="","","|n"&amp;EP$2&amp;"+"&amp;BJ109&amp;EP$1)</f>
        <v/>
      </c>
      <c r="EQ109" s="43" t="str">
        <f t="shared" ref="EQ109:EQ110" si="1368">IF(BK109="","","|n"&amp;EQ$2&amp;"+"&amp;BK109&amp;EQ$1)</f>
        <v/>
      </c>
      <c r="ER109" s="43" t="str">
        <f t="shared" ref="ER109:ER110" si="1369">IF(BL109="","","|n"&amp;ER$2&amp;"+"&amp;BL109&amp;ER$1)</f>
        <v/>
      </c>
      <c r="ES109" s="43" t="str">
        <f t="shared" ref="ES109:ES110" si="1370">IF(BM109="","","|n"&amp;ES$2&amp;"+"&amp;BM109&amp;ES$1)</f>
        <v/>
      </c>
      <c r="ET109" s="43" t="str">
        <f t="shared" ref="ET109:ET110" si="1371">IF(BN109="","","|n"&amp;ET$2&amp;"+"&amp;BN109&amp;ET$1)</f>
        <v/>
      </c>
      <c r="EU109" s="43" t="str">
        <f t="shared" ref="EU109:EU110" si="1372">IF(BO109="","","|n"&amp;EU$2&amp;"+"&amp;BO109&amp;EU$1)</f>
        <v/>
      </c>
      <c r="EV109" s="43" t="str">
        <f t="shared" ref="EV109:EV110" si="1373">IF(BP109="","","|n"&amp;EV$2&amp;"+"&amp;BP109&amp;EV$1)</f>
        <v/>
      </c>
      <c r="EW109" s="43" t="str">
        <f t="shared" ref="EW109:EW110" si="1374">IF(BQ109="","","|n"&amp;EW$2&amp;"+"&amp;BQ109&amp;EW$1)</f>
        <v/>
      </c>
      <c r="EX109" s="43" t="str">
        <f t="shared" ref="EX109:EX110" si="1375">IF(BR109="","","|n"&amp;EX$2&amp;"+"&amp;BR109&amp;EX$1)</f>
        <v/>
      </c>
      <c r="EY109" s="43" t="str">
        <f t="shared" ref="EY109:EY110" si="1376">IF(BS109="","","|n"&amp;EY$2&amp;"+"&amp;BS109&amp;EY$1)</f>
        <v/>
      </c>
      <c r="EZ109" s="43" t="str">
        <f t="shared" ref="EZ109:EZ110" si="1377">IF(BT109="","","|n"&amp;EZ$2&amp;"+"&amp;BT109&amp;EZ$1)</f>
        <v/>
      </c>
      <c r="FA109" s="43" t="str">
        <f t="shared" ref="FA109:FA110" si="1378">IF(BU109="","","|n"&amp;FA$2&amp;"+"&amp;BU109&amp;FA$1)</f>
        <v/>
      </c>
      <c r="FB109" s="43" t="str">
        <f t="shared" ref="FB109:FB110" si="1379">IF(BV109="","","|n"&amp;FB$2&amp;"+"&amp;BV109&amp;FB$1)</f>
        <v/>
      </c>
      <c r="FC109" s="43" t="str">
        <f t="shared" ref="FC109:FC110" si="1380">IF(BW109="","","|n"&amp;FC$2&amp;"+"&amp;BW109&amp;FC$1)</f>
        <v/>
      </c>
      <c r="FD109" s="43" t="str">
        <f t="shared" ref="FD109:FD110" si="1381">IF(BX109="","","|n"&amp;FD$2&amp;"+"&amp;BX109&amp;FD$1)</f>
        <v/>
      </c>
      <c r="FE109" s="43" t="str">
        <f t="shared" ref="FE109:FE110" si="1382">IF(BY109="","","|n"&amp;FE$2&amp;"+"&amp;BY109&amp;FE$1)</f>
        <v/>
      </c>
      <c r="FF109" s="43" t="str">
        <f t="shared" ref="FF109:FF110" si="1383">IF(BZ109="","","|n"&amp;FF$2&amp;"+"&amp;BZ109&amp;FF$1)</f>
        <v/>
      </c>
      <c r="FG109" s="43" t="str">
        <f t="shared" ref="FG109:FG110" si="1384">IF(CA109="","","|n"&amp;FG$2&amp;"+"&amp;CA109&amp;FG$1)</f>
        <v/>
      </c>
      <c r="FH109" s="43" t="str">
        <f t="shared" ref="FH109:FH110" si="1385">IF(CB109="","","|n"&amp;FH$2&amp;"+"&amp;CB109&amp;FH$1)</f>
        <v/>
      </c>
      <c r="FI109" s="43" t="str">
        <f t="shared" ref="FI109:FI110" si="1386">IF(CC109="","","|n"&amp;FI$2&amp;"+"&amp;CC109&amp;FI$1)</f>
        <v/>
      </c>
      <c r="FJ109" s="43" t="str">
        <f t="shared" ref="FJ109:FJ110" si="1387">IF(CD109="","","|n"&amp;FJ$2&amp;"+"&amp;CD109&amp;FJ$1)</f>
        <v/>
      </c>
      <c r="FK109" s="43" t="str">
        <f t="shared" ref="FK109:FK110" si="1388">IF(CE109="","","|n"&amp;FK$2&amp;"+"&amp;CE109&amp;FK$1)</f>
        <v/>
      </c>
      <c r="FL109" s="43" t="str">
        <f t="shared" ref="FL109:FL110" si="1389">IF(CF109="","","|n"&amp;FL$2&amp;"+"&amp;CF109&amp;FL$1)</f>
        <v/>
      </c>
      <c r="FM109" s="43" t="str">
        <f t="shared" ref="FM109:FM110" si="1390">IF(CG109="","","|n"&amp;FM$2&amp;"+"&amp;CG109&amp;FM$1)</f>
        <v/>
      </c>
      <c r="FN109" s="43" t="str">
        <f t="shared" ref="FN109:FN110" si="1391">IF(CH109="","","|n"&amp;FN$2&amp;"+"&amp;CH109&amp;FN$1)</f>
        <v/>
      </c>
      <c r="FO109" s="43" t="str">
        <f t="shared" ref="FO109:FO110" si="1392">IF(CI109="","","|n"&amp;FO$2&amp;"+"&amp;CI109&amp;FO$1)</f>
        <v/>
      </c>
      <c r="FP109" s="43" t="str">
        <f t="shared" ref="FP109:FP110" si="1393">IF(CJ109="","","|n"&amp;FP$2&amp;"+"&amp;CJ109&amp;FP$1)</f>
        <v/>
      </c>
      <c r="FQ109" s="43" t="str">
        <f t="shared" ref="FQ109:FQ110" si="1394">IF(CK109="","","|n"&amp;FQ$2&amp;"+"&amp;CK109&amp;FQ$1)</f>
        <v/>
      </c>
      <c r="FR109" s="43" t="str">
        <f t="shared" ref="FR109:FR110" si="1395">IF(CL109="","","|n"&amp;FR$2&amp;"+"&amp;CL109&amp;FR$1)</f>
        <v/>
      </c>
      <c r="FS109" s="43" t="str">
        <f t="shared" ref="FS109:FS110" si="1396">IF(CM109="","","|n"&amp;FS$2&amp;"+"&amp;CM109&amp;FS$1)</f>
        <v/>
      </c>
    </row>
    <row r="110" spans="1:175" ht="16.5">
      <c r="A110" s="4"/>
      <c r="B110" s="4" t="s">
        <v>373</v>
      </c>
      <c r="C110" s="4" t="s">
        <v>374</v>
      </c>
      <c r="T110" s="4" t="s">
        <v>374</v>
      </c>
      <c r="U110" s="55" t="s">
        <v>375</v>
      </c>
      <c r="CN110" s="12" t="str">
        <f t="shared" si="1321"/>
        <v>InitUnitState('CS22',,,,,,,,,,)</v>
      </c>
      <c r="CO110" s="12" t="str">
        <f t="shared" si="1322"/>
        <v>InitUnitNormal('CS22',,,,,,,,,,)</v>
      </c>
      <c r="CP110" s="12" t="str">
        <f t="shared" si="1323"/>
        <v>InitUnitMagic('CS22',,,,,,,,,,)</v>
      </c>
      <c r="CQ110" s="12" t="str">
        <f t="shared" si="1324"/>
        <v>InitUnitAdd('CS22',,,,,,,,,,)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7" t="str">
        <f t="shared" si="1325"/>
        <v>|n</v>
      </c>
      <c r="CV110" s="5" t="str">
        <f t="shared" si="1326"/>
        <v>升S品质</v>
      </c>
      <c r="CW110" s="6"/>
      <c r="CX110" s="6"/>
      <c r="CY110" s="6"/>
      <c r="CZ110" s="6"/>
      <c r="DA110" s="6"/>
      <c r="DB110" s="43" t="str">
        <f t="shared" si="1327"/>
        <v/>
      </c>
      <c r="DC110" s="43" t="str">
        <f t="shared" si="1328"/>
        <v/>
      </c>
      <c r="DD110" s="43" t="str">
        <f t="shared" si="1329"/>
        <v/>
      </c>
      <c r="DE110" s="43" t="str">
        <f t="shared" si="1330"/>
        <v/>
      </c>
      <c r="DF110" s="43" t="str">
        <f t="shared" si="1331"/>
        <v/>
      </c>
      <c r="DG110" s="43" t="str">
        <f t="shared" si="1332"/>
        <v/>
      </c>
      <c r="DH110" s="43" t="str">
        <f t="shared" si="1333"/>
        <v/>
      </c>
      <c r="DI110" s="43" t="str">
        <f t="shared" si="1334"/>
        <v/>
      </c>
      <c r="DJ110" s="43" t="str">
        <f t="shared" si="1335"/>
        <v/>
      </c>
      <c r="DK110" s="43" t="str">
        <f t="shared" si="1336"/>
        <v/>
      </c>
      <c r="DL110" s="43" t="str">
        <f t="shared" si="1337"/>
        <v/>
      </c>
      <c r="DM110" s="43" t="str">
        <f t="shared" si="1338"/>
        <v/>
      </c>
      <c r="DN110" s="43" t="str">
        <f t="shared" si="1339"/>
        <v/>
      </c>
      <c r="DO110" s="43" t="str">
        <f t="shared" si="1340"/>
        <v/>
      </c>
      <c r="DP110" s="43" t="str">
        <f t="shared" si="1341"/>
        <v/>
      </c>
      <c r="DQ110" s="43" t="str">
        <f t="shared" si="1342"/>
        <v/>
      </c>
      <c r="DR110" s="43" t="str">
        <f t="shared" si="1343"/>
        <v/>
      </c>
      <c r="DS110" s="43" t="str">
        <f t="shared" si="1344"/>
        <v/>
      </c>
      <c r="DT110" s="43" t="str">
        <f t="shared" si="1345"/>
        <v/>
      </c>
      <c r="DU110" s="43" t="str">
        <f t="shared" si="1346"/>
        <v/>
      </c>
      <c r="DV110" s="43" t="str">
        <f t="shared" si="1347"/>
        <v/>
      </c>
      <c r="DW110" s="43" t="str">
        <f t="shared" si="1348"/>
        <v/>
      </c>
      <c r="DX110" s="43" t="str">
        <f t="shared" si="1349"/>
        <v/>
      </c>
      <c r="DY110" s="43" t="str">
        <f t="shared" si="1350"/>
        <v/>
      </c>
      <c r="DZ110" s="43" t="str">
        <f t="shared" si="1351"/>
        <v/>
      </c>
      <c r="EA110" s="43" t="str">
        <f t="shared" si="1352"/>
        <v/>
      </c>
      <c r="EB110" s="43" t="str">
        <f t="shared" si="1353"/>
        <v/>
      </c>
      <c r="EC110" s="43" t="str">
        <f t="shared" si="1354"/>
        <v/>
      </c>
      <c r="ED110" s="43" t="str">
        <f t="shared" si="1355"/>
        <v/>
      </c>
      <c r="EE110" s="43" t="str">
        <f t="shared" si="1356"/>
        <v/>
      </c>
      <c r="EF110" s="43" t="str">
        <f t="shared" si="1357"/>
        <v/>
      </c>
      <c r="EG110" s="43" t="str">
        <f t="shared" si="1358"/>
        <v/>
      </c>
      <c r="EH110" s="43" t="str">
        <f t="shared" si="1359"/>
        <v/>
      </c>
      <c r="EI110" s="43" t="str">
        <f t="shared" si="1360"/>
        <v/>
      </c>
      <c r="EJ110" s="43" t="str">
        <f t="shared" si="1361"/>
        <v/>
      </c>
      <c r="EK110" s="43" t="str">
        <f t="shared" si="1362"/>
        <v/>
      </c>
      <c r="EL110" s="43" t="str">
        <f t="shared" si="1363"/>
        <v/>
      </c>
      <c r="EM110" s="43" t="str">
        <f t="shared" si="1364"/>
        <v/>
      </c>
      <c r="EN110" s="43" t="str">
        <f t="shared" si="1365"/>
        <v/>
      </c>
      <c r="EO110" s="43" t="str">
        <f t="shared" si="1366"/>
        <v/>
      </c>
      <c r="EP110" s="43" t="str">
        <f t="shared" si="1367"/>
        <v/>
      </c>
      <c r="EQ110" s="43" t="str">
        <f t="shared" si="1368"/>
        <v/>
      </c>
      <c r="ER110" s="43" t="str">
        <f t="shared" si="1369"/>
        <v/>
      </c>
      <c r="ES110" s="43" t="str">
        <f t="shared" si="1370"/>
        <v/>
      </c>
      <c r="ET110" s="43" t="str">
        <f t="shared" si="1371"/>
        <v/>
      </c>
      <c r="EU110" s="43" t="str">
        <f t="shared" si="1372"/>
        <v/>
      </c>
      <c r="EV110" s="43" t="str">
        <f t="shared" si="1373"/>
        <v/>
      </c>
      <c r="EW110" s="43" t="str">
        <f t="shared" si="1374"/>
        <v/>
      </c>
      <c r="EX110" s="43" t="str">
        <f t="shared" si="1375"/>
        <v/>
      </c>
      <c r="EY110" s="43" t="str">
        <f t="shared" si="1376"/>
        <v/>
      </c>
      <c r="EZ110" s="43" t="str">
        <f t="shared" si="1377"/>
        <v/>
      </c>
      <c r="FA110" s="43" t="str">
        <f t="shared" si="1378"/>
        <v/>
      </c>
      <c r="FB110" s="43" t="str">
        <f t="shared" si="1379"/>
        <v/>
      </c>
      <c r="FC110" s="43" t="str">
        <f t="shared" si="1380"/>
        <v/>
      </c>
      <c r="FD110" s="43" t="str">
        <f t="shared" si="1381"/>
        <v/>
      </c>
      <c r="FE110" s="43" t="str">
        <f t="shared" si="1382"/>
        <v/>
      </c>
      <c r="FF110" s="43" t="str">
        <f t="shared" si="1383"/>
        <v/>
      </c>
      <c r="FG110" s="43" t="str">
        <f t="shared" si="1384"/>
        <v/>
      </c>
      <c r="FH110" s="43" t="str">
        <f t="shared" si="1385"/>
        <v/>
      </c>
      <c r="FI110" s="43" t="str">
        <f t="shared" si="1386"/>
        <v/>
      </c>
      <c r="FJ110" s="43" t="str">
        <f t="shared" si="1387"/>
        <v/>
      </c>
      <c r="FK110" s="43" t="str">
        <f t="shared" si="1388"/>
        <v/>
      </c>
      <c r="FL110" s="43" t="str">
        <f t="shared" si="1389"/>
        <v/>
      </c>
      <c r="FM110" s="43" t="str">
        <f t="shared" si="1390"/>
        <v/>
      </c>
      <c r="FN110" s="43" t="str">
        <f t="shared" si="1391"/>
        <v/>
      </c>
      <c r="FO110" s="43" t="str">
        <f t="shared" si="1392"/>
        <v/>
      </c>
      <c r="FP110" s="43" t="str">
        <f t="shared" si="1393"/>
        <v/>
      </c>
      <c r="FQ110" s="43" t="str">
        <f t="shared" si="1394"/>
        <v/>
      </c>
      <c r="FR110" s="43" t="str">
        <f t="shared" si="1395"/>
        <v/>
      </c>
      <c r="FS110" s="43" t="str">
        <f t="shared" si="1396"/>
        <v/>
      </c>
    </row>
    <row r="111" spans="1:175" ht="16.5">
      <c r="A111" s="4"/>
      <c r="B111" s="4" t="s">
        <v>376</v>
      </c>
      <c r="C111" s="4" t="s">
        <v>377</v>
      </c>
      <c r="T111" s="4" t="s">
        <v>377</v>
      </c>
      <c r="U111" s="55" t="s">
        <v>372</v>
      </c>
      <c r="CN111" s="12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2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2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2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7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02">T111</f>
        <v>劣质升品质</v>
      </c>
      <c r="CW111" s="6"/>
      <c r="CX111" s="6"/>
      <c r="CY111" s="6"/>
      <c r="CZ111" s="6"/>
      <c r="DA111" s="6"/>
      <c r="DB111" s="43" t="str">
        <f t="shared" ref="DB111" si="1403">IF(V111="","","|n"&amp;DB$2&amp;"+"&amp;V111&amp;DB$1)</f>
        <v/>
      </c>
      <c r="DC111" s="43" t="str">
        <f t="shared" ref="DC111" si="1404">IF(W111="","","|n"&amp;DC$2&amp;"+"&amp;W111&amp;DC$1)</f>
        <v/>
      </c>
      <c r="DD111" s="43" t="str">
        <f t="shared" ref="DD111" si="1405">IF(X111="","","|n"&amp;DD$2&amp;"+"&amp;X111&amp;DD$1)</f>
        <v/>
      </c>
      <c r="DE111" s="43" t="str">
        <f t="shared" ref="DE111" si="1406">IF(Y111="","","|n"&amp;DE$2&amp;"+"&amp;Y111&amp;DE$1)</f>
        <v/>
      </c>
      <c r="DF111" s="43" t="str">
        <f t="shared" ref="DF111" si="1407">IF(Z111="","","|n"&amp;DF$2&amp;"+"&amp;Z111&amp;DF$1)</f>
        <v/>
      </c>
      <c r="DG111" s="43" t="str">
        <f t="shared" ref="DG111" si="1408">IF(AA111="","","|n"&amp;DG$2&amp;"+"&amp;AA111&amp;DG$1)</f>
        <v/>
      </c>
      <c r="DH111" s="43" t="str">
        <f t="shared" ref="DH111" si="1409">IF(AB111="","","|n"&amp;DH$2&amp;"+"&amp;AB111&amp;DH$1)</f>
        <v/>
      </c>
      <c r="DI111" s="43" t="str">
        <f t="shared" ref="DI111" si="1410">IF(AC111="","","|n"&amp;DI$2&amp;"+"&amp;AC111&amp;DI$1)</f>
        <v/>
      </c>
      <c r="DJ111" s="43" t="str">
        <f t="shared" ref="DJ111" si="1411">IF(AD111="","","|n"&amp;DJ$2&amp;"+"&amp;AD111&amp;DJ$1)</f>
        <v/>
      </c>
      <c r="DK111" s="43" t="str">
        <f t="shared" ref="DK111" si="1412">IF(AE111="","","|n"&amp;DK$2&amp;"+"&amp;AE111&amp;DK$1)</f>
        <v/>
      </c>
      <c r="DL111" s="43" t="str">
        <f t="shared" ref="DL111" si="1413">IF(AF111="","","|n"&amp;DL$2&amp;"+"&amp;AF111&amp;DL$1)</f>
        <v/>
      </c>
      <c r="DM111" s="43" t="str">
        <f t="shared" ref="DM111" si="1414">IF(AG111="","","|n"&amp;DM$2&amp;"+"&amp;AG111&amp;DM$1)</f>
        <v/>
      </c>
      <c r="DN111" s="43" t="str">
        <f t="shared" ref="DN111" si="1415">IF(AH111="","","|n"&amp;DN$2&amp;"+"&amp;AH111&amp;DN$1)</f>
        <v/>
      </c>
      <c r="DO111" s="43" t="str">
        <f t="shared" ref="DO111" si="1416">IF(AI111="","","|n"&amp;DO$2&amp;"+"&amp;AI111&amp;DO$1)</f>
        <v/>
      </c>
      <c r="DP111" s="43" t="str">
        <f t="shared" ref="DP111" si="1417">IF(AJ111="","","|n"&amp;DP$2&amp;"+"&amp;AJ111&amp;DP$1)</f>
        <v/>
      </c>
      <c r="DQ111" s="43" t="str">
        <f t="shared" ref="DQ111" si="1418">IF(AK111="","","|n"&amp;DQ$2&amp;"+"&amp;AK111&amp;DQ$1)</f>
        <v/>
      </c>
      <c r="DR111" s="43" t="str">
        <f t="shared" ref="DR111" si="1419">IF(AL111="","","|n"&amp;DR$2&amp;"+"&amp;AL111&amp;DR$1)</f>
        <v/>
      </c>
      <c r="DS111" s="43" t="str">
        <f t="shared" ref="DS111" si="1420">IF(AM111="","","|n"&amp;DS$2&amp;"+"&amp;AM111&amp;DS$1)</f>
        <v/>
      </c>
      <c r="DT111" s="43" t="str">
        <f t="shared" ref="DT111" si="1421">IF(AN111="","","|n"&amp;DT$2&amp;"+"&amp;AN111&amp;DT$1)</f>
        <v/>
      </c>
      <c r="DU111" s="43" t="str">
        <f t="shared" ref="DU111" si="1422">IF(AO111="","","|n"&amp;DU$2&amp;"+"&amp;AO111&amp;DU$1)</f>
        <v/>
      </c>
      <c r="DV111" s="43" t="str">
        <f t="shared" ref="DV111" si="1423">IF(AP111="","","|n"&amp;DV$2&amp;"+"&amp;AP111&amp;DV$1)</f>
        <v/>
      </c>
      <c r="DW111" s="43" t="str">
        <f t="shared" ref="DW111" si="1424">IF(AQ111="","","|n"&amp;DW$2&amp;"+"&amp;AQ111&amp;DW$1)</f>
        <v/>
      </c>
      <c r="DX111" s="43" t="str">
        <f t="shared" ref="DX111" si="1425">IF(AR111="","","|n"&amp;DX$2&amp;"+"&amp;AR111&amp;DX$1)</f>
        <v/>
      </c>
      <c r="DY111" s="43" t="str">
        <f t="shared" ref="DY111" si="1426">IF(AS111="","","|n"&amp;DY$2&amp;"+"&amp;AS111&amp;DY$1)</f>
        <v/>
      </c>
      <c r="DZ111" s="43" t="str">
        <f t="shared" ref="DZ111" si="1427">IF(AT111="","","|n"&amp;DZ$2&amp;"+"&amp;AT111&amp;DZ$1)</f>
        <v/>
      </c>
      <c r="EA111" s="43" t="str">
        <f t="shared" ref="EA111" si="1428">IF(AU111="","","|n"&amp;EA$2&amp;"+"&amp;AU111&amp;EA$1)</f>
        <v/>
      </c>
      <c r="EB111" s="43" t="str">
        <f t="shared" ref="EB111" si="1429">IF(AV111="","","|n"&amp;EB$2&amp;"+"&amp;AV111&amp;EB$1)</f>
        <v/>
      </c>
      <c r="EC111" s="43" t="str">
        <f t="shared" ref="EC111" si="1430">IF(AW111="","","|n"&amp;EC$2&amp;"+"&amp;AW111&amp;EC$1)</f>
        <v/>
      </c>
      <c r="ED111" s="43" t="str">
        <f t="shared" ref="ED111" si="1431">IF(AX111="","","|n"&amp;ED$2&amp;"+"&amp;AX111&amp;ED$1)</f>
        <v/>
      </c>
      <c r="EE111" s="43" t="str">
        <f t="shared" ref="EE111" si="1432">IF(AY111="","","|n"&amp;EE$2&amp;"+"&amp;AY111&amp;EE$1)</f>
        <v/>
      </c>
      <c r="EF111" s="43" t="str">
        <f t="shared" ref="EF111" si="1433">IF(AZ111="","","|n"&amp;EF$2&amp;"+"&amp;AZ111&amp;EF$1)</f>
        <v/>
      </c>
      <c r="EG111" s="43" t="str">
        <f t="shared" ref="EG111" si="1434">IF(BA111="","","|n"&amp;EG$2&amp;"+"&amp;BA111&amp;EG$1)</f>
        <v/>
      </c>
      <c r="EH111" s="43" t="str">
        <f t="shared" ref="EH111" si="1435">IF(BB111="","","|n"&amp;EH$2&amp;"+"&amp;BB111&amp;EH$1)</f>
        <v/>
      </c>
      <c r="EI111" s="43" t="str">
        <f t="shared" ref="EI111" si="1436">IF(BC111="","","|n"&amp;EI$2&amp;"+"&amp;BC111&amp;EI$1)</f>
        <v/>
      </c>
      <c r="EJ111" s="43" t="str">
        <f t="shared" ref="EJ111" si="1437">IF(BD111="","","|n"&amp;EJ$2&amp;"+"&amp;BD111&amp;EJ$1)</f>
        <v/>
      </c>
      <c r="EK111" s="43" t="str">
        <f t="shared" ref="EK111" si="1438">IF(BE111="","","|n"&amp;EK$2&amp;"+"&amp;BE111&amp;EK$1)</f>
        <v/>
      </c>
      <c r="EL111" s="43" t="str">
        <f t="shared" ref="EL111" si="1439">IF(BF111="","","|n"&amp;EL$2&amp;"+"&amp;BF111&amp;EL$1)</f>
        <v/>
      </c>
      <c r="EM111" s="43" t="str">
        <f t="shared" ref="EM111" si="1440">IF(BG111="","","|n"&amp;EM$2&amp;"+"&amp;BG111&amp;EM$1)</f>
        <v/>
      </c>
      <c r="EN111" s="43" t="str">
        <f t="shared" ref="EN111" si="1441">IF(BH111="","","|n"&amp;EN$2&amp;"+"&amp;BH111&amp;EN$1)</f>
        <v/>
      </c>
      <c r="EO111" s="43" t="str">
        <f t="shared" ref="EO111" si="1442">IF(BI111="","","|n"&amp;EO$2&amp;"+"&amp;BI111&amp;EO$1)</f>
        <v/>
      </c>
      <c r="EP111" s="43" t="str">
        <f t="shared" ref="EP111" si="1443">IF(BJ111="","","|n"&amp;EP$2&amp;"+"&amp;BJ111&amp;EP$1)</f>
        <v/>
      </c>
      <c r="EQ111" s="43" t="str">
        <f t="shared" ref="EQ111" si="1444">IF(BK111="","","|n"&amp;EQ$2&amp;"+"&amp;BK111&amp;EQ$1)</f>
        <v/>
      </c>
      <c r="ER111" s="43" t="str">
        <f t="shared" ref="ER111" si="1445">IF(BL111="","","|n"&amp;ER$2&amp;"+"&amp;BL111&amp;ER$1)</f>
        <v/>
      </c>
      <c r="ES111" s="43" t="str">
        <f t="shared" ref="ES111" si="1446">IF(BM111="","","|n"&amp;ES$2&amp;"+"&amp;BM111&amp;ES$1)</f>
        <v/>
      </c>
      <c r="ET111" s="43" t="str">
        <f t="shared" ref="ET111" si="1447">IF(BN111="","","|n"&amp;ET$2&amp;"+"&amp;BN111&amp;ET$1)</f>
        <v/>
      </c>
      <c r="EU111" s="43" t="str">
        <f t="shared" ref="EU111" si="1448">IF(BO111="","","|n"&amp;EU$2&amp;"+"&amp;BO111&amp;EU$1)</f>
        <v/>
      </c>
      <c r="EV111" s="43" t="str">
        <f t="shared" ref="EV111" si="1449">IF(BP111="","","|n"&amp;EV$2&amp;"+"&amp;BP111&amp;EV$1)</f>
        <v/>
      </c>
      <c r="EW111" s="43" t="str">
        <f t="shared" ref="EW111" si="1450">IF(BQ111="","","|n"&amp;EW$2&amp;"+"&amp;BQ111&amp;EW$1)</f>
        <v/>
      </c>
      <c r="EX111" s="43" t="str">
        <f t="shared" ref="EX111" si="1451">IF(BR111="","","|n"&amp;EX$2&amp;"+"&amp;BR111&amp;EX$1)</f>
        <v/>
      </c>
      <c r="EY111" s="43" t="str">
        <f t="shared" ref="EY111" si="1452">IF(BS111="","","|n"&amp;EY$2&amp;"+"&amp;BS111&amp;EY$1)</f>
        <v/>
      </c>
      <c r="EZ111" s="43" t="str">
        <f t="shared" ref="EZ111" si="1453">IF(BT111="","","|n"&amp;EZ$2&amp;"+"&amp;BT111&amp;EZ$1)</f>
        <v/>
      </c>
      <c r="FA111" s="43" t="str">
        <f t="shared" ref="FA111" si="1454">IF(BU111="","","|n"&amp;FA$2&amp;"+"&amp;BU111&amp;FA$1)</f>
        <v/>
      </c>
      <c r="FB111" s="43" t="str">
        <f t="shared" ref="FB111" si="1455">IF(BV111="","","|n"&amp;FB$2&amp;"+"&amp;BV111&amp;FB$1)</f>
        <v/>
      </c>
      <c r="FC111" s="43" t="str">
        <f t="shared" ref="FC111" si="1456">IF(BW111="","","|n"&amp;FC$2&amp;"+"&amp;BW111&amp;FC$1)</f>
        <v/>
      </c>
      <c r="FD111" s="43" t="str">
        <f t="shared" ref="FD111" si="1457">IF(BX111="","","|n"&amp;FD$2&amp;"+"&amp;BX111&amp;FD$1)</f>
        <v/>
      </c>
      <c r="FE111" s="43" t="str">
        <f t="shared" ref="FE111" si="1458">IF(BY111="","","|n"&amp;FE$2&amp;"+"&amp;BY111&amp;FE$1)</f>
        <v/>
      </c>
      <c r="FF111" s="43" t="str">
        <f t="shared" ref="FF111" si="1459">IF(BZ111="","","|n"&amp;FF$2&amp;"+"&amp;BZ111&amp;FF$1)</f>
        <v/>
      </c>
      <c r="FG111" s="43" t="str">
        <f t="shared" ref="FG111" si="1460">IF(CA111="","","|n"&amp;FG$2&amp;"+"&amp;CA111&amp;FG$1)</f>
        <v/>
      </c>
      <c r="FH111" s="43" t="str">
        <f t="shared" ref="FH111" si="1461">IF(CB111="","","|n"&amp;FH$2&amp;"+"&amp;CB111&amp;FH$1)</f>
        <v/>
      </c>
      <c r="FI111" s="43" t="str">
        <f t="shared" ref="FI111" si="1462">IF(CC111="","","|n"&amp;FI$2&amp;"+"&amp;CC111&amp;FI$1)</f>
        <v/>
      </c>
      <c r="FJ111" s="43" t="str">
        <f t="shared" ref="FJ111" si="1463">IF(CD111="","","|n"&amp;FJ$2&amp;"+"&amp;CD111&amp;FJ$1)</f>
        <v/>
      </c>
      <c r="FK111" s="43" t="str">
        <f t="shared" ref="FK111" si="1464">IF(CE111="","","|n"&amp;FK$2&amp;"+"&amp;CE111&amp;FK$1)</f>
        <v/>
      </c>
      <c r="FL111" s="43" t="str">
        <f t="shared" ref="FL111" si="1465">IF(CF111="","","|n"&amp;FL$2&amp;"+"&amp;CF111&amp;FL$1)</f>
        <v/>
      </c>
      <c r="FM111" s="43" t="str">
        <f t="shared" ref="FM111" si="1466">IF(CG111="","","|n"&amp;FM$2&amp;"+"&amp;CG111&amp;FM$1)</f>
        <v/>
      </c>
      <c r="FN111" s="43" t="str">
        <f t="shared" ref="FN111" si="1467">IF(CH111="","","|n"&amp;FN$2&amp;"+"&amp;CH111&amp;FN$1)</f>
        <v/>
      </c>
      <c r="FO111" s="43" t="str">
        <f t="shared" ref="FO111" si="1468">IF(CI111="","","|n"&amp;FO$2&amp;"+"&amp;CI111&amp;FO$1)</f>
        <v/>
      </c>
      <c r="FP111" s="43" t="str">
        <f t="shared" ref="FP111" si="1469">IF(CJ111="","","|n"&amp;FP$2&amp;"+"&amp;CJ111&amp;FP$1)</f>
        <v/>
      </c>
      <c r="FQ111" s="43" t="str">
        <f t="shared" ref="FQ111" si="1470">IF(CK111="","","|n"&amp;FQ$2&amp;"+"&amp;CK111&amp;FQ$1)</f>
        <v/>
      </c>
      <c r="FR111" s="43" t="str">
        <f t="shared" ref="FR111" si="1471">IF(CL111="","","|n"&amp;FR$2&amp;"+"&amp;CL111&amp;FR$1)</f>
        <v/>
      </c>
      <c r="FS111" s="43" t="str">
        <f t="shared" ref="FS111" si="1472">IF(CM111="","","|n"&amp;FS$2&amp;"+"&amp;CM111&amp;FS$1)</f>
        <v/>
      </c>
    </row>
    <row r="112" spans="1:175" ht="16.5">
      <c r="A112" s="4"/>
      <c r="B112" s="4" t="s">
        <v>378</v>
      </c>
      <c r="C112" s="4" t="s">
        <v>379</v>
      </c>
      <c r="T112" s="4" t="s">
        <v>379</v>
      </c>
      <c r="U112" s="55" t="s">
        <v>372</v>
      </c>
      <c r="CN112" s="12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2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2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2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2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7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" si="1478">T112</f>
        <v>劣质升S品质</v>
      </c>
      <c r="CW112" s="6"/>
      <c r="CX112" s="6"/>
      <c r="CY112" s="6"/>
      <c r="CZ112" s="6"/>
      <c r="DA112" s="6"/>
      <c r="DB112" s="43" t="str">
        <f t="shared" ref="DB112" si="1479">IF(V112="","","|n"&amp;DB$2&amp;"+"&amp;V112&amp;DB$1)</f>
        <v/>
      </c>
      <c r="DC112" s="43" t="str">
        <f t="shared" ref="DC112" si="1480">IF(W112="","","|n"&amp;DC$2&amp;"+"&amp;W112&amp;DC$1)</f>
        <v/>
      </c>
      <c r="DD112" s="43" t="str">
        <f t="shared" ref="DD112" si="1481">IF(X112="","","|n"&amp;DD$2&amp;"+"&amp;X112&amp;DD$1)</f>
        <v/>
      </c>
      <c r="DE112" s="43" t="str">
        <f t="shared" ref="DE112" si="1482">IF(Y112="","","|n"&amp;DE$2&amp;"+"&amp;Y112&amp;DE$1)</f>
        <v/>
      </c>
      <c r="DF112" s="43" t="str">
        <f t="shared" ref="DF112" si="1483">IF(Z112="","","|n"&amp;DF$2&amp;"+"&amp;Z112&amp;DF$1)</f>
        <v/>
      </c>
      <c r="DG112" s="43" t="str">
        <f t="shared" ref="DG112" si="1484">IF(AA112="","","|n"&amp;DG$2&amp;"+"&amp;AA112&amp;DG$1)</f>
        <v/>
      </c>
      <c r="DH112" s="43" t="str">
        <f t="shared" ref="DH112" si="1485">IF(AB112="","","|n"&amp;DH$2&amp;"+"&amp;AB112&amp;DH$1)</f>
        <v/>
      </c>
      <c r="DI112" s="43" t="str">
        <f t="shared" ref="DI112" si="1486">IF(AC112="","","|n"&amp;DI$2&amp;"+"&amp;AC112&amp;DI$1)</f>
        <v/>
      </c>
      <c r="DJ112" s="43" t="str">
        <f t="shared" ref="DJ112" si="1487">IF(AD112="","","|n"&amp;DJ$2&amp;"+"&amp;AD112&amp;DJ$1)</f>
        <v/>
      </c>
      <c r="DK112" s="43" t="str">
        <f t="shared" ref="DK112" si="1488">IF(AE112="","","|n"&amp;DK$2&amp;"+"&amp;AE112&amp;DK$1)</f>
        <v/>
      </c>
      <c r="DL112" s="43" t="str">
        <f t="shared" ref="DL112" si="1489">IF(AF112="","","|n"&amp;DL$2&amp;"+"&amp;AF112&amp;DL$1)</f>
        <v/>
      </c>
      <c r="DM112" s="43" t="str">
        <f t="shared" ref="DM112" si="1490">IF(AG112="","","|n"&amp;DM$2&amp;"+"&amp;AG112&amp;DM$1)</f>
        <v/>
      </c>
      <c r="DN112" s="43" t="str">
        <f t="shared" ref="DN112" si="1491">IF(AH112="","","|n"&amp;DN$2&amp;"+"&amp;AH112&amp;DN$1)</f>
        <v/>
      </c>
      <c r="DO112" s="43" t="str">
        <f t="shared" ref="DO112" si="1492">IF(AI112="","","|n"&amp;DO$2&amp;"+"&amp;AI112&amp;DO$1)</f>
        <v/>
      </c>
      <c r="DP112" s="43" t="str">
        <f t="shared" ref="DP112" si="1493">IF(AJ112="","","|n"&amp;DP$2&amp;"+"&amp;AJ112&amp;DP$1)</f>
        <v/>
      </c>
      <c r="DQ112" s="43" t="str">
        <f t="shared" ref="DQ112" si="1494">IF(AK112="","","|n"&amp;DQ$2&amp;"+"&amp;AK112&amp;DQ$1)</f>
        <v/>
      </c>
      <c r="DR112" s="43" t="str">
        <f t="shared" ref="DR112" si="1495">IF(AL112="","","|n"&amp;DR$2&amp;"+"&amp;AL112&amp;DR$1)</f>
        <v/>
      </c>
      <c r="DS112" s="43" t="str">
        <f t="shared" ref="DS112" si="1496">IF(AM112="","","|n"&amp;DS$2&amp;"+"&amp;AM112&amp;DS$1)</f>
        <v/>
      </c>
      <c r="DT112" s="43" t="str">
        <f t="shared" ref="DT112" si="1497">IF(AN112="","","|n"&amp;DT$2&amp;"+"&amp;AN112&amp;DT$1)</f>
        <v/>
      </c>
      <c r="DU112" s="43" t="str">
        <f t="shared" ref="DU112" si="1498">IF(AO112="","","|n"&amp;DU$2&amp;"+"&amp;AO112&amp;DU$1)</f>
        <v/>
      </c>
      <c r="DV112" s="43" t="str">
        <f t="shared" ref="DV112" si="1499">IF(AP112="","","|n"&amp;DV$2&amp;"+"&amp;AP112&amp;DV$1)</f>
        <v/>
      </c>
      <c r="DW112" s="43" t="str">
        <f t="shared" ref="DW112" si="1500">IF(AQ112="","","|n"&amp;DW$2&amp;"+"&amp;AQ112&amp;DW$1)</f>
        <v/>
      </c>
      <c r="DX112" s="43" t="str">
        <f t="shared" ref="DX112" si="1501">IF(AR112="","","|n"&amp;DX$2&amp;"+"&amp;AR112&amp;DX$1)</f>
        <v/>
      </c>
      <c r="DY112" s="43" t="str">
        <f t="shared" ref="DY112" si="1502">IF(AS112="","","|n"&amp;DY$2&amp;"+"&amp;AS112&amp;DY$1)</f>
        <v/>
      </c>
      <c r="DZ112" s="43" t="str">
        <f t="shared" ref="DZ112" si="1503">IF(AT112="","","|n"&amp;DZ$2&amp;"+"&amp;AT112&amp;DZ$1)</f>
        <v/>
      </c>
      <c r="EA112" s="43" t="str">
        <f t="shared" ref="EA112" si="1504">IF(AU112="","","|n"&amp;EA$2&amp;"+"&amp;AU112&amp;EA$1)</f>
        <v/>
      </c>
      <c r="EB112" s="43" t="str">
        <f t="shared" ref="EB112" si="1505">IF(AV112="","","|n"&amp;EB$2&amp;"+"&amp;AV112&amp;EB$1)</f>
        <v/>
      </c>
      <c r="EC112" s="43" t="str">
        <f t="shared" ref="EC112" si="1506">IF(AW112="","","|n"&amp;EC$2&amp;"+"&amp;AW112&amp;EC$1)</f>
        <v/>
      </c>
      <c r="ED112" s="43" t="str">
        <f t="shared" ref="ED112" si="1507">IF(AX112="","","|n"&amp;ED$2&amp;"+"&amp;AX112&amp;ED$1)</f>
        <v/>
      </c>
      <c r="EE112" s="43" t="str">
        <f t="shared" ref="EE112" si="1508">IF(AY112="","","|n"&amp;EE$2&amp;"+"&amp;AY112&amp;EE$1)</f>
        <v/>
      </c>
      <c r="EF112" s="43" t="str">
        <f t="shared" ref="EF112" si="1509">IF(AZ112="","","|n"&amp;EF$2&amp;"+"&amp;AZ112&amp;EF$1)</f>
        <v/>
      </c>
      <c r="EG112" s="43" t="str">
        <f t="shared" ref="EG112" si="1510">IF(BA112="","","|n"&amp;EG$2&amp;"+"&amp;BA112&amp;EG$1)</f>
        <v/>
      </c>
      <c r="EH112" s="43" t="str">
        <f t="shared" ref="EH112" si="1511">IF(BB112="","","|n"&amp;EH$2&amp;"+"&amp;BB112&amp;EH$1)</f>
        <v/>
      </c>
      <c r="EI112" s="43" t="str">
        <f t="shared" ref="EI112" si="1512">IF(BC112="","","|n"&amp;EI$2&amp;"+"&amp;BC112&amp;EI$1)</f>
        <v/>
      </c>
      <c r="EJ112" s="43" t="str">
        <f t="shared" ref="EJ112" si="1513">IF(BD112="","","|n"&amp;EJ$2&amp;"+"&amp;BD112&amp;EJ$1)</f>
        <v/>
      </c>
      <c r="EK112" s="43" t="str">
        <f t="shared" ref="EK112" si="1514">IF(BE112="","","|n"&amp;EK$2&amp;"+"&amp;BE112&amp;EK$1)</f>
        <v/>
      </c>
      <c r="EL112" s="43" t="str">
        <f t="shared" ref="EL112" si="1515">IF(BF112="","","|n"&amp;EL$2&amp;"+"&amp;BF112&amp;EL$1)</f>
        <v/>
      </c>
      <c r="EM112" s="43" t="str">
        <f t="shared" ref="EM112" si="1516">IF(BG112="","","|n"&amp;EM$2&amp;"+"&amp;BG112&amp;EM$1)</f>
        <v/>
      </c>
      <c r="EN112" s="43" t="str">
        <f t="shared" ref="EN112" si="1517">IF(BH112="","","|n"&amp;EN$2&amp;"+"&amp;BH112&amp;EN$1)</f>
        <v/>
      </c>
      <c r="EO112" s="43" t="str">
        <f t="shared" ref="EO112" si="1518">IF(BI112="","","|n"&amp;EO$2&amp;"+"&amp;BI112&amp;EO$1)</f>
        <v/>
      </c>
      <c r="EP112" s="43" t="str">
        <f t="shared" ref="EP112" si="1519">IF(BJ112="","","|n"&amp;EP$2&amp;"+"&amp;BJ112&amp;EP$1)</f>
        <v/>
      </c>
      <c r="EQ112" s="43" t="str">
        <f t="shared" ref="EQ112" si="1520">IF(BK112="","","|n"&amp;EQ$2&amp;"+"&amp;BK112&amp;EQ$1)</f>
        <v/>
      </c>
      <c r="ER112" s="43" t="str">
        <f t="shared" ref="ER112" si="1521">IF(BL112="","","|n"&amp;ER$2&amp;"+"&amp;BL112&amp;ER$1)</f>
        <v/>
      </c>
      <c r="ES112" s="43" t="str">
        <f t="shared" ref="ES112" si="1522">IF(BM112="","","|n"&amp;ES$2&amp;"+"&amp;BM112&amp;ES$1)</f>
        <v/>
      </c>
      <c r="ET112" s="43" t="str">
        <f t="shared" ref="ET112" si="1523">IF(BN112="","","|n"&amp;ET$2&amp;"+"&amp;BN112&amp;ET$1)</f>
        <v/>
      </c>
      <c r="EU112" s="43" t="str">
        <f t="shared" ref="EU112" si="1524">IF(BO112="","","|n"&amp;EU$2&amp;"+"&amp;BO112&amp;EU$1)</f>
        <v/>
      </c>
      <c r="EV112" s="43" t="str">
        <f t="shared" ref="EV112" si="1525">IF(BP112="","","|n"&amp;EV$2&amp;"+"&amp;BP112&amp;EV$1)</f>
        <v/>
      </c>
      <c r="EW112" s="43" t="str">
        <f t="shared" ref="EW112" si="1526">IF(BQ112="","","|n"&amp;EW$2&amp;"+"&amp;BQ112&amp;EW$1)</f>
        <v/>
      </c>
      <c r="EX112" s="43" t="str">
        <f t="shared" ref="EX112" si="1527">IF(BR112="","","|n"&amp;EX$2&amp;"+"&amp;BR112&amp;EX$1)</f>
        <v/>
      </c>
      <c r="EY112" s="43" t="str">
        <f t="shared" ref="EY112" si="1528">IF(BS112="","","|n"&amp;EY$2&amp;"+"&amp;BS112&amp;EY$1)</f>
        <v/>
      </c>
      <c r="EZ112" s="43" t="str">
        <f t="shared" ref="EZ112" si="1529">IF(BT112="","","|n"&amp;EZ$2&amp;"+"&amp;BT112&amp;EZ$1)</f>
        <v/>
      </c>
      <c r="FA112" s="43" t="str">
        <f t="shared" ref="FA112" si="1530">IF(BU112="","","|n"&amp;FA$2&amp;"+"&amp;BU112&amp;FA$1)</f>
        <v/>
      </c>
      <c r="FB112" s="43" t="str">
        <f t="shared" ref="FB112" si="1531">IF(BV112="","","|n"&amp;FB$2&amp;"+"&amp;BV112&amp;FB$1)</f>
        <v/>
      </c>
      <c r="FC112" s="43" t="str">
        <f t="shared" ref="FC112" si="1532">IF(BW112="","","|n"&amp;FC$2&amp;"+"&amp;BW112&amp;FC$1)</f>
        <v/>
      </c>
      <c r="FD112" s="43" t="str">
        <f t="shared" ref="FD112" si="1533">IF(BX112="","","|n"&amp;FD$2&amp;"+"&amp;BX112&amp;FD$1)</f>
        <v/>
      </c>
      <c r="FE112" s="43" t="str">
        <f t="shared" ref="FE112" si="1534">IF(BY112="","","|n"&amp;FE$2&amp;"+"&amp;BY112&amp;FE$1)</f>
        <v/>
      </c>
      <c r="FF112" s="43" t="str">
        <f t="shared" ref="FF112" si="1535">IF(BZ112="","","|n"&amp;FF$2&amp;"+"&amp;BZ112&amp;FF$1)</f>
        <v/>
      </c>
      <c r="FG112" s="43" t="str">
        <f t="shared" ref="FG112" si="1536">IF(CA112="","","|n"&amp;FG$2&amp;"+"&amp;CA112&amp;FG$1)</f>
        <v/>
      </c>
      <c r="FH112" s="43" t="str">
        <f t="shared" ref="FH112" si="1537">IF(CB112="","","|n"&amp;FH$2&amp;"+"&amp;CB112&amp;FH$1)</f>
        <v/>
      </c>
      <c r="FI112" s="43" t="str">
        <f t="shared" ref="FI112" si="1538">IF(CC112="","","|n"&amp;FI$2&amp;"+"&amp;CC112&amp;FI$1)</f>
        <v/>
      </c>
      <c r="FJ112" s="43" t="str">
        <f t="shared" ref="FJ112" si="1539">IF(CD112="","","|n"&amp;FJ$2&amp;"+"&amp;CD112&amp;FJ$1)</f>
        <v/>
      </c>
      <c r="FK112" s="43" t="str">
        <f t="shared" ref="FK112" si="1540">IF(CE112="","","|n"&amp;FK$2&amp;"+"&amp;CE112&amp;FK$1)</f>
        <v/>
      </c>
      <c r="FL112" s="43" t="str">
        <f t="shared" ref="FL112" si="1541">IF(CF112="","","|n"&amp;FL$2&amp;"+"&amp;CF112&amp;FL$1)</f>
        <v/>
      </c>
      <c r="FM112" s="43" t="str">
        <f t="shared" ref="FM112" si="1542">IF(CG112="","","|n"&amp;FM$2&amp;"+"&amp;CG112&amp;FM$1)</f>
        <v/>
      </c>
      <c r="FN112" s="43" t="str">
        <f t="shared" ref="FN112" si="1543">IF(CH112="","","|n"&amp;FN$2&amp;"+"&amp;CH112&amp;FN$1)</f>
        <v/>
      </c>
      <c r="FO112" s="43" t="str">
        <f t="shared" ref="FO112" si="1544">IF(CI112="","","|n"&amp;FO$2&amp;"+"&amp;CI112&amp;FO$1)</f>
        <v/>
      </c>
      <c r="FP112" s="43" t="str">
        <f t="shared" ref="FP112" si="1545">IF(CJ112="","","|n"&amp;FP$2&amp;"+"&amp;CJ112&amp;FP$1)</f>
        <v/>
      </c>
      <c r="FQ112" s="43" t="str">
        <f t="shared" ref="FQ112" si="1546">IF(CK112="","","|n"&amp;FQ$2&amp;"+"&amp;CK112&amp;FQ$1)</f>
        <v/>
      </c>
      <c r="FR112" s="43" t="str">
        <f t="shared" ref="FR112" si="1547">IF(CL112="","","|n"&amp;FR$2&amp;"+"&amp;CL112&amp;FR$1)</f>
        <v/>
      </c>
      <c r="FS112" s="43" t="str">
        <f t="shared" ref="FS112" si="1548">IF(CM112="","","|n"&amp;FS$2&amp;"+"&amp;CM112&amp;FS$1)</f>
        <v/>
      </c>
    </row>
    <row r="113" spans="1:175" ht="27">
      <c r="A113" s="72"/>
      <c r="B113" s="4" t="s">
        <v>380</v>
      </c>
      <c r="C113" s="72" t="s">
        <v>381</v>
      </c>
      <c r="T113" s="78" t="s">
        <v>382</v>
      </c>
      <c r="U113" s="55" t="str">
        <f t="shared" ref="U113:U187" si="1549">"ReplaceableTextures\\CommandButtons\\BTN"&amp;B113&amp;".blp"</f>
        <v>ReplaceableTextures\\CommandButtons\\BTNCF01.blp</v>
      </c>
      <c r="CN113" s="12" t="str">
        <f t="shared" ref="CN113:CN139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2" t="str">
        <f t="shared" ref="CO113:CO139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2" t="str">
        <f t="shared" ref="CP113:CP139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2" t="str">
        <f t="shared" ref="CQ113:CQ139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2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7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5" t="str">
        <f t="shared" ref="CV113:CV114" si="1555">T113</f>
        <v>获得一个随机品质的法宝。|n|n|Cff00ff7f副本难度影响法宝品质稀有度。|r</v>
      </c>
      <c r="CW113" s="6"/>
      <c r="CX113" s="6"/>
      <c r="CY113" s="6"/>
      <c r="CZ113" s="6"/>
      <c r="DA113" s="6"/>
      <c r="DB113" s="43" t="str">
        <f t="shared" ref="DB113:DB114" si="1556">IF(V113="","","|n"&amp;DB$2&amp;"+"&amp;V113&amp;DB$1)</f>
        <v/>
      </c>
      <c r="DC113" s="43" t="str">
        <f t="shared" ref="DC113:DC114" si="1557">IF(W113="","","|n"&amp;DC$2&amp;"+"&amp;W113&amp;DC$1)</f>
        <v/>
      </c>
      <c r="DD113" s="43" t="str">
        <f t="shared" ref="DD113:DD114" si="1558">IF(X113="","","|n"&amp;DD$2&amp;"+"&amp;X113&amp;DD$1)</f>
        <v/>
      </c>
      <c r="DE113" s="43" t="str">
        <f t="shared" ref="DE113:DE114" si="1559">IF(Y113="","","|n"&amp;DE$2&amp;"+"&amp;Y113&amp;DE$1)</f>
        <v/>
      </c>
      <c r="DF113" s="43" t="str">
        <f t="shared" ref="DF113:DF114" si="1560">IF(Z113="","","|n"&amp;DF$2&amp;"+"&amp;Z113&amp;DF$1)</f>
        <v/>
      </c>
      <c r="DG113" s="43" t="str">
        <f t="shared" ref="DG113:DG114" si="1561">IF(AA113="","","|n"&amp;DG$2&amp;"+"&amp;AA113&amp;DG$1)</f>
        <v/>
      </c>
      <c r="DH113" s="43" t="str">
        <f t="shared" ref="DH113:DH114" si="1562">IF(AB113="","","|n"&amp;DH$2&amp;"+"&amp;AB113&amp;DH$1)</f>
        <v/>
      </c>
      <c r="DI113" s="43" t="str">
        <f t="shared" ref="DI113:DI114" si="1563">IF(AC113="","","|n"&amp;DI$2&amp;"+"&amp;AC113&amp;DI$1)</f>
        <v/>
      </c>
      <c r="DJ113" s="43" t="str">
        <f t="shared" ref="DJ113:DJ114" si="1564">IF(AD113="","","|n"&amp;DJ$2&amp;"+"&amp;AD113&amp;DJ$1)</f>
        <v/>
      </c>
      <c r="DK113" s="43" t="str">
        <f t="shared" ref="DK113:DK114" si="1565">IF(AE113="","","|n"&amp;DK$2&amp;"+"&amp;AE113&amp;DK$1)</f>
        <v/>
      </c>
      <c r="DL113" s="43" t="str">
        <f t="shared" ref="DL113:DL114" si="1566">IF(AF113="","","|n"&amp;DL$2&amp;"+"&amp;AF113&amp;DL$1)</f>
        <v/>
      </c>
      <c r="DM113" s="43" t="str">
        <f t="shared" ref="DM113:DM114" si="1567">IF(AG113="","","|n"&amp;DM$2&amp;"+"&amp;AG113&amp;DM$1)</f>
        <v/>
      </c>
      <c r="DN113" s="43" t="str">
        <f t="shared" ref="DN113:DN114" si="1568">IF(AH113="","","|n"&amp;DN$2&amp;"+"&amp;AH113&amp;DN$1)</f>
        <v/>
      </c>
      <c r="DO113" s="43" t="str">
        <f t="shared" ref="DO113:DO114" si="1569">IF(AI113="","","|n"&amp;DO$2&amp;"+"&amp;AI113&amp;DO$1)</f>
        <v/>
      </c>
      <c r="DP113" s="43" t="str">
        <f t="shared" ref="DP113:DP114" si="1570">IF(AJ113="","","|n"&amp;DP$2&amp;"+"&amp;AJ113&amp;DP$1)</f>
        <v/>
      </c>
      <c r="DQ113" s="43" t="str">
        <f t="shared" ref="DQ113:DQ114" si="1571">IF(AK113="","","|n"&amp;DQ$2&amp;"+"&amp;AK113&amp;DQ$1)</f>
        <v/>
      </c>
      <c r="DR113" s="43" t="str">
        <f t="shared" ref="DR113:DR114" si="1572">IF(AL113="","","|n"&amp;DR$2&amp;"+"&amp;AL113&amp;DR$1)</f>
        <v/>
      </c>
      <c r="DS113" s="43" t="str">
        <f t="shared" ref="DS113:DS114" si="1573">IF(AM113="","","|n"&amp;DS$2&amp;"+"&amp;AM113&amp;DS$1)</f>
        <v/>
      </c>
      <c r="DT113" s="43" t="str">
        <f t="shared" ref="DT113:DT114" si="1574">IF(AN113="","","|n"&amp;DT$2&amp;"+"&amp;AN113&amp;DT$1)</f>
        <v/>
      </c>
      <c r="DU113" s="43" t="str">
        <f t="shared" ref="DU113:DU114" si="1575">IF(AO113="","","|n"&amp;DU$2&amp;"+"&amp;AO113&amp;DU$1)</f>
        <v/>
      </c>
      <c r="DV113" s="43" t="str">
        <f t="shared" ref="DV113:DV114" si="1576">IF(AP113="","","|n"&amp;DV$2&amp;"+"&amp;AP113&amp;DV$1)</f>
        <v/>
      </c>
      <c r="DW113" s="43" t="str">
        <f t="shared" ref="DW113:DW114" si="1577">IF(AQ113="","","|n"&amp;DW$2&amp;"+"&amp;AQ113&amp;DW$1)</f>
        <v/>
      </c>
      <c r="DX113" s="43" t="str">
        <f t="shared" ref="DX113:DX114" si="1578">IF(AR113="","","|n"&amp;DX$2&amp;"+"&amp;AR113&amp;DX$1)</f>
        <v/>
      </c>
      <c r="DY113" s="43" t="str">
        <f t="shared" ref="DY113:DY114" si="1579">IF(AS113="","","|n"&amp;DY$2&amp;"+"&amp;AS113&amp;DY$1)</f>
        <v/>
      </c>
      <c r="DZ113" s="43" t="str">
        <f t="shared" ref="DZ113:DZ114" si="1580">IF(AT113="","","|n"&amp;DZ$2&amp;"+"&amp;AT113&amp;DZ$1)</f>
        <v/>
      </c>
      <c r="EA113" s="43" t="str">
        <f t="shared" ref="EA113:EA114" si="1581">IF(AU113="","","|n"&amp;EA$2&amp;"+"&amp;AU113&amp;EA$1)</f>
        <v/>
      </c>
      <c r="EB113" s="43" t="str">
        <f t="shared" ref="EB113:EB114" si="1582">IF(AV113="","","|n"&amp;EB$2&amp;"+"&amp;AV113&amp;EB$1)</f>
        <v/>
      </c>
      <c r="EC113" s="43" t="str">
        <f t="shared" ref="EC113:EC114" si="1583">IF(AW113="","","|n"&amp;EC$2&amp;"+"&amp;AW113&amp;EC$1)</f>
        <v/>
      </c>
      <c r="ED113" s="43" t="str">
        <f t="shared" ref="ED113:ED114" si="1584">IF(AX113="","","|n"&amp;ED$2&amp;"+"&amp;AX113&amp;ED$1)</f>
        <v/>
      </c>
      <c r="EE113" s="43" t="str">
        <f t="shared" ref="EE113:EE114" si="1585">IF(AY113="","","|n"&amp;EE$2&amp;"+"&amp;AY113&amp;EE$1)</f>
        <v/>
      </c>
      <c r="EF113" s="43" t="str">
        <f t="shared" ref="EF113:EF114" si="1586">IF(AZ113="","","|n"&amp;EF$2&amp;"+"&amp;AZ113&amp;EF$1)</f>
        <v/>
      </c>
      <c r="EG113" s="43" t="str">
        <f t="shared" ref="EG113:EG114" si="1587">IF(BA113="","","|n"&amp;EG$2&amp;"+"&amp;BA113&amp;EG$1)</f>
        <v/>
      </c>
      <c r="EH113" s="43" t="str">
        <f t="shared" ref="EH113:EH114" si="1588">IF(BB113="","","|n"&amp;EH$2&amp;"+"&amp;BB113&amp;EH$1)</f>
        <v/>
      </c>
      <c r="EI113" s="43" t="str">
        <f t="shared" ref="EI113:EI114" si="1589">IF(BC113="","","|n"&amp;EI$2&amp;"+"&amp;BC113&amp;EI$1)</f>
        <v/>
      </c>
      <c r="EJ113" s="43" t="str">
        <f t="shared" ref="EJ113:EJ114" si="1590">IF(BD113="","","|n"&amp;EJ$2&amp;"+"&amp;BD113&amp;EJ$1)</f>
        <v/>
      </c>
      <c r="EK113" s="43" t="str">
        <f t="shared" ref="EK113:EK114" si="1591">IF(BE113="","","|n"&amp;EK$2&amp;"+"&amp;BE113&amp;EK$1)</f>
        <v/>
      </c>
      <c r="EL113" s="43" t="str">
        <f t="shared" ref="EL113:EL114" si="1592">IF(BF113="","","|n"&amp;EL$2&amp;"+"&amp;BF113&amp;EL$1)</f>
        <v/>
      </c>
      <c r="EM113" s="43" t="str">
        <f t="shared" ref="EM113:EM114" si="1593">IF(BG113="","","|n"&amp;EM$2&amp;"+"&amp;BG113&amp;EM$1)</f>
        <v/>
      </c>
      <c r="EN113" s="43" t="str">
        <f t="shared" ref="EN113:EN114" si="1594">IF(BH113="","","|n"&amp;EN$2&amp;"+"&amp;BH113&amp;EN$1)</f>
        <v/>
      </c>
      <c r="EO113" s="43" t="str">
        <f t="shared" ref="EO113:EO114" si="1595">IF(BI113="","","|n"&amp;EO$2&amp;"+"&amp;BI113&amp;EO$1)</f>
        <v/>
      </c>
      <c r="EP113" s="43" t="str">
        <f t="shared" ref="EP113:EP114" si="1596">IF(BJ113="","","|n"&amp;EP$2&amp;"+"&amp;BJ113&amp;EP$1)</f>
        <v/>
      </c>
      <c r="EQ113" s="43" t="str">
        <f t="shared" ref="EQ113:EQ114" si="1597">IF(BK113="","","|n"&amp;EQ$2&amp;"+"&amp;BK113&amp;EQ$1)</f>
        <v/>
      </c>
      <c r="ER113" s="43" t="str">
        <f t="shared" ref="ER113:ER114" si="1598">IF(BL113="","","|n"&amp;ER$2&amp;"+"&amp;BL113&amp;ER$1)</f>
        <v/>
      </c>
      <c r="ES113" s="43" t="str">
        <f t="shared" ref="ES113:ES114" si="1599">IF(BM113="","","|n"&amp;ES$2&amp;"+"&amp;BM113&amp;ES$1)</f>
        <v/>
      </c>
      <c r="ET113" s="43" t="str">
        <f t="shared" ref="ET113:ET114" si="1600">IF(BN113="","","|n"&amp;ET$2&amp;"+"&amp;BN113&amp;ET$1)</f>
        <v/>
      </c>
      <c r="EU113" s="43" t="str">
        <f t="shared" ref="EU113:EU114" si="1601">IF(BO113="","","|n"&amp;EU$2&amp;"+"&amp;BO113&amp;EU$1)</f>
        <v/>
      </c>
      <c r="EV113" s="43" t="str">
        <f t="shared" ref="EV113:EV114" si="1602">IF(BP113="","","|n"&amp;EV$2&amp;"+"&amp;BP113&amp;EV$1)</f>
        <v/>
      </c>
      <c r="EW113" s="43" t="str">
        <f t="shared" ref="EW113:EW114" si="1603">IF(BQ113="","","|n"&amp;EW$2&amp;"+"&amp;BQ113&amp;EW$1)</f>
        <v/>
      </c>
      <c r="EX113" s="43" t="str">
        <f t="shared" ref="EX113:EX114" si="1604">IF(BR113="","","|n"&amp;EX$2&amp;"+"&amp;BR113&amp;EX$1)</f>
        <v/>
      </c>
      <c r="EY113" s="43" t="str">
        <f t="shared" ref="EY113:EY114" si="1605">IF(BS113="","","|n"&amp;EY$2&amp;"+"&amp;BS113&amp;EY$1)</f>
        <v/>
      </c>
      <c r="EZ113" s="43" t="str">
        <f t="shared" ref="EZ113:EZ114" si="1606">IF(BT113="","","|n"&amp;EZ$2&amp;"+"&amp;BT113&amp;EZ$1)</f>
        <v/>
      </c>
      <c r="FA113" s="43" t="str">
        <f t="shared" ref="FA113:FA114" si="1607">IF(BU113="","","|n"&amp;FA$2&amp;"+"&amp;BU113&amp;FA$1)</f>
        <v/>
      </c>
      <c r="FB113" s="43" t="str">
        <f t="shared" ref="FB113:FB114" si="1608">IF(BV113="","","|n"&amp;FB$2&amp;"+"&amp;BV113&amp;FB$1)</f>
        <v/>
      </c>
      <c r="FC113" s="43" t="str">
        <f t="shared" ref="FC113:FC114" si="1609">IF(BW113="","","|n"&amp;FC$2&amp;"+"&amp;BW113&amp;FC$1)</f>
        <v/>
      </c>
      <c r="FD113" s="43" t="str">
        <f t="shared" ref="FD113:FD114" si="1610">IF(BX113="","","|n"&amp;FD$2&amp;"+"&amp;BX113&amp;FD$1)</f>
        <v/>
      </c>
      <c r="FE113" s="43" t="str">
        <f t="shared" ref="FE113:FE114" si="1611">IF(BY113="","","|n"&amp;FE$2&amp;"+"&amp;BY113&amp;FE$1)</f>
        <v/>
      </c>
      <c r="FF113" s="43" t="str">
        <f t="shared" ref="FF113:FF114" si="1612">IF(BZ113="","","|n"&amp;FF$2&amp;"+"&amp;BZ113&amp;FF$1)</f>
        <v/>
      </c>
      <c r="FG113" s="43" t="str">
        <f t="shared" ref="FG113:FG114" si="1613">IF(CA113="","","|n"&amp;FG$2&amp;"+"&amp;CA113&amp;FG$1)</f>
        <v/>
      </c>
      <c r="FH113" s="43" t="str">
        <f t="shared" ref="FH113:FH114" si="1614">IF(CB113="","","|n"&amp;FH$2&amp;"+"&amp;CB113&amp;FH$1)</f>
        <v/>
      </c>
      <c r="FI113" s="43" t="str">
        <f t="shared" ref="FI113:FI114" si="1615">IF(CC113="","","|n"&amp;FI$2&amp;"+"&amp;CC113&amp;FI$1)</f>
        <v/>
      </c>
      <c r="FJ113" s="43" t="str">
        <f t="shared" ref="FJ113:FJ114" si="1616">IF(CD113="","","|n"&amp;FJ$2&amp;"+"&amp;CD113&amp;FJ$1)</f>
        <v/>
      </c>
      <c r="FK113" s="43" t="str">
        <f t="shared" ref="FK113:FK114" si="1617">IF(CE113="","","|n"&amp;FK$2&amp;"+"&amp;CE113&amp;FK$1)</f>
        <v/>
      </c>
      <c r="FL113" s="43" t="str">
        <f t="shared" ref="FL113:FL114" si="1618">IF(CF113="","","|n"&amp;FL$2&amp;"+"&amp;CF113&amp;FL$1)</f>
        <v/>
      </c>
      <c r="FM113" s="43" t="str">
        <f t="shared" ref="FM113:FM114" si="1619">IF(CG113="","","|n"&amp;FM$2&amp;"+"&amp;CG113&amp;FM$1)</f>
        <v/>
      </c>
      <c r="FN113" s="43" t="str">
        <f t="shared" ref="FN113:FN114" si="1620">IF(CH113="","","|n"&amp;FN$2&amp;"+"&amp;CH113&amp;FN$1)</f>
        <v/>
      </c>
      <c r="FO113" s="43" t="str">
        <f t="shared" ref="FO113:FO114" si="1621">IF(CI113="","","|n"&amp;FO$2&amp;"+"&amp;CI113&amp;FO$1)</f>
        <v/>
      </c>
      <c r="FP113" s="43" t="str">
        <f t="shared" ref="FP113:FP114" si="1622">IF(CJ113="","","|n"&amp;FP$2&amp;"+"&amp;CJ113&amp;FP$1)</f>
        <v/>
      </c>
      <c r="FQ113" s="43" t="str">
        <f t="shared" ref="FQ113:FQ114" si="1623">IF(CK113="","","|n"&amp;FQ$2&amp;"+"&amp;CK113&amp;FQ$1)</f>
        <v/>
      </c>
      <c r="FR113" s="43" t="str">
        <f t="shared" ref="FR113:FR114" si="1624">IF(CL113="","","|n"&amp;FR$2&amp;"+"&amp;CL113&amp;FR$1)</f>
        <v/>
      </c>
      <c r="FS113" s="43" t="str">
        <f t="shared" ref="FS113:FS114" si="1625">IF(CM113="","","|n"&amp;FS$2&amp;"+"&amp;CM113&amp;FS$1)</f>
        <v/>
      </c>
    </row>
    <row r="114" spans="1:175" ht="16.5">
      <c r="A114" s="4"/>
      <c r="B114" s="4" t="s">
        <v>383</v>
      </c>
      <c r="C114" s="4" t="s">
        <v>384</v>
      </c>
      <c r="T114" s="79" t="s">
        <v>385</v>
      </c>
      <c r="U114" s="55" t="str">
        <f t="shared" si="1549"/>
        <v>ReplaceableTextures\\CommandButtons\\BTNI001.blp</v>
      </c>
      <c r="CN114" s="12" t="str">
        <f t="shared" si="1550"/>
        <v>InitUnitState('I001',,,,,,,,,,)</v>
      </c>
      <c r="CO114" s="12" t="str">
        <f t="shared" si="1551"/>
        <v>InitUnitNormal('I001',,,,,,,,,,)</v>
      </c>
      <c r="CP114" s="12" t="str">
        <f t="shared" si="1552"/>
        <v>InitUnitMagic('I001',,,,,,,,,,)</v>
      </c>
      <c r="CQ114" s="12" t="str">
        <f t="shared" si="1553"/>
        <v>InitUnitAdd('I001',,,,,,,,,,)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167&amp;CR$1&amp;")"</f>
        <v>InitEquipData('I001',,"",,,,,'','','','','','',"ReplaceableTextures\\CommandButtons\\BTNIP01.blp")</v>
      </c>
      <c r="CU114" s="67" t="str">
        <f t="shared" si="1554"/>
        <v>|n</v>
      </c>
      <c r="CV114" s="5" t="str">
        <f t="shared" si="1555"/>
        <v>回复|Cffffd24d80%|r生命，|Cff00ff7f解除|r异常状态</v>
      </c>
      <c r="CW114" s="6"/>
      <c r="CX114" s="6"/>
      <c r="CY114" s="6"/>
      <c r="CZ114" s="6"/>
      <c r="DA114" s="6"/>
      <c r="DB114" s="43" t="str">
        <f t="shared" si="1556"/>
        <v/>
      </c>
      <c r="DC114" s="43" t="str">
        <f t="shared" si="1557"/>
        <v/>
      </c>
      <c r="DD114" s="43" t="str">
        <f t="shared" si="1558"/>
        <v/>
      </c>
      <c r="DE114" s="43" t="str">
        <f t="shared" si="1559"/>
        <v/>
      </c>
      <c r="DF114" s="43" t="str">
        <f t="shared" si="1560"/>
        <v/>
      </c>
      <c r="DG114" s="43" t="str">
        <f t="shared" si="1561"/>
        <v/>
      </c>
      <c r="DH114" s="43" t="str">
        <f t="shared" si="1562"/>
        <v/>
      </c>
      <c r="DI114" s="43" t="str">
        <f t="shared" si="1563"/>
        <v/>
      </c>
      <c r="DJ114" s="43" t="str">
        <f t="shared" si="1564"/>
        <v/>
      </c>
      <c r="DK114" s="43" t="str">
        <f t="shared" si="1565"/>
        <v/>
      </c>
      <c r="DL114" s="43" t="str">
        <f t="shared" si="1566"/>
        <v/>
      </c>
      <c r="DM114" s="43" t="str">
        <f t="shared" si="1567"/>
        <v/>
      </c>
      <c r="DN114" s="43" t="str">
        <f t="shared" si="1568"/>
        <v/>
      </c>
      <c r="DO114" s="43" t="str">
        <f t="shared" si="1569"/>
        <v/>
      </c>
      <c r="DP114" s="43" t="str">
        <f t="shared" si="1570"/>
        <v/>
      </c>
      <c r="DQ114" s="43" t="str">
        <f t="shared" si="1571"/>
        <v/>
      </c>
      <c r="DR114" s="43" t="str">
        <f t="shared" si="1572"/>
        <v/>
      </c>
      <c r="DS114" s="43" t="str">
        <f t="shared" si="1573"/>
        <v/>
      </c>
      <c r="DT114" s="43" t="str">
        <f t="shared" si="1574"/>
        <v/>
      </c>
      <c r="DU114" s="43" t="str">
        <f t="shared" si="1575"/>
        <v/>
      </c>
      <c r="DV114" s="43" t="str">
        <f t="shared" si="1576"/>
        <v/>
      </c>
      <c r="DW114" s="43" t="str">
        <f t="shared" si="1577"/>
        <v/>
      </c>
      <c r="DX114" s="43" t="str">
        <f t="shared" si="1578"/>
        <v/>
      </c>
      <c r="DY114" s="43" t="str">
        <f t="shared" si="1579"/>
        <v/>
      </c>
      <c r="DZ114" s="43" t="str">
        <f t="shared" si="1580"/>
        <v/>
      </c>
      <c r="EA114" s="43" t="str">
        <f t="shared" si="1581"/>
        <v/>
      </c>
      <c r="EB114" s="43" t="str">
        <f t="shared" si="1582"/>
        <v/>
      </c>
      <c r="EC114" s="43" t="str">
        <f t="shared" si="1583"/>
        <v/>
      </c>
      <c r="ED114" s="43" t="str">
        <f t="shared" si="1584"/>
        <v/>
      </c>
      <c r="EE114" s="43" t="str">
        <f t="shared" si="1585"/>
        <v/>
      </c>
      <c r="EF114" s="43" t="str">
        <f t="shared" si="1586"/>
        <v/>
      </c>
      <c r="EG114" s="43" t="str">
        <f t="shared" si="1587"/>
        <v/>
      </c>
      <c r="EH114" s="43" t="str">
        <f t="shared" si="1588"/>
        <v/>
      </c>
      <c r="EI114" s="43" t="str">
        <f t="shared" si="1589"/>
        <v/>
      </c>
      <c r="EJ114" s="43" t="str">
        <f t="shared" si="1590"/>
        <v/>
      </c>
      <c r="EK114" s="43" t="str">
        <f t="shared" si="1591"/>
        <v/>
      </c>
      <c r="EL114" s="43" t="str">
        <f t="shared" si="1592"/>
        <v/>
      </c>
      <c r="EM114" s="43" t="str">
        <f t="shared" si="1593"/>
        <v/>
      </c>
      <c r="EN114" s="43" t="str">
        <f t="shared" si="1594"/>
        <v/>
      </c>
      <c r="EO114" s="43" t="str">
        <f t="shared" si="1595"/>
        <v/>
      </c>
      <c r="EP114" s="43" t="str">
        <f t="shared" si="1596"/>
        <v/>
      </c>
      <c r="EQ114" s="43" t="str">
        <f t="shared" si="1597"/>
        <v/>
      </c>
      <c r="ER114" s="43" t="str">
        <f t="shared" si="1598"/>
        <v/>
      </c>
      <c r="ES114" s="43" t="str">
        <f t="shared" si="1599"/>
        <v/>
      </c>
      <c r="ET114" s="43" t="str">
        <f t="shared" si="1600"/>
        <v/>
      </c>
      <c r="EU114" s="43" t="str">
        <f t="shared" si="1601"/>
        <v/>
      </c>
      <c r="EV114" s="43" t="str">
        <f t="shared" si="1602"/>
        <v/>
      </c>
      <c r="EW114" s="43" t="str">
        <f t="shared" si="1603"/>
        <v/>
      </c>
      <c r="EX114" s="43" t="str">
        <f t="shared" si="1604"/>
        <v/>
      </c>
      <c r="EY114" s="43" t="str">
        <f t="shared" si="1605"/>
        <v/>
      </c>
      <c r="EZ114" s="43" t="str">
        <f t="shared" si="1606"/>
        <v/>
      </c>
      <c r="FA114" s="43" t="str">
        <f t="shared" si="1607"/>
        <v/>
      </c>
      <c r="FB114" s="43" t="str">
        <f t="shared" si="1608"/>
        <v/>
      </c>
      <c r="FC114" s="43" t="str">
        <f t="shared" si="1609"/>
        <v/>
      </c>
      <c r="FD114" s="43" t="str">
        <f t="shared" si="1610"/>
        <v/>
      </c>
      <c r="FE114" s="43" t="str">
        <f t="shared" si="1611"/>
        <v/>
      </c>
      <c r="FF114" s="43" t="str">
        <f t="shared" si="1612"/>
        <v/>
      </c>
      <c r="FG114" s="43" t="str">
        <f t="shared" si="1613"/>
        <v/>
      </c>
      <c r="FH114" s="43" t="str">
        <f t="shared" si="1614"/>
        <v/>
      </c>
      <c r="FI114" s="43" t="str">
        <f t="shared" si="1615"/>
        <v/>
      </c>
      <c r="FJ114" s="43" t="str">
        <f t="shared" si="1616"/>
        <v/>
      </c>
      <c r="FK114" s="43" t="str">
        <f t="shared" si="1617"/>
        <v/>
      </c>
      <c r="FL114" s="43" t="str">
        <f t="shared" si="1618"/>
        <v/>
      </c>
      <c r="FM114" s="43" t="str">
        <f t="shared" si="1619"/>
        <v/>
      </c>
      <c r="FN114" s="43" t="str">
        <f t="shared" si="1620"/>
        <v/>
      </c>
      <c r="FO114" s="43" t="str">
        <f t="shared" si="1621"/>
        <v/>
      </c>
      <c r="FP114" s="43" t="str">
        <f t="shared" si="1622"/>
        <v/>
      </c>
      <c r="FQ114" s="43" t="str">
        <f t="shared" si="1623"/>
        <v/>
      </c>
      <c r="FR114" s="43" t="str">
        <f t="shared" si="1624"/>
        <v/>
      </c>
      <c r="FS114" s="43" t="str">
        <f t="shared" si="1625"/>
        <v/>
      </c>
    </row>
    <row r="115" spans="1:175" ht="16.5">
      <c r="A115" s="4"/>
      <c r="B115" s="4" t="s">
        <v>386</v>
      </c>
      <c r="C115" s="4" t="s">
        <v>387</v>
      </c>
      <c r="T115" s="79" t="s">
        <v>388</v>
      </c>
      <c r="U115" s="55" t="str">
        <f t="shared" si="1549"/>
        <v>ReplaceableTextures\\CommandButtons\\BTNI002.blp</v>
      </c>
      <c r="CN115" s="12" t="str">
        <f t="shared" si="1550"/>
        <v>InitUnitState('I002',,,,,,,,,,)</v>
      </c>
      <c r="CO115" s="12" t="str">
        <f t="shared" si="1551"/>
        <v>InitUnitNormal('I002',,,,,,,,,,)</v>
      </c>
      <c r="CP115" s="12" t="str">
        <f t="shared" si="1552"/>
        <v>InitUnitMagic('I002',,,,,,,,,,)</v>
      </c>
      <c r="CQ115" s="12" t="str">
        <f t="shared" si="1553"/>
        <v>InitUnitAdd('I002',,,,,,,,,,)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168&amp;CR$1&amp;")"</f>
        <v>InitEquipData('I002',,"",,,,,'','','','','','',"ReplaceableTextures\\CommandButtons\\BTNIP02.blp")</v>
      </c>
      <c r="CU115" s="67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5" t="str">
        <f t="shared" ref="CV115:CV116" si="1627">T115</f>
        <v>回复|Cff00bfff70%|r蓝量</v>
      </c>
      <c r="CW115" s="6"/>
      <c r="CX115" s="6"/>
      <c r="CY115" s="6"/>
      <c r="CZ115" s="6"/>
      <c r="DA115" s="6"/>
      <c r="DB115" s="43" t="str">
        <f t="shared" ref="DB115:DB116" si="1628">IF(V115="","","|n"&amp;DB$2&amp;"+"&amp;V115&amp;DB$1)</f>
        <v/>
      </c>
      <c r="DC115" s="43" t="str">
        <f t="shared" ref="DC115:DC116" si="1629">IF(W115="","","|n"&amp;DC$2&amp;"+"&amp;W115&amp;DC$1)</f>
        <v/>
      </c>
      <c r="DD115" s="43" t="str">
        <f t="shared" ref="DD115:DD116" si="1630">IF(X115="","","|n"&amp;DD$2&amp;"+"&amp;X115&amp;DD$1)</f>
        <v/>
      </c>
      <c r="DE115" s="43" t="str">
        <f t="shared" ref="DE115:DE116" si="1631">IF(Y115="","","|n"&amp;DE$2&amp;"+"&amp;Y115&amp;DE$1)</f>
        <v/>
      </c>
      <c r="DF115" s="43" t="str">
        <f t="shared" ref="DF115:DF116" si="1632">IF(Z115="","","|n"&amp;DF$2&amp;"+"&amp;Z115&amp;DF$1)</f>
        <v/>
      </c>
      <c r="DG115" s="43" t="str">
        <f t="shared" ref="DG115:DG116" si="1633">IF(AA115="","","|n"&amp;DG$2&amp;"+"&amp;AA115&amp;DG$1)</f>
        <v/>
      </c>
      <c r="DH115" s="43" t="str">
        <f t="shared" ref="DH115:DH116" si="1634">IF(AB115="","","|n"&amp;DH$2&amp;"+"&amp;AB115&amp;DH$1)</f>
        <v/>
      </c>
      <c r="DI115" s="43" t="str">
        <f t="shared" ref="DI115:DI116" si="1635">IF(AC115="","","|n"&amp;DI$2&amp;"+"&amp;AC115&amp;DI$1)</f>
        <v/>
      </c>
      <c r="DJ115" s="43" t="str">
        <f t="shared" ref="DJ115:DJ116" si="1636">IF(AD115="","","|n"&amp;DJ$2&amp;"+"&amp;AD115&amp;DJ$1)</f>
        <v/>
      </c>
      <c r="DK115" s="43" t="str">
        <f t="shared" ref="DK115:DK116" si="1637">IF(AE115="","","|n"&amp;DK$2&amp;"+"&amp;AE115&amp;DK$1)</f>
        <v/>
      </c>
      <c r="DL115" s="43" t="str">
        <f t="shared" ref="DL115:DL116" si="1638">IF(AF115="","","|n"&amp;DL$2&amp;"+"&amp;AF115&amp;DL$1)</f>
        <v/>
      </c>
      <c r="DM115" s="43" t="str">
        <f t="shared" ref="DM115:DM116" si="1639">IF(AG115="","","|n"&amp;DM$2&amp;"+"&amp;AG115&amp;DM$1)</f>
        <v/>
      </c>
      <c r="DN115" s="43" t="str">
        <f t="shared" ref="DN115:DN116" si="1640">IF(AH115="","","|n"&amp;DN$2&amp;"+"&amp;AH115&amp;DN$1)</f>
        <v/>
      </c>
      <c r="DO115" s="43" t="str">
        <f t="shared" ref="DO115:DO116" si="1641">IF(AI115="","","|n"&amp;DO$2&amp;"+"&amp;AI115&amp;DO$1)</f>
        <v/>
      </c>
      <c r="DP115" s="43" t="str">
        <f t="shared" ref="DP115:DP116" si="1642">IF(AJ115="","","|n"&amp;DP$2&amp;"+"&amp;AJ115&amp;DP$1)</f>
        <v/>
      </c>
      <c r="DQ115" s="43" t="str">
        <f t="shared" ref="DQ115:DQ116" si="1643">IF(AK115="","","|n"&amp;DQ$2&amp;"+"&amp;AK115&amp;DQ$1)</f>
        <v/>
      </c>
      <c r="DR115" s="43" t="str">
        <f t="shared" ref="DR115:DR116" si="1644">IF(AL115="","","|n"&amp;DR$2&amp;"+"&amp;AL115&amp;DR$1)</f>
        <v/>
      </c>
      <c r="DS115" s="43" t="str">
        <f t="shared" ref="DS115:DS116" si="1645">IF(AM115="","","|n"&amp;DS$2&amp;"+"&amp;AM115&amp;DS$1)</f>
        <v/>
      </c>
      <c r="DT115" s="43" t="str">
        <f t="shared" ref="DT115:DT116" si="1646">IF(AN115="","","|n"&amp;DT$2&amp;"+"&amp;AN115&amp;DT$1)</f>
        <v/>
      </c>
      <c r="DU115" s="43" t="str">
        <f t="shared" ref="DU115:DU116" si="1647">IF(AO115="","","|n"&amp;DU$2&amp;"+"&amp;AO115&amp;DU$1)</f>
        <v/>
      </c>
      <c r="DV115" s="43" t="str">
        <f t="shared" ref="DV115:DV116" si="1648">IF(AP115="","","|n"&amp;DV$2&amp;"+"&amp;AP115&amp;DV$1)</f>
        <v/>
      </c>
      <c r="DW115" s="43" t="str">
        <f t="shared" ref="DW115:DW116" si="1649">IF(AQ115="","","|n"&amp;DW$2&amp;"+"&amp;AQ115&amp;DW$1)</f>
        <v/>
      </c>
      <c r="DX115" s="43" t="str">
        <f t="shared" ref="DX115:DX116" si="1650">IF(AR115="","","|n"&amp;DX$2&amp;"+"&amp;AR115&amp;DX$1)</f>
        <v/>
      </c>
      <c r="DY115" s="43" t="str">
        <f t="shared" ref="DY115:DY116" si="1651">IF(AS115="","","|n"&amp;DY$2&amp;"+"&amp;AS115&amp;DY$1)</f>
        <v/>
      </c>
      <c r="DZ115" s="43" t="str">
        <f t="shared" ref="DZ115:DZ116" si="1652">IF(AT115="","","|n"&amp;DZ$2&amp;"+"&amp;AT115&amp;DZ$1)</f>
        <v/>
      </c>
      <c r="EA115" s="43" t="str">
        <f t="shared" ref="EA115:EA116" si="1653">IF(AU115="","","|n"&amp;EA$2&amp;"+"&amp;AU115&amp;EA$1)</f>
        <v/>
      </c>
      <c r="EB115" s="43" t="str">
        <f t="shared" ref="EB115:EB116" si="1654">IF(AV115="","","|n"&amp;EB$2&amp;"+"&amp;AV115&amp;EB$1)</f>
        <v/>
      </c>
      <c r="EC115" s="43" t="str">
        <f t="shared" ref="EC115:EC116" si="1655">IF(AW115="","","|n"&amp;EC$2&amp;"+"&amp;AW115&amp;EC$1)</f>
        <v/>
      </c>
      <c r="ED115" s="43" t="str">
        <f t="shared" ref="ED115:ED116" si="1656">IF(AX115="","","|n"&amp;ED$2&amp;"+"&amp;AX115&amp;ED$1)</f>
        <v/>
      </c>
      <c r="EE115" s="43" t="str">
        <f t="shared" ref="EE115:EE116" si="1657">IF(AY115="","","|n"&amp;EE$2&amp;"+"&amp;AY115&amp;EE$1)</f>
        <v/>
      </c>
      <c r="EF115" s="43" t="str">
        <f t="shared" ref="EF115:EF116" si="1658">IF(AZ115="","","|n"&amp;EF$2&amp;"+"&amp;AZ115&amp;EF$1)</f>
        <v/>
      </c>
      <c r="EG115" s="43" t="str">
        <f t="shared" ref="EG115:EG116" si="1659">IF(BA115="","","|n"&amp;EG$2&amp;"+"&amp;BA115&amp;EG$1)</f>
        <v/>
      </c>
      <c r="EH115" s="43" t="str">
        <f t="shared" ref="EH115:EH116" si="1660">IF(BB115="","","|n"&amp;EH$2&amp;"+"&amp;BB115&amp;EH$1)</f>
        <v/>
      </c>
      <c r="EI115" s="43" t="str">
        <f t="shared" ref="EI115:EI116" si="1661">IF(BC115="","","|n"&amp;EI$2&amp;"+"&amp;BC115&amp;EI$1)</f>
        <v/>
      </c>
      <c r="EJ115" s="43" t="str">
        <f t="shared" ref="EJ115:EJ116" si="1662">IF(BD115="","","|n"&amp;EJ$2&amp;"+"&amp;BD115&amp;EJ$1)</f>
        <v/>
      </c>
      <c r="EK115" s="43" t="str">
        <f t="shared" ref="EK115:EK116" si="1663">IF(BE115="","","|n"&amp;EK$2&amp;"+"&amp;BE115&amp;EK$1)</f>
        <v/>
      </c>
      <c r="EL115" s="43" t="str">
        <f t="shared" ref="EL115:EL116" si="1664">IF(BF115="","","|n"&amp;EL$2&amp;"+"&amp;BF115&amp;EL$1)</f>
        <v/>
      </c>
      <c r="EM115" s="43" t="str">
        <f t="shared" ref="EM115:EM116" si="1665">IF(BG115="","","|n"&amp;EM$2&amp;"+"&amp;BG115&amp;EM$1)</f>
        <v/>
      </c>
      <c r="EN115" s="43" t="str">
        <f t="shared" ref="EN115:EN116" si="1666">IF(BH115="","","|n"&amp;EN$2&amp;"+"&amp;BH115&amp;EN$1)</f>
        <v/>
      </c>
      <c r="EO115" s="43" t="str">
        <f t="shared" ref="EO115:EO116" si="1667">IF(BI115="","","|n"&amp;EO$2&amp;"+"&amp;BI115&amp;EO$1)</f>
        <v/>
      </c>
      <c r="EP115" s="43" t="str">
        <f t="shared" ref="EP115:EP116" si="1668">IF(BJ115="","","|n"&amp;EP$2&amp;"+"&amp;BJ115&amp;EP$1)</f>
        <v/>
      </c>
      <c r="EQ115" s="43" t="str">
        <f t="shared" ref="EQ115:EQ116" si="1669">IF(BK115="","","|n"&amp;EQ$2&amp;"+"&amp;BK115&amp;EQ$1)</f>
        <v/>
      </c>
      <c r="ER115" s="43" t="str">
        <f t="shared" ref="ER115:ER116" si="1670">IF(BL115="","","|n"&amp;ER$2&amp;"+"&amp;BL115&amp;ER$1)</f>
        <v/>
      </c>
      <c r="ES115" s="43" t="str">
        <f t="shared" ref="ES115:ES116" si="1671">IF(BM115="","","|n"&amp;ES$2&amp;"+"&amp;BM115&amp;ES$1)</f>
        <v/>
      </c>
      <c r="ET115" s="43" t="str">
        <f t="shared" ref="ET115:ET116" si="1672">IF(BN115="","","|n"&amp;ET$2&amp;"+"&amp;BN115&amp;ET$1)</f>
        <v/>
      </c>
      <c r="EU115" s="43" t="str">
        <f t="shared" ref="EU115:EU116" si="1673">IF(BO115="","","|n"&amp;EU$2&amp;"+"&amp;BO115&amp;EU$1)</f>
        <v/>
      </c>
      <c r="EV115" s="43" t="str">
        <f t="shared" ref="EV115:EV116" si="1674">IF(BP115="","","|n"&amp;EV$2&amp;"+"&amp;BP115&amp;EV$1)</f>
        <v/>
      </c>
      <c r="EW115" s="43" t="str">
        <f t="shared" ref="EW115:EW116" si="1675">IF(BQ115="","","|n"&amp;EW$2&amp;"+"&amp;BQ115&amp;EW$1)</f>
        <v/>
      </c>
      <c r="EX115" s="43" t="str">
        <f t="shared" ref="EX115:EX116" si="1676">IF(BR115="","","|n"&amp;EX$2&amp;"+"&amp;BR115&amp;EX$1)</f>
        <v/>
      </c>
      <c r="EY115" s="43" t="str">
        <f t="shared" ref="EY115:EY116" si="1677">IF(BS115="","","|n"&amp;EY$2&amp;"+"&amp;BS115&amp;EY$1)</f>
        <v/>
      </c>
      <c r="EZ115" s="43" t="str">
        <f t="shared" ref="EZ115:EZ116" si="1678">IF(BT115="","","|n"&amp;EZ$2&amp;"+"&amp;BT115&amp;EZ$1)</f>
        <v/>
      </c>
      <c r="FA115" s="43" t="str">
        <f t="shared" ref="FA115:FA116" si="1679">IF(BU115="","","|n"&amp;FA$2&amp;"+"&amp;BU115&amp;FA$1)</f>
        <v/>
      </c>
      <c r="FB115" s="43" t="str">
        <f t="shared" ref="FB115:FB116" si="1680">IF(BV115="","","|n"&amp;FB$2&amp;"+"&amp;BV115&amp;FB$1)</f>
        <v/>
      </c>
      <c r="FC115" s="43" t="str">
        <f t="shared" ref="FC115:FC116" si="1681">IF(BW115="","","|n"&amp;FC$2&amp;"+"&amp;BW115&amp;FC$1)</f>
        <v/>
      </c>
      <c r="FD115" s="43" t="str">
        <f t="shared" ref="FD115:FD116" si="1682">IF(BX115="","","|n"&amp;FD$2&amp;"+"&amp;BX115&amp;FD$1)</f>
        <v/>
      </c>
      <c r="FE115" s="43" t="str">
        <f t="shared" ref="FE115:FE116" si="1683">IF(BY115="","","|n"&amp;FE$2&amp;"+"&amp;BY115&amp;FE$1)</f>
        <v/>
      </c>
      <c r="FF115" s="43" t="str">
        <f t="shared" ref="FF115:FF116" si="1684">IF(BZ115="","","|n"&amp;FF$2&amp;"+"&amp;BZ115&amp;FF$1)</f>
        <v/>
      </c>
      <c r="FG115" s="43" t="str">
        <f t="shared" ref="FG115:FG116" si="1685">IF(CA115="","","|n"&amp;FG$2&amp;"+"&amp;CA115&amp;FG$1)</f>
        <v/>
      </c>
      <c r="FH115" s="43" t="str">
        <f t="shared" ref="FH115:FH116" si="1686">IF(CB115="","","|n"&amp;FH$2&amp;"+"&amp;CB115&amp;FH$1)</f>
        <v/>
      </c>
      <c r="FI115" s="43" t="str">
        <f t="shared" ref="FI115:FI116" si="1687">IF(CC115="","","|n"&amp;FI$2&amp;"+"&amp;CC115&amp;FI$1)</f>
        <v/>
      </c>
      <c r="FJ115" s="43" t="str">
        <f t="shared" ref="FJ115:FJ116" si="1688">IF(CD115="","","|n"&amp;FJ$2&amp;"+"&amp;CD115&amp;FJ$1)</f>
        <v/>
      </c>
      <c r="FK115" s="43" t="str">
        <f t="shared" ref="FK115:FK116" si="1689">IF(CE115="","","|n"&amp;FK$2&amp;"+"&amp;CE115&amp;FK$1)</f>
        <v/>
      </c>
      <c r="FL115" s="43" t="str">
        <f t="shared" ref="FL115:FL116" si="1690">IF(CF115="","","|n"&amp;FL$2&amp;"+"&amp;CF115&amp;FL$1)</f>
        <v/>
      </c>
      <c r="FM115" s="43" t="str">
        <f t="shared" ref="FM115:FM116" si="1691">IF(CG115="","","|n"&amp;FM$2&amp;"+"&amp;CG115&amp;FM$1)</f>
        <v/>
      </c>
      <c r="FN115" s="43" t="str">
        <f t="shared" ref="FN115:FN116" si="1692">IF(CH115="","","|n"&amp;FN$2&amp;"+"&amp;CH115&amp;FN$1)</f>
        <v/>
      </c>
      <c r="FO115" s="43" t="str">
        <f t="shared" ref="FO115:FO116" si="1693">IF(CI115="","","|n"&amp;FO$2&amp;"+"&amp;CI115&amp;FO$1)</f>
        <v/>
      </c>
      <c r="FP115" s="43" t="str">
        <f t="shared" ref="FP115:FP116" si="1694">IF(CJ115="","","|n"&amp;FP$2&amp;"+"&amp;CJ115&amp;FP$1)</f>
        <v/>
      </c>
      <c r="FQ115" s="43" t="str">
        <f t="shared" ref="FQ115:FQ116" si="1695">IF(CK115="","","|n"&amp;FQ$2&amp;"+"&amp;CK115&amp;FQ$1)</f>
        <v/>
      </c>
      <c r="FR115" s="43" t="str">
        <f t="shared" ref="FR115:FR116" si="1696">IF(CL115="","","|n"&amp;FR$2&amp;"+"&amp;CL115&amp;FR$1)</f>
        <v/>
      </c>
      <c r="FS115" s="43" t="str">
        <f t="shared" ref="FS115:FS116" si="1697">IF(CM115="","","|n"&amp;FS$2&amp;"+"&amp;CM115&amp;FS$1)</f>
        <v/>
      </c>
    </row>
    <row r="116" spans="1:175" ht="16.5">
      <c r="A116" s="4"/>
      <c r="B116" s="4" t="s">
        <v>389</v>
      </c>
      <c r="C116" s="4" t="s">
        <v>390</v>
      </c>
      <c r="T116" s="79" t="s">
        <v>391</v>
      </c>
      <c r="U116" s="55" t="str">
        <f t="shared" si="1549"/>
        <v>ReplaceableTextures\\CommandButtons\\BTNI003.blp</v>
      </c>
      <c r="CN116" s="12" t="str">
        <f t="shared" si="1550"/>
        <v>InitUnitState('I003',,,,,,,,,,)</v>
      </c>
      <c r="CO116" s="12" t="str">
        <f t="shared" si="1551"/>
        <v>InitUnitNormal('I003',,,,,,,,,,)</v>
      </c>
      <c r="CP116" s="12" t="str">
        <f t="shared" si="1552"/>
        <v>InitUnitMagic('I003',,,,,,,,,,)</v>
      </c>
      <c r="CQ116" s="12" t="str">
        <f t="shared" si="1553"/>
        <v>InitUnitAdd('I003',,,,,,,,,,)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169&amp;CR$1&amp;")"</f>
        <v>InitEquipData('I003',,"",,,,,'','','','','','',"ReplaceableTextures\\CommandButtons\\BTNIP03.blp")</v>
      </c>
      <c r="CU116" s="67" t="str">
        <f t="shared" si="1626"/>
        <v>|n</v>
      </c>
      <c r="CV116" s="5" t="str">
        <f t="shared" si="1627"/>
        <v>攻击速度|Cffff8000+60%|r，持续15秒。</v>
      </c>
      <c r="CW116" s="6"/>
      <c r="CX116" s="6"/>
      <c r="CY116" s="6"/>
      <c r="CZ116" s="6"/>
      <c r="DA116" s="6"/>
      <c r="DB116" s="43" t="str">
        <f t="shared" si="1628"/>
        <v/>
      </c>
      <c r="DC116" s="43" t="str">
        <f t="shared" si="1629"/>
        <v/>
      </c>
      <c r="DD116" s="43" t="str">
        <f t="shared" si="1630"/>
        <v/>
      </c>
      <c r="DE116" s="43" t="str">
        <f t="shared" si="1631"/>
        <v/>
      </c>
      <c r="DF116" s="43" t="str">
        <f t="shared" si="1632"/>
        <v/>
      </c>
      <c r="DG116" s="43" t="str">
        <f t="shared" si="1633"/>
        <v/>
      </c>
      <c r="DH116" s="43" t="str">
        <f t="shared" si="1634"/>
        <v/>
      </c>
      <c r="DI116" s="43" t="str">
        <f t="shared" si="1635"/>
        <v/>
      </c>
      <c r="DJ116" s="43" t="str">
        <f t="shared" si="1636"/>
        <v/>
      </c>
      <c r="DK116" s="43" t="str">
        <f t="shared" si="1637"/>
        <v/>
      </c>
      <c r="DL116" s="43" t="str">
        <f t="shared" si="1638"/>
        <v/>
      </c>
      <c r="DM116" s="43" t="str">
        <f t="shared" si="1639"/>
        <v/>
      </c>
      <c r="DN116" s="43" t="str">
        <f t="shared" si="1640"/>
        <v/>
      </c>
      <c r="DO116" s="43" t="str">
        <f t="shared" si="1641"/>
        <v/>
      </c>
      <c r="DP116" s="43" t="str">
        <f t="shared" si="1642"/>
        <v/>
      </c>
      <c r="DQ116" s="43" t="str">
        <f t="shared" si="1643"/>
        <v/>
      </c>
      <c r="DR116" s="43" t="str">
        <f t="shared" si="1644"/>
        <v/>
      </c>
      <c r="DS116" s="43" t="str">
        <f t="shared" si="1645"/>
        <v/>
      </c>
      <c r="DT116" s="43" t="str">
        <f t="shared" si="1646"/>
        <v/>
      </c>
      <c r="DU116" s="43" t="str">
        <f t="shared" si="1647"/>
        <v/>
      </c>
      <c r="DV116" s="43" t="str">
        <f t="shared" si="1648"/>
        <v/>
      </c>
      <c r="DW116" s="43" t="str">
        <f t="shared" si="1649"/>
        <v/>
      </c>
      <c r="DX116" s="43" t="str">
        <f t="shared" si="1650"/>
        <v/>
      </c>
      <c r="DY116" s="43" t="str">
        <f t="shared" si="1651"/>
        <v/>
      </c>
      <c r="DZ116" s="43" t="str">
        <f t="shared" si="1652"/>
        <v/>
      </c>
      <c r="EA116" s="43" t="str">
        <f t="shared" si="1653"/>
        <v/>
      </c>
      <c r="EB116" s="43" t="str">
        <f t="shared" si="1654"/>
        <v/>
      </c>
      <c r="EC116" s="43" t="str">
        <f t="shared" si="1655"/>
        <v/>
      </c>
      <c r="ED116" s="43" t="str">
        <f t="shared" si="1656"/>
        <v/>
      </c>
      <c r="EE116" s="43" t="str">
        <f t="shared" si="1657"/>
        <v/>
      </c>
      <c r="EF116" s="43" t="str">
        <f t="shared" si="1658"/>
        <v/>
      </c>
      <c r="EG116" s="43" t="str">
        <f t="shared" si="1659"/>
        <v/>
      </c>
      <c r="EH116" s="43" t="str">
        <f t="shared" si="1660"/>
        <v/>
      </c>
      <c r="EI116" s="43" t="str">
        <f t="shared" si="1661"/>
        <v/>
      </c>
      <c r="EJ116" s="43" t="str">
        <f t="shared" si="1662"/>
        <v/>
      </c>
      <c r="EK116" s="43" t="str">
        <f t="shared" si="1663"/>
        <v/>
      </c>
      <c r="EL116" s="43" t="str">
        <f t="shared" si="1664"/>
        <v/>
      </c>
      <c r="EM116" s="43" t="str">
        <f t="shared" si="1665"/>
        <v/>
      </c>
      <c r="EN116" s="43" t="str">
        <f t="shared" si="1666"/>
        <v/>
      </c>
      <c r="EO116" s="43" t="str">
        <f t="shared" si="1667"/>
        <v/>
      </c>
      <c r="EP116" s="43" t="str">
        <f t="shared" si="1668"/>
        <v/>
      </c>
      <c r="EQ116" s="43" t="str">
        <f t="shared" si="1669"/>
        <v/>
      </c>
      <c r="ER116" s="43" t="str">
        <f t="shared" si="1670"/>
        <v/>
      </c>
      <c r="ES116" s="43" t="str">
        <f t="shared" si="1671"/>
        <v/>
      </c>
      <c r="ET116" s="43" t="str">
        <f t="shared" si="1672"/>
        <v/>
      </c>
      <c r="EU116" s="43" t="str">
        <f t="shared" si="1673"/>
        <v/>
      </c>
      <c r="EV116" s="43" t="str">
        <f t="shared" si="1674"/>
        <v/>
      </c>
      <c r="EW116" s="43" t="str">
        <f t="shared" si="1675"/>
        <v/>
      </c>
      <c r="EX116" s="43" t="str">
        <f t="shared" si="1676"/>
        <v/>
      </c>
      <c r="EY116" s="43" t="str">
        <f t="shared" si="1677"/>
        <v/>
      </c>
      <c r="EZ116" s="43" t="str">
        <f t="shared" si="1678"/>
        <v/>
      </c>
      <c r="FA116" s="43" t="str">
        <f t="shared" si="1679"/>
        <v/>
      </c>
      <c r="FB116" s="43" t="str">
        <f t="shared" si="1680"/>
        <v/>
      </c>
      <c r="FC116" s="43" t="str">
        <f t="shared" si="1681"/>
        <v/>
      </c>
      <c r="FD116" s="43" t="str">
        <f t="shared" si="1682"/>
        <v/>
      </c>
      <c r="FE116" s="43" t="str">
        <f t="shared" si="1683"/>
        <v/>
      </c>
      <c r="FF116" s="43" t="str">
        <f t="shared" si="1684"/>
        <v/>
      </c>
      <c r="FG116" s="43" t="str">
        <f t="shared" si="1685"/>
        <v/>
      </c>
      <c r="FH116" s="43" t="str">
        <f t="shared" si="1686"/>
        <v/>
      </c>
      <c r="FI116" s="43" t="str">
        <f t="shared" si="1687"/>
        <v/>
      </c>
      <c r="FJ116" s="43" t="str">
        <f t="shared" si="1688"/>
        <v/>
      </c>
      <c r="FK116" s="43" t="str">
        <f t="shared" si="1689"/>
        <v/>
      </c>
      <c r="FL116" s="43" t="str">
        <f t="shared" si="1690"/>
        <v/>
      </c>
      <c r="FM116" s="43" t="str">
        <f t="shared" si="1691"/>
        <v/>
      </c>
      <c r="FN116" s="43" t="str">
        <f t="shared" si="1692"/>
        <v/>
      </c>
      <c r="FO116" s="43" t="str">
        <f t="shared" si="1693"/>
        <v/>
      </c>
      <c r="FP116" s="43" t="str">
        <f t="shared" si="1694"/>
        <v/>
      </c>
      <c r="FQ116" s="43" t="str">
        <f t="shared" si="1695"/>
        <v/>
      </c>
      <c r="FR116" s="43" t="str">
        <f t="shared" si="1696"/>
        <v/>
      </c>
      <c r="FS116" s="43" t="str">
        <f t="shared" si="1697"/>
        <v/>
      </c>
    </row>
    <row r="117" spans="1:175" ht="16.5">
      <c r="A117" s="4"/>
      <c r="B117" s="4" t="s">
        <v>392</v>
      </c>
      <c r="C117" s="4" t="s">
        <v>393</v>
      </c>
      <c r="T117" s="79" t="s">
        <v>394</v>
      </c>
      <c r="U117" s="55" t="str">
        <f t="shared" si="1549"/>
        <v>ReplaceableTextures\\CommandButtons\\BTNI004.blp</v>
      </c>
      <c r="CN117" s="12" t="str">
        <f t="shared" si="1550"/>
        <v>InitUnitState('I004',,,,,,,,,,)</v>
      </c>
      <c r="CO117" s="12" t="str">
        <f t="shared" si="1551"/>
        <v>InitUnitNormal('I004',,,,,,,,,,)</v>
      </c>
      <c r="CP117" s="12" t="str">
        <f t="shared" si="1552"/>
        <v>InitUnitMagic('I004',,,,,,,,,,)</v>
      </c>
      <c r="CQ117" s="12" t="str">
        <f t="shared" si="1553"/>
        <v>InitUnitAdd('I004',,,,,,,,,,)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172&amp;CR$1&amp;")"</f>
        <v>InitEquipData('I004',,"",,,,,'','','','','','',"ReplaceableTextures\\CommandButtons\\BTNIT01.blp")</v>
      </c>
      <c r="CU117" s="67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:CV119" si="1699">T117</f>
        <v>法术伤害提高|Cff00bfff40%|r，持续15秒。</v>
      </c>
      <c r="CW117" s="6"/>
      <c r="CX117" s="6"/>
      <c r="CY117" s="6"/>
      <c r="CZ117" s="6"/>
      <c r="DA117" s="6"/>
      <c r="DB117" s="43" t="str">
        <f t="shared" ref="DB117:DB119" si="1700">IF(V117="","","|n"&amp;DB$2&amp;"+"&amp;V117&amp;DB$1)</f>
        <v/>
      </c>
      <c r="DC117" s="43" t="str">
        <f t="shared" ref="DC117:DC119" si="1701">IF(W117="","","|n"&amp;DC$2&amp;"+"&amp;W117&amp;DC$1)</f>
        <v/>
      </c>
      <c r="DD117" s="43" t="str">
        <f t="shared" ref="DD117:DD119" si="1702">IF(X117="","","|n"&amp;DD$2&amp;"+"&amp;X117&amp;DD$1)</f>
        <v/>
      </c>
      <c r="DE117" s="43" t="str">
        <f t="shared" ref="DE117:DE119" si="1703">IF(Y117="","","|n"&amp;DE$2&amp;"+"&amp;Y117&amp;DE$1)</f>
        <v/>
      </c>
      <c r="DF117" s="43" t="str">
        <f t="shared" ref="DF117:DF119" si="1704">IF(Z117="","","|n"&amp;DF$2&amp;"+"&amp;Z117&amp;DF$1)</f>
        <v/>
      </c>
      <c r="DG117" s="43" t="str">
        <f t="shared" ref="DG117:DG119" si="1705">IF(AA117="","","|n"&amp;DG$2&amp;"+"&amp;AA117&amp;DG$1)</f>
        <v/>
      </c>
      <c r="DH117" s="43" t="str">
        <f t="shared" ref="DH117:DH119" si="1706">IF(AB117="","","|n"&amp;DH$2&amp;"+"&amp;AB117&amp;DH$1)</f>
        <v/>
      </c>
      <c r="DI117" s="43" t="str">
        <f t="shared" ref="DI117:DI119" si="1707">IF(AC117="","","|n"&amp;DI$2&amp;"+"&amp;AC117&amp;DI$1)</f>
        <v/>
      </c>
      <c r="DJ117" s="43" t="str">
        <f t="shared" ref="DJ117:DJ119" si="1708">IF(AD117="","","|n"&amp;DJ$2&amp;"+"&amp;AD117&amp;DJ$1)</f>
        <v/>
      </c>
      <c r="DK117" s="43" t="str">
        <f t="shared" ref="DK117:DK119" si="1709">IF(AE117="","","|n"&amp;DK$2&amp;"+"&amp;AE117&amp;DK$1)</f>
        <v/>
      </c>
      <c r="DL117" s="43" t="str">
        <f t="shared" ref="DL117:DL119" si="1710">IF(AF117="","","|n"&amp;DL$2&amp;"+"&amp;AF117&amp;DL$1)</f>
        <v/>
      </c>
      <c r="DM117" s="43" t="str">
        <f t="shared" ref="DM117:DM119" si="1711">IF(AG117="","","|n"&amp;DM$2&amp;"+"&amp;AG117&amp;DM$1)</f>
        <v/>
      </c>
      <c r="DN117" s="43" t="str">
        <f t="shared" ref="DN117:DN119" si="1712">IF(AH117="","","|n"&amp;DN$2&amp;"+"&amp;AH117&amp;DN$1)</f>
        <v/>
      </c>
      <c r="DO117" s="43" t="str">
        <f t="shared" ref="DO117:DO119" si="1713">IF(AI117="","","|n"&amp;DO$2&amp;"+"&amp;AI117&amp;DO$1)</f>
        <v/>
      </c>
      <c r="DP117" s="43" t="str">
        <f t="shared" ref="DP117:DP119" si="1714">IF(AJ117="","","|n"&amp;DP$2&amp;"+"&amp;AJ117&amp;DP$1)</f>
        <v/>
      </c>
      <c r="DQ117" s="43" t="str">
        <f t="shared" ref="DQ117:DQ119" si="1715">IF(AK117="","","|n"&amp;DQ$2&amp;"+"&amp;AK117&amp;DQ$1)</f>
        <v/>
      </c>
      <c r="DR117" s="43" t="str">
        <f t="shared" ref="DR117:DR119" si="1716">IF(AL117="","","|n"&amp;DR$2&amp;"+"&amp;AL117&amp;DR$1)</f>
        <v/>
      </c>
      <c r="DS117" s="43" t="str">
        <f t="shared" ref="DS117:DS119" si="1717">IF(AM117="","","|n"&amp;DS$2&amp;"+"&amp;AM117&amp;DS$1)</f>
        <v/>
      </c>
      <c r="DT117" s="43" t="str">
        <f t="shared" ref="DT117:DT119" si="1718">IF(AN117="","","|n"&amp;DT$2&amp;"+"&amp;AN117&amp;DT$1)</f>
        <v/>
      </c>
      <c r="DU117" s="43" t="str">
        <f t="shared" ref="DU117:DU119" si="1719">IF(AO117="","","|n"&amp;DU$2&amp;"+"&amp;AO117&amp;DU$1)</f>
        <v/>
      </c>
      <c r="DV117" s="43" t="str">
        <f t="shared" ref="DV117:DV119" si="1720">IF(AP117="","","|n"&amp;DV$2&amp;"+"&amp;AP117&amp;DV$1)</f>
        <v/>
      </c>
      <c r="DW117" s="43" t="str">
        <f t="shared" ref="DW117:DW119" si="1721">IF(AQ117="","","|n"&amp;DW$2&amp;"+"&amp;AQ117&amp;DW$1)</f>
        <v/>
      </c>
      <c r="DX117" s="43" t="str">
        <f t="shared" ref="DX117:DX119" si="1722">IF(AR117="","","|n"&amp;DX$2&amp;"+"&amp;AR117&amp;DX$1)</f>
        <v/>
      </c>
      <c r="DY117" s="43" t="str">
        <f t="shared" ref="DY117:DY119" si="1723">IF(AS117="","","|n"&amp;DY$2&amp;"+"&amp;AS117&amp;DY$1)</f>
        <v/>
      </c>
      <c r="DZ117" s="43" t="str">
        <f t="shared" ref="DZ117:DZ119" si="1724">IF(AT117="","","|n"&amp;DZ$2&amp;"+"&amp;AT117&amp;DZ$1)</f>
        <v/>
      </c>
      <c r="EA117" s="43" t="str">
        <f t="shared" ref="EA117:EA119" si="1725">IF(AU117="","","|n"&amp;EA$2&amp;"+"&amp;AU117&amp;EA$1)</f>
        <v/>
      </c>
      <c r="EB117" s="43" t="str">
        <f t="shared" ref="EB117:EB119" si="1726">IF(AV117="","","|n"&amp;EB$2&amp;"+"&amp;AV117&amp;EB$1)</f>
        <v/>
      </c>
      <c r="EC117" s="43" t="str">
        <f t="shared" ref="EC117:EC119" si="1727">IF(AW117="","","|n"&amp;EC$2&amp;"+"&amp;AW117&amp;EC$1)</f>
        <v/>
      </c>
      <c r="ED117" s="43" t="str">
        <f t="shared" ref="ED117:ED119" si="1728">IF(AX117="","","|n"&amp;ED$2&amp;"+"&amp;AX117&amp;ED$1)</f>
        <v/>
      </c>
      <c r="EE117" s="43" t="str">
        <f t="shared" ref="EE117:EE119" si="1729">IF(AY117="","","|n"&amp;EE$2&amp;"+"&amp;AY117&amp;EE$1)</f>
        <v/>
      </c>
      <c r="EF117" s="43" t="str">
        <f t="shared" ref="EF117:EF119" si="1730">IF(AZ117="","","|n"&amp;EF$2&amp;"+"&amp;AZ117&amp;EF$1)</f>
        <v/>
      </c>
      <c r="EG117" s="43" t="str">
        <f t="shared" ref="EG117:EG119" si="1731">IF(BA117="","","|n"&amp;EG$2&amp;"+"&amp;BA117&amp;EG$1)</f>
        <v/>
      </c>
      <c r="EH117" s="43" t="str">
        <f t="shared" ref="EH117:EH119" si="1732">IF(BB117="","","|n"&amp;EH$2&amp;"+"&amp;BB117&amp;EH$1)</f>
        <v/>
      </c>
      <c r="EI117" s="43" t="str">
        <f t="shared" ref="EI117:EI119" si="1733">IF(BC117="","","|n"&amp;EI$2&amp;"+"&amp;BC117&amp;EI$1)</f>
        <v/>
      </c>
      <c r="EJ117" s="43" t="str">
        <f t="shared" ref="EJ117:EJ119" si="1734">IF(BD117="","","|n"&amp;EJ$2&amp;"+"&amp;BD117&amp;EJ$1)</f>
        <v/>
      </c>
      <c r="EK117" s="43" t="str">
        <f t="shared" ref="EK117:EK119" si="1735">IF(BE117="","","|n"&amp;EK$2&amp;"+"&amp;BE117&amp;EK$1)</f>
        <v/>
      </c>
      <c r="EL117" s="43" t="str">
        <f t="shared" ref="EL117:EL119" si="1736">IF(BF117="","","|n"&amp;EL$2&amp;"+"&amp;BF117&amp;EL$1)</f>
        <v/>
      </c>
      <c r="EM117" s="43" t="str">
        <f t="shared" ref="EM117:EM119" si="1737">IF(BG117="","","|n"&amp;EM$2&amp;"+"&amp;BG117&amp;EM$1)</f>
        <v/>
      </c>
      <c r="EN117" s="43" t="str">
        <f t="shared" ref="EN117:EN119" si="1738">IF(BH117="","","|n"&amp;EN$2&amp;"+"&amp;BH117&amp;EN$1)</f>
        <v/>
      </c>
      <c r="EO117" s="43" t="str">
        <f t="shared" ref="EO117:EO119" si="1739">IF(BI117="","","|n"&amp;EO$2&amp;"+"&amp;BI117&amp;EO$1)</f>
        <v/>
      </c>
      <c r="EP117" s="43" t="str">
        <f t="shared" ref="EP117:EP119" si="1740">IF(BJ117="","","|n"&amp;EP$2&amp;"+"&amp;BJ117&amp;EP$1)</f>
        <v/>
      </c>
      <c r="EQ117" s="43" t="str">
        <f t="shared" ref="EQ117:EQ119" si="1741">IF(BK117="","","|n"&amp;EQ$2&amp;"+"&amp;BK117&amp;EQ$1)</f>
        <v/>
      </c>
      <c r="ER117" s="43" t="str">
        <f t="shared" ref="ER117:ER119" si="1742">IF(BL117="","","|n"&amp;ER$2&amp;"+"&amp;BL117&amp;ER$1)</f>
        <v/>
      </c>
      <c r="ES117" s="43" t="str">
        <f t="shared" ref="ES117:ES119" si="1743">IF(BM117="","","|n"&amp;ES$2&amp;"+"&amp;BM117&amp;ES$1)</f>
        <v/>
      </c>
      <c r="ET117" s="43" t="str">
        <f t="shared" ref="ET117:ET119" si="1744">IF(BN117="","","|n"&amp;ET$2&amp;"+"&amp;BN117&amp;ET$1)</f>
        <v/>
      </c>
      <c r="EU117" s="43" t="str">
        <f t="shared" ref="EU117:EU119" si="1745">IF(BO117="","","|n"&amp;EU$2&amp;"+"&amp;BO117&amp;EU$1)</f>
        <v/>
      </c>
      <c r="EV117" s="43" t="str">
        <f t="shared" ref="EV117:EV119" si="1746">IF(BP117="","","|n"&amp;EV$2&amp;"+"&amp;BP117&amp;EV$1)</f>
        <v/>
      </c>
      <c r="EW117" s="43" t="str">
        <f t="shared" ref="EW117:EW119" si="1747">IF(BQ117="","","|n"&amp;EW$2&amp;"+"&amp;BQ117&amp;EW$1)</f>
        <v/>
      </c>
      <c r="EX117" s="43" t="str">
        <f t="shared" ref="EX117:EX119" si="1748">IF(BR117="","","|n"&amp;EX$2&amp;"+"&amp;BR117&amp;EX$1)</f>
        <v/>
      </c>
      <c r="EY117" s="43" t="str">
        <f t="shared" ref="EY117:EY119" si="1749">IF(BS117="","","|n"&amp;EY$2&amp;"+"&amp;BS117&amp;EY$1)</f>
        <v/>
      </c>
      <c r="EZ117" s="43" t="str">
        <f t="shared" ref="EZ117:EZ119" si="1750">IF(BT117="","","|n"&amp;EZ$2&amp;"+"&amp;BT117&amp;EZ$1)</f>
        <v/>
      </c>
      <c r="FA117" s="43" t="str">
        <f t="shared" ref="FA117:FA119" si="1751">IF(BU117="","","|n"&amp;FA$2&amp;"+"&amp;BU117&amp;FA$1)</f>
        <v/>
      </c>
      <c r="FB117" s="43" t="str">
        <f t="shared" ref="FB117:FB119" si="1752">IF(BV117="","","|n"&amp;FB$2&amp;"+"&amp;BV117&amp;FB$1)</f>
        <v/>
      </c>
      <c r="FC117" s="43" t="str">
        <f t="shared" ref="FC117:FC119" si="1753">IF(BW117="","","|n"&amp;FC$2&amp;"+"&amp;BW117&amp;FC$1)</f>
        <v/>
      </c>
      <c r="FD117" s="43" t="str">
        <f t="shared" ref="FD117:FD119" si="1754">IF(BX117="","","|n"&amp;FD$2&amp;"+"&amp;BX117&amp;FD$1)</f>
        <v/>
      </c>
      <c r="FE117" s="43" t="str">
        <f t="shared" ref="FE117:FE119" si="1755">IF(BY117="","","|n"&amp;FE$2&amp;"+"&amp;BY117&amp;FE$1)</f>
        <v/>
      </c>
      <c r="FF117" s="43" t="str">
        <f t="shared" ref="FF117:FF119" si="1756">IF(BZ117="","","|n"&amp;FF$2&amp;"+"&amp;BZ117&amp;FF$1)</f>
        <v/>
      </c>
      <c r="FG117" s="43" t="str">
        <f t="shared" ref="FG117:FG119" si="1757">IF(CA117="","","|n"&amp;FG$2&amp;"+"&amp;CA117&amp;FG$1)</f>
        <v/>
      </c>
      <c r="FH117" s="43" t="str">
        <f t="shared" ref="FH117:FH119" si="1758">IF(CB117="","","|n"&amp;FH$2&amp;"+"&amp;CB117&amp;FH$1)</f>
        <v/>
      </c>
      <c r="FI117" s="43" t="str">
        <f t="shared" ref="FI117:FI119" si="1759">IF(CC117="","","|n"&amp;FI$2&amp;"+"&amp;CC117&amp;FI$1)</f>
        <v/>
      </c>
      <c r="FJ117" s="43" t="str">
        <f t="shared" ref="FJ117:FJ119" si="1760">IF(CD117="","","|n"&amp;FJ$2&amp;"+"&amp;CD117&amp;FJ$1)</f>
        <v/>
      </c>
      <c r="FK117" s="43" t="str">
        <f t="shared" ref="FK117:FK119" si="1761">IF(CE117="","","|n"&amp;FK$2&amp;"+"&amp;CE117&amp;FK$1)</f>
        <v/>
      </c>
      <c r="FL117" s="43" t="str">
        <f t="shared" ref="FL117:FL119" si="1762">IF(CF117="","","|n"&amp;FL$2&amp;"+"&amp;CF117&amp;FL$1)</f>
        <v/>
      </c>
      <c r="FM117" s="43" t="str">
        <f t="shared" ref="FM117:FM119" si="1763">IF(CG117="","","|n"&amp;FM$2&amp;"+"&amp;CG117&amp;FM$1)</f>
        <v/>
      </c>
      <c r="FN117" s="43" t="str">
        <f t="shared" ref="FN117:FN119" si="1764">IF(CH117="","","|n"&amp;FN$2&amp;"+"&amp;CH117&amp;FN$1)</f>
        <v/>
      </c>
      <c r="FO117" s="43" t="str">
        <f t="shared" ref="FO117:FO119" si="1765">IF(CI117="","","|n"&amp;FO$2&amp;"+"&amp;CI117&amp;FO$1)</f>
        <v/>
      </c>
      <c r="FP117" s="43" t="str">
        <f t="shared" ref="FP117:FP119" si="1766">IF(CJ117="","","|n"&amp;FP$2&amp;"+"&amp;CJ117&amp;FP$1)</f>
        <v/>
      </c>
      <c r="FQ117" s="43" t="str">
        <f t="shared" ref="FQ117:FQ119" si="1767">IF(CK117="","","|n"&amp;FQ$2&amp;"+"&amp;CK117&amp;FQ$1)</f>
        <v/>
      </c>
      <c r="FR117" s="43" t="str">
        <f t="shared" ref="FR117:FR119" si="1768">IF(CL117="","","|n"&amp;FR$2&amp;"+"&amp;CL117&amp;FR$1)</f>
        <v/>
      </c>
      <c r="FS117" s="43" t="str">
        <f t="shared" ref="FS117:FS119" si="1769">IF(CM117="","","|n"&amp;FS$2&amp;"+"&amp;CM117&amp;FS$1)</f>
        <v/>
      </c>
    </row>
    <row r="118" spans="1:175" ht="16.5">
      <c r="A118" s="4"/>
      <c r="B118" s="4" t="s">
        <v>395</v>
      </c>
      <c r="C118" s="4" t="s">
        <v>396</v>
      </c>
      <c r="T118" s="79" t="s">
        <v>397</v>
      </c>
      <c r="U118" s="55" t="str">
        <f t="shared" si="1549"/>
        <v>ReplaceableTextures\\CommandButtons\\BTNI005.blp</v>
      </c>
      <c r="CN118" s="12" t="str">
        <f t="shared" si="1550"/>
        <v>InitUnitState('I005',,,,,,,,,,)</v>
      </c>
      <c r="CO118" s="12" t="str">
        <f t="shared" si="1551"/>
        <v>InitUnitNormal('I005',,,,,,,,,,)</v>
      </c>
      <c r="CP118" s="12" t="str">
        <f t="shared" si="1552"/>
        <v>InitUnitMagic('I005',,,,,,,,,,)</v>
      </c>
      <c r="CQ118" s="12" t="str">
        <f t="shared" si="1553"/>
        <v>InitUnitAdd('I005',,,,,,,,,,)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173&amp;CR$1&amp;")"</f>
        <v>InitEquipData('I005',,"",,,,,'','','','','','',"ReplaceableTextures\\CommandButtons\\BTNIT02.blp")</v>
      </c>
      <c r="CU118" s="67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5" t="str">
        <f t="shared" ref="CV118" si="1771">T118</f>
        <v>物理伤害提高|Cffff800040%|r，持续15秒。</v>
      </c>
      <c r="CW118" s="6"/>
      <c r="CX118" s="6"/>
      <c r="CY118" s="6"/>
      <c r="CZ118" s="6"/>
      <c r="DA118" s="6"/>
      <c r="DB118" s="43" t="str">
        <f t="shared" ref="DB118" si="1772">IF(V118="","","|n"&amp;DB$2&amp;"+"&amp;V118&amp;DB$1)</f>
        <v/>
      </c>
      <c r="DC118" s="43" t="str">
        <f t="shared" ref="DC118" si="1773">IF(W118="","","|n"&amp;DC$2&amp;"+"&amp;W118&amp;DC$1)</f>
        <v/>
      </c>
      <c r="DD118" s="43" t="str">
        <f t="shared" ref="DD118" si="1774">IF(X118="","","|n"&amp;DD$2&amp;"+"&amp;X118&amp;DD$1)</f>
        <v/>
      </c>
      <c r="DE118" s="43" t="str">
        <f t="shared" ref="DE118" si="1775">IF(Y118="","","|n"&amp;DE$2&amp;"+"&amp;Y118&amp;DE$1)</f>
        <v/>
      </c>
      <c r="DF118" s="43" t="str">
        <f t="shared" ref="DF118" si="1776">IF(Z118="","","|n"&amp;DF$2&amp;"+"&amp;Z118&amp;DF$1)</f>
        <v/>
      </c>
      <c r="DG118" s="43" t="str">
        <f t="shared" ref="DG118" si="1777">IF(AA118="","","|n"&amp;DG$2&amp;"+"&amp;AA118&amp;DG$1)</f>
        <v/>
      </c>
      <c r="DH118" s="43" t="str">
        <f t="shared" ref="DH118" si="1778">IF(AB118="","","|n"&amp;DH$2&amp;"+"&amp;AB118&amp;DH$1)</f>
        <v/>
      </c>
      <c r="DI118" s="43" t="str">
        <f t="shared" ref="DI118" si="1779">IF(AC118="","","|n"&amp;DI$2&amp;"+"&amp;AC118&amp;DI$1)</f>
        <v/>
      </c>
      <c r="DJ118" s="43" t="str">
        <f t="shared" ref="DJ118" si="1780">IF(AD118="","","|n"&amp;DJ$2&amp;"+"&amp;AD118&amp;DJ$1)</f>
        <v/>
      </c>
      <c r="DK118" s="43" t="str">
        <f t="shared" ref="DK118" si="1781">IF(AE118="","","|n"&amp;DK$2&amp;"+"&amp;AE118&amp;DK$1)</f>
        <v/>
      </c>
      <c r="DL118" s="43" t="str">
        <f t="shared" ref="DL118" si="1782">IF(AF118="","","|n"&amp;DL$2&amp;"+"&amp;AF118&amp;DL$1)</f>
        <v/>
      </c>
      <c r="DM118" s="43" t="str">
        <f t="shared" ref="DM118" si="1783">IF(AG118="","","|n"&amp;DM$2&amp;"+"&amp;AG118&amp;DM$1)</f>
        <v/>
      </c>
      <c r="DN118" s="43" t="str">
        <f t="shared" ref="DN118" si="1784">IF(AH118="","","|n"&amp;DN$2&amp;"+"&amp;AH118&amp;DN$1)</f>
        <v/>
      </c>
      <c r="DO118" s="43" t="str">
        <f t="shared" ref="DO118" si="1785">IF(AI118="","","|n"&amp;DO$2&amp;"+"&amp;AI118&amp;DO$1)</f>
        <v/>
      </c>
      <c r="DP118" s="43" t="str">
        <f t="shared" ref="DP118" si="1786">IF(AJ118="","","|n"&amp;DP$2&amp;"+"&amp;AJ118&amp;DP$1)</f>
        <v/>
      </c>
      <c r="DQ118" s="43" t="str">
        <f t="shared" ref="DQ118" si="1787">IF(AK118="","","|n"&amp;DQ$2&amp;"+"&amp;AK118&amp;DQ$1)</f>
        <v/>
      </c>
      <c r="DR118" s="43" t="str">
        <f t="shared" ref="DR118" si="1788">IF(AL118="","","|n"&amp;DR$2&amp;"+"&amp;AL118&amp;DR$1)</f>
        <v/>
      </c>
      <c r="DS118" s="43" t="str">
        <f t="shared" ref="DS118" si="1789">IF(AM118="","","|n"&amp;DS$2&amp;"+"&amp;AM118&amp;DS$1)</f>
        <v/>
      </c>
      <c r="DT118" s="43" t="str">
        <f t="shared" ref="DT118" si="1790">IF(AN118="","","|n"&amp;DT$2&amp;"+"&amp;AN118&amp;DT$1)</f>
        <v/>
      </c>
      <c r="DU118" s="43" t="str">
        <f t="shared" ref="DU118" si="1791">IF(AO118="","","|n"&amp;DU$2&amp;"+"&amp;AO118&amp;DU$1)</f>
        <v/>
      </c>
      <c r="DV118" s="43" t="str">
        <f t="shared" ref="DV118" si="1792">IF(AP118="","","|n"&amp;DV$2&amp;"+"&amp;AP118&amp;DV$1)</f>
        <v/>
      </c>
      <c r="DW118" s="43" t="str">
        <f t="shared" ref="DW118" si="1793">IF(AQ118="","","|n"&amp;DW$2&amp;"+"&amp;AQ118&amp;DW$1)</f>
        <v/>
      </c>
      <c r="DX118" s="43" t="str">
        <f t="shared" ref="DX118" si="1794">IF(AR118="","","|n"&amp;DX$2&amp;"+"&amp;AR118&amp;DX$1)</f>
        <v/>
      </c>
      <c r="DY118" s="43" t="str">
        <f t="shared" ref="DY118" si="1795">IF(AS118="","","|n"&amp;DY$2&amp;"+"&amp;AS118&amp;DY$1)</f>
        <v/>
      </c>
      <c r="DZ118" s="43" t="str">
        <f t="shared" ref="DZ118" si="1796">IF(AT118="","","|n"&amp;DZ$2&amp;"+"&amp;AT118&amp;DZ$1)</f>
        <v/>
      </c>
      <c r="EA118" s="43" t="str">
        <f t="shared" ref="EA118" si="1797">IF(AU118="","","|n"&amp;EA$2&amp;"+"&amp;AU118&amp;EA$1)</f>
        <v/>
      </c>
      <c r="EB118" s="43" t="str">
        <f t="shared" ref="EB118" si="1798">IF(AV118="","","|n"&amp;EB$2&amp;"+"&amp;AV118&amp;EB$1)</f>
        <v/>
      </c>
      <c r="EC118" s="43" t="str">
        <f t="shared" ref="EC118" si="1799">IF(AW118="","","|n"&amp;EC$2&amp;"+"&amp;AW118&amp;EC$1)</f>
        <v/>
      </c>
      <c r="ED118" s="43" t="str">
        <f t="shared" ref="ED118" si="1800">IF(AX118="","","|n"&amp;ED$2&amp;"+"&amp;AX118&amp;ED$1)</f>
        <v/>
      </c>
      <c r="EE118" s="43" t="str">
        <f t="shared" ref="EE118" si="1801">IF(AY118="","","|n"&amp;EE$2&amp;"+"&amp;AY118&amp;EE$1)</f>
        <v/>
      </c>
      <c r="EF118" s="43" t="str">
        <f t="shared" ref="EF118" si="1802">IF(AZ118="","","|n"&amp;EF$2&amp;"+"&amp;AZ118&amp;EF$1)</f>
        <v/>
      </c>
      <c r="EG118" s="43" t="str">
        <f t="shared" ref="EG118" si="1803">IF(BA118="","","|n"&amp;EG$2&amp;"+"&amp;BA118&amp;EG$1)</f>
        <v/>
      </c>
      <c r="EH118" s="43" t="str">
        <f t="shared" ref="EH118" si="1804">IF(BB118="","","|n"&amp;EH$2&amp;"+"&amp;BB118&amp;EH$1)</f>
        <v/>
      </c>
      <c r="EI118" s="43" t="str">
        <f t="shared" ref="EI118" si="1805">IF(BC118="","","|n"&amp;EI$2&amp;"+"&amp;BC118&amp;EI$1)</f>
        <v/>
      </c>
      <c r="EJ118" s="43" t="str">
        <f t="shared" ref="EJ118" si="1806">IF(BD118="","","|n"&amp;EJ$2&amp;"+"&amp;BD118&amp;EJ$1)</f>
        <v/>
      </c>
      <c r="EK118" s="43" t="str">
        <f t="shared" ref="EK118" si="1807">IF(BE118="","","|n"&amp;EK$2&amp;"+"&amp;BE118&amp;EK$1)</f>
        <v/>
      </c>
      <c r="EL118" s="43" t="str">
        <f t="shared" ref="EL118" si="1808">IF(BF118="","","|n"&amp;EL$2&amp;"+"&amp;BF118&amp;EL$1)</f>
        <v/>
      </c>
      <c r="EM118" s="43" t="str">
        <f t="shared" ref="EM118" si="1809">IF(BG118="","","|n"&amp;EM$2&amp;"+"&amp;BG118&amp;EM$1)</f>
        <v/>
      </c>
      <c r="EN118" s="43" t="str">
        <f t="shared" ref="EN118" si="1810">IF(BH118="","","|n"&amp;EN$2&amp;"+"&amp;BH118&amp;EN$1)</f>
        <v/>
      </c>
      <c r="EO118" s="43" t="str">
        <f t="shared" ref="EO118" si="1811">IF(BI118="","","|n"&amp;EO$2&amp;"+"&amp;BI118&amp;EO$1)</f>
        <v/>
      </c>
      <c r="EP118" s="43" t="str">
        <f t="shared" ref="EP118" si="1812">IF(BJ118="","","|n"&amp;EP$2&amp;"+"&amp;BJ118&amp;EP$1)</f>
        <v/>
      </c>
      <c r="EQ118" s="43" t="str">
        <f t="shared" ref="EQ118" si="1813">IF(BK118="","","|n"&amp;EQ$2&amp;"+"&amp;BK118&amp;EQ$1)</f>
        <v/>
      </c>
      <c r="ER118" s="43" t="str">
        <f t="shared" ref="ER118" si="1814">IF(BL118="","","|n"&amp;ER$2&amp;"+"&amp;BL118&amp;ER$1)</f>
        <v/>
      </c>
      <c r="ES118" s="43" t="str">
        <f t="shared" ref="ES118" si="1815">IF(BM118="","","|n"&amp;ES$2&amp;"+"&amp;BM118&amp;ES$1)</f>
        <v/>
      </c>
      <c r="ET118" s="43" t="str">
        <f t="shared" ref="ET118" si="1816">IF(BN118="","","|n"&amp;ET$2&amp;"+"&amp;BN118&amp;ET$1)</f>
        <v/>
      </c>
      <c r="EU118" s="43" t="str">
        <f t="shared" ref="EU118" si="1817">IF(BO118="","","|n"&amp;EU$2&amp;"+"&amp;BO118&amp;EU$1)</f>
        <v/>
      </c>
      <c r="EV118" s="43" t="str">
        <f t="shared" ref="EV118" si="1818">IF(BP118="","","|n"&amp;EV$2&amp;"+"&amp;BP118&amp;EV$1)</f>
        <v/>
      </c>
      <c r="EW118" s="43" t="str">
        <f t="shared" ref="EW118" si="1819">IF(BQ118="","","|n"&amp;EW$2&amp;"+"&amp;BQ118&amp;EW$1)</f>
        <v/>
      </c>
      <c r="EX118" s="43" t="str">
        <f t="shared" ref="EX118" si="1820">IF(BR118="","","|n"&amp;EX$2&amp;"+"&amp;BR118&amp;EX$1)</f>
        <v/>
      </c>
      <c r="EY118" s="43" t="str">
        <f t="shared" ref="EY118" si="1821">IF(BS118="","","|n"&amp;EY$2&amp;"+"&amp;BS118&amp;EY$1)</f>
        <v/>
      </c>
      <c r="EZ118" s="43" t="str">
        <f t="shared" ref="EZ118" si="1822">IF(BT118="","","|n"&amp;EZ$2&amp;"+"&amp;BT118&amp;EZ$1)</f>
        <v/>
      </c>
      <c r="FA118" s="43" t="str">
        <f t="shared" ref="FA118" si="1823">IF(BU118="","","|n"&amp;FA$2&amp;"+"&amp;BU118&amp;FA$1)</f>
        <v/>
      </c>
      <c r="FB118" s="43" t="str">
        <f t="shared" ref="FB118" si="1824">IF(BV118="","","|n"&amp;FB$2&amp;"+"&amp;BV118&amp;FB$1)</f>
        <v/>
      </c>
      <c r="FC118" s="43" t="str">
        <f t="shared" ref="FC118" si="1825">IF(BW118="","","|n"&amp;FC$2&amp;"+"&amp;BW118&amp;FC$1)</f>
        <v/>
      </c>
      <c r="FD118" s="43" t="str">
        <f t="shared" ref="FD118" si="1826">IF(BX118="","","|n"&amp;FD$2&amp;"+"&amp;BX118&amp;FD$1)</f>
        <v/>
      </c>
      <c r="FE118" s="43" t="str">
        <f t="shared" ref="FE118" si="1827">IF(BY118="","","|n"&amp;FE$2&amp;"+"&amp;BY118&amp;FE$1)</f>
        <v/>
      </c>
      <c r="FF118" s="43" t="str">
        <f t="shared" ref="FF118" si="1828">IF(BZ118="","","|n"&amp;FF$2&amp;"+"&amp;BZ118&amp;FF$1)</f>
        <v/>
      </c>
      <c r="FG118" s="43" t="str">
        <f t="shared" ref="FG118" si="1829">IF(CA118="","","|n"&amp;FG$2&amp;"+"&amp;CA118&amp;FG$1)</f>
        <v/>
      </c>
      <c r="FH118" s="43" t="str">
        <f t="shared" ref="FH118" si="1830">IF(CB118="","","|n"&amp;FH$2&amp;"+"&amp;CB118&amp;FH$1)</f>
        <v/>
      </c>
      <c r="FI118" s="43" t="str">
        <f t="shared" ref="FI118" si="1831">IF(CC118="","","|n"&amp;FI$2&amp;"+"&amp;CC118&amp;FI$1)</f>
        <v/>
      </c>
      <c r="FJ118" s="43" t="str">
        <f t="shared" ref="FJ118" si="1832">IF(CD118="","","|n"&amp;FJ$2&amp;"+"&amp;CD118&amp;FJ$1)</f>
        <v/>
      </c>
      <c r="FK118" s="43" t="str">
        <f t="shared" ref="FK118" si="1833">IF(CE118="","","|n"&amp;FK$2&amp;"+"&amp;CE118&amp;FK$1)</f>
        <v/>
      </c>
      <c r="FL118" s="43" t="str">
        <f t="shared" ref="FL118" si="1834">IF(CF118="","","|n"&amp;FL$2&amp;"+"&amp;CF118&amp;FL$1)</f>
        <v/>
      </c>
      <c r="FM118" s="43" t="str">
        <f t="shared" ref="FM118" si="1835">IF(CG118="","","|n"&amp;FM$2&amp;"+"&amp;CG118&amp;FM$1)</f>
        <v/>
      </c>
      <c r="FN118" s="43" t="str">
        <f t="shared" ref="FN118" si="1836">IF(CH118="","","|n"&amp;FN$2&amp;"+"&amp;CH118&amp;FN$1)</f>
        <v/>
      </c>
      <c r="FO118" s="43" t="str">
        <f t="shared" ref="FO118" si="1837">IF(CI118="","","|n"&amp;FO$2&amp;"+"&amp;CI118&amp;FO$1)</f>
        <v/>
      </c>
      <c r="FP118" s="43" t="str">
        <f t="shared" ref="FP118" si="1838">IF(CJ118="","","|n"&amp;FP$2&amp;"+"&amp;CJ118&amp;FP$1)</f>
        <v/>
      </c>
      <c r="FQ118" s="43" t="str">
        <f t="shared" ref="FQ118" si="1839">IF(CK118="","","|n"&amp;FQ$2&amp;"+"&amp;CK118&amp;FQ$1)</f>
        <v/>
      </c>
      <c r="FR118" s="43" t="str">
        <f t="shared" ref="FR118" si="1840">IF(CL118="","","|n"&amp;FR$2&amp;"+"&amp;CL118&amp;FR$1)</f>
        <v/>
      </c>
      <c r="FS118" s="43" t="str">
        <f t="shared" ref="FS118" si="1841">IF(CM118="","","|n"&amp;FS$2&amp;"+"&amp;CM118&amp;FS$1)</f>
        <v/>
      </c>
    </row>
    <row r="119" spans="1:175" ht="54">
      <c r="A119" s="4"/>
      <c r="B119" s="4" t="s">
        <v>398</v>
      </c>
      <c r="C119" s="4" t="s">
        <v>399</v>
      </c>
      <c r="T119" s="78" t="s">
        <v>400</v>
      </c>
      <c r="U119" s="55" t="str">
        <f t="shared" si="1549"/>
        <v>ReplaceableTextures\\CommandButtons\\BTNI011.blp</v>
      </c>
      <c r="CN119" s="12" t="str">
        <f t="shared" si="1550"/>
        <v>InitUnitState('I011',,,,,,,,,,)</v>
      </c>
      <c r="CO119" s="12" t="str">
        <f t="shared" si="1551"/>
        <v>InitUnitNormal('I011',,,,,,,,,,)</v>
      </c>
      <c r="CP119" s="12" t="str">
        <f t="shared" si="1552"/>
        <v>InitUnitMagic('I011',,,,,,,,,,)</v>
      </c>
      <c r="CQ119" s="12" t="str">
        <f t="shared" si="1553"/>
        <v>InitUnitAdd('I011',,,,,,,,,,)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173&amp;CR$1&amp;")"</f>
        <v>InitEquipData('I011',,"",,,,,'','','','','','',"ReplaceableTextures\\CommandButtons\\BTNIT02.blp")</v>
      </c>
      <c r="CU119" s="67" t="str">
        <f t="shared" si="1698"/>
        <v>|n</v>
      </c>
      <c r="CV119" s="5" t="str">
        <f t="shared" si="1699"/>
        <v>击杀|Cffffd24d600|r只怪物后可获得：|n|n|Cffffd24d金币：|r|n5556|n|n|Cffffd24d攻击和法强：|r|n598~998</v>
      </c>
      <c r="CW119" s="6"/>
      <c r="CX119" s="6"/>
      <c r="CY119" s="6"/>
      <c r="CZ119" s="6"/>
      <c r="DA119" s="6"/>
      <c r="DB119" s="43" t="str">
        <f t="shared" si="1700"/>
        <v/>
      </c>
      <c r="DC119" s="43" t="str">
        <f t="shared" si="1701"/>
        <v/>
      </c>
      <c r="DD119" s="43" t="str">
        <f t="shared" si="1702"/>
        <v/>
      </c>
      <c r="DE119" s="43" t="str">
        <f t="shared" si="1703"/>
        <v/>
      </c>
      <c r="DF119" s="43" t="str">
        <f t="shared" si="1704"/>
        <v/>
      </c>
      <c r="DG119" s="43" t="str">
        <f t="shared" si="1705"/>
        <v/>
      </c>
      <c r="DH119" s="43" t="str">
        <f t="shared" si="1706"/>
        <v/>
      </c>
      <c r="DI119" s="43" t="str">
        <f t="shared" si="1707"/>
        <v/>
      </c>
      <c r="DJ119" s="43" t="str">
        <f t="shared" si="1708"/>
        <v/>
      </c>
      <c r="DK119" s="43" t="str">
        <f t="shared" si="1709"/>
        <v/>
      </c>
      <c r="DL119" s="43" t="str">
        <f t="shared" si="1710"/>
        <v/>
      </c>
      <c r="DM119" s="43" t="str">
        <f t="shared" si="1711"/>
        <v/>
      </c>
      <c r="DN119" s="43" t="str">
        <f t="shared" si="1712"/>
        <v/>
      </c>
      <c r="DO119" s="43" t="str">
        <f t="shared" si="1713"/>
        <v/>
      </c>
      <c r="DP119" s="43" t="str">
        <f t="shared" si="1714"/>
        <v/>
      </c>
      <c r="DQ119" s="43" t="str">
        <f t="shared" si="1715"/>
        <v/>
      </c>
      <c r="DR119" s="43" t="str">
        <f t="shared" si="1716"/>
        <v/>
      </c>
      <c r="DS119" s="43" t="str">
        <f t="shared" si="1717"/>
        <v/>
      </c>
      <c r="DT119" s="43" t="str">
        <f t="shared" si="1718"/>
        <v/>
      </c>
      <c r="DU119" s="43" t="str">
        <f t="shared" si="1719"/>
        <v/>
      </c>
      <c r="DV119" s="43" t="str">
        <f t="shared" si="1720"/>
        <v/>
      </c>
      <c r="DW119" s="43" t="str">
        <f t="shared" si="1721"/>
        <v/>
      </c>
      <c r="DX119" s="43" t="str">
        <f t="shared" si="1722"/>
        <v/>
      </c>
      <c r="DY119" s="43" t="str">
        <f t="shared" si="1723"/>
        <v/>
      </c>
      <c r="DZ119" s="43" t="str">
        <f t="shared" si="1724"/>
        <v/>
      </c>
      <c r="EA119" s="43" t="str">
        <f t="shared" si="1725"/>
        <v/>
      </c>
      <c r="EB119" s="43" t="str">
        <f t="shared" si="1726"/>
        <v/>
      </c>
      <c r="EC119" s="43" t="str">
        <f t="shared" si="1727"/>
        <v/>
      </c>
      <c r="ED119" s="43" t="str">
        <f t="shared" si="1728"/>
        <v/>
      </c>
      <c r="EE119" s="43" t="str">
        <f t="shared" si="1729"/>
        <v/>
      </c>
      <c r="EF119" s="43" t="str">
        <f t="shared" si="1730"/>
        <v/>
      </c>
      <c r="EG119" s="43" t="str">
        <f t="shared" si="1731"/>
        <v/>
      </c>
      <c r="EH119" s="43" t="str">
        <f t="shared" si="1732"/>
        <v/>
      </c>
      <c r="EI119" s="43" t="str">
        <f t="shared" si="1733"/>
        <v/>
      </c>
      <c r="EJ119" s="43" t="str">
        <f t="shared" si="1734"/>
        <v/>
      </c>
      <c r="EK119" s="43" t="str">
        <f t="shared" si="1735"/>
        <v/>
      </c>
      <c r="EL119" s="43" t="str">
        <f t="shared" si="1736"/>
        <v/>
      </c>
      <c r="EM119" s="43" t="str">
        <f t="shared" si="1737"/>
        <v/>
      </c>
      <c r="EN119" s="43" t="str">
        <f t="shared" si="1738"/>
        <v/>
      </c>
      <c r="EO119" s="43" t="str">
        <f t="shared" si="1739"/>
        <v/>
      </c>
      <c r="EP119" s="43" t="str">
        <f t="shared" si="1740"/>
        <v/>
      </c>
      <c r="EQ119" s="43" t="str">
        <f t="shared" si="1741"/>
        <v/>
      </c>
      <c r="ER119" s="43" t="str">
        <f t="shared" si="1742"/>
        <v/>
      </c>
      <c r="ES119" s="43" t="str">
        <f t="shared" si="1743"/>
        <v/>
      </c>
      <c r="ET119" s="43" t="str">
        <f t="shared" si="1744"/>
        <v/>
      </c>
      <c r="EU119" s="43" t="str">
        <f t="shared" si="1745"/>
        <v/>
      </c>
      <c r="EV119" s="43" t="str">
        <f t="shared" si="1746"/>
        <v/>
      </c>
      <c r="EW119" s="43" t="str">
        <f t="shared" si="1747"/>
        <v/>
      </c>
      <c r="EX119" s="43" t="str">
        <f t="shared" si="1748"/>
        <v/>
      </c>
      <c r="EY119" s="43" t="str">
        <f t="shared" si="1749"/>
        <v/>
      </c>
      <c r="EZ119" s="43" t="str">
        <f t="shared" si="1750"/>
        <v/>
      </c>
      <c r="FA119" s="43" t="str">
        <f t="shared" si="1751"/>
        <v/>
      </c>
      <c r="FB119" s="43" t="str">
        <f t="shared" si="1752"/>
        <v/>
      </c>
      <c r="FC119" s="43" t="str">
        <f t="shared" si="1753"/>
        <v/>
      </c>
      <c r="FD119" s="43" t="str">
        <f t="shared" si="1754"/>
        <v/>
      </c>
      <c r="FE119" s="43" t="str">
        <f t="shared" si="1755"/>
        <v/>
      </c>
      <c r="FF119" s="43" t="str">
        <f t="shared" si="1756"/>
        <v/>
      </c>
      <c r="FG119" s="43" t="str">
        <f t="shared" si="1757"/>
        <v/>
      </c>
      <c r="FH119" s="43" t="str">
        <f t="shared" si="1758"/>
        <v/>
      </c>
      <c r="FI119" s="43" t="str">
        <f t="shared" si="1759"/>
        <v/>
      </c>
      <c r="FJ119" s="43" t="str">
        <f t="shared" si="1760"/>
        <v/>
      </c>
      <c r="FK119" s="43" t="str">
        <f t="shared" si="1761"/>
        <v/>
      </c>
      <c r="FL119" s="43" t="str">
        <f t="shared" si="1762"/>
        <v/>
      </c>
      <c r="FM119" s="43" t="str">
        <f t="shared" si="1763"/>
        <v/>
      </c>
      <c r="FN119" s="43" t="str">
        <f t="shared" si="1764"/>
        <v/>
      </c>
      <c r="FO119" s="43" t="str">
        <f t="shared" si="1765"/>
        <v/>
      </c>
      <c r="FP119" s="43" t="str">
        <f t="shared" si="1766"/>
        <v/>
      </c>
      <c r="FQ119" s="43" t="str">
        <f t="shared" si="1767"/>
        <v/>
      </c>
      <c r="FR119" s="43" t="str">
        <f t="shared" si="1768"/>
        <v/>
      </c>
      <c r="FS119" s="43" t="str">
        <f t="shared" si="1769"/>
        <v/>
      </c>
    </row>
    <row r="120" spans="1:175" ht="54">
      <c r="A120" s="4"/>
      <c r="B120" s="4" t="s">
        <v>401</v>
      </c>
      <c r="C120" s="4" t="s">
        <v>402</v>
      </c>
      <c r="T120" s="78" t="s">
        <v>403</v>
      </c>
      <c r="U120" s="55" t="str">
        <f t="shared" si="1549"/>
        <v>ReplaceableTextures\\CommandButtons\\BTNI012.blp</v>
      </c>
      <c r="CN120" s="12" t="str">
        <f t="shared" si="1550"/>
        <v>InitUnitState('I012',,,,,,,,,,)</v>
      </c>
      <c r="CO120" s="12" t="str">
        <f t="shared" si="1551"/>
        <v>InitUnitNormal('I012',,,,,,,,,,)</v>
      </c>
      <c r="CP120" s="12" t="str">
        <f t="shared" si="1552"/>
        <v>InitUnitMagic('I012',,,,,,,,,,)</v>
      </c>
      <c r="CQ120" s="12" t="str">
        <f t="shared" si="1553"/>
        <v>InitUnitAdd('I012',,,,,,,,,,)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174&amp;CR$1&amp;")"</f>
        <v>InitEquipData('I012',,"",,,,,'','','','','','',"ReplaceableTextures\\CommandButtons\\BTNIT03.blp")</v>
      </c>
      <c r="CU120" s="67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5" t="str">
        <f t="shared" ref="CV120:CV121" si="1843">T120</f>
        <v>击杀|Cffffd24d600|r只怪物后可获得：|n|n|Cffffd24d金币：|r|n30769|n|n|Cffffd24d攻击和法强：|r|n2100~3500</v>
      </c>
      <c r="CW120" s="6"/>
      <c r="CX120" s="6"/>
      <c r="CY120" s="6"/>
      <c r="CZ120" s="6"/>
      <c r="DA120" s="6"/>
      <c r="DB120" s="43" t="str">
        <f t="shared" ref="DB120:DB121" si="1844">IF(V120="","","|n"&amp;DB$2&amp;"+"&amp;V120&amp;DB$1)</f>
        <v/>
      </c>
      <c r="DC120" s="43" t="str">
        <f t="shared" ref="DC120:DC121" si="1845">IF(W120="","","|n"&amp;DC$2&amp;"+"&amp;W120&amp;DC$1)</f>
        <v/>
      </c>
      <c r="DD120" s="43" t="str">
        <f t="shared" ref="DD120:DD121" si="1846">IF(X120="","","|n"&amp;DD$2&amp;"+"&amp;X120&amp;DD$1)</f>
        <v/>
      </c>
      <c r="DE120" s="43" t="str">
        <f t="shared" ref="DE120:DE121" si="1847">IF(Y120="","","|n"&amp;DE$2&amp;"+"&amp;Y120&amp;DE$1)</f>
        <v/>
      </c>
      <c r="DF120" s="43" t="str">
        <f t="shared" ref="DF120:DF121" si="1848">IF(Z120="","","|n"&amp;DF$2&amp;"+"&amp;Z120&amp;DF$1)</f>
        <v/>
      </c>
      <c r="DG120" s="43" t="str">
        <f t="shared" ref="DG120:DG121" si="1849">IF(AA120="","","|n"&amp;DG$2&amp;"+"&amp;AA120&amp;DG$1)</f>
        <v/>
      </c>
      <c r="DH120" s="43" t="str">
        <f t="shared" ref="DH120:DH121" si="1850">IF(AB120="","","|n"&amp;DH$2&amp;"+"&amp;AB120&amp;DH$1)</f>
        <v/>
      </c>
      <c r="DI120" s="43" t="str">
        <f t="shared" ref="DI120:DI121" si="1851">IF(AC120="","","|n"&amp;DI$2&amp;"+"&amp;AC120&amp;DI$1)</f>
        <v/>
      </c>
      <c r="DJ120" s="43" t="str">
        <f t="shared" ref="DJ120:DJ121" si="1852">IF(AD120="","","|n"&amp;DJ$2&amp;"+"&amp;AD120&amp;DJ$1)</f>
        <v/>
      </c>
      <c r="DK120" s="43" t="str">
        <f t="shared" ref="DK120:DK121" si="1853">IF(AE120="","","|n"&amp;DK$2&amp;"+"&amp;AE120&amp;DK$1)</f>
        <v/>
      </c>
      <c r="DL120" s="43" t="str">
        <f t="shared" ref="DL120:DL121" si="1854">IF(AF120="","","|n"&amp;DL$2&amp;"+"&amp;AF120&amp;DL$1)</f>
        <v/>
      </c>
      <c r="DM120" s="43" t="str">
        <f t="shared" ref="DM120:DM121" si="1855">IF(AG120="","","|n"&amp;DM$2&amp;"+"&amp;AG120&amp;DM$1)</f>
        <v/>
      </c>
      <c r="DN120" s="43" t="str">
        <f t="shared" ref="DN120:DN121" si="1856">IF(AH120="","","|n"&amp;DN$2&amp;"+"&amp;AH120&amp;DN$1)</f>
        <v/>
      </c>
      <c r="DO120" s="43" t="str">
        <f t="shared" ref="DO120:DO121" si="1857">IF(AI120="","","|n"&amp;DO$2&amp;"+"&amp;AI120&amp;DO$1)</f>
        <v/>
      </c>
      <c r="DP120" s="43" t="str">
        <f t="shared" ref="DP120:DP121" si="1858">IF(AJ120="","","|n"&amp;DP$2&amp;"+"&amp;AJ120&amp;DP$1)</f>
        <v/>
      </c>
      <c r="DQ120" s="43" t="str">
        <f t="shared" ref="DQ120:DQ121" si="1859">IF(AK120="","","|n"&amp;DQ$2&amp;"+"&amp;AK120&amp;DQ$1)</f>
        <v/>
      </c>
      <c r="DR120" s="43" t="str">
        <f t="shared" ref="DR120:DR121" si="1860">IF(AL120="","","|n"&amp;DR$2&amp;"+"&amp;AL120&amp;DR$1)</f>
        <v/>
      </c>
      <c r="DS120" s="43" t="str">
        <f t="shared" ref="DS120:DS121" si="1861">IF(AM120="","","|n"&amp;DS$2&amp;"+"&amp;AM120&amp;DS$1)</f>
        <v/>
      </c>
      <c r="DT120" s="43" t="str">
        <f t="shared" ref="DT120:DT121" si="1862">IF(AN120="","","|n"&amp;DT$2&amp;"+"&amp;AN120&amp;DT$1)</f>
        <v/>
      </c>
      <c r="DU120" s="43" t="str">
        <f t="shared" ref="DU120:DU121" si="1863">IF(AO120="","","|n"&amp;DU$2&amp;"+"&amp;AO120&amp;DU$1)</f>
        <v/>
      </c>
      <c r="DV120" s="43" t="str">
        <f t="shared" ref="DV120:DV121" si="1864">IF(AP120="","","|n"&amp;DV$2&amp;"+"&amp;AP120&amp;DV$1)</f>
        <v/>
      </c>
      <c r="DW120" s="43" t="str">
        <f t="shared" ref="DW120:DW121" si="1865">IF(AQ120="","","|n"&amp;DW$2&amp;"+"&amp;AQ120&amp;DW$1)</f>
        <v/>
      </c>
      <c r="DX120" s="43" t="str">
        <f t="shared" ref="DX120:DX121" si="1866">IF(AR120="","","|n"&amp;DX$2&amp;"+"&amp;AR120&amp;DX$1)</f>
        <v/>
      </c>
      <c r="DY120" s="43" t="str">
        <f t="shared" ref="DY120:DY121" si="1867">IF(AS120="","","|n"&amp;DY$2&amp;"+"&amp;AS120&amp;DY$1)</f>
        <v/>
      </c>
      <c r="DZ120" s="43" t="str">
        <f t="shared" ref="DZ120:DZ121" si="1868">IF(AT120="","","|n"&amp;DZ$2&amp;"+"&amp;AT120&amp;DZ$1)</f>
        <v/>
      </c>
      <c r="EA120" s="43" t="str">
        <f t="shared" ref="EA120:EA121" si="1869">IF(AU120="","","|n"&amp;EA$2&amp;"+"&amp;AU120&amp;EA$1)</f>
        <v/>
      </c>
      <c r="EB120" s="43" t="str">
        <f t="shared" ref="EB120:EB121" si="1870">IF(AV120="","","|n"&amp;EB$2&amp;"+"&amp;AV120&amp;EB$1)</f>
        <v/>
      </c>
      <c r="EC120" s="43" t="str">
        <f t="shared" ref="EC120:EC121" si="1871">IF(AW120="","","|n"&amp;EC$2&amp;"+"&amp;AW120&amp;EC$1)</f>
        <v/>
      </c>
      <c r="ED120" s="43" t="str">
        <f t="shared" ref="ED120:ED121" si="1872">IF(AX120="","","|n"&amp;ED$2&amp;"+"&amp;AX120&amp;ED$1)</f>
        <v/>
      </c>
      <c r="EE120" s="43" t="str">
        <f t="shared" ref="EE120:EE121" si="1873">IF(AY120="","","|n"&amp;EE$2&amp;"+"&amp;AY120&amp;EE$1)</f>
        <v/>
      </c>
      <c r="EF120" s="43" t="str">
        <f t="shared" ref="EF120:EF121" si="1874">IF(AZ120="","","|n"&amp;EF$2&amp;"+"&amp;AZ120&amp;EF$1)</f>
        <v/>
      </c>
      <c r="EG120" s="43" t="str">
        <f t="shared" ref="EG120:EG121" si="1875">IF(BA120="","","|n"&amp;EG$2&amp;"+"&amp;BA120&amp;EG$1)</f>
        <v/>
      </c>
      <c r="EH120" s="43" t="str">
        <f t="shared" ref="EH120:EH121" si="1876">IF(BB120="","","|n"&amp;EH$2&amp;"+"&amp;BB120&amp;EH$1)</f>
        <v/>
      </c>
      <c r="EI120" s="43" t="str">
        <f t="shared" ref="EI120:EI121" si="1877">IF(BC120="","","|n"&amp;EI$2&amp;"+"&amp;BC120&amp;EI$1)</f>
        <v/>
      </c>
      <c r="EJ120" s="43" t="str">
        <f t="shared" ref="EJ120:EJ121" si="1878">IF(BD120="","","|n"&amp;EJ$2&amp;"+"&amp;BD120&amp;EJ$1)</f>
        <v/>
      </c>
      <c r="EK120" s="43" t="str">
        <f t="shared" ref="EK120:EK121" si="1879">IF(BE120="","","|n"&amp;EK$2&amp;"+"&amp;BE120&amp;EK$1)</f>
        <v/>
      </c>
      <c r="EL120" s="43" t="str">
        <f t="shared" ref="EL120:EL121" si="1880">IF(BF120="","","|n"&amp;EL$2&amp;"+"&amp;BF120&amp;EL$1)</f>
        <v/>
      </c>
      <c r="EM120" s="43" t="str">
        <f t="shared" ref="EM120:EM121" si="1881">IF(BG120="","","|n"&amp;EM$2&amp;"+"&amp;BG120&amp;EM$1)</f>
        <v/>
      </c>
      <c r="EN120" s="43" t="str">
        <f t="shared" ref="EN120:EN121" si="1882">IF(BH120="","","|n"&amp;EN$2&amp;"+"&amp;BH120&amp;EN$1)</f>
        <v/>
      </c>
      <c r="EO120" s="43" t="str">
        <f t="shared" ref="EO120:EO121" si="1883">IF(BI120="","","|n"&amp;EO$2&amp;"+"&amp;BI120&amp;EO$1)</f>
        <v/>
      </c>
      <c r="EP120" s="43" t="str">
        <f t="shared" ref="EP120:EP121" si="1884">IF(BJ120="","","|n"&amp;EP$2&amp;"+"&amp;BJ120&amp;EP$1)</f>
        <v/>
      </c>
      <c r="EQ120" s="43" t="str">
        <f t="shared" ref="EQ120:EQ121" si="1885">IF(BK120="","","|n"&amp;EQ$2&amp;"+"&amp;BK120&amp;EQ$1)</f>
        <v/>
      </c>
      <c r="ER120" s="43" t="str">
        <f t="shared" ref="ER120:ER121" si="1886">IF(BL120="","","|n"&amp;ER$2&amp;"+"&amp;BL120&amp;ER$1)</f>
        <v/>
      </c>
      <c r="ES120" s="43" t="str">
        <f t="shared" ref="ES120:ES121" si="1887">IF(BM120="","","|n"&amp;ES$2&amp;"+"&amp;BM120&amp;ES$1)</f>
        <v/>
      </c>
      <c r="ET120" s="43" t="str">
        <f t="shared" ref="ET120:ET121" si="1888">IF(BN120="","","|n"&amp;ET$2&amp;"+"&amp;BN120&amp;ET$1)</f>
        <v/>
      </c>
      <c r="EU120" s="43" t="str">
        <f t="shared" ref="EU120:EU121" si="1889">IF(BO120="","","|n"&amp;EU$2&amp;"+"&amp;BO120&amp;EU$1)</f>
        <v/>
      </c>
      <c r="EV120" s="43" t="str">
        <f t="shared" ref="EV120:EV121" si="1890">IF(BP120="","","|n"&amp;EV$2&amp;"+"&amp;BP120&amp;EV$1)</f>
        <v/>
      </c>
      <c r="EW120" s="43" t="str">
        <f t="shared" ref="EW120:EW121" si="1891">IF(BQ120="","","|n"&amp;EW$2&amp;"+"&amp;BQ120&amp;EW$1)</f>
        <v/>
      </c>
      <c r="EX120" s="43" t="str">
        <f t="shared" ref="EX120:EX121" si="1892">IF(BR120="","","|n"&amp;EX$2&amp;"+"&amp;BR120&amp;EX$1)</f>
        <v/>
      </c>
      <c r="EY120" s="43" t="str">
        <f t="shared" ref="EY120:EY121" si="1893">IF(BS120="","","|n"&amp;EY$2&amp;"+"&amp;BS120&amp;EY$1)</f>
        <v/>
      </c>
      <c r="EZ120" s="43" t="str">
        <f t="shared" ref="EZ120:EZ121" si="1894">IF(BT120="","","|n"&amp;EZ$2&amp;"+"&amp;BT120&amp;EZ$1)</f>
        <v/>
      </c>
      <c r="FA120" s="43" t="str">
        <f t="shared" ref="FA120:FA121" si="1895">IF(BU120="","","|n"&amp;FA$2&amp;"+"&amp;BU120&amp;FA$1)</f>
        <v/>
      </c>
      <c r="FB120" s="43" t="str">
        <f t="shared" ref="FB120:FB121" si="1896">IF(BV120="","","|n"&amp;FB$2&amp;"+"&amp;BV120&amp;FB$1)</f>
        <v/>
      </c>
      <c r="FC120" s="43" t="str">
        <f t="shared" ref="FC120:FC121" si="1897">IF(BW120="","","|n"&amp;FC$2&amp;"+"&amp;BW120&amp;FC$1)</f>
        <v/>
      </c>
      <c r="FD120" s="43" t="str">
        <f t="shared" ref="FD120:FD121" si="1898">IF(BX120="","","|n"&amp;FD$2&amp;"+"&amp;BX120&amp;FD$1)</f>
        <v/>
      </c>
      <c r="FE120" s="43" t="str">
        <f t="shared" ref="FE120:FE121" si="1899">IF(BY120="","","|n"&amp;FE$2&amp;"+"&amp;BY120&amp;FE$1)</f>
        <v/>
      </c>
      <c r="FF120" s="43" t="str">
        <f t="shared" ref="FF120:FF121" si="1900">IF(BZ120="","","|n"&amp;FF$2&amp;"+"&amp;BZ120&amp;FF$1)</f>
        <v/>
      </c>
      <c r="FG120" s="43" t="str">
        <f t="shared" ref="FG120:FG121" si="1901">IF(CA120="","","|n"&amp;FG$2&amp;"+"&amp;CA120&amp;FG$1)</f>
        <v/>
      </c>
      <c r="FH120" s="43" t="str">
        <f t="shared" ref="FH120:FH121" si="1902">IF(CB120="","","|n"&amp;FH$2&amp;"+"&amp;CB120&amp;FH$1)</f>
        <v/>
      </c>
      <c r="FI120" s="43" t="str">
        <f t="shared" ref="FI120:FI121" si="1903">IF(CC120="","","|n"&amp;FI$2&amp;"+"&amp;CC120&amp;FI$1)</f>
        <v/>
      </c>
      <c r="FJ120" s="43" t="str">
        <f t="shared" ref="FJ120:FJ121" si="1904">IF(CD120="","","|n"&amp;FJ$2&amp;"+"&amp;CD120&amp;FJ$1)</f>
        <v/>
      </c>
      <c r="FK120" s="43" t="str">
        <f t="shared" ref="FK120:FK121" si="1905">IF(CE120="","","|n"&amp;FK$2&amp;"+"&amp;CE120&amp;FK$1)</f>
        <v/>
      </c>
      <c r="FL120" s="43" t="str">
        <f t="shared" ref="FL120:FL121" si="1906">IF(CF120="","","|n"&amp;FL$2&amp;"+"&amp;CF120&amp;FL$1)</f>
        <v/>
      </c>
      <c r="FM120" s="43" t="str">
        <f t="shared" ref="FM120:FM121" si="1907">IF(CG120="","","|n"&amp;FM$2&amp;"+"&amp;CG120&amp;FM$1)</f>
        <v/>
      </c>
      <c r="FN120" s="43" t="str">
        <f t="shared" ref="FN120:FN121" si="1908">IF(CH120="","","|n"&amp;FN$2&amp;"+"&amp;CH120&amp;FN$1)</f>
        <v/>
      </c>
      <c r="FO120" s="43" t="str">
        <f t="shared" ref="FO120:FO121" si="1909">IF(CI120="","","|n"&amp;FO$2&amp;"+"&amp;CI120&amp;FO$1)</f>
        <v/>
      </c>
      <c r="FP120" s="43" t="str">
        <f t="shared" ref="FP120:FP121" si="1910">IF(CJ120="","","|n"&amp;FP$2&amp;"+"&amp;CJ120&amp;FP$1)</f>
        <v/>
      </c>
      <c r="FQ120" s="43" t="str">
        <f t="shared" ref="FQ120:FQ121" si="1911">IF(CK120="","","|n"&amp;FQ$2&amp;"+"&amp;CK120&amp;FQ$1)</f>
        <v/>
      </c>
      <c r="FR120" s="43" t="str">
        <f t="shared" ref="FR120:FR121" si="1912">IF(CL120="","","|n"&amp;FR$2&amp;"+"&amp;CL120&amp;FR$1)</f>
        <v/>
      </c>
      <c r="FS120" s="43" t="str">
        <f t="shared" ref="FS120:FS121" si="1913">IF(CM120="","","|n"&amp;FS$2&amp;"+"&amp;CM120&amp;FS$1)</f>
        <v/>
      </c>
    </row>
    <row r="121" spans="1:175" ht="54">
      <c r="A121" s="4"/>
      <c r="B121" s="4" t="s">
        <v>404</v>
      </c>
      <c r="C121" s="4" t="s">
        <v>405</v>
      </c>
      <c r="T121" s="78" t="s">
        <v>406</v>
      </c>
      <c r="U121" s="55" t="str">
        <f t="shared" si="1549"/>
        <v>ReplaceableTextures\\CommandButtons\\BTNI013.blp</v>
      </c>
      <c r="CN121" s="12" t="str">
        <f t="shared" si="1550"/>
        <v>InitUnitState('I013',,,,,,,,,,)</v>
      </c>
      <c r="CO121" s="12" t="str">
        <f t="shared" si="1551"/>
        <v>InitUnitNormal('I013',,,,,,,,,,)</v>
      </c>
      <c r="CP121" s="12" t="str">
        <f t="shared" si="1552"/>
        <v>InitUnitMagic('I013',,,,,,,,,,)</v>
      </c>
      <c r="CQ121" s="12" t="str">
        <f t="shared" si="1553"/>
        <v>InitUnitAdd('I013',,,,,,,,,,)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175&amp;CR$1&amp;")"</f>
        <v>InitEquipData('I013',,"",,,,,'','','','','','',"ReplaceableTextures\\CommandButtons\\BTNIT04.blp")</v>
      </c>
      <c r="CU121" s="67" t="str">
        <f t="shared" si="1842"/>
        <v>|n</v>
      </c>
      <c r="CV121" s="5" t="str">
        <f t="shared" si="1843"/>
        <v>击杀|Cffffd24d600|r只怪物后可获得：|n|n|Cffffd24d金币：|r|n47619 |n|n|Cffffd24d攻击和法强：|r|n6000~10000</v>
      </c>
      <c r="CW121" s="6"/>
      <c r="CX121" s="6"/>
      <c r="CY121" s="6"/>
      <c r="CZ121" s="6"/>
      <c r="DA121" s="6"/>
      <c r="DB121" s="43" t="str">
        <f t="shared" si="1844"/>
        <v/>
      </c>
      <c r="DC121" s="43" t="str">
        <f t="shared" si="1845"/>
        <v/>
      </c>
      <c r="DD121" s="43" t="str">
        <f t="shared" si="1846"/>
        <v/>
      </c>
      <c r="DE121" s="43" t="str">
        <f t="shared" si="1847"/>
        <v/>
      </c>
      <c r="DF121" s="43" t="str">
        <f t="shared" si="1848"/>
        <v/>
      </c>
      <c r="DG121" s="43" t="str">
        <f t="shared" si="1849"/>
        <v/>
      </c>
      <c r="DH121" s="43" t="str">
        <f t="shared" si="1850"/>
        <v/>
      </c>
      <c r="DI121" s="43" t="str">
        <f t="shared" si="1851"/>
        <v/>
      </c>
      <c r="DJ121" s="43" t="str">
        <f t="shared" si="1852"/>
        <v/>
      </c>
      <c r="DK121" s="43" t="str">
        <f t="shared" si="1853"/>
        <v/>
      </c>
      <c r="DL121" s="43" t="str">
        <f t="shared" si="1854"/>
        <v/>
      </c>
      <c r="DM121" s="43" t="str">
        <f t="shared" si="1855"/>
        <v/>
      </c>
      <c r="DN121" s="43" t="str">
        <f t="shared" si="1856"/>
        <v/>
      </c>
      <c r="DO121" s="43" t="str">
        <f t="shared" si="1857"/>
        <v/>
      </c>
      <c r="DP121" s="43" t="str">
        <f t="shared" si="1858"/>
        <v/>
      </c>
      <c r="DQ121" s="43" t="str">
        <f t="shared" si="1859"/>
        <v/>
      </c>
      <c r="DR121" s="43" t="str">
        <f t="shared" si="1860"/>
        <v/>
      </c>
      <c r="DS121" s="43" t="str">
        <f t="shared" si="1861"/>
        <v/>
      </c>
      <c r="DT121" s="43" t="str">
        <f t="shared" si="1862"/>
        <v/>
      </c>
      <c r="DU121" s="43" t="str">
        <f t="shared" si="1863"/>
        <v/>
      </c>
      <c r="DV121" s="43" t="str">
        <f t="shared" si="1864"/>
        <v/>
      </c>
      <c r="DW121" s="43" t="str">
        <f t="shared" si="1865"/>
        <v/>
      </c>
      <c r="DX121" s="43" t="str">
        <f t="shared" si="1866"/>
        <v/>
      </c>
      <c r="DY121" s="43" t="str">
        <f t="shared" si="1867"/>
        <v/>
      </c>
      <c r="DZ121" s="43" t="str">
        <f t="shared" si="1868"/>
        <v/>
      </c>
      <c r="EA121" s="43" t="str">
        <f t="shared" si="1869"/>
        <v/>
      </c>
      <c r="EB121" s="43" t="str">
        <f t="shared" si="1870"/>
        <v/>
      </c>
      <c r="EC121" s="43" t="str">
        <f t="shared" si="1871"/>
        <v/>
      </c>
      <c r="ED121" s="43" t="str">
        <f t="shared" si="1872"/>
        <v/>
      </c>
      <c r="EE121" s="43" t="str">
        <f t="shared" si="1873"/>
        <v/>
      </c>
      <c r="EF121" s="43" t="str">
        <f t="shared" si="1874"/>
        <v/>
      </c>
      <c r="EG121" s="43" t="str">
        <f t="shared" si="1875"/>
        <v/>
      </c>
      <c r="EH121" s="43" t="str">
        <f t="shared" si="1876"/>
        <v/>
      </c>
      <c r="EI121" s="43" t="str">
        <f t="shared" si="1877"/>
        <v/>
      </c>
      <c r="EJ121" s="43" t="str">
        <f t="shared" si="1878"/>
        <v/>
      </c>
      <c r="EK121" s="43" t="str">
        <f t="shared" si="1879"/>
        <v/>
      </c>
      <c r="EL121" s="43" t="str">
        <f t="shared" si="1880"/>
        <v/>
      </c>
      <c r="EM121" s="43" t="str">
        <f t="shared" si="1881"/>
        <v/>
      </c>
      <c r="EN121" s="43" t="str">
        <f t="shared" si="1882"/>
        <v/>
      </c>
      <c r="EO121" s="43" t="str">
        <f t="shared" si="1883"/>
        <v/>
      </c>
      <c r="EP121" s="43" t="str">
        <f t="shared" si="1884"/>
        <v/>
      </c>
      <c r="EQ121" s="43" t="str">
        <f t="shared" si="1885"/>
        <v/>
      </c>
      <c r="ER121" s="43" t="str">
        <f t="shared" si="1886"/>
        <v/>
      </c>
      <c r="ES121" s="43" t="str">
        <f t="shared" si="1887"/>
        <v/>
      </c>
      <c r="ET121" s="43" t="str">
        <f t="shared" si="1888"/>
        <v/>
      </c>
      <c r="EU121" s="43" t="str">
        <f t="shared" si="1889"/>
        <v/>
      </c>
      <c r="EV121" s="43" t="str">
        <f t="shared" si="1890"/>
        <v/>
      </c>
      <c r="EW121" s="43" t="str">
        <f t="shared" si="1891"/>
        <v/>
      </c>
      <c r="EX121" s="43" t="str">
        <f t="shared" si="1892"/>
        <v/>
      </c>
      <c r="EY121" s="43" t="str">
        <f t="shared" si="1893"/>
        <v/>
      </c>
      <c r="EZ121" s="43" t="str">
        <f t="shared" si="1894"/>
        <v/>
      </c>
      <c r="FA121" s="43" t="str">
        <f t="shared" si="1895"/>
        <v/>
      </c>
      <c r="FB121" s="43" t="str">
        <f t="shared" si="1896"/>
        <v/>
      </c>
      <c r="FC121" s="43" t="str">
        <f t="shared" si="1897"/>
        <v/>
      </c>
      <c r="FD121" s="43" t="str">
        <f t="shared" si="1898"/>
        <v/>
      </c>
      <c r="FE121" s="43" t="str">
        <f t="shared" si="1899"/>
        <v/>
      </c>
      <c r="FF121" s="43" t="str">
        <f t="shared" si="1900"/>
        <v/>
      </c>
      <c r="FG121" s="43" t="str">
        <f t="shared" si="1901"/>
        <v/>
      </c>
      <c r="FH121" s="43" t="str">
        <f t="shared" si="1902"/>
        <v/>
      </c>
      <c r="FI121" s="43" t="str">
        <f t="shared" si="1903"/>
        <v/>
      </c>
      <c r="FJ121" s="43" t="str">
        <f t="shared" si="1904"/>
        <v/>
      </c>
      <c r="FK121" s="43" t="str">
        <f t="shared" si="1905"/>
        <v/>
      </c>
      <c r="FL121" s="43" t="str">
        <f t="shared" si="1906"/>
        <v/>
      </c>
      <c r="FM121" s="43" t="str">
        <f t="shared" si="1907"/>
        <v/>
      </c>
      <c r="FN121" s="43" t="str">
        <f t="shared" si="1908"/>
        <v/>
      </c>
      <c r="FO121" s="43" t="str">
        <f t="shared" si="1909"/>
        <v/>
      </c>
      <c r="FP121" s="43" t="str">
        <f t="shared" si="1910"/>
        <v/>
      </c>
      <c r="FQ121" s="43" t="str">
        <f t="shared" si="1911"/>
        <v/>
      </c>
      <c r="FR121" s="43" t="str">
        <f t="shared" si="1912"/>
        <v/>
      </c>
      <c r="FS121" s="43" t="str">
        <f t="shared" si="1913"/>
        <v/>
      </c>
    </row>
    <row r="122" spans="1:175" ht="54">
      <c r="A122" s="4"/>
      <c r="B122" s="4" t="s">
        <v>407</v>
      </c>
      <c r="C122" s="4" t="s">
        <v>408</v>
      </c>
      <c r="T122" s="78" t="s">
        <v>409</v>
      </c>
      <c r="U122" s="55" t="str">
        <f t="shared" si="1549"/>
        <v>ReplaceableTextures\\CommandButtons\\BTNI014.blp</v>
      </c>
      <c r="CN122" s="12" t="str">
        <f t="shared" si="1550"/>
        <v>InitUnitState('I014',,,,,,,,,,)</v>
      </c>
      <c r="CO122" s="12" t="str">
        <f t="shared" si="1551"/>
        <v>InitUnitNormal('I014',,,,,,,,,,)</v>
      </c>
      <c r="CP122" s="12" t="str">
        <f t="shared" si="1552"/>
        <v>InitUnitMagic('I014',,,,,,,,,,)</v>
      </c>
      <c r="CQ122" s="12" t="str">
        <f t="shared" si="1553"/>
        <v>InitUnitAdd('I014',,,,,,,,,,)</v>
      </c>
      <c r="CR122" s="12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176&amp;CR$1&amp;")"</f>
        <v>InitEquipData('I014',,"",,,,,'','','','','','',"ReplaceableTextures\\CommandButtons\\BTNIT05.blp")</v>
      </c>
      <c r="CU122" s="67" t="str">
        <f t="shared" ref="CU122:CU161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5" t="str">
        <f t="shared" ref="CV122:CV161" si="1915">T122</f>
        <v>击杀|Cffffd24d600|r只怪物后可获得：|n|n|Cffffd24d金币：|r|n80952  |n|n|Cffffd24d攻击和法强：|r|n11880~19800</v>
      </c>
      <c r="CW122" s="6"/>
      <c r="CX122" s="6"/>
      <c r="CY122" s="6"/>
      <c r="CZ122" s="6"/>
      <c r="DA122" s="6"/>
      <c r="DB122" s="43" t="str">
        <f t="shared" ref="DB122:DB161" si="1916">IF(V122="","","|n"&amp;DB$2&amp;"+"&amp;V122&amp;DB$1)</f>
        <v/>
      </c>
      <c r="DC122" s="43" t="str">
        <f t="shared" ref="DC122:DC161" si="1917">IF(W122="","","|n"&amp;DC$2&amp;"+"&amp;W122&amp;DC$1)</f>
        <v/>
      </c>
      <c r="DD122" s="43" t="str">
        <f t="shared" ref="DD122:DD161" si="1918">IF(X122="","","|n"&amp;DD$2&amp;"+"&amp;X122&amp;DD$1)</f>
        <v/>
      </c>
      <c r="DE122" s="43" t="str">
        <f t="shared" ref="DE122:DE161" si="1919">IF(Y122="","","|n"&amp;DE$2&amp;"+"&amp;Y122&amp;DE$1)</f>
        <v/>
      </c>
      <c r="DF122" s="43" t="str">
        <f t="shared" ref="DF122:DF161" si="1920">IF(Z122="","","|n"&amp;DF$2&amp;"+"&amp;Z122&amp;DF$1)</f>
        <v/>
      </c>
      <c r="DG122" s="43" t="str">
        <f t="shared" ref="DG122:DG161" si="1921">IF(AA122="","","|n"&amp;DG$2&amp;"+"&amp;AA122&amp;DG$1)</f>
        <v/>
      </c>
      <c r="DH122" s="43" t="str">
        <f t="shared" ref="DH122:DH161" si="1922">IF(AB122="","","|n"&amp;DH$2&amp;"+"&amp;AB122&amp;DH$1)</f>
        <v/>
      </c>
      <c r="DI122" s="43" t="str">
        <f t="shared" ref="DI122:DI161" si="1923">IF(AC122="","","|n"&amp;DI$2&amp;"+"&amp;AC122&amp;DI$1)</f>
        <v/>
      </c>
      <c r="DJ122" s="43" t="str">
        <f t="shared" ref="DJ122:DJ161" si="1924">IF(AD122="","","|n"&amp;DJ$2&amp;"+"&amp;AD122&amp;DJ$1)</f>
        <v/>
      </c>
      <c r="DK122" s="43" t="str">
        <f t="shared" ref="DK122:DK161" si="1925">IF(AE122="","","|n"&amp;DK$2&amp;"+"&amp;AE122&amp;DK$1)</f>
        <v/>
      </c>
      <c r="DL122" s="43" t="str">
        <f t="shared" ref="DL122:DL161" si="1926">IF(AF122="","","|n"&amp;DL$2&amp;"+"&amp;AF122&amp;DL$1)</f>
        <v/>
      </c>
      <c r="DM122" s="43" t="str">
        <f t="shared" ref="DM122:DM161" si="1927">IF(AG122="","","|n"&amp;DM$2&amp;"+"&amp;AG122&amp;DM$1)</f>
        <v/>
      </c>
      <c r="DN122" s="43" t="str">
        <f t="shared" ref="DN122:DN161" si="1928">IF(AH122="","","|n"&amp;DN$2&amp;"+"&amp;AH122&amp;DN$1)</f>
        <v/>
      </c>
      <c r="DO122" s="43" t="str">
        <f t="shared" ref="DO122:DO161" si="1929">IF(AI122="","","|n"&amp;DO$2&amp;"+"&amp;AI122&amp;DO$1)</f>
        <v/>
      </c>
      <c r="DP122" s="43" t="str">
        <f t="shared" ref="DP122:DP161" si="1930">IF(AJ122="","","|n"&amp;DP$2&amp;"+"&amp;AJ122&amp;DP$1)</f>
        <v/>
      </c>
      <c r="DQ122" s="43" t="str">
        <f t="shared" ref="DQ122:DQ161" si="1931">IF(AK122="","","|n"&amp;DQ$2&amp;"+"&amp;AK122&amp;DQ$1)</f>
        <v/>
      </c>
      <c r="DR122" s="43" t="str">
        <f t="shared" ref="DR122:DR161" si="1932">IF(AL122="","","|n"&amp;DR$2&amp;"+"&amp;AL122&amp;DR$1)</f>
        <v/>
      </c>
      <c r="DS122" s="43" t="str">
        <f t="shared" ref="DS122:DS161" si="1933">IF(AM122="","","|n"&amp;DS$2&amp;"+"&amp;AM122&amp;DS$1)</f>
        <v/>
      </c>
      <c r="DT122" s="43" t="str">
        <f t="shared" ref="DT122:DT161" si="1934">IF(AN122="","","|n"&amp;DT$2&amp;"+"&amp;AN122&amp;DT$1)</f>
        <v/>
      </c>
      <c r="DU122" s="43" t="str">
        <f t="shared" ref="DU122:DU161" si="1935">IF(AO122="","","|n"&amp;DU$2&amp;"+"&amp;AO122&amp;DU$1)</f>
        <v/>
      </c>
      <c r="DV122" s="43" t="str">
        <f t="shared" ref="DV122:DV161" si="1936">IF(AP122="","","|n"&amp;DV$2&amp;"+"&amp;AP122&amp;DV$1)</f>
        <v/>
      </c>
      <c r="DW122" s="43" t="str">
        <f t="shared" ref="DW122:DW161" si="1937">IF(AQ122="","","|n"&amp;DW$2&amp;"+"&amp;AQ122&amp;DW$1)</f>
        <v/>
      </c>
      <c r="DX122" s="43" t="str">
        <f t="shared" ref="DX122:DX161" si="1938">IF(AR122="","","|n"&amp;DX$2&amp;"+"&amp;AR122&amp;DX$1)</f>
        <v/>
      </c>
      <c r="DY122" s="43" t="str">
        <f t="shared" ref="DY122:DY161" si="1939">IF(AS122="","","|n"&amp;DY$2&amp;"+"&amp;AS122&amp;DY$1)</f>
        <v/>
      </c>
      <c r="DZ122" s="43" t="str">
        <f t="shared" ref="DZ122:DZ161" si="1940">IF(AT122="","","|n"&amp;DZ$2&amp;"+"&amp;AT122&amp;DZ$1)</f>
        <v/>
      </c>
      <c r="EA122" s="43" t="str">
        <f t="shared" ref="EA122:EA161" si="1941">IF(AU122="","","|n"&amp;EA$2&amp;"+"&amp;AU122&amp;EA$1)</f>
        <v/>
      </c>
      <c r="EB122" s="43" t="str">
        <f t="shared" ref="EB122:EB161" si="1942">IF(AV122="","","|n"&amp;EB$2&amp;"+"&amp;AV122&amp;EB$1)</f>
        <v/>
      </c>
      <c r="EC122" s="43" t="str">
        <f t="shared" ref="EC122:EC161" si="1943">IF(AW122="","","|n"&amp;EC$2&amp;"+"&amp;AW122&amp;EC$1)</f>
        <v/>
      </c>
      <c r="ED122" s="43" t="str">
        <f t="shared" ref="ED122:ED161" si="1944">IF(AX122="","","|n"&amp;ED$2&amp;"+"&amp;AX122&amp;ED$1)</f>
        <v/>
      </c>
      <c r="EE122" s="43" t="str">
        <f t="shared" ref="EE122:EE161" si="1945">IF(AY122="","","|n"&amp;EE$2&amp;"+"&amp;AY122&amp;EE$1)</f>
        <v/>
      </c>
      <c r="EF122" s="43" t="str">
        <f t="shared" ref="EF122:EF161" si="1946">IF(AZ122="","","|n"&amp;EF$2&amp;"+"&amp;AZ122&amp;EF$1)</f>
        <v/>
      </c>
      <c r="EG122" s="43" t="str">
        <f t="shared" ref="EG122:EG161" si="1947">IF(BA122="","","|n"&amp;EG$2&amp;"+"&amp;BA122&amp;EG$1)</f>
        <v/>
      </c>
      <c r="EH122" s="43" t="str">
        <f t="shared" ref="EH122:EH161" si="1948">IF(BB122="","","|n"&amp;EH$2&amp;"+"&amp;BB122&amp;EH$1)</f>
        <v/>
      </c>
      <c r="EI122" s="43" t="str">
        <f t="shared" ref="EI122:EI161" si="1949">IF(BC122="","","|n"&amp;EI$2&amp;"+"&amp;BC122&amp;EI$1)</f>
        <v/>
      </c>
      <c r="EJ122" s="43" t="str">
        <f t="shared" ref="EJ122:EJ161" si="1950">IF(BD122="","","|n"&amp;EJ$2&amp;"+"&amp;BD122&amp;EJ$1)</f>
        <v/>
      </c>
      <c r="EK122" s="43" t="str">
        <f t="shared" ref="EK122:EK161" si="1951">IF(BE122="","","|n"&amp;EK$2&amp;"+"&amp;BE122&amp;EK$1)</f>
        <v/>
      </c>
      <c r="EL122" s="43" t="str">
        <f t="shared" ref="EL122:EL161" si="1952">IF(BF122="","","|n"&amp;EL$2&amp;"+"&amp;BF122&amp;EL$1)</f>
        <v/>
      </c>
      <c r="EM122" s="43" t="str">
        <f t="shared" ref="EM122:EM161" si="1953">IF(BG122="","","|n"&amp;EM$2&amp;"+"&amp;BG122&amp;EM$1)</f>
        <v/>
      </c>
      <c r="EN122" s="43" t="str">
        <f t="shared" ref="EN122:EN161" si="1954">IF(BH122="","","|n"&amp;EN$2&amp;"+"&amp;BH122&amp;EN$1)</f>
        <v/>
      </c>
      <c r="EO122" s="43" t="str">
        <f t="shared" ref="EO122:EO161" si="1955">IF(BI122="","","|n"&amp;EO$2&amp;"+"&amp;BI122&amp;EO$1)</f>
        <v/>
      </c>
      <c r="EP122" s="43" t="str">
        <f t="shared" ref="EP122:EP161" si="1956">IF(BJ122="","","|n"&amp;EP$2&amp;"+"&amp;BJ122&amp;EP$1)</f>
        <v/>
      </c>
      <c r="EQ122" s="43" t="str">
        <f t="shared" ref="EQ122:EQ161" si="1957">IF(BK122="","","|n"&amp;EQ$2&amp;"+"&amp;BK122&amp;EQ$1)</f>
        <v/>
      </c>
      <c r="ER122" s="43" t="str">
        <f t="shared" ref="ER122:ER161" si="1958">IF(BL122="","","|n"&amp;ER$2&amp;"+"&amp;BL122&amp;ER$1)</f>
        <v/>
      </c>
      <c r="ES122" s="43" t="str">
        <f t="shared" ref="ES122:ES161" si="1959">IF(BM122="","","|n"&amp;ES$2&amp;"+"&amp;BM122&amp;ES$1)</f>
        <v/>
      </c>
      <c r="ET122" s="43" t="str">
        <f t="shared" ref="ET122:ET161" si="1960">IF(BN122="","","|n"&amp;ET$2&amp;"+"&amp;BN122&amp;ET$1)</f>
        <v/>
      </c>
      <c r="EU122" s="43" t="str">
        <f t="shared" ref="EU122:EU161" si="1961">IF(BO122="","","|n"&amp;EU$2&amp;"+"&amp;BO122&amp;EU$1)</f>
        <v/>
      </c>
      <c r="EV122" s="43" t="str">
        <f t="shared" ref="EV122:EV161" si="1962">IF(BP122="","","|n"&amp;EV$2&amp;"+"&amp;BP122&amp;EV$1)</f>
        <v/>
      </c>
      <c r="EW122" s="43" t="str">
        <f t="shared" ref="EW122:EW161" si="1963">IF(BQ122="","","|n"&amp;EW$2&amp;"+"&amp;BQ122&amp;EW$1)</f>
        <v/>
      </c>
      <c r="EX122" s="43" t="str">
        <f t="shared" ref="EX122:EX161" si="1964">IF(BR122="","","|n"&amp;EX$2&amp;"+"&amp;BR122&amp;EX$1)</f>
        <v/>
      </c>
      <c r="EY122" s="43" t="str">
        <f t="shared" ref="EY122:EY161" si="1965">IF(BS122="","","|n"&amp;EY$2&amp;"+"&amp;BS122&amp;EY$1)</f>
        <v/>
      </c>
      <c r="EZ122" s="43" t="str">
        <f t="shared" ref="EZ122:EZ161" si="1966">IF(BT122="","","|n"&amp;EZ$2&amp;"+"&amp;BT122&amp;EZ$1)</f>
        <v/>
      </c>
      <c r="FA122" s="43" t="str">
        <f t="shared" ref="FA122:FA161" si="1967">IF(BU122="","","|n"&amp;FA$2&amp;"+"&amp;BU122&amp;FA$1)</f>
        <v/>
      </c>
      <c r="FB122" s="43" t="str">
        <f t="shared" ref="FB122:FB161" si="1968">IF(BV122="","","|n"&amp;FB$2&amp;"+"&amp;BV122&amp;FB$1)</f>
        <v/>
      </c>
      <c r="FC122" s="43" t="str">
        <f t="shared" ref="FC122:FC161" si="1969">IF(BW122="","","|n"&amp;FC$2&amp;"+"&amp;BW122&amp;FC$1)</f>
        <v/>
      </c>
      <c r="FD122" s="43" t="str">
        <f t="shared" ref="FD122:FD161" si="1970">IF(BX122="","","|n"&amp;FD$2&amp;"+"&amp;BX122&amp;FD$1)</f>
        <v/>
      </c>
      <c r="FE122" s="43" t="str">
        <f t="shared" ref="FE122:FE161" si="1971">IF(BY122="","","|n"&amp;FE$2&amp;"+"&amp;BY122&amp;FE$1)</f>
        <v/>
      </c>
      <c r="FF122" s="43" t="str">
        <f t="shared" ref="FF122:FF161" si="1972">IF(BZ122="","","|n"&amp;FF$2&amp;"+"&amp;BZ122&amp;FF$1)</f>
        <v/>
      </c>
      <c r="FG122" s="43" t="str">
        <f t="shared" ref="FG122:FG161" si="1973">IF(CA122="","","|n"&amp;FG$2&amp;"+"&amp;CA122&amp;FG$1)</f>
        <v/>
      </c>
      <c r="FH122" s="43" t="str">
        <f t="shared" ref="FH122:FH161" si="1974">IF(CB122="","","|n"&amp;FH$2&amp;"+"&amp;CB122&amp;FH$1)</f>
        <v/>
      </c>
      <c r="FI122" s="43" t="str">
        <f t="shared" ref="FI122:FI161" si="1975">IF(CC122="","","|n"&amp;FI$2&amp;"+"&amp;CC122&amp;FI$1)</f>
        <v/>
      </c>
      <c r="FJ122" s="43" t="str">
        <f t="shared" ref="FJ122:FJ161" si="1976">IF(CD122="","","|n"&amp;FJ$2&amp;"+"&amp;CD122&amp;FJ$1)</f>
        <v/>
      </c>
      <c r="FK122" s="43" t="str">
        <f t="shared" ref="FK122:FK161" si="1977">IF(CE122="","","|n"&amp;FK$2&amp;"+"&amp;CE122&amp;FK$1)</f>
        <v/>
      </c>
      <c r="FL122" s="43" t="str">
        <f t="shared" ref="FL122:FL161" si="1978">IF(CF122="","","|n"&amp;FL$2&amp;"+"&amp;CF122&amp;FL$1)</f>
        <v/>
      </c>
      <c r="FM122" s="43" t="str">
        <f t="shared" ref="FM122:FM161" si="1979">IF(CG122="","","|n"&amp;FM$2&amp;"+"&amp;CG122&amp;FM$1)</f>
        <v/>
      </c>
      <c r="FN122" s="43" t="str">
        <f t="shared" ref="FN122:FN161" si="1980">IF(CH122="","","|n"&amp;FN$2&amp;"+"&amp;CH122&amp;FN$1)</f>
        <v/>
      </c>
      <c r="FO122" s="43" t="str">
        <f t="shared" ref="FO122:FO161" si="1981">IF(CI122="","","|n"&amp;FO$2&amp;"+"&amp;CI122&amp;FO$1)</f>
        <v/>
      </c>
      <c r="FP122" s="43" t="str">
        <f t="shared" ref="FP122:FP161" si="1982">IF(CJ122="","","|n"&amp;FP$2&amp;"+"&amp;CJ122&amp;FP$1)</f>
        <v/>
      </c>
      <c r="FQ122" s="43" t="str">
        <f t="shared" ref="FQ122:FQ161" si="1983">IF(CK122="","","|n"&amp;FQ$2&amp;"+"&amp;CK122&amp;FQ$1)</f>
        <v/>
      </c>
      <c r="FR122" s="43" t="str">
        <f t="shared" ref="FR122:FR161" si="1984">IF(CL122="","","|n"&amp;FR$2&amp;"+"&amp;CL122&amp;FR$1)</f>
        <v/>
      </c>
      <c r="FS122" s="43" t="str">
        <f t="shared" ref="FS122:FS161" si="1985">IF(CM122="","","|n"&amp;FS$2&amp;"+"&amp;CM122&amp;FS$1)</f>
        <v/>
      </c>
    </row>
    <row r="123" spans="1:175" ht="54">
      <c r="A123" s="4"/>
      <c r="B123" s="6" t="s">
        <v>410</v>
      </c>
      <c r="C123" s="73" t="s">
        <v>411</v>
      </c>
      <c r="T123" s="78" t="s">
        <v>412</v>
      </c>
      <c r="U123" s="55" t="s">
        <v>413</v>
      </c>
      <c r="CN123" s="12" t="str">
        <f t="shared" si="1550"/>
        <v>InitUnitState('INDA',,,,,,,,,,)</v>
      </c>
      <c r="CO123" s="12" t="str">
        <f t="shared" si="1551"/>
        <v>InitUnitNormal('INDA',,,,,,,,,,)</v>
      </c>
      <c r="CP123" s="12" t="str">
        <f t="shared" si="1552"/>
        <v>InitUnitMagic('INDA',,,,,,,,,,)</v>
      </c>
      <c r="CQ123" s="12" t="str">
        <f t="shared" si="1553"/>
        <v>InitUnitAdd('INDA',,,,,,,,,,)</v>
      </c>
      <c r="CR123" s="12" t="str">
        <f t="shared" ref="CR123:CR138" si="1986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150&amp;CR$1&amp;")"</f>
        <v>InitEquipData('INDA',,"",,,,,'','','','','','',"ReplaceableTextures\\CommandButtons\\BTNIN03.blp")</v>
      </c>
      <c r="CU123" s="67" t="str">
        <f t="shared" si="1914"/>
        <v>|n</v>
      </c>
      <c r="CV123" s="5" t="str">
        <f t="shared" si="1915"/>
        <v xml:space="preserve"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916"/>
        <v/>
      </c>
      <c r="DC123" s="43" t="str">
        <f t="shared" si="1917"/>
        <v/>
      </c>
      <c r="DD123" s="43" t="str">
        <f t="shared" si="1918"/>
        <v/>
      </c>
      <c r="DE123" s="43" t="str">
        <f t="shared" si="1919"/>
        <v/>
      </c>
      <c r="DF123" s="43" t="str">
        <f t="shared" si="1920"/>
        <v/>
      </c>
      <c r="DG123" s="43" t="str">
        <f t="shared" si="1921"/>
        <v/>
      </c>
      <c r="DH123" s="43" t="str">
        <f t="shared" si="1922"/>
        <v/>
      </c>
      <c r="DI123" s="43" t="str">
        <f t="shared" si="1923"/>
        <v/>
      </c>
      <c r="DJ123" s="43" t="str">
        <f t="shared" si="1924"/>
        <v/>
      </c>
      <c r="DK123" s="43" t="str">
        <f t="shared" si="1925"/>
        <v/>
      </c>
      <c r="DL123" s="43" t="str">
        <f t="shared" si="1926"/>
        <v/>
      </c>
      <c r="DM123" s="43" t="str">
        <f t="shared" si="1927"/>
        <v/>
      </c>
      <c r="DN123" s="43" t="str">
        <f t="shared" si="1928"/>
        <v/>
      </c>
      <c r="DO123" s="43" t="str">
        <f t="shared" si="1929"/>
        <v/>
      </c>
      <c r="DP123" s="43" t="str">
        <f t="shared" si="1930"/>
        <v/>
      </c>
      <c r="DQ123" s="43" t="str">
        <f t="shared" si="1931"/>
        <v/>
      </c>
      <c r="DR123" s="43" t="str">
        <f t="shared" si="1932"/>
        <v/>
      </c>
      <c r="DS123" s="43" t="str">
        <f t="shared" si="1933"/>
        <v/>
      </c>
      <c r="DT123" s="43" t="str">
        <f t="shared" si="1934"/>
        <v/>
      </c>
      <c r="DU123" s="43" t="str">
        <f t="shared" si="1935"/>
        <v/>
      </c>
      <c r="DV123" s="43" t="str">
        <f t="shared" si="1936"/>
        <v/>
      </c>
      <c r="DW123" s="43" t="str">
        <f t="shared" si="1937"/>
        <v/>
      </c>
      <c r="DX123" s="43" t="str">
        <f t="shared" si="1938"/>
        <v/>
      </c>
      <c r="DY123" s="43" t="str">
        <f t="shared" si="1939"/>
        <v/>
      </c>
      <c r="DZ123" s="43" t="str">
        <f t="shared" si="1940"/>
        <v/>
      </c>
      <c r="EA123" s="43" t="str">
        <f t="shared" si="1941"/>
        <v/>
      </c>
      <c r="EB123" s="43" t="str">
        <f t="shared" si="1942"/>
        <v/>
      </c>
      <c r="EC123" s="43" t="str">
        <f t="shared" si="1943"/>
        <v/>
      </c>
      <c r="ED123" s="43" t="str">
        <f t="shared" si="1944"/>
        <v/>
      </c>
      <c r="EE123" s="43" t="str">
        <f t="shared" si="1945"/>
        <v/>
      </c>
      <c r="EF123" s="43" t="str">
        <f t="shared" si="1946"/>
        <v/>
      </c>
      <c r="EG123" s="43" t="str">
        <f t="shared" si="1947"/>
        <v/>
      </c>
      <c r="EH123" s="43" t="str">
        <f t="shared" si="1948"/>
        <v/>
      </c>
      <c r="EI123" s="43" t="str">
        <f t="shared" si="1949"/>
        <v/>
      </c>
      <c r="EJ123" s="43" t="str">
        <f t="shared" si="1950"/>
        <v/>
      </c>
      <c r="EK123" s="43" t="str">
        <f t="shared" si="1951"/>
        <v/>
      </c>
      <c r="EL123" s="43" t="str">
        <f t="shared" si="1952"/>
        <v/>
      </c>
      <c r="EM123" s="43" t="str">
        <f t="shared" si="1953"/>
        <v/>
      </c>
      <c r="EN123" s="43" t="str">
        <f t="shared" si="1954"/>
        <v/>
      </c>
      <c r="EO123" s="43" t="str">
        <f t="shared" si="1955"/>
        <v/>
      </c>
      <c r="EP123" s="43" t="str">
        <f t="shared" si="1956"/>
        <v/>
      </c>
      <c r="EQ123" s="43" t="str">
        <f t="shared" si="1957"/>
        <v/>
      </c>
      <c r="ER123" s="43" t="str">
        <f t="shared" si="1958"/>
        <v/>
      </c>
      <c r="ES123" s="43" t="str">
        <f t="shared" si="1959"/>
        <v/>
      </c>
      <c r="ET123" s="43" t="str">
        <f t="shared" si="1960"/>
        <v/>
      </c>
      <c r="EU123" s="43" t="str">
        <f t="shared" si="1961"/>
        <v/>
      </c>
      <c r="EV123" s="43" t="str">
        <f t="shared" si="1962"/>
        <v/>
      </c>
      <c r="EW123" s="43" t="str">
        <f t="shared" si="1963"/>
        <v/>
      </c>
      <c r="EX123" s="43" t="str">
        <f t="shared" si="1964"/>
        <v/>
      </c>
      <c r="EY123" s="43" t="str">
        <f t="shared" si="1965"/>
        <v/>
      </c>
      <c r="EZ123" s="43" t="str">
        <f t="shared" si="1966"/>
        <v/>
      </c>
      <c r="FA123" s="43" t="str">
        <f t="shared" si="1967"/>
        <v/>
      </c>
      <c r="FB123" s="43" t="str">
        <f t="shared" si="1968"/>
        <v/>
      </c>
      <c r="FC123" s="43" t="str">
        <f t="shared" si="1969"/>
        <v/>
      </c>
      <c r="FD123" s="43" t="str">
        <f t="shared" si="1970"/>
        <v/>
      </c>
      <c r="FE123" s="43" t="str">
        <f t="shared" si="1971"/>
        <v/>
      </c>
      <c r="FF123" s="43" t="str">
        <f t="shared" si="1972"/>
        <v/>
      </c>
      <c r="FG123" s="43" t="str">
        <f t="shared" si="1973"/>
        <v/>
      </c>
      <c r="FH123" s="43" t="str">
        <f t="shared" si="1974"/>
        <v/>
      </c>
      <c r="FI123" s="43" t="str">
        <f t="shared" si="1975"/>
        <v/>
      </c>
      <c r="FJ123" s="43" t="str">
        <f t="shared" si="1976"/>
        <v/>
      </c>
      <c r="FK123" s="43" t="str">
        <f t="shared" si="1977"/>
        <v/>
      </c>
      <c r="FL123" s="43" t="str">
        <f t="shared" si="1978"/>
        <v/>
      </c>
      <c r="FM123" s="43" t="str">
        <f t="shared" si="1979"/>
        <v/>
      </c>
      <c r="FN123" s="43" t="str">
        <f t="shared" si="1980"/>
        <v/>
      </c>
      <c r="FO123" s="43" t="str">
        <f t="shared" si="1981"/>
        <v/>
      </c>
      <c r="FP123" s="43" t="str">
        <f t="shared" si="1982"/>
        <v/>
      </c>
      <c r="FQ123" s="43" t="str">
        <f t="shared" si="1983"/>
        <v/>
      </c>
      <c r="FR123" s="43" t="str">
        <f t="shared" si="1984"/>
        <v/>
      </c>
      <c r="FS123" s="43" t="str">
        <f t="shared" si="1985"/>
        <v/>
      </c>
    </row>
    <row r="124" spans="1:175" ht="54">
      <c r="A124" s="4"/>
      <c r="B124" s="6" t="s">
        <v>414</v>
      </c>
      <c r="C124" s="73" t="s">
        <v>411</v>
      </c>
      <c r="T124" s="78" t="s">
        <v>412</v>
      </c>
      <c r="U124" s="55" t="s">
        <v>413</v>
      </c>
      <c r="CN124" s="12" t="str">
        <f t="shared" si="1550"/>
        <v>InitUnitState('INDB',,,,,,,,,,)</v>
      </c>
      <c r="CO124" s="12" t="str">
        <f t="shared" si="1551"/>
        <v>InitUnitNormal('INDB',,,,,,,,,,)</v>
      </c>
      <c r="CP124" s="12" t="str">
        <f t="shared" si="1552"/>
        <v>InitUnitMagic('INDB',,,,,,,,,,)</v>
      </c>
      <c r="CQ124" s="12" t="str">
        <f t="shared" si="1553"/>
        <v>InitUnitAdd('INDB',,,,,,,,,,)</v>
      </c>
      <c r="CR124" s="12" t="str">
        <f t="shared" si="1986"/>
        <v>InitEquipData('INDB',,"",,,,,'','','','','','',"ReplaceableTextures\\CommandButtons\\BTNIN04.blp")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415</v>
      </c>
      <c r="C125" s="73" t="s">
        <v>411</v>
      </c>
      <c r="T125" s="78" t="s">
        <v>412</v>
      </c>
      <c r="U125" s="55" t="s">
        <v>413</v>
      </c>
      <c r="CN125" s="12" t="str">
        <f t="shared" si="1550"/>
        <v>InitUnitState('INDC',,,,,,,,,,)</v>
      </c>
      <c r="CO125" s="12" t="str">
        <f t="shared" si="1551"/>
        <v>InitUnitNormal('INDC',,,,,,,,,,)</v>
      </c>
      <c r="CP125" s="12" t="str">
        <f t="shared" si="1552"/>
        <v>InitUnitMagic('INDC',,,,,,,,,,)</v>
      </c>
      <c r="CQ125" s="12" t="str">
        <f t="shared" si="1553"/>
        <v>InitUnitAdd('INDC',,,,,,,,,,)</v>
      </c>
      <c r="CR125" s="12" t="str">
        <f t="shared" si="1986"/>
        <v>InitEquipData('INDC',,"",,,,,'','','','','','',"ReplaceableTextures\\CommandButtons\\BTNIN05.blp")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416</v>
      </c>
      <c r="C126" s="73" t="s">
        <v>411</v>
      </c>
      <c r="T126" s="78" t="s">
        <v>412</v>
      </c>
      <c r="U126" s="55" t="s">
        <v>413</v>
      </c>
      <c r="CN126" s="12" t="str">
        <f t="shared" si="1550"/>
        <v>InitUnitState('INDD',,,,,,,,,,)</v>
      </c>
      <c r="CO126" s="12" t="str">
        <f t="shared" si="1551"/>
        <v>InitUnitNormal('INDD',,,,,,,,,,)</v>
      </c>
      <c r="CP126" s="12" t="str">
        <f t="shared" si="1552"/>
        <v>InitUnitMagic('INDD',,,,,,,,,,)</v>
      </c>
      <c r="CQ126" s="12" t="str">
        <f t="shared" si="1553"/>
        <v>InitUnitAdd('INDD',,,,,,,,,,)</v>
      </c>
      <c r="CR126" s="12" t="str">
        <f t="shared" si="1986"/>
        <v>InitEquipData('INDD',,"",,,,,'','','','','','',"ReplaceableTextures\\CommandButtons\\BTNIN06.blp")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54">
      <c r="A127" s="4"/>
      <c r="B127" s="6" t="s">
        <v>417</v>
      </c>
      <c r="C127" s="73" t="s">
        <v>411</v>
      </c>
      <c r="T127" s="78" t="s">
        <v>412</v>
      </c>
      <c r="U127" s="55" t="s">
        <v>413</v>
      </c>
      <c r="CN127" s="12" t="str">
        <f t="shared" si="1550"/>
        <v>InitUnitState('INDE',,,,,,,,,,)</v>
      </c>
      <c r="CO127" s="12" t="str">
        <f t="shared" si="1551"/>
        <v>InitUnitNormal('INDE',,,,,,,,,,)</v>
      </c>
      <c r="CP127" s="12" t="str">
        <f t="shared" si="1552"/>
        <v>InitUnitMagic('INDE',,,,,,,,,,)</v>
      </c>
      <c r="CQ127" s="12" t="str">
        <f t="shared" si="1553"/>
        <v>InitUnitAdd('INDE',,,,,,,,,,)</v>
      </c>
      <c r="CR127" s="12" t="str">
        <f t="shared" si="1986"/>
        <v>InitEquipData('INDE',,"",,,,,'','','','','','',"ReplaceableTextures\\CommandButtons\\BTNIN07.blp")</v>
      </c>
      <c r="CU127" s="67" t="str">
        <f t="shared" si="1914"/>
        <v>|n</v>
      </c>
      <c r="CV127" s="5" t="str">
        <f t="shared" si="1915"/>
        <v xml:space="preserve">开启后获得|Cffffd24d42~700木头|r或|Cffffd24d随机锦囊卡|r。|n|n|Cff00ff7f掉落时激活的星宿越多，人品越好 |r     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16.5">
      <c r="A128" s="4"/>
      <c r="B128" s="6" t="s">
        <v>418</v>
      </c>
      <c r="C128" s="73" t="s">
        <v>419</v>
      </c>
      <c r="T128" s="78" t="s">
        <v>420</v>
      </c>
      <c r="U128" s="55" t="s">
        <v>421</v>
      </c>
      <c r="CN128" s="12" t="str">
        <f t="shared" si="1550"/>
        <v>InitUnitState('INDF',,,,,,,,,,)</v>
      </c>
      <c r="CO128" s="12" t="str">
        <f t="shared" si="1551"/>
        <v>InitUnitNormal('INDF',,,,,,,,,,)</v>
      </c>
      <c r="CP128" s="12" t="str">
        <f t="shared" si="1552"/>
        <v>InitUnitMagic('INDF',,,,,,,,,,)</v>
      </c>
      <c r="CQ128" s="12" t="str">
        <f t="shared" si="1553"/>
        <v>InitUnitAdd('INDF',,,,,,,,,,)</v>
      </c>
      <c r="CR128" s="12" t="str">
        <f t="shared" si="1986"/>
        <v>InitEquipData('INDF',,"",,,,,'','','','','','',"ReplaceableTextures\\CommandButtons\\BTNIN08.blp")</v>
      </c>
      <c r="CU128" s="67" t="str">
        <f t="shared" si="1914"/>
        <v>|n</v>
      </c>
      <c r="CV128" s="5" t="str">
        <f t="shared" si="1915"/>
        <v>开启后随机获得一张|Cffffd24d锦囊卡|r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54">
      <c r="A129" s="4"/>
      <c r="B129" s="6" t="s">
        <v>422</v>
      </c>
      <c r="C129" s="73" t="s">
        <v>411</v>
      </c>
      <c r="T129" s="78" t="s">
        <v>412</v>
      </c>
      <c r="U129" s="55" t="s">
        <v>413</v>
      </c>
      <c r="CN129" s="12" t="str">
        <f t="shared" si="1550"/>
        <v>InitUnitState('INDG',,,,,,,,,,)</v>
      </c>
      <c r="CO129" s="12" t="str">
        <f t="shared" si="1551"/>
        <v>InitUnitNormal('INDG',,,,,,,,,,)</v>
      </c>
      <c r="CP129" s="12" t="str">
        <f t="shared" si="1552"/>
        <v>InitUnitMagic('INDG',,,,,,,,,,)</v>
      </c>
      <c r="CQ129" s="12" t="str">
        <f t="shared" si="1553"/>
        <v>InitUnitAdd('INDG',,,,,,,,,,)</v>
      </c>
      <c r="CR129" s="12" t="str">
        <f t="shared" si="1986"/>
        <v>InitEquipData('INDG',,"",,,,,'','','','','','',"ReplaceableTextures\\CommandButtons\\BTNIN09.blp")</v>
      </c>
      <c r="CU129" s="67" t="str">
        <f t="shared" si="1914"/>
        <v>|n</v>
      </c>
      <c r="CV129" s="5" t="str">
        <f t="shared" si="1915"/>
        <v xml:space="preserve">开启后获得|Cffffd24d42~700木头|r或|Cffffd24d随机锦囊卡|r。|n|n|Cff00ff7f掉落时激活的星宿越多，人品越好 |r     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423</v>
      </c>
      <c r="C130" s="73" t="s">
        <v>411</v>
      </c>
      <c r="T130" s="78" t="s">
        <v>412</v>
      </c>
      <c r="U130" s="55" t="s">
        <v>413</v>
      </c>
      <c r="CN130" s="12" t="str">
        <f t="shared" si="1550"/>
        <v>InitUnitState('INDH',,,,,,,,,,)</v>
      </c>
      <c r="CO130" s="12" t="str">
        <f t="shared" si="1551"/>
        <v>InitUnitNormal('INDH',,,,,,,,,,)</v>
      </c>
      <c r="CP130" s="12" t="str">
        <f t="shared" si="1552"/>
        <v>InitUnitMagic('INDH',,,,,,,,,,)</v>
      </c>
      <c r="CQ130" s="12" t="str">
        <f t="shared" si="1553"/>
        <v>InitUnitAdd('INDH',,,,,,,,,,)</v>
      </c>
      <c r="CR130" s="12" t="str">
        <f t="shared" si="1986"/>
        <v>InitEquipData('INDH',,"",,,,,'','','','','','',"ReplaceableTextures\\CommandButtons\\BTNIN10.blp")</v>
      </c>
      <c r="CU130" s="67" t="str">
        <f t="shared" si="1914"/>
        <v>|n</v>
      </c>
      <c r="CV130" s="5" t="str">
        <f t="shared" si="1915"/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si="1916"/>
        <v/>
      </c>
      <c r="DC130" s="43" t="str">
        <f t="shared" si="1917"/>
        <v/>
      </c>
      <c r="DD130" s="43" t="str">
        <f t="shared" si="1918"/>
        <v/>
      </c>
      <c r="DE130" s="43" t="str">
        <f t="shared" si="1919"/>
        <v/>
      </c>
      <c r="DF130" s="43" t="str">
        <f t="shared" si="1920"/>
        <v/>
      </c>
      <c r="DG130" s="43" t="str">
        <f t="shared" si="1921"/>
        <v/>
      </c>
      <c r="DH130" s="43" t="str">
        <f t="shared" si="1922"/>
        <v/>
      </c>
      <c r="DI130" s="43" t="str">
        <f t="shared" si="1923"/>
        <v/>
      </c>
      <c r="DJ130" s="43" t="str">
        <f t="shared" si="1924"/>
        <v/>
      </c>
      <c r="DK130" s="43" t="str">
        <f t="shared" si="1925"/>
        <v/>
      </c>
      <c r="DL130" s="43" t="str">
        <f t="shared" si="1926"/>
        <v/>
      </c>
      <c r="DM130" s="43" t="str">
        <f t="shared" si="1927"/>
        <v/>
      </c>
      <c r="DN130" s="43" t="str">
        <f t="shared" si="1928"/>
        <v/>
      </c>
      <c r="DO130" s="43" t="str">
        <f t="shared" si="1929"/>
        <v/>
      </c>
      <c r="DP130" s="43" t="str">
        <f t="shared" si="1930"/>
        <v/>
      </c>
      <c r="DQ130" s="43" t="str">
        <f t="shared" si="1931"/>
        <v/>
      </c>
      <c r="DR130" s="43" t="str">
        <f t="shared" si="1932"/>
        <v/>
      </c>
      <c r="DS130" s="43" t="str">
        <f t="shared" si="1933"/>
        <v/>
      </c>
      <c r="DT130" s="43" t="str">
        <f t="shared" si="1934"/>
        <v/>
      </c>
      <c r="DU130" s="43" t="str">
        <f t="shared" si="1935"/>
        <v/>
      </c>
      <c r="DV130" s="43" t="str">
        <f t="shared" si="1936"/>
        <v/>
      </c>
      <c r="DW130" s="43" t="str">
        <f t="shared" si="1937"/>
        <v/>
      </c>
      <c r="DX130" s="43" t="str">
        <f t="shared" si="1938"/>
        <v/>
      </c>
      <c r="DY130" s="43" t="str">
        <f t="shared" si="1939"/>
        <v/>
      </c>
      <c r="DZ130" s="43" t="str">
        <f t="shared" si="1940"/>
        <v/>
      </c>
      <c r="EA130" s="43" t="str">
        <f t="shared" si="1941"/>
        <v/>
      </c>
      <c r="EB130" s="43" t="str">
        <f t="shared" si="1942"/>
        <v/>
      </c>
      <c r="EC130" s="43" t="str">
        <f t="shared" si="1943"/>
        <v/>
      </c>
      <c r="ED130" s="43" t="str">
        <f t="shared" si="1944"/>
        <v/>
      </c>
      <c r="EE130" s="43" t="str">
        <f t="shared" si="1945"/>
        <v/>
      </c>
      <c r="EF130" s="43" t="str">
        <f t="shared" si="1946"/>
        <v/>
      </c>
      <c r="EG130" s="43" t="str">
        <f t="shared" si="1947"/>
        <v/>
      </c>
      <c r="EH130" s="43" t="str">
        <f t="shared" si="1948"/>
        <v/>
      </c>
      <c r="EI130" s="43" t="str">
        <f t="shared" si="1949"/>
        <v/>
      </c>
      <c r="EJ130" s="43" t="str">
        <f t="shared" si="1950"/>
        <v/>
      </c>
      <c r="EK130" s="43" t="str">
        <f t="shared" si="1951"/>
        <v/>
      </c>
      <c r="EL130" s="43" t="str">
        <f t="shared" si="1952"/>
        <v/>
      </c>
      <c r="EM130" s="43" t="str">
        <f t="shared" si="1953"/>
        <v/>
      </c>
      <c r="EN130" s="43" t="str">
        <f t="shared" si="1954"/>
        <v/>
      </c>
      <c r="EO130" s="43" t="str">
        <f t="shared" si="1955"/>
        <v/>
      </c>
      <c r="EP130" s="43" t="str">
        <f t="shared" si="1956"/>
        <v/>
      </c>
      <c r="EQ130" s="43" t="str">
        <f t="shared" si="1957"/>
        <v/>
      </c>
      <c r="ER130" s="43" t="str">
        <f t="shared" si="1958"/>
        <v/>
      </c>
      <c r="ES130" s="43" t="str">
        <f t="shared" si="1959"/>
        <v/>
      </c>
      <c r="ET130" s="43" t="str">
        <f t="shared" si="1960"/>
        <v/>
      </c>
      <c r="EU130" s="43" t="str">
        <f t="shared" si="1961"/>
        <v/>
      </c>
      <c r="EV130" s="43" t="str">
        <f t="shared" si="1962"/>
        <v/>
      </c>
      <c r="EW130" s="43" t="str">
        <f t="shared" si="1963"/>
        <v/>
      </c>
      <c r="EX130" s="43" t="str">
        <f t="shared" si="1964"/>
        <v/>
      </c>
      <c r="EY130" s="43" t="str">
        <f t="shared" si="1965"/>
        <v/>
      </c>
      <c r="EZ130" s="43" t="str">
        <f t="shared" si="1966"/>
        <v/>
      </c>
      <c r="FA130" s="43" t="str">
        <f t="shared" si="1967"/>
        <v/>
      </c>
      <c r="FB130" s="43" t="str">
        <f t="shared" si="1968"/>
        <v/>
      </c>
      <c r="FC130" s="43" t="str">
        <f t="shared" si="1969"/>
        <v/>
      </c>
      <c r="FD130" s="43" t="str">
        <f t="shared" si="1970"/>
        <v/>
      </c>
      <c r="FE130" s="43" t="str">
        <f t="shared" si="1971"/>
        <v/>
      </c>
      <c r="FF130" s="43" t="str">
        <f t="shared" si="1972"/>
        <v/>
      </c>
      <c r="FG130" s="43" t="str">
        <f t="shared" si="1973"/>
        <v/>
      </c>
      <c r="FH130" s="43" t="str">
        <f t="shared" si="1974"/>
        <v/>
      </c>
      <c r="FI130" s="43" t="str">
        <f t="shared" si="1975"/>
        <v/>
      </c>
      <c r="FJ130" s="43" t="str">
        <f t="shared" si="1976"/>
        <v/>
      </c>
      <c r="FK130" s="43" t="str">
        <f t="shared" si="1977"/>
        <v/>
      </c>
      <c r="FL130" s="43" t="str">
        <f t="shared" si="1978"/>
        <v/>
      </c>
      <c r="FM130" s="43" t="str">
        <f t="shared" si="1979"/>
        <v/>
      </c>
      <c r="FN130" s="43" t="str">
        <f t="shared" si="1980"/>
        <v/>
      </c>
      <c r="FO130" s="43" t="str">
        <f t="shared" si="1981"/>
        <v/>
      </c>
      <c r="FP130" s="43" t="str">
        <f t="shared" si="1982"/>
        <v/>
      </c>
      <c r="FQ130" s="43" t="str">
        <f t="shared" si="1983"/>
        <v/>
      </c>
      <c r="FR130" s="43" t="str">
        <f t="shared" si="1984"/>
        <v/>
      </c>
      <c r="FS130" s="43" t="str">
        <f t="shared" si="1985"/>
        <v/>
      </c>
    </row>
    <row r="131" spans="1:175" ht="54">
      <c r="A131" s="4"/>
      <c r="B131" s="6" t="s">
        <v>424</v>
      </c>
      <c r="C131" s="73" t="s">
        <v>411</v>
      </c>
      <c r="T131" s="78" t="s">
        <v>412</v>
      </c>
      <c r="U131" s="55" t="s">
        <v>413</v>
      </c>
      <c r="CN131" s="12" t="str">
        <f t="shared" si="1550"/>
        <v>InitUnitState('INDI',,,,,,,,,,)</v>
      </c>
      <c r="CO131" s="12" t="str">
        <f t="shared" si="1551"/>
        <v>InitUnitNormal('INDI',,,,,,,,,,)</v>
      </c>
      <c r="CP131" s="12" t="str">
        <f t="shared" si="1552"/>
        <v>InitUnitMagic('INDI',,,,,,,,,,)</v>
      </c>
      <c r="CQ131" s="12" t="str">
        <f t="shared" si="1553"/>
        <v>InitUnitAdd('INDI',,,,,,,,,,)</v>
      </c>
      <c r="CR131" s="12" t="str">
        <f t="shared" si="1986"/>
        <v>InitEquipData('INDI',,"",,,,,'','','','','','',"ReplaceableTextures\\CommandButtons\\BTNIN11.blp")</v>
      </c>
      <c r="CU131" s="67" t="str">
        <f t="shared" ref="CU131:CU138" si="198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5" t="str">
        <f t="shared" ref="CV131:CV138" si="1988">T131</f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ref="DB131:DB138" si="1989">IF(V131="","","|n"&amp;DB$2&amp;"+"&amp;V131&amp;DB$1)</f>
        <v/>
      </c>
      <c r="DC131" s="43" t="str">
        <f t="shared" ref="DC131:DC138" si="1990">IF(W131="","","|n"&amp;DC$2&amp;"+"&amp;W131&amp;DC$1)</f>
        <v/>
      </c>
      <c r="DD131" s="43" t="str">
        <f t="shared" ref="DD131:DD138" si="1991">IF(X131="","","|n"&amp;DD$2&amp;"+"&amp;X131&amp;DD$1)</f>
        <v/>
      </c>
      <c r="DE131" s="43" t="str">
        <f t="shared" ref="DE131:DE138" si="1992">IF(Y131="","","|n"&amp;DE$2&amp;"+"&amp;Y131&amp;DE$1)</f>
        <v/>
      </c>
      <c r="DF131" s="43" t="str">
        <f t="shared" ref="DF131:DF138" si="1993">IF(Z131="","","|n"&amp;DF$2&amp;"+"&amp;Z131&amp;DF$1)</f>
        <v/>
      </c>
      <c r="DG131" s="43" t="str">
        <f t="shared" ref="DG131:DG138" si="1994">IF(AA131="","","|n"&amp;DG$2&amp;"+"&amp;AA131&amp;DG$1)</f>
        <v/>
      </c>
      <c r="DH131" s="43" t="str">
        <f t="shared" ref="DH131:DH138" si="1995">IF(AB131="","","|n"&amp;DH$2&amp;"+"&amp;AB131&amp;DH$1)</f>
        <v/>
      </c>
      <c r="DI131" s="43" t="str">
        <f t="shared" ref="DI131:DI138" si="1996">IF(AC131="","","|n"&amp;DI$2&amp;"+"&amp;AC131&amp;DI$1)</f>
        <v/>
      </c>
      <c r="DJ131" s="43" t="str">
        <f t="shared" ref="DJ131:DJ138" si="1997">IF(AD131="","","|n"&amp;DJ$2&amp;"+"&amp;AD131&amp;DJ$1)</f>
        <v/>
      </c>
      <c r="DK131" s="43" t="str">
        <f t="shared" ref="DK131:DK138" si="1998">IF(AE131="","","|n"&amp;DK$2&amp;"+"&amp;AE131&amp;DK$1)</f>
        <v/>
      </c>
      <c r="DL131" s="43" t="str">
        <f t="shared" ref="DL131:DL138" si="1999">IF(AF131="","","|n"&amp;DL$2&amp;"+"&amp;AF131&amp;DL$1)</f>
        <v/>
      </c>
      <c r="DM131" s="43" t="str">
        <f t="shared" ref="DM131:DM138" si="2000">IF(AG131="","","|n"&amp;DM$2&amp;"+"&amp;AG131&amp;DM$1)</f>
        <v/>
      </c>
      <c r="DN131" s="43" t="str">
        <f t="shared" ref="DN131:DN138" si="2001">IF(AH131="","","|n"&amp;DN$2&amp;"+"&amp;AH131&amp;DN$1)</f>
        <v/>
      </c>
      <c r="DO131" s="43" t="str">
        <f t="shared" ref="DO131:DO138" si="2002">IF(AI131="","","|n"&amp;DO$2&amp;"+"&amp;AI131&amp;DO$1)</f>
        <v/>
      </c>
      <c r="DP131" s="43" t="str">
        <f t="shared" ref="DP131:DP138" si="2003">IF(AJ131="","","|n"&amp;DP$2&amp;"+"&amp;AJ131&amp;DP$1)</f>
        <v/>
      </c>
      <c r="DQ131" s="43" t="str">
        <f t="shared" ref="DQ131:DQ138" si="2004">IF(AK131="","","|n"&amp;DQ$2&amp;"+"&amp;AK131&amp;DQ$1)</f>
        <v/>
      </c>
      <c r="DR131" s="43" t="str">
        <f t="shared" ref="DR131:DR138" si="2005">IF(AL131="","","|n"&amp;DR$2&amp;"+"&amp;AL131&amp;DR$1)</f>
        <v/>
      </c>
      <c r="DS131" s="43" t="str">
        <f t="shared" ref="DS131:DS138" si="2006">IF(AM131="","","|n"&amp;DS$2&amp;"+"&amp;AM131&amp;DS$1)</f>
        <v/>
      </c>
      <c r="DT131" s="43" t="str">
        <f t="shared" ref="DT131:DT138" si="2007">IF(AN131="","","|n"&amp;DT$2&amp;"+"&amp;AN131&amp;DT$1)</f>
        <v/>
      </c>
      <c r="DU131" s="43" t="str">
        <f t="shared" ref="DU131:DU138" si="2008">IF(AO131="","","|n"&amp;DU$2&amp;"+"&amp;AO131&amp;DU$1)</f>
        <v/>
      </c>
      <c r="DV131" s="43" t="str">
        <f t="shared" ref="DV131:DV138" si="2009">IF(AP131="","","|n"&amp;DV$2&amp;"+"&amp;AP131&amp;DV$1)</f>
        <v/>
      </c>
      <c r="DW131" s="43" t="str">
        <f t="shared" ref="DW131:DW138" si="2010">IF(AQ131="","","|n"&amp;DW$2&amp;"+"&amp;AQ131&amp;DW$1)</f>
        <v/>
      </c>
      <c r="DX131" s="43" t="str">
        <f t="shared" ref="DX131:DX138" si="2011">IF(AR131="","","|n"&amp;DX$2&amp;"+"&amp;AR131&amp;DX$1)</f>
        <v/>
      </c>
      <c r="DY131" s="43" t="str">
        <f t="shared" ref="DY131:DY138" si="2012">IF(AS131="","","|n"&amp;DY$2&amp;"+"&amp;AS131&amp;DY$1)</f>
        <v/>
      </c>
      <c r="DZ131" s="43" t="str">
        <f t="shared" ref="DZ131:DZ138" si="2013">IF(AT131="","","|n"&amp;DZ$2&amp;"+"&amp;AT131&amp;DZ$1)</f>
        <v/>
      </c>
      <c r="EA131" s="43" t="str">
        <f t="shared" ref="EA131:EA138" si="2014">IF(AU131="","","|n"&amp;EA$2&amp;"+"&amp;AU131&amp;EA$1)</f>
        <v/>
      </c>
      <c r="EB131" s="43" t="str">
        <f t="shared" ref="EB131:EB138" si="2015">IF(AV131="","","|n"&amp;EB$2&amp;"+"&amp;AV131&amp;EB$1)</f>
        <v/>
      </c>
      <c r="EC131" s="43" t="str">
        <f t="shared" ref="EC131:EC138" si="2016">IF(AW131="","","|n"&amp;EC$2&amp;"+"&amp;AW131&amp;EC$1)</f>
        <v/>
      </c>
      <c r="ED131" s="43" t="str">
        <f t="shared" ref="ED131:ED138" si="2017">IF(AX131="","","|n"&amp;ED$2&amp;"+"&amp;AX131&amp;ED$1)</f>
        <v/>
      </c>
      <c r="EE131" s="43" t="str">
        <f t="shared" ref="EE131:EE138" si="2018">IF(AY131="","","|n"&amp;EE$2&amp;"+"&amp;AY131&amp;EE$1)</f>
        <v/>
      </c>
      <c r="EF131" s="43" t="str">
        <f t="shared" ref="EF131:EF138" si="2019">IF(AZ131="","","|n"&amp;EF$2&amp;"+"&amp;AZ131&amp;EF$1)</f>
        <v/>
      </c>
      <c r="EG131" s="43" t="str">
        <f t="shared" ref="EG131:EG138" si="2020">IF(BA131="","","|n"&amp;EG$2&amp;"+"&amp;BA131&amp;EG$1)</f>
        <v/>
      </c>
      <c r="EH131" s="43" t="str">
        <f t="shared" ref="EH131:EH138" si="2021">IF(BB131="","","|n"&amp;EH$2&amp;"+"&amp;BB131&amp;EH$1)</f>
        <v/>
      </c>
      <c r="EI131" s="43" t="str">
        <f t="shared" ref="EI131:EI138" si="2022">IF(BC131="","","|n"&amp;EI$2&amp;"+"&amp;BC131&amp;EI$1)</f>
        <v/>
      </c>
      <c r="EJ131" s="43" t="str">
        <f t="shared" ref="EJ131:EJ138" si="2023">IF(BD131="","","|n"&amp;EJ$2&amp;"+"&amp;BD131&amp;EJ$1)</f>
        <v/>
      </c>
      <c r="EK131" s="43" t="str">
        <f t="shared" ref="EK131:EK138" si="2024">IF(BE131="","","|n"&amp;EK$2&amp;"+"&amp;BE131&amp;EK$1)</f>
        <v/>
      </c>
      <c r="EL131" s="43" t="str">
        <f t="shared" ref="EL131:EL138" si="2025">IF(BF131="","","|n"&amp;EL$2&amp;"+"&amp;BF131&amp;EL$1)</f>
        <v/>
      </c>
      <c r="EM131" s="43" t="str">
        <f t="shared" ref="EM131:EM138" si="2026">IF(BG131="","","|n"&amp;EM$2&amp;"+"&amp;BG131&amp;EM$1)</f>
        <v/>
      </c>
      <c r="EN131" s="43" t="str">
        <f t="shared" ref="EN131:EN138" si="2027">IF(BH131="","","|n"&amp;EN$2&amp;"+"&amp;BH131&amp;EN$1)</f>
        <v/>
      </c>
      <c r="EO131" s="43" t="str">
        <f t="shared" ref="EO131:EO138" si="2028">IF(BI131="","","|n"&amp;EO$2&amp;"+"&amp;BI131&amp;EO$1)</f>
        <v/>
      </c>
      <c r="EP131" s="43" t="str">
        <f t="shared" ref="EP131:EP138" si="2029">IF(BJ131="","","|n"&amp;EP$2&amp;"+"&amp;BJ131&amp;EP$1)</f>
        <v/>
      </c>
      <c r="EQ131" s="43" t="str">
        <f t="shared" ref="EQ131:EQ138" si="2030">IF(BK131="","","|n"&amp;EQ$2&amp;"+"&amp;BK131&amp;EQ$1)</f>
        <v/>
      </c>
      <c r="ER131" s="43" t="str">
        <f t="shared" ref="ER131:ER138" si="2031">IF(BL131="","","|n"&amp;ER$2&amp;"+"&amp;BL131&amp;ER$1)</f>
        <v/>
      </c>
      <c r="ES131" s="43" t="str">
        <f t="shared" ref="ES131:ES138" si="2032">IF(BM131="","","|n"&amp;ES$2&amp;"+"&amp;BM131&amp;ES$1)</f>
        <v/>
      </c>
      <c r="ET131" s="43" t="str">
        <f t="shared" ref="ET131:ET138" si="2033">IF(BN131="","","|n"&amp;ET$2&amp;"+"&amp;BN131&amp;ET$1)</f>
        <v/>
      </c>
      <c r="EU131" s="43" t="str">
        <f t="shared" ref="EU131:EU138" si="2034">IF(BO131="","","|n"&amp;EU$2&amp;"+"&amp;BO131&amp;EU$1)</f>
        <v/>
      </c>
      <c r="EV131" s="43" t="str">
        <f t="shared" ref="EV131:EV138" si="2035">IF(BP131="","","|n"&amp;EV$2&amp;"+"&amp;BP131&amp;EV$1)</f>
        <v/>
      </c>
      <c r="EW131" s="43" t="str">
        <f t="shared" ref="EW131:EW138" si="2036">IF(BQ131="","","|n"&amp;EW$2&amp;"+"&amp;BQ131&amp;EW$1)</f>
        <v/>
      </c>
      <c r="EX131" s="43" t="str">
        <f t="shared" ref="EX131:EX138" si="2037">IF(BR131="","","|n"&amp;EX$2&amp;"+"&amp;BR131&amp;EX$1)</f>
        <v/>
      </c>
      <c r="EY131" s="43" t="str">
        <f t="shared" ref="EY131:EY138" si="2038">IF(BS131="","","|n"&amp;EY$2&amp;"+"&amp;BS131&amp;EY$1)</f>
        <v/>
      </c>
      <c r="EZ131" s="43" t="str">
        <f t="shared" ref="EZ131:EZ138" si="2039">IF(BT131="","","|n"&amp;EZ$2&amp;"+"&amp;BT131&amp;EZ$1)</f>
        <v/>
      </c>
      <c r="FA131" s="43" t="str">
        <f t="shared" ref="FA131:FA138" si="2040">IF(BU131="","","|n"&amp;FA$2&amp;"+"&amp;BU131&amp;FA$1)</f>
        <v/>
      </c>
      <c r="FB131" s="43" t="str">
        <f t="shared" ref="FB131:FB138" si="2041">IF(BV131="","","|n"&amp;FB$2&amp;"+"&amp;BV131&amp;FB$1)</f>
        <v/>
      </c>
      <c r="FC131" s="43" t="str">
        <f t="shared" ref="FC131:FC138" si="2042">IF(BW131="","","|n"&amp;FC$2&amp;"+"&amp;BW131&amp;FC$1)</f>
        <v/>
      </c>
      <c r="FD131" s="43" t="str">
        <f t="shared" ref="FD131:FD138" si="2043">IF(BX131="","","|n"&amp;FD$2&amp;"+"&amp;BX131&amp;FD$1)</f>
        <v/>
      </c>
      <c r="FE131" s="43" t="str">
        <f t="shared" ref="FE131:FE138" si="2044">IF(BY131="","","|n"&amp;FE$2&amp;"+"&amp;BY131&amp;FE$1)</f>
        <v/>
      </c>
      <c r="FF131" s="43" t="str">
        <f t="shared" ref="FF131:FF138" si="2045">IF(BZ131="","","|n"&amp;FF$2&amp;"+"&amp;BZ131&amp;FF$1)</f>
        <v/>
      </c>
      <c r="FG131" s="43" t="str">
        <f t="shared" ref="FG131:FG138" si="2046">IF(CA131="","","|n"&amp;FG$2&amp;"+"&amp;CA131&amp;FG$1)</f>
        <v/>
      </c>
      <c r="FH131" s="43" t="str">
        <f t="shared" ref="FH131:FH138" si="2047">IF(CB131="","","|n"&amp;FH$2&amp;"+"&amp;CB131&amp;FH$1)</f>
        <v/>
      </c>
      <c r="FI131" s="43" t="str">
        <f t="shared" ref="FI131:FI138" si="2048">IF(CC131="","","|n"&amp;FI$2&amp;"+"&amp;CC131&amp;FI$1)</f>
        <v/>
      </c>
      <c r="FJ131" s="43" t="str">
        <f t="shared" ref="FJ131:FJ138" si="2049">IF(CD131="","","|n"&amp;FJ$2&amp;"+"&amp;CD131&amp;FJ$1)</f>
        <v/>
      </c>
      <c r="FK131" s="43" t="str">
        <f t="shared" ref="FK131:FK138" si="2050">IF(CE131="","","|n"&amp;FK$2&amp;"+"&amp;CE131&amp;FK$1)</f>
        <v/>
      </c>
      <c r="FL131" s="43" t="str">
        <f t="shared" ref="FL131:FL138" si="2051">IF(CF131="","","|n"&amp;FL$2&amp;"+"&amp;CF131&amp;FL$1)</f>
        <v/>
      </c>
      <c r="FM131" s="43" t="str">
        <f t="shared" ref="FM131:FM138" si="2052">IF(CG131="","","|n"&amp;FM$2&amp;"+"&amp;CG131&amp;FM$1)</f>
        <v/>
      </c>
      <c r="FN131" s="43" t="str">
        <f t="shared" ref="FN131:FN138" si="2053">IF(CH131="","","|n"&amp;FN$2&amp;"+"&amp;CH131&amp;FN$1)</f>
        <v/>
      </c>
      <c r="FO131" s="43" t="str">
        <f t="shared" ref="FO131:FO138" si="2054">IF(CI131="","","|n"&amp;FO$2&amp;"+"&amp;CI131&amp;FO$1)</f>
        <v/>
      </c>
      <c r="FP131" s="43" t="str">
        <f t="shared" ref="FP131:FP138" si="2055">IF(CJ131="","","|n"&amp;FP$2&amp;"+"&amp;CJ131&amp;FP$1)</f>
        <v/>
      </c>
      <c r="FQ131" s="43" t="str">
        <f t="shared" ref="FQ131:FQ138" si="2056">IF(CK131="","","|n"&amp;FQ$2&amp;"+"&amp;CK131&amp;FQ$1)</f>
        <v/>
      </c>
      <c r="FR131" s="43" t="str">
        <f t="shared" ref="FR131:FR138" si="2057">IF(CL131="","","|n"&amp;FR$2&amp;"+"&amp;CL131&amp;FR$1)</f>
        <v/>
      </c>
      <c r="FS131" s="43" t="str">
        <f t="shared" ref="FS131:FS138" si="2058">IF(CM131="","","|n"&amp;FS$2&amp;"+"&amp;CM131&amp;FS$1)</f>
        <v/>
      </c>
    </row>
    <row r="132" spans="1:175" ht="54">
      <c r="A132" s="4"/>
      <c r="B132" s="6" t="s">
        <v>425</v>
      </c>
      <c r="C132" s="73" t="s">
        <v>411</v>
      </c>
      <c r="T132" s="78" t="s">
        <v>412</v>
      </c>
      <c r="U132" s="55" t="s">
        <v>413</v>
      </c>
      <c r="CN132" s="12" t="str">
        <f t="shared" si="1550"/>
        <v>InitUnitState('INDJ',,,,,,,,,,)</v>
      </c>
      <c r="CO132" s="12" t="str">
        <f t="shared" si="1551"/>
        <v>InitUnitNormal('INDJ',,,,,,,,,,)</v>
      </c>
      <c r="CP132" s="12" t="str">
        <f t="shared" si="1552"/>
        <v>InitUnitMagic('INDJ',,,,,,,,,,)</v>
      </c>
      <c r="CQ132" s="12" t="str">
        <f t="shared" si="1553"/>
        <v>InitUnitAdd('INDJ',,,,,,,,,,)</v>
      </c>
      <c r="CR132" s="12" t="str">
        <f t="shared" si="1986"/>
        <v>InitEquipData('INDJ',,"",,,,,'','','','','','',"ReplaceableTextures\\CommandButtons\\BTNIN12.blp")</v>
      </c>
      <c r="CU132" s="67" t="str">
        <f t="shared" si="1987"/>
        <v>|n</v>
      </c>
      <c r="CV132" s="5" t="str">
        <f t="shared" si="1988"/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si="1989"/>
        <v/>
      </c>
      <c r="DC132" s="43" t="str">
        <f t="shared" si="1990"/>
        <v/>
      </c>
      <c r="DD132" s="43" t="str">
        <f t="shared" si="1991"/>
        <v/>
      </c>
      <c r="DE132" s="43" t="str">
        <f t="shared" si="1992"/>
        <v/>
      </c>
      <c r="DF132" s="43" t="str">
        <f t="shared" si="1993"/>
        <v/>
      </c>
      <c r="DG132" s="43" t="str">
        <f t="shared" si="1994"/>
        <v/>
      </c>
      <c r="DH132" s="43" t="str">
        <f t="shared" si="1995"/>
        <v/>
      </c>
      <c r="DI132" s="43" t="str">
        <f t="shared" si="1996"/>
        <v/>
      </c>
      <c r="DJ132" s="43" t="str">
        <f t="shared" si="1997"/>
        <v/>
      </c>
      <c r="DK132" s="43" t="str">
        <f t="shared" si="1998"/>
        <v/>
      </c>
      <c r="DL132" s="43" t="str">
        <f t="shared" si="1999"/>
        <v/>
      </c>
      <c r="DM132" s="43" t="str">
        <f t="shared" si="2000"/>
        <v/>
      </c>
      <c r="DN132" s="43" t="str">
        <f t="shared" si="2001"/>
        <v/>
      </c>
      <c r="DO132" s="43" t="str">
        <f t="shared" si="2002"/>
        <v/>
      </c>
      <c r="DP132" s="43" t="str">
        <f t="shared" si="2003"/>
        <v/>
      </c>
      <c r="DQ132" s="43" t="str">
        <f t="shared" si="2004"/>
        <v/>
      </c>
      <c r="DR132" s="43" t="str">
        <f t="shared" si="2005"/>
        <v/>
      </c>
      <c r="DS132" s="43" t="str">
        <f t="shared" si="2006"/>
        <v/>
      </c>
      <c r="DT132" s="43" t="str">
        <f t="shared" si="2007"/>
        <v/>
      </c>
      <c r="DU132" s="43" t="str">
        <f t="shared" si="2008"/>
        <v/>
      </c>
      <c r="DV132" s="43" t="str">
        <f t="shared" si="2009"/>
        <v/>
      </c>
      <c r="DW132" s="43" t="str">
        <f t="shared" si="2010"/>
        <v/>
      </c>
      <c r="DX132" s="43" t="str">
        <f t="shared" si="2011"/>
        <v/>
      </c>
      <c r="DY132" s="43" t="str">
        <f t="shared" si="2012"/>
        <v/>
      </c>
      <c r="DZ132" s="43" t="str">
        <f t="shared" si="2013"/>
        <v/>
      </c>
      <c r="EA132" s="43" t="str">
        <f t="shared" si="2014"/>
        <v/>
      </c>
      <c r="EB132" s="43" t="str">
        <f t="shared" si="2015"/>
        <v/>
      </c>
      <c r="EC132" s="43" t="str">
        <f t="shared" si="2016"/>
        <v/>
      </c>
      <c r="ED132" s="43" t="str">
        <f t="shared" si="2017"/>
        <v/>
      </c>
      <c r="EE132" s="43" t="str">
        <f t="shared" si="2018"/>
        <v/>
      </c>
      <c r="EF132" s="43" t="str">
        <f t="shared" si="2019"/>
        <v/>
      </c>
      <c r="EG132" s="43" t="str">
        <f t="shared" si="2020"/>
        <v/>
      </c>
      <c r="EH132" s="43" t="str">
        <f t="shared" si="2021"/>
        <v/>
      </c>
      <c r="EI132" s="43" t="str">
        <f t="shared" si="2022"/>
        <v/>
      </c>
      <c r="EJ132" s="43" t="str">
        <f t="shared" si="2023"/>
        <v/>
      </c>
      <c r="EK132" s="43" t="str">
        <f t="shared" si="2024"/>
        <v/>
      </c>
      <c r="EL132" s="43" t="str">
        <f t="shared" si="2025"/>
        <v/>
      </c>
      <c r="EM132" s="43" t="str">
        <f t="shared" si="2026"/>
        <v/>
      </c>
      <c r="EN132" s="43" t="str">
        <f t="shared" si="2027"/>
        <v/>
      </c>
      <c r="EO132" s="43" t="str">
        <f t="shared" si="2028"/>
        <v/>
      </c>
      <c r="EP132" s="43" t="str">
        <f t="shared" si="2029"/>
        <v/>
      </c>
      <c r="EQ132" s="43" t="str">
        <f t="shared" si="2030"/>
        <v/>
      </c>
      <c r="ER132" s="43" t="str">
        <f t="shared" si="2031"/>
        <v/>
      </c>
      <c r="ES132" s="43" t="str">
        <f t="shared" si="2032"/>
        <v/>
      </c>
      <c r="ET132" s="43" t="str">
        <f t="shared" si="2033"/>
        <v/>
      </c>
      <c r="EU132" s="43" t="str">
        <f t="shared" si="2034"/>
        <v/>
      </c>
      <c r="EV132" s="43" t="str">
        <f t="shared" si="2035"/>
        <v/>
      </c>
      <c r="EW132" s="43" t="str">
        <f t="shared" si="2036"/>
        <v/>
      </c>
      <c r="EX132" s="43" t="str">
        <f t="shared" si="2037"/>
        <v/>
      </c>
      <c r="EY132" s="43" t="str">
        <f t="shared" si="2038"/>
        <v/>
      </c>
      <c r="EZ132" s="43" t="str">
        <f t="shared" si="2039"/>
        <v/>
      </c>
      <c r="FA132" s="43" t="str">
        <f t="shared" si="2040"/>
        <v/>
      </c>
      <c r="FB132" s="43" t="str">
        <f t="shared" si="2041"/>
        <v/>
      </c>
      <c r="FC132" s="43" t="str">
        <f t="shared" si="2042"/>
        <v/>
      </c>
      <c r="FD132" s="43" t="str">
        <f t="shared" si="2043"/>
        <v/>
      </c>
      <c r="FE132" s="43" t="str">
        <f t="shared" si="2044"/>
        <v/>
      </c>
      <c r="FF132" s="43" t="str">
        <f t="shared" si="2045"/>
        <v/>
      </c>
      <c r="FG132" s="43" t="str">
        <f t="shared" si="2046"/>
        <v/>
      </c>
      <c r="FH132" s="43" t="str">
        <f t="shared" si="2047"/>
        <v/>
      </c>
      <c r="FI132" s="43" t="str">
        <f t="shared" si="2048"/>
        <v/>
      </c>
      <c r="FJ132" s="43" t="str">
        <f t="shared" si="2049"/>
        <v/>
      </c>
      <c r="FK132" s="43" t="str">
        <f t="shared" si="2050"/>
        <v/>
      </c>
      <c r="FL132" s="43" t="str">
        <f t="shared" si="2051"/>
        <v/>
      </c>
      <c r="FM132" s="43" t="str">
        <f t="shared" si="2052"/>
        <v/>
      </c>
      <c r="FN132" s="43" t="str">
        <f t="shared" si="2053"/>
        <v/>
      </c>
      <c r="FO132" s="43" t="str">
        <f t="shared" si="2054"/>
        <v/>
      </c>
      <c r="FP132" s="43" t="str">
        <f t="shared" si="2055"/>
        <v/>
      </c>
      <c r="FQ132" s="43" t="str">
        <f t="shared" si="2056"/>
        <v/>
      </c>
      <c r="FR132" s="43" t="str">
        <f t="shared" si="2057"/>
        <v/>
      </c>
      <c r="FS132" s="43" t="str">
        <f t="shared" si="2058"/>
        <v/>
      </c>
    </row>
    <row r="133" spans="1:175" ht="54">
      <c r="A133" s="4"/>
      <c r="B133" s="6" t="s">
        <v>426</v>
      </c>
      <c r="C133" s="73" t="s">
        <v>411</v>
      </c>
      <c r="T133" s="78" t="s">
        <v>412</v>
      </c>
      <c r="U133" s="55" t="s">
        <v>413</v>
      </c>
      <c r="CN133" s="12" t="str">
        <f t="shared" si="1550"/>
        <v>InitUnitState('INDK',,,,,,,,,,)</v>
      </c>
      <c r="CO133" s="12" t="str">
        <f t="shared" si="1551"/>
        <v>InitUnitNormal('INDK',,,,,,,,,,)</v>
      </c>
      <c r="CP133" s="12" t="str">
        <f t="shared" si="1552"/>
        <v>InitUnitMagic('INDK',,,,,,,,,,)</v>
      </c>
      <c r="CQ133" s="12" t="str">
        <f t="shared" si="1553"/>
        <v>InitUnitAdd('INDK',,,,,,,,,,)</v>
      </c>
      <c r="CR133" s="12" t="str">
        <f t="shared" si="1986"/>
        <v>InitEquipData('INDK',,"",,,,,'','','','','','',"ReplaceableTextures\\CommandButtons\\BTNIN13.blp")</v>
      </c>
      <c r="CU133" s="67" t="str">
        <f t="shared" si="1987"/>
        <v>|n</v>
      </c>
      <c r="CV133" s="5" t="str">
        <f t="shared" si="1988"/>
        <v xml:space="preserve">开启后获得|Cffffd24d42~700木头|r或|Cffffd24d随机锦囊卡|r。|n|n|Cff00ff7f掉落时激活的星宿越多，人品越好 |r     </v>
      </c>
      <c r="CW133" s="6"/>
      <c r="CX133" s="6"/>
      <c r="CY133" s="6"/>
      <c r="CZ133" s="6"/>
      <c r="DA133" s="6"/>
      <c r="DB133" s="43" t="str">
        <f t="shared" si="1989"/>
        <v/>
      </c>
      <c r="DC133" s="43" t="str">
        <f t="shared" si="1990"/>
        <v/>
      </c>
      <c r="DD133" s="43" t="str">
        <f t="shared" si="1991"/>
        <v/>
      </c>
      <c r="DE133" s="43" t="str">
        <f t="shared" si="1992"/>
        <v/>
      </c>
      <c r="DF133" s="43" t="str">
        <f t="shared" si="1993"/>
        <v/>
      </c>
      <c r="DG133" s="43" t="str">
        <f t="shared" si="1994"/>
        <v/>
      </c>
      <c r="DH133" s="43" t="str">
        <f t="shared" si="1995"/>
        <v/>
      </c>
      <c r="DI133" s="43" t="str">
        <f t="shared" si="1996"/>
        <v/>
      </c>
      <c r="DJ133" s="43" t="str">
        <f t="shared" si="1997"/>
        <v/>
      </c>
      <c r="DK133" s="43" t="str">
        <f t="shared" si="1998"/>
        <v/>
      </c>
      <c r="DL133" s="43" t="str">
        <f t="shared" si="1999"/>
        <v/>
      </c>
      <c r="DM133" s="43" t="str">
        <f t="shared" si="2000"/>
        <v/>
      </c>
      <c r="DN133" s="43" t="str">
        <f t="shared" si="2001"/>
        <v/>
      </c>
      <c r="DO133" s="43" t="str">
        <f t="shared" si="2002"/>
        <v/>
      </c>
      <c r="DP133" s="43" t="str">
        <f t="shared" si="2003"/>
        <v/>
      </c>
      <c r="DQ133" s="43" t="str">
        <f t="shared" si="2004"/>
        <v/>
      </c>
      <c r="DR133" s="43" t="str">
        <f t="shared" si="2005"/>
        <v/>
      </c>
      <c r="DS133" s="43" t="str">
        <f t="shared" si="2006"/>
        <v/>
      </c>
      <c r="DT133" s="43" t="str">
        <f t="shared" si="2007"/>
        <v/>
      </c>
      <c r="DU133" s="43" t="str">
        <f t="shared" si="2008"/>
        <v/>
      </c>
      <c r="DV133" s="43" t="str">
        <f t="shared" si="2009"/>
        <v/>
      </c>
      <c r="DW133" s="43" t="str">
        <f t="shared" si="2010"/>
        <v/>
      </c>
      <c r="DX133" s="43" t="str">
        <f t="shared" si="2011"/>
        <v/>
      </c>
      <c r="DY133" s="43" t="str">
        <f t="shared" si="2012"/>
        <v/>
      </c>
      <c r="DZ133" s="43" t="str">
        <f t="shared" si="2013"/>
        <v/>
      </c>
      <c r="EA133" s="43" t="str">
        <f t="shared" si="2014"/>
        <v/>
      </c>
      <c r="EB133" s="43" t="str">
        <f t="shared" si="2015"/>
        <v/>
      </c>
      <c r="EC133" s="43" t="str">
        <f t="shared" si="2016"/>
        <v/>
      </c>
      <c r="ED133" s="43" t="str">
        <f t="shared" si="2017"/>
        <v/>
      </c>
      <c r="EE133" s="43" t="str">
        <f t="shared" si="2018"/>
        <v/>
      </c>
      <c r="EF133" s="43" t="str">
        <f t="shared" si="2019"/>
        <v/>
      </c>
      <c r="EG133" s="43" t="str">
        <f t="shared" si="2020"/>
        <v/>
      </c>
      <c r="EH133" s="43" t="str">
        <f t="shared" si="2021"/>
        <v/>
      </c>
      <c r="EI133" s="43" t="str">
        <f t="shared" si="2022"/>
        <v/>
      </c>
      <c r="EJ133" s="43" t="str">
        <f t="shared" si="2023"/>
        <v/>
      </c>
      <c r="EK133" s="43" t="str">
        <f t="shared" si="2024"/>
        <v/>
      </c>
      <c r="EL133" s="43" t="str">
        <f t="shared" si="2025"/>
        <v/>
      </c>
      <c r="EM133" s="43" t="str">
        <f t="shared" si="2026"/>
        <v/>
      </c>
      <c r="EN133" s="43" t="str">
        <f t="shared" si="2027"/>
        <v/>
      </c>
      <c r="EO133" s="43" t="str">
        <f t="shared" si="2028"/>
        <v/>
      </c>
      <c r="EP133" s="43" t="str">
        <f t="shared" si="2029"/>
        <v/>
      </c>
      <c r="EQ133" s="43" t="str">
        <f t="shared" si="2030"/>
        <v/>
      </c>
      <c r="ER133" s="43" t="str">
        <f t="shared" si="2031"/>
        <v/>
      </c>
      <c r="ES133" s="43" t="str">
        <f t="shared" si="2032"/>
        <v/>
      </c>
      <c r="ET133" s="43" t="str">
        <f t="shared" si="2033"/>
        <v/>
      </c>
      <c r="EU133" s="43" t="str">
        <f t="shared" si="2034"/>
        <v/>
      </c>
      <c r="EV133" s="43" t="str">
        <f t="shared" si="2035"/>
        <v/>
      </c>
      <c r="EW133" s="43" t="str">
        <f t="shared" si="2036"/>
        <v/>
      </c>
      <c r="EX133" s="43" t="str">
        <f t="shared" si="2037"/>
        <v/>
      </c>
      <c r="EY133" s="43" t="str">
        <f t="shared" si="2038"/>
        <v/>
      </c>
      <c r="EZ133" s="43" t="str">
        <f t="shared" si="2039"/>
        <v/>
      </c>
      <c r="FA133" s="43" t="str">
        <f t="shared" si="2040"/>
        <v/>
      </c>
      <c r="FB133" s="43" t="str">
        <f t="shared" si="2041"/>
        <v/>
      </c>
      <c r="FC133" s="43" t="str">
        <f t="shared" si="2042"/>
        <v/>
      </c>
      <c r="FD133" s="43" t="str">
        <f t="shared" si="2043"/>
        <v/>
      </c>
      <c r="FE133" s="43" t="str">
        <f t="shared" si="2044"/>
        <v/>
      </c>
      <c r="FF133" s="43" t="str">
        <f t="shared" si="2045"/>
        <v/>
      </c>
      <c r="FG133" s="43" t="str">
        <f t="shared" si="2046"/>
        <v/>
      </c>
      <c r="FH133" s="43" t="str">
        <f t="shared" si="2047"/>
        <v/>
      </c>
      <c r="FI133" s="43" t="str">
        <f t="shared" si="2048"/>
        <v/>
      </c>
      <c r="FJ133" s="43" t="str">
        <f t="shared" si="2049"/>
        <v/>
      </c>
      <c r="FK133" s="43" t="str">
        <f t="shared" si="2050"/>
        <v/>
      </c>
      <c r="FL133" s="43" t="str">
        <f t="shared" si="2051"/>
        <v/>
      </c>
      <c r="FM133" s="43" t="str">
        <f t="shared" si="2052"/>
        <v/>
      </c>
      <c r="FN133" s="43" t="str">
        <f t="shared" si="2053"/>
        <v/>
      </c>
      <c r="FO133" s="43" t="str">
        <f t="shared" si="2054"/>
        <v/>
      </c>
      <c r="FP133" s="43" t="str">
        <f t="shared" si="2055"/>
        <v/>
      </c>
      <c r="FQ133" s="43" t="str">
        <f t="shared" si="2056"/>
        <v/>
      </c>
      <c r="FR133" s="43" t="str">
        <f t="shared" si="2057"/>
        <v/>
      </c>
      <c r="FS133" s="43" t="str">
        <f t="shared" si="2058"/>
        <v/>
      </c>
    </row>
    <row r="134" spans="1:175" ht="16.5">
      <c r="A134" s="4"/>
      <c r="B134" s="6" t="s">
        <v>427</v>
      </c>
      <c r="C134" s="73" t="s">
        <v>419</v>
      </c>
      <c r="T134" s="78" t="s">
        <v>420</v>
      </c>
      <c r="U134" s="55" t="s">
        <v>421</v>
      </c>
      <c r="CN134" s="12" t="str">
        <f t="shared" si="1550"/>
        <v>InitUnitState('INDL',,,,,,,,,,)</v>
      </c>
      <c r="CO134" s="12" t="str">
        <f t="shared" si="1551"/>
        <v>InitUnitNormal('INDL',,,,,,,,,,)</v>
      </c>
      <c r="CP134" s="12" t="str">
        <f t="shared" si="1552"/>
        <v>InitUnitMagic('INDL',,,,,,,,,,)</v>
      </c>
      <c r="CQ134" s="12" t="str">
        <f t="shared" si="1553"/>
        <v>InitUnitAdd('INDL',,,,,,,,,,)</v>
      </c>
      <c r="CR134" s="12" t="str">
        <f t="shared" si="1986"/>
        <v>InitEquipData('INDL',,"",,,,,'','','','','','',"ReplaceableTextures\\CommandButtons\\BTNIN14.blp")</v>
      </c>
      <c r="CU134" s="67" t="str">
        <f t="shared" si="1987"/>
        <v>|n</v>
      </c>
      <c r="CV134" s="5" t="str">
        <f t="shared" si="1988"/>
        <v>开启后随机获得一张|Cffffd24d锦囊卡|r</v>
      </c>
      <c r="CW134" s="6"/>
      <c r="CX134" s="6"/>
      <c r="CY134" s="6"/>
      <c r="CZ134" s="6"/>
      <c r="DA134" s="6"/>
      <c r="DB134" s="43" t="str">
        <f t="shared" si="1989"/>
        <v/>
      </c>
      <c r="DC134" s="43" t="str">
        <f t="shared" si="1990"/>
        <v/>
      </c>
      <c r="DD134" s="43" t="str">
        <f t="shared" si="1991"/>
        <v/>
      </c>
      <c r="DE134" s="43" t="str">
        <f t="shared" si="1992"/>
        <v/>
      </c>
      <c r="DF134" s="43" t="str">
        <f t="shared" si="1993"/>
        <v/>
      </c>
      <c r="DG134" s="43" t="str">
        <f t="shared" si="1994"/>
        <v/>
      </c>
      <c r="DH134" s="43" t="str">
        <f t="shared" si="1995"/>
        <v/>
      </c>
      <c r="DI134" s="43" t="str">
        <f t="shared" si="1996"/>
        <v/>
      </c>
      <c r="DJ134" s="43" t="str">
        <f t="shared" si="1997"/>
        <v/>
      </c>
      <c r="DK134" s="43" t="str">
        <f t="shared" si="1998"/>
        <v/>
      </c>
      <c r="DL134" s="43" t="str">
        <f t="shared" si="1999"/>
        <v/>
      </c>
      <c r="DM134" s="43" t="str">
        <f t="shared" si="2000"/>
        <v/>
      </c>
      <c r="DN134" s="43" t="str">
        <f t="shared" si="2001"/>
        <v/>
      </c>
      <c r="DO134" s="43" t="str">
        <f t="shared" si="2002"/>
        <v/>
      </c>
      <c r="DP134" s="43" t="str">
        <f t="shared" si="2003"/>
        <v/>
      </c>
      <c r="DQ134" s="43" t="str">
        <f t="shared" si="2004"/>
        <v/>
      </c>
      <c r="DR134" s="43" t="str">
        <f t="shared" si="2005"/>
        <v/>
      </c>
      <c r="DS134" s="43" t="str">
        <f t="shared" si="2006"/>
        <v/>
      </c>
      <c r="DT134" s="43" t="str">
        <f t="shared" si="2007"/>
        <v/>
      </c>
      <c r="DU134" s="43" t="str">
        <f t="shared" si="2008"/>
        <v/>
      </c>
      <c r="DV134" s="43" t="str">
        <f t="shared" si="2009"/>
        <v/>
      </c>
      <c r="DW134" s="43" t="str">
        <f t="shared" si="2010"/>
        <v/>
      </c>
      <c r="DX134" s="43" t="str">
        <f t="shared" si="2011"/>
        <v/>
      </c>
      <c r="DY134" s="43" t="str">
        <f t="shared" si="2012"/>
        <v/>
      </c>
      <c r="DZ134" s="43" t="str">
        <f t="shared" si="2013"/>
        <v/>
      </c>
      <c r="EA134" s="43" t="str">
        <f t="shared" si="2014"/>
        <v/>
      </c>
      <c r="EB134" s="43" t="str">
        <f t="shared" si="2015"/>
        <v/>
      </c>
      <c r="EC134" s="43" t="str">
        <f t="shared" si="2016"/>
        <v/>
      </c>
      <c r="ED134" s="43" t="str">
        <f t="shared" si="2017"/>
        <v/>
      </c>
      <c r="EE134" s="43" t="str">
        <f t="shared" si="2018"/>
        <v/>
      </c>
      <c r="EF134" s="43" t="str">
        <f t="shared" si="2019"/>
        <v/>
      </c>
      <c r="EG134" s="43" t="str">
        <f t="shared" si="2020"/>
        <v/>
      </c>
      <c r="EH134" s="43" t="str">
        <f t="shared" si="2021"/>
        <v/>
      </c>
      <c r="EI134" s="43" t="str">
        <f t="shared" si="2022"/>
        <v/>
      </c>
      <c r="EJ134" s="43" t="str">
        <f t="shared" si="2023"/>
        <v/>
      </c>
      <c r="EK134" s="43" t="str">
        <f t="shared" si="2024"/>
        <v/>
      </c>
      <c r="EL134" s="43" t="str">
        <f t="shared" si="2025"/>
        <v/>
      </c>
      <c r="EM134" s="43" t="str">
        <f t="shared" si="2026"/>
        <v/>
      </c>
      <c r="EN134" s="43" t="str">
        <f t="shared" si="2027"/>
        <v/>
      </c>
      <c r="EO134" s="43" t="str">
        <f t="shared" si="2028"/>
        <v/>
      </c>
      <c r="EP134" s="43" t="str">
        <f t="shared" si="2029"/>
        <v/>
      </c>
      <c r="EQ134" s="43" t="str">
        <f t="shared" si="2030"/>
        <v/>
      </c>
      <c r="ER134" s="43" t="str">
        <f t="shared" si="2031"/>
        <v/>
      </c>
      <c r="ES134" s="43" t="str">
        <f t="shared" si="2032"/>
        <v/>
      </c>
      <c r="ET134" s="43" t="str">
        <f t="shared" si="2033"/>
        <v/>
      </c>
      <c r="EU134" s="43" t="str">
        <f t="shared" si="2034"/>
        <v/>
      </c>
      <c r="EV134" s="43" t="str">
        <f t="shared" si="2035"/>
        <v/>
      </c>
      <c r="EW134" s="43" t="str">
        <f t="shared" si="2036"/>
        <v/>
      </c>
      <c r="EX134" s="43" t="str">
        <f t="shared" si="2037"/>
        <v/>
      </c>
      <c r="EY134" s="43" t="str">
        <f t="shared" si="2038"/>
        <v/>
      </c>
      <c r="EZ134" s="43" t="str">
        <f t="shared" si="2039"/>
        <v/>
      </c>
      <c r="FA134" s="43" t="str">
        <f t="shared" si="2040"/>
        <v/>
      </c>
      <c r="FB134" s="43" t="str">
        <f t="shared" si="2041"/>
        <v/>
      </c>
      <c r="FC134" s="43" t="str">
        <f t="shared" si="2042"/>
        <v/>
      </c>
      <c r="FD134" s="43" t="str">
        <f t="shared" si="2043"/>
        <v/>
      </c>
      <c r="FE134" s="43" t="str">
        <f t="shared" si="2044"/>
        <v/>
      </c>
      <c r="FF134" s="43" t="str">
        <f t="shared" si="2045"/>
        <v/>
      </c>
      <c r="FG134" s="43" t="str">
        <f t="shared" si="2046"/>
        <v/>
      </c>
      <c r="FH134" s="43" t="str">
        <f t="shared" si="2047"/>
        <v/>
      </c>
      <c r="FI134" s="43" t="str">
        <f t="shared" si="2048"/>
        <v/>
      </c>
      <c r="FJ134" s="43" t="str">
        <f t="shared" si="2049"/>
        <v/>
      </c>
      <c r="FK134" s="43" t="str">
        <f t="shared" si="2050"/>
        <v/>
      </c>
      <c r="FL134" s="43" t="str">
        <f t="shared" si="2051"/>
        <v/>
      </c>
      <c r="FM134" s="43" t="str">
        <f t="shared" si="2052"/>
        <v/>
      </c>
      <c r="FN134" s="43" t="str">
        <f t="shared" si="2053"/>
        <v/>
      </c>
      <c r="FO134" s="43" t="str">
        <f t="shared" si="2054"/>
        <v/>
      </c>
      <c r="FP134" s="43" t="str">
        <f t="shared" si="2055"/>
        <v/>
      </c>
      <c r="FQ134" s="43" t="str">
        <f t="shared" si="2056"/>
        <v/>
      </c>
      <c r="FR134" s="43" t="str">
        <f t="shared" si="2057"/>
        <v/>
      </c>
      <c r="FS134" s="43" t="str">
        <f t="shared" si="2058"/>
        <v/>
      </c>
    </row>
    <row r="135" spans="1:175" ht="54">
      <c r="A135" s="4"/>
      <c r="B135" s="6" t="s">
        <v>428</v>
      </c>
      <c r="C135" s="73" t="s">
        <v>411</v>
      </c>
      <c r="T135" s="78" t="s">
        <v>412</v>
      </c>
      <c r="U135" s="55" t="s">
        <v>413</v>
      </c>
      <c r="CN135" s="12" t="str">
        <f t="shared" si="1550"/>
        <v>InitUnitState('INDM',,,,,,,,,,)</v>
      </c>
      <c r="CO135" s="12" t="str">
        <f t="shared" si="1551"/>
        <v>InitUnitNormal('INDM',,,,,,,,,,)</v>
      </c>
      <c r="CP135" s="12" t="str">
        <f t="shared" si="1552"/>
        <v>InitUnitMagic('INDM',,,,,,,,,,)</v>
      </c>
      <c r="CQ135" s="12" t="str">
        <f t="shared" si="1553"/>
        <v>InitUnitAdd('INDM',,,,,,,,,,)</v>
      </c>
      <c r="CR135" s="12" t="str">
        <f t="shared" si="1986"/>
        <v>InitEquipData('INDM',,"",,,,,'','','','','','',"ReplaceableTextures\\CommandButtons\\BTNIN15.blp")</v>
      </c>
      <c r="CU135" s="67" t="str">
        <f t="shared" si="1987"/>
        <v>|n</v>
      </c>
      <c r="CV135" s="5" t="str">
        <f t="shared" si="1988"/>
        <v xml:space="preserve">开启后获得|Cffffd24d42~700木头|r或|Cffffd24d随机锦囊卡|r。|n|n|Cff00ff7f掉落时激活的星宿越多，人品越好 |r     </v>
      </c>
      <c r="CW135" s="6"/>
      <c r="CX135" s="6"/>
      <c r="CY135" s="6"/>
      <c r="CZ135" s="6"/>
      <c r="DA135" s="6"/>
      <c r="DB135" s="43" t="str">
        <f t="shared" si="1989"/>
        <v/>
      </c>
      <c r="DC135" s="43" t="str">
        <f t="shared" si="1990"/>
        <v/>
      </c>
      <c r="DD135" s="43" t="str">
        <f t="shared" si="1991"/>
        <v/>
      </c>
      <c r="DE135" s="43" t="str">
        <f t="shared" si="1992"/>
        <v/>
      </c>
      <c r="DF135" s="43" t="str">
        <f t="shared" si="1993"/>
        <v/>
      </c>
      <c r="DG135" s="43" t="str">
        <f t="shared" si="1994"/>
        <v/>
      </c>
      <c r="DH135" s="43" t="str">
        <f t="shared" si="1995"/>
        <v/>
      </c>
      <c r="DI135" s="43" t="str">
        <f t="shared" si="1996"/>
        <v/>
      </c>
      <c r="DJ135" s="43" t="str">
        <f t="shared" si="1997"/>
        <v/>
      </c>
      <c r="DK135" s="43" t="str">
        <f t="shared" si="1998"/>
        <v/>
      </c>
      <c r="DL135" s="43" t="str">
        <f t="shared" si="1999"/>
        <v/>
      </c>
      <c r="DM135" s="43" t="str">
        <f t="shared" si="2000"/>
        <v/>
      </c>
      <c r="DN135" s="43" t="str">
        <f t="shared" si="2001"/>
        <v/>
      </c>
      <c r="DO135" s="43" t="str">
        <f t="shared" si="2002"/>
        <v/>
      </c>
      <c r="DP135" s="43" t="str">
        <f t="shared" si="2003"/>
        <v/>
      </c>
      <c r="DQ135" s="43" t="str">
        <f t="shared" si="2004"/>
        <v/>
      </c>
      <c r="DR135" s="43" t="str">
        <f t="shared" si="2005"/>
        <v/>
      </c>
      <c r="DS135" s="43" t="str">
        <f t="shared" si="2006"/>
        <v/>
      </c>
      <c r="DT135" s="43" t="str">
        <f t="shared" si="2007"/>
        <v/>
      </c>
      <c r="DU135" s="43" t="str">
        <f t="shared" si="2008"/>
        <v/>
      </c>
      <c r="DV135" s="43" t="str">
        <f t="shared" si="2009"/>
        <v/>
      </c>
      <c r="DW135" s="43" t="str">
        <f t="shared" si="2010"/>
        <v/>
      </c>
      <c r="DX135" s="43" t="str">
        <f t="shared" si="2011"/>
        <v/>
      </c>
      <c r="DY135" s="43" t="str">
        <f t="shared" si="2012"/>
        <v/>
      </c>
      <c r="DZ135" s="43" t="str">
        <f t="shared" si="2013"/>
        <v/>
      </c>
      <c r="EA135" s="43" t="str">
        <f t="shared" si="2014"/>
        <v/>
      </c>
      <c r="EB135" s="43" t="str">
        <f t="shared" si="2015"/>
        <v/>
      </c>
      <c r="EC135" s="43" t="str">
        <f t="shared" si="2016"/>
        <v/>
      </c>
      <c r="ED135" s="43" t="str">
        <f t="shared" si="2017"/>
        <v/>
      </c>
      <c r="EE135" s="43" t="str">
        <f t="shared" si="2018"/>
        <v/>
      </c>
      <c r="EF135" s="43" t="str">
        <f t="shared" si="2019"/>
        <v/>
      </c>
      <c r="EG135" s="43" t="str">
        <f t="shared" si="2020"/>
        <v/>
      </c>
      <c r="EH135" s="43" t="str">
        <f t="shared" si="2021"/>
        <v/>
      </c>
      <c r="EI135" s="43" t="str">
        <f t="shared" si="2022"/>
        <v/>
      </c>
      <c r="EJ135" s="43" t="str">
        <f t="shared" si="2023"/>
        <v/>
      </c>
      <c r="EK135" s="43" t="str">
        <f t="shared" si="2024"/>
        <v/>
      </c>
      <c r="EL135" s="43" t="str">
        <f t="shared" si="2025"/>
        <v/>
      </c>
      <c r="EM135" s="43" t="str">
        <f t="shared" si="2026"/>
        <v/>
      </c>
      <c r="EN135" s="43" t="str">
        <f t="shared" si="2027"/>
        <v/>
      </c>
      <c r="EO135" s="43" t="str">
        <f t="shared" si="2028"/>
        <v/>
      </c>
      <c r="EP135" s="43" t="str">
        <f t="shared" si="2029"/>
        <v/>
      </c>
      <c r="EQ135" s="43" t="str">
        <f t="shared" si="2030"/>
        <v/>
      </c>
      <c r="ER135" s="43" t="str">
        <f t="shared" si="2031"/>
        <v/>
      </c>
      <c r="ES135" s="43" t="str">
        <f t="shared" si="2032"/>
        <v/>
      </c>
      <c r="ET135" s="43" t="str">
        <f t="shared" si="2033"/>
        <v/>
      </c>
      <c r="EU135" s="43" t="str">
        <f t="shared" si="2034"/>
        <v/>
      </c>
      <c r="EV135" s="43" t="str">
        <f t="shared" si="2035"/>
        <v/>
      </c>
      <c r="EW135" s="43" t="str">
        <f t="shared" si="2036"/>
        <v/>
      </c>
      <c r="EX135" s="43" t="str">
        <f t="shared" si="2037"/>
        <v/>
      </c>
      <c r="EY135" s="43" t="str">
        <f t="shared" si="2038"/>
        <v/>
      </c>
      <c r="EZ135" s="43" t="str">
        <f t="shared" si="2039"/>
        <v/>
      </c>
      <c r="FA135" s="43" t="str">
        <f t="shared" si="2040"/>
        <v/>
      </c>
      <c r="FB135" s="43" t="str">
        <f t="shared" si="2041"/>
        <v/>
      </c>
      <c r="FC135" s="43" t="str">
        <f t="shared" si="2042"/>
        <v/>
      </c>
      <c r="FD135" s="43" t="str">
        <f t="shared" si="2043"/>
        <v/>
      </c>
      <c r="FE135" s="43" t="str">
        <f t="shared" si="2044"/>
        <v/>
      </c>
      <c r="FF135" s="43" t="str">
        <f t="shared" si="2045"/>
        <v/>
      </c>
      <c r="FG135" s="43" t="str">
        <f t="shared" si="2046"/>
        <v/>
      </c>
      <c r="FH135" s="43" t="str">
        <f t="shared" si="2047"/>
        <v/>
      </c>
      <c r="FI135" s="43" t="str">
        <f t="shared" si="2048"/>
        <v/>
      </c>
      <c r="FJ135" s="43" t="str">
        <f t="shared" si="2049"/>
        <v/>
      </c>
      <c r="FK135" s="43" t="str">
        <f t="shared" si="2050"/>
        <v/>
      </c>
      <c r="FL135" s="43" t="str">
        <f t="shared" si="2051"/>
        <v/>
      </c>
      <c r="FM135" s="43" t="str">
        <f t="shared" si="2052"/>
        <v/>
      </c>
      <c r="FN135" s="43" t="str">
        <f t="shared" si="2053"/>
        <v/>
      </c>
      <c r="FO135" s="43" t="str">
        <f t="shared" si="2054"/>
        <v/>
      </c>
      <c r="FP135" s="43" t="str">
        <f t="shared" si="2055"/>
        <v/>
      </c>
      <c r="FQ135" s="43" t="str">
        <f t="shared" si="2056"/>
        <v/>
      </c>
      <c r="FR135" s="43" t="str">
        <f t="shared" si="2057"/>
        <v/>
      </c>
      <c r="FS135" s="43" t="str">
        <f t="shared" si="2058"/>
        <v/>
      </c>
    </row>
    <row r="136" spans="1:175" ht="54">
      <c r="A136" s="4"/>
      <c r="B136" s="6" t="s">
        <v>429</v>
      </c>
      <c r="C136" s="73" t="s">
        <v>411</v>
      </c>
      <c r="T136" s="78" t="s">
        <v>412</v>
      </c>
      <c r="U136" s="55" t="s">
        <v>413</v>
      </c>
      <c r="CN136" s="12" t="str">
        <f t="shared" si="1550"/>
        <v>InitUnitState('INDN',,,,,,,,,,)</v>
      </c>
      <c r="CO136" s="12" t="str">
        <f t="shared" si="1551"/>
        <v>InitUnitNormal('INDN',,,,,,,,,,)</v>
      </c>
      <c r="CP136" s="12" t="str">
        <f t="shared" si="1552"/>
        <v>InitUnitMagic('INDN',,,,,,,,,,)</v>
      </c>
      <c r="CQ136" s="12" t="str">
        <f t="shared" si="1553"/>
        <v>InitUnitAdd('INDN',,,,,,,,,,)</v>
      </c>
      <c r="CR136" s="12" t="str">
        <f t="shared" si="1986"/>
        <v>InitEquipData('INDN',,"",,,,,'','','','','','',"ReplaceableTextures\\CommandButtons\\BTNIN16.blp")</v>
      </c>
      <c r="CU136" s="67" t="str">
        <f t="shared" si="1987"/>
        <v>|n</v>
      </c>
      <c r="CV136" s="5" t="str">
        <f t="shared" si="1988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1989"/>
        <v/>
      </c>
      <c r="DC136" s="43" t="str">
        <f t="shared" si="1990"/>
        <v/>
      </c>
      <c r="DD136" s="43" t="str">
        <f t="shared" si="1991"/>
        <v/>
      </c>
      <c r="DE136" s="43" t="str">
        <f t="shared" si="1992"/>
        <v/>
      </c>
      <c r="DF136" s="43" t="str">
        <f t="shared" si="1993"/>
        <v/>
      </c>
      <c r="DG136" s="43" t="str">
        <f t="shared" si="1994"/>
        <v/>
      </c>
      <c r="DH136" s="43" t="str">
        <f t="shared" si="1995"/>
        <v/>
      </c>
      <c r="DI136" s="43" t="str">
        <f t="shared" si="1996"/>
        <v/>
      </c>
      <c r="DJ136" s="43" t="str">
        <f t="shared" si="1997"/>
        <v/>
      </c>
      <c r="DK136" s="43" t="str">
        <f t="shared" si="1998"/>
        <v/>
      </c>
      <c r="DL136" s="43" t="str">
        <f t="shared" si="1999"/>
        <v/>
      </c>
      <c r="DM136" s="43" t="str">
        <f t="shared" si="2000"/>
        <v/>
      </c>
      <c r="DN136" s="43" t="str">
        <f t="shared" si="2001"/>
        <v/>
      </c>
      <c r="DO136" s="43" t="str">
        <f t="shared" si="2002"/>
        <v/>
      </c>
      <c r="DP136" s="43" t="str">
        <f t="shared" si="2003"/>
        <v/>
      </c>
      <c r="DQ136" s="43" t="str">
        <f t="shared" si="2004"/>
        <v/>
      </c>
      <c r="DR136" s="43" t="str">
        <f t="shared" si="2005"/>
        <v/>
      </c>
      <c r="DS136" s="43" t="str">
        <f t="shared" si="2006"/>
        <v/>
      </c>
      <c r="DT136" s="43" t="str">
        <f t="shared" si="2007"/>
        <v/>
      </c>
      <c r="DU136" s="43" t="str">
        <f t="shared" si="2008"/>
        <v/>
      </c>
      <c r="DV136" s="43" t="str">
        <f t="shared" si="2009"/>
        <v/>
      </c>
      <c r="DW136" s="43" t="str">
        <f t="shared" si="2010"/>
        <v/>
      </c>
      <c r="DX136" s="43" t="str">
        <f t="shared" si="2011"/>
        <v/>
      </c>
      <c r="DY136" s="43" t="str">
        <f t="shared" si="2012"/>
        <v/>
      </c>
      <c r="DZ136" s="43" t="str">
        <f t="shared" si="2013"/>
        <v/>
      </c>
      <c r="EA136" s="43" t="str">
        <f t="shared" si="2014"/>
        <v/>
      </c>
      <c r="EB136" s="43" t="str">
        <f t="shared" si="2015"/>
        <v/>
      </c>
      <c r="EC136" s="43" t="str">
        <f t="shared" si="2016"/>
        <v/>
      </c>
      <c r="ED136" s="43" t="str">
        <f t="shared" si="2017"/>
        <v/>
      </c>
      <c r="EE136" s="43" t="str">
        <f t="shared" si="2018"/>
        <v/>
      </c>
      <c r="EF136" s="43" t="str">
        <f t="shared" si="2019"/>
        <v/>
      </c>
      <c r="EG136" s="43" t="str">
        <f t="shared" si="2020"/>
        <v/>
      </c>
      <c r="EH136" s="43" t="str">
        <f t="shared" si="2021"/>
        <v/>
      </c>
      <c r="EI136" s="43" t="str">
        <f t="shared" si="2022"/>
        <v/>
      </c>
      <c r="EJ136" s="43" t="str">
        <f t="shared" si="2023"/>
        <v/>
      </c>
      <c r="EK136" s="43" t="str">
        <f t="shared" si="2024"/>
        <v/>
      </c>
      <c r="EL136" s="43" t="str">
        <f t="shared" si="2025"/>
        <v/>
      </c>
      <c r="EM136" s="43" t="str">
        <f t="shared" si="2026"/>
        <v/>
      </c>
      <c r="EN136" s="43" t="str">
        <f t="shared" si="2027"/>
        <v/>
      </c>
      <c r="EO136" s="43" t="str">
        <f t="shared" si="2028"/>
        <v/>
      </c>
      <c r="EP136" s="43" t="str">
        <f t="shared" si="2029"/>
        <v/>
      </c>
      <c r="EQ136" s="43" t="str">
        <f t="shared" si="2030"/>
        <v/>
      </c>
      <c r="ER136" s="43" t="str">
        <f t="shared" si="2031"/>
        <v/>
      </c>
      <c r="ES136" s="43" t="str">
        <f t="shared" si="2032"/>
        <v/>
      </c>
      <c r="ET136" s="43" t="str">
        <f t="shared" si="2033"/>
        <v/>
      </c>
      <c r="EU136" s="43" t="str">
        <f t="shared" si="2034"/>
        <v/>
      </c>
      <c r="EV136" s="43" t="str">
        <f t="shared" si="2035"/>
        <v/>
      </c>
      <c r="EW136" s="43" t="str">
        <f t="shared" si="2036"/>
        <v/>
      </c>
      <c r="EX136" s="43" t="str">
        <f t="shared" si="2037"/>
        <v/>
      </c>
      <c r="EY136" s="43" t="str">
        <f t="shared" si="2038"/>
        <v/>
      </c>
      <c r="EZ136" s="43" t="str">
        <f t="shared" si="2039"/>
        <v/>
      </c>
      <c r="FA136" s="43" t="str">
        <f t="shared" si="2040"/>
        <v/>
      </c>
      <c r="FB136" s="43" t="str">
        <f t="shared" si="2041"/>
        <v/>
      </c>
      <c r="FC136" s="43" t="str">
        <f t="shared" si="2042"/>
        <v/>
      </c>
      <c r="FD136" s="43" t="str">
        <f t="shared" si="2043"/>
        <v/>
      </c>
      <c r="FE136" s="43" t="str">
        <f t="shared" si="2044"/>
        <v/>
      </c>
      <c r="FF136" s="43" t="str">
        <f t="shared" si="2045"/>
        <v/>
      </c>
      <c r="FG136" s="43" t="str">
        <f t="shared" si="2046"/>
        <v/>
      </c>
      <c r="FH136" s="43" t="str">
        <f t="shared" si="2047"/>
        <v/>
      </c>
      <c r="FI136" s="43" t="str">
        <f t="shared" si="2048"/>
        <v/>
      </c>
      <c r="FJ136" s="43" t="str">
        <f t="shared" si="2049"/>
        <v/>
      </c>
      <c r="FK136" s="43" t="str">
        <f t="shared" si="2050"/>
        <v/>
      </c>
      <c r="FL136" s="43" t="str">
        <f t="shared" si="2051"/>
        <v/>
      </c>
      <c r="FM136" s="43" t="str">
        <f t="shared" si="2052"/>
        <v/>
      </c>
      <c r="FN136" s="43" t="str">
        <f t="shared" si="2053"/>
        <v/>
      </c>
      <c r="FO136" s="43" t="str">
        <f t="shared" si="2054"/>
        <v/>
      </c>
      <c r="FP136" s="43" t="str">
        <f t="shared" si="2055"/>
        <v/>
      </c>
      <c r="FQ136" s="43" t="str">
        <f t="shared" si="2056"/>
        <v/>
      </c>
      <c r="FR136" s="43" t="str">
        <f t="shared" si="2057"/>
        <v/>
      </c>
      <c r="FS136" s="43" t="str">
        <f t="shared" si="2058"/>
        <v/>
      </c>
    </row>
    <row r="137" spans="1:175" ht="54">
      <c r="A137" s="4"/>
      <c r="B137" s="6" t="s">
        <v>430</v>
      </c>
      <c r="C137" s="73" t="s">
        <v>411</v>
      </c>
      <c r="T137" s="78" t="s">
        <v>412</v>
      </c>
      <c r="U137" s="55" t="s">
        <v>413</v>
      </c>
      <c r="CN137" s="12" t="str">
        <f t="shared" si="1550"/>
        <v>InitUnitState('INDO',,,,,,,,,,)</v>
      </c>
      <c r="CO137" s="12" t="str">
        <f t="shared" si="1551"/>
        <v>InitUnitNormal('INDO',,,,,,,,,,)</v>
      </c>
      <c r="CP137" s="12" t="str">
        <f t="shared" si="1552"/>
        <v>InitUnitMagic('INDO',,,,,,,,,,)</v>
      </c>
      <c r="CQ137" s="12" t="str">
        <f t="shared" si="1553"/>
        <v>InitUnitAdd('INDO',,,,,,,,,,)</v>
      </c>
      <c r="CR137" s="12" t="str">
        <f t="shared" si="1986"/>
        <v>InitEquipData('INDO',,"",,,,,'','','','','','',"ReplaceableTextures\\CommandButtons\\BTNIN17.blp")</v>
      </c>
      <c r="CU137" s="67" t="str">
        <f t="shared" si="1987"/>
        <v>|n</v>
      </c>
      <c r="CV137" s="5" t="str">
        <f t="shared" si="1988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1989"/>
        <v/>
      </c>
      <c r="DC137" s="43" t="str">
        <f t="shared" si="1990"/>
        <v/>
      </c>
      <c r="DD137" s="43" t="str">
        <f t="shared" si="1991"/>
        <v/>
      </c>
      <c r="DE137" s="43" t="str">
        <f t="shared" si="1992"/>
        <v/>
      </c>
      <c r="DF137" s="43" t="str">
        <f t="shared" si="1993"/>
        <v/>
      </c>
      <c r="DG137" s="43" t="str">
        <f t="shared" si="1994"/>
        <v/>
      </c>
      <c r="DH137" s="43" t="str">
        <f t="shared" si="1995"/>
        <v/>
      </c>
      <c r="DI137" s="43" t="str">
        <f t="shared" si="1996"/>
        <v/>
      </c>
      <c r="DJ137" s="43" t="str">
        <f t="shared" si="1997"/>
        <v/>
      </c>
      <c r="DK137" s="43" t="str">
        <f t="shared" si="1998"/>
        <v/>
      </c>
      <c r="DL137" s="43" t="str">
        <f t="shared" si="1999"/>
        <v/>
      </c>
      <c r="DM137" s="43" t="str">
        <f t="shared" si="2000"/>
        <v/>
      </c>
      <c r="DN137" s="43" t="str">
        <f t="shared" si="2001"/>
        <v/>
      </c>
      <c r="DO137" s="43" t="str">
        <f t="shared" si="2002"/>
        <v/>
      </c>
      <c r="DP137" s="43" t="str">
        <f t="shared" si="2003"/>
        <v/>
      </c>
      <c r="DQ137" s="43" t="str">
        <f t="shared" si="2004"/>
        <v/>
      </c>
      <c r="DR137" s="43" t="str">
        <f t="shared" si="2005"/>
        <v/>
      </c>
      <c r="DS137" s="43" t="str">
        <f t="shared" si="2006"/>
        <v/>
      </c>
      <c r="DT137" s="43" t="str">
        <f t="shared" si="2007"/>
        <v/>
      </c>
      <c r="DU137" s="43" t="str">
        <f t="shared" si="2008"/>
        <v/>
      </c>
      <c r="DV137" s="43" t="str">
        <f t="shared" si="2009"/>
        <v/>
      </c>
      <c r="DW137" s="43" t="str">
        <f t="shared" si="2010"/>
        <v/>
      </c>
      <c r="DX137" s="43" t="str">
        <f t="shared" si="2011"/>
        <v/>
      </c>
      <c r="DY137" s="43" t="str">
        <f t="shared" si="2012"/>
        <v/>
      </c>
      <c r="DZ137" s="43" t="str">
        <f t="shared" si="2013"/>
        <v/>
      </c>
      <c r="EA137" s="43" t="str">
        <f t="shared" si="2014"/>
        <v/>
      </c>
      <c r="EB137" s="43" t="str">
        <f t="shared" si="2015"/>
        <v/>
      </c>
      <c r="EC137" s="43" t="str">
        <f t="shared" si="2016"/>
        <v/>
      </c>
      <c r="ED137" s="43" t="str">
        <f t="shared" si="2017"/>
        <v/>
      </c>
      <c r="EE137" s="43" t="str">
        <f t="shared" si="2018"/>
        <v/>
      </c>
      <c r="EF137" s="43" t="str">
        <f t="shared" si="2019"/>
        <v/>
      </c>
      <c r="EG137" s="43" t="str">
        <f t="shared" si="2020"/>
        <v/>
      </c>
      <c r="EH137" s="43" t="str">
        <f t="shared" si="2021"/>
        <v/>
      </c>
      <c r="EI137" s="43" t="str">
        <f t="shared" si="2022"/>
        <v/>
      </c>
      <c r="EJ137" s="43" t="str">
        <f t="shared" si="2023"/>
        <v/>
      </c>
      <c r="EK137" s="43" t="str">
        <f t="shared" si="2024"/>
        <v/>
      </c>
      <c r="EL137" s="43" t="str">
        <f t="shared" si="2025"/>
        <v/>
      </c>
      <c r="EM137" s="43" t="str">
        <f t="shared" si="2026"/>
        <v/>
      </c>
      <c r="EN137" s="43" t="str">
        <f t="shared" si="2027"/>
        <v/>
      </c>
      <c r="EO137" s="43" t="str">
        <f t="shared" si="2028"/>
        <v/>
      </c>
      <c r="EP137" s="43" t="str">
        <f t="shared" si="2029"/>
        <v/>
      </c>
      <c r="EQ137" s="43" t="str">
        <f t="shared" si="2030"/>
        <v/>
      </c>
      <c r="ER137" s="43" t="str">
        <f t="shared" si="2031"/>
        <v/>
      </c>
      <c r="ES137" s="43" t="str">
        <f t="shared" si="2032"/>
        <v/>
      </c>
      <c r="ET137" s="43" t="str">
        <f t="shared" si="2033"/>
        <v/>
      </c>
      <c r="EU137" s="43" t="str">
        <f t="shared" si="2034"/>
        <v/>
      </c>
      <c r="EV137" s="43" t="str">
        <f t="shared" si="2035"/>
        <v/>
      </c>
      <c r="EW137" s="43" t="str">
        <f t="shared" si="2036"/>
        <v/>
      </c>
      <c r="EX137" s="43" t="str">
        <f t="shared" si="2037"/>
        <v/>
      </c>
      <c r="EY137" s="43" t="str">
        <f t="shared" si="2038"/>
        <v/>
      </c>
      <c r="EZ137" s="43" t="str">
        <f t="shared" si="2039"/>
        <v/>
      </c>
      <c r="FA137" s="43" t="str">
        <f t="shared" si="2040"/>
        <v/>
      </c>
      <c r="FB137" s="43" t="str">
        <f t="shared" si="2041"/>
        <v/>
      </c>
      <c r="FC137" s="43" t="str">
        <f t="shared" si="2042"/>
        <v/>
      </c>
      <c r="FD137" s="43" t="str">
        <f t="shared" si="2043"/>
        <v/>
      </c>
      <c r="FE137" s="43" t="str">
        <f t="shared" si="2044"/>
        <v/>
      </c>
      <c r="FF137" s="43" t="str">
        <f t="shared" si="2045"/>
        <v/>
      </c>
      <c r="FG137" s="43" t="str">
        <f t="shared" si="2046"/>
        <v/>
      </c>
      <c r="FH137" s="43" t="str">
        <f t="shared" si="2047"/>
        <v/>
      </c>
      <c r="FI137" s="43" t="str">
        <f t="shared" si="2048"/>
        <v/>
      </c>
      <c r="FJ137" s="43" t="str">
        <f t="shared" si="2049"/>
        <v/>
      </c>
      <c r="FK137" s="43" t="str">
        <f t="shared" si="2050"/>
        <v/>
      </c>
      <c r="FL137" s="43" t="str">
        <f t="shared" si="2051"/>
        <v/>
      </c>
      <c r="FM137" s="43" t="str">
        <f t="shared" si="2052"/>
        <v/>
      </c>
      <c r="FN137" s="43" t="str">
        <f t="shared" si="2053"/>
        <v/>
      </c>
      <c r="FO137" s="43" t="str">
        <f t="shared" si="2054"/>
        <v/>
      </c>
      <c r="FP137" s="43" t="str">
        <f t="shared" si="2055"/>
        <v/>
      </c>
      <c r="FQ137" s="43" t="str">
        <f t="shared" si="2056"/>
        <v/>
      </c>
      <c r="FR137" s="43" t="str">
        <f t="shared" si="2057"/>
        <v/>
      </c>
      <c r="FS137" s="43" t="str">
        <f t="shared" si="2058"/>
        <v/>
      </c>
    </row>
    <row r="138" spans="1:175" ht="54">
      <c r="A138" s="4"/>
      <c r="B138" s="6" t="s">
        <v>431</v>
      </c>
      <c r="C138" s="73" t="s">
        <v>411</v>
      </c>
      <c r="T138" s="78" t="s">
        <v>412</v>
      </c>
      <c r="U138" s="55" t="s">
        <v>413</v>
      </c>
      <c r="CN138" s="12" t="str">
        <f t="shared" si="1550"/>
        <v>InitUnitState('INDP',,,,,,,,,,)</v>
      </c>
      <c r="CO138" s="12" t="str">
        <f t="shared" si="1551"/>
        <v>InitUnitNormal('INDP',,,,,,,,,,)</v>
      </c>
      <c r="CP138" s="12" t="str">
        <f t="shared" si="1552"/>
        <v>InitUnitMagic('INDP',,,,,,,,,,)</v>
      </c>
      <c r="CQ138" s="12" t="str">
        <f t="shared" si="1553"/>
        <v>InitUnitAdd('INDP',,,,,,,,,,)</v>
      </c>
      <c r="CR138" s="12" t="str">
        <f t="shared" si="1986"/>
        <v>InitEquipData('INDP',,"",,,,,'','','','','','',"ReplaceableTextures\\CommandButtons\\BTNIN18.blp")</v>
      </c>
      <c r="CU138" s="67" t="str">
        <f t="shared" si="1987"/>
        <v>|n</v>
      </c>
      <c r="CV138" s="5" t="str">
        <f t="shared" si="1988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1989"/>
        <v/>
      </c>
      <c r="DC138" s="43" t="str">
        <f t="shared" si="1990"/>
        <v/>
      </c>
      <c r="DD138" s="43" t="str">
        <f t="shared" si="1991"/>
        <v/>
      </c>
      <c r="DE138" s="43" t="str">
        <f t="shared" si="1992"/>
        <v/>
      </c>
      <c r="DF138" s="43" t="str">
        <f t="shared" si="1993"/>
        <v/>
      </c>
      <c r="DG138" s="43" t="str">
        <f t="shared" si="1994"/>
        <v/>
      </c>
      <c r="DH138" s="43" t="str">
        <f t="shared" si="1995"/>
        <v/>
      </c>
      <c r="DI138" s="43" t="str">
        <f t="shared" si="1996"/>
        <v/>
      </c>
      <c r="DJ138" s="43" t="str">
        <f t="shared" si="1997"/>
        <v/>
      </c>
      <c r="DK138" s="43" t="str">
        <f t="shared" si="1998"/>
        <v/>
      </c>
      <c r="DL138" s="43" t="str">
        <f t="shared" si="1999"/>
        <v/>
      </c>
      <c r="DM138" s="43" t="str">
        <f t="shared" si="2000"/>
        <v/>
      </c>
      <c r="DN138" s="43" t="str">
        <f t="shared" si="2001"/>
        <v/>
      </c>
      <c r="DO138" s="43" t="str">
        <f t="shared" si="2002"/>
        <v/>
      </c>
      <c r="DP138" s="43" t="str">
        <f t="shared" si="2003"/>
        <v/>
      </c>
      <c r="DQ138" s="43" t="str">
        <f t="shared" si="2004"/>
        <v/>
      </c>
      <c r="DR138" s="43" t="str">
        <f t="shared" si="2005"/>
        <v/>
      </c>
      <c r="DS138" s="43" t="str">
        <f t="shared" si="2006"/>
        <v/>
      </c>
      <c r="DT138" s="43" t="str">
        <f t="shared" si="2007"/>
        <v/>
      </c>
      <c r="DU138" s="43" t="str">
        <f t="shared" si="2008"/>
        <v/>
      </c>
      <c r="DV138" s="43" t="str">
        <f t="shared" si="2009"/>
        <v/>
      </c>
      <c r="DW138" s="43" t="str">
        <f t="shared" si="2010"/>
        <v/>
      </c>
      <c r="DX138" s="43" t="str">
        <f t="shared" si="2011"/>
        <v/>
      </c>
      <c r="DY138" s="43" t="str">
        <f t="shared" si="2012"/>
        <v/>
      </c>
      <c r="DZ138" s="43" t="str">
        <f t="shared" si="2013"/>
        <v/>
      </c>
      <c r="EA138" s="43" t="str">
        <f t="shared" si="2014"/>
        <v/>
      </c>
      <c r="EB138" s="43" t="str">
        <f t="shared" si="2015"/>
        <v/>
      </c>
      <c r="EC138" s="43" t="str">
        <f t="shared" si="2016"/>
        <v/>
      </c>
      <c r="ED138" s="43" t="str">
        <f t="shared" si="2017"/>
        <v/>
      </c>
      <c r="EE138" s="43" t="str">
        <f t="shared" si="2018"/>
        <v/>
      </c>
      <c r="EF138" s="43" t="str">
        <f t="shared" si="2019"/>
        <v/>
      </c>
      <c r="EG138" s="43" t="str">
        <f t="shared" si="2020"/>
        <v/>
      </c>
      <c r="EH138" s="43" t="str">
        <f t="shared" si="2021"/>
        <v/>
      </c>
      <c r="EI138" s="43" t="str">
        <f t="shared" si="2022"/>
        <v/>
      </c>
      <c r="EJ138" s="43" t="str">
        <f t="shared" si="2023"/>
        <v/>
      </c>
      <c r="EK138" s="43" t="str">
        <f t="shared" si="2024"/>
        <v/>
      </c>
      <c r="EL138" s="43" t="str">
        <f t="shared" si="2025"/>
        <v/>
      </c>
      <c r="EM138" s="43" t="str">
        <f t="shared" si="2026"/>
        <v/>
      </c>
      <c r="EN138" s="43" t="str">
        <f t="shared" si="2027"/>
        <v/>
      </c>
      <c r="EO138" s="43" t="str">
        <f t="shared" si="2028"/>
        <v/>
      </c>
      <c r="EP138" s="43" t="str">
        <f t="shared" si="2029"/>
        <v/>
      </c>
      <c r="EQ138" s="43" t="str">
        <f t="shared" si="2030"/>
        <v/>
      </c>
      <c r="ER138" s="43" t="str">
        <f t="shared" si="2031"/>
        <v/>
      </c>
      <c r="ES138" s="43" t="str">
        <f t="shared" si="2032"/>
        <v/>
      </c>
      <c r="ET138" s="43" t="str">
        <f t="shared" si="2033"/>
        <v/>
      </c>
      <c r="EU138" s="43" t="str">
        <f t="shared" si="2034"/>
        <v/>
      </c>
      <c r="EV138" s="43" t="str">
        <f t="shared" si="2035"/>
        <v/>
      </c>
      <c r="EW138" s="43" t="str">
        <f t="shared" si="2036"/>
        <v/>
      </c>
      <c r="EX138" s="43" t="str">
        <f t="shared" si="2037"/>
        <v/>
      </c>
      <c r="EY138" s="43" t="str">
        <f t="shared" si="2038"/>
        <v/>
      </c>
      <c r="EZ138" s="43" t="str">
        <f t="shared" si="2039"/>
        <v/>
      </c>
      <c r="FA138" s="43" t="str">
        <f t="shared" si="2040"/>
        <v/>
      </c>
      <c r="FB138" s="43" t="str">
        <f t="shared" si="2041"/>
        <v/>
      </c>
      <c r="FC138" s="43" t="str">
        <f t="shared" si="2042"/>
        <v/>
      </c>
      <c r="FD138" s="43" t="str">
        <f t="shared" si="2043"/>
        <v/>
      </c>
      <c r="FE138" s="43" t="str">
        <f t="shared" si="2044"/>
        <v/>
      </c>
      <c r="FF138" s="43" t="str">
        <f t="shared" si="2045"/>
        <v/>
      </c>
      <c r="FG138" s="43" t="str">
        <f t="shared" si="2046"/>
        <v/>
      </c>
      <c r="FH138" s="43" t="str">
        <f t="shared" si="2047"/>
        <v/>
      </c>
      <c r="FI138" s="43" t="str">
        <f t="shared" si="2048"/>
        <v/>
      </c>
      <c r="FJ138" s="43" t="str">
        <f t="shared" si="2049"/>
        <v/>
      </c>
      <c r="FK138" s="43" t="str">
        <f t="shared" si="2050"/>
        <v/>
      </c>
      <c r="FL138" s="43" t="str">
        <f t="shared" si="2051"/>
        <v/>
      </c>
      <c r="FM138" s="43" t="str">
        <f t="shared" si="2052"/>
        <v/>
      </c>
      <c r="FN138" s="43" t="str">
        <f t="shared" si="2053"/>
        <v/>
      </c>
      <c r="FO138" s="43" t="str">
        <f t="shared" si="2054"/>
        <v/>
      </c>
      <c r="FP138" s="43" t="str">
        <f t="shared" si="2055"/>
        <v/>
      </c>
      <c r="FQ138" s="43" t="str">
        <f t="shared" si="2056"/>
        <v/>
      </c>
      <c r="FR138" s="43" t="str">
        <f t="shared" si="2057"/>
        <v/>
      </c>
      <c r="FS138" s="43" t="str">
        <f t="shared" si="2058"/>
        <v/>
      </c>
    </row>
    <row r="139" spans="1:175" ht="54">
      <c r="A139" s="4"/>
      <c r="B139" s="6" t="s">
        <v>432</v>
      </c>
      <c r="C139" s="73" t="s">
        <v>411</v>
      </c>
      <c r="T139" s="78" t="s">
        <v>412</v>
      </c>
      <c r="U139" s="55" t="s">
        <v>413</v>
      </c>
      <c r="CN139" s="12" t="str">
        <f t="shared" si="1550"/>
        <v>InitUnitState('INDQ',,,,,,,,,,)</v>
      </c>
      <c r="CO139" s="12" t="str">
        <f t="shared" si="1551"/>
        <v>InitUnitNormal('INDQ',,,,,,,,,,)</v>
      </c>
      <c r="CP139" s="12" t="str">
        <f t="shared" si="1552"/>
        <v>InitUnitMagic('INDQ',,,,,,,,,,)</v>
      </c>
      <c r="CQ139" s="12" t="str">
        <f t="shared" si="1553"/>
        <v>InitUnitAdd('INDQ',,,,,,,,,,)</v>
      </c>
      <c r="CR139" s="12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167&amp;CR$1&amp;")"</f>
        <v>InitEquipData('INDQ',,"",,,,,'','','','','','',"ReplaceableTextures\\CommandButtons\\BTNIP01.blp")</v>
      </c>
      <c r="CU139" s="67" t="str">
        <f t="shared" si="1914"/>
        <v>|n</v>
      </c>
      <c r="CV139" s="5" t="str">
        <f t="shared" si="1915"/>
        <v xml:space="preserve">开启后获得|Cffffd24d42~700木头|r或|Cffffd24d随机锦囊卡|r。|n|n|Cff00ff7f掉落时激活的星宿越多，人品越好 |r     </v>
      </c>
      <c r="CW139" s="6"/>
      <c r="CX139" s="6"/>
      <c r="CY139" s="6"/>
      <c r="CZ139" s="6"/>
      <c r="DA139" s="6"/>
      <c r="DB139" s="43" t="str">
        <f t="shared" si="1916"/>
        <v/>
      </c>
      <c r="DC139" s="43" t="str">
        <f t="shared" si="1917"/>
        <v/>
      </c>
      <c r="DD139" s="43" t="str">
        <f t="shared" si="1918"/>
        <v/>
      </c>
      <c r="DE139" s="43" t="str">
        <f t="shared" si="1919"/>
        <v/>
      </c>
      <c r="DF139" s="43" t="str">
        <f t="shared" si="1920"/>
        <v/>
      </c>
      <c r="DG139" s="43" t="str">
        <f t="shared" si="1921"/>
        <v/>
      </c>
      <c r="DH139" s="43" t="str">
        <f t="shared" si="1922"/>
        <v/>
      </c>
      <c r="DI139" s="43" t="str">
        <f t="shared" si="1923"/>
        <v/>
      </c>
      <c r="DJ139" s="43" t="str">
        <f t="shared" si="1924"/>
        <v/>
      </c>
      <c r="DK139" s="43" t="str">
        <f t="shared" si="1925"/>
        <v/>
      </c>
      <c r="DL139" s="43" t="str">
        <f t="shared" si="1926"/>
        <v/>
      </c>
      <c r="DM139" s="43" t="str">
        <f t="shared" si="1927"/>
        <v/>
      </c>
      <c r="DN139" s="43" t="str">
        <f t="shared" si="1928"/>
        <v/>
      </c>
      <c r="DO139" s="43" t="str">
        <f t="shared" si="1929"/>
        <v/>
      </c>
      <c r="DP139" s="43" t="str">
        <f t="shared" si="1930"/>
        <v/>
      </c>
      <c r="DQ139" s="43" t="str">
        <f t="shared" si="1931"/>
        <v/>
      </c>
      <c r="DR139" s="43" t="str">
        <f t="shared" si="1932"/>
        <v/>
      </c>
      <c r="DS139" s="43" t="str">
        <f t="shared" si="1933"/>
        <v/>
      </c>
      <c r="DT139" s="43" t="str">
        <f t="shared" si="1934"/>
        <v/>
      </c>
      <c r="DU139" s="43" t="str">
        <f t="shared" si="1935"/>
        <v/>
      </c>
      <c r="DV139" s="43" t="str">
        <f t="shared" si="1936"/>
        <v/>
      </c>
      <c r="DW139" s="43" t="str">
        <f t="shared" si="1937"/>
        <v/>
      </c>
      <c r="DX139" s="43" t="str">
        <f t="shared" si="1938"/>
        <v/>
      </c>
      <c r="DY139" s="43" t="str">
        <f t="shared" si="1939"/>
        <v/>
      </c>
      <c r="DZ139" s="43" t="str">
        <f t="shared" si="1940"/>
        <v/>
      </c>
      <c r="EA139" s="43" t="str">
        <f t="shared" si="1941"/>
        <v/>
      </c>
      <c r="EB139" s="43" t="str">
        <f t="shared" si="1942"/>
        <v/>
      </c>
      <c r="EC139" s="43" t="str">
        <f t="shared" si="1943"/>
        <v/>
      </c>
      <c r="ED139" s="43" t="str">
        <f t="shared" si="1944"/>
        <v/>
      </c>
      <c r="EE139" s="43" t="str">
        <f t="shared" si="1945"/>
        <v/>
      </c>
      <c r="EF139" s="43" t="str">
        <f t="shared" si="1946"/>
        <v/>
      </c>
      <c r="EG139" s="43" t="str">
        <f t="shared" si="1947"/>
        <v/>
      </c>
      <c r="EH139" s="43" t="str">
        <f t="shared" si="1948"/>
        <v/>
      </c>
      <c r="EI139" s="43" t="str">
        <f t="shared" si="1949"/>
        <v/>
      </c>
      <c r="EJ139" s="43" t="str">
        <f t="shared" si="1950"/>
        <v/>
      </c>
      <c r="EK139" s="43" t="str">
        <f t="shared" si="1951"/>
        <v/>
      </c>
      <c r="EL139" s="43" t="str">
        <f t="shared" si="1952"/>
        <v/>
      </c>
      <c r="EM139" s="43" t="str">
        <f t="shared" si="1953"/>
        <v/>
      </c>
      <c r="EN139" s="43" t="str">
        <f t="shared" si="1954"/>
        <v/>
      </c>
      <c r="EO139" s="43" t="str">
        <f t="shared" si="1955"/>
        <v/>
      </c>
      <c r="EP139" s="43" t="str">
        <f t="shared" si="1956"/>
        <v/>
      </c>
      <c r="EQ139" s="43" t="str">
        <f t="shared" si="1957"/>
        <v/>
      </c>
      <c r="ER139" s="43" t="str">
        <f t="shared" si="1958"/>
        <v/>
      </c>
      <c r="ES139" s="43" t="str">
        <f t="shared" si="1959"/>
        <v/>
      </c>
      <c r="ET139" s="43" t="str">
        <f t="shared" si="1960"/>
        <v/>
      </c>
      <c r="EU139" s="43" t="str">
        <f t="shared" si="1961"/>
        <v/>
      </c>
      <c r="EV139" s="43" t="str">
        <f t="shared" si="1962"/>
        <v/>
      </c>
      <c r="EW139" s="43" t="str">
        <f t="shared" si="1963"/>
        <v/>
      </c>
      <c r="EX139" s="43" t="str">
        <f t="shared" si="1964"/>
        <v/>
      </c>
      <c r="EY139" s="43" t="str">
        <f t="shared" si="1965"/>
        <v/>
      </c>
      <c r="EZ139" s="43" t="str">
        <f t="shared" si="1966"/>
        <v/>
      </c>
      <c r="FA139" s="43" t="str">
        <f t="shared" si="1967"/>
        <v/>
      </c>
      <c r="FB139" s="43" t="str">
        <f t="shared" si="1968"/>
        <v/>
      </c>
      <c r="FC139" s="43" t="str">
        <f t="shared" si="1969"/>
        <v/>
      </c>
      <c r="FD139" s="43" t="str">
        <f t="shared" si="1970"/>
        <v/>
      </c>
      <c r="FE139" s="43" t="str">
        <f t="shared" si="1971"/>
        <v/>
      </c>
      <c r="FF139" s="43" t="str">
        <f t="shared" si="1972"/>
        <v/>
      </c>
      <c r="FG139" s="43" t="str">
        <f t="shared" si="1973"/>
        <v/>
      </c>
      <c r="FH139" s="43" t="str">
        <f t="shared" si="1974"/>
        <v/>
      </c>
      <c r="FI139" s="43" t="str">
        <f t="shared" si="1975"/>
        <v/>
      </c>
      <c r="FJ139" s="43" t="str">
        <f t="shared" si="1976"/>
        <v/>
      </c>
      <c r="FK139" s="43" t="str">
        <f t="shared" si="1977"/>
        <v/>
      </c>
      <c r="FL139" s="43" t="str">
        <f t="shared" si="1978"/>
        <v/>
      </c>
      <c r="FM139" s="43" t="str">
        <f t="shared" si="1979"/>
        <v/>
      </c>
      <c r="FN139" s="43" t="str">
        <f t="shared" si="1980"/>
        <v/>
      </c>
      <c r="FO139" s="43" t="str">
        <f t="shared" si="1981"/>
        <v/>
      </c>
      <c r="FP139" s="43" t="str">
        <f t="shared" si="1982"/>
        <v/>
      </c>
      <c r="FQ139" s="43" t="str">
        <f t="shared" si="1983"/>
        <v/>
      </c>
      <c r="FR139" s="43" t="str">
        <f t="shared" si="1984"/>
        <v/>
      </c>
      <c r="FS139" s="43" t="str">
        <f t="shared" si="1985"/>
        <v/>
      </c>
    </row>
    <row r="140" spans="1:175" ht="16.5">
      <c r="A140" s="4"/>
      <c r="B140" s="6" t="s">
        <v>433</v>
      </c>
      <c r="C140" s="73" t="s">
        <v>419</v>
      </c>
      <c r="T140" s="78" t="s">
        <v>420</v>
      </c>
      <c r="U140" s="55" t="s">
        <v>421</v>
      </c>
      <c r="CN140" s="12" t="str">
        <f t="shared" ref="CN140:CN171" si="2059">"InitUnitState('"&amp;B140&amp;"',"&amp;V140&amp;","&amp;W140&amp;","&amp;X140&amp;","&amp;Y140&amp;","&amp;Z140&amp;","&amp;AA140&amp;","&amp;AB140&amp;","&amp;AC140&amp;","&amp;AD140&amp;","&amp;AE140&amp;")"</f>
        <v>InitUnitState('INDR',,,,,,,,,,)</v>
      </c>
      <c r="CO140" s="12" t="str">
        <f t="shared" ref="CO140:CO171" si="2060">"InitUnitNormal('"&amp;B140&amp;"',"&amp;AF140&amp;","&amp;AG140&amp;","&amp;AH140&amp;","&amp;AI140&amp;","&amp;AJ140&amp;","&amp;AK140&amp;","&amp;AL140&amp;","&amp;AM140&amp;","&amp;AN140&amp;","&amp;AO140&amp;")"</f>
        <v>InitUnitNormal('INDR',,,,,,,,,,)</v>
      </c>
      <c r="CP140" s="12" t="str">
        <f t="shared" ref="CP140:CP171" si="2061">"InitUnitMagic('"&amp;B140&amp;"',"&amp;AP140&amp;","&amp;AQ140&amp;","&amp;AR140&amp;","&amp;AS140&amp;","&amp;AT140&amp;","&amp;AU140&amp;","&amp;AV140&amp;","&amp;AW140&amp;","&amp;BI140&amp;","&amp;BJ140&amp;")"</f>
        <v>InitUnitMagic('INDR',,,,,,,,,,)</v>
      </c>
      <c r="CQ140" s="12" t="str">
        <f t="shared" ref="CQ140:CQ171" si="2062">"InitUnitAdd('"&amp;B140&amp;"',"&amp;BK140&amp;","&amp;BL140&amp;","&amp;BM140&amp;","&amp;BN140&amp;","&amp;BO140&amp;","&amp;BP140&amp;","&amp;BQ140&amp;","&amp;BR140&amp;","&amp;BS140&amp;","&amp;BT140&amp;")"</f>
        <v>InitUnitAdd('INDR',,,,,,,,,,)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InitEquipData('INDR',,"",,,,,'','','','','','',"ReplaceableTextures\\CommandButtons\\BTNIP02.blp")</v>
      </c>
      <c r="CU140" s="67" t="str">
        <f t="shared" si="1914"/>
        <v>|n</v>
      </c>
      <c r="CV140" s="5" t="str">
        <f t="shared" si="1915"/>
        <v>开启后随机获得一张|Cffffd24d锦囊卡|r</v>
      </c>
      <c r="CW140" s="6"/>
      <c r="CX140" s="6"/>
      <c r="CY140" s="6"/>
      <c r="CZ140" s="6"/>
      <c r="DA140" s="6"/>
      <c r="DB140" s="43" t="str">
        <f t="shared" si="1916"/>
        <v/>
      </c>
      <c r="DC140" s="43" t="str">
        <f t="shared" si="1917"/>
        <v/>
      </c>
      <c r="DD140" s="43" t="str">
        <f t="shared" si="1918"/>
        <v/>
      </c>
      <c r="DE140" s="43" t="str">
        <f t="shared" si="1919"/>
        <v/>
      </c>
      <c r="DF140" s="43" t="str">
        <f t="shared" si="1920"/>
        <v/>
      </c>
      <c r="DG140" s="43" t="str">
        <f t="shared" si="1921"/>
        <v/>
      </c>
      <c r="DH140" s="43" t="str">
        <f t="shared" si="1922"/>
        <v/>
      </c>
      <c r="DI140" s="43" t="str">
        <f t="shared" si="1923"/>
        <v/>
      </c>
      <c r="DJ140" s="43" t="str">
        <f t="shared" si="1924"/>
        <v/>
      </c>
      <c r="DK140" s="43" t="str">
        <f t="shared" si="1925"/>
        <v/>
      </c>
      <c r="DL140" s="43" t="str">
        <f t="shared" si="1926"/>
        <v/>
      </c>
      <c r="DM140" s="43" t="str">
        <f t="shared" si="1927"/>
        <v/>
      </c>
      <c r="DN140" s="43" t="str">
        <f t="shared" si="1928"/>
        <v/>
      </c>
      <c r="DO140" s="43" t="str">
        <f t="shared" si="1929"/>
        <v/>
      </c>
      <c r="DP140" s="43" t="str">
        <f t="shared" si="1930"/>
        <v/>
      </c>
      <c r="DQ140" s="43" t="str">
        <f t="shared" si="1931"/>
        <v/>
      </c>
      <c r="DR140" s="43" t="str">
        <f t="shared" si="1932"/>
        <v/>
      </c>
      <c r="DS140" s="43" t="str">
        <f t="shared" si="1933"/>
        <v/>
      </c>
      <c r="DT140" s="43" t="str">
        <f t="shared" si="1934"/>
        <v/>
      </c>
      <c r="DU140" s="43" t="str">
        <f t="shared" si="1935"/>
        <v/>
      </c>
      <c r="DV140" s="43" t="str">
        <f t="shared" si="1936"/>
        <v/>
      </c>
      <c r="DW140" s="43" t="str">
        <f t="shared" si="1937"/>
        <v/>
      </c>
      <c r="DX140" s="43" t="str">
        <f t="shared" si="1938"/>
        <v/>
      </c>
      <c r="DY140" s="43" t="str">
        <f t="shared" si="1939"/>
        <v/>
      </c>
      <c r="DZ140" s="43" t="str">
        <f t="shared" si="1940"/>
        <v/>
      </c>
      <c r="EA140" s="43" t="str">
        <f t="shared" si="1941"/>
        <v/>
      </c>
      <c r="EB140" s="43" t="str">
        <f t="shared" si="1942"/>
        <v/>
      </c>
      <c r="EC140" s="43" t="str">
        <f t="shared" si="1943"/>
        <v/>
      </c>
      <c r="ED140" s="43" t="str">
        <f t="shared" si="1944"/>
        <v/>
      </c>
      <c r="EE140" s="43" t="str">
        <f t="shared" si="1945"/>
        <v/>
      </c>
      <c r="EF140" s="43" t="str">
        <f t="shared" si="1946"/>
        <v/>
      </c>
      <c r="EG140" s="43" t="str">
        <f t="shared" si="1947"/>
        <v/>
      </c>
      <c r="EH140" s="43" t="str">
        <f t="shared" si="1948"/>
        <v/>
      </c>
      <c r="EI140" s="43" t="str">
        <f t="shared" si="1949"/>
        <v/>
      </c>
      <c r="EJ140" s="43" t="str">
        <f t="shared" si="1950"/>
        <v/>
      </c>
      <c r="EK140" s="43" t="str">
        <f t="shared" si="1951"/>
        <v/>
      </c>
      <c r="EL140" s="43" t="str">
        <f t="shared" si="1952"/>
        <v/>
      </c>
      <c r="EM140" s="43" t="str">
        <f t="shared" si="1953"/>
        <v/>
      </c>
      <c r="EN140" s="43" t="str">
        <f t="shared" si="1954"/>
        <v/>
      </c>
      <c r="EO140" s="43" t="str">
        <f t="shared" si="1955"/>
        <v/>
      </c>
      <c r="EP140" s="43" t="str">
        <f t="shared" si="1956"/>
        <v/>
      </c>
      <c r="EQ140" s="43" t="str">
        <f t="shared" si="1957"/>
        <v/>
      </c>
      <c r="ER140" s="43" t="str">
        <f t="shared" si="1958"/>
        <v/>
      </c>
      <c r="ES140" s="43" t="str">
        <f t="shared" si="1959"/>
        <v/>
      </c>
      <c r="ET140" s="43" t="str">
        <f t="shared" si="1960"/>
        <v/>
      </c>
      <c r="EU140" s="43" t="str">
        <f t="shared" si="1961"/>
        <v/>
      </c>
      <c r="EV140" s="43" t="str">
        <f t="shared" si="1962"/>
        <v/>
      </c>
      <c r="EW140" s="43" t="str">
        <f t="shared" si="1963"/>
        <v/>
      </c>
      <c r="EX140" s="43" t="str">
        <f t="shared" si="1964"/>
        <v/>
      </c>
      <c r="EY140" s="43" t="str">
        <f t="shared" si="1965"/>
        <v/>
      </c>
      <c r="EZ140" s="43" t="str">
        <f t="shared" si="1966"/>
        <v/>
      </c>
      <c r="FA140" s="43" t="str">
        <f t="shared" si="1967"/>
        <v/>
      </c>
      <c r="FB140" s="43" t="str">
        <f t="shared" si="1968"/>
        <v/>
      </c>
      <c r="FC140" s="43" t="str">
        <f t="shared" si="1969"/>
        <v/>
      </c>
      <c r="FD140" s="43" t="str">
        <f t="shared" si="1970"/>
        <v/>
      </c>
      <c r="FE140" s="43" t="str">
        <f t="shared" si="1971"/>
        <v/>
      </c>
      <c r="FF140" s="43" t="str">
        <f t="shared" si="1972"/>
        <v/>
      </c>
      <c r="FG140" s="43" t="str">
        <f t="shared" si="1973"/>
        <v/>
      </c>
      <c r="FH140" s="43" t="str">
        <f t="shared" si="1974"/>
        <v/>
      </c>
      <c r="FI140" s="43" t="str">
        <f t="shared" si="1975"/>
        <v/>
      </c>
      <c r="FJ140" s="43" t="str">
        <f t="shared" si="1976"/>
        <v/>
      </c>
      <c r="FK140" s="43" t="str">
        <f t="shared" si="1977"/>
        <v/>
      </c>
      <c r="FL140" s="43" t="str">
        <f t="shared" si="1978"/>
        <v/>
      </c>
      <c r="FM140" s="43" t="str">
        <f t="shared" si="1979"/>
        <v/>
      </c>
      <c r="FN140" s="43" t="str">
        <f t="shared" si="1980"/>
        <v/>
      </c>
      <c r="FO140" s="43" t="str">
        <f t="shared" si="1981"/>
        <v/>
      </c>
      <c r="FP140" s="43" t="str">
        <f t="shared" si="1982"/>
        <v/>
      </c>
      <c r="FQ140" s="43" t="str">
        <f t="shared" si="1983"/>
        <v/>
      </c>
      <c r="FR140" s="43" t="str">
        <f t="shared" si="1984"/>
        <v/>
      </c>
      <c r="FS140" s="43" t="str">
        <f t="shared" si="1985"/>
        <v/>
      </c>
    </row>
    <row r="141" spans="1:175" ht="54">
      <c r="A141" s="4"/>
      <c r="B141" s="6" t="s">
        <v>434</v>
      </c>
      <c r="C141" s="73" t="s">
        <v>411</v>
      </c>
      <c r="T141" s="78" t="s">
        <v>412</v>
      </c>
      <c r="U141" s="55" t="s">
        <v>413</v>
      </c>
      <c r="CN141" s="12" t="str">
        <f t="shared" si="2059"/>
        <v>InitUnitState('INDS',,,,,,,,,,)</v>
      </c>
      <c r="CO141" s="12" t="str">
        <f t="shared" si="2060"/>
        <v>InitUnitNormal('INDS',,,,,,,,,,)</v>
      </c>
      <c r="CP141" s="12" t="str">
        <f t="shared" si="2061"/>
        <v>InitUnitMagic('INDS',,,,,,,,,,)</v>
      </c>
      <c r="CQ141" s="12" t="str">
        <f t="shared" si="2062"/>
        <v>InitUnitAdd('INDS',,,,,,,,,,)</v>
      </c>
      <c r="CR141" s="12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169&amp;CR$1&amp;")"</f>
        <v>InitEquipData('INDS',,"",,,,,'','','','','','',"ReplaceableTextures\\CommandButtons\\BTNIP03.blp")</v>
      </c>
      <c r="CU141" s="67" t="str">
        <f t="shared" ref="CU141:CU142" si="2063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5" t="str">
        <f t="shared" ref="CV141:CV142" si="2064">T141</f>
        <v xml:space="preserve">开启后获得|Cffffd24d42~700木头|r或|Cffffd24d随机锦囊卡|r。|n|n|Cff00ff7f掉落时激活的星宿越多，人品越好 |r     </v>
      </c>
      <c r="CW141" s="6"/>
      <c r="CX141" s="6"/>
      <c r="CY141" s="6"/>
      <c r="CZ141" s="6"/>
      <c r="DA141" s="6"/>
      <c r="DB141" s="43" t="str">
        <f t="shared" ref="DB141:DB142" si="2065">IF(V141="","","|n"&amp;DB$2&amp;"+"&amp;V141&amp;DB$1)</f>
        <v/>
      </c>
      <c r="DC141" s="43" t="str">
        <f t="shared" ref="DC141:DC142" si="2066">IF(W141="","","|n"&amp;DC$2&amp;"+"&amp;W141&amp;DC$1)</f>
        <v/>
      </c>
      <c r="DD141" s="43" t="str">
        <f t="shared" ref="DD141:DD142" si="2067">IF(X141="","","|n"&amp;DD$2&amp;"+"&amp;X141&amp;DD$1)</f>
        <v/>
      </c>
      <c r="DE141" s="43" t="str">
        <f t="shared" ref="DE141:DE142" si="2068">IF(Y141="","","|n"&amp;DE$2&amp;"+"&amp;Y141&amp;DE$1)</f>
        <v/>
      </c>
      <c r="DF141" s="43" t="str">
        <f t="shared" ref="DF141:DF142" si="2069">IF(Z141="","","|n"&amp;DF$2&amp;"+"&amp;Z141&amp;DF$1)</f>
        <v/>
      </c>
      <c r="DG141" s="43" t="str">
        <f t="shared" ref="DG141:DG142" si="2070">IF(AA141="","","|n"&amp;DG$2&amp;"+"&amp;AA141&amp;DG$1)</f>
        <v/>
      </c>
      <c r="DH141" s="43" t="str">
        <f t="shared" ref="DH141:DH142" si="2071">IF(AB141="","","|n"&amp;DH$2&amp;"+"&amp;AB141&amp;DH$1)</f>
        <v/>
      </c>
      <c r="DI141" s="43" t="str">
        <f t="shared" ref="DI141:DI142" si="2072">IF(AC141="","","|n"&amp;DI$2&amp;"+"&amp;AC141&amp;DI$1)</f>
        <v/>
      </c>
      <c r="DJ141" s="43" t="str">
        <f t="shared" ref="DJ141:DJ142" si="2073">IF(AD141="","","|n"&amp;DJ$2&amp;"+"&amp;AD141&amp;DJ$1)</f>
        <v/>
      </c>
      <c r="DK141" s="43" t="str">
        <f t="shared" ref="DK141:DK142" si="2074">IF(AE141="","","|n"&amp;DK$2&amp;"+"&amp;AE141&amp;DK$1)</f>
        <v/>
      </c>
      <c r="DL141" s="43" t="str">
        <f t="shared" ref="DL141:DL142" si="2075">IF(AF141="","","|n"&amp;DL$2&amp;"+"&amp;AF141&amp;DL$1)</f>
        <v/>
      </c>
      <c r="DM141" s="43" t="str">
        <f t="shared" ref="DM141:DM142" si="2076">IF(AG141="","","|n"&amp;DM$2&amp;"+"&amp;AG141&amp;DM$1)</f>
        <v/>
      </c>
      <c r="DN141" s="43" t="str">
        <f t="shared" ref="DN141:DN142" si="2077">IF(AH141="","","|n"&amp;DN$2&amp;"+"&amp;AH141&amp;DN$1)</f>
        <v/>
      </c>
      <c r="DO141" s="43" t="str">
        <f t="shared" ref="DO141:DO142" si="2078">IF(AI141="","","|n"&amp;DO$2&amp;"+"&amp;AI141&amp;DO$1)</f>
        <v/>
      </c>
      <c r="DP141" s="43" t="str">
        <f t="shared" ref="DP141:DP142" si="2079">IF(AJ141="","","|n"&amp;DP$2&amp;"+"&amp;AJ141&amp;DP$1)</f>
        <v/>
      </c>
      <c r="DQ141" s="43" t="str">
        <f t="shared" ref="DQ141:DQ142" si="2080">IF(AK141="","","|n"&amp;DQ$2&amp;"+"&amp;AK141&amp;DQ$1)</f>
        <v/>
      </c>
      <c r="DR141" s="43" t="str">
        <f t="shared" ref="DR141:DR142" si="2081">IF(AL141="","","|n"&amp;DR$2&amp;"+"&amp;AL141&amp;DR$1)</f>
        <v/>
      </c>
      <c r="DS141" s="43" t="str">
        <f t="shared" ref="DS141:DS142" si="2082">IF(AM141="","","|n"&amp;DS$2&amp;"+"&amp;AM141&amp;DS$1)</f>
        <v/>
      </c>
      <c r="DT141" s="43" t="str">
        <f t="shared" ref="DT141:DT142" si="2083">IF(AN141="","","|n"&amp;DT$2&amp;"+"&amp;AN141&amp;DT$1)</f>
        <v/>
      </c>
      <c r="DU141" s="43" t="str">
        <f t="shared" ref="DU141:DU142" si="2084">IF(AO141="","","|n"&amp;DU$2&amp;"+"&amp;AO141&amp;DU$1)</f>
        <v/>
      </c>
      <c r="DV141" s="43" t="str">
        <f t="shared" ref="DV141:DV142" si="2085">IF(AP141="","","|n"&amp;DV$2&amp;"+"&amp;AP141&amp;DV$1)</f>
        <v/>
      </c>
      <c r="DW141" s="43" t="str">
        <f t="shared" ref="DW141:DW142" si="2086">IF(AQ141="","","|n"&amp;DW$2&amp;"+"&amp;AQ141&amp;DW$1)</f>
        <v/>
      </c>
      <c r="DX141" s="43" t="str">
        <f t="shared" ref="DX141:DX142" si="2087">IF(AR141="","","|n"&amp;DX$2&amp;"+"&amp;AR141&amp;DX$1)</f>
        <v/>
      </c>
      <c r="DY141" s="43" t="str">
        <f t="shared" ref="DY141:DY142" si="2088">IF(AS141="","","|n"&amp;DY$2&amp;"+"&amp;AS141&amp;DY$1)</f>
        <v/>
      </c>
      <c r="DZ141" s="43" t="str">
        <f t="shared" ref="DZ141:DZ142" si="2089">IF(AT141="","","|n"&amp;DZ$2&amp;"+"&amp;AT141&amp;DZ$1)</f>
        <v/>
      </c>
      <c r="EA141" s="43" t="str">
        <f t="shared" ref="EA141:EA142" si="2090">IF(AU141="","","|n"&amp;EA$2&amp;"+"&amp;AU141&amp;EA$1)</f>
        <v/>
      </c>
      <c r="EB141" s="43" t="str">
        <f t="shared" ref="EB141:EB142" si="2091">IF(AV141="","","|n"&amp;EB$2&amp;"+"&amp;AV141&amp;EB$1)</f>
        <v/>
      </c>
      <c r="EC141" s="43" t="str">
        <f t="shared" ref="EC141:EC142" si="2092">IF(AW141="","","|n"&amp;EC$2&amp;"+"&amp;AW141&amp;EC$1)</f>
        <v/>
      </c>
      <c r="ED141" s="43" t="str">
        <f t="shared" ref="ED141:ED142" si="2093">IF(AX141="","","|n"&amp;ED$2&amp;"+"&amp;AX141&amp;ED$1)</f>
        <v/>
      </c>
      <c r="EE141" s="43" t="str">
        <f t="shared" ref="EE141:EE142" si="2094">IF(AY141="","","|n"&amp;EE$2&amp;"+"&amp;AY141&amp;EE$1)</f>
        <v/>
      </c>
      <c r="EF141" s="43" t="str">
        <f t="shared" ref="EF141:EF142" si="2095">IF(AZ141="","","|n"&amp;EF$2&amp;"+"&amp;AZ141&amp;EF$1)</f>
        <v/>
      </c>
      <c r="EG141" s="43" t="str">
        <f t="shared" ref="EG141:EG142" si="2096">IF(BA141="","","|n"&amp;EG$2&amp;"+"&amp;BA141&amp;EG$1)</f>
        <v/>
      </c>
      <c r="EH141" s="43" t="str">
        <f t="shared" ref="EH141:EH142" si="2097">IF(BB141="","","|n"&amp;EH$2&amp;"+"&amp;BB141&amp;EH$1)</f>
        <v/>
      </c>
      <c r="EI141" s="43" t="str">
        <f t="shared" ref="EI141:EI142" si="2098">IF(BC141="","","|n"&amp;EI$2&amp;"+"&amp;BC141&amp;EI$1)</f>
        <v/>
      </c>
      <c r="EJ141" s="43" t="str">
        <f t="shared" ref="EJ141:EJ142" si="2099">IF(BD141="","","|n"&amp;EJ$2&amp;"+"&amp;BD141&amp;EJ$1)</f>
        <v/>
      </c>
      <c r="EK141" s="43" t="str">
        <f t="shared" ref="EK141:EK142" si="2100">IF(BE141="","","|n"&amp;EK$2&amp;"+"&amp;BE141&amp;EK$1)</f>
        <v/>
      </c>
      <c r="EL141" s="43" t="str">
        <f t="shared" ref="EL141:EL142" si="2101">IF(BF141="","","|n"&amp;EL$2&amp;"+"&amp;BF141&amp;EL$1)</f>
        <v/>
      </c>
      <c r="EM141" s="43" t="str">
        <f t="shared" ref="EM141:EM142" si="2102">IF(BG141="","","|n"&amp;EM$2&amp;"+"&amp;BG141&amp;EM$1)</f>
        <v/>
      </c>
      <c r="EN141" s="43" t="str">
        <f t="shared" ref="EN141:EN142" si="2103">IF(BH141="","","|n"&amp;EN$2&amp;"+"&amp;BH141&amp;EN$1)</f>
        <v/>
      </c>
      <c r="EO141" s="43" t="str">
        <f t="shared" ref="EO141:EO142" si="2104">IF(BI141="","","|n"&amp;EO$2&amp;"+"&amp;BI141&amp;EO$1)</f>
        <v/>
      </c>
      <c r="EP141" s="43" t="str">
        <f t="shared" ref="EP141:EP142" si="2105">IF(BJ141="","","|n"&amp;EP$2&amp;"+"&amp;BJ141&amp;EP$1)</f>
        <v/>
      </c>
      <c r="EQ141" s="43" t="str">
        <f t="shared" ref="EQ141:EQ142" si="2106">IF(BK141="","","|n"&amp;EQ$2&amp;"+"&amp;BK141&amp;EQ$1)</f>
        <v/>
      </c>
      <c r="ER141" s="43" t="str">
        <f t="shared" ref="ER141:ER142" si="2107">IF(BL141="","","|n"&amp;ER$2&amp;"+"&amp;BL141&amp;ER$1)</f>
        <v/>
      </c>
      <c r="ES141" s="43" t="str">
        <f t="shared" ref="ES141:ES142" si="2108">IF(BM141="","","|n"&amp;ES$2&amp;"+"&amp;BM141&amp;ES$1)</f>
        <v/>
      </c>
      <c r="ET141" s="43" t="str">
        <f t="shared" ref="ET141:ET142" si="2109">IF(BN141="","","|n"&amp;ET$2&amp;"+"&amp;BN141&amp;ET$1)</f>
        <v/>
      </c>
      <c r="EU141" s="43" t="str">
        <f t="shared" ref="EU141:EU142" si="2110">IF(BO141="","","|n"&amp;EU$2&amp;"+"&amp;BO141&amp;EU$1)</f>
        <v/>
      </c>
      <c r="EV141" s="43" t="str">
        <f t="shared" ref="EV141:EV142" si="2111">IF(BP141="","","|n"&amp;EV$2&amp;"+"&amp;BP141&amp;EV$1)</f>
        <v/>
      </c>
      <c r="EW141" s="43" t="str">
        <f t="shared" ref="EW141:EW142" si="2112">IF(BQ141="","","|n"&amp;EW$2&amp;"+"&amp;BQ141&amp;EW$1)</f>
        <v/>
      </c>
      <c r="EX141" s="43" t="str">
        <f t="shared" ref="EX141:EX142" si="2113">IF(BR141="","","|n"&amp;EX$2&amp;"+"&amp;BR141&amp;EX$1)</f>
        <v/>
      </c>
      <c r="EY141" s="43" t="str">
        <f t="shared" ref="EY141:EY142" si="2114">IF(BS141="","","|n"&amp;EY$2&amp;"+"&amp;BS141&amp;EY$1)</f>
        <v/>
      </c>
      <c r="EZ141" s="43" t="str">
        <f t="shared" ref="EZ141:EZ142" si="2115">IF(BT141="","","|n"&amp;EZ$2&amp;"+"&amp;BT141&amp;EZ$1)</f>
        <v/>
      </c>
      <c r="FA141" s="43" t="str">
        <f t="shared" ref="FA141:FA142" si="2116">IF(BU141="","","|n"&amp;FA$2&amp;"+"&amp;BU141&amp;FA$1)</f>
        <v/>
      </c>
      <c r="FB141" s="43" t="str">
        <f t="shared" ref="FB141:FB142" si="2117">IF(BV141="","","|n"&amp;FB$2&amp;"+"&amp;BV141&amp;FB$1)</f>
        <v/>
      </c>
      <c r="FC141" s="43" t="str">
        <f t="shared" ref="FC141:FC142" si="2118">IF(BW141="","","|n"&amp;FC$2&amp;"+"&amp;BW141&amp;FC$1)</f>
        <v/>
      </c>
      <c r="FD141" s="43" t="str">
        <f t="shared" ref="FD141:FD142" si="2119">IF(BX141="","","|n"&amp;FD$2&amp;"+"&amp;BX141&amp;FD$1)</f>
        <v/>
      </c>
      <c r="FE141" s="43" t="str">
        <f t="shared" ref="FE141:FE142" si="2120">IF(BY141="","","|n"&amp;FE$2&amp;"+"&amp;BY141&amp;FE$1)</f>
        <v/>
      </c>
      <c r="FF141" s="43" t="str">
        <f t="shared" ref="FF141:FF142" si="2121">IF(BZ141="","","|n"&amp;FF$2&amp;"+"&amp;BZ141&amp;FF$1)</f>
        <v/>
      </c>
      <c r="FG141" s="43" t="str">
        <f t="shared" ref="FG141:FG142" si="2122">IF(CA141="","","|n"&amp;FG$2&amp;"+"&amp;CA141&amp;FG$1)</f>
        <v/>
      </c>
      <c r="FH141" s="43" t="str">
        <f t="shared" ref="FH141:FH142" si="2123">IF(CB141="","","|n"&amp;FH$2&amp;"+"&amp;CB141&amp;FH$1)</f>
        <v/>
      </c>
      <c r="FI141" s="43" t="str">
        <f t="shared" ref="FI141:FI142" si="2124">IF(CC141="","","|n"&amp;FI$2&amp;"+"&amp;CC141&amp;FI$1)</f>
        <v/>
      </c>
      <c r="FJ141" s="43" t="str">
        <f t="shared" ref="FJ141:FJ142" si="2125">IF(CD141="","","|n"&amp;FJ$2&amp;"+"&amp;CD141&amp;FJ$1)</f>
        <v/>
      </c>
      <c r="FK141" s="43" t="str">
        <f t="shared" ref="FK141:FK142" si="2126">IF(CE141="","","|n"&amp;FK$2&amp;"+"&amp;CE141&amp;FK$1)</f>
        <v/>
      </c>
      <c r="FL141" s="43" t="str">
        <f t="shared" ref="FL141:FL142" si="2127">IF(CF141="","","|n"&amp;FL$2&amp;"+"&amp;CF141&amp;FL$1)</f>
        <v/>
      </c>
      <c r="FM141" s="43" t="str">
        <f t="shared" ref="FM141:FM142" si="2128">IF(CG141="","","|n"&amp;FM$2&amp;"+"&amp;CG141&amp;FM$1)</f>
        <v/>
      </c>
      <c r="FN141" s="43" t="str">
        <f t="shared" ref="FN141:FN142" si="2129">IF(CH141="","","|n"&amp;FN$2&amp;"+"&amp;CH141&amp;FN$1)</f>
        <v/>
      </c>
      <c r="FO141" s="43" t="str">
        <f t="shared" ref="FO141:FO142" si="2130">IF(CI141="","","|n"&amp;FO$2&amp;"+"&amp;CI141&amp;FO$1)</f>
        <v/>
      </c>
      <c r="FP141" s="43" t="str">
        <f t="shared" ref="FP141:FP142" si="2131">IF(CJ141="","","|n"&amp;FP$2&amp;"+"&amp;CJ141&amp;FP$1)</f>
        <v/>
      </c>
      <c r="FQ141" s="43" t="str">
        <f t="shared" ref="FQ141:FQ142" si="2132">IF(CK141="","","|n"&amp;FQ$2&amp;"+"&amp;CK141&amp;FQ$1)</f>
        <v/>
      </c>
      <c r="FR141" s="43" t="str">
        <f t="shared" ref="FR141:FR142" si="2133">IF(CL141="","","|n"&amp;FR$2&amp;"+"&amp;CL141&amp;FR$1)</f>
        <v/>
      </c>
      <c r="FS141" s="43" t="str">
        <f t="shared" ref="FS141:FS142" si="2134">IF(CM141="","","|n"&amp;FS$2&amp;"+"&amp;CM141&amp;FS$1)</f>
        <v/>
      </c>
    </row>
    <row r="142" spans="1:175" ht="54">
      <c r="A142" s="4"/>
      <c r="B142" s="6" t="s">
        <v>435</v>
      </c>
      <c r="C142" s="73" t="s">
        <v>411</v>
      </c>
      <c r="T142" s="78" t="s">
        <v>412</v>
      </c>
      <c r="U142" s="55" t="s">
        <v>413</v>
      </c>
      <c r="CN142" s="12" t="str">
        <f t="shared" si="2059"/>
        <v>InitUnitState('INDT',,,,,,,,,,)</v>
      </c>
      <c r="CO142" s="12" t="str">
        <f t="shared" si="2060"/>
        <v>InitUnitNormal('INDT',,,,,,,,,,)</v>
      </c>
      <c r="CP142" s="12" t="str">
        <f t="shared" si="2061"/>
        <v>InitUnitMagic('INDT',,,,,,,,,,)</v>
      </c>
      <c r="CQ142" s="12" t="str">
        <f t="shared" si="2062"/>
        <v>InitUnitAdd('INDT',,,,,,,,,,)</v>
      </c>
      <c r="CR142" s="12" t="str">
        <f t="shared" ref="CR142:CR147" si="2135"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172&amp;CR$1&amp;")"</f>
        <v>InitEquipData('INDT',,"",,,,,'','','','','','',"ReplaceableTextures\\CommandButtons\\BTNIT01.blp")</v>
      </c>
      <c r="CU142" s="67" t="str">
        <f t="shared" si="2063"/>
        <v>|n</v>
      </c>
      <c r="CV142" s="5" t="str">
        <f t="shared" si="2064"/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si="2065"/>
        <v/>
      </c>
      <c r="DC142" s="43" t="str">
        <f t="shared" si="2066"/>
        <v/>
      </c>
      <c r="DD142" s="43" t="str">
        <f t="shared" si="2067"/>
        <v/>
      </c>
      <c r="DE142" s="43" t="str">
        <f t="shared" si="2068"/>
        <v/>
      </c>
      <c r="DF142" s="43" t="str">
        <f t="shared" si="2069"/>
        <v/>
      </c>
      <c r="DG142" s="43" t="str">
        <f t="shared" si="2070"/>
        <v/>
      </c>
      <c r="DH142" s="43" t="str">
        <f t="shared" si="2071"/>
        <v/>
      </c>
      <c r="DI142" s="43" t="str">
        <f t="shared" si="2072"/>
        <v/>
      </c>
      <c r="DJ142" s="43" t="str">
        <f t="shared" si="2073"/>
        <v/>
      </c>
      <c r="DK142" s="43" t="str">
        <f t="shared" si="2074"/>
        <v/>
      </c>
      <c r="DL142" s="43" t="str">
        <f t="shared" si="2075"/>
        <v/>
      </c>
      <c r="DM142" s="43" t="str">
        <f t="shared" si="2076"/>
        <v/>
      </c>
      <c r="DN142" s="43" t="str">
        <f t="shared" si="2077"/>
        <v/>
      </c>
      <c r="DO142" s="43" t="str">
        <f t="shared" si="2078"/>
        <v/>
      </c>
      <c r="DP142" s="43" t="str">
        <f t="shared" si="2079"/>
        <v/>
      </c>
      <c r="DQ142" s="43" t="str">
        <f t="shared" si="2080"/>
        <v/>
      </c>
      <c r="DR142" s="43" t="str">
        <f t="shared" si="2081"/>
        <v/>
      </c>
      <c r="DS142" s="43" t="str">
        <f t="shared" si="2082"/>
        <v/>
      </c>
      <c r="DT142" s="43" t="str">
        <f t="shared" si="2083"/>
        <v/>
      </c>
      <c r="DU142" s="43" t="str">
        <f t="shared" si="2084"/>
        <v/>
      </c>
      <c r="DV142" s="43" t="str">
        <f t="shared" si="2085"/>
        <v/>
      </c>
      <c r="DW142" s="43" t="str">
        <f t="shared" si="2086"/>
        <v/>
      </c>
      <c r="DX142" s="43" t="str">
        <f t="shared" si="2087"/>
        <v/>
      </c>
      <c r="DY142" s="43" t="str">
        <f t="shared" si="2088"/>
        <v/>
      </c>
      <c r="DZ142" s="43" t="str">
        <f t="shared" si="2089"/>
        <v/>
      </c>
      <c r="EA142" s="43" t="str">
        <f t="shared" si="2090"/>
        <v/>
      </c>
      <c r="EB142" s="43" t="str">
        <f t="shared" si="2091"/>
        <v/>
      </c>
      <c r="EC142" s="43" t="str">
        <f t="shared" si="2092"/>
        <v/>
      </c>
      <c r="ED142" s="43" t="str">
        <f t="shared" si="2093"/>
        <v/>
      </c>
      <c r="EE142" s="43" t="str">
        <f t="shared" si="2094"/>
        <v/>
      </c>
      <c r="EF142" s="43" t="str">
        <f t="shared" si="2095"/>
        <v/>
      </c>
      <c r="EG142" s="43" t="str">
        <f t="shared" si="2096"/>
        <v/>
      </c>
      <c r="EH142" s="43" t="str">
        <f t="shared" si="2097"/>
        <v/>
      </c>
      <c r="EI142" s="43" t="str">
        <f t="shared" si="2098"/>
        <v/>
      </c>
      <c r="EJ142" s="43" t="str">
        <f t="shared" si="2099"/>
        <v/>
      </c>
      <c r="EK142" s="43" t="str">
        <f t="shared" si="2100"/>
        <v/>
      </c>
      <c r="EL142" s="43" t="str">
        <f t="shared" si="2101"/>
        <v/>
      </c>
      <c r="EM142" s="43" t="str">
        <f t="shared" si="2102"/>
        <v/>
      </c>
      <c r="EN142" s="43" t="str">
        <f t="shared" si="2103"/>
        <v/>
      </c>
      <c r="EO142" s="43" t="str">
        <f t="shared" si="2104"/>
        <v/>
      </c>
      <c r="EP142" s="43" t="str">
        <f t="shared" si="2105"/>
        <v/>
      </c>
      <c r="EQ142" s="43" t="str">
        <f t="shared" si="2106"/>
        <v/>
      </c>
      <c r="ER142" s="43" t="str">
        <f t="shared" si="2107"/>
        <v/>
      </c>
      <c r="ES142" s="43" t="str">
        <f t="shared" si="2108"/>
        <v/>
      </c>
      <c r="ET142" s="43" t="str">
        <f t="shared" si="2109"/>
        <v/>
      </c>
      <c r="EU142" s="43" t="str">
        <f t="shared" si="2110"/>
        <v/>
      </c>
      <c r="EV142" s="43" t="str">
        <f t="shared" si="2111"/>
        <v/>
      </c>
      <c r="EW142" s="43" t="str">
        <f t="shared" si="2112"/>
        <v/>
      </c>
      <c r="EX142" s="43" t="str">
        <f t="shared" si="2113"/>
        <v/>
      </c>
      <c r="EY142" s="43" t="str">
        <f t="shared" si="2114"/>
        <v/>
      </c>
      <c r="EZ142" s="43" t="str">
        <f t="shared" si="2115"/>
        <v/>
      </c>
      <c r="FA142" s="43" t="str">
        <f t="shared" si="2116"/>
        <v/>
      </c>
      <c r="FB142" s="43" t="str">
        <f t="shared" si="2117"/>
        <v/>
      </c>
      <c r="FC142" s="43" t="str">
        <f t="shared" si="2118"/>
        <v/>
      </c>
      <c r="FD142" s="43" t="str">
        <f t="shared" si="2119"/>
        <v/>
      </c>
      <c r="FE142" s="43" t="str">
        <f t="shared" si="2120"/>
        <v/>
      </c>
      <c r="FF142" s="43" t="str">
        <f t="shared" si="2121"/>
        <v/>
      </c>
      <c r="FG142" s="43" t="str">
        <f t="shared" si="2122"/>
        <v/>
      </c>
      <c r="FH142" s="43" t="str">
        <f t="shared" si="2123"/>
        <v/>
      </c>
      <c r="FI142" s="43" t="str">
        <f t="shared" si="2124"/>
        <v/>
      </c>
      <c r="FJ142" s="43" t="str">
        <f t="shared" si="2125"/>
        <v/>
      </c>
      <c r="FK142" s="43" t="str">
        <f t="shared" si="2126"/>
        <v/>
      </c>
      <c r="FL142" s="43" t="str">
        <f t="shared" si="2127"/>
        <v/>
      </c>
      <c r="FM142" s="43" t="str">
        <f t="shared" si="2128"/>
        <v/>
      </c>
      <c r="FN142" s="43" t="str">
        <f t="shared" si="2129"/>
        <v/>
      </c>
      <c r="FO142" s="43" t="str">
        <f t="shared" si="2130"/>
        <v/>
      </c>
      <c r="FP142" s="43" t="str">
        <f t="shared" si="2131"/>
        <v/>
      </c>
      <c r="FQ142" s="43" t="str">
        <f t="shared" si="2132"/>
        <v/>
      </c>
      <c r="FR142" s="43" t="str">
        <f t="shared" si="2133"/>
        <v/>
      </c>
      <c r="FS142" s="43" t="str">
        <f t="shared" si="2134"/>
        <v/>
      </c>
    </row>
    <row r="143" spans="1:175" ht="54">
      <c r="A143" s="4"/>
      <c r="B143" s="6" t="s">
        <v>436</v>
      </c>
      <c r="C143" s="73" t="s">
        <v>411</v>
      </c>
      <c r="T143" s="78" t="s">
        <v>412</v>
      </c>
      <c r="U143" s="55" t="s">
        <v>413</v>
      </c>
      <c r="CN143" s="12" t="str">
        <f t="shared" si="2059"/>
        <v>InitUnitState('INDU',,,,,,,,,,)</v>
      </c>
      <c r="CO143" s="12" t="str">
        <f t="shared" si="2060"/>
        <v>InitUnitNormal('INDU',,,,,,,,,,)</v>
      </c>
      <c r="CP143" s="12" t="str">
        <f t="shared" si="2061"/>
        <v>InitUnitMagic('INDU',,,,,,,,,,)</v>
      </c>
      <c r="CQ143" s="12" t="str">
        <f t="shared" si="2062"/>
        <v>InitUnitAdd('INDU',,,,,,,,,,)</v>
      </c>
      <c r="CR143" s="12" t="str">
        <f t="shared" si="2135"/>
        <v>InitEquipData('INDU',,"",,,,,'','','','','','',"ReplaceableTextures\\CommandButtons\\BTNIT02.blp")</v>
      </c>
      <c r="CU143" s="67" t="str">
        <f t="shared" ref="CU143:CU144" si="2136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5" t="str">
        <f t="shared" ref="CV143:CV144" si="2137">T143</f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ref="DB143:DB144" si="2138">IF(V143="","","|n"&amp;DB$2&amp;"+"&amp;V143&amp;DB$1)</f>
        <v/>
      </c>
      <c r="DC143" s="43" t="str">
        <f t="shared" ref="DC143:DC144" si="2139">IF(W143="","","|n"&amp;DC$2&amp;"+"&amp;W143&amp;DC$1)</f>
        <v/>
      </c>
      <c r="DD143" s="43" t="str">
        <f t="shared" ref="DD143:DD144" si="2140">IF(X143="","","|n"&amp;DD$2&amp;"+"&amp;X143&amp;DD$1)</f>
        <v/>
      </c>
      <c r="DE143" s="43" t="str">
        <f t="shared" ref="DE143:DE144" si="2141">IF(Y143="","","|n"&amp;DE$2&amp;"+"&amp;Y143&amp;DE$1)</f>
        <v/>
      </c>
      <c r="DF143" s="43" t="str">
        <f t="shared" ref="DF143:DF144" si="2142">IF(Z143="","","|n"&amp;DF$2&amp;"+"&amp;Z143&amp;DF$1)</f>
        <v/>
      </c>
      <c r="DG143" s="43" t="str">
        <f t="shared" ref="DG143:DG144" si="2143">IF(AA143="","","|n"&amp;DG$2&amp;"+"&amp;AA143&amp;DG$1)</f>
        <v/>
      </c>
      <c r="DH143" s="43" t="str">
        <f t="shared" ref="DH143:DH144" si="2144">IF(AB143="","","|n"&amp;DH$2&amp;"+"&amp;AB143&amp;DH$1)</f>
        <v/>
      </c>
      <c r="DI143" s="43" t="str">
        <f t="shared" ref="DI143:DI144" si="2145">IF(AC143="","","|n"&amp;DI$2&amp;"+"&amp;AC143&amp;DI$1)</f>
        <v/>
      </c>
      <c r="DJ143" s="43" t="str">
        <f t="shared" ref="DJ143:DJ144" si="2146">IF(AD143="","","|n"&amp;DJ$2&amp;"+"&amp;AD143&amp;DJ$1)</f>
        <v/>
      </c>
      <c r="DK143" s="43" t="str">
        <f t="shared" ref="DK143:DK144" si="2147">IF(AE143="","","|n"&amp;DK$2&amp;"+"&amp;AE143&amp;DK$1)</f>
        <v/>
      </c>
      <c r="DL143" s="43" t="str">
        <f t="shared" ref="DL143:DL144" si="2148">IF(AF143="","","|n"&amp;DL$2&amp;"+"&amp;AF143&amp;DL$1)</f>
        <v/>
      </c>
      <c r="DM143" s="43" t="str">
        <f t="shared" ref="DM143:DM144" si="2149">IF(AG143="","","|n"&amp;DM$2&amp;"+"&amp;AG143&amp;DM$1)</f>
        <v/>
      </c>
      <c r="DN143" s="43" t="str">
        <f t="shared" ref="DN143:DN144" si="2150">IF(AH143="","","|n"&amp;DN$2&amp;"+"&amp;AH143&amp;DN$1)</f>
        <v/>
      </c>
      <c r="DO143" s="43" t="str">
        <f t="shared" ref="DO143:DO144" si="2151">IF(AI143="","","|n"&amp;DO$2&amp;"+"&amp;AI143&amp;DO$1)</f>
        <v/>
      </c>
      <c r="DP143" s="43" t="str">
        <f t="shared" ref="DP143:DP144" si="2152">IF(AJ143="","","|n"&amp;DP$2&amp;"+"&amp;AJ143&amp;DP$1)</f>
        <v/>
      </c>
      <c r="DQ143" s="43" t="str">
        <f t="shared" ref="DQ143:DQ144" si="2153">IF(AK143="","","|n"&amp;DQ$2&amp;"+"&amp;AK143&amp;DQ$1)</f>
        <v/>
      </c>
      <c r="DR143" s="43" t="str">
        <f t="shared" ref="DR143:DR144" si="2154">IF(AL143="","","|n"&amp;DR$2&amp;"+"&amp;AL143&amp;DR$1)</f>
        <v/>
      </c>
      <c r="DS143" s="43" t="str">
        <f t="shared" ref="DS143:DS144" si="2155">IF(AM143="","","|n"&amp;DS$2&amp;"+"&amp;AM143&amp;DS$1)</f>
        <v/>
      </c>
      <c r="DT143" s="43" t="str">
        <f t="shared" ref="DT143:DT144" si="2156">IF(AN143="","","|n"&amp;DT$2&amp;"+"&amp;AN143&amp;DT$1)</f>
        <v/>
      </c>
      <c r="DU143" s="43" t="str">
        <f t="shared" ref="DU143:DU144" si="2157">IF(AO143="","","|n"&amp;DU$2&amp;"+"&amp;AO143&amp;DU$1)</f>
        <v/>
      </c>
      <c r="DV143" s="43" t="str">
        <f t="shared" ref="DV143:DV144" si="2158">IF(AP143="","","|n"&amp;DV$2&amp;"+"&amp;AP143&amp;DV$1)</f>
        <v/>
      </c>
      <c r="DW143" s="43" t="str">
        <f t="shared" ref="DW143:DW144" si="2159">IF(AQ143="","","|n"&amp;DW$2&amp;"+"&amp;AQ143&amp;DW$1)</f>
        <v/>
      </c>
      <c r="DX143" s="43" t="str">
        <f t="shared" ref="DX143:DX144" si="2160">IF(AR143="","","|n"&amp;DX$2&amp;"+"&amp;AR143&amp;DX$1)</f>
        <v/>
      </c>
      <c r="DY143" s="43" t="str">
        <f t="shared" ref="DY143:DY144" si="2161">IF(AS143="","","|n"&amp;DY$2&amp;"+"&amp;AS143&amp;DY$1)</f>
        <v/>
      </c>
      <c r="DZ143" s="43" t="str">
        <f t="shared" ref="DZ143:DZ144" si="2162">IF(AT143="","","|n"&amp;DZ$2&amp;"+"&amp;AT143&amp;DZ$1)</f>
        <v/>
      </c>
      <c r="EA143" s="43" t="str">
        <f t="shared" ref="EA143:EA144" si="2163">IF(AU143="","","|n"&amp;EA$2&amp;"+"&amp;AU143&amp;EA$1)</f>
        <v/>
      </c>
      <c r="EB143" s="43" t="str">
        <f t="shared" ref="EB143:EB144" si="2164">IF(AV143="","","|n"&amp;EB$2&amp;"+"&amp;AV143&amp;EB$1)</f>
        <v/>
      </c>
      <c r="EC143" s="43" t="str">
        <f t="shared" ref="EC143:EC144" si="2165">IF(AW143="","","|n"&amp;EC$2&amp;"+"&amp;AW143&amp;EC$1)</f>
        <v/>
      </c>
      <c r="ED143" s="43" t="str">
        <f t="shared" ref="ED143:ED144" si="2166">IF(AX143="","","|n"&amp;ED$2&amp;"+"&amp;AX143&amp;ED$1)</f>
        <v/>
      </c>
      <c r="EE143" s="43" t="str">
        <f t="shared" ref="EE143:EE144" si="2167">IF(AY143="","","|n"&amp;EE$2&amp;"+"&amp;AY143&amp;EE$1)</f>
        <v/>
      </c>
      <c r="EF143" s="43" t="str">
        <f t="shared" ref="EF143:EF144" si="2168">IF(AZ143="","","|n"&amp;EF$2&amp;"+"&amp;AZ143&amp;EF$1)</f>
        <v/>
      </c>
      <c r="EG143" s="43" t="str">
        <f t="shared" ref="EG143:EG144" si="2169">IF(BA143="","","|n"&amp;EG$2&amp;"+"&amp;BA143&amp;EG$1)</f>
        <v/>
      </c>
      <c r="EH143" s="43" t="str">
        <f t="shared" ref="EH143:EH144" si="2170">IF(BB143="","","|n"&amp;EH$2&amp;"+"&amp;BB143&amp;EH$1)</f>
        <v/>
      </c>
      <c r="EI143" s="43" t="str">
        <f t="shared" ref="EI143:EI144" si="2171">IF(BC143="","","|n"&amp;EI$2&amp;"+"&amp;BC143&amp;EI$1)</f>
        <v/>
      </c>
      <c r="EJ143" s="43" t="str">
        <f t="shared" ref="EJ143:EJ144" si="2172">IF(BD143="","","|n"&amp;EJ$2&amp;"+"&amp;BD143&amp;EJ$1)</f>
        <v/>
      </c>
      <c r="EK143" s="43" t="str">
        <f t="shared" ref="EK143:EK144" si="2173">IF(BE143="","","|n"&amp;EK$2&amp;"+"&amp;BE143&amp;EK$1)</f>
        <v/>
      </c>
      <c r="EL143" s="43" t="str">
        <f t="shared" ref="EL143:EL144" si="2174">IF(BF143="","","|n"&amp;EL$2&amp;"+"&amp;BF143&amp;EL$1)</f>
        <v/>
      </c>
      <c r="EM143" s="43" t="str">
        <f t="shared" ref="EM143:EM144" si="2175">IF(BG143="","","|n"&amp;EM$2&amp;"+"&amp;BG143&amp;EM$1)</f>
        <v/>
      </c>
      <c r="EN143" s="43" t="str">
        <f t="shared" ref="EN143:EN144" si="2176">IF(BH143="","","|n"&amp;EN$2&amp;"+"&amp;BH143&amp;EN$1)</f>
        <v/>
      </c>
      <c r="EO143" s="43" t="str">
        <f t="shared" ref="EO143:EO144" si="2177">IF(BI143="","","|n"&amp;EO$2&amp;"+"&amp;BI143&amp;EO$1)</f>
        <v/>
      </c>
      <c r="EP143" s="43" t="str">
        <f t="shared" ref="EP143:EP144" si="2178">IF(BJ143="","","|n"&amp;EP$2&amp;"+"&amp;BJ143&amp;EP$1)</f>
        <v/>
      </c>
      <c r="EQ143" s="43" t="str">
        <f t="shared" ref="EQ143:EQ144" si="2179">IF(BK143="","","|n"&amp;EQ$2&amp;"+"&amp;BK143&amp;EQ$1)</f>
        <v/>
      </c>
      <c r="ER143" s="43" t="str">
        <f t="shared" ref="ER143:ER144" si="2180">IF(BL143="","","|n"&amp;ER$2&amp;"+"&amp;BL143&amp;ER$1)</f>
        <v/>
      </c>
      <c r="ES143" s="43" t="str">
        <f t="shared" ref="ES143:ES144" si="2181">IF(BM143="","","|n"&amp;ES$2&amp;"+"&amp;BM143&amp;ES$1)</f>
        <v/>
      </c>
      <c r="ET143" s="43" t="str">
        <f t="shared" ref="ET143:ET144" si="2182">IF(BN143="","","|n"&amp;ET$2&amp;"+"&amp;BN143&amp;ET$1)</f>
        <v/>
      </c>
      <c r="EU143" s="43" t="str">
        <f t="shared" ref="EU143:EU144" si="2183">IF(BO143="","","|n"&amp;EU$2&amp;"+"&amp;BO143&amp;EU$1)</f>
        <v/>
      </c>
      <c r="EV143" s="43" t="str">
        <f t="shared" ref="EV143:EV144" si="2184">IF(BP143="","","|n"&amp;EV$2&amp;"+"&amp;BP143&amp;EV$1)</f>
        <v/>
      </c>
      <c r="EW143" s="43" t="str">
        <f t="shared" ref="EW143:EW144" si="2185">IF(BQ143="","","|n"&amp;EW$2&amp;"+"&amp;BQ143&amp;EW$1)</f>
        <v/>
      </c>
      <c r="EX143" s="43" t="str">
        <f t="shared" ref="EX143:EX144" si="2186">IF(BR143="","","|n"&amp;EX$2&amp;"+"&amp;BR143&amp;EX$1)</f>
        <v/>
      </c>
      <c r="EY143" s="43" t="str">
        <f t="shared" ref="EY143:EY144" si="2187">IF(BS143="","","|n"&amp;EY$2&amp;"+"&amp;BS143&amp;EY$1)</f>
        <v/>
      </c>
      <c r="EZ143" s="43" t="str">
        <f t="shared" ref="EZ143:EZ144" si="2188">IF(BT143="","","|n"&amp;EZ$2&amp;"+"&amp;BT143&amp;EZ$1)</f>
        <v/>
      </c>
      <c r="FA143" s="43" t="str">
        <f t="shared" ref="FA143:FA144" si="2189">IF(BU143="","","|n"&amp;FA$2&amp;"+"&amp;BU143&amp;FA$1)</f>
        <v/>
      </c>
      <c r="FB143" s="43" t="str">
        <f t="shared" ref="FB143:FB144" si="2190">IF(BV143="","","|n"&amp;FB$2&amp;"+"&amp;BV143&amp;FB$1)</f>
        <v/>
      </c>
      <c r="FC143" s="43" t="str">
        <f t="shared" ref="FC143:FC144" si="2191">IF(BW143="","","|n"&amp;FC$2&amp;"+"&amp;BW143&amp;FC$1)</f>
        <v/>
      </c>
      <c r="FD143" s="43" t="str">
        <f t="shared" ref="FD143:FD144" si="2192">IF(BX143="","","|n"&amp;FD$2&amp;"+"&amp;BX143&amp;FD$1)</f>
        <v/>
      </c>
      <c r="FE143" s="43" t="str">
        <f t="shared" ref="FE143:FE144" si="2193">IF(BY143="","","|n"&amp;FE$2&amp;"+"&amp;BY143&amp;FE$1)</f>
        <v/>
      </c>
      <c r="FF143" s="43" t="str">
        <f t="shared" ref="FF143:FF144" si="2194">IF(BZ143="","","|n"&amp;FF$2&amp;"+"&amp;BZ143&amp;FF$1)</f>
        <v/>
      </c>
      <c r="FG143" s="43" t="str">
        <f t="shared" ref="FG143:FG144" si="2195">IF(CA143="","","|n"&amp;FG$2&amp;"+"&amp;CA143&amp;FG$1)</f>
        <v/>
      </c>
      <c r="FH143" s="43" t="str">
        <f t="shared" ref="FH143:FH144" si="2196">IF(CB143="","","|n"&amp;FH$2&amp;"+"&amp;CB143&amp;FH$1)</f>
        <v/>
      </c>
      <c r="FI143" s="43" t="str">
        <f t="shared" ref="FI143:FI144" si="2197">IF(CC143="","","|n"&amp;FI$2&amp;"+"&amp;CC143&amp;FI$1)</f>
        <v/>
      </c>
      <c r="FJ143" s="43" t="str">
        <f t="shared" ref="FJ143:FJ144" si="2198">IF(CD143="","","|n"&amp;FJ$2&amp;"+"&amp;CD143&amp;FJ$1)</f>
        <v/>
      </c>
      <c r="FK143" s="43" t="str">
        <f t="shared" ref="FK143:FK144" si="2199">IF(CE143="","","|n"&amp;FK$2&amp;"+"&amp;CE143&amp;FK$1)</f>
        <v/>
      </c>
      <c r="FL143" s="43" t="str">
        <f t="shared" ref="FL143:FL144" si="2200">IF(CF143="","","|n"&amp;FL$2&amp;"+"&amp;CF143&amp;FL$1)</f>
        <v/>
      </c>
      <c r="FM143" s="43" t="str">
        <f t="shared" ref="FM143:FM144" si="2201">IF(CG143="","","|n"&amp;FM$2&amp;"+"&amp;CG143&amp;FM$1)</f>
        <v/>
      </c>
      <c r="FN143" s="43" t="str">
        <f t="shared" ref="FN143:FN144" si="2202">IF(CH143="","","|n"&amp;FN$2&amp;"+"&amp;CH143&amp;FN$1)</f>
        <v/>
      </c>
      <c r="FO143" s="43" t="str">
        <f t="shared" ref="FO143:FO144" si="2203">IF(CI143="","","|n"&amp;FO$2&amp;"+"&amp;CI143&amp;FO$1)</f>
        <v/>
      </c>
      <c r="FP143" s="43" t="str">
        <f t="shared" ref="FP143:FP144" si="2204">IF(CJ143="","","|n"&amp;FP$2&amp;"+"&amp;CJ143&amp;FP$1)</f>
        <v/>
      </c>
      <c r="FQ143" s="43" t="str">
        <f t="shared" ref="FQ143:FQ144" si="2205">IF(CK143="","","|n"&amp;FQ$2&amp;"+"&amp;CK143&amp;FQ$1)</f>
        <v/>
      </c>
      <c r="FR143" s="43" t="str">
        <f t="shared" ref="FR143:FR144" si="2206">IF(CL143="","","|n"&amp;FR$2&amp;"+"&amp;CL143&amp;FR$1)</f>
        <v/>
      </c>
      <c r="FS143" s="43" t="str">
        <f t="shared" ref="FS143:FS144" si="2207">IF(CM143="","","|n"&amp;FS$2&amp;"+"&amp;CM143&amp;FS$1)</f>
        <v/>
      </c>
    </row>
    <row r="144" spans="1:175" ht="54">
      <c r="A144" s="4"/>
      <c r="B144" s="6" t="s">
        <v>437</v>
      </c>
      <c r="C144" s="73" t="s">
        <v>411</v>
      </c>
      <c r="T144" s="78" t="s">
        <v>412</v>
      </c>
      <c r="U144" s="55" t="s">
        <v>413</v>
      </c>
      <c r="CN144" s="12" t="str">
        <f t="shared" si="2059"/>
        <v>InitUnitState('INDV',,,,,,,,,,)</v>
      </c>
      <c r="CO144" s="12" t="str">
        <f t="shared" si="2060"/>
        <v>InitUnitNormal('INDV',,,,,,,,,,)</v>
      </c>
      <c r="CP144" s="12" t="str">
        <f t="shared" si="2061"/>
        <v>InitUnitMagic('INDV',,,,,,,,,,)</v>
      </c>
      <c r="CQ144" s="12" t="str">
        <f t="shared" si="2062"/>
        <v>InitUnitAdd('INDV',,,,,,,,,,)</v>
      </c>
      <c r="CR144" s="12" t="str">
        <f t="shared" si="2135"/>
        <v>InitEquipData('INDV',,"",,,,,'','','','','','',"ReplaceableTextures\\CommandButtons\\BTNIT03.blp")</v>
      </c>
      <c r="CU144" s="67" t="str">
        <f t="shared" si="2136"/>
        <v>|n</v>
      </c>
      <c r="CV144" s="5" t="str">
        <f t="shared" si="2137"/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si="2138"/>
        <v/>
      </c>
      <c r="DC144" s="43" t="str">
        <f t="shared" si="2139"/>
        <v/>
      </c>
      <c r="DD144" s="43" t="str">
        <f t="shared" si="2140"/>
        <v/>
      </c>
      <c r="DE144" s="43" t="str">
        <f t="shared" si="2141"/>
        <v/>
      </c>
      <c r="DF144" s="43" t="str">
        <f t="shared" si="2142"/>
        <v/>
      </c>
      <c r="DG144" s="43" t="str">
        <f t="shared" si="2143"/>
        <v/>
      </c>
      <c r="DH144" s="43" t="str">
        <f t="shared" si="2144"/>
        <v/>
      </c>
      <c r="DI144" s="43" t="str">
        <f t="shared" si="2145"/>
        <v/>
      </c>
      <c r="DJ144" s="43" t="str">
        <f t="shared" si="2146"/>
        <v/>
      </c>
      <c r="DK144" s="43" t="str">
        <f t="shared" si="2147"/>
        <v/>
      </c>
      <c r="DL144" s="43" t="str">
        <f t="shared" si="2148"/>
        <v/>
      </c>
      <c r="DM144" s="43" t="str">
        <f t="shared" si="2149"/>
        <v/>
      </c>
      <c r="DN144" s="43" t="str">
        <f t="shared" si="2150"/>
        <v/>
      </c>
      <c r="DO144" s="43" t="str">
        <f t="shared" si="2151"/>
        <v/>
      </c>
      <c r="DP144" s="43" t="str">
        <f t="shared" si="2152"/>
        <v/>
      </c>
      <c r="DQ144" s="43" t="str">
        <f t="shared" si="2153"/>
        <v/>
      </c>
      <c r="DR144" s="43" t="str">
        <f t="shared" si="2154"/>
        <v/>
      </c>
      <c r="DS144" s="43" t="str">
        <f t="shared" si="2155"/>
        <v/>
      </c>
      <c r="DT144" s="43" t="str">
        <f t="shared" si="2156"/>
        <v/>
      </c>
      <c r="DU144" s="43" t="str">
        <f t="shared" si="2157"/>
        <v/>
      </c>
      <c r="DV144" s="43" t="str">
        <f t="shared" si="2158"/>
        <v/>
      </c>
      <c r="DW144" s="43" t="str">
        <f t="shared" si="2159"/>
        <v/>
      </c>
      <c r="DX144" s="43" t="str">
        <f t="shared" si="2160"/>
        <v/>
      </c>
      <c r="DY144" s="43" t="str">
        <f t="shared" si="2161"/>
        <v/>
      </c>
      <c r="DZ144" s="43" t="str">
        <f t="shared" si="2162"/>
        <v/>
      </c>
      <c r="EA144" s="43" t="str">
        <f t="shared" si="2163"/>
        <v/>
      </c>
      <c r="EB144" s="43" t="str">
        <f t="shared" si="2164"/>
        <v/>
      </c>
      <c r="EC144" s="43" t="str">
        <f t="shared" si="2165"/>
        <v/>
      </c>
      <c r="ED144" s="43" t="str">
        <f t="shared" si="2166"/>
        <v/>
      </c>
      <c r="EE144" s="43" t="str">
        <f t="shared" si="2167"/>
        <v/>
      </c>
      <c r="EF144" s="43" t="str">
        <f t="shared" si="2168"/>
        <v/>
      </c>
      <c r="EG144" s="43" t="str">
        <f t="shared" si="2169"/>
        <v/>
      </c>
      <c r="EH144" s="43" t="str">
        <f t="shared" si="2170"/>
        <v/>
      </c>
      <c r="EI144" s="43" t="str">
        <f t="shared" si="2171"/>
        <v/>
      </c>
      <c r="EJ144" s="43" t="str">
        <f t="shared" si="2172"/>
        <v/>
      </c>
      <c r="EK144" s="43" t="str">
        <f t="shared" si="2173"/>
        <v/>
      </c>
      <c r="EL144" s="43" t="str">
        <f t="shared" si="2174"/>
        <v/>
      </c>
      <c r="EM144" s="43" t="str">
        <f t="shared" si="2175"/>
        <v/>
      </c>
      <c r="EN144" s="43" t="str">
        <f t="shared" si="2176"/>
        <v/>
      </c>
      <c r="EO144" s="43" t="str">
        <f t="shared" si="2177"/>
        <v/>
      </c>
      <c r="EP144" s="43" t="str">
        <f t="shared" si="2178"/>
        <v/>
      </c>
      <c r="EQ144" s="43" t="str">
        <f t="shared" si="2179"/>
        <v/>
      </c>
      <c r="ER144" s="43" t="str">
        <f t="shared" si="2180"/>
        <v/>
      </c>
      <c r="ES144" s="43" t="str">
        <f t="shared" si="2181"/>
        <v/>
      </c>
      <c r="ET144" s="43" t="str">
        <f t="shared" si="2182"/>
        <v/>
      </c>
      <c r="EU144" s="43" t="str">
        <f t="shared" si="2183"/>
        <v/>
      </c>
      <c r="EV144" s="43" t="str">
        <f t="shared" si="2184"/>
        <v/>
      </c>
      <c r="EW144" s="43" t="str">
        <f t="shared" si="2185"/>
        <v/>
      </c>
      <c r="EX144" s="43" t="str">
        <f t="shared" si="2186"/>
        <v/>
      </c>
      <c r="EY144" s="43" t="str">
        <f t="shared" si="2187"/>
        <v/>
      </c>
      <c r="EZ144" s="43" t="str">
        <f t="shared" si="2188"/>
        <v/>
      </c>
      <c r="FA144" s="43" t="str">
        <f t="shared" si="2189"/>
        <v/>
      </c>
      <c r="FB144" s="43" t="str">
        <f t="shared" si="2190"/>
        <v/>
      </c>
      <c r="FC144" s="43" t="str">
        <f t="shared" si="2191"/>
        <v/>
      </c>
      <c r="FD144" s="43" t="str">
        <f t="shared" si="2192"/>
        <v/>
      </c>
      <c r="FE144" s="43" t="str">
        <f t="shared" si="2193"/>
        <v/>
      </c>
      <c r="FF144" s="43" t="str">
        <f t="shared" si="2194"/>
        <v/>
      </c>
      <c r="FG144" s="43" t="str">
        <f t="shared" si="2195"/>
        <v/>
      </c>
      <c r="FH144" s="43" t="str">
        <f t="shared" si="2196"/>
        <v/>
      </c>
      <c r="FI144" s="43" t="str">
        <f t="shared" si="2197"/>
        <v/>
      </c>
      <c r="FJ144" s="43" t="str">
        <f t="shared" si="2198"/>
        <v/>
      </c>
      <c r="FK144" s="43" t="str">
        <f t="shared" si="2199"/>
        <v/>
      </c>
      <c r="FL144" s="43" t="str">
        <f t="shared" si="2200"/>
        <v/>
      </c>
      <c r="FM144" s="43" t="str">
        <f t="shared" si="2201"/>
        <v/>
      </c>
      <c r="FN144" s="43" t="str">
        <f t="shared" si="2202"/>
        <v/>
      </c>
      <c r="FO144" s="43" t="str">
        <f t="shared" si="2203"/>
        <v/>
      </c>
      <c r="FP144" s="43" t="str">
        <f t="shared" si="2204"/>
        <v/>
      </c>
      <c r="FQ144" s="43" t="str">
        <f t="shared" si="2205"/>
        <v/>
      </c>
      <c r="FR144" s="43" t="str">
        <f t="shared" si="2206"/>
        <v/>
      </c>
      <c r="FS144" s="43" t="str">
        <f t="shared" si="2207"/>
        <v/>
      </c>
    </row>
    <row r="145" spans="1:175" ht="54">
      <c r="A145" s="4"/>
      <c r="B145" s="6" t="s">
        <v>438</v>
      </c>
      <c r="C145" s="73" t="s">
        <v>411</v>
      </c>
      <c r="T145" s="78" t="s">
        <v>412</v>
      </c>
      <c r="U145" s="55" t="s">
        <v>413</v>
      </c>
      <c r="CN145" s="12" t="str">
        <f t="shared" si="2059"/>
        <v>InitUnitState('INDW',,,,,,,,,,)</v>
      </c>
      <c r="CO145" s="12" t="str">
        <f t="shared" si="2060"/>
        <v>InitUnitNormal('INDW',,,,,,,,,,)</v>
      </c>
      <c r="CP145" s="12" t="str">
        <f t="shared" si="2061"/>
        <v>InitUnitMagic('INDW',,,,,,,,,,)</v>
      </c>
      <c r="CQ145" s="12" t="str">
        <f t="shared" si="2062"/>
        <v>InitUnitAdd('INDW',,,,,,,,,,)</v>
      </c>
      <c r="CR145" s="12" t="str">
        <f t="shared" si="2135"/>
        <v>InitEquipData('INDW',,"",,,,,'','','','','','',"ReplaceableTextures\\CommandButtons\\BTNIT04.blp")</v>
      </c>
      <c r="CU145" s="67" t="str">
        <f t="shared" si="1914"/>
        <v>|n</v>
      </c>
      <c r="CV145" s="5" t="str">
        <f t="shared" si="1915"/>
        <v xml:space="preserve">开启后获得|Cffffd24d42~700木头|r或|Cffffd24d随机锦囊卡|r。|n|n|Cff00ff7f掉落时激活的星宿越多，人品越好 |r     </v>
      </c>
      <c r="CW145" s="6"/>
      <c r="CX145" s="6"/>
      <c r="CY145" s="6"/>
      <c r="CZ145" s="6"/>
      <c r="DA145" s="6"/>
      <c r="DB145" s="43" t="str">
        <f t="shared" si="1916"/>
        <v/>
      </c>
      <c r="DC145" s="43" t="str">
        <f t="shared" si="1917"/>
        <v/>
      </c>
      <c r="DD145" s="43" t="str">
        <f t="shared" si="1918"/>
        <v/>
      </c>
      <c r="DE145" s="43" t="str">
        <f t="shared" si="1919"/>
        <v/>
      </c>
      <c r="DF145" s="43" t="str">
        <f t="shared" si="1920"/>
        <v/>
      </c>
      <c r="DG145" s="43" t="str">
        <f t="shared" si="1921"/>
        <v/>
      </c>
      <c r="DH145" s="43" t="str">
        <f t="shared" si="1922"/>
        <v/>
      </c>
      <c r="DI145" s="43" t="str">
        <f t="shared" si="1923"/>
        <v/>
      </c>
      <c r="DJ145" s="43" t="str">
        <f t="shared" si="1924"/>
        <v/>
      </c>
      <c r="DK145" s="43" t="str">
        <f t="shared" si="1925"/>
        <v/>
      </c>
      <c r="DL145" s="43" t="str">
        <f t="shared" si="1926"/>
        <v/>
      </c>
      <c r="DM145" s="43" t="str">
        <f t="shared" si="1927"/>
        <v/>
      </c>
      <c r="DN145" s="43" t="str">
        <f t="shared" si="1928"/>
        <v/>
      </c>
      <c r="DO145" s="43" t="str">
        <f t="shared" si="1929"/>
        <v/>
      </c>
      <c r="DP145" s="43" t="str">
        <f t="shared" si="1930"/>
        <v/>
      </c>
      <c r="DQ145" s="43" t="str">
        <f t="shared" si="1931"/>
        <v/>
      </c>
      <c r="DR145" s="43" t="str">
        <f t="shared" si="1932"/>
        <v/>
      </c>
      <c r="DS145" s="43" t="str">
        <f t="shared" si="1933"/>
        <v/>
      </c>
      <c r="DT145" s="43" t="str">
        <f t="shared" si="1934"/>
        <v/>
      </c>
      <c r="DU145" s="43" t="str">
        <f t="shared" si="1935"/>
        <v/>
      </c>
      <c r="DV145" s="43" t="str">
        <f t="shared" si="1936"/>
        <v/>
      </c>
      <c r="DW145" s="43" t="str">
        <f t="shared" si="1937"/>
        <v/>
      </c>
      <c r="DX145" s="43" t="str">
        <f t="shared" si="1938"/>
        <v/>
      </c>
      <c r="DY145" s="43" t="str">
        <f t="shared" si="1939"/>
        <v/>
      </c>
      <c r="DZ145" s="43" t="str">
        <f t="shared" si="1940"/>
        <v/>
      </c>
      <c r="EA145" s="43" t="str">
        <f t="shared" si="1941"/>
        <v/>
      </c>
      <c r="EB145" s="43" t="str">
        <f t="shared" si="1942"/>
        <v/>
      </c>
      <c r="EC145" s="43" t="str">
        <f t="shared" si="1943"/>
        <v/>
      </c>
      <c r="ED145" s="43" t="str">
        <f t="shared" si="1944"/>
        <v/>
      </c>
      <c r="EE145" s="43" t="str">
        <f t="shared" si="1945"/>
        <v/>
      </c>
      <c r="EF145" s="43" t="str">
        <f t="shared" si="1946"/>
        <v/>
      </c>
      <c r="EG145" s="43" t="str">
        <f t="shared" si="1947"/>
        <v/>
      </c>
      <c r="EH145" s="43" t="str">
        <f t="shared" si="1948"/>
        <v/>
      </c>
      <c r="EI145" s="43" t="str">
        <f t="shared" si="1949"/>
        <v/>
      </c>
      <c r="EJ145" s="43" t="str">
        <f t="shared" si="1950"/>
        <v/>
      </c>
      <c r="EK145" s="43" t="str">
        <f t="shared" si="1951"/>
        <v/>
      </c>
      <c r="EL145" s="43" t="str">
        <f t="shared" si="1952"/>
        <v/>
      </c>
      <c r="EM145" s="43" t="str">
        <f t="shared" si="1953"/>
        <v/>
      </c>
      <c r="EN145" s="43" t="str">
        <f t="shared" si="1954"/>
        <v/>
      </c>
      <c r="EO145" s="43" t="str">
        <f t="shared" si="1955"/>
        <v/>
      </c>
      <c r="EP145" s="43" t="str">
        <f t="shared" si="1956"/>
        <v/>
      </c>
      <c r="EQ145" s="43" t="str">
        <f t="shared" si="1957"/>
        <v/>
      </c>
      <c r="ER145" s="43" t="str">
        <f t="shared" si="1958"/>
        <v/>
      </c>
      <c r="ES145" s="43" t="str">
        <f t="shared" si="1959"/>
        <v/>
      </c>
      <c r="ET145" s="43" t="str">
        <f t="shared" si="1960"/>
        <v/>
      </c>
      <c r="EU145" s="43" t="str">
        <f t="shared" si="1961"/>
        <v/>
      </c>
      <c r="EV145" s="43" t="str">
        <f t="shared" si="1962"/>
        <v/>
      </c>
      <c r="EW145" s="43" t="str">
        <f t="shared" si="1963"/>
        <v/>
      </c>
      <c r="EX145" s="43" t="str">
        <f t="shared" si="1964"/>
        <v/>
      </c>
      <c r="EY145" s="43" t="str">
        <f t="shared" si="1965"/>
        <v/>
      </c>
      <c r="EZ145" s="43" t="str">
        <f t="shared" si="1966"/>
        <v/>
      </c>
      <c r="FA145" s="43" t="str">
        <f t="shared" si="1967"/>
        <v/>
      </c>
      <c r="FB145" s="43" t="str">
        <f t="shared" si="1968"/>
        <v/>
      </c>
      <c r="FC145" s="43" t="str">
        <f t="shared" si="1969"/>
        <v/>
      </c>
      <c r="FD145" s="43" t="str">
        <f t="shared" si="1970"/>
        <v/>
      </c>
      <c r="FE145" s="43" t="str">
        <f t="shared" si="1971"/>
        <v/>
      </c>
      <c r="FF145" s="43" t="str">
        <f t="shared" si="1972"/>
        <v/>
      </c>
      <c r="FG145" s="43" t="str">
        <f t="shared" si="1973"/>
        <v/>
      </c>
      <c r="FH145" s="43" t="str">
        <f t="shared" si="1974"/>
        <v/>
      </c>
      <c r="FI145" s="43" t="str">
        <f t="shared" si="1975"/>
        <v/>
      </c>
      <c r="FJ145" s="43" t="str">
        <f t="shared" si="1976"/>
        <v/>
      </c>
      <c r="FK145" s="43" t="str">
        <f t="shared" si="1977"/>
        <v/>
      </c>
      <c r="FL145" s="43" t="str">
        <f t="shared" si="1978"/>
        <v/>
      </c>
      <c r="FM145" s="43" t="str">
        <f t="shared" si="1979"/>
        <v/>
      </c>
      <c r="FN145" s="43" t="str">
        <f t="shared" si="1980"/>
        <v/>
      </c>
      <c r="FO145" s="43" t="str">
        <f t="shared" si="1981"/>
        <v/>
      </c>
      <c r="FP145" s="43" t="str">
        <f t="shared" si="1982"/>
        <v/>
      </c>
      <c r="FQ145" s="43" t="str">
        <f t="shared" si="1983"/>
        <v/>
      </c>
      <c r="FR145" s="43" t="str">
        <f t="shared" si="1984"/>
        <v/>
      </c>
      <c r="FS145" s="43" t="str">
        <f t="shared" si="1985"/>
        <v/>
      </c>
    </row>
    <row r="146" spans="1:175" ht="16.5">
      <c r="A146" s="4"/>
      <c r="B146" s="6" t="s">
        <v>439</v>
      </c>
      <c r="C146" s="73" t="s">
        <v>419</v>
      </c>
      <c r="T146" s="78" t="s">
        <v>420</v>
      </c>
      <c r="U146" s="55" t="s">
        <v>421</v>
      </c>
      <c r="CN146" s="12" t="str">
        <f t="shared" si="2059"/>
        <v>InitUnitState('INDX',,,,,,,,,,)</v>
      </c>
      <c r="CO146" s="12" t="str">
        <f t="shared" si="2060"/>
        <v>InitUnitNormal('INDX',,,,,,,,,,)</v>
      </c>
      <c r="CP146" s="12" t="str">
        <f t="shared" si="2061"/>
        <v>InitUnitMagic('INDX',,,,,,,,,,)</v>
      </c>
      <c r="CQ146" s="12" t="str">
        <f t="shared" si="2062"/>
        <v>InitUnitAdd('INDX',,,,,,,,,,)</v>
      </c>
      <c r="CR146" s="12" t="str">
        <f t="shared" si="2135"/>
        <v>InitEquipData('INDX',,"",,,,,'','','','','','',"ReplaceableTextures\\CommandButtons\\BTNIT05.blp")</v>
      </c>
      <c r="CU146" s="67" t="str">
        <f t="shared" ref="CU146" si="2208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5" t="str">
        <f t="shared" ref="CV146" si="2209">T146</f>
        <v>开启后随机获得一张|Cffffd24d锦囊卡|r</v>
      </c>
      <c r="CW146" s="6"/>
      <c r="CX146" s="6"/>
      <c r="CY146" s="6"/>
      <c r="CZ146" s="6"/>
      <c r="DA146" s="6"/>
      <c r="DB146" s="43" t="str">
        <f t="shared" ref="DB146" si="2210">IF(V146="","","|n"&amp;DB$2&amp;"+"&amp;V146&amp;DB$1)</f>
        <v/>
      </c>
      <c r="DC146" s="43" t="str">
        <f t="shared" ref="DC146" si="2211">IF(W146="","","|n"&amp;DC$2&amp;"+"&amp;W146&amp;DC$1)</f>
        <v/>
      </c>
      <c r="DD146" s="43" t="str">
        <f t="shared" ref="DD146" si="2212">IF(X146="","","|n"&amp;DD$2&amp;"+"&amp;X146&amp;DD$1)</f>
        <v/>
      </c>
      <c r="DE146" s="43" t="str">
        <f t="shared" ref="DE146" si="2213">IF(Y146="","","|n"&amp;DE$2&amp;"+"&amp;Y146&amp;DE$1)</f>
        <v/>
      </c>
      <c r="DF146" s="43" t="str">
        <f t="shared" ref="DF146" si="2214">IF(Z146="","","|n"&amp;DF$2&amp;"+"&amp;Z146&amp;DF$1)</f>
        <v/>
      </c>
      <c r="DG146" s="43" t="str">
        <f t="shared" ref="DG146" si="2215">IF(AA146="","","|n"&amp;DG$2&amp;"+"&amp;AA146&amp;DG$1)</f>
        <v/>
      </c>
      <c r="DH146" s="43" t="str">
        <f t="shared" ref="DH146" si="2216">IF(AB146="","","|n"&amp;DH$2&amp;"+"&amp;AB146&amp;DH$1)</f>
        <v/>
      </c>
      <c r="DI146" s="43" t="str">
        <f t="shared" ref="DI146" si="2217">IF(AC146="","","|n"&amp;DI$2&amp;"+"&amp;AC146&amp;DI$1)</f>
        <v/>
      </c>
      <c r="DJ146" s="43" t="str">
        <f t="shared" ref="DJ146" si="2218">IF(AD146="","","|n"&amp;DJ$2&amp;"+"&amp;AD146&amp;DJ$1)</f>
        <v/>
      </c>
      <c r="DK146" s="43" t="str">
        <f t="shared" ref="DK146" si="2219">IF(AE146="","","|n"&amp;DK$2&amp;"+"&amp;AE146&amp;DK$1)</f>
        <v/>
      </c>
      <c r="DL146" s="43" t="str">
        <f t="shared" ref="DL146" si="2220">IF(AF146="","","|n"&amp;DL$2&amp;"+"&amp;AF146&amp;DL$1)</f>
        <v/>
      </c>
      <c r="DM146" s="43" t="str">
        <f t="shared" ref="DM146" si="2221">IF(AG146="","","|n"&amp;DM$2&amp;"+"&amp;AG146&amp;DM$1)</f>
        <v/>
      </c>
      <c r="DN146" s="43" t="str">
        <f t="shared" ref="DN146" si="2222">IF(AH146="","","|n"&amp;DN$2&amp;"+"&amp;AH146&amp;DN$1)</f>
        <v/>
      </c>
      <c r="DO146" s="43" t="str">
        <f t="shared" ref="DO146" si="2223">IF(AI146="","","|n"&amp;DO$2&amp;"+"&amp;AI146&amp;DO$1)</f>
        <v/>
      </c>
      <c r="DP146" s="43" t="str">
        <f t="shared" ref="DP146" si="2224">IF(AJ146="","","|n"&amp;DP$2&amp;"+"&amp;AJ146&amp;DP$1)</f>
        <v/>
      </c>
      <c r="DQ146" s="43" t="str">
        <f t="shared" ref="DQ146" si="2225">IF(AK146="","","|n"&amp;DQ$2&amp;"+"&amp;AK146&amp;DQ$1)</f>
        <v/>
      </c>
      <c r="DR146" s="43" t="str">
        <f t="shared" ref="DR146" si="2226">IF(AL146="","","|n"&amp;DR$2&amp;"+"&amp;AL146&amp;DR$1)</f>
        <v/>
      </c>
      <c r="DS146" s="43" t="str">
        <f t="shared" ref="DS146" si="2227">IF(AM146="","","|n"&amp;DS$2&amp;"+"&amp;AM146&amp;DS$1)</f>
        <v/>
      </c>
      <c r="DT146" s="43" t="str">
        <f t="shared" ref="DT146" si="2228">IF(AN146="","","|n"&amp;DT$2&amp;"+"&amp;AN146&amp;DT$1)</f>
        <v/>
      </c>
      <c r="DU146" s="43" t="str">
        <f t="shared" ref="DU146" si="2229">IF(AO146="","","|n"&amp;DU$2&amp;"+"&amp;AO146&amp;DU$1)</f>
        <v/>
      </c>
      <c r="DV146" s="43" t="str">
        <f t="shared" ref="DV146" si="2230">IF(AP146="","","|n"&amp;DV$2&amp;"+"&amp;AP146&amp;DV$1)</f>
        <v/>
      </c>
      <c r="DW146" s="43" t="str">
        <f t="shared" ref="DW146" si="2231">IF(AQ146="","","|n"&amp;DW$2&amp;"+"&amp;AQ146&amp;DW$1)</f>
        <v/>
      </c>
      <c r="DX146" s="43" t="str">
        <f t="shared" ref="DX146" si="2232">IF(AR146="","","|n"&amp;DX$2&amp;"+"&amp;AR146&amp;DX$1)</f>
        <v/>
      </c>
      <c r="DY146" s="43" t="str">
        <f t="shared" ref="DY146" si="2233">IF(AS146="","","|n"&amp;DY$2&amp;"+"&amp;AS146&amp;DY$1)</f>
        <v/>
      </c>
      <c r="DZ146" s="43" t="str">
        <f t="shared" ref="DZ146" si="2234">IF(AT146="","","|n"&amp;DZ$2&amp;"+"&amp;AT146&amp;DZ$1)</f>
        <v/>
      </c>
      <c r="EA146" s="43" t="str">
        <f t="shared" ref="EA146" si="2235">IF(AU146="","","|n"&amp;EA$2&amp;"+"&amp;AU146&amp;EA$1)</f>
        <v/>
      </c>
      <c r="EB146" s="43" t="str">
        <f t="shared" ref="EB146" si="2236">IF(AV146="","","|n"&amp;EB$2&amp;"+"&amp;AV146&amp;EB$1)</f>
        <v/>
      </c>
      <c r="EC146" s="43" t="str">
        <f t="shared" ref="EC146" si="2237">IF(AW146="","","|n"&amp;EC$2&amp;"+"&amp;AW146&amp;EC$1)</f>
        <v/>
      </c>
      <c r="ED146" s="43" t="str">
        <f t="shared" ref="ED146" si="2238">IF(AX146="","","|n"&amp;ED$2&amp;"+"&amp;AX146&amp;ED$1)</f>
        <v/>
      </c>
      <c r="EE146" s="43" t="str">
        <f t="shared" ref="EE146" si="2239">IF(AY146="","","|n"&amp;EE$2&amp;"+"&amp;AY146&amp;EE$1)</f>
        <v/>
      </c>
      <c r="EF146" s="43" t="str">
        <f t="shared" ref="EF146" si="2240">IF(AZ146="","","|n"&amp;EF$2&amp;"+"&amp;AZ146&amp;EF$1)</f>
        <v/>
      </c>
      <c r="EG146" s="43" t="str">
        <f t="shared" ref="EG146" si="2241">IF(BA146="","","|n"&amp;EG$2&amp;"+"&amp;BA146&amp;EG$1)</f>
        <v/>
      </c>
      <c r="EH146" s="43" t="str">
        <f t="shared" ref="EH146" si="2242">IF(BB146="","","|n"&amp;EH$2&amp;"+"&amp;BB146&amp;EH$1)</f>
        <v/>
      </c>
      <c r="EI146" s="43" t="str">
        <f t="shared" ref="EI146" si="2243">IF(BC146="","","|n"&amp;EI$2&amp;"+"&amp;BC146&amp;EI$1)</f>
        <v/>
      </c>
      <c r="EJ146" s="43" t="str">
        <f t="shared" ref="EJ146" si="2244">IF(BD146="","","|n"&amp;EJ$2&amp;"+"&amp;BD146&amp;EJ$1)</f>
        <v/>
      </c>
      <c r="EK146" s="43" t="str">
        <f t="shared" ref="EK146" si="2245">IF(BE146="","","|n"&amp;EK$2&amp;"+"&amp;BE146&amp;EK$1)</f>
        <v/>
      </c>
      <c r="EL146" s="43" t="str">
        <f t="shared" ref="EL146" si="2246">IF(BF146="","","|n"&amp;EL$2&amp;"+"&amp;BF146&amp;EL$1)</f>
        <v/>
      </c>
      <c r="EM146" s="43" t="str">
        <f t="shared" ref="EM146" si="2247">IF(BG146="","","|n"&amp;EM$2&amp;"+"&amp;BG146&amp;EM$1)</f>
        <v/>
      </c>
      <c r="EN146" s="43" t="str">
        <f t="shared" ref="EN146" si="2248">IF(BH146="","","|n"&amp;EN$2&amp;"+"&amp;BH146&amp;EN$1)</f>
        <v/>
      </c>
      <c r="EO146" s="43" t="str">
        <f t="shared" ref="EO146" si="2249">IF(BI146="","","|n"&amp;EO$2&amp;"+"&amp;BI146&amp;EO$1)</f>
        <v/>
      </c>
      <c r="EP146" s="43" t="str">
        <f t="shared" ref="EP146" si="2250">IF(BJ146="","","|n"&amp;EP$2&amp;"+"&amp;BJ146&amp;EP$1)</f>
        <v/>
      </c>
      <c r="EQ146" s="43" t="str">
        <f t="shared" ref="EQ146" si="2251">IF(BK146="","","|n"&amp;EQ$2&amp;"+"&amp;BK146&amp;EQ$1)</f>
        <v/>
      </c>
      <c r="ER146" s="43" t="str">
        <f t="shared" ref="ER146" si="2252">IF(BL146="","","|n"&amp;ER$2&amp;"+"&amp;BL146&amp;ER$1)</f>
        <v/>
      </c>
      <c r="ES146" s="43" t="str">
        <f t="shared" ref="ES146" si="2253">IF(BM146="","","|n"&amp;ES$2&amp;"+"&amp;BM146&amp;ES$1)</f>
        <v/>
      </c>
      <c r="ET146" s="43" t="str">
        <f t="shared" ref="ET146" si="2254">IF(BN146="","","|n"&amp;ET$2&amp;"+"&amp;BN146&amp;ET$1)</f>
        <v/>
      </c>
      <c r="EU146" s="43" t="str">
        <f t="shared" ref="EU146" si="2255">IF(BO146="","","|n"&amp;EU$2&amp;"+"&amp;BO146&amp;EU$1)</f>
        <v/>
      </c>
      <c r="EV146" s="43" t="str">
        <f t="shared" ref="EV146" si="2256">IF(BP146="","","|n"&amp;EV$2&amp;"+"&amp;BP146&amp;EV$1)</f>
        <v/>
      </c>
      <c r="EW146" s="43" t="str">
        <f t="shared" ref="EW146" si="2257">IF(BQ146="","","|n"&amp;EW$2&amp;"+"&amp;BQ146&amp;EW$1)</f>
        <v/>
      </c>
      <c r="EX146" s="43" t="str">
        <f t="shared" ref="EX146" si="2258">IF(BR146="","","|n"&amp;EX$2&amp;"+"&amp;BR146&amp;EX$1)</f>
        <v/>
      </c>
      <c r="EY146" s="43" t="str">
        <f t="shared" ref="EY146" si="2259">IF(BS146="","","|n"&amp;EY$2&amp;"+"&amp;BS146&amp;EY$1)</f>
        <v/>
      </c>
      <c r="EZ146" s="43" t="str">
        <f t="shared" ref="EZ146" si="2260">IF(BT146="","","|n"&amp;EZ$2&amp;"+"&amp;BT146&amp;EZ$1)</f>
        <v/>
      </c>
      <c r="FA146" s="43" t="str">
        <f t="shared" ref="FA146" si="2261">IF(BU146="","","|n"&amp;FA$2&amp;"+"&amp;BU146&amp;FA$1)</f>
        <v/>
      </c>
      <c r="FB146" s="43" t="str">
        <f t="shared" ref="FB146" si="2262">IF(BV146="","","|n"&amp;FB$2&amp;"+"&amp;BV146&amp;FB$1)</f>
        <v/>
      </c>
      <c r="FC146" s="43" t="str">
        <f t="shared" ref="FC146" si="2263">IF(BW146="","","|n"&amp;FC$2&amp;"+"&amp;BW146&amp;FC$1)</f>
        <v/>
      </c>
      <c r="FD146" s="43" t="str">
        <f t="shared" ref="FD146" si="2264">IF(BX146="","","|n"&amp;FD$2&amp;"+"&amp;BX146&amp;FD$1)</f>
        <v/>
      </c>
      <c r="FE146" s="43" t="str">
        <f t="shared" ref="FE146" si="2265">IF(BY146="","","|n"&amp;FE$2&amp;"+"&amp;BY146&amp;FE$1)</f>
        <v/>
      </c>
      <c r="FF146" s="43" t="str">
        <f t="shared" ref="FF146" si="2266">IF(BZ146="","","|n"&amp;FF$2&amp;"+"&amp;BZ146&amp;FF$1)</f>
        <v/>
      </c>
      <c r="FG146" s="43" t="str">
        <f t="shared" ref="FG146" si="2267">IF(CA146="","","|n"&amp;FG$2&amp;"+"&amp;CA146&amp;FG$1)</f>
        <v/>
      </c>
      <c r="FH146" s="43" t="str">
        <f t="shared" ref="FH146" si="2268">IF(CB146="","","|n"&amp;FH$2&amp;"+"&amp;CB146&amp;FH$1)</f>
        <v/>
      </c>
      <c r="FI146" s="43" t="str">
        <f t="shared" ref="FI146" si="2269">IF(CC146="","","|n"&amp;FI$2&amp;"+"&amp;CC146&amp;FI$1)</f>
        <v/>
      </c>
      <c r="FJ146" s="43" t="str">
        <f t="shared" ref="FJ146" si="2270">IF(CD146="","","|n"&amp;FJ$2&amp;"+"&amp;CD146&amp;FJ$1)</f>
        <v/>
      </c>
      <c r="FK146" s="43" t="str">
        <f t="shared" ref="FK146" si="2271">IF(CE146="","","|n"&amp;FK$2&amp;"+"&amp;CE146&amp;FK$1)</f>
        <v/>
      </c>
      <c r="FL146" s="43" t="str">
        <f t="shared" ref="FL146" si="2272">IF(CF146="","","|n"&amp;FL$2&amp;"+"&amp;CF146&amp;FL$1)</f>
        <v/>
      </c>
      <c r="FM146" s="43" t="str">
        <f t="shared" ref="FM146" si="2273">IF(CG146="","","|n"&amp;FM$2&amp;"+"&amp;CG146&amp;FM$1)</f>
        <v/>
      </c>
      <c r="FN146" s="43" t="str">
        <f t="shared" ref="FN146" si="2274">IF(CH146="","","|n"&amp;FN$2&amp;"+"&amp;CH146&amp;FN$1)</f>
        <v/>
      </c>
      <c r="FO146" s="43" t="str">
        <f t="shared" ref="FO146" si="2275">IF(CI146="","","|n"&amp;FO$2&amp;"+"&amp;CI146&amp;FO$1)</f>
        <v/>
      </c>
      <c r="FP146" s="43" t="str">
        <f t="shared" ref="FP146" si="2276">IF(CJ146="","","|n"&amp;FP$2&amp;"+"&amp;CJ146&amp;FP$1)</f>
        <v/>
      </c>
      <c r="FQ146" s="43" t="str">
        <f t="shared" ref="FQ146" si="2277">IF(CK146="","","|n"&amp;FQ$2&amp;"+"&amp;CK146&amp;FQ$1)</f>
        <v/>
      </c>
      <c r="FR146" s="43" t="str">
        <f t="shared" ref="FR146" si="2278">IF(CL146="","","|n"&amp;FR$2&amp;"+"&amp;CL146&amp;FR$1)</f>
        <v/>
      </c>
      <c r="FS146" s="43" t="str">
        <f t="shared" ref="FS146" si="2279">IF(CM146="","","|n"&amp;FS$2&amp;"+"&amp;CM146&amp;FS$1)</f>
        <v/>
      </c>
    </row>
    <row r="147" spans="1:175" ht="16.5">
      <c r="A147" s="4"/>
      <c r="B147" s="4" t="s">
        <v>440</v>
      </c>
      <c r="C147" s="4" t="s">
        <v>441</v>
      </c>
      <c r="T147" s="78" t="s">
        <v>442</v>
      </c>
      <c r="U147" s="55" t="str">
        <f t="shared" si="1549"/>
        <v>ReplaceableTextures\\CommandButtons\\BTNIN00.blp</v>
      </c>
      <c r="CN147" s="12" t="str">
        <f t="shared" si="2059"/>
        <v>InitUnitState('IN00',,,,,,,,,,)</v>
      </c>
      <c r="CO147" s="12" t="str">
        <f t="shared" si="2060"/>
        <v>InitUnitNormal('IN00',,,,,,,,,,)</v>
      </c>
      <c r="CP147" s="12" t="str">
        <f t="shared" si="2061"/>
        <v>InitUnitMagic('IN00',,,,,,,,,,)</v>
      </c>
      <c r="CQ147" s="12" t="str">
        <f t="shared" si="2062"/>
        <v>InitUnitAdd('IN00',,,,,,,,,,)</v>
      </c>
      <c r="CR147" s="12" t="str">
        <f t="shared" si="2135"/>
        <v>InitEquipData('IN00',,"",,,,,'','','','','','',"ReplaceableTextures\\CommandButtons\\BTNIT06.blp")</v>
      </c>
      <c r="CU147" s="67" t="str">
        <f t="shared" si="1914"/>
        <v>|n</v>
      </c>
      <c r="CV147" s="5" t="str">
        <f t="shared" si="1915"/>
        <v>开出一个随机锦囊</v>
      </c>
      <c r="CW147" s="6"/>
      <c r="CX147" s="6"/>
      <c r="CY147" s="6"/>
      <c r="CZ147" s="6"/>
      <c r="DA147" s="6"/>
      <c r="DB147" s="43" t="str">
        <f t="shared" si="1916"/>
        <v/>
      </c>
      <c r="DC147" s="43" t="str">
        <f t="shared" si="1917"/>
        <v/>
      </c>
      <c r="DD147" s="43" t="str">
        <f t="shared" si="1918"/>
        <v/>
      </c>
      <c r="DE147" s="43" t="str">
        <f t="shared" si="1919"/>
        <v/>
      </c>
      <c r="DF147" s="43" t="str">
        <f t="shared" si="1920"/>
        <v/>
      </c>
      <c r="DG147" s="43" t="str">
        <f t="shared" si="1921"/>
        <v/>
      </c>
      <c r="DH147" s="43" t="str">
        <f t="shared" si="1922"/>
        <v/>
      </c>
      <c r="DI147" s="43" t="str">
        <f t="shared" si="1923"/>
        <v/>
      </c>
      <c r="DJ147" s="43" t="str">
        <f t="shared" si="1924"/>
        <v/>
      </c>
      <c r="DK147" s="43" t="str">
        <f t="shared" si="1925"/>
        <v/>
      </c>
      <c r="DL147" s="43" t="str">
        <f t="shared" si="1926"/>
        <v/>
      </c>
      <c r="DM147" s="43" t="str">
        <f t="shared" si="1927"/>
        <v/>
      </c>
      <c r="DN147" s="43" t="str">
        <f t="shared" si="1928"/>
        <v/>
      </c>
      <c r="DO147" s="43" t="str">
        <f t="shared" si="1929"/>
        <v/>
      </c>
      <c r="DP147" s="43" t="str">
        <f t="shared" si="1930"/>
        <v/>
      </c>
      <c r="DQ147" s="43" t="str">
        <f t="shared" si="1931"/>
        <v/>
      </c>
      <c r="DR147" s="43" t="str">
        <f t="shared" si="1932"/>
        <v/>
      </c>
      <c r="DS147" s="43" t="str">
        <f t="shared" si="1933"/>
        <v/>
      </c>
      <c r="DT147" s="43" t="str">
        <f t="shared" si="1934"/>
        <v/>
      </c>
      <c r="DU147" s="43" t="str">
        <f t="shared" si="1935"/>
        <v/>
      </c>
      <c r="DV147" s="43" t="str">
        <f t="shared" si="1936"/>
        <v/>
      </c>
      <c r="DW147" s="43" t="str">
        <f t="shared" si="1937"/>
        <v/>
      </c>
      <c r="DX147" s="43" t="str">
        <f t="shared" si="1938"/>
        <v/>
      </c>
      <c r="DY147" s="43" t="str">
        <f t="shared" si="1939"/>
        <v/>
      </c>
      <c r="DZ147" s="43" t="str">
        <f t="shared" si="1940"/>
        <v/>
      </c>
      <c r="EA147" s="43" t="str">
        <f t="shared" si="1941"/>
        <v/>
      </c>
      <c r="EB147" s="43" t="str">
        <f t="shared" si="1942"/>
        <v/>
      </c>
      <c r="EC147" s="43" t="str">
        <f t="shared" si="1943"/>
        <v/>
      </c>
      <c r="ED147" s="43" t="str">
        <f t="shared" si="1944"/>
        <v/>
      </c>
      <c r="EE147" s="43" t="str">
        <f t="shared" si="1945"/>
        <v/>
      </c>
      <c r="EF147" s="43" t="str">
        <f t="shared" si="1946"/>
        <v/>
      </c>
      <c r="EG147" s="43" t="str">
        <f t="shared" si="1947"/>
        <v/>
      </c>
      <c r="EH147" s="43" t="str">
        <f t="shared" si="1948"/>
        <v/>
      </c>
      <c r="EI147" s="43" t="str">
        <f t="shared" si="1949"/>
        <v/>
      </c>
      <c r="EJ147" s="43" t="str">
        <f t="shared" si="1950"/>
        <v/>
      </c>
      <c r="EK147" s="43" t="str">
        <f t="shared" si="1951"/>
        <v/>
      </c>
      <c r="EL147" s="43" t="str">
        <f t="shared" si="1952"/>
        <v/>
      </c>
      <c r="EM147" s="43" t="str">
        <f t="shared" si="1953"/>
        <v/>
      </c>
      <c r="EN147" s="43" t="str">
        <f t="shared" si="1954"/>
        <v/>
      </c>
      <c r="EO147" s="43" t="str">
        <f t="shared" si="1955"/>
        <v/>
      </c>
      <c r="EP147" s="43" t="str">
        <f t="shared" si="1956"/>
        <v/>
      </c>
      <c r="EQ147" s="43" t="str">
        <f t="shared" si="1957"/>
        <v/>
      </c>
      <c r="ER147" s="43" t="str">
        <f t="shared" si="1958"/>
        <v/>
      </c>
      <c r="ES147" s="43" t="str">
        <f t="shared" si="1959"/>
        <v/>
      </c>
      <c r="ET147" s="43" t="str">
        <f t="shared" si="1960"/>
        <v/>
      </c>
      <c r="EU147" s="43" t="str">
        <f t="shared" si="1961"/>
        <v/>
      </c>
      <c r="EV147" s="43" t="str">
        <f t="shared" si="1962"/>
        <v/>
      </c>
      <c r="EW147" s="43" t="str">
        <f t="shared" si="1963"/>
        <v/>
      </c>
      <c r="EX147" s="43" t="str">
        <f t="shared" si="1964"/>
        <v/>
      </c>
      <c r="EY147" s="43" t="str">
        <f t="shared" si="1965"/>
        <v/>
      </c>
      <c r="EZ147" s="43" t="str">
        <f t="shared" si="1966"/>
        <v/>
      </c>
      <c r="FA147" s="43" t="str">
        <f t="shared" si="1967"/>
        <v/>
      </c>
      <c r="FB147" s="43" t="str">
        <f t="shared" si="1968"/>
        <v/>
      </c>
      <c r="FC147" s="43" t="str">
        <f t="shared" si="1969"/>
        <v/>
      </c>
      <c r="FD147" s="43" t="str">
        <f t="shared" si="1970"/>
        <v/>
      </c>
      <c r="FE147" s="43" t="str">
        <f t="shared" si="1971"/>
        <v/>
      </c>
      <c r="FF147" s="43" t="str">
        <f t="shared" si="1972"/>
        <v/>
      </c>
      <c r="FG147" s="43" t="str">
        <f t="shared" si="1973"/>
        <v/>
      </c>
      <c r="FH147" s="43" t="str">
        <f t="shared" si="1974"/>
        <v/>
      </c>
      <c r="FI147" s="43" t="str">
        <f t="shared" si="1975"/>
        <v/>
      </c>
      <c r="FJ147" s="43" t="str">
        <f t="shared" si="1976"/>
        <v/>
      </c>
      <c r="FK147" s="43" t="str">
        <f t="shared" si="1977"/>
        <v/>
      </c>
      <c r="FL147" s="43" t="str">
        <f t="shared" si="1978"/>
        <v/>
      </c>
      <c r="FM147" s="43" t="str">
        <f t="shared" si="1979"/>
        <v/>
      </c>
      <c r="FN147" s="43" t="str">
        <f t="shared" si="1980"/>
        <v/>
      </c>
      <c r="FO147" s="43" t="str">
        <f t="shared" si="1981"/>
        <v/>
      </c>
      <c r="FP147" s="43" t="str">
        <f t="shared" si="1982"/>
        <v/>
      </c>
      <c r="FQ147" s="43" t="str">
        <f t="shared" si="1983"/>
        <v/>
      </c>
      <c r="FR147" s="43" t="str">
        <f t="shared" si="1984"/>
        <v/>
      </c>
      <c r="FS147" s="43" t="str">
        <f t="shared" si="1985"/>
        <v/>
      </c>
    </row>
    <row r="148" spans="1:175" ht="28.5">
      <c r="A148" s="4"/>
      <c r="B148" s="4" t="s">
        <v>443</v>
      </c>
      <c r="C148" s="5" t="s">
        <v>444</v>
      </c>
      <c r="T148" s="80" t="s">
        <v>445</v>
      </c>
      <c r="U148" s="55" t="str">
        <f t="shared" si="1549"/>
        <v>ReplaceableTextures\\CommandButtons\\BTNIN01.blp</v>
      </c>
      <c r="CN148" s="12" t="str">
        <f t="shared" si="2059"/>
        <v>InitUnitState('IN01',,,,,,,,,,)</v>
      </c>
      <c r="CO148" s="12" t="str">
        <f t="shared" si="2060"/>
        <v>InitUnitNormal('IN01',,,,,,,,,,)</v>
      </c>
      <c r="CP148" s="12" t="str">
        <f t="shared" si="2061"/>
        <v>InitUnitMagic('IN01',,,,,,,,,,)</v>
      </c>
      <c r="CQ148" s="12" t="str">
        <f t="shared" si="2062"/>
        <v>InitUnitAdd('IN01',,,,,,,,,,)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163&amp;CR$1&amp;")"</f>
        <v>InitEquipData('IN01',,"",,,,,'','','','','','',"ReplaceableTextures\\CommandButtons\\BTNIN16.blp")</v>
      </c>
      <c r="CU148" s="67" t="str">
        <f t="shared" si="1914"/>
        <v>|n</v>
      </c>
      <c r="CV148" s="5" t="str">
        <f t="shared" si="1915"/>
        <v>为|Cffffd24d当前的Q技能|r附魔随机效果。|n|n|Cff00ff7f替换技能后，附魔效果消失。|r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446</v>
      </c>
      <c r="C149" s="5" t="s">
        <v>447</v>
      </c>
      <c r="T149" s="80" t="s">
        <v>448</v>
      </c>
      <c r="U149" s="55" t="str">
        <f t="shared" si="1549"/>
        <v>ReplaceableTextures\\CommandButtons\\BTNIN02.blp</v>
      </c>
      <c r="CN149" s="12" t="str">
        <f t="shared" si="2059"/>
        <v>InitUnitState('IN02',,,,,,,,,,)</v>
      </c>
      <c r="CO149" s="12" t="str">
        <f t="shared" si="2060"/>
        <v>InitUnitNormal('IN02',,,,,,,,,,)</v>
      </c>
      <c r="CP149" s="12" t="str">
        <f t="shared" si="2061"/>
        <v>InitUnitMagic('IN02',,,,,,,,,,)</v>
      </c>
      <c r="CQ149" s="12" t="str">
        <f t="shared" si="2062"/>
        <v>InitUnitAdd('IN02',,,,,,,,,,)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InitEquipData('IN02',,"",,,,,'','','','','','',"ReplaceableTextures\\CommandButtons\\BTNIN17.blp")</v>
      </c>
      <c r="CU149" s="67" t="str">
        <f t="shared" si="1914"/>
        <v>|n</v>
      </c>
      <c r="CV149" s="5" t="str">
        <f t="shared" si="1915"/>
        <v>为|Cffffd24d当前的W技能|r附魔随机效果。|n|n|Cff00ff7f替换技能后，附魔效果消失。|r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28.5">
      <c r="A150" s="4"/>
      <c r="B150" s="4" t="s">
        <v>449</v>
      </c>
      <c r="C150" s="5" t="s">
        <v>450</v>
      </c>
      <c r="T150" s="80" t="s">
        <v>451</v>
      </c>
      <c r="U150" s="55" t="str">
        <f t="shared" si="1549"/>
        <v>ReplaceableTextures\\CommandButtons\\BTNIN03.blp</v>
      </c>
      <c r="CN150" s="12" t="str">
        <f t="shared" si="2059"/>
        <v>InitUnitState('IN03',,,,,,,,,,)</v>
      </c>
      <c r="CO150" s="12" t="str">
        <f t="shared" si="2060"/>
        <v>InitUnitNormal('IN03',,,,,,,,,,)</v>
      </c>
      <c r="CP150" s="12" t="str">
        <f t="shared" si="2061"/>
        <v>InitUnitMagic('IN03',,,,,,,,,,)</v>
      </c>
      <c r="CQ150" s="12" t="str">
        <f t="shared" si="2062"/>
        <v>InitUnitAdd('IN03',,,,,,,,,,)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InitEquipData('IN03',,"",,,,,'','','','','','',"ReplaceableTextures\\CommandButtons\\BTNIN18.blp")</v>
      </c>
      <c r="CU150" s="67" t="str">
        <f t="shared" si="1914"/>
        <v>|n</v>
      </c>
      <c r="CV150" s="5" t="str">
        <f t="shared" si="1915"/>
        <v>为|Cffffd24d当前的E技能|r附魔随机效果。|n|n|Cff00ff7f替换技能后，附魔效果消失。|r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16.5">
      <c r="A151" s="4"/>
      <c r="B151" s="4" t="s">
        <v>452</v>
      </c>
      <c r="C151" s="5" t="s">
        <v>453</v>
      </c>
      <c r="T151" s="5" t="s">
        <v>454</v>
      </c>
      <c r="U151" s="55" t="str">
        <f t="shared" si="1549"/>
        <v>ReplaceableTextures\\CommandButtons\\BTNIN04.blp</v>
      </c>
      <c r="CN151" s="12" t="str">
        <f t="shared" si="2059"/>
        <v>InitUnitState('IN04',,,,,,,,,,)</v>
      </c>
      <c r="CO151" s="12" t="str">
        <f t="shared" si="2060"/>
        <v>InitUnitNormal('IN04',,,,,,,,,,)</v>
      </c>
      <c r="CP151" s="12" t="str">
        <f t="shared" si="2061"/>
        <v>InitUnitMagic('IN04',,,,,,,,,,)</v>
      </c>
      <c r="CQ151" s="12" t="str">
        <f t="shared" si="2062"/>
        <v>InitUnitAdd('IN04',,,,,,,,,,)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167&amp;CR$1&amp;")"</f>
        <v>InitEquipData('IN04',,"",,,,,'','','','','','',"ReplaceableTextures\\CommandButtons\\BTNIP01.blp")</v>
      </c>
      <c r="CU151" s="67" t="str">
        <f t="shared" si="1914"/>
        <v>|n</v>
      </c>
      <c r="CV151" s="5" t="str">
        <f t="shared" si="1915"/>
        <v>秒杀|Cffffc926雷神化身|n|n|r|Cff00ff7f雷神化身：|n|r渡劫NPC-九重锻神劫Boss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455</v>
      </c>
      <c r="C152" s="5" t="s">
        <v>456</v>
      </c>
      <c r="T152" s="5" t="s">
        <v>457</v>
      </c>
      <c r="U152" s="55" t="str">
        <f t="shared" si="1549"/>
        <v>ReplaceableTextures\\CommandButtons\\BTNIN05.blp</v>
      </c>
      <c r="CN152" s="12" t="str">
        <f t="shared" si="2059"/>
        <v>InitUnitState('IN05',,,,,,,,,,)</v>
      </c>
      <c r="CO152" s="12" t="str">
        <f t="shared" si="2060"/>
        <v>InitUnitNormal('IN05',,,,,,,,,,)</v>
      </c>
      <c r="CP152" s="12" t="str">
        <f t="shared" si="2061"/>
        <v>InitUnitMagic('IN05',,,,,,,,,,)</v>
      </c>
      <c r="CQ152" s="12" t="str">
        <f t="shared" si="2062"/>
        <v>InitUnitAdd('IN05',,,,,,,,,,)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InitEquipData('IN05',,"",,,,,'','','','','','',"ReplaceableTextures\\CommandButtons\\BTNIP02.blp")</v>
      </c>
      <c r="CU152" s="67" t="str">
        <f t="shared" si="1914"/>
        <v>|n</v>
      </c>
      <c r="CV152" s="5" t="str">
        <f t="shared" si="1915"/>
        <v>秒杀|Cffffc926灾厄|n|n|r|Cff00ff7f灾厄：|n|r渡劫NPC-灭魄血煞劫Boss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458</v>
      </c>
      <c r="C153" s="5" t="s">
        <v>459</v>
      </c>
      <c r="T153" s="5" t="s">
        <v>460</v>
      </c>
      <c r="U153" s="55" t="str">
        <f t="shared" si="1549"/>
        <v>ReplaceableTextures\\CommandButtons\\BTNIN06.blp</v>
      </c>
      <c r="CN153" s="12" t="str">
        <f t="shared" si="2059"/>
        <v>InitUnitState('IN06',,,,,,,,,,)</v>
      </c>
      <c r="CO153" s="12" t="str">
        <f t="shared" si="2060"/>
        <v>InitUnitNormal('IN06',,,,,,,,,,)</v>
      </c>
      <c r="CP153" s="12" t="str">
        <f t="shared" si="2061"/>
        <v>InitUnitMagic('IN06',,,,,,,,,,)</v>
      </c>
      <c r="CQ153" s="12" t="str">
        <f t="shared" si="2062"/>
        <v>InitUnitAdd('IN06',,,,,,,,,,)</v>
      </c>
      <c r="CR153" s="12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169&amp;CR$1&amp;")"</f>
        <v>InitEquipData('IN06',,"",,,,,'','','','','','',"ReplaceableTextures\\CommandButtons\\BTNIP03.blp")</v>
      </c>
      <c r="CU153" s="67" t="str">
        <f t="shared" si="1914"/>
        <v>|n</v>
      </c>
      <c r="CV153" s="5" t="str">
        <f t="shared" si="1915"/>
        <v>秒杀|Cffffc926芥子魔|n|n|r|Cff00ff7f芥子魔：|n|r渡劫NPC-入微洞虚劫Boss</v>
      </c>
      <c r="CW153" s="6"/>
      <c r="CX153" s="6"/>
      <c r="CY153" s="6"/>
      <c r="CZ153" s="6"/>
      <c r="DA153" s="6"/>
      <c r="DB153" s="43" t="str">
        <f t="shared" si="1916"/>
        <v/>
      </c>
      <c r="DC153" s="43" t="str">
        <f t="shared" si="1917"/>
        <v/>
      </c>
      <c r="DD153" s="43" t="str">
        <f t="shared" si="1918"/>
        <v/>
      </c>
      <c r="DE153" s="43" t="str">
        <f t="shared" si="1919"/>
        <v/>
      </c>
      <c r="DF153" s="43" t="str">
        <f t="shared" si="1920"/>
        <v/>
      </c>
      <c r="DG153" s="43" t="str">
        <f t="shared" si="1921"/>
        <v/>
      </c>
      <c r="DH153" s="43" t="str">
        <f t="shared" si="1922"/>
        <v/>
      </c>
      <c r="DI153" s="43" t="str">
        <f t="shared" si="1923"/>
        <v/>
      </c>
      <c r="DJ153" s="43" t="str">
        <f t="shared" si="1924"/>
        <v/>
      </c>
      <c r="DK153" s="43" t="str">
        <f t="shared" si="1925"/>
        <v/>
      </c>
      <c r="DL153" s="43" t="str">
        <f t="shared" si="1926"/>
        <v/>
      </c>
      <c r="DM153" s="43" t="str">
        <f t="shared" si="1927"/>
        <v/>
      </c>
      <c r="DN153" s="43" t="str">
        <f t="shared" si="1928"/>
        <v/>
      </c>
      <c r="DO153" s="43" t="str">
        <f t="shared" si="1929"/>
        <v/>
      </c>
      <c r="DP153" s="43" t="str">
        <f t="shared" si="1930"/>
        <v/>
      </c>
      <c r="DQ153" s="43" t="str">
        <f t="shared" si="1931"/>
        <v/>
      </c>
      <c r="DR153" s="43" t="str">
        <f t="shared" si="1932"/>
        <v/>
      </c>
      <c r="DS153" s="43" t="str">
        <f t="shared" si="1933"/>
        <v/>
      </c>
      <c r="DT153" s="43" t="str">
        <f t="shared" si="1934"/>
        <v/>
      </c>
      <c r="DU153" s="43" t="str">
        <f t="shared" si="1935"/>
        <v/>
      </c>
      <c r="DV153" s="43" t="str">
        <f t="shared" si="1936"/>
        <v/>
      </c>
      <c r="DW153" s="43" t="str">
        <f t="shared" si="1937"/>
        <v/>
      </c>
      <c r="DX153" s="43" t="str">
        <f t="shared" si="1938"/>
        <v/>
      </c>
      <c r="DY153" s="43" t="str">
        <f t="shared" si="1939"/>
        <v/>
      </c>
      <c r="DZ153" s="43" t="str">
        <f t="shared" si="1940"/>
        <v/>
      </c>
      <c r="EA153" s="43" t="str">
        <f t="shared" si="1941"/>
        <v/>
      </c>
      <c r="EB153" s="43" t="str">
        <f t="shared" si="1942"/>
        <v/>
      </c>
      <c r="EC153" s="43" t="str">
        <f t="shared" si="1943"/>
        <v/>
      </c>
      <c r="ED153" s="43" t="str">
        <f t="shared" si="1944"/>
        <v/>
      </c>
      <c r="EE153" s="43" t="str">
        <f t="shared" si="1945"/>
        <v/>
      </c>
      <c r="EF153" s="43" t="str">
        <f t="shared" si="1946"/>
        <v/>
      </c>
      <c r="EG153" s="43" t="str">
        <f t="shared" si="1947"/>
        <v/>
      </c>
      <c r="EH153" s="43" t="str">
        <f t="shared" si="1948"/>
        <v/>
      </c>
      <c r="EI153" s="43" t="str">
        <f t="shared" si="1949"/>
        <v/>
      </c>
      <c r="EJ153" s="43" t="str">
        <f t="shared" si="1950"/>
        <v/>
      </c>
      <c r="EK153" s="43" t="str">
        <f t="shared" si="1951"/>
        <v/>
      </c>
      <c r="EL153" s="43" t="str">
        <f t="shared" si="1952"/>
        <v/>
      </c>
      <c r="EM153" s="43" t="str">
        <f t="shared" si="1953"/>
        <v/>
      </c>
      <c r="EN153" s="43" t="str">
        <f t="shared" si="1954"/>
        <v/>
      </c>
      <c r="EO153" s="43" t="str">
        <f t="shared" si="1955"/>
        <v/>
      </c>
      <c r="EP153" s="43" t="str">
        <f t="shared" si="1956"/>
        <v/>
      </c>
      <c r="EQ153" s="43" t="str">
        <f t="shared" si="1957"/>
        <v/>
      </c>
      <c r="ER153" s="43" t="str">
        <f t="shared" si="1958"/>
        <v/>
      </c>
      <c r="ES153" s="43" t="str">
        <f t="shared" si="1959"/>
        <v/>
      </c>
      <c r="ET153" s="43" t="str">
        <f t="shared" si="1960"/>
        <v/>
      </c>
      <c r="EU153" s="43" t="str">
        <f t="shared" si="1961"/>
        <v/>
      </c>
      <c r="EV153" s="43" t="str">
        <f t="shared" si="1962"/>
        <v/>
      </c>
      <c r="EW153" s="43" t="str">
        <f t="shared" si="1963"/>
        <v/>
      </c>
      <c r="EX153" s="43" t="str">
        <f t="shared" si="1964"/>
        <v/>
      </c>
      <c r="EY153" s="43" t="str">
        <f t="shared" si="1965"/>
        <v/>
      </c>
      <c r="EZ153" s="43" t="str">
        <f t="shared" si="1966"/>
        <v/>
      </c>
      <c r="FA153" s="43" t="str">
        <f t="shared" si="1967"/>
        <v/>
      </c>
      <c r="FB153" s="43" t="str">
        <f t="shared" si="1968"/>
        <v/>
      </c>
      <c r="FC153" s="43" t="str">
        <f t="shared" si="1969"/>
        <v/>
      </c>
      <c r="FD153" s="43" t="str">
        <f t="shared" si="1970"/>
        <v/>
      </c>
      <c r="FE153" s="43" t="str">
        <f t="shared" si="1971"/>
        <v/>
      </c>
      <c r="FF153" s="43" t="str">
        <f t="shared" si="1972"/>
        <v/>
      </c>
      <c r="FG153" s="43" t="str">
        <f t="shared" si="1973"/>
        <v/>
      </c>
      <c r="FH153" s="43" t="str">
        <f t="shared" si="1974"/>
        <v/>
      </c>
      <c r="FI153" s="43" t="str">
        <f t="shared" si="1975"/>
        <v/>
      </c>
      <c r="FJ153" s="43" t="str">
        <f t="shared" si="1976"/>
        <v/>
      </c>
      <c r="FK153" s="43" t="str">
        <f t="shared" si="1977"/>
        <v/>
      </c>
      <c r="FL153" s="43" t="str">
        <f t="shared" si="1978"/>
        <v/>
      </c>
      <c r="FM153" s="43" t="str">
        <f t="shared" si="1979"/>
        <v/>
      </c>
      <c r="FN153" s="43" t="str">
        <f t="shared" si="1980"/>
        <v/>
      </c>
      <c r="FO153" s="43" t="str">
        <f t="shared" si="1981"/>
        <v/>
      </c>
      <c r="FP153" s="43" t="str">
        <f t="shared" si="1982"/>
        <v/>
      </c>
      <c r="FQ153" s="43" t="str">
        <f t="shared" si="1983"/>
        <v/>
      </c>
      <c r="FR153" s="43" t="str">
        <f t="shared" si="1984"/>
        <v/>
      </c>
      <c r="FS153" s="43" t="str">
        <f t="shared" si="1985"/>
        <v/>
      </c>
    </row>
    <row r="154" spans="1:175" ht="16.5">
      <c r="A154" s="4"/>
      <c r="B154" s="4" t="s">
        <v>461</v>
      </c>
      <c r="C154" s="5" t="s">
        <v>462</v>
      </c>
      <c r="T154" s="5" t="s">
        <v>463</v>
      </c>
      <c r="U154" s="55" t="str">
        <f t="shared" si="1549"/>
        <v>ReplaceableTextures\\CommandButtons\\BTNIN07.blp</v>
      </c>
      <c r="CN154" s="12" t="str">
        <f t="shared" si="2059"/>
        <v>InitUnitState('IN07',,,,,,,,,,)</v>
      </c>
      <c r="CO154" s="12" t="str">
        <f t="shared" si="2060"/>
        <v>InitUnitNormal('IN07',,,,,,,,,,)</v>
      </c>
      <c r="CP154" s="12" t="str">
        <f t="shared" si="2061"/>
        <v>InitUnitMagic('IN07',,,,,,,,,,)</v>
      </c>
      <c r="CQ154" s="12" t="str">
        <f t="shared" si="2062"/>
        <v>InitUnitAdd('IN07',,,,,,,,,,)</v>
      </c>
      <c r="CR154" s="12" t="str">
        <f t="shared" ref="CR154:CR166" si="2280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172&amp;CR$1&amp;")"</f>
        <v>InitEquipData('IN07',,"",,,,,'','','','','','',"ReplaceableTextures\\CommandButtons\\BTNIT01.blp")</v>
      </c>
      <c r="CU154" s="67" t="str">
        <f t="shared" ref="CU154:CU159" si="2281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5" t="str">
        <f t="shared" ref="CV154:CV159" si="2282">T154</f>
        <v>每秒回复|Cffffc92630%|r生命值，持续|Cffffc9266|r秒</v>
      </c>
      <c r="CW154" s="6"/>
      <c r="CX154" s="6"/>
      <c r="CY154" s="6"/>
      <c r="CZ154" s="6"/>
      <c r="DA154" s="6"/>
      <c r="DB154" s="43" t="str">
        <f t="shared" ref="DB154:DB159" si="2283">IF(V154="","","|n"&amp;DB$2&amp;"+"&amp;V154&amp;DB$1)</f>
        <v/>
      </c>
      <c r="DC154" s="43" t="str">
        <f t="shared" ref="DC154:DC159" si="2284">IF(W154="","","|n"&amp;DC$2&amp;"+"&amp;W154&amp;DC$1)</f>
        <v/>
      </c>
      <c r="DD154" s="43" t="str">
        <f t="shared" ref="DD154:DD159" si="2285">IF(X154="","","|n"&amp;DD$2&amp;"+"&amp;X154&amp;DD$1)</f>
        <v/>
      </c>
      <c r="DE154" s="43" t="str">
        <f t="shared" ref="DE154:DE159" si="2286">IF(Y154="","","|n"&amp;DE$2&amp;"+"&amp;Y154&amp;DE$1)</f>
        <v/>
      </c>
      <c r="DF154" s="43" t="str">
        <f t="shared" ref="DF154:DF159" si="2287">IF(Z154="","","|n"&amp;DF$2&amp;"+"&amp;Z154&amp;DF$1)</f>
        <v/>
      </c>
      <c r="DG154" s="43" t="str">
        <f t="shared" ref="DG154:DG159" si="2288">IF(AA154="","","|n"&amp;DG$2&amp;"+"&amp;AA154&amp;DG$1)</f>
        <v/>
      </c>
      <c r="DH154" s="43" t="str">
        <f t="shared" ref="DH154:DH159" si="2289">IF(AB154="","","|n"&amp;DH$2&amp;"+"&amp;AB154&amp;DH$1)</f>
        <v/>
      </c>
      <c r="DI154" s="43" t="str">
        <f t="shared" ref="DI154:DI159" si="2290">IF(AC154="","","|n"&amp;DI$2&amp;"+"&amp;AC154&amp;DI$1)</f>
        <v/>
      </c>
      <c r="DJ154" s="43" t="str">
        <f t="shared" ref="DJ154:DJ159" si="2291">IF(AD154="","","|n"&amp;DJ$2&amp;"+"&amp;AD154&amp;DJ$1)</f>
        <v/>
      </c>
      <c r="DK154" s="43" t="str">
        <f t="shared" ref="DK154:DK159" si="2292">IF(AE154="","","|n"&amp;DK$2&amp;"+"&amp;AE154&amp;DK$1)</f>
        <v/>
      </c>
      <c r="DL154" s="43" t="str">
        <f t="shared" ref="DL154:DL159" si="2293">IF(AF154="","","|n"&amp;DL$2&amp;"+"&amp;AF154&amp;DL$1)</f>
        <v/>
      </c>
      <c r="DM154" s="43" t="str">
        <f t="shared" ref="DM154:DM159" si="2294">IF(AG154="","","|n"&amp;DM$2&amp;"+"&amp;AG154&amp;DM$1)</f>
        <v/>
      </c>
      <c r="DN154" s="43" t="str">
        <f t="shared" ref="DN154:DN159" si="2295">IF(AH154="","","|n"&amp;DN$2&amp;"+"&amp;AH154&amp;DN$1)</f>
        <v/>
      </c>
      <c r="DO154" s="43" t="str">
        <f t="shared" ref="DO154:DO159" si="2296">IF(AI154="","","|n"&amp;DO$2&amp;"+"&amp;AI154&amp;DO$1)</f>
        <v/>
      </c>
      <c r="DP154" s="43" t="str">
        <f t="shared" ref="DP154:DP159" si="2297">IF(AJ154="","","|n"&amp;DP$2&amp;"+"&amp;AJ154&amp;DP$1)</f>
        <v/>
      </c>
      <c r="DQ154" s="43" t="str">
        <f t="shared" ref="DQ154:DQ159" si="2298">IF(AK154="","","|n"&amp;DQ$2&amp;"+"&amp;AK154&amp;DQ$1)</f>
        <v/>
      </c>
      <c r="DR154" s="43" t="str">
        <f t="shared" ref="DR154:DR159" si="2299">IF(AL154="","","|n"&amp;DR$2&amp;"+"&amp;AL154&amp;DR$1)</f>
        <v/>
      </c>
      <c r="DS154" s="43" t="str">
        <f t="shared" ref="DS154:DS159" si="2300">IF(AM154="","","|n"&amp;DS$2&amp;"+"&amp;AM154&amp;DS$1)</f>
        <v/>
      </c>
      <c r="DT154" s="43" t="str">
        <f t="shared" ref="DT154:DT159" si="2301">IF(AN154="","","|n"&amp;DT$2&amp;"+"&amp;AN154&amp;DT$1)</f>
        <v/>
      </c>
      <c r="DU154" s="43" t="str">
        <f t="shared" ref="DU154:DU159" si="2302">IF(AO154="","","|n"&amp;DU$2&amp;"+"&amp;AO154&amp;DU$1)</f>
        <v/>
      </c>
      <c r="DV154" s="43" t="str">
        <f t="shared" ref="DV154:DV159" si="2303">IF(AP154="","","|n"&amp;DV$2&amp;"+"&amp;AP154&amp;DV$1)</f>
        <v/>
      </c>
      <c r="DW154" s="43" t="str">
        <f t="shared" ref="DW154:DW159" si="2304">IF(AQ154="","","|n"&amp;DW$2&amp;"+"&amp;AQ154&amp;DW$1)</f>
        <v/>
      </c>
      <c r="DX154" s="43" t="str">
        <f t="shared" ref="DX154:DX159" si="2305">IF(AR154="","","|n"&amp;DX$2&amp;"+"&amp;AR154&amp;DX$1)</f>
        <v/>
      </c>
      <c r="DY154" s="43" t="str">
        <f t="shared" ref="DY154:DY159" si="2306">IF(AS154="","","|n"&amp;DY$2&amp;"+"&amp;AS154&amp;DY$1)</f>
        <v/>
      </c>
      <c r="DZ154" s="43" t="str">
        <f t="shared" ref="DZ154:DZ159" si="2307">IF(AT154="","","|n"&amp;DZ$2&amp;"+"&amp;AT154&amp;DZ$1)</f>
        <v/>
      </c>
      <c r="EA154" s="43" t="str">
        <f t="shared" ref="EA154:EA159" si="2308">IF(AU154="","","|n"&amp;EA$2&amp;"+"&amp;AU154&amp;EA$1)</f>
        <v/>
      </c>
      <c r="EB154" s="43" t="str">
        <f t="shared" ref="EB154:EB159" si="2309">IF(AV154="","","|n"&amp;EB$2&amp;"+"&amp;AV154&amp;EB$1)</f>
        <v/>
      </c>
      <c r="EC154" s="43" t="str">
        <f t="shared" ref="EC154:EC159" si="2310">IF(AW154="","","|n"&amp;EC$2&amp;"+"&amp;AW154&amp;EC$1)</f>
        <v/>
      </c>
      <c r="ED154" s="43" t="str">
        <f t="shared" ref="ED154:ED159" si="2311">IF(AX154="","","|n"&amp;ED$2&amp;"+"&amp;AX154&amp;ED$1)</f>
        <v/>
      </c>
      <c r="EE154" s="43" t="str">
        <f t="shared" ref="EE154:EE159" si="2312">IF(AY154="","","|n"&amp;EE$2&amp;"+"&amp;AY154&amp;EE$1)</f>
        <v/>
      </c>
      <c r="EF154" s="43" t="str">
        <f t="shared" ref="EF154:EF159" si="2313">IF(AZ154="","","|n"&amp;EF$2&amp;"+"&amp;AZ154&amp;EF$1)</f>
        <v/>
      </c>
      <c r="EG154" s="43" t="str">
        <f t="shared" ref="EG154:EG159" si="2314">IF(BA154="","","|n"&amp;EG$2&amp;"+"&amp;BA154&amp;EG$1)</f>
        <v/>
      </c>
      <c r="EH154" s="43" t="str">
        <f t="shared" ref="EH154:EH159" si="2315">IF(BB154="","","|n"&amp;EH$2&amp;"+"&amp;BB154&amp;EH$1)</f>
        <v/>
      </c>
      <c r="EI154" s="43" t="str">
        <f t="shared" ref="EI154:EI159" si="2316">IF(BC154="","","|n"&amp;EI$2&amp;"+"&amp;BC154&amp;EI$1)</f>
        <v/>
      </c>
      <c r="EJ154" s="43" t="str">
        <f t="shared" ref="EJ154:EJ159" si="2317">IF(BD154="","","|n"&amp;EJ$2&amp;"+"&amp;BD154&amp;EJ$1)</f>
        <v/>
      </c>
      <c r="EK154" s="43" t="str">
        <f t="shared" ref="EK154:EK159" si="2318">IF(BE154="","","|n"&amp;EK$2&amp;"+"&amp;BE154&amp;EK$1)</f>
        <v/>
      </c>
      <c r="EL154" s="43" t="str">
        <f t="shared" ref="EL154:EL159" si="2319">IF(BF154="","","|n"&amp;EL$2&amp;"+"&amp;BF154&amp;EL$1)</f>
        <v/>
      </c>
      <c r="EM154" s="43" t="str">
        <f t="shared" ref="EM154:EM159" si="2320">IF(BG154="","","|n"&amp;EM$2&amp;"+"&amp;BG154&amp;EM$1)</f>
        <v/>
      </c>
      <c r="EN154" s="43" t="str">
        <f t="shared" ref="EN154:EN159" si="2321">IF(BH154="","","|n"&amp;EN$2&amp;"+"&amp;BH154&amp;EN$1)</f>
        <v/>
      </c>
      <c r="EO154" s="43" t="str">
        <f t="shared" ref="EO154:EO159" si="2322">IF(BI154="","","|n"&amp;EO$2&amp;"+"&amp;BI154&amp;EO$1)</f>
        <v/>
      </c>
      <c r="EP154" s="43" t="str">
        <f t="shared" ref="EP154:EP159" si="2323">IF(BJ154="","","|n"&amp;EP$2&amp;"+"&amp;BJ154&amp;EP$1)</f>
        <v/>
      </c>
      <c r="EQ154" s="43" t="str">
        <f t="shared" ref="EQ154:EQ159" si="2324">IF(BK154="","","|n"&amp;EQ$2&amp;"+"&amp;BK154&amp;EQ$1)</f>
        <v/>
      </c>
      <c r="ER154" s="43" t="str">
        <f t="shared" ref="ER154:ER159" si="2325">IF(BL154="","","|n"&amp;ER$2&amp;"+"&amp;BL154&amp;ER$1)</f>
        <v/>
      </c>
      <c r="ES154" s="43" t="str">
        <f t="shared" ref="ES154:ES159" si="2326">IF(BM154="","","|n"&amp;ES$2&amp;"+"&amp;BM154&amp;ES$1)</f>
        <v/>
      </c>
      <c r="ET154" s="43" t="str">
        <f t="shared" ref="ET154:ET159" si="2327">IF(BN154="","","|n"&amp;ET$2&amp;"+"&amp;BN154&amp;ET$1)</f>
        <v/>
      </c>
      <c r="EU154" s="43" t="str">
        <f t="shared" ref="EU154:EU159" si="2328">IF(BO154="","","|n"&amp;EU$2&amp;"+"&amp;BO154&amp;EU$1)</f>
        <v/>
      </c>
      <c r="EV154" s="43" t="str">
        <f t="shared" ref="EV154:EV159" si="2329">IF(BP154="","","|n"&amp;EV$2&amp;"+"&amp;BP154&amp;EV$1)</f>
        <v/>
      </c>
      <c r="EW154" s="43" t="str">
        <f t="shared" ref="EW154:EW159" si="2330">IF(BQ154="","","|n"&amp;EW$2&amp;"+"&amp;BQ154&amp;EW$1)</f>
        <v/>
      </c>
      <c r="EX154" s="43" t="str">
        <f t="shared" ref="EX154:EX159" si="2331">IF(BR154="","","|n"&amp;EX$2&amp;"+"&amp;BR154&amp;EX$1)</f>
        <v/>
      </c>
      <c r="EY154" s="43" t="str">
        <f t="shared" ref="EY154:EY159" si="2332">IF(BS154="","","|n"&amp;EY$2&amp;"+"&amp;BS154&amp;EY$1)</f>
        <v/>
      </c>
      <c r="EZ154" s="43" t="str">
        <f t="shared" ref="EZ154:EZ159" si="2333">IF(BT154="","","|n"&amp;EZ$2&amp;"+"&amp;BT154&amp;EZ$1)</f>
        <v/>
      </c>
      <c r="FA154" s="43" t="str">
        <f t="shared" ref="FA154:FA159" si="2334">IF(BU154="","","|n"&amp;FA$2&amp;"+"&amp;BU154&amp;FA$1)</f>
        <v/>
      </c>
      <c r="FB154" s="43" t="str">
        <f t="shared" ref="FB154:FB159" si="2335">IF(BV154="","","|n"&amp;FB$2&amp;"+"&amp;BV154&amp;FB$1)</f>
        <v/>
      </c>
      <c r="FC154" s="43" t="str">
        <f t="shared" ref="FC154:FC159" si="2336">IF(BW154="","","|n"&amp;FC$2&amp;"+"&amp;BW154&amp;FC$1)</f>
        <v/>
      </c>
      <c r="FD154" s="43" t="str">
        <f t="shared" ref="FD154:FD159" si="2337">IF(BX154="","","|n"&amp;FD$2&amp;"+"&amp;BX154&amp;FD$1)</f>
        <v/>
      </c>
      <c r="FE154" s="43" t="str">
        <f t="shared" ref="FE154:FE159" si="2338">IF(BY154="","","|n"&amp;FE$2&amp;"+"&amp;BY154&amp;FE$1)</f>
        <v/>
      </c>
      <c r="FF154" s="43" t="str">
        <f t="shared" ref="FF154:FF159" si="2339">IF(BZ154="","","|n"&amp;FF$2&amp;"+"&amp;BZ154&amp;FF$1)</f>
        <v/>
      </c>
      <c r="FG154" s="43" t="str">
        <f t="shared" ref="FG154:FG159" si="2340">IF(CA154="","","|n"&amp;FG$2&amp;"+"&amp;CA154&amp;FG$1)</f>
        <v/>
      </c>
      <c r="FH154" s="43" t="str">
        <f t="shared" ref="FH154:FH159" si="2341">IF(CB154="","","|n"&amp;FH$2&amp;"+"&amp;CB154&amp;FH$1)</f>
        <v/>
      </c>
      <c r="FI154" s="43" t="str">
        <f t="shared" ref="FI154:FI159" si="2342">IF(CC154="","","|n"&amp;FI$2&amp;"+"&amp;CC154&amp;FI$1)</f>
        <v/>
      </c>
      <c r="FJ154" s="43" t="str">
        <f t="shared" ref="FJ154:FJ159" si="2343">IF(CD154="","","|n"&amp;FJ$2&amp;"+"&amp;CD154&amp;FJ$1)</f>
        <v/>
      </c>
      <c r="FK154" s="43" t="str">
        <f t="shared" ref="FK154:FK159" si="2344">IF(CE154="","","|n"&amp;FK$2&amp;"+"&amp;CE154&amp;FK$1)</f>
        <v/>
      </c>
      <c r="FL154" s="43" t="str">
        <f t="shared" ref="FL154:FL159" si="2345">IF(CF154="","","|n"&amp;FL$2&amp;"+"&amp;CF154&amp;FL$1)</f>
        <v/>
      </c>
      <c r="FM154" s="43" t="str">
        <f t="shared" ref="FM154:FM159" si="2346">IF(CG154="","","|n"&amp;FM$2&amp;"+"&amp;CG154&amp;FM$1)</f>
        <v/>
      </c>
      <c r="FN154" s="43" t="str">
        <f t="shared" ref="FN154:FN159" si="2347">IF(CH154="","","|n"&amp;FN$2&amp;"+"&amp;CH154&amp;FN$1)</f>
        <v/>
      </c>
      <c r="FO154" s="43" t="str">
        <f t="shared" ref="FO154:FO159" si="2348">IF(CI154="","","|n"&amp;FO$2&amp;"+"&amp;CI154&amp;FO$1)</f>
        <v/>
      </c>
      <c r="FP154" s="43" t="str">
        <f t="shared" ref="FP154:FP159" si="2349">IF(CJ154="","","|n"&amp;FP$2&amp;"+"&amp;CJ154&amp;FP$1)</f>
        <v/>
      </c>
      <c r="FQ154" s="43" t="str">
        <f t="shared" ref="FQ154:FQ159" si="2350">IF(CK154="","","|n"&amp;FQ$2&amp;"+"&amp;CK154&amp;FQ$1)</f>
        <v/>
      </c>
      <c r="FR154" s="43" t="str">
        <f t="shared" ref="FR154:FR159" si="2351">IF(CL154="","","|n"&amp;FR$2&amp;"+"&amp;CL154&amp;FR$1)</f>
        <v/>
      </c>
      <c r="FS154" s="43" t="str">
        <f t="shared" ref="FS154:FS159" si="2352">IF(CM154="","","|n"&amp;FS$2&amp;"+"&amp;CM154&amp;FS$1)</f>
        <v/>
      </c>
    </row>
    <row r="155" spans="1:175" ht="16.5">
      <c r="A155" s="4"/>
      <c r="B155" s="4" t="s">
        <v>464</v>
      </c>
      <c r="C155" s="5" t="s">
        <v>465</v>
      </c>
      <c r="T155" s="5" t="s">
        <v>466</v>
      </c>
      <c r="U155" s="55" t="str">
        <f t="shared" si="1549"/>
        <v>ReplaceableTextures\\CommandButtons\\BTNIN08.blp</v>
      </c>
      <c r="CN155" s="12" t="str">
        <f t="shared" si="2059"/>
        <v>InitUnitState('IN08',,,,,,,,,,)</v>
      </c>
      <c r="CO155" s="12" t="str">
        <f t="shared" si="2060"/>
        <v>InitUnitNormal('IN08',,,,,,,,,,)</v>
      </c>
      <c r="CP155" s="12" t="str">
        <f t="shared" si="2061"/>
        <v>InitUnitMagic('IN08',,,,,,,,,,)</v>
      </c>
      <c r="CQ155" s="12" t="str">
        <f t="shared" si="2062"/>
        <v>InitUnitAdd('IN08',,,,,,,,,,)</v>
      </c>
      <c r="CR155" s="12" t="str">
        <f t="shared" si="2280"/>
        <v>InitEquipData('IN08',,"",,,,,'','','','','','',"ReplaceableTextures\\CommandButtons\\BTNIT02.blp")</v>
      </c>
      <c r="CU155" s="67" t="str">
        <f t="shared" si="2281"/>
        <v>|n</v>
      </c>
      <c r="CV155" s="5" t="str">
        <f t="shared" si="2282"/>
        <v>|CffFFC926击杀|r当前存在的|Cffffc926进攻怪|r和|Cffffc926Boss|r。|n|n|Cff00ff7f无法在大决战时使用|r</v>
      </c>
      <c r="CW155" s="6"/>
      <c r="CX155" s="6"/>
      <c r="CY155" s="6"/>
      <c r="CZ155" s="6"/>
      <c r="DA155" s="6"/>
      <c r="DB155" s="43" t="str">
        <f t="shared" si="2283"/>
        <v/>
      </c>
      <c r="DC155" s="43" t="str">
        <f t="shared" si="2284"/>
        <v/>
      </c>
      <c r="DD155" s="43" t="str">
        <f t="shared" si="2285"/>
        <v/>
      </c>
      <c r="DE155" s="43" t="str">
        <f t="shared" si="2286"/>
        <v/>
      </c>
      <c r="DF155" s="43" t="str">
        <f t="shared" si="2287"/>
        <v/>
      </c>
      <c r="DG155" s="43" t="str">
        <f t="shared" si="2288"/>
        <v/>
      </c>
      <c r="DH155" s="43" t="str">
        <f t="shared" si="2289"/>
        <v/>
      </c>
      <c r="DI155" s="43" t="str">
        <f t="shared" si="2290"/>
        <v/>
      </c>
      <c r="DJ155" s="43" t="str">
        <f t="shared" si="2291"/>
        <v/>
      </c>
      <c r="DK155" s="43" t="str">
        <f t="shared" si="2292"/>
        <v/>
      </c>
      <c r="DL155" s="43" t="str">
        <f t="shared" si="2293"/>
        <v/>
      </c>
      <c r="DM155" s="43" t="str">
        <f t="shared" si="2294"/>
        <v/>
      </c>
      <c r="DN155" s="43" t="str">
        <f t="shared" si="2295"/>
        <v/>
      </c>
      <c r="DO155" s="43" t="str">
        <f t="shared" si="2296"/>
        <v/>
      </c>
      <c r="DP155" s="43" t="str">
        <f t="shared" si="2297"/>
        <v/>
      </c>
      <c r="DQ155" s="43" t="str">
        <f t="shared" si="2298"/>
        <v/>
      </c>
      <c r="DR155" s="43" t="str">
        <f t="shared" si="2299"/>
        <v/>
      </c>
      <c r="DS155" s="43" t="str">
        <f t="shared" si="2300"/>
        <v/>
      </c>
      <c r="DT155" s="43" t="str">
        <f t="shared" si="2301"/>
        <v/>
      </c>
      <c r="DU155" s="43" t="str">
        <f t="shared" si="2302"/>
        <v/>
      </c>
      <c r="DV155" s="43" t="str">
        <f t="shared" si="2303"/>
        <v/>
      </c>
      <c r="DW155" s="43" t="str">
        <f t="shared" si="2304"/>
        <v/>
      </c>
      <c r="DX155" s="43" t="str">
        <f t="shared" si="2305"/>
        <v/>
      </c>
      <c r="DY155" s="43" t="str">
        <f t="shared" si="2306"/>
        <v/>
      </c>
      <c r="DZ155" s="43" t="str">
        <f t="shared" si="2307"/>
        <v/>
      </c>
      <c r="EA155" s="43" t="str">
        <f t="shared" si="2308"/>
        <v/>
      </c>
      <c r="EB155" s="43" t="str">
        <f t="shared" si="2309"/>
        <v/>
      </c>
      <c r="EC155" s="43" t="str">
        <f t="shared" si="2310"/>
        <v/>
      </c>
      <c r="ED155" s="43" t="str">
        <f t="shared" si="2311"/>
        <v/>
      </c>
      <c r="EE155" s="43" t="str">
        <f t="shared" si="2312"/>
        <v/>
      </c>
      <c r="EF155" s="43" t="str">
        <f t="shared" si="2313"/>
        <v/>
      </c>
      <c r="EG155" s="43" t="str">
        <f t="shared" si="2314"/>
        <v/>
      </c>
      <c r="EH155" s="43" t="str">
        <f t="shared" si="2315"/>
        <v/>
      </c>
      <c r="EI155" s="43" t="str">
        <f t="shared" si="2316"/>
        <v/>
      </c>
      <c r="EJ155" s="43" t="str">
        <f t="shared" si="2317"/>
        <v/>
      </c>
      <c r="EK155" s="43" t="str">
        <f t="shared" si="2318"/>
        <v/>
      </c>
      <c r="EL155" s="43" t="str">
        <f t="shared" si="2319"/>
        <v/>
      </c>
      <c r="EM155" s="43" t="str">
        <f t="shared" si="2320"/>
        <v/>
      </c>
      <c r="EN155" s="43" t="str">
        <f t="shared" si="2321"/>
        <v/>
      </c>
      <c r="EO155" s="43" t="str">
        <f t="shared" si="2322"/>
        <v/>
      </c>
      <c r="EP155" s="43" t="str">
        <f t="shared" si="2323"/>
        <v/>
      </c>
      <c r="EQ155" s="43" t="str">
        <f t="shared" si="2324"/>
        <v/>
      </c>
      <c r="ER155" s="43" t="str">
        <f t="shared" si="2325"/>
        <v/>
      </c>
      <c r="ES155" s="43" t="str">
        <f t="shared" si="2326"/>
        <v/>
      </c>
      <c r="ET155" s="43" t="str">
        <f t="shared" si="2327"/>
        <v/>
      </c>
      <c r="EU155" s="43" t="str">
        <f t="shared" si="2328"/>
        <v/>
      </c>
      <c r="EV155" s="43" t="str">
        <f t="shared" si="2329"/>
        <v/>
      </c>
      <c r="EW155" s="43" t="str">
        <f t="shared" si="2330"/>
        <v/>
      </c>
      <c r="EX155" s="43" t="str">
        <f t="shared" si="2331"/>
        <v/>
      </c>
      <c r="EY155" s="43" t="str">
        <f t="shared" si="2332"/>
        <v/>
      </c>
      <c r="EZ155" s="43" t="str">
        <f t="shared" si="2333"/>
        <v/>
      </c>
      <c r="FA155" s="43" t="str">
        <f t="shared" si="2334"/>
        <v/>
      </c>
      <c r="FB155" s="43" t="str">
        <f t="shared" si="2335"/>
        <v/>
      </c>
      <c r="FC155" s="43" t="str">
        <f t="shared" si="2336"/>
        <v/>
      </c>
      <c r="FD155" s="43" t="str">
        <f t="shared" si="2337"/>
        <v/>
      </c>
      <c r="FE155" s="43" t="str">
        <f t="shared" si="2338"/>
        <v/>
      </c>
      <c r="FF155" s="43" t="str">
        <f t="shared" si="2339"/>
        <v/>
      </c>
      <c r="FG155" s="43" t="str">
        <f t="shared" si="2340"/>
        <v/>
      </c>
      <c r="FH155" s="43" t="str">
        <f t="shared" si="2341"/>
        <v/>
      </c>
      <c r="FI155" s="43" t="str">
        <f t="shared" si="2342"/>
        <v/>
      </c>
      <c r="FJ155" s="43" t="str">
        <f t="shared" si="2343"/>
        <v/>
      </c>
      <c r="FK155" s="43" t="str">
        <f t="shared" si="2344"/>
        <v/>
      </c>
      <c r="FL155" s="43" t="str">
        <f t="shared" si="2345"/>
        <v/>
      </c>
      <c r="FM155" s="43" t="str">
        <f t="shared" si="2346"/>
        <v/>
      </c>
      <c r="FN155" s="43" t="str">
        <f t="shared" si="2347"/>
        <v/>
      </c>
      <c r="FO155" s="43" t="str">
        <f t="shared" si="2348"/>
        <v/>
      </c>
      <c r="FP155" s="43" t="str">
        <f t="shared" si="2349"/>
        <v/>
      </c>
      <c r="FQ155" s="43" t="str">
        <f t="shared" si="2350"/>
        <v/>
      </c>
      <c r="FR155" s="43" t="str">
        <f t="shared" si="2351"/>
        <v/>
      </c>
      <c r="FS155" s="43" t="str">
        <f t="shared" si="2352"/>
        <v/>
      </c>
    </row>
    <row r="156" spans="1:175" ht="16.5">
      <c r="A156" s="4"/>
      <c r="B156" s="4" t="s">
        <v>467</v>
      </c>
      <c r="C156" s="5" t="s">
        <v>468</v>
      </c>
      <c r="T156" s="5" t="s">
        <v>469</v>
      </c>
      <c r="U156" s="55" t="str">
        <f t="shared" si="1549"/>
        <v>ReplaceableTextures\\CommandButtons\\BTNIN09.blp</v>
      </c>
      <c r="CN156" s="12" t="str">
        <f t="shared" si="2059"/>
        <v>InitUnitState('IN09',,,,,,,,,,)</v>
      </c>
      <c r="CO156" s="12" t="str">
        <f t="shared" si="2060"/>
        <v>InitUnitNormal('IN09',,,,,,,,,,)</v>
      </c>
      <c r="CP156" s="12" t="str">
        <f t="shared" si="2061"/>
        <v>InitUnitMagic('IN09',,,,,,,,,,)</v>
      </c>
      <c r="CQ156" s="12" t="str">
        <f t="shared" si="2062"/>
        <v>InitUnitAdd('IN09',,,,,,,,,,)</v>
      </c>
      <c r="CR156" s="12" t="str">
        <f t="shared" si="2280"/>
        <v>InitEquipData('IN09',,"",,,,,'','','','','','',"ReplaceableTextures\\CommandButtons\\BTNIT03.blp")</v>
      </c>
      <c r="CU156" s="67" t="str">
        <f t="shared" si="2281"/>
        <v>|n</v>
      </c>
      <c r="CV156" s="5" t="str">
        <f t="shared" si="2282"/>
        <v>暂停|Cffffc926场上已存在的进攻怪|r10秒</v>
      </c>
      <c r="CW156" s="6"/>
      <c r="CX156" s="6"/>
      <c r="CY156" s="6"/>
      <c r="CZ156" s="6"/>
      <c r="DA156" s="6"/>
      <c r="DB156" s="43" t="str">
        <f t="shared" si="2283"/>
        <v/>
      </c>
      <c r="DC156" s="43" t="str">
        <f t="shared" si="2284"/>
        <v/>
      </c>
      <c r="DD156" s="43" t="str">
        <f t="shared" si="2285"/>
        <v/>
      </c>
      <c r="DE156" s="43" t="str">
        <f t="shared" si="2286"/>
        <v/>
      </c>
      <c r="DF156" s="43" t="str">
        <f t="shared" si="2287"/>
        <v/>
      </c>
      <c r="DG156" s="43" t="str">
        <f t="shared" si="2288"/>
        <v/>
      </c>
      <c r="DH156" s="43" t="str">
        <f t="shared" si="2289"/>
        <v/>
      </c>
      <c r="DI156" s="43" t="str">
        <f t="shared" si="2290"/>
        <v/>
      </c>
      <c r="DJ156" s="43" t="str">
        <f t="shared" si="2291"/>
        <v/>
      </c>
      <c r="DK156" s="43" t="str">
        <f t="shared" si="2292"/>
        <v/>
      </c>
      <c r="DL156" s="43" t="str">
        <f t="shared" si="2293"/>
        <v/>
      </c>
      <c r="DM156" s="43" t="str">
        <f t="shared" si="2294"/>
        <v/>
      </c>
      <c r="DN156" s="43" t="str">
        <f t="shared" si="2295"/>
        <v/>
      </c>
      <c r="DO156" s="43" t="str">
        <f t="shared" si="2296"/>
        <v/>
      </c>
      <c r="DP156" s="43" t="str">
        <f t="shared" si="2297"/>
        <v/>
      </c>
      <c r="DQ156" s="43" t="str">
        <f t="shared" si="2298"/>
        <v/>
      </c>
      <c r="DR156" s="43" t="str">
        <f t="shared" si="2299"/>
        <v/>
      </c>
      <c r="DS156" s="43" t="str">
        <f t="shared" si="2300"/>
        <v/>
      </c>
      <c r="DT156" s="43" t="str">
        <f t="shared" si="2301"/>
        <v/>
      </c>
      <c r="DU156" s="43" t="str">
        <f t="shared" si="2302"/>
        <v/>
      </c>
      <c r="DV156" s="43" t="str">
        <f t="shared" si="2303"/>
        <v/>
      </c>
      <c r="DW156" s="43" t="str">
        <f t="shared" si="2304"/>
        <v/>
      </c>
      <c r="DX156" s="43" t="str">
        <f t="shared" si="2305"/>
        <v/>
      </c>
      <c r="DY156" s="43" t="str">
        <f t="shared" si="2306"/>
        <v/>
      </c>
      <c r="DZ156" s="43" t="str">
        <f t="shared" si="2307"/>
        <v/>
      </c>
      <c r="EA156" s="43" t="str">
        <f t="shared" si="2308"/>
        <v/>
      </c>
      <c r="EB156" s="43" t="str">
        <f t="shared" si="2309"/>
        <v/>
      </c>
      <c r="EC156" s="43" t="str">
        <f t="shared" si="2310"/>
        <v/>
      </c>
      <c r="ED156" s="43" t="str">
        <f t="shared" si="2311"/>
        <v/>
      </c>
      <c r="EE156" s="43" t="str">
        <f t="shared" si="2312"/>
        <v/>
      </c>
      <c r="EF156" s="43" t="str">
        <f t="shared" si="2313"/>
        <v/>
      </c>
      <c r="EG156" s="43" t="str">
        <f t="shared" si="2314"/>
        <v/>
      </c>
      <c r="EH156" s="43" t="str">
        <f t="shared" si="2315"/>
        <v/>
      </c>
      <c r="EI156" s="43" t="str">
        <f t="shared" si="2316"/>
        <v/>
      </c>
      <c r="EJ156" s="43" t="str">
        <f t="shared" si="2317"/>
        <v/>
      </c>
      <c r="EK156" s="43" t="str">
        <f t="shared" si="2318"/>
        <v/>
      </c>
      <c r="EL156" s="43" t="str">
        <f t="shared" si="2319"/>
        <v/>
      </c>
      <c r="EM156" s="43" t="str">
        <f t="shared" si="2320"/>
        <v/>
      </c>
      <c r="EN156" s="43" t="str">
        <f t="shared" si="2321"/>
        <v/>
      </c>
      <c r="EO156" s="43" t="str">
        <f t="shared" si="2322"/>
        <v/>
      </c>
      <c r="EP156" s="43" t="str">
        <f t="shared" si="2323"/>
        <v/>
      </c>
      <c r="EQ156" s="43" t="str">
        <f t="shared" si="2324"/>
        <v/>
      </c>
      <c r="ER156" s="43" t="str">
        <f t="shared" si="2325"/>
        <v/>
      </c>
      <c r="ES156" s="43" t="str">
        <f t="shared" si="2326"/>
        <v/>
      </c>
      <c r="ET156" s="43" t="str">
        <f t="shared" si="2327"/>
        <v/>
      </c>
      <c r="EU156" s="43" t="str">
        <f t="shared" si="2328"/>
        <v/>
      </c>
      <c r="EV156" s="43" t="str">
        <f t="shared" si="2329"/>
        <v/>
      </c>
      <c r="EW156" s="43" t="str">
        <f t="shared" si="2330"/>
        <v/>
      </c>
      <c r="EX156" s="43" t="str">
        <f t="shared" si="2331"/>
        <v/>
      </c>
      <c r="EY156" s="43" t="str">
        <f t="shared" si="2332"/>
        <v/>
      </c>
      <c r="EZ156" s="43" t="str">
        <f t="shared" si="2333"/>
        <v/>
      </c>
      <c r="FA156" s="43" t="str">
        <f t="shared" si="2334"/>
        <v/>
      </c>
      <c r="FB156" s="43" t="str">
        <f t="shared" si="2335"/>
        <v/>
      </c>
      <c r="FC156" s="43" t="str">
        <f t="shared" si="2336"/>
        <v/>
      </c>
      <c r="FD156" s="43" t="str">
        <f t="shared" si="2337"/>
        <v/>
      </c>
      <c r="FE156" s="43" t="str">
        <f t="shared" si="2338"/>
        <v/>
      </c>
      <c r="FF156" s="43" t="str">
        <f t="shared" si="2339"/>
        <v/>
      </c>
      <c r="FG156" s="43" t="str">
        <f t="shared" si="2340"/>
        <v/>
      </c>
      <c r="FH156" s="43" t="str">
        <f t="shared" si="2341"/>
        <v/>
      </c>
      <c r="FI156" s="43" t="str">
        <f t="shared" si="2342"/>
        <v/>
      </c>
      <c r="FJ156" s="43" t="str">
        <f t="shared" si="2343"/>
        <v/>
      </c>
      <c r="FK156" s="43" t="str">
        <f t="shared" si="2344"/>
        <v/>
      </c>
      <c r="FL156" s="43" t="str">
        <f t="shared" si="2345"/>
        <v/>
      </c>
      <c r="FM156" s="43" t="str">
        <f t="shared" si="2346"/>
        <v/>
      </c>
      <c r="FN156" s="43" t="str">
        <f t="shared" si="2347"/>
        <v/>
      </c>
      <c r="FO156" s="43" t="str">
        <f t="shared" si="2348"/>
        <v/>
      </c>
      <c r="FP156" s="43" t="str">
        <f t="shared" si="2349"/>
        <v/>
      </c>
      <c r="FQ156" s="43" t="str">
        <f t="shared" si="2350"/>
        <v/>
      </c>
      <c r="FR156" s="43" t="str">
        <f t="shared" si="2351"/>
        <v/>
      </c>
      <c r="FS156" s="43" t="str">
        <f t="shared" si="2352"/>
        <v/>
      </c>
    </row>
    <row r="157" spans="1:175" ht="16.5">
      <c r="A157" s="4"/>
      <c r="B157" s="4" t="s">
        <v>470</v>
      </c>
      <c r="C157" s="5" t="s">
        <v>471</v>
      </c>
      <c r="T157" s="5" t="s">
        <v>472</v>
      </c>
      <c r="U157" s="55" t="str">
        <f t="shared" si="1549"/>
        <v>ReplaceableTextures\\CommandButtons\\BTNIN10.blp</v>
      </c>
      <c r="CN157" s="12" t="str">
        <f t="shared" si="2059"/>
        <v>InitUnitState('IN10',,,,,,,,,,)</v>
      </c>
      <c r="CO157" s="12" t="str">
        <f t="shared" si="2060"/>
        <v>InitUnitNormal('IN10',,,,,,,,,,)</v>
      </c>
      <c r="CP157" s="12" t="str">
        <f t="shared" si="2061"/>
        <v>InitUnitMagic('IN10',,,,,,,,,,)</v>
      </c>
      <c r="CQ157" s="12" t="str">
        <f t="shared" si="2062"/>
        <v>InitUnitAdd('IN10',,,,,,,,,,)</v>
      </c>
      <c r="CR157" s="12" t="str">
        <f t="shared" si="2280"/>
        <v>InitEquipData('IN10',,"",,,,,'','','','','','',"ReplaceableTextures\\CommandButtons\\BTNIT04.blp")</v>
      </c>
      <c r="CU157" s="67" t="str">
        <f t="shared" si="2281"/>
        <v>|n</v>
      </c>
      <c r="CV157" s="5" t="str">
        <f t="shared" si="2282"/>
        <v>暂停场上|Cffffc926已存在的进攻怪|r20秒</v>
      </c>
      <c r="CW157" s="6"/>
      <c r="CX157" s="6"/>
      <c r="CY157" s="6"/>
      <c r="CZ157" s="6"/>
      <c r="DA157" s="6"/>
      <c r="DB157" s="43" t="str">
        <f t="shared" si="2283"/>
        <v/>
      </c>
      <c r="DC157" s="43" t="str">
        <f t="shared" si="2284"/>
        <v/>
      </c>
      <c r="DD157" s="43" t="str">
        <f t="shared" si="2285"/>
        <v/>
      </c>
      <c r="DE157" s="43" t="str">
        <f t="shared" si="2286"/>
        <v/>
      </c>
      <c r="DF157" s="43" t="str">
        <f t="shared" si="2287"/>
        <v/>
      </c>
      <c r="DG157" s="43" t="str">
        <f t="shared" si="2288"/>
        <v/>
      </c>
      <c r="DH157" s="43" t="str">
        <f t="shared" si="2289"/>
        <v/>
      </c>
      <c r="DI157" s="43" t="str">
        <f t="shared" si="2290"/>
        <v/>
      </c>
      <c r="DJ157" s="43" t="str">
        <f t="shared" si="2291"/>
        <v/>
      </c>
      <c r="DK157" s="43" t="str">
        <f t="shared" si="2292"/>
        <v/>
      </c>
      <c r="DL157" s="43" t="str">
        <f t="shared" si="2293"/>
        <v/>
      </c>
      <c r="DM157" s="43" t="str">
        <f t="shared" si="2294"/>
        <v/>
      </c>
      <c r="DN157" s="43" t="str">
        <f t="shared" si="2295"/>
        <v/>
      </c>
      <c r="DO157" s="43" t="str">
        <f t="shared" si="2296"/>
        <v/>
      </c>
      <c r="DP157" s="43" t="str">
        <f t="shared" si="2297"/>
        <v/>
      </c>
      <c r="DQ157" s="43" t="str">
        <f t="shared" si="2298"/>
        <v/>
      </c>
      <c r="DR157" s="43" t="str">
        <f t="shared" si="2299"/>
        <v/>
      </c>
      <c r="DS157" s="43" t="str">
        <f t="shared" si="2300"/>
        <v/>
      </c>
      <c r="DT157" s="43" t="str">
        <f t="shared" si="2301"/>
        <v/>
      </c>
      <c r="DU157" s="43" t="str">
        <f t="shared" si="2302"/>
        <v/>
      </c>
      <c r="DV157" s="43" t="str">
        <f t="shared" si="2303"/>
        <v/>
      </c>
      <c r="DW157" s="43" t="str">
        <f t="shared" si="2304"/>
        <v/>
      </c>
      <c r="DX157" s="43" t="str">
        <f t="shared" si="2305"/>
        <v/>
      </c>
      <c r="DY157" s="43" t="str">
        <f t="shared" si="2306"/>
        <v/>
      </c>
      <c r="DZ157" s="43" t="str">
        <f t="shared" si="2307"/>
        <v/>
      </c>
      <c r="EA157" s="43" t="str">
        <f t="shared" si="2308"/>
        <v/>
      </c>
      <c r="EB157" s="43" t="str">
        <f t="shared" si="2309"/>
        <v/>
      </c>
      <c r="EC157" s="43" t="str">
        <f t="shared" si="2310"/>
        <v/>
      </c>
      <c r="ED157" s="43" t="str">
        <f t="shared" si="2311"/>
        <v/>
      </c>
      <c r="EE157" s="43" t="str">
        <f t="shared" si="2312"/>
        <v/>
      </c>
      <c r="EF157" s="43" t="str">
        <f t="shared" si="2313"/>
        <v/>
      </c>
      <c r="EG157" s="43" t="str">
        <f t="shared" si="2314"/>
        <v/>
      </c>
      <c r="EH157" s="43" t="str">
        <f t="shared" si="2315"/>
        <v/>
      </c>
      <c r="EI157" s="43" t="str">
        <f t="shared" si="2316"/>
        <v/>
      </c>
      <c r="EJ157" s="43" t="str">
        <f t="shared" si="2317"/>
        <v/>
      </c>
      <c r="EK157" s="43" t="str">
        <f t="shared" si="2318"/>
        <v/>
      </c>
      <c r="EL157" s="43" t="str">
        <f t="shared" si="2319"/>
        <v/>
      </c>
      <c r="EM157" s="43" t="str">
        <f t="shared" si="2320"/>
        <v/>
      </c>
      <c r="EN157" s="43" t="str">
        <f t="shared" si="2321"/>
        <v/>
      </c>
      <c r="EO157" s="43" t="str">
        <f t="shared" si="2322"/>
        <v/>
      </c>
      <c r="EP157" s="43" t="str">
        <f t="shared" si="2323"/>
        <v/>
      </c>
      <c r="EQ157" s="43" t="str">
        <f t="shared" si="2324"/>
        <v/>
      </c>
      <c r="ER157" s="43" t="str">
        <f t="shared" si="2325"/>
        <v/>
      </c>
      <c r="ES157" s="43" t="str">
        <f t="shared" si="2326"/>
        <v/>
      </c>
      <c r="ET157" s="43" t="str">
        <f t="shared" si="2327"/>
        <v/>
      </c>
      <c r="EU157" s="43" t="str">
        <f t="shared" si="2328"/>
        <v/>
      </c>
      <c r="EV157" s="43" t="str">
        <f t="shared" si="2329"/>
        <v/>
      </c>
      <c r="EW157" s="43" t="str">
        <f t="shared" si="2330"/>
        <v/>
      </c>
      <c r="EX157" s="43" t="str">
        <f t="shared" si="2331"/>
        <v/>
      </c>
      <c r="EY157" s="43" t="str">
        <f t="shared" si="2332"/>
        <v/>
      </c>
      <c r="EZ157" s="43" t="str">
        <f t="shared" si="2333"/>
        <v/>
      </c>
      <c r="FA157" s="43" t="str">
        <f t="shared" si="2334"/>
        <v/>
      </c>
      <c r="FB157" s="43" t="str">
        <f t="shared" si="2335"/>
        <v/>
      </c>
      <c r="FC157" s="43" t="str">
        <f t="shared" si="2336"/>
        <v/>
      </c>
      <c r="FD157" s="43" t="str">
        <f t="shared" si="2337"/>
        <v/>
      </c>
      <c r="FE157" s="43" t="str">
        <f t="shared" si="2338"/>
        <v/>
      </c>
      <c r="FF157" s="43" t="str">
        <f t="shared" si="2339"/>
        <v/>
      </c>
      <c r="FG157" s="43" t="str">
        <f t="shared" si="2340"/>
        <v/>
      </c>
      <c r="FH157" s="43" t="str">
        <f t="shared" si="2341"/>
        <v/>
      </c>
      <c r="FI157" s="43" t="str">
        <f t="shared" si="2342"/>
        <v/>
      </c>
      <c r="FJ157" s="43" t="str">
        <f t="shared" si="2343"/>
        <v/>
      </c>
      <c r="FK157" s="43" t="str">
        <f t="shared" si="2344"/>
        <v/>
      </c>
      <c r="FL157" s="43" t="str">
        <f t="shared" si="2345"/>
        <v/>
      </c>
      <c r="FM157" s="43" t="str">
        <f t="shared" si="2346"/>
        <v/>
      </c>
      <c r="FN157" s="43" t="str">
        <f t="shared" si="2347"/>
        <v/>
      </c>
      <c r="FO157" s="43" t="str">
        <f t="shared" si="2348"/>
        <v/>
      </c>
      <c r="FP157" s="43" t="str">
        <f t="shared" si="2349"/>
        <v/>
      </c>
      <c r="FQ157" s="43" t="str">
        <f t="shared" si="2350"/>
        <v/>
      </c>
      <c r="FR157" s="43" t="str">
        <f t="shared" si="2351"/>
        <v/>
      </c>
      <c r="FS157" s="43" t="str">
        <f t="shared" si="2352"/>
        <v/>
      </c>
    </row>
    <row r="158" spans="1:175" ht="16.5">
      <c r="A158" s="4"/>
      <c r="B158" s="4" t="s">
        <v>473</v>
      </c>
      <c r="C158" s="5" t="s">
        <v>474</v>
      </c>
      <c r="T158" s="5" t="s">
        <v>475</v>
      </c>
      <c r="U158" s="55" t="str">
        <f t="shared" si="1549"/>
        <v>ReplaceableTextures\\CommandButtons\\BTNIN11.blp</v>
      </c>
      <c r="CN158" s="12" t="str">
        <f t="shared" si="2059"/>
        <v>InitUnitState('IN11',,,,,,,,,,)</v>
      </c>
      <c r="CO158" s="12" t="str">
        <f t="shared" si="2060"/>
        <v>InitUnitNormal('IN11',,,,,,,,,,)</v>
      </c>
      <c r="CP158" s="12" t="str">
        <f t="shared" si="2061"/>
        <v>InitUnitMagic('IN11',,,,,,,,,,)</v>
      </c>
      <c r="CQ158" s="12" t="str">
        <f t="shared" si="2062"/>
        <v>InitUnitAdd('IN11',,,,,,,,,,)</v>
      </c>
      <c r="CR158" s="12" t="str">
        <f t="shared" si="2280"/>
        <v>InitEquipData('IN11',,"",,,,,'','','','','','',"ReplaceableTextures\\CommandButtons\\BTNIT05.blp")</v>
      </c>
      <c r="CU158" s="67" t="str">
        <f t="shared" si="2281"/>
        <v>|n</v>
      </c>
      <c r="CV158" s="5" t="str">
        <f t="shared" si="2282"/>
        <v>|CffFFC9265|r秒内提高|Cffffc926300%|r伤害加成</v>
      </c>
      <c r="CW158" s="6"/>
      <c r="CX158" s="6"/>
      <c r="CY158" s="6"/>
      <c r="CZ158" s="6"/>
      <c r="DA158" s="6"/>
      <c r="DB158" s="43" t="str">
        <f t="shared" si="2283"/>
        <v/>
      </c>
      <c r="DC158" s="43" t="str">
        <f t="shared" si="2284"/>
        <v/>
      </c>
      <c r="DD158" s="43" t="str">
        <f t="shared" si="2285"/>
        <v/>
      </c>
      <c r="DE158" s="43" t="str">
        <f t="shared" si="2286"/>
        <v/>
      </c>
      <c r="DF158" s="43" t="str">
        <f t="shared" si="2287"/>
        <v/>
      </c>
      <c r="DG158" s="43" t="str">
        <f t="shared" si="2288"/>
        <v/>
      </c>
      <c r="DH158" s="43" t="str">
        <f t="shared" si="2289"/>
        <v/>
      </c>
      <c r="DI158" s="43" t="str">
        <f t="shared" si="2290"/>
        <v/>
      </c>
      <c r="DJ158" s="43" t="str">
        <f t="shared" si="2291"/>
        <v/>
      </c>
      <c r="DK158" s="43" t="str">
        <f t="shared" si="2292"/>
        <v/>
      </c>
      <c r="DL158" s="43" t="str">
        <f t="shared" si="2293"/>
        <v/>
      </c>
      <c r="DM158" s="43" t="str">
        <f t="shared" si="2294"/>
        <v/>
      </c>
      <c r="DN158" s="43" t="str">
        <f t="shared" si="2295"/>
        <v/>
      </c>
      <c r="DO158" s="43" t="str">
        <f t="shared" si="2296"/>
        <v/>
      </c>
      <c r="DP158" s="43" t="str">
        <f t="shared" si="2297"/>
        <v/>
      </c>
      <c r="DQ158" s="43" t="str">
        <f t="shared" si="2298"/>
        <v/>
      </c>
      <c r="DR158" s="43" t="str">
        <f t="shared" si="2299"/>
        <v/>
      </c>
      <c r="DS158" s="43" t="str">
        <f t="shared" si="2300"/>
        <v/>
      </c>
      <c r="DT158" s="43" t="str">
        <f t="shared" si="2301"/>
        <v/>
      </c>
      <c r="DU158" s="43" t="str">
        <f t="shared" si="2302"/>
        <v/>
      </c>
      <c r="DV158" s="43" t="str">
        <f t="shared" si="2303"/>
        <v/>
      </c>
      <c r="DW158" s="43" t="str">
        <f t="shared" si="2304"/>
        <v/>
      </c>
      <c r="DX158" s="43" t="str">
        <f t="shared" si="2305"/>
        <v/>
      </c>
      <c r="DY158" s="43" t="str">
        <f t="shared" si="2306"/>
        <v/>
      </c>
      <c r="DZ158" s="43" t="str">
        <f t="shared" si="2307"/>
        <v/>
      </c>
      <c r="EA158" s="43" t="str">
        <f t="shared" si="2308"/>
        <v/>
      </c>
      <c r="EB158" s="43" t="str">
        <f t="shared" si="2309"/>
        <v/>
      </c>
      <c r="EC158" s="43" t="str">
        <f t="shared" si="2310"/>
        <v/>
      </c>
      <c r="ED158" s="43" t="str">
        <f t="shared" si="2311"/>
        <v/>
      </c>
      <c r="EE158" s="43" t="str">
        <f t="shared" si="2312"/>
        <v/>
      </c>
      <c r="EF158" s="43" t="str">
        <f t="shared" si="2313"/>
        <v/>
      </c>
      <c r="EG158" s="43" t="str">
        <f t="shared" si="2314"/>
        <v/>
      </c>
      <c r="EH158" s="43" t="str">
        <f t="shared" si="2315"/>
        <v/>
      </c>
      <c r="EI158" s="43" t="str">
        <f t="shared" si="2316"/>
        <v/>
      </c>
      <c r="EJ158" s="43" t="str">
        <f t="shared" si="2317"/>
        <v/>
      </c>
      <c r="EK158" s="43" t="str">
        <f t="shared" si="2318"/>
        <v/>
      </c>
      <c r="EL158" s="43" t="str">
        <f t="shared" si="2319"/>
        <v/>
      </c>
      <c r="EM158" s="43" t="str">
        <f t="shared" si="2320"/>
        <v/>
      </c>
      <c r="EN158" s="43" t="str">
        <f t="shared" si="2321"/>
        <v/>
      </c>
      <c r="EO158" s="43" t="str">
        <f t="shared" si="2322"/>
        <v/>
      </c>
      <c r="EP158" s="43" t="str">
        <f t="shared" si="2323"/>
        <v/>
      </c>
      <c r="EQ158" s="43" t="str">
        <f t="shared" si="2324"/>
        <v/>
      </c>
      <c r="ER158" s="43" t="str">
        <f t="shared" si="2325"/>
        <v/>
      </c>
      <c r="ES158" s="43" t="str">
        <f t="shared" si="2326"/>
        <v/>
      </c>
      <c r="ET158" s="43" t="str">
        <f t="shared" si="2327"/>
        <v/>
      </c>
      <c r="EU158" s="43" t="str">
        <f t="shared" si="2328"/>
        <v/>
      </c>
      <c r="EV158" s="43" t="str">
        <f t="shared" si="2329"/>
        <v/>
      </c>
      <c r="EW158" s="43" t="str">
        <f t="shared" si="2330"/>
        <v/>
      </c>
      <c r="EX158" s="43" t="str">
        <f t="shared" si="2331"/>
        <v/>
      </c>
      <c r="EY158" s="43" t="str">
        <f t="shared" si="2332"/>
        <v/>
      </c>
      <c r="EZ158" s="43" t="str">
        <f t="shared" si="2333"/>
        <v/>
      </c>
      <c r="FA158" s="43" t="str">
        <f t="shared" si="2334"/>
        <v/>
      </c>
      <c r="FB158" s="43" t="str">
        <f t="shared" si="2335"/>
        <v/>
      </c>
      <c r="FC158" s="43" t="str">
        <f t="shared" si="2336"/>
        <v/>
      </c>
      <c r="FD158" s="43" t="str">
        <f t="shared" si="2337"/>
        <v/>
      </c>
      <c r="FE158" s="43" t="str">
        <f t="shared" si="2338"/>
        <v/>
      </c>
      <c r="FF158" s="43" t="str">
        <f t="shared" si="2339"/>
        <v/>
      </c>
      <c r="FG158" s="43" t="str">
        <f t="shared" si="2340"/>
        <v/>
      </c>
      <c r="FH158" s="43" t="str">
        <f t="shared" si="2341"/>
        <v/>
      </c>
      <c r="FI158" s="43" t="str">
        <f t="shared" si="2342"/>
        <v/>
      </c>
      <c r="FJ158" s="43" t="str">
        <f t="shared" si="2343"/>
        <v/>
      </c>
      <c r="FK158" s="43" t="str">
        <f t="shared" si="2344"/>
        <v/>
      </c>
      <c r="FL158" s="43" t="str">
        <f t="shared" si="2345"/>
        <v/>
      </c>
      <c r="FM158" s="43" t="str">
        <f t="shared" si="2346"/>
        <v/>
      </c>
      <c r="FN158" s="43" t="str">
        <f t="shared" si="2347"/>
        <v/>
      </c>
      <c r="FO158" s="43" t="str">
        <f t="shared" si="2348"/>
        <v/>
      </c>
      <c r="FP158" s="43" t="str">
        <f t="shared" si="2349"/>
        <v/>
      </c>
      <c r="FQ158" s="43" t="str">
        <f t="shared" si="2350"/>
        <v/>
      </c>
      <c r="FR158" s="43" t="str">
        <f t="shared" si="2351"/>
        <v/>
      </c>
      <c r="FS158" s="43" t="str">
        <f t="shared" si="2352"/>
        <v/>
      </c>
    </row>
    <row r="159" spans="1:175" ht="16.5">
      <c r="A159" s="4"/>
      <c r="B159" s="4" t="s">
        <v>476</v>
      </c>
      <c r="C159" s="5" t="s">
        <v>477</v>
      </c>
      <c r="T159" s="5" t="s">
        <v>478</v>
      </c>
      <c r="U159" s="55" t="str">
        <f t="shared" si="1549"/>
        <v>ReplaceableTextures\\CommandButtons\\BTNIN12.blp</v>
      </c>
      <c r="CN159" s="12" t="str">
        <f t="shared" si="2059"/>
        <v>InitUnitState('IN12',,,,,,,,,,)</v>
      </c>
      <c r="CO159" s="12" t="str">
        <f t="shared" si="2060"/>
        <v>InitUnitNormal('IN12',,,,,,,,,,)</v>
      </c>
      <c r="CP159" s="12" t="str">
        <f t="shared" si="2061"/>
        <v>InitUnitMagic('IN12',,,,,,,,,,)</v>
      </c>
      <c r="CQ159" s="12" t="str">
        <f t="shared" si="2062"/>
        <v>InitUnitAdd('IN12',,,,,,,,,,)</v>
      </c>
      <c r="CR159" s="12" t="str">
        <f t="shared" si="2280"/>
        <v>InitEquipData('IN12',,"",,,,,'','','','','','',"ReplaceableTextures\\CommandButtons\\BTNIT06.blp")</v>
      </c>
      <c r="CU159" s="67" t="str">
        <f t="shared" si="2281"/>
        <v>|n</v>
      </c>
      <c r="CV159" s="5" t="str">
        <f t="shared" si="2282"/>
        <v>获得|Cffffc92620000|r金币</v>
      </c>
      <c r="CW159" s="6"/>
      <c r="CX159" s="6"/>
      <c r="CY159" s="6"/>
      <c r="CZ159" s="6"/>
      <c r="DA159" s="6"/>
      <c r="DB159" s="43" t="str">
        <f t="shared" si="2283"/>
        <v/>
      </c>
      <c r="DC159" s="43" t="str">
        <f t="shared" si="2284"/>
        <v/>
      </c>
      <c r="DD159" s="43" t="str">
        <f t="shared" si="2285"/>
        <v/>
      </c>
      <c r="DE159" s="43" t="str">
        <f t="shared" si="2286"/>
        <v/>
      </c>
      <c r="DF159" s="43" t="str">
        <f t="shared" si="2287"/>
        <v/>
      </c>
      <c r="DG159" s="43" t="str">
        <f t="shared" si="2288"/>
        <v/>
      </c>
      <c r="DH159" s="43" t="str">
        <f t="shared" si="2289"/>
        <v/>
      </c>
      <c r="DI159" s="43" t="str">
        <f t="shared" si="2290"/>
        <v/>
      </c>
      <c r="DJ159" s="43" t="str">
        <f t="shared" si="2291"/>
        <v/>
      </c>
      <c r="DK159" s="43" t="str">
        <f t="shared" si="2292"/>
        <v/>
      </c>
      <c r="DL159" s="43" t="str">
        <f t="shared" si="2293"/>
        <v/>
      </c>
      <c r="DM159" s="43" t="str">
        <f t="shared" si="2294"/>
        <v/>
      </c>
      <c r="DN159" s="43" t="str">
        <f t="shared" si="2295"/>
        <v/>
      </c>
      <c r="DO159" s="43" t="str">
        <f t="shared" si="2296"/>
        <v/>
      </c>
      <c r="DP159" s="43" t="str">
        <f t="shared" si="2297"/>
        <v/>
      </c>
      <c r="DQ159" s="43" t="str">
        <f t="shared" si="2298"/>
        <v/>
      </c>
      <c r="DR159" s="43" t="str">
        <f t="shared" si="2299"/>
        <v/>
      </c>
      <c r="DS159" s="43" t="str">
        <f t="shared" si="2300"/>
        <v/>
      </c>
      <c r="DT159" s="43" t="str">
        <f t="shared" si="2301"/>
        <v/>
      </c>
      <c r="DU159" s="43" t="str">
        <f t="shared" si="2302"/>
        <v/>
      </c>
      <c r="DV159" s="43" t="str">
        <f t="shared" si="2303"/>
        <v/>
      </c>
      <c r="DW159" s="43" t="str">
        <f t="shared" si="2304"/>
        <v/>
      </c>
      <c r="DX159" s="43" t="str">
        <f t="shared" si="2305"/>
        <v/>
      </c>
      <c r="DY159" s="43" t="str">
        <f t="shared" si="2306"/>
        <v/>
      </c>
      <c r="DZ159" s="43" t="str">
        <f t="shared" si="2307"/>
        <v/>
      </c>
      <c r="EA159" s="43" t="str">
        <f t="shared" si="2308"/>
        <v/>
      </c>
      <c r="EB159" s="43" t="str">
        <f t="shared" si="2309"/>
        <v/>
      </c>
      <c r="EC159" s="43" t="str">
        <f t="shared" si="2310"/>
        <v/>
      </c>
      <c r="ED159" s="43" t="str">
        <f t="shared" si="2311"/>
        <v/>
      </c>
      <c r="EE159" s="43" t="str">
        <f t="shared" si="2312"/>
        <v/>
      </c>
      <c r="EF159" s="43" t="str">
        <f t="shared" si="2313"/>
        <v/>
      </c>
      <c r="EG159" s="43" t="str">
        <f t="shared" si="2314"/>
        <v/>
      </c>
      <c r="EH159" s="43" t="str">
        <f t="shared" si="2315"/>
        <v/>
      </c>
      <c r="EI159" s="43" t="str">
        <f t="shared" si="2316"/>
        <v/>
      </c>
      <c r="EJ159" s="43" t="str">
        <f t="shared" si="2317"/>
        <v/>
      </c>
      <c r="EK159" s="43" t="str">
        <f t="shared" si="2318"/>
        <v/>
      </c>
      <c r="EL159" s="43" t="str">
        <f t="shared" si="2319"/>
        <v/>
      </c>
      <c r="EM159" s="43" t="str">
        <f t="shared" si="2320"/>
        <v/>
      </c>
      <c r="EN159" s="43" t="str">
        <f t="shared" si="2321"/>
        <v/>
      </c>
      <c r="EO159" s="43" t="str">
        <f t="shared" si="2322"/>
        <v/>
      </c>
      <c r="EP159" s="43" t="str">
        <f t="shared" si="2323"/>
        <v/>
      </c>
      <c r="EQ159" s="43" t="str">
        <f t="shared" si="2324"/>
        <v/>
      </c>
      <c r="ER159" s="43" t="str">
        <f t="shared" si="2325"/>
        <v/>
      </c>
      <c r="ES159" s="43" t="str">
        <f t="shared" si="2326"/>
        <v/>
      </c>
      <c r="ET159" s="43" t="str">
        <f t="shared" si="2327"/>
        <v/>
      </c>
      <c r="EU159" s="43" t="str">
        <f t="shared" si="2328"/>
        <v/>
      </c>
      <c r="EV159" s="43" t="str">
        <f t="shared" si="2329"/>
        <v/>
      </c>
      <c r="EW159" s="43" t="str">
        <f t="shared" si="2330"/>
        <v/>
      </c>
      <c r="EX159" s="43" t="str">
        <f t="shared" si="2331"/>
        <v/>
      </c>
      <c r="EY159" s="43" t="str">
        <f t="shared" si="2332"/>
        <v/>
      </c>
      <c r="EZ159" s="43" t="str">
        <f t="shared" si="2333"/>
        <v/>
      </c>
      <c r="FA159" s="43" t="str">
        <f t="shared" si="2334"/>
        <v/>
      </c>
      <c r="FB159" s="43" t="str">
        <f t="shared" si="2335"/>
        <v/>
      </c>
      <c r="FC159" s="43" t="str">
        <f t="shared" si="2336"/>
        <v/>
      </c>
      <c r="FD159" s="43" t="str">
        <f t="shared" si="2337"/>
        <v/>
      </c>
      <c r="FE159" s="43" t="str">
        <f t="shared" si="2338"/>
        <v/>
      </c>
      <c r="FF159" s="43" t="str">
        <f t="shared" si="2339"/>
        <v/>
      </c>
      <c r="FG159" s="43" t="str">
        <f t="shared" si="2340"/>
        <v/>
      </c>
      <c r="FH159" s="43" t="str">
        <f t="shared" si="2341"/>
        <v/>
      </c>
      <c r="FI159" s="43" t="str">
        <f t="shared" si="2342"/>
        <v/>
      </c>
      <c r="FJ159" s="43" t="str">
        <f t="shared" si="2343"/>
        <v/>
      </c>
      <c r="FK159" s="43" t="str">
        <f t="shared" si="2344"/>
        <v/>
      </c>
      <c r="FL159" s="43" t="str">
        <f t="shared" si="2345"/>
        <v/>
      </c>
      <c r="FM159" s="43" t="str">
        <f t="shared" si="2346"/>
        <v/>
      </c>
      <c r="FN159" s="43" t="str">
        <f t="shared" si="2347"/>
        <v/>
      </c>
      <c r="FO159" s="43" t="str">
        <f t="shared" si="2348"/>
        <v/>
      </c>
      <c r="FP159" s="43" t="str">
        <f t="shared" si="2349"/>
        <v/>
      </c>
      <c r="FQ159" s="43" t="str">
        <f t="shared" si="2350"/>
        <v/>
      </c>
      <c r="FR159" s="43" t="str">
        <f t="shared" si="2351"/>
        <v/>
      </c>
      <c r="FS159" s="43" t="str">
        <f t="shared" si="2352"/>
        <v/>
      </c>
    </row>
    <row r="160" spans="1:175" ht="16.5">
      <c r="A160" s="4"/>
      <c r="B160" s="4" t="s">
        <v>479</v>
      </c>
      <c r="C160" s="5" t="s">
        <v>480</v>
      </c>
      <c r="T160" s="5" t="s">
        <v>481</v>
      </c>
      <c r="U160" s="55" t="str">
        <f t="shared" si="1549"/>
        <v>ReplaceableTextures\\CommandButtons\\BTNIN13.blp</v>
      </c>
      <c r="CN160" s="12" t="str">
        <f t="shared" si="2059"/>
        <v>InitUnitState('IN13',,,,,,,,,,)</v>
      </c>
      <c r="CO160" s="12" t="str">
        <f t="shared" si="2060"/>
        <v>InitUnitNormal('IN13',,,,,,,,,,)</v>
      </c>
      <c r="CP160" s="12" t="str">
        <f t="shared" si="2061"/>
        <v>InitUnitMagic('IN13',,,,,,,,,,)</v>
      </c>
      <c r="CQ160" s="12" t="str">
        <f t="shared" si="2062"/>
        <v>InitUnitAdd('IN13',,,,,,,,,,)</v>
      </c>
      <c r="CR160" s="12" t="str">
        <f t="shared" si="2280"/>
        <v>InitEquipData('IN13',,"",,,,,'','','','','','',"ReplaceableTextures\\CommandButtons\\BTNIT07.blp")</v>
      </c>
      <c r="CU160" s="67" t="str">
        <f t="shared" si="1914"/>
        <v>|n</v>
      </c>
      <c r="CV160" s="5" t="str">
        <f t="shared" si="1915"/>
        <v>获得|Cffffc9262000|r金币</v>
      </c>
      <c r="CW160" s="6"/>
      <c r="CX160" s="6"/>
      <c r="CY160" s="6"/>
      <c r="CZ160" s="6"/>
      <c r="DA160" s="6"/>
      <c r="DB160" s="43" t="str">
        <f t="shared" si="1916"/>
        <v/>
      </c>
      <c r="DC160" s="43" t="str">
        <f t="shared" si="1917"/>
        <v/>
      </c>
      <c r="DD160" s="43" t="str">
        <f t="shared" si="1918"/>
        <v/>
      </c>
      <c r="DE160" s="43" t="str">
        <f t="shared" si="1919"/>
        <v/>
      </c>
      <c r="DF160" s="43" t="str">
        <f t="shared" si="1920"/>
        <v/>
      </c>
      <c r="DG160" s="43" t="str">
        <f t="shared" si="1921"/>
        <v/>
      </c>
      <c r="DH160" s="43" t="str">
        <f t="shared" si="1922"/>
        <v/>
      </c>
      <c r="DI160" s="43" t="str">
        <f t="shared" si="1923"/>
        <v/>
      </c>
      <c r="DJ160" s="43" t="str">
        <f t="shared" si="1924"/>
        <v/>
      </c>
      <c r="DK160" s="43" t="str">
        <f t="shared" si="1925"/>
        <v/>
      </c>
      <c r="DL160" s="43" t="str">
        <f t="shared" si="1926"/>
        <v/>
      </c>
      <c r="DM160" s="43" t="str">
        <f t="shared" si="1927"/>
        <v/>
      </c>
      <c r="DN160" s="43" t="str">
        <f t="shared" si="1928"/>
        <v/>
      </c>
      <c r="DO160" s="43" t="str">
        <f t="shared" si="1929"/>
        <v/>
      </c>
      <c r="DP160" s="43" t="str">
        <f t="shared" si="1930"/>
        <v/>
      </c>
      <c r="DQ160" s="43" t="str">
        <f t="shared" si="1931"/>
        <v/>
      </c>
      <c r="DR160" s="43" t="str">
        <f t="shared" si="1932"/>
        <v/>
      </c>
      <c r="DS160" s="43" t="str">
        <f t="shared" si="1933"/>
        <v/>
      </c>
      <c r="DT160" s="43" t="str">
        <f t="shared" si="1934"/>
        <v/>
      </c>
      <c r="DU160" s="43" t="str">
        <f t="shared" si="1935"/>
        <v/>
      </c>
      <c r="DV160" s="43" t="str">
        <f t="shared" si="1936"/>
        <v/>
      </c>
      <c r="DW160" s="43" t="str">
        <f t="shared" si="1937"/>
        <v/>
      </c>
      <c r="DX160" s="43" t="str">
        <f t="shared" si="1938"/>
        <v/>
      </c>
      <c r="DY160" s="43" t="str">
        <f t="shared" si="1939"/>
        <v/>
      </c>
      <c r="DZ160" s="43" t="str">
        <f t="shared" si="1940"/>
        <v/>
      </c>
      <c r="EA160" s="43" t="str">
        <f t="shared" si="1941"/>
        <v/>
      </c>
      <c r="EB160" s="43" t="str">
        <f t="shared" si="1942"/>
        <v/>
      </c>
      <c r="EC160" s="43" t="str">
        <f t="shared" si="1943"/>
        <v/>
      </c>
      <c r="ED160" s="43" t="str">
        <f t="shared" si="1944"/>
        <v/>
      </c>
      <c r="EE160" s="43" t="str">
        <f t="shared" si="1945"/>
        <v/>
      </c>
      <c r="EF160" s="43" t="str">
        <f t="shared" si="1946"/>
        <v/>
      </c>
      <c r="EG160" s="43" t="str">
        <f t="shared" si="1947"/>
        <v/>
      </c>
      <c r="EH160" s="43" t="str">
        <f t="shared" si="1948"/>
        <v/>
      </c>
      <c r="EI160" s="43" t="str">
        <f t="shared" si="1949"/>
        <v/>
      </c>
      <c r="EJ160" s="43" t="str">
        <f t="shared" si="1950"/>
        <v/>
      </c>
      <c r="EK160" s="43" t="str">
        <f t="shared" si="1951"/>
        <v/>
      </c>
      <c r="EL160" s="43" t="str">
        <f t="shared" si="1952"/>
        <v/>
      </c>
      <c r="EM160" s="43" t="str">
        <f t="shared" si="1953"/>
        <v/>
      </c>
      <c r="EN160" s="43" t="str">
        <f t="shared" si="1954"/>
        <v/>
      </c>
      <c r="EO160" s="43" t="str">
        <f t="shared" si="1955"/>
        <v/>
      </c>
      <c r="EP160" s="43" t="str">
        <f t="shared" si="1956"/>
        <v/>
      </c>
      <c r="EQ160" s="43" t="str">
        <f t="shared" si="1957"/>
        <v/>
      </c>
      <c r="ER160" s="43" t="str">
        <f t="shared" si="1958"/>
        <v/>
      </c>
      <c r="ES160" s="43" t="str">
        <f t="shared" si="1959"/>
        <v/>
      </c>
      <c r="ET160" s="43" t="str">
        <f t="shared" si="1960"/>
        <v/>
      </c>
      <c r="EU160" s="43" t="str">
        <f t="shared" si="1961"/>
        <v/>
      </c>
      <c r="EV160" s="43" t="str">
        <f t="shared" si="1962"/>
        <v/>
      </c>
      <c r="EW160" s="43" t="str">
        <f t="shared" si="1963"/>
        <v/>
      </c>
      <c r="EX160" s="43" t="str">
        <f t="shared" si="1964"/>
        <v/>
      </c>
      <c r="EY160" s="43" t="str">
        <f t="shared" si="1965"/>
        <v/>
      </c>
      <c r="EZ160" s="43" t="str">
        <f t="shared" si="1966"/>
        <v/>
      </c>
      <c r="FA160" s="43" t="str">
        <f t="shared" si="1967"/>
        <v/>
      </c>
      <c r="FB160" s="43" t="str">
        <f t="shared" si="1968"/>
        <v/>
      </c>
      <c r="FC160" s="43" t="str">
        <f t="shared" si="1969"/>
        <v/>
      </c>
      <c r="FD160" s="43" t="str">
        <f t="shared" si="1970"/>
        <v/>
      </c>
      <c r="FE160" s="43" t="str">
        <f t="shared" si="1971"/>
        <v/>
      </c>
      <c r="FF160" s="43" t="str">
        <f t="shared" si="1972"/>
        <v/>
      </c>
      <c r="FG160" s="43" t="str">
        <f t="shared" si="1973"/>
        <v/>
      </c>
      <c r="FH160" s="43" t="str">
        <f t="shared" si="1974"/>
        <v/>
      </c>
      <c r="FI160" s="43" t="str">
        <f t="shared" si="1975"/>
        <v/>
      </c>
      <c r="FJ160" s="43" t="str">
        <f t="shared" si="1976"/>
        <v/>
      </c>
      <c r="FK160" s="43" t="str">
        <f t="shared" si="1977"/>
        <v/>
      </c>
      <c r="FL160" s="43" t="str">
        <f t="shared" si="1978"/>
        <v/>
      </c>
      <c r="FM160" s="43" t="str">
        <f t="shared" si="1979"/>
        <v/>
      </c>
      <c r="FN160" s="43" t="str">
        <f t="shared" si="1980"/>
        <v/>
      </c>
      <c r="FO160" s="43" t="str">
        <f t="shared" si="1981"/>
        <v/>
      </c>
      <c r="FP160" s="43" t="str">
        <f t="shared" si="1982"/>
        <v/>
      </c>
      <c r="FQ160" s="43" t="str">
        <f t="shared" si="1983"/>
        <v/>
      </c>
      <c r="FR160" s="43" t="str">
        <f t="shared" si="1984"/>
        <v/>
      </c>
      <c r="FS160" s="43" t="str">
        <f t="shared" si="1985"/>
        <v/>
      </c>
    </row>
    <row r="161" spans="1:175" ht="42.75">
      <c r="A161" s="4"/>
      <c r="B161" s="4" t="s">
        <v>482</v>
      </c>
      <c r="C161" s="5" t="s">
        <v>483</v>
      </c>
      <c r="T161" s="80" t="s">
        <v>484</v>
      </c>
      <c r="U161" s="55" t="str">
        <f t="shared" si="1549"/>
        <v>ReplaceableTextures\\CommandButtons\\BTNIN14.blp</v>
      </c>
      <c r="CN161" s="12" t="str">
        <f t="shared" si="2059"/>
        <v>InitUnitState('IN14',,,,,,,,,,)</v>
      </c>
      <c r="CO161" s="12" t="str">
        <f t="shared" si="2060"/>
        <v>InitUnitNormal('IN14',,,,,,,,,,)</v>
      </c>
      <c r="CP161" s="12" t="str">
        <f t="shared" si="2061"/>
        <v>InitUnitMagic('IN14',,,,,,,,,,)</v>
      </c>
      <c r="CQ161" s="12" t="str">
        <f t="shared" si="2062"/>
        <v>InitUnitAdd('IN14',,,,,,,,,,)</v>
      </c>
      <c r="CR161" s="12" t="str">
        <f t="shared" si="2280"/>
        <v>InitEquipData('IN14',,"",,,,,'','','','','','',"ReplaceableTextures\\CommandButtons\\BTNIT08.blp")</v>
      </c>
      <c r="CU161" s="67" t="str">
        <f t="shared" si="1914"/>
        <v>|n</v>
      </c>
      <c r="CV161" s="5" t="str">
        <f t="shared" si="1915"/>
        <v>若使用后|Cffffc9265|r秒内|Cffffc926基地濒死|r，则击杀其600码范围内所有生物。|n|n|Cff00ff7f不分敌我|r</v>
      </c>
      <c r="CW161" s="6"/>
      <c r="CX161" s="6"/>
      <c r="CY161" s="6"/>
      <c r="CZ161" s="6"/>
      <c r="DA161" s="6"/>
      <c r="DB161" s="43" t="str">
        <f t="shared" si="1916"/>
        <v/>
      </c>
      <c r="DC161" s="43" t="str">
        <f t="shared" si="1917"/>
        <v/>
      </c>
      <c r="DD161" s="43" t="str">
        <f t="shared" si="1918"/>
        <v/>
      </c>
      <c r="DE161" s="43" t="str">
        <f t="shared" si="1919"/>
        <v/>
      </c>
      <c r="DF161" s="43" t="str">
        <f t="shared" si="1920"/>
        <v/>
      </c>
      <c r="DG161" s="43" t="str">
        <f t="shared" si="1921"/>
        <v/>
      </c>
      <c r="DH161" s="43" t="str">
        <f t="shared" si="1922"/>
        <v/>
      </c>
      <c r="DI161" s="43" t="str">
        <f t="shared" si="1923"/>
        <v/>
      </c>
      <c r="DJ161" s="43" t="str">
        <f t="shared" si="1924"/>
        <v/>
      </c>
      <c r="DK161" s="43" t="str">
        <f t="shared" si="1925"/>
        <v/>
      </c>
      <c r="DL161" s="43" t="str">
        <f t="shared" si="1926"/>
        <v/>
      </c>
      <c r="DM161" s="43" t="str">
        <f t="shared" si="1927"/>
        <v/>
      </c>
      <c r="DN161" s="43" t="str">
        <f t="shared" si="1928"/>
        <v/>
      </c>
      <c r="DO161" s="43" t="str">
        <f t="shared" si="1929"/>
        <v/>
      </c>
      <c r="DP161" s="43" t="str">
        <f t="shared" si="1930"/>
        <v/>
      </c>
      <c r="DQ161" s="43" t="str">
        <f t="shared" si="1931"/>
        <v/>
      </c>
      <c r="DR161" s="43" t="str">
        <f t="shared" si="1932"/>
        <v/>
      </c>
      <c r="DS161" s="43" t="str">
        <f t="shared" si="1933"/>
        <v/>
      </c>
      <c r="DT161" s="43" t="str">
        <f t="shared" si="1934"/>
        <v/>
      </c>
      <c r="DU161" s="43" t="str">
        <f t="shared" si="1935"/>
        <v/>
      </c>
      <c r="DV161" s="43" t="str">
        <f t="shared" si="1936"/>
        <v/>
      </c>
      <c r="DW161" s="43" t="str">
        <f t="shared" si="1937"/>
        <v/>
      </c>
      <c r="DX161" s="43" t="str">
        <f t="shared" si="1938"/>
        <v/>
      </c>
      <c r="DY161" s="43" t="str">
        <f t="shared" si="1939"/>
        <v/>
      </c>
      <c r="DZ161" s="43" t="str">
        <f t="shared" si="1940"/>
        <v/>
      </c>
      <c r="EA161" s="43" t="str">
        <f t="shared" si="1941"/>
        <v/>
      </c>
      <c r="EB161" s="43" t="str">
        <f t="shared" si="1942"/>
        <v/>
      </c>
      <c r="EC161" s="43" t="str">
        <f t="shared" si="1943"/>
        <v/>
      </c>
      <c r="ED161" s="43" t="str">
        <f t="shared" si="1944"/>
        <v/>
      </c>
      <c r="EE161" s="43" t="str">
        <f t="shared" si="1945"/>
        <v/>
      </c>
      <c r="EF161" s="43" t="str">
        <f t="shared" si="1946"/>
        <v/>
      </c>
      <c r="EG161" s="43" t="str">
        <f t="shared" si="1947"/>
        <v/>
      </c>
      <c r="EH161" s="43" t="str">
        <f t="shared" si="1948"/>
        <v/>
      </c>
      <c r="EI161" s="43" t="str">
        <f t="shared" si="1949"/>
        <v/>
      </c>
      <c r="EJ161" s="43" t="str">
        <f t="shared" si="1950"/>
        <v/>
      </c>
      <c r="EK161" s="43" t="str">
        <f t="shared" si="1951"/>
        <v/>
      </c>
      <c r="EL161" s="43" t="str">
        <f t="shared" si="1952"/>
        <v/>
      </c>
      <c r="EM161" s="43" t="str">
        <f t="shared" si="1953"/>
        <v/>
      </c>
      <c r="EN161" s="43" t="str">
        <f t="shared" si="1954"/>
        <v/>
      </c>
      <c r="EO161" s="43" t="str">
        <f t="shared" si="1955"/>
        <v/>
      </c>
      <c r="EP161" s="43" t="str">
        <f t="shared" si="1956"/>
        <v/>
      </c>
      <c r="EQ161" s="43" t="str">
        <f t="shared" si="1957"/>
        <v/>
      </c>
      <c r="ER161" s="43" t="str">
        <f t="shared" si="1958"/>
        <v/>
      </c>
      <c r="ES161" s="43" t="str">
        <f t="shared" si="1959"/>
        <v/>
      </c>
      <c r="ET161" s="43" t="str">
        <f t="shared" si="1960"/>
        <v/>
      </c>
      <c r="EU161" s="43" t="str">
        <f t="shared" si="1961"/>
        <v/>
      </c>
      <c r="EV161" s="43" t="str">
        <f t="shared" si="1962"/>
        <v/>
      </c>
      <c r="EW161" s="43" t="str">
        <f t="shared" si="1963"/>
        <v/>
      </c>
      <c r="EX161" s="43" t="str">
        <f t="shared" si="1964"/>
        <v/>
      </c>
      <c r="EY161" s="43" t="str">
        <f t="shared" si="1965"/>
        <v/>
      </c>
      <c r="EZ161" s="43" t="str">
        <f t="shared" si="1966"/>
        <v/>
      </c>
      <c r="FA161" s="43" t="str">
        <f t="shared" si="1967"/>
        <v/>
      </c>
      <c r="FB161" s="43" t="str">
        <f t="shared" si="1968"/>
        <v/>
      </c>
      <c r="FC161" s="43" t="str">
        <f t="shared" si="1969"/>
        <v/>
      </c>
      <c r="FD161" s="43" t="str">
        <f t="shared" si="1970"/>
        <v/>
      </c>
      <c r="FE161" s="43" t="str">
        <f t="shared" si="1971"/>
        <v/>
      </c>
      <c r="FF161" s="43" t="str">
        <f t="shared" si="1972"/>
        <v/>
      </c>
      <c r="FG161" s="43" t="str">
        <f t="shared" si="1973"/>
        <v/>
      </c>
      <c r="FH161" s="43" t="str">
        <f t="shared" si="1974"/>
        <v/>
      </c>
      <c r="FI161" s="43" t="str">
        <f t="shared" si="1975"/>
        <v/>
      </c>
      <c r="FJ161" s="43" t="str">
        <f t="shared" si="1976"/>
        <v/>
      </c>
      <c r="FK161" s="43" t="str">
        <f t="shared" si="1977"/>
        <v/>
      </c>
      <c r="FL161" s="43" t="str">
        <f t="shared" si="1978"/>
        <v/>
      </c>
      <c r="FM161" s="43" t="str">
        <f t="shared" si="1979"/>
        <v/>
      </c>
      <c r="FN161" s="43" t="str">
        <f t="shared" si="1980"/>
        <v/>
      </c>
      <c r="FO161" s="43" t="str">
        <f t="shared" si="1981"/>
        <v/>
      </c>
      <c r="FP161" s="43" t="str">
        <f t="shared" si="1982"/>
        <v/>
      </c>
      <c r="FQ161" s="43" t="str">
        <f t="shared" si="1983"/>
        <v/>
      </c>
      <c r="FR161" s="43" t="str">
        <f t="shared" si="1984"/>
        <v/>
      </c>
      <c r="FS161" s="43" t="str">
        <f t="shared" si="1985"/>
        <v/>
      </c>
    </row>
    <row r="162" spans="1:175" ht="28.5">
      <c r="A162" s="4"/>
      <c r="B162" s="4" t="s">
        <v>485</v>
      </c>
      <c r="C162" s="5" t="s">
        <v>486</v>
      </c>
      <c r="T162" s="86" t="s">
        <v>487</v>
      </c>
      <c r="U162" s="55" t="str">
        <f t="shared" si="1549"/>
        <v>ReplaceableTextures\\CommandButtons\\BTNIN15.blp</v>
      </c>
      <c r="CN162" s="12" t="str">
        <f t="shared" si="2059"/>
        <v>InitUnitState('IN15',,,,,,,,,,)</v>
      </c>
      <c r="CO162" s="12" t="str">
        <f t="shared" si="2060"/>
        <v>InitUnitNormal('IN15',,,,,,,,,,)</v>
      </c>
      <c r="CP162" s="12" t="str">
        <f t="shared" si="2061"/>
        <v>InitUnitMagic('IN15',,,,,,,,,,)</v>
      </c>
      <c r="CQ162" s="12" t="str">
        <f t="shared" si="2062"/>
        <v>InitUnitAdd('IN15',,,,,,,,,,)</v>
      </c>
      <c r="CR162" s="12" t="str">
        <f t="shared" si="2280"/>
        <v>InitEquipData('IN15',,"",,,,,'','','','','','',"ReplaceableTextures\\CommandButtons\\BTNIT09.blp")</v>
      </c>
      <c r="CU162" s="67" t="str">
        <f t="shared" ref="CU162:CU164" si="2353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5" t="str">
        <f t="shared" ref="CV162:CV164" si="2354">T162</f>
        <v>获得一个|Cffffc926补天石|r。|n|n|Cff00ff7f“法宝F4”查看，重置指定法宝，品质不变。|r</v>
      </c>
      <c r="CW162" s="6"/>
      <c r="CX162" s="6"/>
      <c r="CY162" s="6"/>
      <c r="CZ162" s="6"/>
      <c r="DA162" s="6"/>
      <c r="DB162" s="43" t="str">
        <f t="shared" ref="DB162:DB164" si="2355">IF(V162="","","|n"&amp;DB$2&amp;"+"&amp;V162&amp;DB$1)</f>
        <v/>
      </c>
      <c r="DC162" s="43" t="str">
        <f t="shared" ref="DC162:DC164" si="2356">IF(W162="","","|n"&amp;DC$2&amp;"+"&amp;W162&amp;DC$1)</f>
        <v/>
      </c>
      <c r="DD162" s="43" t="str">
        <f t="shared" ref="DD162:DD164" si="2357">IF(X162="","","|n"&amp;DD$2&amp;"+"&amp;X162&amp;DD$1)</f>
        <v/>
      </c>
      <c r="DE162" s="43" t="str">
        <f t="shared" ref="DE162:DE164" si="2358">IF(Y162="","","|n"&amp;DE$2&amp;"+"&amp;Y162&amp;DE$1)</f>
        <v/>
      </c>
      <c r="DF162" s="43" t="str">
        <f t="shared" ref="DF162:DF164" si="2359">IF(Z162="","","|n"&amp;DF$2&amp;"+"&amp;Z162&amp;DF$1)</f>
        <v/>
      </c>
      <c r="DG162" s="43" t="str">
        <f t="shared" ref="DG162:DG164" si="2360">IF(AA162="","","|n"&amp;DG$2&amp;"+"&amp;AA162&amp;DG$1)</f>
        <v/>
      </c>
      <c r="DH162" s="43" t="str">
        <f t="shared" ref="DH162:DH164" si="2361">IF(AB162="","","|n"&amp;DH$2&amp;"+"&amp;AB162&amp;DH$1)</f>
        <v/>
      </c>
      <c r="DI162" s="43" t="str">
        <f t="shared" ref="DI162:DI164" si="2362">IF(AC162="","","|n"&amp;DI$2&amp;"+"&amp;AC162&amp;DI$1)</f>
        <v/>
      </c>
      <c r="DJ162" s="43" t="str">
        <f t="shared" ref="DJ162:DJ164" si="2363">IF(AD162="","","|n"&amp;DJ$2&amp;"+"&amp;AD162&amp;DJ$1)</f>
        <v/>
      </c>
      <c r="DK162" s="43" t="str">
        <f t="shared" ref="DK162:DK164" si="2364">IF(AE162="","","|n"&amp;DK$2&amp;"+"&amp;AE162&amp;DK$1)</f>
        <v/>
      </c>
      <c r="DL162" s="43" t="str">
        <f t="shared" ref="DL162:DL164" si="2365">IF(AF162="","","|n"&amp;DL$2&amp;"+"&amp;AF162&amp;DL$1)</f>
        <v/>
      </c>
      <c r="DM162" s="43" t="str">
        <f t="shared" ref="DM162:DM164" si="2366">IF(AG162="","","|n"&amp;DM$2&amp;"+"&amp;AG162&amp;DM$1)</f>
        <v/>
      </c>
      <c r="DN162" s="43" t="str">
        <f t="shared" ref="DN162:DN164" si="2367">IF(AH162="","","|n"&amp;DN$2&amp;"+"&amp;AH162&amp;DN$1)</f>
        <v/>
      </c>
      <c r="DO162" s="43" t="str">
        <f t="shared" ref="DO162:DO164" si="2368">IF(AI162="","","|n"&amp;DO$2&amp;"+"&amp;AI162&amp;DO$1)</f>
        <v/>
      </c>
      <c r="DP162" s="43" t="str">
        <f t="shared" ref="DP162:DP164" si="2369">IF(AJ162="","","|n"&amp;DP$2&amp;"+"&amp;AJ162&amp;DP$1)</f>
        <v/>
      </c>
      <c r="DQ162" s="43" t="str">
        <f t="shared" ref="DQ162:DQ164" si="2370">IF(AK162="","","|n"&amp;DQ$2&amp;"+"&amp;AK162&amp;DQ$1)</f>
        <v/>
      </c>
      <c r="DR162" s="43" t="str">
        <f t="shared" ref="DR162:DR164" si="2371">IF(AL162="","","|n"&amp;DR$2&amp;"+"&amp;AL162&amp;DR$1)</f>
        <v/>
      </c>
      <c r="DS162" s="43" t="str">
        <f t="shared" ref="DS162:DS164" si="2372">IF(AM162="","","|n"&amp;DS$2&amp;"+"&amp;AM162&amp;DS$1)</f>
        <v/>
      </c>
      <c r="DT162" s="43" t="str">
        <f t="shared" ref="DT162:DT164" si="2373">IF(AN162="","","|n"&amp;DT$2&amp;"+"&amp;AN162&amp;DT$1)</f>
        <v/>
      </c>
      <c r="DU162" s="43" t="str">
        <f t="shared" ref="DU162:DU164" si="2374">IF(AO162="","","|n"&amp;DU$2&amp;"+"&amp;AO162&amp;DU$1)</f>
        <v/>
      </c>
      <c r="DV162" s="43" t="str">
        <f t="shared" ref="DV162:DV164" si="2375">IF(AP162="","","|n"&amp;DV$2&amp;"+"&amp;AP162&amp;DV$1)</f>
        <v/>
      </c>
      <c r="DW162" s="43" t="str">
        <f t="shared" ref="DW162:DW164" si="2376">IF(AQ162="","","|n"&amp;DW$2&amp;"+"&amp;AQ162&amp;DW$1)</f>
        <v/>
      </c>
      <c r="DX162" s="43" t="str">
        <f t="shared" ref="DX162:DX164" si="2377">IF(AR162="","","|n"&amp;DX$2&amp;"+"&amp;AR162&amp;DX$1)</f>
        <v/>
      </c>
      <c r="DY162" s="43" t="str">
        <f t="shared" ref="DY162:DY164" si="2378">IF(AS162="","","|n"&amp;DY$2&amp;"+"&amp;AS162&amp;DY$1)</f>
        <v/>
      </c>
      <c r="DZ162" s="43" t="str">
        <f t="shared" ref="DZ162:DZ164" si="2379">IF(AT162="","","|n"&amp;DZ$2&amp;"+"&amp;AT162&amp;DZ$1)</f>
        <v/>
      </c>
      <c r="EA162" s="43" t="str">
        <f t="shared" ref="EA162:EA164" si="2380">IF(AU162="","","|n"&amp;EA$2&amp;"+"&amp;AU162&amp;EA$1)</f>
        <v/>
      </c>
      <c r="EB162" s="43" t="str">
        <f t="shared" ref="EB162:EB164" si="2381">IF(AV162="","","|n"&amp;EB$2&amp;"+"&amp;AV162&amp;EB$1)</f>
        <v/>
      </c>
      <c r="EC162" s="43" t="str">
        <f t="shared" ref="EC162:EC164" si="2382">IF(AW162="","","|n"&amp;EC$2&amp;"+"&amp;AW162&amp;EC$1)</f>
        <v/>
      </c>
      <c r="ED162" s="43" t="str">
        <f t="shared" ref="ED162:ED164" si="2383">IF(AX162="","","|n"&amp;ED$2&amp;"+"&amp;AX162&amp;ED$1)</f>
        <v/>
      </c>
      <c r="EE162" s="43" t="str">
        <f t="shared" ref="EE162:EE164" si="2384">IF(AY162="","","|n"&amp;EE$2&amp;"+"&amp;AY162&amp;EE$1)</f>
        <v/>
      </c>
      <c r="EF162" s="43" t="str">
        <f t="shared" ref="EF162:EF164" si="2385">IF(AZ162="","","|n"&amp;EF$2&amp;"+"&amp;AZ162&amp;EF$1)</f>
        <v/>
      </c>
      <c r="EG162" s="43" t="str">
        <f t="shared" ref="EG162:EG164" si="2386">IF(BA162="","","|n"&amp;EG$2&amp;"+"&amp;BA162&amp;EG$1)</f>
        <v/>
      </c>
      <c r="EH162" s="43" t="str">
        <f t="shared" ref="EH162:EH164" si="2387">IF(BB162="","","|n"&amp;EH$2&amp;"+"&amp;BB162&amp;EH$1)</f>
        <v/>
      </c>
      <c r="EI162" s="43" t="str">
        <f t="shared" ref="EI162:EI164" si="2388">IF(BC162="","","|n"&amp;EI$2&amp;"+"&amp;BC162&amp;EI$1)</f>
        <v/>
      </c>
      <c r="EJ162" s="43" t="str">
        <f t="shared" ref="EJ162:EJ164" si="2389">IF(BD162="","","|n"&amp;EJ$2&amp;"+"&amp;BD162&amp;EJ$1)</f>
        <v/>
      </c>
      <c r="EK162" s="43" t="str">
        <f t="shared" ref="EK162:EK164" si="2390">IF(BE162="","","|n"&amp;EK$2&amp;"+"&amp;BE162&amp;EK$1)</f>
        <v/>
      </c>
      <c r="EL162" s="43" t="str">
        <f t="shared" ref="EL162:EL164" si="2391">IF(BF162="","","|n"&amp;EL$2&amp;"+"&amp;BF162&amp;EL$1)</f>
        <v/>
      </c>
      <c r="EM162" s="43" t="str">
        <f t="shared" ref="EM162:EM164" si="2392">IF(BG162="","","|n"&amp;EM$2&amp;"+"&amp;BG162&amp;EM$1)</f>
        <v/>
      </c>
      <c r="EN162" s="43" t="str">
        <f t="shared" ref="EN162:EN164" si="2393">IF(BH162="","","|n"&amp;EN$2&amp;"+"&amp;BH162&amp;EN$1)</f>
        <v/>
      </c>
      <c r="EO162" s="43" t="str">
        <f t="shared" ref="EO162:EO164" si="2394">IF(BI162="","","|n"&amp;EO$2&amp;"+"&amp;BI162&amp;EO$1)</f>
        <v/>
      </c>
      <c r="EP162" s="43" t="str">
        <f t="shared" ref="EP162:EP164" si="2395">IF(BJ162="","","|n"&amp;EP$2&amp;"+"&amp;BJ162&amp;EP$1)</f>
        <v/>
      </c>
      <c r="EQ162" s="43" t="str">
        <f t="shared" ref="EQ162:EQ164" si="2396">IF(BK162="","","|n"&amp;EQ$2&amp;"+"&amp;BK162&amp;EQ$1)</f>
        <v/>
      </c>
      <c r="ER162" s="43" t="str">
        <f t="shared" ref="ER162:ER164" si="2397">IF(BL162="","","|n"&amp;ER$2&amp;"+"&amp;BL162&amp;ER$1)</f>
        <v/>
      </c>
      <c r="ES162" s="43" t="str">
        <f t="shared" ref="ES162:ES164" si="2398">IF(BM162="","","|n"&amp;ES$2&amp;"+"&amp;BM162&amp;ES$1)</f>
        <v/>
      </c>
      <c r="ET162" s="43" t="str">
        <f t="shared" ref="ET162:ET164" si="2399">IF(BN162="","","|n"&amp;ET$2&amp;"+"&amp;BN162&amp;ET$1)</f>
        <v/>
      </c>
      <c r="EU162" s="43" t="str">
        <f t="shared" ref="EU162:EU164" si="2400">IF(BO162="","","|n"&amp;EU$2&amp;"+"&amp;BO162&amp;EU$1)</f>
        <v/>
      </c>
      <c r="EV162" s="43" t="str">
        <f t="shared" ref="EV162:EV164" si="2401">IF(BP162="","","|n"&amp;EV$2&amp;"+"&amp;BP162&amp;EV$1)</f>
        <v/>
      </c>
      <c r="EW162" s="43" t="str">
        <f t="shared" ref="EW162:EW164" si="2402">IF(BQ162="","","|n"&amp;EW$2&amp;"+"&amp;BQ162&amp;EW$1)</f>
        <v/>
      </c>
      <c r="EX162" s="43" t="str">
        <f t="shared" ref="EX162:EX164" si="2403">IF(BR162="","","|n"&amp;EX$2&amp;"+"&amp;BR162&amp;EX$1)</f>
        <v/>
      </c>
      <c r="EY162" s="43" t="str">
        <f t="shared" ref="EY162:EY164" si="2404">IF(BS162="","","|n"&amp;EY$2&amp;"+"&amp;BS162&amp;EY$1)</f>
        <v/>
      </c>
      <c r="EZ162" s="43" t="str">
        <f t="shared" ref="EZ162:EZ164" si="2405">IF(BT162="","","|n"&amp;EZ$2&amp;"+"&amp;BT162&amp;EZ$1)</f>
        <v/>
      </c>
      <c r="FA162" s="43" t="str">
        <f t="shared" ref="FA162:FA164" si="2406">IF(BU162="","","|n"&amp;FA$2&amp;"+"&amp;BU162&amp;FA$1)</f>
        <v/>
      </c>
      <c r="FB162" s="43" t="str">
        <f t="shared" ref="FB162:FB164" si="2407">IF(BV162="","","|n"&amp;FB$2&amp;"+"&amp;BV162&amp;FB$1)</f>
        <v/>
      </c>
      <c r="FC162" s="43" t="str">
        <f t="shared" ref="FC162:FC164" si="2408">IF(BW162="","","|n"&amp;FC$2&amp;"+"&amp;BW162&amp;FC$1)</f>
        <v/>
      </c>
      <c r="FD162" s="43" t="str">
        <f t="shared" ref="FD162:FD164" si="2409">IF(BX162="","","|n"&amp;FD$2&amp;"+"&amp;BX162&amp;FD$1)</f>
        <v/>
      </c>
      <c r="FE162" s="43" t="str">
        <f t="shared" ref="FE162:FE164" si="2410">IF(BY162="","","|n"&amp;FE$2&amp;"+"&amp;BY162&amp;FE$1)</f>
        <v/>
      </c>
      <c r="FF162" s="43" t="str">
        <f t="shared" ref="FF162:FF164" si="2411">IF(BZ162="","","|n"&amp;FF$2&amp;"+"&amp;BZ162&amp;FF$1)</f>
        <v/>
      </c>
      <c r="FG162" s="43" t="str">
        <f t="shared" ref="FG162:FG164" si="2412">IF(CA162="","","|n"&amp;FG$2&amp;"+"&amp;CA162&amp;FG$1)</f>
        <v/>
      </c>
      <c r="FH162" s="43" t="str">
        <f t="shared" ref="FH162:FH164" si="2413">IF(CB162="","","|n"&amp;FH$2&amp;"+"&amp;CB162&amp;FH$1)</f>
        <v/>
      </c>
      <c r="FI162" s="43" t="str">
        <f t="shared" ref="FI162:FI164" si="2414">IF(CC162="","","|n"&amp;FI$2&amp;"+"&amp;CC162&amp;FI$1)</f>
        <v/>
      </c>
      <c r="FJ162" s="43" t="str">
        <f t="shared" ref="FJ162:FJ164" si="2415">IF(CD162="","","|n"&amp;FJ$2&amp;"+"&amp;CD162&amp;FJ$1)</f>
        <v/>
      </c>
      <c r="FK162" s="43" t="str">
        <f t="shared" ref="FK162:FK164" si="2416">IF(CE162="","","|n"&amp;FK$2&amp;"+"&amp;CE162&amp;FK$1)</f>
        <v/>
      </c>
      <c r="FL162" s="43" t="str">
        <f t="shared" ref="FL162:FL164" si="2417">IF(CF162="","","|n"&amp;FL$2&amp;"+"&amp;CF162&amp;FL$1)</f>
        <v/>
      </c>
      <c r="FM162" s="43" t="str">
        <f t="shared" ref="FM162:FM164" si="2418">IF(CG162="","","|n"&amp;FM$2&amp;"+"&amp;CG162&amp;FM$1)</f>
        <v/>
      </c>
      <c r="FN162" s="43" t="str">
        <f t="shared" ref="FN162:FN164" si="2419">IF(CH162="","","|n"&amp;FN$2&amp;"+"&amp;CH162&amp;FN$1)</f>
        <v/>
      </c>
      <c r="FO162" s="43" t="str">
        <f t="shared" ref="FO162:FO164" si="2420">IF(CI162="","","|n"&amp;FO$2&amp;"+"&amp;CI162&amp;FO$1)</f>
        <v/>
      </c>
      <c r="FP162" s="43" t="str">
        <f t="shared" ref="FP162:FP164" si="2421">IF(CJ162="","","|n"&amp;FP$2&amp;"+"&amp;CJ162&amp;FP$1)</f>
        <v/>
      </c>
      <c r="FQ162" s="43" t="str">
        <f t="shared" ref="FQ162:FQ164" si="2422">IF(CK162="","","|n"&amp;FQ$2&amp;"+"&amp;CK162&amp;FQ$1)</f>
        <v/>
      </c>
      <c r="FR162" s="43" t="str">
        <f t="shared" ref="FR162:FR164" si="2423">IF(CL162="","","|n"&amp;FR$2&amp;"+"&amp;CL162&amp;FR$1)</f>
        <v/>
      </c>
      <c r="FS162" s="43" t="str">
        <f t="shared" ref="FS162:FS164" si="2424">IF(CM162="","","|n"&amp;FS$2&amp;"+"&amp;CM162&amp;FS$1)</f>
        <v/>
      </c>
    </row>
    <row r="163" spans="1:175" ht="42.75">
      <c r="A163" s="4"/>
      <c r="B163" s="4" t="s">
        <v>488</v>
      </c>
      <c r="C163" s="5" t="s">
        <v>489</v>
      </c>
      <c r="T163" s="80" t="s">
        <v>490</v>
      </c>
      <c r="U163" s="55" t="str">
        <f t="shared" si="1549"/>
        <v>ReplaceableTextures\\CommandButtons\\BTNIN16.blp</v>
      </c>
      <c r="CN163" s="12" t="str">
        <f t="shared" si="2059"/>
        <v>InitUnitState('IN16',,,,,,,,,,)</v>
      </c>
      <c r="CO163" s="12" t="str">
        <f t="shared" si="2060"/>
        <v>InitUnitNormal('IN16',,,,,,,,,,)</v>
      </c>
      <c r="CP163" s="12" t="str">
        <f t="shared" si="2061"/>
        <v>InitUnitMagic('IN16',,,,,,,,,,)</v>
      </c>
      <c r="CQ163" s="12" t="str">
        <f t="shared" si="2062"/>
        <v>InitUnitAdd('IN16',,,,,,,,,,)</v>
      </c>
      <c r="CR163" s="12" t="str">
        <f t="shared" si="2280"/>
        <v>InitEquipData('IN16',,"",,,,,'','','','','','',"ReplaceableTextures\\CommandButtons\\BTNIT10.blp")</v>
      </c>
      <c r="CU163" s="67" t="str">
        <f t="shared" si="2353"/>
        <v>|n</v>
      </c>
      <c r="CV163" s="5" t="str">
        <f t="shared" si="2354"/>
        <v>获得一个|Cffff0000鸿蒙结晶|r。|n|n|Cff00ff7f“法宝F4”查看，重置指定法宝，品质提升一级。|r</v>
      </c>
      <c r="CW163" s="6"/>
      <c r="CX163" s="6"/>
      <c r="CY163" s="6"/>
      <c r="CZ163" s="6"/>
      <c r="DA163" s="6"/>
      <c r="DB163" s="43" t="str">
        <f t="shared" si="2355"/>
        <v/>
      </c>
      <c r="DC163" s="43" t="str">
        <f t="shared" si="2356"/>
        <v/>
      </c>
      <c r="DD163" s="43" t="str">
        <f t="shared" si="2357"/>
        <v/>
      </c>
      <c r="DE163" s="43" t="str">
        <f t="shared" si="2358"/>
        <v/>
      </c>
      <c r="DF163" s="43" t="str">
        <f t="shared" si="2359"/>
        <v/>
      </c>
      <c r="DG163" s="43" t="str">
        <f t="shared" si="2360"/>
        <v/>
      </c>
      <c r="DH163" s="43" t="str">
        <f t="shared" si="2361"/>
        <v/>
      </c>
      <c r="DI163" s="43" t="str">
        <f t="shared" si="2362"/>
        <v/>
      </c>
      <c r="DJ163" s="43" t="str">
        <f t="shared" si="2363"/>
        <v/>
      </c>
      <c r="DK163" s="43" t="str">
        <f t="shared" si="2364"/>
        <v/>
      </c>
      <c r="DL163" s="43" t="str">
        <f t="shared" si="2365"/>
        <v/>
      </c>
      <c r="DM163" s="43" t="str">
        <f t="shared" si="2366"/>
        <v/>
      </c>
      <c r="DN163" s="43" t="str">
        <f t="shared" si="2367"/>
        <v/>
      </c>
      <c r="DO163" s="43" t="str">
        <f t="shared" si="2368"/>
        <v/>
      </c>
      <c r="DP163" s="43" t="str">
        <f t="shared" si="2369"/>
        <v/>
      </c>
      <c r="DQ163" s="43" t="str">
        <f t="shared" si="2370"/>
        <v/>
      </c>
      <c r="DR163" s="43" t="str">
        <f t="shared" si="2371"/>
        <v/>
      </c>
      <c r="DS163" s="43" t="str">
        <f t="shared" si="2372"/>
        <v/>
      </c>
      <c r="DT163" s="43" t="str">
        <f t="shared" si="2373"/>
        <v/>
      </c>
      <c r="DU163" s="43" t="str">
        <f t="shared" si="2374"/>
        <v/>
      </c>
      <c r="DV163" s="43" t="str">
        <f t="shared" si="2375"/>
        <v/>
      </c>
      <c r="DW163" s="43" t="str">
        <f t="shared" si="2376"/>
        <v/>
      </c>
      <c r="DX163" s="43" t="str">
        <f t="shared" si="2377"/>
        <v/>
      </c>
      <c r="DY163" s="43" t="str">
        <f t="shared" si="2378"/>
        <v/>
      </c>
      <c r="DZ163" s="43" t="str">
        <f t="shared" si="2379"/>
        <v/>
      </c>
      <c r="EA163" s="43" t="str">
        <f t="shared" si="2380"/>
        <v/>
      </c>
      <c r="EB163" s="43" t="str">
        <f t="shared" si="2381"/>
        <v/>
      </c>
      <c r="EC163" s="43" t="str">
        <f t="shared" si="2382"/>
        <v/>
      </c>
      <c r="ED163" s="43" t="str">
        <f t="shared" si="2383"/>
        <v/>
      </c>
      <c r="EE163" s="43" t="str">
        <f t="shared" si="2384"/>
        <v/>
      </c>
      <c r="EF163" s="43" t="str">
        <f t="shared" si="2385"/>
        <v/>
      </c>
      <c r="EG163" s="43" t="str">
        <f t="shared" si="2386"/>
        <v/>
      </c>
      <c r="EH163" s="43" t="str">
        <f t="shared" si="2387"/>
        <v/>
      </c>
      <c r="EI163" s="43" t="str">
        <f t="shared" si="2388"/>
        <v/>
      </c>
      <c r="EJ163" s="43" t="str">
        <f t="shared" si="2389"/>
        <v/>
      </c>
      <c r="EK163" s="43" t="str">
        <f t="shared" si="2390"/>
        <v/>
      </c>
      <c r="EL163" s="43" t="str">
        <f t="shared" si="2391"/>
        <v/>
      </c>
      <c r="EM163" s="43" t="str">
        <f t="shared" si="2392"/>
        <v/>
      </c>
      <c r="EN163" s="43" t="str">
        <f t="shared" si="2393"/>
        <v/>
      </c>
      <c r="EO163" s="43" t="str">
        <f t="shared" si="2394"/>
        <v/>
      </c>
      <c r="EP163" s="43" t="str">
        <f t="shared" si="2395"/>
        <v/>
      </c>
      <c r="EQ163" s="43" t="str">
        <f t="shared" si="2396"/>
        <v/>
      </c>
      <c r="ER163" s="43" t="str">
        <f t="shared" si="2397"/>
        <v/>
      </c>
      <c r="ES163" s="43" t="str">
        <f t="shared" si="2398"/>
        <v/>
      </c>
      <c r="ET163" s="43" t="str">
        <f t="shared" si="2399"/>
        <v/>
      </c>
      <c r="EU163" s="43" t="str">
        <f t="shared" si="2400"/>
        <v/>
      </c>
      <c r="EV163" s="43" t="str">
        <f t="shared" si="2401"/>
        <v/>
      </c>
      <c r="EW163" s="43" t="str">
        <f t="shared" si="2402"/>
        <v/>
      </c>
      <c r="EX163" s="43" t="str">
        <f t="shared" si="2403"/>
        <v/>
      </c>
      <c r="EY163" s="43" t="str">
        <f t="shared" si="2404"/>
        <v/>
      </c>
      <c r="EZ163" s="43" t="str">
        <f t="shared" si="2405"/>
        <v/>
      </c>
      <c r="FA163" s="43" t="str">
        <f t="shared" si="2406"/>
        <v/>
      </c>
      <c r="FB163" s="43" t="str">
        <f t="shared" si="2407"/>
        <v/>
      </c>
      <c r="FC163" s="43" t="str">
        <f t="shared" si="2408"/>
        <v/>
      </c>
      <c r="FD163" s="43" t="str">
        <f t="shared" si="2409"/>
        <v/>
      </c>
      <c r="FE163" s="43" t="str">
        <f t="shared" si="2410"/>
        <v/>
      </c>
      <c r="FF163" s="43" t="str">
        <f t="shared" si="2411"/>
        <v/>
      </c>
      <c r="FG163" s="43" t="str">
        <f t="shared" si="2412"/>
        <v/>
      </c>
      <c r="FH163" s="43" t="str">
        <f t="shared" si="2413"/>
        <v/>
      </c>
      <c r="FI163" s="43" t="str">
        <f t="shared" si="2414"/>
        <v/>
      </c>
      <c r="FJ163" s="43" t="str">
        <f t="shared" si="2415"/>
        <v/>
      </c>
      <c r="FK163" s="43" t="str">
        <f t="shared" si="2416"/>
        <v/>
      </c>
      <c r="FL163" s="43" t="str">
        <f t="shared" si="2417"/>
        <v/>
      </c>
      <c r="FM163" s="43" t="str">
        <f t="shared" si="2418"/>
        <v/>
      </c>
      <c r="FN163" s="43" t="str">
        <f t="shared" si="2419"/>
        <v/>
      </c>
      <c r="FO163" s="43" t="str">
        <f t="shared" si="2420"/>
        <v/>
      </c>
      <c r="FP163" s="43" t="str">
        <f t="shared" si="2421"/>
        <v/>
      </c>
      <c r="FQ163" s="43" t="str">
        <f t="shared" si="2422"/>
        <v/>
      </c>
      <c r="FR163" s="43" t="str">
        <f t="shared" si="2423"/>
        <v/>
      </c>
      <c r="FS163" s="43" t="str">
        <f t="shared" si="2424"/>
        <v/>
      </c>
    </row>
    <row r="164" spans="1:175" ht="16.5">
      <c r="A164" s="4"/>
      <c r="B164" s="4" t="s">
        <v>491</v>
      </c>
      <c r="C164" s="5" t="s">
        <v>492</v>
      </c>
      <c r="T164" s="5" t="s">
        <v>493</v>
      </c>
      <c r="U164" s="55" t="str">
        <f t="shared" si="1549"/>
        <v>ReplaceableTextures\\CommandButtons\\BTNIN17.blp</v>
      </c>
      <c r="CN164" s="12" t="str">
        <f t="shared" si="2059"/>
        <v>InitUnitState('IN17',,,,,,,,,,)</v>
      </c>
      <c r="CO164" s="12" t="str">
        <f t="shared" si="2060"/>
        <v>InitUnitNormal('IN17',,,,,,,,,,)</v>
      </c>
      <c r="CP164" s="12" t="str">
        <f t="shared" si="2061"/>
        <v>InitUnitMagic('IN17',,,,,,,,,,)</v>
      </c>
      <c r="CQ164" s="12" t="str">
        <f t="shared" si="2062"/>
        <v>InitUnitAdd('IN17',,,,,,,,,,)</v>
      </c>
      <c r="CR164" s="12" t="str">
        <f t="shared" si="2280"/>
        <v>InitEquipData('IN17',,"",,,,,'','','','','','',"ReplaceableTextures\\CommandButtons\\BTNIT11.blp")</v>
      </c>
      <c r="CU164" s="67" t="str">
        <f t="shared" si="2353"/>
        <v>|n</v>
      </c>
      <c r="CV164" s="5" t="str">
        <f t="shared" si="2354"/>
        <v>木头|Cffffc926+3000|r</v>
      </c>
      <c r="CW164" s="6"/>
      <c r="CX164" s="6"/>
      <c r="CY164" s="6"/>
      <c r="CZ164" s="6"/>
      <c r="DA164" s="6"/>
      <c r="DB164" s="43" t="str">
        <f t="shared" si="2355"/>
        <v/>
      </c>
      <c r="DC164" s="43" t="str">
        <f t="shared" si="2356"/>
        <v/>
      </c>
      <c r="DD164" s="43" t="str">
        <f t="shared" si="2357"/>
        <v/>
      </c>
      <c r="DE164" s="43" t="str">
        <f t="shared" si="2358"/>
        <v/>
      </c>
      <c r="DF164" s="43" t="str">
        <f t="shared" si="2359"/>
        <v/>
      </c>
      <c r="DG164" s="43" t="str">
        <f t="shared" si="2360"/>
        <v/>
      </c>
      <c r="DH164" s="43" t="str">
        <f t="shared" si="2361"/>
        <v/>
      </c>
      <c r="DI164" s="43" t="str">
        <f t="shared" si="2362"/>
        <v/>
      </c>
      <c r="DJ164" s="43" t="str">
        <f t="shared" si="2363"/>
        <v/>
      </c>
      <c r="DK164" s="43" t="str">
        <f t="shared" si="2364"/>
        <v/>
      </c>
      <c r="DL164" s="43" t="str">
        <f t="shared" si="2365"/>
        <v/>
      </c>
      <c r="DM164" s="43" t="str">
        <f t="shared" si="2366"/>
        <v/>
      </c>
      <c r="DN164" s="43" t="str">
        <f t="shared" si="2367"/>
        <v/>
      </c>
      <c r="DO164" s="43" t="str">
        <f t="shared" si="2368"/>
        <v/>
      </c>
      <c r="DP164" s="43" t="str">
        <f t="shared" si="2369"/>
        <v/>
      </c>
      <c r="DQ164" s="43" t="str">
        <f t="shared" si="2370"/>
        <v/>
      </c>
      <c r="DR164" s="43" t="str">
        <f t="shared" si="2371"/>
        <v/>
      </c>
      <c r="DS164" s="43" t="str">
        <f t="shared" si="2372"/>
        <v/>
      </c>
      <c r="DT164" s="43" t="str">
        <f t="shared" si="2373"/>
        <v/>
      </c>
      <c r="DU164" s="43" t="str">
        <f t="shared" si="2374"/>
        <v/>
      </c>
      <c r="DV164" s="43" t="str">
        <f t="shared" si="2375"/>
        <v/>
      </c>
      <c r="DW164" s="43" t="str">
        <f t="shared" si="2376"/>
        <v/>
      </c>
      <c r="DX164" s="43" t="str">
        <f t="shared" si="2377"/>
        <v/>
      </c>
      <c r="DY164" s="43" t="str">
        <f t="shared" si="2378"/>
        <v/>
      </c>
      <c r="DZ164" s="43" t="str">
        <f t="shared" si="2379"/>
        <v/>
      </c>
      <c r="EA164" s="43" t="str">
        <f t="shared" si="2380"/>
        <v/>
      </c>
      <c r="EB164" s="43" t="str">
        <f t="shared" si="2381"/>
        <v/>
      </c>
      <c r="EC164" s="43" t="str">
        <f t="shared" si="2382"/>
        <v/>
      </c>
      <c r="ED164" s="43" t="str">
        <f t="shared" si="2383"/>
        <v/>
      </c>
      <c r="EE164" s="43" t="str">
        <f t="shared" si="2384"/>
        <v/>
      </c>
      <c r="EF164" s="43" t="str">
        <f t="shared" si="2385"/>
        <v/>
      </c>
      <c r="EG164" s="43" t="str">
        <f t="shared" si="2386"/>
        <v/>
      </c>
      <c r="EH164" s="43" t="str">
        <f t="shared" si="2387"/>
        <v/>
      </c>
      <c r="EI164" s="43" t="str">
        <f t="shared" si="2388"/>
        <v/>
      </c>
      <c r="EJ164" s="43" t="str">
        <f t="shared" si="2389"/>
        <v/>
      </c>
      <c r="EK164" s="43" t="str">
        <f t="shared" si="2390"/>
        <v/>
      </c>
      <c r="EL164" s="43" t="str">
        <f t="shared" si="2391"/>
        <v/>
      </c>
      <c r="EM164" s="43" t="str">
        <f t="shared" si="2392"/>
        <v/>
      </c>
      <c r="EN164" s="43" t="str">
        <f t="shared" si="2393"/>
        <v/>
      </c>
      <c r="EO164" s="43" t="str">
        <f t="shared" si="2394"/>
        <v/>
      </c>
      <c r="EP164" s="43" t="str">
        <f t="shared" si="2395"/>
        <v/>
      </c>
      <c r="EQ164" s="43" t="str">
        <f t="shared" si="2396"/>
        <v/>
      </c>
      <c r="ER164" s="43" t="str">
        <f t="shared" si="2397"/>
        <v/>
      </c>
      <c r="ES164" s="43" t="str">
        <f t="shared" si="2398"/>
        <v/>
      </c>
      <c r="ET164" s="43" t="str">
        <f t="shared" si="2399"/>
        <v/>
      </c>
      <c r="EU164" s="43" t="str">
        <f t="shared" si="2400"/>
        <v/>
      </c>
      <c r="EV164" s="43" t="str">
        <f t="shared" si="2401"/>
        <v/>
      </c>
      <c r="EW164" s="43" t="str">
        <f t="shared" si="2402"/>
        <v/>
      </c>
      <c r="EX164" s="43" t="str">
        <f t="shared" si="2403"/>
        <v/>
      </c>
      <c r="EY164" s="43" t="str">
        <f t="shared" si="2404"/>
        <v/>
      </c>
      <c r="EZ164" s="43" t="str">
        <f t="shared" si="2405"/>
        <v/>
      </c>
      <c r="FA164" s="43" t="str">
        <f t="shared" si="2406"/>
        <v/>
      </c>
      <c r="FB164" s="43" t="str">
        <f t="shared" si="2407"/>
        <v/>
      </c>
      <c r="FC164" s="43" t="str">
        <f t="shared" si="2408"/>
        <v/>
      </c>
      <c r="FD164" s="43" t="str">
        <f t="shared" si="2409"/>
        <v/>
      </c>
      <c r="FE164" s="43" t="str">
        <f t="shared" si="2410"/>
        <v/>
      </c>
      <c r="FF164" s="43" t="str">
        <f t="shared" si="2411"/>
        <v/>
      </c>
      <c r="FG164" s="43" t="str">
        <f t="shared" si="2412"/>
        <v/>
      </c>
      <c r="FH164" s="43" t="str">
        <f t="shared" si="2413"/>
        <v/>
      </c>
      <c r="FI164" s="43" t="str">
        <f t="shared" si="2414"/>
        <v/>
      </c>
      <c r="FJ164" s="43" t="str">
        <f t="shared" si="2415"/>
        <v/>
      </c>
      <c r="FK164" s="43" t="str">
        <f t="shared" si="2416"/>
        <v/>
      </c>
      <c r="FL164" s="43" t="str">
        <f t="shared" si="2417"/>
        <v/>
      </c>
      <c r="FM164" s="43" t="str">
        <f t="shared" si="2418"/>
        <v/>
      </c>
      <c r="FN164" s="43" t="str">
        <f t="shared" si="2419"/>
        <v/>
      </c>
      <c r="FO164" s="43" t="str">
        <f t="shared" si="2420"/>
        <v/>
      </c>
      <c r="FP164" s="43" t="str">
        <f t="shared" si="2421"/>
        <v/>
      </c>
      <c r="FQ164" s="43" t="str">
        <f t="shared" si="2422"/>
        <v/>
      </c>
      <c r="FR164" s="43" t="str">
        <f t="shared" si="2423"/>
        <v/>
      </c>
      <c r="FS164" s="43" t="str">
        <f t="shared" si="2424"/>
        <v/>
      </c>
    </row>
    <row r="165" spans="1:175" ht="16.5">
      <c r="A165" s="4"/>
      <c r="B165" s="4" t="s">
        <v>494</v>
      </c>
      <c r="C165" s="5" t="s">
        <v>495</v>
      </c>
      <c r="T165" s="36" t="s">
        <v>496</v>
      </c>
      <c r="U165" s="55" t="str">
        <f t="shared" si="1549"/>
        <v>ReplaceableTextures\\CommandButtons\\BTNIN18.blp</v>
      </c>
      <c r="CN165" s="12" t="str">
        <f t="shared" si="2059"/>
        <v>InitUnitState('IN18',,,,,,,,,,)</v>
      </c>
      <c r="CO165" s="12" t="str">
        <f t="shared" si="2060"/>
        <v>InitUnitNormal('IN18',,,,,,,,,,)</v>
      </c>
      <c r="CP165" s="12" t="str">
        <f t="shared" si="2061"/>
        <v>InitUnitMagic('IN18',,,,,,,,,,)</v>
      </c>
      <c r="CQ165" s="12" t="str">
        <f t="shared" si="2062"/>
        <v>InitUnitAdd('IN18',,,,,,,,,,)</v>
      </c>
      <c r="CR165" s="12" t="str">
        <f t="shared" si="2280"/>
        <v>InitEquipData('IN18',,"",,,,,'','','','','','',"ReplaceableTextures\\CommandButtons\\BTNIT12.blp")</v>
      </c>
      <c r="CU165" s="67" t="str">
        <f t="shared" ref="CU165" si="2425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5" t="str">
        <f t="shared" ref="CV165" si="2426">T165</f>
        <v>木头|Cffffc926+300|r</v>
      </c>
      <c r="CW165" s="6"/>
      <c r="CX165" s="6"/>
      <c r="CY165" s="6"/>
      <c r="CZ165" s="6"/>
      <c r="DA165" s="6"/>
      <c r="DB165" s="43" t="str">
        <f t="shared" ref="DB165" si="2427">IF(V165="","","|n"&amp;DB$2&amp;"+"&amp;V165&amp;DB$1)</f>
        <v/>
      </c>
      <c r="DC165" s="43" t="str">
        <f t="shared" ref="DC165" si="2428">IF(W165="","","|n"&amp;DC$2&amp;"+"&amp;W165&amp;DC$1)</f>
        <v/>
      </c>
      <c r="DD165" s="43" t="str">
        <f t="shared" ref="DD165" si="2429">IF(X165="","","|n"&amp;DD$2&amp;"+"&amp;X165&amp;DD$1)</f>
        <v/>
      </c>
      <c r="DE165" s="43" t="str">
        <f t="shared" ref="DE165" si="2430">IF(Y165="","","|n"&amp;DE$2&amp;"+"&amp;Y165&amp;DE$1)</f>
        <v/>
      </c>
      <c r="DF165" s="43" t="str">
        <f t="shared" ref="DF165" si="2431">IF(Z165="","","|n"&amp;DF$2&amp;"+"&amp;Z165&amp;DF$1)</f>
        <v/>
      </c>
      <c r="DG165" s="43" t="str">
        <f t="shared" ref="DG165" si="2432">IF(AA165="","","|n"&amp;DG$2&amp;"+"&amp;AA165&amp;DG$1)</f>
        <v/>
      </c>
      <c r="DH165" s="43" t="str">
        <f t="shared" ref="DH165" si="2433">IF(AB165="","","|n"&amp;DH$2&amp;"+"&amp;AB165&amp;DH$1)</f>
        <v/>
      </c>
      <c r="DI165" s="43" t="str">
        <f t="shared" ref="DI165" si="2434">IF(AC165="","","|n"&amp;DI$2&amp;"+"&amp;AC165&amp;DI$1)</f>
        <v/>
      </c>
      <c r="DJ165" s="43" t="str">
        <f t="shared" ref="DJ165" si="2435">IF(AD165="","","|n"&amp;DJ$2&amp;"+"&amp;AD165&amp;DJ$1)</f>
        <v/>
      </c>
      <c r="DK165" s="43" t="str">
        <f t="shared" ref="DK165" si="2436">IF(AE165="","","|n"&amp;DK$2&amp;"+"&amp;AE165&amp;DK$1)</f>
        <v/>
      </c>
      <c r="DL165" s="43" t="str">
        <f t="shared" ref="DL165" si="2437">IF(AF165="","","|n"&amp;DL$2&amp;"+"&amp;AF165&amp;DL$1)</f>
        <v/>
      </c>
      <c r="DM165" s="43" t="str">
        <f t="shared" ref="DM165" si="2438">IF(AG165="","","|n"&amp;DM$2&amp;"+"&amp;AG165&amp;DM$1)</f>
        <v/>
      </c>
      <c r="DN165" s="43" t="str">
        <f t="shared" ref="DN165" si="2439">IF(AH165="","","|n"&amp;DN$2&amp;"+"&amp;AH165&amp;DN$1)</f>
        <v/>
      </c>
      <c r="DO165" s="43" t="str">
        <f t="shared" ref="DO165" si="2440">IF(AI165="","","|n"&amp;DO$2&amp;"+"&amp;AI165&amp;DO$1)</f>
        <v/>
      </c>
      <c r="DP165" s="43" t="str">
        <f t="shared" ref="DP165" si="2441">IF(AJ165="","","|n"&amp;DP$2&amp;"+"&amp;AJ165&amp;DP$1)</f>
        <v/>
      </c>
      <c r="DQ165" s="43" t="str">
        <f t="shared" ref="DQ165" si="2442">IF(AK165="","","|n"&amp;DQ$2&amp;"+"&amp;AK165&amp;DQ$1)</f>
        <v/>
      </c>
      <c r="DR165" s="43" t="str">
        <f t="shared" ref="DR165" si="2443">IF(AL165="","","|n"&amp;DR$2&amp;"+"&amp;AL165&amp;DR$1)</f>
        <v/>
      </c>
      <c r="DS165" s="43" t="str">
        <f t="shared" ref="DS165" si="2444">IF(AM165="","","|n"&amp;DS$2&amp;"+"&amp;AM165&amp;DS$1)</f>
        <v/>
      </c>
      <c r="DT165" s="43" t="str">
        <f t="shared" ref="DT165" si="2445">IF(AN165="","","|n"&amp;DT$2&amp;"+"&amp;AN165&amp;DT$1)</f>
        <v/>
      </c>
      <c r="DU165" s="43" t="str">
        <f t="shared" ref="DU165" si="2446">IF(AO165="","","|n"&amp;DU$2&amp;"+"&amp;AO165&amp;DU$1)</f>
        <v/>
      </c>
      <c r="DV165" s="43" t="str">
        <f t="shared" ref="DV165" si="2447">IF(AP165="","","|n"&amp;DV$2&amp;"+"&amp;AP165&amp;DV$1)</f>
        <v/>
      </c>
      <c r="DW165" s="43" t="str">
        <f t="shared" ref="DW165" si="2448">IF(AQ165="","","|n"&amp;DW$2&amp;"+"&amp;AQ165&amp;DW$1)</f>
        <v/>
      </c>
      <c r="DX165" s="43" t="str">
        <f t="shared" ref="DX165" si="2449">IF(AR165="","","|n"&amp;DX$2&amp;"+"&amp;AR165&amp;DX$1)</f>
        <v/>
      </c>
      <c r="DY165" s="43" t="str">
        <f t="shared" ref="DY165" si="2450">IF(AS165="","","|n"&amp;DY$2&amp;"+"&amp;AS165&amp;DY$1)</f>
        <v/>
      </c>
      <c r="DZ165" s="43" t="str">
        <f t="shared" ref="DZ165" si="2451">IF(AT165="","","|n"&amp;DZ$2&amp;"+"&amp;AT165&amp;DZ$1)</f>
        <v/>
      </c>
      <c r="EA165" s="43" t="str">
        <f t="shared" ref="EA165" si="2452">IF(AU165="","","|n"&amp;EA$2&amp;"+"&amp;AU165&amp;EA$1)</f>
        <v/>
      </c>
      <c r="EB165" s="43" t="str">
        <f t="shared" ref="EB165" si="2453">IF(AV165="","","|n"&amp;EB$2&amp;"+"&amp;AV165&amp;EB$1)</f>
        <v/>
      </c>
      <c r="EC165" s="43" t="str">
        <f t="shared" ref="EC165" si="2454">IF(AW165="","","|n"&amp;EC$2&amp;"+"&amp;AW165&amp;EC$1)</f>
        <v/>
      </c>
      <c r="ED165" s="43" t="str">
        <f t="shared" ref="ED165" si="2455">IF(AX165="","","|n"&amp;ED$2&amp;"+"&amp;AX165&amp;ED$1)</f>
        <v/>
      </c>
      <c r="EE165" s="43" t="str">
        <f t="shared" ref="EE165" si="2456">IF(AY165="","","|n"&amp;EE$2&amp;"+"&amp;AY165&amp;EE$1)</f>
        <v/>
      </c>
      <c r="EF165" s="43" t="str">
        <f t="shared" ref="EF165" si="2457">IF(AZ165="","","|n"&amp;EF$2&amp;"+"&amp;AZ165&amp;EF$1)</f>
        <v/>
      </c>
      <c r="EG165" s="43" t="str">
        <f t="shared" ref="EG165" si="2458">IF(BA165="","","|n"&amp;EG$2&amp;"+"&amp;BA165&amp;EG$1)</f>
        <v/>
      </c>
      <c r="EH165" s="43" t="str">
        <f t="shared" ref="EH165" si="2459">IF(BB165="","","|n"&amp;EH$2&amp;"+"&amp;BB165&amp;EH$1)</f>
        <v/>
      </c>
      <c r="EI165" s="43" t="str">
        <f t="shared" ref="EI165" si="2460">IF(BC165="","","|n"&amp;EI$2&amp;"+"&amp;BC165&amp;EI$1)</f>
        <v/>
      </c>
      <c r="EJ165" s="43" t="str">
        <f t="shared" ref="EJ165" si="2461">IF(BD165="","","|n"&amp;EJ$2&amp;"+"&amp;BD165&amp;EJ$1)</f>
        <v/>
      </c>
      <c r="EK165" s="43" t="str">
        <f t="shared" ref="EK165" si="2462">IF(BE165="","","|n"&amp;EK$2&amp;"+"&amp;BE165&amp;EK$1)</f>
        <v/>
      </c>
      <c r="EL165" s="43" t="str">
        <f t="shared" ref="EL165" si="2463">IF(BF165="","","|n"&amp;EL$2&amp;"+"&amp;BF165&amp;EL$1)</f>
        <v/>
      </c>
      <c r="EM165" s="43" t="str">
        <f t="shared" ref="EM165" si="2464">IF(BG165="","","|n"&amp;EM$2&amp;"+"&amp;BG165&amp;EM$1)</f>
        <v/>
      </c>
      <c r="EN165" s="43" t="str">
        <f t="shared" ref="EN165" si="2465">IF(BH165="","","|n"&amp;EN$2&amp;"+"&amp;BH165&amp;EN$1)</f>
        <v/>
      </c>
      <c r="EO165" s="43" t="str">
        <f t="shared" ref="EO165" si="2466">IF(BI165="","","|n"&amp;EO$2&amp;"+"&amp;BI165&amp;EO$1)</f>
        <v/>
      </c>
      <c r="EP165" s="43" t="str">
        <f t="shared" ref="EP165" si="2467">IF(BJ165="","","|n"&amp;EP$2&amp;"+"&amp;BJ165&amp;EP$1)</f>
        <v/>
      </c>
      <c r="EQ165" s="43" t="str">
        <f t="shared" ref="EQ165" si="2468">IF(BK165="","","|n"&amp;EQ$2&amp;"+"&amp;BK165&amp;EQ$1)</f>
        <v/>
      </c>
      <c r="ER165" s="43" t="str">
        <f t="shared" ref="ER165" si="2469">IF(BL165="","","|n"&amp;ER$2&amp;"+"&amp;BL165&amp;ER$1)</f>
        <v/>
      </c>
      <c r="ES165" s="43" t="str">
        <f t="shared" ref="ES165" si="2470">IF(BM165="","","|n"&amp;ES$2&amp;"+"&amp;BM165&amp;ES$1)</f>
        <v/>
      </c>
      <c r="ET165" s="43" t="str">
        <f t="shared" ref="ET165" si="2471">IF(BN165="","","|n"&amp;ET$2&amp;"+"&amp;BN165&amp;ET$1)</f>
        <v/>
      </c>
      <c r="EU165" s="43" t="str">
        <f t="shared" ref="EU165" si="2472">IF(BO165="","","|n"&amp;EU$2&amp;"+"&amp;BO165&amp;EU$1)</f>
        <v/>
      </c>
      <c r="EV165" s="43" t="str">
        <f t="shared" ref="EV165" si="2473">IF(BP165="","","|n"&amp;EV$2&amp;"+"&amp;BP165&amp;EV$1)</f>
        <v/>
      </c>
      <c r="EW165" s="43" t="str">
        <f t="shared" ref="EW165" si="2474">IF(BQ165="","","|n"&amp;EW$2&amp;"+"&amp;BQ165&amp;EW$1)</f>
        <v/>
      </c>
      <c r="EX165" s="43" t="str">
        <f t="shared" ref="EX165" si="2475">IF(BR165="","","|n"&amp;EX$2&amp;"+"&amp;BR165&amp;EX$1)</f>
        <v/>
      </c>
      <c r="EY165" s="43" t="str">
        <f t="shared" ref="EY165" si="2476">IF(BS165="","","|n"&amp;EY$2&amp;"+"&amp;BS165&amp;EY$1)</f>
        <v/>
      </c>
      <c r="EZ165" s="43" t="str">
        <f t="shared" ref="EZ165" si="2477">IF(BT165="","","|n"&amp;EZ$2&amp;"+"&amp;BT165&amp;EZ$1)</f>
        <v/>
      </c>
      <c r="FA165" s="43" t="str">
        <f t="shared" ref="FA165" si="2478">IF(BU165="","","|n"&amp;FA$2&amp;"+"&amp;BU165&amp;FA$1)</f>
        <v/>
      </c>
      <c r="FB165" s="43" t="str">
        <f t="shared" ref="FB165" si="2479">IF(BV165="","","|n"&amp;FB$2&amp;"+"&amp;BV165&amp;FB$1)</f>
        <v/>
      </c>
      <c r="FC165" s="43" t="str">
        <f t="shared" ref="FC165" si="2480">IF(BW165="","","|n"&amp;FC$2&amp;"+"&amp;BW165&amp;FC$1)</f>
        <v/>
      </c>
      <c r="FD165" s="43" t="str">
        <f t="shared" ref="FD165" si="2481">IF(BX165="","","|n"&amp;FD$2&amp;"+"&amp;BX165&amp;FD$1)</f>
        <v/>
      </c>
      <c r="FE165" s="43" t="str">
        <f t="shared" ref="FE165" si="2482">IF(BY165="","","|n"&amp;FE$2&amp;"+"&amp;BY165&amp;FE$1)</f>
        <v/>
      </c>
      <c r="FF165" s="43" t="str">
        <f t="shared" ref="FF165" si="2483">IF(BZ165="","","|n"&amp;FF$2&amp;"+"&amp;BZ165&amp;FF$1)</f>
        <v/>
      </c>
      <c r="FG165" s="43" t="str">
        <f t="shared" ref="FG165" si="2484">IF(CA165="","","|n"&amp;FG$2&amp;"+"&amp;CA165&amp;FG$1)</f>
        <v/>
      </c>
      <c r="FH165" s="43" t="str">
        <f t="shared" ref="FH165" si="2485">IF(CB165="","","|n"&amp;FH$2&amp;"+"&amp;CB165&amp;FH$1)</f>
        <v/>
      </c>
      <c r="FI165" s="43" t="str">
        <f t="shared" ref="FI165" si="2486">IF(CC165="","","|n"&amp;FI$2&amp;"+"&amp;CC165&amp;FI$1)</f>
        <v/>
      </c>
      <c r="FJ165" s="43" t="str">
        <f t="shared" ref="FJ165" si="2487">IF(CD165="","","|n"&amp;FJ$2&amp;"+"&amp;CD165&amp;FJ$1)</f>
        <v/>
      </c>
      <c r="FK165" s="43" t="str">
        <f t="shared" ref="FK165" si="2488">IF(CE165="","","|n"&amp;FK$2&amp;"+"&amp;CE165&amp;FK$1)</f>
        <v/>
      </c>
      <c r="FL165" s="43" t="str">
        <f t="shared" ref="FL165" si="2489">IF(CF165="","","|n"&amp;FL$2&amp;"+"&amp;CF165&amp;FL$1)</f>
        <v/>
      </c>
      <c r="FM165" s="43" t="str">
        <f t="shared" ref="FM165" si="2490">IF(CG165="","","|n"&amp;FM$2&amp;"+"&amp;CG165&amp;FM$1)</f>
        <v/>
      </c>
      <c r="FN165" s="43" t="str">
        <f t="shared" ref="FN165" si="2491">IF(CH165="","","|n"&amp;FN$2&amp;"+"&amp;CH165&amp;FN$1)</f>
        <v/>
      </c>
      <c r="FO165" s="43" t="str">
        <f t="shared" ref="FO165" si="2492">IF(CI165="","","|n"&amp;FO$2&amp;"+"&amp;CI165&amp;FO$1)</f>
        <v/>
      </c>
      <c r="FP165" s="43" t="str">
        <f t="shared" ref="FP165" si="2493">IF(CJ165="","","|n"&amp;FP$2&amp;"+"&amp;CJ165&amp;FP$1)</f>
        <v/>
      </c>
      <c r="FQ165" s="43" t="str">
        <f t="shared" ref="FQ165" si="2494">IF(CK165="","","|n"&amp;FQ$2&amp;"+"&amp;CK165&amp;FQ$1)</f>
        <v/>
      </c>
      <c r="FR165" s="43" t="str">
        <f t="shared" ref="FR165" si="2495">IF(CL165="","","|n"&amp;FR$2&amp;"+"&amp;CL165&amp;FR$1)</f>
        <v/>
      </c>
      <c r="FS165" s="43" t="str">
        <f t="shared" ref="FS165" si="2496">IF(CM165="","","|n"&amp;FS$2&amp;"+"&amp;CM165&amp;FS$1)</f>
        <v/>
      </c>
    </row>
    <row r="166" spans="1:175" ht="16.5">
      <c r="A166" s="4"/>
      <c r="B166" s="4" t="s">
        <v>497</v>
      </c>
      <c r="C166" s="83" t="s">
        <v>498</v>
      </c>
      <c r="T166" s="36" t="s">
        <v>499</v>
      </c>
      <c r="U166" s="55" t="str">
        <f t="shared" ref="U166" si="2497">"ReplaceableTextures\\CommandButtons\\BTN"&amp;B166&amp;".blp"</f>
        <v>ReplaceableTextures\\CommandButtons\\BTNIN19.blp</v>
      </c>
      <c r="CN166" s="12" t="str">
        <f t="shared" si="2059"/>
        <v>InitUnitState('IN19',,,,,,,,,,)</v>
      </c>
      <c r="CO166" s="12" t="str">
        <f t="shared" si="2060"/>
        <v>InitUnitNormal('IN19',,,,,,,,,,)</v>
      </c>
      <c r="CP166" s="12" t="str">
        <f t="shared" si="2061"/>
        <v>InitUnitMagic('IN19',,,,,,,,,,)</v>
      </c>
      <c r="CQ166" s="12" t="str">
        <f t="shared" si="2062"/>
        <v>InitUnitAdd('IN19',,,,,,,,,,)</v>
      </c>
      <c r="CR166" s="12" t="str">
        <f t="shared" si="2280"/>
        <v>InitEquipData('IN19',,"",,,,,'','','','','','',"ReplaceableTextures\\CommandButtons\\BTNIT13.blp")</v>
      </c>
      <c r="CU166" s="67" t="str">
        <f t="shared" ref="CU166" si="2498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499">T166</f>
        <v>使用后获得|Cffffc926随机类型技能附魔卡|r</v>
      </c>
      <c r="CW166" s="6"/>
      <c r="CX166" s="6"/>
      <c r="CY166" s="6"/>
      <c r="CZ166" s="6"/>
      <c r="DA166" s="6"/>
      <c r="DB166" s="43" t="str">
        <f t="shared" ref="DB166" si="2500">IF(V166="","","|n"&amp;DB$2&amp;"+"&amp;V166&amp;DB$1)</f>
        <v/>
      </c>
      <c r="DC166" s="43" t="str">
        <f t="shared" ref="DC166" si="2501">IF(W166="","","|n"&amp;DC$2&amp;"+"&amp;W166&amp;DC$1)</f>
        <v/>
      </c>
      <c r="DD166" s="43" t="str">
        <f t="shared" ref="DD166" si="2502">IF(X166="","","|n"&amp;DD$2&amp;"+"&amp;X166&amp;DD$1)</f>
        <v/>
      </c>
      <c r="DE166" s="43" t="str">
        <f t="shared" ref="DE166" si="2503">IF(Y166="","","|n"&amp;DE$2&amp;"+"&amp;Y166&amp;DE$1)</f>
        <v/>
      </c>
      <c r="DF166" s="43" t="str">
        <f t="shared" ref="DF166" si="2504">IF(Z166="","","|n"&amp;DF$2&amp;"+"&amp;Z166&amp;DF$1)</f>
        <v/>
      </c>
      <c r="DG166" s="43" t="str">
        <f t="shared" ref="DG166" si="2505">IF(AA166="","","|n"&amp;DG$2&amp;"+"&amp;AA166&amp;DG$1)</f>
        <v/>
      </c>
      <c r="DH166" s="43" t="str">
        <f t="shared" ref="DH166" si="2506">IF(AB166="","","|n"&amp;DH$2&amp;"+"&amp;AB166&amp;DH$1)</f>
        <v/>
      </c>
      <c r="DI166" s="43" t="str">
        <f t="shared" ref="DI166" si="2507">IF(AC166="","","|n"&amp;DI$2&amp;"+"&amp;AC166&amp;DI$1)</f>
        <v/>
      </c>
      <c r="DJ166" s="43" t="str">
        <f t="shared" ref="DJ166" si="2508">IF(AD166="","","|n"&amp;DJ$2&amp;"+"&amp;AD166&amp;DJ$1)</f>
        <v/>
      </c>
      <c r="DK166" s="43" t="str">
        <f t="shared" ref="DK166" si="2509">IF(AE166="","","|n"&amp;DK$2&amp;"+"&amp;AE166&amp;DK$1)</f>
        <v/>
      </c>
      <c r="DL166" s="43" t="str">
        <f t="shared" ref="DL166" si="2510">IF(AF166="","","|n"&amp;DL$2&amp;"+"&amp;AF166&amp;DL$1)</f>
        <v/>
      </c>
      <c r="DM166" s="43" t="str">
        <f t="shared" ref="DM166" si="2511">IF(AG166="","","|n"&amp;DM$2&amp;"+"&amp;AG166&amp;DM$1)</f>
        <v/>
      </c>
      <c r="DN166" s="43" t="str">
        <f t="shared" ref="DN166" si="2512">IF(AH166="","","|n"&amp;DN$2&amp;"+"&amp;AH166&amp;DN$1)</f>
        <v/>
      </c>
      <c r="DO166" s="43" t="str">
        <f t="shared" ref="DO166" si="2513">IF(AI166="","","|n"&amp;DO$2&amp;"+"&amp;AI166&amp;DO$1)</f>
        <v/>
      </c>
      <c r="DP166" s="43" t="str">
        <f t="shared" ref="DP166" si="2514">IF(AJ166="","","|n"&amp;DP$2&amp;"+"&amp;AJ166&amp;DP$1)</f>
        <v/>
      </c>
      <c r="DQ166" s="43" t="str">
        <f t="shared" ref="DQ166" si="2515">IF(AK166="","","|n"&amp;DQ$2&amp;"+"&amp;AK166&amp;DQ$1)</f>
        <v/>
      </c>
      <c r="DR166" s="43" t="str">
        <f t="shared" ref="DR166" si="2516">IF(AL166="","","|n"&amp;DR$2&amp;"+"&amp;AL166&amp;DR$1)</f>
        <v/>
      </c>
      <c r="DS166" s="43" t="str">
        <f t="shared" ref="DS166" si="2517">IF(AM166="","","|n"&amp;DS$2&amp;"+"&amp;AM166&amp;DS$1)</f>
        <v/>
      </c>
      <c r="DT166" s="43" t="str">
        <f t="shared" ref="DT166" si="2518">IF(AN166="","","|n"&amp;DT$2&amp;"+"&amp;AN166&amp;DT$1)</f>
        <v/>
      </c>
      <c r="DU166" s="43" t="str">
        <f t="shared" ref="DU166" si="2519">IF(AO166="","","|n"&amp;DU$2&amp;"+"&amp;AO166&amp;DU$1)</f>
        <v/>
      </c>
      <c r="DV166" s="43" t="str">
        <f t="shared" ref="DV166" si="2520">IF(AP166="","","|n"&amp;DV$2&amp;"+"&amp;AP166&amp;DV$1)</f>
        <v/>
      </c>
      <c r="DW166" s="43" t="str">
        <f t="shared" ref="DW166" si="2521">IF(AQ166="","","|n"&amp;DW$2&amp;"+"&amp;AQ166&amp;DW$1)</f>
        <v/>
      </c>
      <c r="DX166" s="43" t="str">
        <f t="shared" ref="DX166" si="2522">IF(AR166="","","|n"&amp;DX$2&amp;"+"&amp;AR166&amp;DX$1)</f>
        <v/>
      </c>
      <c r="DY166" s="43" t="str">
        <f t="shared" ref="DY166" si="2523">IF(AS166="","","|n"&amp;DY$2&amp;"+"&amp;AS166&amp;DY$1)</f>
        <v/>
      </c>
      <c r="DZ166" s="43" t="str">
        <f t="shared" ref="DZ166" si="2524">IF(AT166="","","|n"&amp;DZ$2&amp;"+"&amp;AT166&amp;DZ$1)</f>
        <v/>
      </c>
      <c r="EA166" s="43" t="str">
        <f t="shared" ref="EA166" si="2525">IF(AU166="","","|n"&amp;EA$2&amp;"+"&amp;AU166&amp;EA$1)</f>
        <v/>
      </c>
      <c r="EB166" s="43" t="str">
        <f t="shared" ref="EB166" si="2526">IF(AV166="","","|n"&amp;EB$2&amp;"+"&amp;AV166&amp;EB$1)</f>
        <v/>
      </c>
      <c r="EC166" s="43" t="str">
        <f t="shared" ref="EC166" si="2527">IF(AW166="","","|n"&amp;EC$2&amp;"+"&amp;AW166&amp;EC$1)</f>
        <v/>
      </c>
      <c r="ED166" s="43" t="str">
        <f t="shared" ref="ED166" si="2528">IF(AX166="","","|n"&amp;ED$2&amp;"+"&amp;AX166&amp;ED$1)</f>
        <v/>
      </c>
      <c r="EE166" s="43" t="str">
        <f t="shared" ref="EE166" si="2529">IF(AY166="","","|n"&amp;EE$2&amp;"+"&amp;AY166&amp;EE$1)</f>
        <v/>
      </c>
      <c r="EF166" s="43" t="str">
        <f t="shared" ref="EF166" si="2530">IF(AZ166="","","|n"&amp;EF$2&amp;"+"&amp;AZ166&amp;EF$1)</f>
        <v/>
      </c>
      <c r="EG166" s="43" t="str">
        <f t="shared" ref="EG166" si="2531">IF(BA166="","","|n"&amp;EG$2&amp;"+"&amp;BA166&amp;EG$1)</f>
        <v/>
      </c>
      <c r="EH166" s="43" t="str">
        <f t="shared" ref="EH166" si="2532">IF(BB166="","","|n"&amp;EH$2&amp;"+"&amp;BB166&amp;EH$1)</f>
        <v/>
      </c>
      <c r="EI166" s="43" t="str">
        <f t="shared" ref="EI166" si="2533">IF(BC166="","","|n"&amp;EI$2&amp;"+"&amp;BC166&amp;EI$1)</f>
        <v/>
      </c>
      <c r="EJ166" s="43" t="str">
        <f t="shared" ref="EJ166" si="2534">IF(BD166="","","|n"&amp;EJ$2&amp;"+"&amp;BD166&amp;EJ$1)</f>
        <v/>
      </c>
      <c r="EK166" s="43" t="str">
        <f t="shared" ref="EK166" si="2535">IF(BE166="","","|n"&amp;EK$2&amp;"+"&amp;BE166&amp;EK$1)</f>
        <v/>
      </c>
      <c r="EL166" s="43" t="str">
        <f t="shared" ref="EL166" si="2536">IF(BF166="","","|n"&amp;EL$2&amp;"+"&amp;BF166&amp;EL$1)</f>
        <v/>
      </c>
      <c r="EM166" s="43" t="str">
        <f t="shared" ref="EM166" si="2537">IF(BG166="","","|n"&amp;EM$2&amp;"+"&amp;BG166&amp;EM$1)</f>
        <v/>
      </c>
      <c r="EN166" s="43" t="str">
        <f t="shared" ref="EN166" si="2538">IF(BH166="","","|n"&amp;EN$2&amp;"+"&amp;BH166&amp;EN$1)</f>
        <v/>
      </c>
      <c r="EO166" s="43" t="str">
        <f t="shared" ref="EO166" si="2539">IF(BI166="","","|n"&amp;EO$2&amp;"+"&amp;BI166&amp;EO$1)</f>
        <v/>
      </c>
      <c r="EP166" s="43" t="str">
        <f t="shared" ref="EP166" si="2540">IF(BJ166="","","|n"&amp;EP$2&amp;"+"&amp;BJ166&amp;EP$1)</f>
        <v/>
      </c>
      <c r="EQ166" s="43" t="str">
        <f t="shared" ref="EQ166" si="2541">IF(BK166="","","|n"&amp;EQ$2&amp;"+"&amp;BK166&amp;EQ$1)</f>
        <v/>
      </c>
      <c r="ER166" s="43" t="str">
        <f t="shared" ref="ER166" si="2542">IF(BL166="","","|n"&amp;ER$2&amp;"+"&amp;BL166&amp;ER$1)</f>
        <v/>
      </c>
      <c r="ES166" s="43" t="str">
        <f t="shared" ref="ES166" si="2543">IF(BM166="","","|n"&amp;ES$2&amp;"+"&amp;BM166&amp;ES$1)</f>
        <v/>
      </c>
      <c r="ET166" s="43" t="str">
        <f t="shared" ref="ET166" si="2544">IF(BN166="","","|n"&amp;ET$2&amp;"+"&amp;BN166&amp;ET$1)</f>
        <v/>
      </c>
      <c r="EU166" s="43" t="str">
        <f t="shared" ref="EU166" si="2545">IF(BO166="","","|n"&amp;EU$2&amp;"+"&amp;BO166&amp;EU$1)</f>
        <v/>
      </c>
      <c r="EV166" s="43" t="str">
        <f t="shared" ref="EV166" si="2546">IF(BP166="","","|n"&amp;EV$2&amp;"+"&amp;BP166&amp;EV$1)</f>
        <v/>
      </c>
      <c r="EW166" s="43" t="str">
        <f t="shared" ref="EW166" si="2547">IF(BQ166="","","|n"&amp;EW$2&amp;"+"&amp;BQ166&amp;EW$1)</f>
        <v/>
      </c>
      <c r="EX166" s="43" t="str">
        <f t="shared" ref="EX166" si="2548">IF(BR166="","","|n"&amp;EX$2&amp;"+"&amp;BR166&amp;EX$1)</f>
        <v/>
      </c>
      <c r="EY166" s="43" t="str">
        <f t="shared" ref="EY166" si="2549">IF(BS166="","","|n"&amp;EY$2&amp;"+"&amp;BS166&amp;EY$1)</f>
        <v/>
      </c>
      <c r="EZ166" s="43" t="str">
        <f t="shared" ref="EZ166" si="2550">IF(BT166="","","|n"&amp;EZ$2&amp;"+"&amp;BT166&amp;EZ$1)</f>
        <v/>
      </c>
      <c r="FA166" s="43" t="str">
        <f t="shared" ref="FA166" si="2551">IF(BU166="","","|n"&amp;FA$2&amp;"+"&amp;BU166&amp;FA$1)</f>
        <v/>
      </c>
      <c r="FB166" s="43" t="str">
        <f t="shared" ref="FB166" si="2552">IF(BV166="","","|n"&amp;FB$2&amp;"+"&amp;BV166&amp;FB$1)</f>
        <v/>
      </c>
      <c r="FC166" s="43" t="str">
        <f t="shared" ref="FC166" si="2553">IF(BW166="","","|n"&amp;FC$2&amp;"+"&amp;BW166&amp;FC$1)</f>
        <v/>
      </c>
      <c r="FD166" s="43" t="str">
        <f t="shared" ref="FD166" si="2554">IF(BX166="","","|n"&amp;FD$2&amp;"+"&amp;BX166&amp;FD$1)</f>
        <v/>
      </c>
      <c r="FE166" s="43" t="str">
        <f t="shared" ref="FE166" si="2555">IF(BY166="","","|n"&amp;FE$2&amp;"+"&amp;BY166&amp;FE$1)</f>
        <v/>
      </c>
      <c r="FF166" s="43" t="str">
        <f t="shared" ref="FF166" si="2556">IF(BZ166="","","|n"&amp;FF$2&amp;"+"&amp;BZ166&amp;FF$1)</f>
        <v/>
      </c>
      <c r="FG166" s="43" t="str">
        <f t="shared" ref="FG166" si="2557">IF(CA166="","","|n"&amp;FG$2&amp;"+"&amp;CA166&amp;FG$1)</f>
        <v/>
      </c>
      <c r="FH166" s="43" t="str">
        <f t="shared" ref="FH166" si="2558">IF(CB166="","","|n"&amp;FH$2&amp;"+"&amp;CB166&amp;FH$1)</f>
        <v/>
      </c>
      <c r="FI166" s="43" t="str">
        <f t="shared" ref="FI166" si="2559">IF(CC166="","","|n"&amp;FI$2&amp;"+"&amp;CC166&amp;FI$1)</f>
        <v/>
      </c>
      <c r="FJ166" s="43" t="str">
        <f t="shared" ref="FJ166" si="2560">IF(CD166="","","|n"&amp;FJ$2&amp;"+"&amp;CD166&amp;FJ$1)</f>
        <v/>
      </c>
      <c r="FK166" s="43" t="str">
        <f t="shared" ref="FK166" si="2561">IF(CE166="","","|n"&amp;FK$2&amp;"+"&amp;CE166&amp;FK$1)</f>
        <v/>
      </c>
      <c r="FL166" s="43" t="str">
        <f t="shared" ref="FL166" si="2562">IF(CF166="","","|n"&amp;FL$2&amp;"+"&amp;CF166&amp;FL$1)</f>
        <v/>
      </c>
      <c r="FM166" s="43" t="str">
        <f t="shared" ref="FM166" si="2563">IF(CG166="","","|n"&amp;FM$2&amp;"+"&amp;CG166&amp;FM$1)</f>
        <v/>
      </c>
      <c r="FN166" s="43" t="str">
        <f t="shared" ref="FN166" si="2564">IF(CH166="","","|n"&amp;FN$2&amp;"+"&amp;CH166&amp;FN$1)</f>
        <v/>
      </c>
      <c r="FO166" s="43" t="str">
        <f t="shared" ref="FO166" si="2565">IF(CI166="","","|n"&amp;FO$2&amp;"+"&amp;CI166&amp;FO$1)</f>
        <v/>
      </c>
      <c r="FP166" s="43" t="str">
        <f t="shared" ref="FP166" si="2566">IF(CJ166="","","|n"&amp;FP$2&amp;"+"&amp;CJ166&amp;FP$1)</f>
        <v/>
      </c>
      <c r="FQ166" s="43" t="str">
        <f t="shared" ref="FQ166" si="2567">IF(CK166="","","|n"&amp;FQ$2&amp;"+"&amp;CK166&amp;FQ$1)</f>
        <v/>
      </c>
      <c r="FR166" s="43" t="str">
        <f t="shared" ref="FR166" si="2568">IF(CL166="","","|n"&amp;FR$2&amp;"+"&amp;CL166&amp;FR$1)</f>
        <v/>
      </c>
      <c r="FS166" s="43" t="str">
        <f t="shared" ref="FS166" si="2569">IF(CM166="","","|n"&amp;FS$2&amp;"+"&amp;CM166&amp;FS$1)</f>
        <v/>
      </c>
    </row>
    <row r="167" spans="1:175" ht="16.5">
      <c r="A167" s="4"/>
      <c r="B167" s="4" t="s">
        <v>500</v>
      </c>
      <c r="C167" s="4" t="s">
        <v>501</v>
      </c>
      <c r="T167" s="87" t="s">
        <v>502</v>
      </c>
      <c r="U167" s="55" t="str">
        <f t="shared" si="1549"/>
        <v>ReplaceableTextures\\CommandButtons\\BTNIP01.blp</v>
      </c>
      <c r="CN167" s="12" t="str">
        <f t="shared" si="2059"/>
        <v>InitUnitState('IP01',,,,,,,,,,)</v>
      </c>
      <c r="CO167" s="12" t="str">
        <f t="shared" si="2060"/>
        <v>InitUnitNormal('IP01',,,,,,,,,,)</v>
      </c>
      <c r="CP167" s="12" t="str">
        <f t="shared" si="2061"/>
        <v>InitUnitMagic('IP01',,,,,,,,,,)</v>
      </c>
      <c r="CQ167" s="12" t="str">
        <f t="shared" si="2062"/>
        <v>InitUnitAdd('IP01',,,,,,,,,,)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InitEquipData('IP01',,"",,,,,'','','','','','',"ReplaceableTextures\\CommandButtons\\BTNIP02.blp")</v>
      </c>
      <c r="CU167" s="67" t="str">
        <f t="shared" ref="CU167" si="2570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" si="2571">T167</f>
        <v>进入时渊副本消耗时渊碎片</v>
      </c>
      <c r="CW167" s="6"/>
      <c r="CX167" s="6"/>
      <c r="CY167" s="6"/>
      <c r="CZ167" s="6"/>
      <c r="DA167" s="6"/>
      <c r="DB167" s="43" t="str">
        <f t="shared" ref="DB167" si="2572">IF(V167="","","|n"&amp;DB$2&amp;"+"&amp;V167&amp;DB$1)</f>
        <v/>
      </c>
      <c r="DC167" s="43" t="str">
        <f t="shared" ref="DC167" si="2573">IF(W167="","","|n"&amp;DC$2&amp;"+"&amp;W167&amp;DC$1)</f>
        <v/>
      </c>
      <c r="DD167" s="43" t="str">
        <f t="shared" ref="DD167" si="2574">IF(X167="","","|n"&amp;DD$2&amp;"+"&amp;X167&amp;DD$1)</f>
        <v/>
      </c>
      <c r="DE167" s="43" t="str">
        <f t="shared" ref="DE167" si="2575">IF(Y167="","","|n"&amp;DE$2&amp;"+"&amp;Y167&amp;DE$1)</f>
        <v/>
      </c>
      <c r="DF167" s="43" t="str">
        <f t="shared" ref="DF167" si="2576">IF(Z167="","","|n"&amp;DF$2&amp;"+"&amp;Z167&amp;DF$1)</f>
        <v/>
      </c>
      <c r="DG167" s="43" t="str">
        <f t="shared" ref="DG167" si="2577">IF(AA167="","","|n"&amp;DG$2&amp;"+"&amp;AA167&amp;DG$1)</f>
        <v/>
      </c>
      <c r="DH167" s="43" t="str">
        <f t="shared" ref="DH167" si="2578">IF(AB167="","","|n"&amp;DH$2&amp;"+"&amp;AB167&amp;DH$1)</f>
        <v/>
      </c>
      <c r="DI167" s="43" t="str">
        <f t="shared" ref="DI167" si="2579">IF(AC167="","","|n"&amp;DI$2&amp;"+"&amp;AC167&amp;DI$1)</f>
        <v/>
      </c>
      <c r="DJ167" s="43" t="str">
        <f t="shared" ref="DJ167" si="2580">IF(AD167="","","|n"&amp;DJ$2&amp;"+"&amp;AD167&amp;DJ$1)</f>
        <v/>
      </c>
      <c r="DK167" s="43" t="str">
        <f t="shared" ref="DK167" si="2581">IF(AE167="","","|n"&amp;DK$2&amp;"+"&amp;AE167&amp;DK$1)</f>
        <v/>
      </c>
      <c r="DL167" s="43" t="str">
        <f t="shared" ref="DL167" si="2582">IF(AF167="","","|n"&amp;DL$2&amp;"+"&amp;AF167&amp;DL$1)</f>
        <v/>
      </c>
      <c r="DM167" s="43" t="str">
        <f t="shared" ref="DM167" si="2583">IF(AG167="","","|n"&amp;DM$2&amp;"+"&amp;AG167&amp;DM$1)</f>
        <v/>
      </c>
      <c r="DN167" s="43" t="str">
        <f t="shared" ref="DN167" si="2584">IF(AH167="","","|n"&amp;DN$2&amp;"+"&amp;AH167&amp;DN$1)</f>
        <v/>
      </c>
      <c r="DO167" s="43" t="str">
        <f t="shared" ref="DO167" si="2585">IF(AI167="","","|n"&amp;DO$2&amp;"+"&amp;AI167&amp;DO$1)</f>
        <v/>
      </c>
      <c r="DP167" s="43" t="str">
        <f t="shared" ref="DP167" si="2586">IF(AJ167="","","|n"&amp;DP$2&amp;"+"&amp;AJ167&amp;DP$1)</f>
        <v/>
      </c>
      <c r="DQ167" s="43" t="str">
        <f t="shared" ref="DQ167" si="2587">IF(AK167="","","|n"&amp;DQ$2&amp;"+"&amp;AK167&amp;DQ$1)</f>
        <v/>
      </c>
      <c r="DR167" s="43" t="str">
        <f t="shared" ref="DR167" si="2588">IF(AL167="","","|n"&amp;DR$2&amp;"+"&amp;AL167&amp;DR$1)</f>
        <v/>
      </c>
      <c r="DS167" s="43" t="str">
        <f t="shared" ref="DS167" si="2589">IF(AM167="","","|n"&amp;DS$2&amp;"+"&amp;AM167&amp;DS$1)</f>
        <v/>
      </c>
      <c r="DT167" s="43" t="str">
        <f t="shared" ref="DT167" si="2590">IF(AN167="","","|n"&amp;DT$2&amp;"+"&amp;AN167&amp;DT$1)</f>
        <v/>
      </c>
      <c r="DU167" s="43" t="str">
        <f t="shared" ref="DU167" si="2591">IF(AO167="","","|n"&amp;DU$2&amp;"+"&amp;AO167&amp;DU$1)</f>
        <v/>
      </c>
      <c r="DV167" s="43" t="str">
        <f t="shared" ref="DV167" si="2592">IF(AP167="","","|n"&amp;DV$2&amp;"+"&amp;AP167&amp;DV$1)</f>
        <v/>
      </c>
      <c r="DW167" s="43" t="str">
        <f t="shared" ref="DW167" si="2593">IF(AQ167="","","|n"&amp;DW$2&amp;"+"&amp;AQ167&amp;DW$1)</f>
        <v/>
      </c>
      <c r="DX167" s="43" t="str">
        <f t="shared" ref="DX167" si="2594">IF(AR167="","","|n"&amp;DX$2&amp;"+"&amp;AR167&amp;DX$1)</f>
        <v/>
      </c>
      <c r="DY167" s="43" t="str">
        <f t="shared" ref="DY167" si="2595">IF(AS167="","","|n"&amp;DY$2&amp;"+"&amp;AS167&amp;DY$1)</f>
        <v/>
      </c>
      <c r="DZ167" s="43" t="str">
        <f t="shared" ref="DZ167" si="2596">IF(AT167="","","|n"&amp;DZ$2&amp;"+"&amp;AT167&amp;DZ$1)</f>
        <v/>
      </c>
      <c r="EA167" s="43" t="str">
        <f t="shared" ref="EA167" si="2597">IF(AU167="","","|n"&amp;EA$2&amp;"+"&amp;AU167&amp;EA$1)</f>
        <v/>
      </c>
      <c r="EB167" s="43" t="str">
        <f t="shared" ref="EB167" si="2598">IF(AV167="","","|n"&amp;EB$2&amp;"+"&amp;AV167&amp;EB$1)</f>
        <v/>
      </c>
      <c r="EC167" s="43" t="str">
        <f t="shared" ref="EC167" si="2599">IF(AW167="","","|n"&amp;EC$2&amp;"+"&amp;AW167&amp;EC$1)</f>
        <v/>
      </c>
      <c r="ED167" s="43" t="str">
        <f t="shared" ref="ED167" si="2600">IF(AX167="","","|n"&amp;ED$2&amp;"+"&amp;AX167&amp;ED$1)</f>
        <v/>
      </c>
      <c r="EE167" s="43" t="str">
        <f t="shared" ref="EE167" si="2601">IF(AY167="","","|n"&amp;EE$2&amp;"+"&amp;AY167&amp;EE$1)</f>
        <v/>
      </c>
      <c r="EF167" s="43" t="str">
        <f t="shared" ref="EF167" si="2602">IF(AZ167="","","|n"&amp;EF$2&amp;"+"&amp;AZ167&amp;EF$1)</f>
        <v/>
      </c>
      <c r="EG167" s="43" t="str">
        <f t="shared" ref="EG167" si="2603">IF(BA167="","","|n"&amp;EG$2&amp;"+"&amp;BA167&amp;EG$1)</f>
        <v/>
      </c>
      <c r="EH167" s="43" t="str">
        <f t="shared" ref="EH167" si="2604">IF(BB167="","","|n"&amp;EH$2&amp;"+"&amp;BB167&amp;EH$1)</f>
        <v/>
      </c>
      <c r="EI167" s="43" t="str">
        <f t="shared" ref="EI167" si="2605">IF(BC167="","","|n"&amp;EI$2&amp;"+"&amp;BC167&amp;EI$1)</f>
        <v/>
      </c>
      <c r="EJ167" s="43" t="str">
        <f t="shared" ref="EJ167" si="2606">IF(BD167="","","|n"&amp;EJ$2&amp;"+"&amp;BD167&amp;EJ$1)</f>
        <v/>
      </c>
      <c r="EK167" s="43" t="str">
        <f t="shared" ref="EK167" si="2607">IF(BE167="","","|n"&amp;EK$2&amp;"+"&amp;BE167&amp;EK$1)</f>
        <v/>
      </c>
      <c r="EL167" s="43" t="str">
        <f t="shared" ref="EL167" si="2608">IF(BF167="","","|n"&amp;EL$2&amp;"+"&amp;BF167&amp;EL$1)</f>
        <v/>
      </c>
      <c r="EM167" s="43" t="str">
        <f t="shared" ref="EM167" si="2609">IF(BG167="","","|n"&amp;EM$2&amp;"+"&amp;BG167&amp;EM$1)</f>
        <v/>
      </c>
      <c r="EN167" s="43" t="str">
        <f t="shared" ref="EN167" si="2610">IF(BH167="","","|n"&amp;EN$2&amp;"+"&amp;BH167&amp;EN$1)</f>
        <v/>
      </c>
      <c r="EO167" s="43" t="str">
        <f t="shared" ref="EO167" si="2611">IF(BI167="","","|n"&amp;EO$2&amp;"+"&amp;BI167&amp;EO$1)</f>
        <v/>
      </c>
      <c r="EP167" s="43" t="str">
        <f t="shared" ref="EP167" si="2612">IF(BJ167="","","|n"&amp;EP$2&amp;"+"&amp;BJ167&amp;EP$1)</f>
        <v/>
      </c>
      <c r="EQ167" s="43" t="str">
        <f t="shared" ref="EQ167" si="2613">IF(BK167="","","|n"&amp;EQ$2&amp;"+"&amp;BK167&amp;EQ$1)</f>
        <v/>
      </c>
      <c r="ER167" s="43" t="str">
        <f t="shared" ref="ER167" si="2614">IF(BL167="","","|n"&amp;ER$2&amp;"+"&amp;BL167&amp;ER$1)</f>
        <v/>
      </c>
      <c r="ES167" s="43" t="str">
        <f t="shared" ref="ES167" si="2615">IF(BM167="","","|n"&amp;ES$2&amp;"+"&amp;BM167&amp;ES$1)</f>
        <v/>
      </c>
      <c r="ET167" s="43" t="str">
        <f t="shared" ref="ET167" si="2616">IF(BN167="","","|n"&amp;ET$2&amp;"+"&amp;BN167&amp;ET$1)</f>
        <v/>
      </c>
      <c r="EU167" s="43" t="str">
        <f t="shared" ref="EU167" si="2617">IF(BO167="","","|n"&amp;EU$2&amp;"+"&amp;BO167&amp;EU$1)</f>
        <v/>
      </c>
      <c r="EV167" s="43" t="str">
        <f t="shared" ref="EV167" si="2618">IF(BP167="","","|n"&amp;EV$2&amp;"+"&amp;BP167&amp;EV$1)</f>
        <v/>
      </c>
      <c r="EW167" s="43" t="str">
        <f t="shared" ref="EW167" si="2619">IF(BQ167="","","|n"&amp;EW$2&amp;"+"&amp;BQ167&amp;EW$1)</f>
        <v/>
      </c>
      <c r="EX167" s="43" t="str">
        <f t="shared" ref="EX167" si="2620">IF(BR167="","","|n"&amp;EX$2&amp;"+"&amp;BR167&amp;EX$1)</f>
        <v/>
      </c>
      <c r="EY167" s="43" t="str">
        <f t="shared" ref="EY167" si="2621">IF(BS167="","","|n"&amp;EY$2&amp;"+"&amp;BS167&amp;EY$1)</f>
        <v/>
      </c>
      <c r="EZ167" s="43" t="str">
        <f t="shared" ref="EZ167" si="2622">IF(BT167="","","|n"&amp;EZ$2&amp;"+"&amp;BT167&amp;EZ$1)</f>
        <v/>
      </c>
      <c r="FA167" s="43" t="str">
        <f t="shared" ref="FA167" si="2623">IF(BU167="","","|n"&amp;FA$2&amp;"+"&amp;BU167&amp;FA$1)</f>
        <v/>
      </c>
      <c r="FB167" s="43" t="str">
        <f t="shared" ref="FB167" si="2624">IF(BV167="","","|n"&amp;FB$2&amp;"+"&amp;BV167&amp;FB$1)</f>
        <v/>
      </c>
      <c r="FC167" s="43" t="str">
        <f t="shared" ref="FC167" si="2625">IF(BW167="","","|n"&amp;FC$2&amp;"+"&amp;BW167&amp;FC$1)</f>
        <v/>
      </c>
      <c r="FD167" s="43" t="str">
        <f t="shared" ref="FD167" si="2626">IF(BX167="","","|n"&amp;FD$2&amp;"+"&amp;BX167&amp;FD$1)</f>
        <v/>
      </c>
      <c r="FE167" s="43" t="str">
        <f t="shared" ref="FE167" si="2627">IF(BY167="","","|n"&amp;FE$2&amp;"+"&amp;BY167&amp;FE$1)</f>
        <v/>
      </c>
      <c r="FF167" s="43" t="str">
        <f t="shared" ref="FF167" si="2628">IF(BZ167="","","|n"&amp;FF$2&amp;"+"&amp;BZ167&amp;FF$1)</f>
        <v/>
      </c>
      <c r="FG167" s="43" t="str">
        <f t="shared" ref="FG167" si="2629">IF(CA167="","","|n"&amp;FG$2&amp;"+"&amp;CA167&amp;FG$1)</f>
        <v/>
      </c>
      <c r="FH167" s="43" t="str">
        <f t="shared" ref="FH167" si="2630">IF(CB167="","","|n"&amp;FH$2&amp;"+"&amp;CB167&amp;FH$1)</f>
        <v/>
      </c>
      <c r="FI167" s="43" t="str">
        <f t="shared" ref="FI167" si="2631">IF(CC167="","","|n"&amp;FI$2&amp;"+"&amp;CC167&amp;FI$1)</f>
        <v/>
      </c>
      <c r="FJ167" s="43" t="str">
        <f t="shared" ref="FJ167" si="2632">IF(CD167="","","|n"&amp;FJ$2&amp;"+"&amp;CD167&amp;FJ$1)</f>
        <v/>
      </c>
      <c r="FK167" s="43" t="str">
        <f t="shared" ref="FK167" si="2633">IF(CE167="","","|n"&amp;FK$2&amp;"+"&amp;CE167&amp;FK$1)</f>
        <v/>
      </c>
      <c r="FL167" s="43" t="str">
        <f t="shared" ref="FL167" si="2634">IF(CF167="","","|n"&amp;FL$2&amp;"+"&amp;CF167&amp;FL$1)</f>
        <v/>
      </c>
      <c r="FM167" s="43" t="str">
        <f t="shared" ref="FM167" si="2635">IF(CG167="","","|n"&amp;FM$2&amp;"+"&amp;CG167&amp;FM$1)</f>
        <v/>
      </c>
      <c r="FN167" s="43" t="str">
        <f t="shared" ref="FN167" si="2636">IF(CH167="","","|n"&amp;FN$2&amp;"+"&amp;CH167&amp;FN$1)</f>
        <v/>
      </c>
      <c r="FO167" s="43" t="str">
        <f t="shared" ref="FO167" si="2637">IF(CI167="","","|n"&amp;FO$2&amp;"+"&amp;CI167&amp;FO$1)</f>
        <v/>
      </c>
      <c r="FP167" s="43" t="str">
        <f t="shared" ref="FP167" si="2638">IF(CJ167="","","|n"&amp;FP$2&amp;"+"&amp;CJ167&amp;FP$1)</f>
        <v/>
      </c>
      <c r="FQ167" s="43" t="str">
        <f t="shared" ref="FQ167" si="2639">IF(CK167="","","|n"&amp;FQ$2&amp;"+"&amp;CK167&amp;FQ$1)</f>
        <v/>
      </c>
      <c r="FR167" s="43" t="str">
        <f t="shared" ref="FR167" si="2640">IF(CL167="","","|n"&amp;FR$2&amp;"+"&amp;CL167&amp;FR$1)</f>
        <v/>
      </c>
      <c r="FS167" s="43" t="str">
        <f t="shared" ref="FS167" si="2641">IF(CM167="","","|n"&amp;FS$2&amp;"+"&amp;CM167&amp;FS$1)</f>
        <v/>
      </c>
    </row>
    <row r="168" spans="1:175" ht="16.5">
      <c r="A168" s="84"/>
      <c r="B168" s="4" t="s">
        <v>503</v>
      </c>
      <c r="C168" s="84" t="s">
        <v>504</v>
      </c>
      <c r="T168" s="88" t="s">
        <v>505</v>
      </c>
      <c r="U168" s="55" t="str">
        <f t="shared" si="1549"/>
        <v>ReplaceableTextures\\CommandButtons\\BTNIP02.blp</v>
      </c>
      <c r="CN168" s="12" t="str">
        <f t="shared" si="2059"/>
        <v>InitUnitState('IP02',,,,,,,,,,)</v>
      </c>
      <c r="CO168" s="12" t="str">
        <f t="shared" si="2060"/>
        <v>InitUnitNormal('IP02',,,,,,,,,,)</v>
      </c>
      <c r="CP168" s="12" t="str">
        <f t="shared" si="2061"/>
        <v>InitUnitMagic('IP02',,,,,,,,,,)</v>
      </c>
      <c r="CQ168" s="12" t="str">
        <f t="shared" si="2062"/>
        <v>InitUnitAdd('IP02',,,,,,,,,,)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InitEquipData('IP02',,"",,,,,'','','','','','',"ReplaceableTextures\\CommandButtons\\BTNIP03.blp")</v>
      </c>
      <c r="CU168" s="67" t="str">
        <f t="shared" ref="CU168:CU169" si="2642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5" t="str">
        <f t="shared" ref="CV168:CV169" si="2643">T168</f>
        <v>点击|Cffffc926选中指定法宝|r后，再点击|Cffffc926重铸|r，可|Cffffc926重置|r指定法宝，|Cffffc926品质不变|r。|n|n|Cff00ff7f每次重铸消耗1个补天石|r</v>
      </c>
      <c r="CW168" s="6"/>
      <c r="CX168" s="6"/>
      <c r="CY168" s="6"/>
      <c r="CZ168" s="6"/>
      <c r="DA168" s="6"/>
      <c r="DB168" s="43" t="str">
        <f t="shared" ref="DB168:DB169" si="2644">IF(V168="","","|n"&amp;DB$2&amp;"+"&amp;V168&amp;DB$1)</f>
        <v/>
      </c>
      <c r="DC168" s="43" t="str">
        <f t="shared" ref="DC168:DC169" si="2645">IF(W168="","","|n"&amp;DC$2&amp;"+"&amp;W168&amp;DC$1)</f>
        <v/>
      </c>
      <c r="DD168" s="43" t="str">
        <f t="shared" ref="DD168:DD169" si="2646">IF(X168="","","|n"&amp;DD$2&amp;"+"&amp;X168&amp;DD$1)</f>
        <v/>
      </c>
      <c r="DE168" s="43" t="str">
        <f t="shared" ref="DE168:DE169" si="2647">IF(Y168="","","|n"&amp;DE$2&amp;"+"&amp;Y168&amp;DE$1)</f>
        <v/>
      </c>
      <c r="DF168" s="43" t="str">
        <f t="shared" ref="DF168:DF169" si="2648">IF(Z168="","","|n"&amp;DF$2&amp;"+"&amp;Z168&amp;DF$1)</f>
        <v/>
      </c>
      <c r="DG168" s="43" t="str">
        <f t="shared" ref="DG168:DG169" si="2649">IF(AA168="","","|n"&amp;DG$2&amp;"+"&amp;AA168&amp;DG$1)</f>
        <v/>
      </c>
      <c r="DH168" s="43" t="str">
        <f t="shared" ref="DH168:DH169" si="2650">IF(AB168="","","|n"&amp;DH$2&amp;"+"&amp;AB168&amp;DH$1)</f>
        <v/>
      </c>
      <c r="DI168" s="43" t="str">
        <f t="shared" ref="DI168:DI169" si="2651">IF(AC168="","","|n"&amp;DI$2&amp;"+"&amp;AC168&amp;DI$1)</f>
        <v/>
      </c>
      <c r="DJ168" s="43" t="str">
        <f t="shared" ref="DJ168:DJ169" si="2652">IF(AD168="","","|n"&amp;DJ$2&amp;"+"&amp;AD168&amp;DJ$1)</f>
        <v/>
      </c>
      <c r="DK168" s="43" t="str">
        <f t="shared" ref="DK168:DK169" si="2653">IF(AE168="","","|n"&amp;DK$2&amp;"+"&amp;AE168&amp;DK$1)</f>
        <v/>
      </c>
      <c r="DL168" s="43" t="str">
        <f t="shared" ref="DL168:DL169" si="2654">IF(AF168="","","|n"&amp;DL$2&amp;"+"&amp;AF168&amp;DL$1)</f>
        <v/>
      </c>
      <c r="DM168" s="43" t="str">
        <f t="shared" ref="DM168:DM169" si="2655">IF(AG168="","","|n"&amp;DM$2&amp;"+"&amp;AG168&amp;DM$1)</f>
        <v/>
      </c>
      <c r="DN168" s="43" t="str">
        <f t="shared" ref="DN168:DN169" si="2656">IF(AH168="","","|n"&amp;DN$2&amp;"+"&amp;AH168&amp;DN$1)</f>
        <v/>
      </c>
      <c r="DO168" s="43" t="str">
        <f t="shared" ref="DO168:DO169" si="2657">IF(AI168="","","|n"&amp;DO$2&amp;"+"&amp;AI168&amp;DO$1)</f>
        <v/>
      </c>
      <c r="DP168" s="43" t="str">
        <f t="shared" ref="DP168:DP169" si="2658">IF(AJ168="","","|n"&amp;DP$2&amp;"+"&amp;AJ168&amp;DP$1)</f>
        <v/>
      </c>
      <c r="DQ168" s="43" t="str">
        <f t="shared" ref="DQ168:DQ169" si="2659">IF(AK168="","","|n"&amp;DQ$2&amp;"+"&amp;AK168&amp;DQ$1)</f>
        <v/>
      </c>
      <c r="DR168" s="43" t="str">
        <f t="shared" ref="DR168:DR169" si="2660">IF(AL168="","","|n"&amp;DR$2&amp;"+"&amp;AL168&amp;DR$1)</f>
        <v/>
      </c>
      <c r="DS168" s="43" t="str">
        <f t="shared" ref="DS168:DS169" si="2661">IF(AM168="","","|n"&amp;DS$2&amp;"+"&amp;AM168&amp;DS$1)</f>
        <v/>
      </c>
      <c r="DT168" s="43" t="str">
        <f t="shared" ref="DT168:DT169" si="2662">IF(AN168="","","|n"&amp;DT$2&amp;"+"&amp;AN168&amp;DT$1)</f>
        <v/>
      </c>
      <c r="DU168" s="43" t="str">
        <f t="shared" ref="DU168:DU169" si="2663">IF(AO168="","","|n"&amp;DU$2&amp;"+"&amp;AO168&amp;DU$1)</f>
        <v/>
      </c>
      <c r="DV168" s="43" t="str">
        <f t="shared" ref="DV168:DV169" si="2664">IF(AP168="","","|n"&amp;DV$2&amp;"+"&amp;AP168&amp;DV$1)</f>
        <v/>
      </c>
      <c r="DW168" s="43" t="str">
        <f t="shared" ref="DW168:DW169" si="2665">IF(AQ168="","","|n"&amp;DW$2&amp;"+"&amp;AQ168&amp;DW$1)</f>
        <v/>
      </c>
      <c r="DX168" s="43" t="str">
        <f t="shared" ref="DX168:DX169" si="2666">IF(AR168="","","|n"&amp;DX$2&amp;"+"&amp;AR168&amp;DX$1)</f>
        <v/>
      </c>
      <c r="DY168" s="43" t="str">
        <f t="shared" ref="DY168:DY169" si="2667">IF(AS168="","","|n"&amp;DY$2&amp;"+"&amp;AS168&amp;DY$1)</f>
        <v/>
      </c>
      <c r="DZ168" s="43" t="str">
        <f t="shared" ref="DZ168:DZ169" si="2668">IF(AT168="","","|n"&amp;DZ$2&amp;"+"&amp;AT168&amp;DZ$1)</f>
        <v/>
      </c>
      <c r="EA168" s="43" t="str">
        <f t="shared" ref="EA168:EA169" si="2669">IF(AU168="","","|n"&amp;EA$2&amp;"+"&amp;AU168&amp;EA$1)</f>
        <v/>
      </c>
      <c r="EB168" s="43" t="str">
        <f t="shared" ref="EB168:EB169" si="2670">IF(AV168="","","|n"&amp;EB$2&amp;"+"&amp;AV168&amp;EB$1)</f>
        <v/>
      </c>
      <c r="EC168" s="43" t="str">
        <f t="shared" ref="EC168:EC169" si="2671">IF(AW168="","","|n"&amp;EC$2&amp;"+"&amp;AW168&amp;EC$1)</f>
        <v/>
      </c>
      <c r="ED168" s="43" t="str">
        <f t="shared" ref="ED168:ED169" si="2672">IF(AX168="","","|n"&amp;ED$2&amp;"+"&amp;AX168&amp;ED$1)</f>
        <v/>
      </c>
      <c r="EE168" s="43" t="str">
        <f t="shared" ref="EE168:EE169" si="2673">IF(AY168="","","|n"&amp;EE$2&amp;"+"&amp;AY168&amp;EE$1)</f>
        <v/>
      </c>
      <c r="EF168" s="43" t="str">
        <f t="shared" ref="EF168:EF169" si="2674">IF(AZ168="","","|n"&amp;EF$2&amp;"+"&amp;AZ168&amp;EF$1)</f>
        <v/>
      </c>
      <c r="EG168" s="43" t="str">
        <f t="shared" ref="EG168:EG169" si="2675">IF(BA168="","","|n"&amp;EG$2&amp;"+"&amp;BA168&amp;EG$1)</f>
        <v/>
      </c>
      <c r="EH168" s="43" t="str">
        <f t="shared" ref="EH168:EH169" si="2676">IF(BB168="","","|n"&amp;EH$2&amp;"+"&amp;BB168&amp;EH$1)</f>
        <v/>
      </c>
      <c r="EI168" s="43" t="str">
        <f t="shared" ref="EI168:EI169" si="2677">IF(BC168="","","|n"&amp;EI$2&amp;"+"&amp;BC168&amp;EI$1)</f>
        <v/>
      </c>
      <c r="EJ168" s="43" t="str">
        <f t="shared" ref="EJ168:EJ169" si="2678">IF(BD168="","","|n"&amp;EJ$2&amp;"+"&amp;BD168&amp;EJ$1)</f>
        <v/>
      </c>
      <c r="EK168" s="43" t="str">
        <f t="shared" ref="EK168:EK169" si="2679">IF(BE168="","","|n"&amp;EK$2&amp;"+"&amp;BE168&amp;EK$1)</f>
        <v/>
      </c>
      <c r="EL168" s="43" t="str">
        <f t="shared" ref="EL168:EL169" si="2680">IF(BF168="","","|n"&amp;EL$2&amp;"+"&amp;BF168&amp;EL$1)</f>
        <v/>
      </c>
      <c r="EM168" s="43" t="str">
        <f t="shared" ref="EM168:EM169" si="2681">IF(BG168="","","|n"&amp;EM$2&amp;"+"&amp;BG168&amp;EM$1)</f>
        <v/>
      </c>
      <c r="EN168" s="43" t="str">
        <f t="shared" ref="EN168:EN169" si="2682">IF(BH168="","","|n"&amp;EN$2&amp;"+"&amp;BH168&amp;EN$1)</f>
        <v/>
      </c>
      <c r="EO168" s="43" t="str">
        <f t="shared" ref="EO168:EO169" si="2683">IF(BI168="","","|n"&amp;EO$2&amp;"+"&amp;BI168&amp;EO$1)</f>
        <v/>
      </c>
      <c r="EP168" s="43" t="str">
        <f t="shared" ref="EP168:EP169" si="2684">IF(BJ168="","","|n"&amp;EP$2&amp;"+"&amp;BJ168&amp;EP$1)</f>
        <v/>
      </c>
      <c r="EQ168" s="43" t="str">
        <f t="shared" ref="EQ168:EQ169" si="2685">IF(BK168="","","|n"&amp;EQ$2&amp;"+"&amp;BK168&amp;EQ$1)</f>
        <v/>
      </c>
      <c r="ER168" s="43" t="str">
        <f t="shared" ref="ER168:ER169" si="2686">IF(BL168="","","|n"&amp;ER$2&amp;"+"&amp;BL168&amp;ER$1)</f>
        <v/>
      </c>
      <c r="ES168" s="43" t="str">
        <f t="shared" ref="ES168:ES169" si="2687">IF(BM168="","","|n"&amp;ES$2&amp;"+"&amp;BM168&amp;ES$1)</f>
        <v/>
      </c>
      <c r="ET168" s="43" t="str">
        <f t="shared" ref="ET168:ET169" si="2688">IF(BN168="","","|n"&amp;ET$2&amp;"+"&amp;BN168&amp;ET$1)</f>
        <v/>
      </c>
      <c r="EU168" s="43" t="str">
        <f t="shared" ref="EU168:EU169" si="2689">IF(BO168="","","|n"&amp;EU$2&amp;"+"&amp;BO168&amp;EU$1)</f>
        <v/>
      </c>
      <c r="EV168" s="43" t="str">
        <f t="shared" ref="EV168:EV169" si="2690">IF(BP168="","","|n"&amp;EV$2&amp;"+"&amp;BP168&amp;EV$1)</f>
        <v/>
      </c>
      <c r="EW168" s="43" t="str">
        <f t="shared" ref="EW168:EW169" si="2691">IF(BQ168="","","|n"&amp;EW$2&amp;"+"&amp;BQ168&amp;EW$1)</f>
        <v/>
      </c>
      <c r="EX168" s="43" t="str">
        <f t="shared" ref="EX168:EX169" si="2692">IF(BR168="","","|n"&amp;EX$2&amp;"+"&amp;BR168&amp;EX$1)</f>
        <v/>
      </c>
      <c r="EY168" s="43" t="str">
        <f t="shared" ref="EY168:EY169" si="2693">IF(BS168="","","|n"&amp;EY$2&amp;"+"&amp;BS168&amp;EY$1)</f>
        <v/>
      </c>
      <c r="EZ168" s="43" t="str">
        <f t="shared" ref="EZ168:EZ169" si="2694">IF(BT168="","","|n"&amp;EZ$2&amp;"+"&amp;BT168&amp;EZ$1)</f>
        <v/>
      </c>
      <c r="FA168" s="43" t="str">
        <f t="shared" ref="FA168:FA169" si="2695">IF(BU168="","","|n"&amp;FA$2&amp;"+"&amp;BU168&amp;FA$1)</f>
        <v/>
      </c>
      <c r="FB168" s="43" t="str">
        <f t="shared" ref="FB168:FB169" si="2696">IF(BV168="","","|n"&amp;FB$2&amp;"+"&amp;BV168&amp;FB$1)</f>
        <v/>
      </c>
      <c r="FC168" s="43" t="str">
        <f t="shared" ref="FC168:FC169" si="2697">IF(BW168="","","|n"&amp;FC$2&amp;"+"&amp;BW168&amp;FC$1)</f>
        <v/>
      </c>
      <c r="FD168" s="43" t="str">
        <f t="shared" ref="FD168:FD169" si="2698">IF(BX168="","","|n"&amp;FD$2&amp;"+"&amp;BX168&amp;FD$1)</f>
        <v/>
      </c>
      <c r="FE168" s="43" t="str">
        <f t="shared" ref="FE168:FE169" si="2699">IF(BY168="","","|n"&amp;FE$2&amp;"+"&amp;BY168&amp;FE$1)</f>
        <v/>
      </c>
      <c r="FF168" s="43" t="str">
        <f t="shared" ref="FF168:FF169" si="2700">IF(BZ168="","","|n"&amp;FF$2&amp;"+"&amp;BZ168&amp;FF$1)</f>
        <v/>
      </c>
      <c r="FG168" s="43" t="str">
        <f t="shared" ref="FG168:FG169" si="2701">IF(CA168="","","|n"&amp;FG$2&amp;"+"&amp;CA168&amp;FG$1)</f>
        <v/>
      </c>
      <c r="FH168" s="43" t="str">
        <f t="shared" ref="FH168:FH169" si="2702">IF(CB168="","","|n"&amp;FH$2&amp;"+"&amp;CB168&amp;FH$1)</f>
        <v/>
      </c>
      <c r="FI168" s="43" t="str">
        <f t="shared" ref="FI168:FI169" si="2703">IF(CC168="","","|n"&amp;FI$2&amp;"+"&amp;CC168&amp;FI$1)</f>
        <v/>
      </c>
      <c r="FJ168" s="43" t="str">
        <f t="shared" ref="FJ168:FJ169" si="2704">IF(CD168="","","|n"&amp;FJ$2&amp;"+"&amp;CD168&amp;FJ$1)</f>
        <v/>
      </c>
      <c r="FK168" s="43" t="str">
        <f t="shared" ref="FK168:FK169" si="2705">IF(CE168="","","|n"&amp;FK$2&amp;"+"&amp;CE168&amp;FK$1)</f>
        <v/>
      </c>
      <c r="FL168" s="43" t="str">
        <f t="shared" ref="FL168:FL169" si="2706">IF(CF168="","","|n"&amp;FL$2&amp;"+"&amp;CF168&amp;FL$1)</f>
        <v/>
      </c>
      <c r="FM168" s="43" t="str">
        <f t="shared" ref="FM168:FM169" si="2707">IF(CG168="","","|n"&amp;FM$2&amp;"+"&amp;CG168&amp;FM$1)</f>
        <v/>
      </c>
      <c r="FN168" s="43" t="str">
        <f t="shared" ref="FN168:FN169" si="2708">IF(CH168="","","|n"&amp;FN$2&amp;"+"&amp;CH168&amp;FN$1)</f>
        <v/>
      </c>
      <c r="FO168" s="43" t="str">
        <f t="shared" ref="FO168:FO169" si="2709">IF(CI168="","","|n"&amp;FO$2&amp;"+"&amp;CI168&amp;FO$1)</f>
        <v/>
      </c>
      <c r="FP168" s="43" t="str">
        <f t="shared" ref="FP168:FP169" si="2710">IF(CJ168="","","|n"&amp;FP$2&amp;"+"&amp;CJ168&amp;FP$1)</f>
        <v/>
      </c>
      <c r="FQ168" s="43" t="str">
        <f t="shared" ref="FQ168:FQ169" si="2711">IF(CK168="","","|n"&amp;FQ$2&amp;"+"&amp;CK168&amp;FQ$1)</f>
        <v/>
      </c>
      <c r="FR168" s="43" t="str">
        <f t="shared" ref="FR168:FR169" si="2712">IF(CL168="","","|n"&amp;FR$2&amp;"+"&amp;CL168&amp;FR$1)</f>
        <v/>
      </c>
      <c r="FS168" s="43" t="str">
        <f t="shared" ref="FS168:FS169" si="2713">IF(CM168="","","|n"&amp;FS$2&amp;"+"&amp;CM168&amp;FS$1)</f>
        <v/>
      </c>
    </row>
    <row r="169" spans="1:175" ht="16.5">
      <c r="A169" s="84"/>
      <c r="B169" s="4" t="s">
        <v>506</v>
      </c>
      <c r="C169" s="84" t="s">
        <v>507</v>
      </c>
      <c r="T169" s="88" t="s">
        <v>508</v>
      </c>
      <c r="U169" s="55" t="str">
        <f t="shared" si="1549"/>
        <v>ReplaceableTextures\\CommandButtons\\BTNIP03.blp</v>
      </c>
      <c r="CN169" s="12" t="str">
        <f t="shared" si="2059"/>
        <v>InitUnitState('IP03',,,,,,,,,,)</v>
      </c>
      <c r="CO169" s="12" t="str">
        <f t="shared" si="2060"/>
        <v>InitUnitNormal('IP03',,,,,,,,,,)</v>
      </c>
      <c r="CP169" s="12" t="str">
        <f t="shared" si="2061"/>
        <v>InitUnitMagic('IP03',,,,,,,,,,)</v>
      </c>
      <c r="CQ169" s="12" t="str">
        <f t="shared" si="2062"/>
        <v>InitUnitAdd('IP03',,,,,,,,,,)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172&amp;CR$1&amp;")"</f>
        <v>InitEquipData('IP03',,"",,,,,'','','','','','',"ReplaceableTextures\\CommandButtons\\BTNIT01.blp")</v>
      </c>
      <c r="CU169" s="67" t="str">
        <f t="shared" si="2642"/>
        <v>|n</v>
      </c>
      <c r="CV169" s="5" t="str">
        <f t="shared" si="2643"/>
        <v>点击|Cffffc926选中指定法宝|r后，再点击|Cffffc926锻造|r，可|Cffffc926重置|r指定法宝，|Cffffc926品质提升一级|r。|n|n|Cff00ff7f每次重铸消耗1个鸿蒙结晶|r</v>
      </c>
      <c r="CW169" s="6"/>
      <c r="CX169" s="6"/>
      <c r="CY169" s="6"/>
      <c r="CZ169" s="6"/>
      <c r="DA169" s="6"/>
      <c r="DB169" s="43" t="str">
        <f t="shared" si="2644"/>
        <v/>
      </c>
      <c r="DC169" s="43" t="str">
        <f t="shared" si="2645"/>
        <v/>
      </c>
      <c r="DD169" s="43" t="str">
        <f t="shared" si="2646"/>
        <v/>
      </c>
      <c r="DE169" s="43" t="str">
        <f t="shared" si="2647"/>
        <v/>
      </c>
      <c r="DF169" s="43" t="str">
        <f t="shared" si="2648"/>
        <v/>
      </c>
      <c r="DG169" s="43" t="str">
        <f t="shared" si="2649"/>
        <v/>
      </c>
      <c r="DH169" s="43" t="str">
        <f t="shared" si="2650"/>
        <v/>
      </c>
      <c r="DI169" s="43" t="str">
        <f t="shared" si="2651"/>
        <v/>
      </c>
      <c r="DJ169" s="43" t="str">
        <f t="shared" si="2652"/>
        <v/>
      </c>
      <c r="DK169" s="43" t="str">
        <f t="shared" si="2653"/>
        <v/>
      </c>
      <c r="DL169" s="43" t="str">
        <f t="shared" si="2654"/>
        <v/>
      </c>
      <c r="DM169" s="43" t="str">
        <f t="shared" si="2655"/>
        <v/>
      </c>
      <c r="DN169" s="43" t="str">
        <f t="shared" si="2656"/>
        <v/>
      </c>
      <c r="DO169" s="43" t="str">
        <f t="shared" si="2657"/>
        <v/>
      </c>
      <c r="DP169" s="43" t="str">
        <f t="shared" si="2658"/>
        <v/>
      </c>
      <c r="DQ169" s="43" t="str">
        <f t="shared" si="2659"/>
        <v/>
      </c>
      <c r="DR169" s="43" t="str">
        <f t="shared" si="2660"/>
        <v/>
      </c>
      <c r="DS169" s="43" t="str">
        <f t="shared" si="2661"/>
        <v/>
      </c>
      <c r="DT169" s="43" t="str">
        <f t="shared" si="2662"/>
        <v/>
      </c>
      <c r="DU169" s="43" t="str">
        <f t="shared" si="2663"/>
        <v/>
      </c>
      <c r="DV169" s="43" t="str">
        <f t="shared" si="2664"/>
        <v/>
      </c>
      <c r="DW169" s="43" t="str">
        <f t="shared" si="2665"/>
        <v/>
      </c>
      <c r="DX169" s="43" t="str">
        <f t="shared" si="2666"/>
        <v/>
      </c>
      <c r="DY169" s="43" t="str">
        <f t="shared" si="2667"/>
        <v/>
      </c>
      <c r="DZ169" s="43" t="str">
        <f t="shared" si="2668"/>
        <v/>
      </c>
      <c r="EA169" s="43" t="str">
        <f t="shared" si="2669"/>
        <v/>
      </c>
      <c r="EB169" s="43" t="str">
        <f t="shared" si="2670"/>
        <v/>
      </c>
      <c r="EC169" s="43" t="str">
        <f t="shared" si="2671"/>
        <v/>
      </c>
      <c r="ED169" s="43" t="str">
        <f t="shared" si="2672"/>
        <v/>
      </c>
      <c r="EE169" s="43" t="str">
        <f t="shared" si="2673"/>
        <v/>
      </c>
      <c r="EF169" s="43" t="str">
        <f t="shared" si="2674"/>
        <v/>
      </c>
      <c r="EG169" s="43" t="str">
        <f t="shared" si="2675"/>
        <v/>
      </c>
      <c r="EH169" s="43" t="str">
        <f t="shared" si="2676"/>
        <v/>
      </c>
      <c r="EI169" s="43" t="str">
        <f t="shared" si="2677"/>
        <v/>
      </c>
      <c r="EJ169" s="43" t="str">
        <f t="shared" si="2678"/>
        <v/>
      </c>
      <c r="EK169" s="43" t="str">
        <f t="shared" si="2679"/>
        <v/>
      </c>
      <c r="EL169" s="43" t="str">
        <f t="shared" si="2680"/>
        <v/>
      </c>
      <c r="EM169" s="43" t="str">
        <f t="shared" si="2681"/>
        <v/>
      </c>
      <c r="EN169" s="43" t="str">
        <f t="shared" si="2682"/>
        <v/>
      </c>
      <c r="EO169" s="43" t="str">
        <f t="shared" si="2683"/>
        <v/>
      </c>
      <c r="EP169" s="43" t="str">
        <f t="shared" si="2684"/>
        <v/>
      </c>
      <c r="EQ169" s="43" t="str">
        <f t="shared" si="2685"/>
        <v/>
      </c>
      <c r="ER169" s="43" t="str">
        <f t="shared" si="2686"/>
        <v/>
      </c>
      <c r="ES169" s="43" t="str">
        <f t="shared" si="2687"/>
        <v/>
      </c>
      <c r="ET169" s="43" t="str">
        <f t="shared" si="2688"/>
        <v/>
      </c>
      <c r="EU169" s="43" t="str">
        <f t="shared" si="2689"/>
        <v/>
      </c>
      <c r="EV169" s="43" t="str">
        <f t="shared" si="2690"/>
        <v/>
      </c>
      <c r="EW169" s="43" t="str">
        <f t="shared" si="2691"/>
        <v/>
      </c>
      <c r="EX169" s="43" t="str">
        <f t="shared" si="2692"/>
        <v/>
      </c>
      <c r="EY169" s="43" t="str">
        <f t="shared" si="2693"/>
        <v/>
      </c>
      <c r="EZ169" s="43" t="str">
        <f t="shared" si="2694"/>
        <v/>
      </c>
      <c r="FA169" s="43" t="str">
        <f t="shared" si="2695"/>
        <v/>
      </c>
      <c r="FB169" s="43" t="str">
        <f t="shared" si="2696"/>
        <v/>
      </c>
      <c r="FC169" s="43" t="str">
        <f t="shared" si="2697"/>
        <v/>
      </c>
      <c r="FD169" s="43" t="str">
        <f t="shared" si="2698"/>
        <v/>
      </c>
      <c r="FE169" s="43" t="str">
        <f t="shared" si="2699"/>
        <v/>
      </c>
      <c r="FF169" s="43" t="str">
        <f t="shared" si="2700"/>
        <v/>
      </c>
      <c r="FG169" s="43" t="str">
        <f t="shared" si="2701"/>
        <v/>
      </c>
      <c r="FH169" s="43" t="str">
        <f t="shared" si="2702"/>
        <v/>
      </c>
      <c r="FI169" s="43" t="str">
        <f t="shared" si="2703"/>
        <v/>
      </c>
      <c r="FJ169" s="43" t="str">
        <f t="shared" si="2704"/>
        <v/>
      </c>
      <c r="FK169" s="43" t="str">
        <f t="shared" si="2705"/>
        <v/>
      </c>
      <c r="FL169" s="43" t="str">
        <f t="shared" si="2706"/>
        <v/>
      </c>
      <c r="FM169" s="43" t="str">
        <f t="shared" si="2707"/>
        <v/>
      </c>
      <c r="FN169" s="43" t="str">
        <f t="shared" si="2708"/>
        <v/>
      </c>
      <c r="FO169" s="43" t="str">
        <f t="shared" si="2709"/>
        <v/>
      </c>
      <c r="FP169" s="43" t="str">
        <f t="shared" si="2710"/>
        <v/>
      </c>
      <c r="FQ169" s="43" t="str">
        <f t="shared" si="2711"/>
        <v/>
      </c>
      <c r="FR169" s="43" t="str">
        <f t="shared" si="2712"/>
        <v/>
      </c>
      <c r="FS169" s="43" t="str">
        <f t="shared" si="2713"/>
        <v/>
      </c>
    </row>
    <row r="170" spans="1:175" ht="16.5">
      <c r="A170" s="84"/>
      <c r="B170" s="4" t="s">
        <v>509</v>
      </c>
      <c r="C170" s="84" t="s">
        <v>510</v>
      </c>
      <c r="T170" s="88"/>
      <c r="U170" s="55" t="str">
        <f t="shared" ref="U170:U171" si="2714">"ReplaceableTextures\\CommandButtons\\BTN"&amp;B170&amp;".blp"</f>
        <v>ReplaceableTextures\\CommandButtons\\BTNIP04.blp</v>
      </c>
      <c r="CN170" s="12" t="str">
        <f t="shared" si="2059"/>
        <v>InitUnitState('IP04',,,,,,,,,,)</v>
      </c>
      <c r="CO170" s="12" t="str">
        <f t="shared" si="2060"/>
        <v>InitUnitNormal('IP04',,,,,,,,,,)</v>
      </c>
      <c r="CP170" s="12" t="str">
        <f t="shared" si="2061"/>
        <v>InitUnitMagic('IP04',,,,,,,,,,)</v>
      </c>
      <c r="CQ170" s="12" t="str">
        <f t="shared" si="2062"/>
        <v>InitUnitAdd('IP04',,,,,,,,,,)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InitEquipData('IP04',,"",,,,,'','','','','','',"ReplaceableTextures\\CommandButtons\\BTNIP05.blp")</v>
      </c>
      <c r="CU170" s="67" t="str">
        <f t="shared" ref="CU170:CU171" si="271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5">
        <f t="shared" ref="CV170:CV171" si="2716">T170</f>
        <v>0</v>
      </c>
      <c r="CW170" s="6"/>
      <c r="CX170" s="6"/>
      <c r="CY170" s="6"/>
      <c r="CZ170" s="6"/>
      <c r="DA170" s="6"/>
      <c r="DB170" s="43" t="str">
        <f t="shared" ref="DB170:DB171" si="2717">IF(V170="","","|n"&amp;DB$2&amp;"+"&amp;V170&amp;DB$1)</f>
        <v/>
      </c>
      <c r="DC170" s="43" t="str">
        <f t="shared" ref="DC170:DC171" si="2718">IF(W170="","","|n"&amp;DC$2&amp;"+"&amp;W170&amp;DC$1)</f>
        <v/>
      </c>
      <c r="DD170" s="43" t="str">
        <f t="shared" ref="DD170:DD171" si="2719">IF(X170="","","|n"&amp;DD$2&amp;"+"&amp;X170&amp;DD$1)</f>
        <v/>
      </c>
      <c r="DE170" s="43" t="str">
        <f t="shared" ref="DE170:DE171" si="2720">IF(Y170="","","|n"&amp;DE$2&amp;"+"&amp;Y170&amp;DE$1)</f>
        <v/>
      </c>
      <c r="DF170" s="43" t="str">
        <f t="shared" ref="DF170:DF171" si="2721">IF(Z170="","","|n"&amp;DF$2&amp;"+"&amp;Z170&amp;DF$1)</f>
        <v/>
      </c>
      <c r="DG170" s="43" t="str">
        <f t="shared" ref="DG170:DG171" si="2722">IF(AA170="","","|n"&amp;DG$2&amp;"+"&amp;AA170&amp;DG$1)</f>
        <v/>
      </c>
      <c r="DH170" s="43" t="str">
        <f t="shared" ref="DH170:DH171" si="2723">IF(AB170="","","|n"&amp;DH$2&amp;"+"&amp;AB170&amp;DH$1)</f>
        <v/>
      </c>
      <c r="DI170" s="43" t="str">
        <f t="shared" ref="DI170:DI171" si="2724">IF(AC170="","","|n"&amp;DI$2&amp;"+"&amp;AC170&amp;DI$1)</f>
        <v/>
      </c>
      <c r="DJ170" s="43" t="str">
        <f t="shared" ref="DJ170:DJ171" si="2725">IF(AD170="","","|n"&amp;DJ$2&amp;"+"&amp;AD170&amp;DJ$1)</f>
        <v/>
      </c>
      <c r="DK170" s="43" t="str">
        <f t="shared" ref="DK170:DK171" si="2726">IF(AE170="","","|n"&amp;DK$2&amp;"+"&amp;AE170&amp;DK$1)</f>
        <v/>
      </c>
      <c r="DL170" s="43" t="str">
        <f t="shared" ref="DL170:DL171" si="2727">IF(AF170="","","|n"&amp;DL$2&amp;"+"&amp;AF170&amp;DL$1)</f>
        <v/>
      </c>
      <c r="DM170" s="43" t="str">
        <f t="shared" ref="DM170:DM171" si="2728">IF(AG170="","","|n"&amp;DM$2&amp;"+"&amp;AG170&amp;DM$1)</f>
        <v/>
      </c>
      <c r="DN170" s="43" t="str">
        <f t="shared" ref="DN170:DN171" si="2729">IF(AH170="","","|n"&amp;DN$2&amp;"+"&amp;AH170&amp;DN$1)</f>
        <v/>
      </c>
      <c r="DO170" s="43" t="str">
        <f t="shared" ref="DO170:DO171" si="2730">IF(AI170="","","|n"&amp;DO$2&amp;"+"&amp;AI170&amp;DO$1)</f>
        <v/>
      </c>
      <c r="DP170" s="43" t="str">
        <f t="shared" ref="DP170:DP171" si="2731">IF(AJ170="","","|n"&amp;DP$2&amp;"+"&amp;AJ170&amp;DP$1)</f>
        <v/>
      </c>
      <c r="DQ170" s="43" t="str">
        <f t="shared" ref="DQ170:DQ171" si="2732">IF(AK170="","","|n"&amp;DQ$2&amp;"+"&amp;AK170&amp;DQ$1)</f>
        <v/>
      </c>
      <c r="DR170" s="43" t="str">
        <f t="shared" ref="DR170:DR171" si="2733">IF(AL170="","","|n"&amp;DR$2&amp;"+"&amp;AL170&amp;DR$1)</f>
        <v/>
      </c>
      <c r="DS170" s="43" t="str">
        <f t="shared" ref="DS170:DS171" si="2734">IF(AM170="","","|n"&amp;DS$2&amp;"+"&amp;AM170&amp;DS$1)</f>
        <v/>
      </c>
      <c r="DT170" s="43" t="str">
        <f t="shared" ref="DT170:DT171" si="2735">IF(AN170="","","|n"&amp;DT$2&amp;"+"&amp;AN170&amp;DT$1)</f>
        <v/>
      </c>
      <c r="DU170" s="43" t="str">
        <f t="shared" ref="DU170:DU171" si="2736">IF(AO170="","","|n"&amp;DU$2&amp;"+"&amp;AO170&amp;DU$1)</f>
        <v/>
      </c>
      <c r="DV170" s="43" t="str">
        <f t="shared" ref="DV170:DV171" si="2737">IF(AP170="","","|n"&amp;DV$2&amp;"+"&amp;AP170&amp;DV$1)</f>
        <v/>
      </c>
      <c r="DW170" s="43" t="str">
        <f t="shared" ref="DW170:DW171" si="2738">IF(AQ170="","","|n"&amp;DW$2&amp;"+"&amp;AQ170&amp;DW$1)</f>
        <v/>
      </c>
      <c r="DX170" s="43" t="str">
        <f t="shared" ref="DX170:DX171" si="2739">IF(AR170="","","|n"&amp;DX$2&amp;"+"&amp;AR170&amp;DX$1)</f>
        <v/>
      </c>
      <c r="DY170" s="43" t="str">
        <f t="shared" ref="DY170:DY171" si="2740">IF(AS170="","","|n"&amp;DY$2&amp;"+"&amp;AS170&amp;DY$1)</f>
        <v/>
      </c>
      <c r="DZ170" s="43" t="str">
        <f t="shared" ref="DZ170:DZ171" si="2741">IF(AT170="","","|n"&amp;DZ$2&amp;"+"&amp;AT170&amp;DZ$1)</f>
        <v/>
      </c>
      <c r="EA170" s="43" t="str">
        <f t="shared" ref="EA170:EA171" si="2742">IF(AU170="","","|n"&amp;EA$2&amp;"+"&amp;AU170&amp;EA$1)</f>
        <v/>
      </c>
      <c r="EB170" s="43" t="str">
        <f t="shared" ref="EB170:EB171" si="2743">IF(AV170="","","|n"&amp;EB$2&amp;"+"&amp;AV170&amp;EB$1)</f>
        <v/>
      </c>
      <c r="EC170" s="43" t="str">
        <f t="shared" ref="EC170:EC171" si="2744">IF(AW170="","","|n"&amp;EC$2&amp;"+"&amp;AW170&amp;EC$1)</f>
        <v/>
      </c>
      <c r="ED170" s="43" t="str">
        <f t="shared" ref="ED170:ED171" si="2745">IF(AX170="","","|n"&amp;ED$2&amp;"+"&amp;AX170&amp;ED$1)</f>
        <v/>
      </c>
      <c r="EE170" s="43" t="str">
        <f t="shared" ref="EE170:EE171" si="2746">IF(AY170="","","|n"&amp;EE$2&amp;"+"&amp;AY170&amp;EE$1)</f>
        <v/>
      </c>
      <c r="EF170" s="43" t="str">
        <f t="shared" ref="EF170:EF171" si="2747">IF(AZ170="","","|n"&amp;EF$2&amp;"+"&amp;AZ170&amp;EF$1)</f>
        <v/>
      </c>
      <c r="EG170" s="43" t="str">
        <f t="shared" ref="EG170:EG171" si="2748">IF(BA170="","","|n"&amp;EG$2&amp;"+"&amp;BA170&amp;EG$1)</f>
        <v/>
      </c>
      <c r="EH170" s="43" t="str">
        <f t="shared" ref="EH170:EH171" si="2749">IF(BB170="","","|n"&amp;EH$2&amp;"+"&amp;BB170&amp;EH$1)</f>
        <v/>
      </c>
      <c r="EI170" s="43" t="str">
        <f t="shared" ref="EI170:EI171" si="2750">IF(BC170="","","|n"&amp;EI$2&amp;"+"&amp;BC170&amp;EI$1)</f>
        <v/>
      </c>
      <c r="EJ170" s="43" t="str">
        <f t="shared" ref="EJ170:EJ171" si="2751">IF(BD170="","","|n"&amp;EJ$2&amp;"+"&amp;BD170&amp;EJ$1)</f>
        <v/>
      </c>
      <c r="EK170" s="43" t="str">
        <f t="shared" ref="EK170:EK171" si="2752">IF(BE170="","","|n"&amp;EK$2&amp;"+"&amp;BE170&amp;EK$1)</f>
        <v/>
      </c>
      <c r="EL170" s="43" t="str">
        <f t="shared" ref="EL170:EL171" si="2753">IF(BF170="","","|n"&amp;EL$2&amp;"+"&amp;BF170&amp;EL$1)</f>
        <v/>
      </c>
      <c r="EM170" s="43" t="str">
        <f t="shared" ref="EM170:EM171" si="2754">IF(BG170="","","|n"&amp;EM$2&amp;"+"&amp;BG170&amp;EM$1)</f>
        <v/>
      </c>
      <c r="EN170" s="43" t="str">
        <f t="shared" ref="EN170:EN171" si="2755">IF(BH170="","","|n"&amp;EN$2&amp;"+"&amp;BH170&amp;EN$1)</f>
        <v/>
      </c>
      <c r="EO170" s="43" t="str">
        <f t="shared" ref="EO170:EO171" si="2756">IF(BI170="","","|n"&amp;EO$2&amp;"+"&amp;BI170&amp;EO$1)</f>
        <v/>
      </c>
      <c r="EP170" s="43" t="str">
        <f t="shared" ref="EP170:EP171" si="2757">IF(BJ170="","","|n"&amp;EP$2&amp;"+"&amp;BJ170&amp;EP$1)</f>
        <v/>
      </c>
      <c r="EQ170" s="43" t="str">
        <f t="shared" ref="EQ170:EQ171" si="2758">IF(BK170="","","|n"&amp;EQ$2&amp;"+"&amp;BK170&amp;EQ$1)</f>
        <v/>
      </c>
      <c r="ER170" s="43" t="str">
        <f t="shared" ref="ER170:ER171" si="2759">IF(BL170="","","|n"&amp;ER$2&amp;"+"&amp;BL170&amp;ER$1)</f>
        <v/>
      </c>
      <c r="ES170" s="43" t="str">
        <f t="shared" ref="ES170:ES171" si="2760">IF(BM170="","","|n"&amp;ES$2&amp;"+"&amp;BM170&amp;ES$1)</f>
        <v/>
      </c>
      <c r="ET170" s="43" t="str">
        <f t="shared" ref="ET170:ET171" si="2761">IF(BN170="","","|n"&amp;ET$2&amp;"+"&amp;BN170&amp;ET$1)</f>
        <v/>
      </c>
      <c r="EU170" s="43" t="str">
        <f t="shared" ref="EU170:EU171" si="2762">IF(BO170="","","|n"&amp;EU$2&amp;"+"&amp;BO170&amp;EU$1)</f>
        <v/>
      </c>
      <c r="EV170" s="43" t="str">
        <f t="shared" ref="EV170:EV171" si="2763">IF(BP170="","","|n"&amp;EV$2&amp;"+"&amp;BP170&amp;EV$1)</f>
        <v/>
      </c>
      <c r="EW170" s="43" t="str">
        <f t="shared" ref="EW170:EW171" si="2764">IF(BQ170="","","|n"&amp;EW$2&amp;"+"&amp;BQ170&amp;EW$1)</f>
        <v/>
      </c>
      <c r="EX170" s="43" t="str">
        <f t="shared" ref="EX170:EX171" si="2765">IF(BR170="","","|n"&amp;EX$2&amp;"+"&amp;BR170&amp;EX$1)</f>
        <v/>
      </c>
      <c r="EY170" s="43" t="str">
        <f t="shared" ref="EY170:EY171" si="2766">IF(BS170="","","|n"&amp;EY$2&amp;"+"&amp;BS170&amp;EY$1)</f>
        <v/>
      </c>
      <c r="EZ170" s="43" t="str">
        <f t="shared" ref="EZ170:EZ171" si="2767">IF(BT170="","","|n"&amp;EZ$2&amp;"+"&amp;BT170&amp;EZ$1)</f>
        <v/>
      </c>
      <c r="FA170" s="43" t="str">
        <f t="shared" ref="FA170:FA171" si="2768">IF(BU170="","","|n"&amp;FA$2&amp;"+"&amp;BU170&amp;FA$1)</f>
        <v/>
      </c>
      <c r="FB170" s="43" t="str">
        <f t="shared" ref="FB170:FB171" si="2769">IF(BV170="","","|n"&amp;FB$2&amp;"+"&amp;BV170&amp;FB$1)</f>
        <v/>
      </c>
      <c r="FC170" s="43" t="str">
        <f t="shared" ref="FC170:FC171" si="2770">IF(BW170="","","|n"&amp;FC$2&amp;"+"&amp;BW170&amp;FC$1)</f>
        <v/>
      </c>
      <c r="FD170" s="43" t="str">
        <f t="shared" ref="FD170:FD171" si="2771">IF(BX170="","","|n"&amp;FD$2&amp;"+"&amp;BX170&amp;FD$1)</f>
        <v/>
      </c>
      <c r="FE170" s="43" t="str">
        <f t="shared" ref="FE170:FE171" si="2772">IF(BY170="","","|n"&amp;FE$2&amp;"+"&amp;BY170&amp;FE$1)</f>
        <v/>
      </c>
      <c r="FF170" s="43" t="str">
        <f t="shared" ref="FF170:FF171" si="2773">IF(BZ170="","","|n"&amp;FF$2&amp;"+"&amp;BZ170&amp;FF$1)</f>
        <v/>
      </c>
      <c r="FG170" s="43" t="str">
        <f t="shared" ref="FG170:FG171" si="2774">IF(CA170="","","|n"&amp;FG$2&amp;"+"&amp;CA170&amp;FG$1)</f>
        <v/>
      </c>
      <c r="FH170" s="43" t="str">
        <f t="shared" ref="FH170:FH171" si="2775">IF(CB170="","","|n"&amp;FH$2&amp;"+"&amp;CB170&amp;FH$1)</f>
        <v/>
      </c>
      <c r="FI170" s="43" t="str">
        <f t="shared" ref="FI170:FI171" si="2776">IF(CC170="","","|n"&amp;FI$2&amp;"+"&amp;CC170&amp;FI$1)</f>
        <v/>
      </c>
      <c r="FJ170" s="43" t="str">
        <f t="shared" ref="FJ170:FJ171" si="2777">IF(CD170="","","|n"&amp;FJ$2&amp;"+"&amp;CD170&amp;FJ$1)</f>
        <v/>
      </c>
      <c r="FK170" s="43" t="str">
        <f t="shared" ref="FK170:FK171" si="2778">IF(CE170="","","|n"&amp;FK$2&amp;"+"&amp;CE170&amp;FK$1)</f>
        <v/>
      </c>
      <c r="FL170" s="43" t="str">
        <f t="shared" ref="FL170:FL171" si="2779">IF(CF170="","","|n"&amp;FL$2&amp;"+"&amp;CF170&amp;FL$1)</f>
        <v/>
      </c>
      <c r="FM170" s="43" t="str">
        <f t="shared" ref="FM170:FM171" si="2780">IF(CG170="","","|n"&amp;FM$2&amp;"+"&amp;CG170&amp;FM$1)</f>
        <v/>
      </c>
      <c r="FN170" s="43" t="str">
        <f t="shared" ref="FN170:FN171" si="2781">IF(CH170="","","|n"&amp;FN$2&amp;"+"&amp;CH170&amp;FN$1)</f>
        <v/>
      </c>
      <c r="FO170" s="43" t="str">
        <f t="shared" ref="FO170:FO171" si="2782">IF(CI170="","","|n"&amp;FO$2&amp;"+"&amp;CI170&amp;FO$1)</f>
        <v/>
      </c>
      <c r="FP170" s="43" t="str">
        <f t="shared" ref="FP170:FP171" si="2783">IF(CJ170="","","|n"&amp;FP$2&amp;"+"&amp;CJ170&amp;FP$1)</f>
        <v/>
      </c>
      <c r="FQ170" s="43" t="str">
        <f t="shared" ref="FQ170:FQ171" si="2784">IF(CK170="","","|n"&amp;FQ$2&amp;"+"&amp;CK170&amp;FQ$1)</f>
        <v/>
      </c>
      <c r="FR170" s="43" t="str">
        <f t="shared" ref="FR170:FR171" si="2785">IF(CL170="","","|n"&amp;FR$2&amp;"+"&amp;CL170&amp;FR$1)</f>
        <v/>
      </c>
      <c r="FS170" s="43" t="str">
        <f t="shared" ref="FS170:FS171" si="2786">IF(CM170="","","|n"&amp;FS$2&amp;"+"&amp;CM170&amp;FS$1)</f>
        <v/>
      </c>
    </row>
    <row r="171" spans="1:175" ht="16.5">
      <c r="A171" s="84"/>
      <c r="B171" s="4" t="s">
        <v>511</v>
      </c>
      <c r="C171" s="84" t="s">
        <v>512</v>
      </c>
      <c r="T171" s="88"/>
      <c r="U171" s="55" t="str">
        <f t="shared" si="2714"/>
        <v>ReplaceableTextures\\CommandButtons\\BTNIP05.blp</v>
      </c>
      <c r="CN171" s="12" t="str">
        <f t="shared" si="2059"/>
        <v>InitUnitState('IP05',,,,,,,,,,)</v>
      </c>
      <c r="CO171" s="12" t="str">
        <f t="shared" si="2060"/>
        <v>InitUnitNormal('IP05',,,,,,,,,,)</v>
      </c>
      <c r="CP171" s="12" t="str">
        <f t="shared" si="2061"/>
        <v>InitUnitMagic('IP05',,,,,,,,,,)</v>
      </c>
      <c r="CQ171" s="12" t="str">
        <f t="shared" si="2062"/>
        <v>InitUnitAdd('IP05',,,,,,,,,,)</v>
      </c>
      <c r="CR171" s="12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174&amp;CR$1&amp;")"</f>
        <v>InitEquipData('IP05',,"",,,,,'','','','','','',"ReplaceableTextures\\CommandButtons\\BTNIT03.blp")</v>
      </c>
      <c r="CU171" s="67" t="str">
        <f t="shared" si="2715"/>
        <v>|n</v>
      </c>
      <c r="CV171" s="5">
        <f t="shared" si="2716"/>
        <v>0</v>
      </c>
      <c r="CW171" s="6"/>
      <c r="CX171" s="6"/>
      <c r="CY171" s="6"/>
      <c r="CZ171" s="6"/>
      <c r="DA171" s="6"/>
      <c r="DB171" s="43" t="str">
        <f t="shared" si="2717"/>
        <v/>
      </c>
      <c r="DC171" s="43" t="str">
        <f t="shared" si="2718"/>
        <v/>
      </c>
      <c r="DD171" s="43" t="str">
        <f t="shared" si="2719"/>
        <v/>
      </c>
      <c r="DE171" s="43" t="str">
        <f t="shared" si="2720"/>
        <v/>
      </c>
      <c r="DF171" s="43" t="str">
        <f t="shared" si="2721"/>
        <v/>
      </c>
      <c r="DG171" s="43" t="str">
        <f t="shared" si="2722"/>
        <v/>
      </c>
      <c r="DH171" s="43" t="str">
        <f t="shared" si="2723"/>
        <v/>
      </c>
      <c r="DI171" s="43" t="str">
        <f t="shared" si="2724"/>
        <v/>
      </c>
      <c r="DJ171" s="43" t="str">
        <f t="shared" si="2725"/>
        <v/>
      </c>
      <c r="DK171" s="43" t="str">
        <f t="shared" si="2726"/>
        <v/>
      </c>
      <c r="DL171" s="43" t="str">
        <f t="shared" si="2727"/>
        <v/>
      </c>
      <c r="DM171" s="43" t="str">
        <f t="shared" si="2728"/>
        <v/>
      </c>
      <c r="DN171" s="43" t="str">
        <f t="shared" si="2729"/>
        <v/>
      </c>
      <c r="DO171" s="43" t="str">
        <f t="shared" si="2730"/>
        <v/>
      </c>
      <c r="DP171" s="43" t="str">
        <f t="shared" si="2731"/>
        <v/>
      </c>
      <c r="DQ171" s="43" t="str">
        <f t="shared" si="2732"/>
        <v/>
      </c>
      <c r="DR171" s="43" t="str">
        <f t="shared" si="2733"/>
        <v/>
      </c>
      <c r="DS171" s="43" t="str">
        <f t="shared" si="2734"/>
        <v/>
      </c>
      <c r="DT171" s="43" t="str">
        <f t="shared" si="2735"/>
        <v/>
      </c>
      <c r="DU171" s="43" t="str">
        <f t="shared" si="2736"/>
        <v/>
      </c>
      <c r="DV171" s="43" t="str">
        <f t="shared" si="2737"/>
        <v/>
      </c>
      <c r="DW171" s="43" t="str">
        <f t="shared" si="2738"/>
        <v/>
      </c>
      <c r="DX171" s="43" t="str">
        <f t="shared" si="2739"/>
        <v/>
      </c>
      <c r="DY171" s="43" t="str">
        <f t="shared" si="2740"/>
        <v/>
      </c>
      <c r="DZ171" s="43" t="str">
        <f t="shared" si="2741"/>
        <v/>
      </c>
      <c r="EA171" s="43" t="str">
        <f t="shared" si="2742"/>
        <v/>
      </c>
      <c r="EB171" s="43" t="str">
        <f t="shared" si="2743"/>
        <v/>
      </c>
      <c r="EC171" s="43" t="str">
        <f t="shared" si="2744"/>
        <v/>
      </c>
      <c r="ED171" s="43" t="str">
        <f t="shared" si="2745"/>
        <v/>
      </c>
      <c r="EE171" s="43" t="str">
        <f t="shared" si="2746"/>
        <v/>
      </c>
      <c r="EF171" s="43" t="str">
        <f t="shared" si="2747"/>
        <v/>
      </c>
      <c r="EG171" s="43" t="str">
        <f t="shared" si="2748"/>
        <v/>
      </c>
      <c r="EH171" s="43" t="str">
        <f t="shared" si="2749"/>
        <v/>
      </c>
      <c r="EI171" s="43" t="str">
        <f t="shared" si="2750"/>
        <v/>
      </c>
      <c r="EJ171" s="43" t="str">
        <f t="shared" si="2751"/>
        <v/>
      </c>
      <c r="EK171" s="43" t="str">
        <f t="shared" si="2752"/>
        <v/>
      </c>
      <c r="EL171" s="43" t="str">
        <f t="shared" si="2753"/>
        <v/>
      </c>
      <c r="EM171" s="43" t="str">
        <f t="shared" si="2754"/>
        <v/>
      </c>
      <c r="EN171" s="43" t="str">
        <f t="shared" si="2755"/>
        <v/>
      </c>
      <c r="EO171" s="43" t="str">
        <f t="shared" si="2756"/>
        <v/>
      </c>
      <c r="EP171" s="43" t="str">
        <f t="shared" si="2757"/>
        <v/>
      </c>
      <c r="EQ171" s="43" t="str">
        <f t="shared" si="2758"/>
        <v/>
      </c>
      <c r="ER171" s="43" t="str">
        <f t="shared" si="2759"/>
        <v/>
      </c>
      <c r="ES171" s="43" t="str">
        <f t="shared" si="2760"/>
        <v/>
      </c>
      <c r="ET171" s="43" t="str">
        <f t="shared" si="2761"/>
        <v/>
      </c>
      <c r="EU171" s="43" t="str">
        <f t="shared" si="2762"/>
        <v/>
      </c>
      <c r="EV171" s="43" t="str">
        <f t="shared" si="2763"/>
        <v/>
      </c>
      <c r="EW171" s="43" t="str">
        <f t="shared" si="2764"/>
        <v/>
      </c>
      <c r="EX171" s="43" t="str">
        <f t="shared" si="2765"/>
        <v/>
      </c>
      <c r="EY171" s="43" t="str">
        <f t="shared" si="2766"/>
        <v/>
      </c>
      <c r="EZ171" s="43" t="str">
        <f t="shared" si="2767"/>
        <v/>
      </c>
      <c r="FA171" s="43" t="str">
        <f t="shared" si="2768"/>
        <v/>
      </c>
      <c r="FB171" s="43" t="str">
        <f t="shared" si="2769"/>
        <v/>
      </c>
      <c r="FC171" s="43" t="str">
        <f t="shared" si="2770"/>
        <v/>
      </c>
      <c r="FD171" s="43" t="str">
        <f t="shared" si="2771"/>
        <v/>
      </c>
      <c r="FE171" s="43" t="str">
        <f t="shared" si="2772"/>
        <v/>
      </c>
      <c r="FF171" s="43" t="str">
        <f t="shared" si="2773"/>
        <v/>
      </c>
      <c r="FG171" s="43" t="str">
        <f t="shared" si="2774"/>
        <v/>
      </c>
      <c r="FH171" s="43" t="str">
        <f t="shared" si="2775"/>
        <v/>
      </c>
      <c r="FI171" s="43" t="str">
        <f t="shared" si="2776"/>
        <v/>
      </c>
      <c r="FJ171" s="43" t="str">
        <f t="shared" si="2777"/>
        <v/>
      </c>
      <c r="FK171" s="43" t="str">
        <f t="shared" si="2778"/>
        <v/>
      </c>
      <c r="FL171" s="43" t="str">
        <f t="shared" si="2779"/>
        <v/>
      </c>
      <c r="FM171" s="43" t="str">
        <f t="shared" si="2780"/>
        <v/>
      </c>
      <c r="FN171" s="43" t="str">
        <f t="shared" si="2781"/>
        <v/>
      </c>
      <c r="FO171" s="43" t="str">
        <f t="shared" si="2782"/>
        <v/>
      </c>
      <c r="FP171" s="43" t="str">
        <f t="shared" si="2783"/>
        <v/>
      </c>
      <c r="FQ171" s="43" t="str">
        <f t="shared" si="2784"/>
        <v/>
      </c>
      <c r="FR171" s="43" t="str">
        <f t="shared" si="2785"/>
        <v/>
      </c>
      <c r="FS171" s="43" t="str">
        <f t="shared" si="2786"/>
        <v/>
      </c>
    </row>
    <row r="172" spans="1:175" ht="57">
      <c r="A172" s="84"/>
      <c r="B172" s="4" t="s">
        <v>513</v>
      </c>
      <c r="C172" s="84" t="s">
        <v>514</v>
      </c>
      <c r="R172" s="37">
        <v>-8086</v>
      </c>
      <c r="S172" s="37">
        <v>-3245</v>
      </c>
      <c r="T172" s="89" t="s">
        <v>515</v>
      </c>
      <c r="U172" s="55" t="str">
        <f t="shared" si="1549"/>
        <v>ReplaceableTextures\\CommandButtons\\BTNIT01.blp</v>
      </c>
      <c r="CN172" s="12" t="str">
        <f t="shared" ref="CN172:CN206" si="2787">"InitUnitState('"&amp;B172&amp;"',"&amp;V172&amp;","&amp;W172&amp;","&amp;X172&amp;","&amp;Y172&amp;","&amp;Z172&amp;","&amp;AA172&amp;","&amp;AB172&amp;","&amp;AC172&amp;","&amp;AD172&amp;","&amp;AE172&amp;")"</f>
        <v>InitUnitState('IT01',,,,,,,,,,)</v>
      </c>
      <c r="CO172" s="12" t="str">
        <f t="shared" ref="CO172:CO206" si="2788">"InitUnitNormal('"&amp;B172&amp;"',"&amp;AF172&amp;","&amp;AG172&amp;","&amp;AH172&amp;","&amp;AI172&amp;","&amp;AJ172&amp;","&amp;AK172&amp;","&amp;AL172&amp;","&amp;AM172&amp;","&amp;AN172&amp;","&amp;AO172&amp;")"</f>
        <v>InitUnitNormal('IT01',,,,,,,,,,)</v>
      </c>
      <c r="CP172" s="12" t="str">
        <f t="shared" ref="CP172:CP206" si="2789">"InitUnitMagic('"&amp;B172&amp;"',"&amp;AP172&amp;","&amp;AQ172&amp;","&amp;AR172&amp;","&amp;AS172&amp;","&amp;AT172&amp;","&amp;AU172&amp;","&amp;AV172&amp;","&amp;AW172&amp;","&amp;BI172&amp;","&amp;BJ172&amp;")"</f>
        <v>InitUnitMagic('IT01',,,,,,,,,,)</v>
      </c>
      <c r="CQ172" s="12" t="str">
        <f t="shared" ref="CQ172:CQ206" si="2790">"InitUnitAdd('"&amp;B172&amp;"',"&amp;BK172&amp;","&amp;BL172&amp;","&amp;BM172&amp;","&amp;BN172&amp;","&amp;BO172&amp;","&amp;BP172&amp;","&amp;BQ172&amp;","&amp;BR172&amp;","&amp;BS172&amp;","&amp;BT172&amp;")"</f>
        <v>InitUnitAdd('IT01',,,,,,,,,,)</v>
      </c>
      <c r="CR172" s="12" t="str">
        <f t="shared" ref="CR172:CR180" si="2791"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InitEquipData('IT01',,"",,,,,'','','','','','',"ReplaceableTextures\\CommandButtons\\BTNIT02.blp")</v>
      </c>
      <c r="CU172" s="67" t="str">
        <f t="shared" ref="CU172" si="2792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ref="CV172:CV173" si="2793">T172</f>
        <v>渡过该劫后可结成低级道果。|n|n|Cfff0f0f0低级道果：|r|n攻击+1000|n法强+1000|n生命值+2000|n|Cffffd24d元神力+2|r|n|n|Cff00ff7f战力推荐：|r|n</v>
      </c>
      <c r="CW172" s="6"/>
      <c r="CX172" s="6"/>
      <c r="CY172" s="6"/>
      <c r="CZ172" s="6"/>
      <c r="DA172" s="6"/>
      <c r="DB172" s="43" t="str">
        <f t="shared" ref="DB172" si="2794">IF(V172="","","|n"&amp;DB$2&amp;"+"&amp;V172&amp;DB$1)</f>
        <v/>
      </c>
      <c r="DC172" s="43" t="str">
        <f t="shared" ref="DC172" si="2795">IF(W172="","","|n"&amp;DC$2&amp;"+"&amp;W172&amp;DC$1)</f>
        <v/>
      </c>
      <c r="DD172" s="43" t="str">
        <f t="shared" ref="DD172" si="2796">IF(X172="","","|n"&amp;DD$2&amp;"+"&amp;X172&amp;DD$1)</f>
        <v/>
      </c>
      <c r="DE172" s="43" t="str">
        <f t="shared" ref="DE172" si="2797">IF(Y172="","","|n"&amp;DE$2&amp;"+"&amp;Y172&amp;DE$1)</f>
        <v/>
      </c>
      <c r="DF172" s="43" t="str">
        <f t="shared" ref="DF172" si="2798">IF(Z172="","","|n"&amp;DF$2&amp;"+"&amp;Z172&amp;DF$1)</f>
        <v/>
      </c>
      <c r="DG172" s="43" t="str">
        <f t="shared" ref="DG172" si="2799">IF(AA172="","","|n"&amp;DG$2&amp;"+"&amp;AA172&amp;DG$1)</f>
        <v/>
      </c>
      <c r="DH172" s="43" t="str">
        <f t="shared" ref="DH172" si="2800">IF(AB172="","","|n"&amp;DH$2&amp;"+"&amp;AB172&amp;DH$1)</f>
        <v/>
      </c>
      <c r="DI172" s="43" t="str">
        <f t="shared" ref="DI172" si="2801">IF(AC172="","","|n"&amp;DI$2&amp;"+"&amp;AC172&amp;DI$1)</f>
        <v/>
      </c>
      <c r="DJ172" s="43" t="str">
        <f t="shared" ref="DJ172" si="2802">IF(AD172="","","|n"&amp;DJ$2&amp;"+"&amp;AD172&amp;DJ$1)</f>
        <v/>
      </c>
      <c r="DK172" s="43" t="str">
        <f t="shared" ref="DK172" si="2803">IF(AE172="","","|n"&amp;DK$2&amp;"+"&amp;AE172&amp;DK$1)</f>
        <v/>
      </c>
      <c r="DL172" s="43" t="str">
        <f t="shared" ref="DL172" si="2804">IF(AF172="","","|n"&amp;DL$2&amp;"+"&amp;AF172&amp;DL$1)</f>
        <v/>
      </c>
      <c r="DM172" s="43" t="str">
        <f t="shared" ref="DM172" si="2805">IF(AG172="","","|n"&amp;DM$2&amp;"+"&amp;AG172&amp;DM$1)</f>
        <v/>
      </c>
      <c r="DN172" s="43" t="str">
        <f t="shared" ref="DN172" si="2806">IF(AH172="","","|n"&amp;DN$2&amp;"+"&amp;AH172&amp;DN$1)</f>
        <v/>
      </c>
      <c r="DO172" s="43" t="str">
        <f t="shared" ref="DO172" si="2807">IF(AI172="","","|n"&amp;DO$2&amp;"+"&amp;AI172&amp;DO$1)</f>
        <v/>
      </c>
      <c r="DP172" s="43" t="str">
        <f t="shared" ref="DP172" si="2808">IF(AJ172="","","|n"&amp;DP$2&amp;"+"&amp;AJ172&amp;DP$1)</f>
        <v/>
      </c>
      <c r="DQ172" s="43" t="str">
        <f t="shared" ref="DQ172" si="2809">IF(AK172="","","|n"&amp;DQ$2&amp;"+"&amp;AK172&amp;DQ$1)</f>
        <v/>
      </c>
      <c r="DR172" s="43" t="str">
        <f t="shared" ref="DR172" si="2810">IF(AL172="","","|n"&amp;DR$2&amp;"+"&amp;AL172&amp;DR$1)</f>
        <v/>
      </c>
      <c r="DS172" s="43" t="str">
        <f t="shared" ref="DS172" si="2811">IF(AM172="","","|n"&amp;DS$2&amp;"+"&amp;AM172&amp;DS$1)</f>
        <v/>
      </c>
      <c r="DT172" s="43" t="str">
        <f t="shared" ref="DT172" si="2812">IF(AN172="","","|n"&amp;DT$2&amp;"+"&amp;AN172&amp;DT$1)</f>
        <v/>
      </c>
      <c r="DU172" s="43" t="str">
        <f t="shared" ref="DU172" si="2813">IF(AO172="","","|n"&amp;DU$2&amp;"+"&amp;AO172&amp;DU$1)</f>
        <v/>
      </c>
      <c r="DV172" s="43" t="str">
        <f t="shared" ref="DV172" si="2814">IF(AP172="","","|n"&amp;DV$2&amp;"+"&amp;AP172&amp;DV$1)</f>
        <v/>
      </c>
      <c r="DW172" s="43" t="str">
        <f t="shared" ref="DW172" si="2815">IF(AQ172="","","|n"&amp;DW$2&amp;"+"&amp;AQ172&amp;DW$1)</f>
        <v/>
      </c>
      <c r="DX172" s="43" t="str">
        <f t="shared" ref="DX172" si="2816">IF(AR172="","","|n"&amp;DX$2&amp;"+"&amp;AR172&amp;DX$1)</f>
        <v/>
      </c>
      <c r="DY172" s="43" t="str">
        <f t="shared" ref="DY172" si="2817">IF(AS172="","","|n"&amp;DY$2&amp;"+"&amp;AS172&amp;DY$1)</f>
        <v/>
      </c>
      <c r="DZ172" s="43" t="str">
        <f t="shared" ref="DZ172" si="2818">IF(AT172="","","|n"&amp;DZ$2&amp;"+"&amp;AT172&amp;DZ$1)</f>
        <v/>
      </c>
      <c r="EA172" s="43" t="str">
        <f t="shared" ref="EA172" si="2819">IF(AU172="","","|n"&amp;EA$2&amp;"+"&amp;AU172&amp;EA$1)</f>
        <v/>
      </c>
      <c r="EB172" s="43" t="str">
        <f t="shared" ref="EB172" si="2820">IF(AV172="","","|n"&amp;EB$2&amp;"+"&amp;AV172&amp;EB$1)</f>
        <v/>
      </c>
      <c r="EC172" s="43" t="str">
        <f t="shared" ref="EC172" si="2821">IF(AW172="","","|n"&amp;EC$2&amp;"+"&amp;AW172&amp;EC$1)</f>
        <v/>
      </c>
      <c r="ED172" s="43" t="str">
        <f t="shared" ref="ED172" si="2822">IF(AX172="","","|n"&amp;ED$2&amp;"+"&amp;AX172&amp;ED$1)</f>
        <v/>
      </c>
      <c r="EE172" s="43" t="str">
        <f t="shared" ref="EE172" si="2823">IF(AY172="","","|n"&amp;EE$2&amp;"+"&amp;AY172&amp;EE$1)</f>
        <v/>
      </c>
      <c r="EF172" s="43" t="str">
        <f t="shared" ref="EF172" si="2824">IF(AZ172="","","|n"&amp;EF$2&amp;"+"&amp;AZ172&amp;EF$1)</f>
        <v/>
      </c>
      <c r="EG172" s="43" t="str">
        <f t="shared" ref="EG172" si="2825">IF(BA172="","","|n"&amp;EG$2&amp;"+"&amp;BA172&amp;EG$1)</f>
        <v/>
      </c>
      <c r="EH172" s="43" t="str">
        <f t="shared" ref="EH172" si="2826">IF(BB172="","","|n"&amp;EH$2&amp;"+"&amp;BB172&amp;EH$1)</f>
        <v/>
      </c>
      <c r="EI172" s="43" t="str">
        <f t="shared" ref="EI172" si="2827">IF(BC172="","","|n"&amp;EI$2&amp;"+"&amp;BC172&amp;EI$1)</f>
        <v/>
      </c>
      <c r="EJ172" s="43" t="str">
        <f t="shared" ref="EJ172" si="2828">IF(BD172="","","|n"&amp;EJ$2&amp;"+"&amp;BD172&amp;EJ$1)</f>
        <v/>
      </c>
      <c r="EK172" s="43" t="str">
        <f t="shared" ref="EK172" si="2829">IF(BE172="","","|n"&amp;EK$2&amp;"+"&amp;BE172&amp;EK$1)</f>
        <v/>
      </c>
      <c r="EL172" s="43" t="str">
        <f t="shared" ref="EL172" si="2830">IF(BF172="","","|n"&amp;EL$2&amp;"+"&amp;BF172&amp;EL$1)</f>
        <v/>
      </c>
      <c r="EM172" s="43" t="str">
        <f t="shared" ref="EM172" si="2831">IF(BG172="","","|n"&amp;EM$2&amp;"+"&amp;BG172&amp;EM$1)</f>
        <v/>
      </c>
      <c r="EN172" s="43" t="str">
        <f t="shared" ref="EN172" si="2832">IF(BH172="","","|n"&amp;EN$2&amp;"+"&amp;BH172&amp;EN$1)</f>
        <v/>
      </c>
      <c r="EO172" s="43" t="str">
        <f t="shared" ref="EO172" si="2833">IF(BI172="","","|n"&amp;EO$2&amp;"+"&amp;BI172&amp;EO$1)</f>
        <v/>
      </c>
      <c r="EP172" s="43" t="str">
        <f t="shared" ref="EP172" si="2834">IF(BJ172="","","|n"&amp;EP$2&amp;"+"&amp;BJ172&amp;EP$1)</f>
        <v/>
      </c>
      <c r="EQ172" s="43" t="str">
        <f t="shared" ref="EQ172" si="2835">IF(BK172="","","|n"&amp;EQ$2&amp;"+"&amp;BK172&amp;EQ$1)</f>
        <v/>
      </c>
      <c r="ER172" s="43" t="str">
        <f t="shared" ref="ER172" si="2836">IF(BL172="","","|n"&amp;ER$2&amp;"+"&amp;BL172&amp;ER$1)</f>
        <v/>
      </c>
      <c r="ES172" s="43" t="str">
        <f t="shared" ref="ES172" si="2837">IF(BM172="","","|n"&amp;ES$2&amp;"+"&amp;BM172&amp;ES$1)</f>
        <v/>
      </c>
      <c r="ET172" s="43" t="str">
        <f t="shared" ref="ET172" si="2838">IF(BN172="","","|n"&amp;ET$2&amp;"+"&amp;BN172&amp;ET$1)</f>
        <v/>
      </c>
      <c r="EU172" s="43" t="str">
        <f t="shared" ref="EU172" si="2839">IF(BO172="","","|n"&amp;EU$2&amp;"+"&amp;BO172&amp;EU$1)</f>
        <v/>
      </c>
      <c r="EV172" s="43" t="str">
        <f t="shared" ref="EV172" si="2840">IF(BP172="","","|n"&amp;EV$2&amp;"+"&amp;BP172&amp;EV$1)</f>
        <v/>
      </c>
      <c r="EW172" s="43" t="str">
        <f t="shared" ref="EW172" si="2841">IF(BQ172="","","|n"&amp;EW$2&amp;"+"&amp;BQ172&amp;EW$1)</f>
        <v/>
      </c>
      <c r="EX172" s="43" t="str">
        <f t="shared" ref="EX172" si="2842">IF(BR172="","","|n"&amp;EX$2&amp;"+"&amp;BR172&amp;EX$1)</f>
        <v/>
      </c>
      <c r="EY172" s="43" t="str">
        <f t="shared" ref="EY172" si="2843">IF(BS172="","","|n"&amp;EY$2&amp;"+"&amp;BS172&amp;EY$1)</f>
        <v/>
      </c>
      <c r="EZ172" s="43" t="str">
        <f t="shared" ref="EZ172" si="2844">IF(BT172="","","|n"&amp;EZ$2&amp;"+"&amp;BT172&amp;EZ$1)</f>
        <v/>
      </c>
      <c r="FA172" s="43" t="str">
        <f t="shared" ref="FA172" si="2845">IF(BU172="","","|n"&amp;FA$2&amp;"+"&amp;BU172&amp;FA$1)</f>
        <v/>
      </c>
      <c r="FB172" s="43" t="str">
        <f t="shared" ref="FB172" si="2846">IF(BV172="","","|n"&amp;FB$2&amp;"+"&amp;BV172&amp;FB$1)</f>
        <v/>
      </c>
      <c r="FC172" s="43" t="str">
        <f t="shared" ref="FC172" si="2847">IF(BW172="","","|n"&amp;FC$2&amp;"+"&amp;BW172&amp;FC$1)</f>
        <v/>
      </c>
      <c r="FD172" s="43" t="str">
        <f t="shared" ref="FD172" si="2848">IF(BX172="","","|n"&amp;FD$2&amp;"+"&amp;BX172&amp;FD$1)</f>
        <v/>
      </c>
      <c r="FE172" s="43" t="str">
        <f t="shared" ref="FE172" si="2849">IF(BY172="","","|n"&amp;FE$2&amp;"+"&amp;BY172&amp;FE$1)</f>
        <v/>
      </c>
      <c r="FF172" s="43" t="str">
        <f t="shared" ref="FF172" si="2850">IF(BZ172="","","|n"&amp;FF$2&amp;"+"&amp;BZ172&amp;FF$1)</f>
        <v/>
      </c>
      <c r="FG172" s="43" t="str">
        <f t="shared" ref="FG172" si="2851">IF(CA172="","","|n"&amp;FG$2&amp;"+"&amp;CA172&amp;FG$1)</f>
        <v/>
      </c>
      <c r="FH172" s="43" t="str">
        <f t="shared" ref="FH172" si="2852">IF(CB172="","","|n"&amp;FH$2&amp;"+"&amp;CB172&amp;FH$1)</f>
        <v/>
      </c>
      <c r="FI172" s="43" t="str">
        <f t="shared" ref="FI172" si="2853">IF(CC172="","","|n"&amp;FI$2&amp;"+"&amp;CC172&amp;FI$1)</f>
        <v/>
      </c>
      <c r="FJ172" s="43" t="str">
        <f t="shared" ref="FJ172" si="2854">IF(CD172="","","|n"&amp;FJ$2&amp;"+"&amp;CD172&amp;FJ$1)</f>
        <v/>
      </c>
      <c r="FK172" s="43" t="str">
        <f t="shared" ref="FK172" si="2855">IF(CE172="","","|n"&amp;FK$2&amp;"+"&amp;CE172&amp;FK$1)</f>
        <v/>
      </c>
      <c r="FL172" s="43" t="str">
        <f t="shared" ref="FL172" si="2856">IF(CF172="","","|n"&amp;FL$2&amp;"+"&amp;CF172&amp;FL$1)</f>
        <v/>
      </c>
      <c r="FM172" s="43" t="str">
        <f t="shared" ref="FM172" si="2857">IF(CG172="","","|n"&amp;FM$2&amp;"+"&amp;CG172&amp;FM$1)</f>
        <v/>
      </c>
      <c r="FN172" s="43" t="str">
        <f t="shared" ref="FN172" si="2858">IF(CH172="","","|n"&amp;FN$2&amp;"+"&amp;CH172&amp;FN$1)</f>
        <v/>
      </c>
      <c r="FO172" s="43" t="str">
        <f t="shared" ref="FO172" si="2859">IF(CI172="","","|n"&amp;FO$2&amp;"+"&amp;CI172&amp;FO$1)</f>
        <v/>
      </c>
      <c r="FP172" s="43" t="str">
        <f t="shared" ref="FP172" si="2860">IF(CJ172="","","|n"&amp;FP$2&amp;"+"&amp;CJ172&amp;FP$1)</f>
        <v/>
      </c>
      <c r="FQ172" s="43" t="str">
        <f t="shared" ref="FQ172" si="2861">IF(CK172="","","|n"&amp;FQ$2&amp;"+"&amp;CK172&amp;FQ$1)</f>
        <v/>
      </c>
      <c r="FR172" s="43" t="str">
        <f t="shared" ref="FR172" si="2862">IF(CL172="","","|n"&amp;FR$2&amp;"+"&amp;CL172&amp;FR$1)</f>
        <v/>
      </c>
      <c r="FS172" s="43" t="str">
        <f t="shared" ref="FS172" si="2863">IF(CM172="","","|n"&amp;FS$2&amp;"+"&amp;CM172&amp;FS$1)</f>
        <v/>
      </c>
    </row>
    <row r="173" spans="1:175" ht="16.5">
      <c r="A173" s="84"/>
      <c r="B173" s="4" t="s">
        <v>516</v>
      </c>
      <c r="C173" s="84" t="s">
        <v>517</v>
      </c>
      <c r="R173" s="37">
        <v>-7991</v>
      </c>
      <c r="S173" s="37">
        <v>-2312</v>
      </c>
      <c r="T173" s="84" t="s">
        <v>518</v>
      </c>
      <c r="U173" s="55" t="str">
        <f t="shared" si="1549"/>
        <v>ReplaceableTextures\\CommandButtons\\BTNIT02.blp</v>
      </c>
      <c r="CN173" s="12" t="str">
        <f t="shared" si="2787"/>
        <v>InitUnitState('IT02',,,,,,,,,,)</v>
      </c>
      <c r="CO173" s="12" t="str">
        <f t="shared" si="2788"/>
        <v>InitUnitNormal('IT02',,,,,,,,,,)</v>
      </c>
      <c r="CP173" s="12" t="str">
        <f t="shared" si="2789"/>
        <v>InitUnitMagic('IT02',,,,,,,,,,)</v>
      </c>
      <c r="CQ173" s="12" t="str">
        <f t="shared" si="2790"/>
        <v>InitUnitAdd('IT02',,,,,,,,,,)</v>
      </c>
      <c r="CR173" s="12" t="str">
        <f t="shared" si="2791"/>
        <v>InitEquipData('IT02',,"",,,,,'','','','','','',"ReplaceableTextures\\CommandButtons\\BTNIT03.blp")</v>
      </c>
      <c r="CU173" s="67" t="str">
        <f t="shared" ref="CU173:CU181" si="2864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5" t="str">
        <f t="shared" si="2793"/>
        <v>渡过该劫后可结成中级道果。|n|n|Cfff0f0f0中级道果：|r|n攻击+1500|n法强+1500|n生命值+3000 |n|Cffffd24d元神力+4|r|n|n|Cff00ff7f战力推荐：|r|n</v>
      </c>
      <c r="CW173" s="6"/>
      <c r="CX173" s="6"/>
      <c r="CY173" s="6"/>
      <c r="CZ173" s="6"/>
      <c r="DA173" s="6"/>
      <c r="DB173" s="43" t="str">
        <f t="shared" ref="DB173:DB181" si="2865">IF(V173="","","|n"&amp;DB$2&amp;"+"&amp;V173&amp;DB$1)</f>
        <v/>
      </c>
      <c r="DC173" s="43" t="str">
        <f t="shared" ref="DC173:DC181" si="2866">IF(W173="","","|n"&amp;DC$2&amp;"+"&amp;W173&amp;DC$1)</f>
        <v/>
      </c>
      <c r="DD173" s="43" t="str">
        <f t="shared" ref="DD173:DD181" si="2867">IF(X173="","","|n"&amp;DD$2&amp;"+"&amp;X173&amp;DD$1)</f>
        <v/>
      </c>
      <c r="DE173" s="43" t="str">
        <f t="shared" ref="DE173:DE181" si="2868">IF(Y173="","","|n"&amp;DE$2&amp;"+"&amp;Y173&amp;DE$1)</f>
        <v/>
      </c>
      <c r="DF173" s="43" t="str">
        <f t="shared" ref="DF173:DF181" si="2869">IF(Z173="","","|n"&amp;DF$2&amp;"+"&amp;Z173&amp;DF$1)</f>
        <v/>
      </c>
      <c r="DG173" s="43" t="str">
        <f t="shared" ref="DG173:DG181" si="2870">IF(AA173="","","|n"&amp;DG$2&amp;"+"&amp;AA173&amp;DG$1)</f>
        <v/>
      </c>
      <c r="DH173" s="43" t="str">
        <f t="shared" ref="DH173:DH181" si="2871">IF(AB173="","","|n"&amp;DH$2&amp;"+"&amp;AB173&amp;DH$1)</f>
        <v/>
      </c>
      <c r="DI173" s="43" t="str">
        <f t="shared" ref="DI173:DI181" si="2872">IF(AC173="","","|n"&amp;DI$2&amp;"+"&amp;AC173&amp;DI$1)</f>
        <v/>
      </c>
      <c r="DJ173" s="43" t="str">
        <f t="shared" ref="DJ173:DJ181" si="2873">IF(AD173="","","|n"&amp;DJ$2&amp;"+"&amp;AD173&amp;DJ$1)</f>
        <v/>
      </c>
      <c r="DK173" s="43" t="str">
        <f t="shared" ref="DK173:DK181" si="2874">IF(AE173="","","|n"&amp;DK$2&amp;"+"&amp;AE173&amp;DK$1)</f>
        <v/>
      </c>
      <c r="DL173" s="43" t="str">
        <f t="shared" ref="DL173:DL181" si="2875">IF(AF173="","","|n"&amp;DL$2&amp;"+"&amp;AF173&amp;DL$1)</f>
        <v/>
      </c>
      <c r="DM173" s="43" t="str">
        <f t="shared" ref="DM173:DM181" si="2876">IF(AG173="","","|n"&amp;DM$2&amp;"+"&amp;AG173&amp;DM$1)</f>
        <v/>
      </c>
      <c r="DN173" s="43" t="str">
        <f t="shared" ref="DN173:DN181" si="2877">IF(AH173="","","|n"&amp;DN$2&amp;"+"&amp;AH173&amp;DN$1)</f>
        <v/>
      </c>
      <c r="DO173" s="43" t="str">
        <f t="shared" ref="DO173:DO181" si="2878">IF(AI173="","","|n"&amp;DO$2&amp;"+"&amp;AI173&amp;DO$1)</f>
        <v/>
      </c>
      <c r="DP173" s="43" t="str">
        <f t="shared" ref="DP173:DP181" si="2879">IF(AJ173="","","|n"&amp;DP$2&amp;"+"&amp;AJ173&amp;DP$1)</f>
        <v/>
      </c>
      <c r="DQ173" s="43" t="str">
        <f t="shared" ref="DQ173:DQ181" si="2880">IF(AK173="","","|n"&amp;DQ$2&amp;"+"&amp;AK173&amp;DQ$1)</f>
        <v/>
      </c>
      <c r="DR173" s="43" t="str">
        <f t="shared" ref="DR173:DR181" si="2881">IF(AL173="","","|n"&amp;DR$2&amp;"+"&amp;AL173&amp;DR$1)</f>
        <v/>
      </c>
      <c r="DS173" s="43" t="str">
        <f t="shared" ref="DS173:DS181" si="2882">IF(AM173="","","|n"&amp;DS$2&amp;"+"&amp;AM173&amp;DS$1)</f>
        <v/>
      </c>
      <c r="DT173" s="43" t="str">
        <f t="shared" ref="DT173:DT181" si="2883">IF(AN173="","","|n"&amp;DT$2&amp;"+"&amp;AN173&amp;DT$1)</f>
        <v/>
      </c>
      <c r="DU173" s="43" t="str">
        <f t="shared" ref="DU173:DU181" si="2884">IF(AO173="","","|n"&amp;DU$2&amp;"+"&amp;AO173&amp;DU$1)</f>
        <v/>
      </c>
      <c r="DV173" s="43" t="str">
        <f t="shared" ref="DV173:DV181" si="2885">IF(AP173="","","|n"&amp;DV$2&amp;"+"&amp;AP173&amp;DV$1)</f>
        <v/>
      </c>
      <c r="DW173" s="43" t="str">
        <f t="shared" ref="DW173:DW181" si="2886">IF(AQ173="","","|n"&amp;DW$2&amp;"+"&amp;AQ173&amp;DW$1)</f>
        <v/>
      </c>
      <c r="DX173" s="43" t="str">
        <f t="shared" ref="DX173:DX181" si="2887">IF(AR173="","","|n"&amp;DX$2&amp;"+"&amp;AR173&amp;DX$1)</f>
        <v/>
      </c>
      <c r="DY173" s="43" t="str">
        <f t="shared" ref="DY173:DY181" si="2888">IF(AS173="","","|n"&amp;DY$2&amp;"+"&amp;AS173&amp;DY$1)</f>
        <v/>
      </c>
      <c r="DZ173" s="43" t="str">
        <f t="shared" ref="DZ173:DZ181" si="2889">IF(AT173="","","|n"&amp;DZ$2&amp;"+"&amp;AT173&amp;DZ$1)</f>
        <v/>
      </c>
      <c r="EA173" s="43" t="str">
        <f t="shared" ref="EA173:EA181" si="2890">IF(AU173="","","|n"&amp;EA$2&amp;"+"&amp;AU173&amp;EA$1)</f>
        <v/>
      </c>
      <c r="EB173" s="43" t="str">
        <f t="shared" ref="EB173:EB181" si="2891">IF(AV173="","","|n"&amp;EB$2&amp;"+"&amp;AV173&amp;EB$1)</f>
        <v/>
      </c>
      <c r="EC173" s="43" t="str">
        <f t="shared" ref="EC173:EC181" si="2892">IF(AW173="","","|n"&amp;EC$2&amp;"+"&amp;AW173&amp;EC$1)</f>
        <v/>
      </c>
      <c r="ED173" s="43" t="str">
        <f t="shared" ref="ED173:ED181" si="2893">IF(AX173="","","|n"&amp;ED$2&amp;"+"&amp;AX173&amp;ED$1)</f>
        <v/>
      </c>
      <c r="EE173" s="43" t="str">
        <f t="shared" ref="EE173:EE181" si="2894">IF(AY173="","","|n"&amp;EE$2&amp;"+"&amp;AY173&amp;EE$1)</f>
        <v/>
      </c>
      <c r="EF173" s="43" t="str">
        <f t="shared" ref="EF173:EF181" si="2895">IF(AZ173="","","|n"&amp;EF$2&amp;"+"&amp;AZ173&amp;EF$1)</f>
        <v/>
      </c>
      <c r="EG173" s="43" t="str">
        <f t="shared" ref="EG173:EG181" si="2896">IF(BA173="","","|n"&amp;EG$2&amp;"+"&amp;BA173&amp;EG$1)</f>
        <v/>
      </c>
      <c r="EH173" s="43" t="str">
        <f t="shared" ref="EH173:EH181" si="2897">IF(BB173="","","|n"&amp;EH$2&amp;"+"&amp;BB173&amp;EH$1)</f>
        <v/>
      </c>
      <c r="EI173" s="43" t="str">
        <f t="shared" ref="EI173:EI181" si="2898">IF(BC173="","","|n"&amp;EI$2&amp;"+"&amp;BC173&amp;EI$1)</f>
        <v/>
      </c>
      <c r="EJ173" s="43" t="str">
        <f t="shared" ref="EJ173:EJ181" si="2899">IF(BD173="","","|n"&amp;EJ$2&amp;"+"&amp;BD173&amp;EJ$1)</f>
        <v/>
      </c>
      <c r="EK173" s="43" t="str">
        <f t="shared" ref="EK173:EK181" si="2900">IF(BE173="","","|n"&amp;EK$2&amp;"+"&amp;BE173&amp;EK$1)</f>
        <v/>
      </c>
      <c r="EL173" s="43" t="str">
        <f t="shared" ref="EL173:EL181" si="2901">IF(BF173="","","|n"&amp;EL$2&amp;"+"&amp;BF173&amp;EL$1)</f>
        <v/>
      </c>
      <c r="EM173" s="43" t="str">
        <f t="shared" ref="EM173:EM181" si="2902">IF(BG173="","","|n"&amp;EM$2&amp;"+"&amp;BG173&amp;EM$1)</f>
        <v/>
      </c>
      <c r="EN173" s="43" t="str">
        <f t="shared" ref="EN173:EN181" si="2903">IF(BH173="","","|n"&amp;EN$2&amp;"+"&amp;BH173&amp;EN$1)</f>
        <v/>
      </c>
      <c r="EO173" s="43" t="str">
        <f t="shared" ref="EO173:EO181" si="2904">IF(BI173="","","|n"&amp;EO$2&amp;"+"&amp;BI173&amp;EO$1)</f>
        <v/>
      </c>
      <c r="EP173" s="43" t="str">
        <f t="shared" ref="EP173:EP181" si="2905">IF(BJ173="","","|n"&amp;EP$2&amp;"+"&amp;BJ173&amp;EP$1)</f>
        <v/>
      </c>
      <c r="EQ173" s="43" t="str">
        <f t="shared" ref="EQ173:EQ181" si="2906">IF(BK173="","","|n"&amp;EQ$2&amp;"+"&amp;BK173&amp;EQ$1)</f>
        <v/>
      </c>
      <c r="ER173" s="43" t="str">
        <f t="shared" ref="ER173:ER181" si="2907">IF(BL173="","","|n"&amp;ER$2&amp;"+"&amp;BL173&amp;ER$1)</f>
        <v/>
      </c>
      <c r="ES173" s="43" t="str">
        <f t="shared" ref="ES173:ES181" si="2908">IF(BM173="","","|n"&amp;ES$2&amp;"+"&amp;BM173&amp;ES$1)</f>
        <v/>
      </c>
      <c r="ET173" s="43" t="str">
        <f t="shared" ref="ET173:ET181" si="2909">IF(BN173="","","|n"&amp;ET$2&amp;"+"&amp;BN173&amp;ET$1)</f>
        <v/>
      </c>
      <c r="EU173" s="43" t="str">
        <f t="shared" ref="EU173:EU181" si="2910">IF(BO173="","","|n"&amp;EU$2&amp;"+"&amp;BO173&amp;EU$1)</f>
        <v/>
      </c>
      <c r="EV173" s="43" t="str">
        <f t="shared" ref="EV173:EV181" si="2911">IF(BP173="","","|n"&amp;EV$2&amp;"+"&amp;BP173&amp;EV$1)</f>
        <v/>
      </c>
      <c r="EW173" s="43" t="str">
        <f t="shared" ref="EW173:EW181" si="2912">IF(BQ173="","","|n"&amp;EW$2&amp;"+"&amp;BQ173&amp;EW$1)</f>
        <v/>
      </c>
      <c r="EX173" s="43" t="str">
        <f t="shared" ref="EX173:EX181" si="2913">IF(BR173="","","|n"&amp;EX$2&amp;"+"&amp;BR173&amp;EX$1)</f>
        <v/>
      </c>
      <c r="EY173" s="43" t="str">
        <f t="shared" ref="EY173:EY181" si="2914">IF(BS173="","","|n"&amp;EY$2&amp;"+"&amp;BS173&amp;EY$1)</f>
        <v/>
      </c>
      <c r="EZ173" s="43" t="str">
        <f t="shared" ref="EZ173:EZ181" si="2915">IF(BT173="","","|n"&amp;EZ$2&amp;"+"&amp;BT173&amp;EZ$1)</f>
        <v/>
      </c>
      <c r="FA173" s="43" t="str">
        <f t="shared" ref="FA173:FA181" si="2916">IF(BU173="","","|n"&amp;FA$2&amp;"+"&amp;BU173&amp;FA$1)</f>
        <v/>
      </c>
      <c r="FB173" s="43" t="str">
        <f t="shared" ref="FB173:FB181" si="2917">IF(BV173="","","|n"&amp;FB$2&amp;"+"&amp;BV173&amp;FB$1)</f>
        <v/>
      </c>
      <c r="FC173" s="43" t="str">
        <f t="shared" ref="FC173:FC181" si="2918">IF(BW173="","","|n"&amp;FC$2&amp;"+"&amp;BW173&amp;FC$1)</f>
        <v/>
      </c>
      <c r="FD173" s="43" t="str">
        <f t="shared" ref="FD173:FD181" si="2919">IF(BX173="","","|n"&amp;FD$2&amp;"+"&amp;BX173&amp;FD$1)</f>
        <v/>
      </c>
      <c r="FE173" s="43" t="str">
        <f t="shared" ref="FE173:FE181" si="2920">IF(BY173="","","|n"&amp;FE$2&amp;"+"&amp;BY173&amp;FE$1)</f>
        <v/>
      </c>
      <c r="FF173" s="43" t="str">
        <f t="shared" ref="FF173:FF181" si="2921">IF(BZ173="","","|n"&amp;FF$2&amp;"+"&amp;BZ173&amp;FF$1)</f>
        <v/>
      </c>
      <c r="FG173" s="43" t="str">
        <f t="shared" ref="FG173:FG181" si="2922">IF(CA173="","","|n"&amp;FG$2&amp;"+"&amp;CA173&amp;FG$1)</f>
        <v/>
      </c>
      <c r="FH173" s="43" t="str">
        <f t="shared" ref="FH173:FH181" si="2923">IF(CB173="","","|n"&amp;FH$2&amp;"+"&amp;CB173&amp;FH$1)</f>
        <v/>
      </c>
      <c r="FI173" s="43" t="str">
        <f t="shared" ref="FI173:FI181" si="2924">IF(CC173="","","|n"&amp;FI$2&amp;"+"&amp;CC173&amp;FI$1)</f>
        <v/>
      </c>
      <c r="FJ173" s="43" t="str">
        <f t="shared" ref="FJ173:FJ181" si="2925">IF(CD173="","","|n"&amp;FJ$2&amp;"+"&amp;CD173&amp;FJ$1)</f>
        <v/>
      </c>
      <c r="FK173" s="43" t="str">
        <f t="shared" ref="FK173:FK181" si="2926">IF(CE173="","","|n"&amp;FK$2&amp;"+"&amp;CE173&amp;FK$1)</f>
        <v/>
      </c>
      <c r="FL173" s="43" t="str">
        <f t="shared" ref="FL173:FL181" si="2927">IF(CF173="","","|n"&amp;FL$2&amp;"+"&amp;CF173&amp;FL$1)</f>
        <v/>
      </c>
      <c r="FM173" s="43" t="str">
        <f t="shared" ref="FM173:FM181" si="2928">IF(CG173="","","|n"&amp;FM$2&amp;"+"&amp;CG173&amp;FM$1)</f>
        <v/>
      </c>
      <c r="FN173" s="43" t="str">
        <f t="shared" ref="FN173:FN181" si="2929">IF(CH173="","","|n"&amp;FN$2&amp;"+"&amp;CH173&amp;FN$1)</f>
        <v/>
      </c>
      <c r="FO173" s="43" t="str">
        <f t="shared" ref="FO173:FO181" si="2930">IF(CI173="","","|n"&amp;FO$2&amp;"+"&amp;CI173&amp;FO$1)</f>
        <v/>
      </c>
      <c r="FP173" s="43" t="str">
        <f t="shared" ref="FP173:FP181" si="2931">IF(CJ173="","","|n"&amp;FP$2&amp;"+"&amp;CJ173&amp;FP$1)</f>
        <v/>
      </c>
      <c r="FQ173" s="43" t="str">
        <f t="shared" ref="FQ173:FQ181" si="2932">IF(CK173="","","|n"&amp;FQ$2&amp;"+"&amp;CK173&amp;FQ$1)</f>
        <v/>
      </c>
      <c r="FR173" s="43" t="str">
        <f t="shared" ref="FR173:FR181" si="2933">IF(CL173="","","|n"&amp;FR$2&amp;"+"&amp;CL173&amp;FR$1)</f>
        <v/>
      </c>
      <c r="FS173" s="43" t="str">
        <f t="shared" ref="FS173:FS181" si="2934">IF(CM173="","","|n"&amp;FS$2&amp;"+"&amp;CM173&amp;FS$1)</f>
        <v/>
      </c>
    </row>
    <row r="174" spans="1:175" ht="16.5">
      <c r="A174" s="84"/>
      <c r="B174" s="4" t="s">
        <v>519</v>
      </c>
      <c r="C174" s="84" t="s">
        <v>520</v>
      </c>
      <c r="R174" s="37">
        <v>-8089</v>
      </c>
      <c r="S174" s="37">
        <v>-1230</v>
      </c>
      <c r="T174" s="84" t="s">
        <v>521</v>
      </c>
      <c r="U174" s="55" t="str">
        <f t="shared" si="1549"/>
        <v>ReplaceableTextures\\CommandButtons\\BTNIT03.blp</v>
      </c>
      <c r="CN174" s="12" t="str">
        <f t="shared" si="2787"/>
        <v>InitUnitState('IT03',,,,,,,,,,)</v>
      </c>
      <c r="CO174" s="12" t="str">
        <f t="shared" si="2788"/>
        <v>InitUnitNormal('IT03',,,,,,,,,,)</v>
      </c>
      <c r="CP174" s="12" t="str">
        <f t="shared" si="2789"/>
        <v>InitUnitMagic('IT03',,,,,,,,,,)</v>
      </c>
      <c r="CQ174" s="12" t="str">
        <f t="shared" si="2790"/>
        <v>InitUnitAdd('IT03',,,,,,,,,,)</v>
      </c>
      <c r="CR174" s="12" t="str">
        <f t="shared" si="2791"/>
        <v>InitEquipData('IT03',,"",,,,,'','','','','','',"ReplaceableTextures\\CommandButtons\\BTNIT04.blp")</v>
      </c>
      <c r="CU174" s="67" t="str">
        <f t="shared" si="2864"/>
        <v>|n</v>
      </c>
      <c r="CV174" s="5" t="str">
        <f t="shared" ref="CV174:CV181" si="2935">T174</f>
        <v>渡过该劫后可结成|Cff00ff7f高级道果|r。|n|n|Cff00ff7f高级道果：|r|n攻击+2000|n法强+2000|n生命值+4000 |n|Cffffd24d元神力+5|r|n|n|Cff00ff7f战力推荐：|r|n</v>
      </c>
      <c r="CW174" s="6"/>
      <c r="CX174" s="6"/>
      <c r="CY174" s="6"/>
      <c r="CZ174" s="6"/>
      <c r="DA174" s="6"/>
      <c r="DB174" s="43" t="str">
        <f t="shared" si="2865"/>
        <v/>
      </c>
      <c r="DC174" s="43" t="str">
        <f t="shared" si="2866"/>
        <v/>
      </c>
      <c r="DD174" s="43" t="str">
        <f t="shared" si="2867"/>
        <v/>
      </c>
      <c r="DE174" s="43" t="str">
        <f t="shared" si="2868"/>
        <v/>
      </c>
      <c r="DF174" s="43" t="str">
        <f t="shared" si="2869"/>
        <v/>
      </c>
      <c r="DG174" s="43" t="str">
        <f t="shared" si="2870"/>
        <v/>
      </c>
      <c r="DH174" s="43" t="str">
        <f t="shared" si="2871"/>
        <v/>
      </c>
      <c r="DI174" s="43" t="str">
        <f t="shared" si="2872"/>
        <v/>
      </c>
      <c r="DJ174" s="43" t="str">
        <f t="shared" si="2873"/>
        <v/>
      </c>
      <c r="DK174" s="43" t="str">
        <f t="shared" si="2874"/>
        <v/>
      </c>
      <c r="DL174" s="43" t="str">
        <f t="shared" si="2875"/>
        <v/>
      </c>
      <c r="DM174" s="43" t="str">
        <f t="shared" si="2876"/>
        <v/>
      </c>
      <c r="DN174" s="43" t="str">
        <f t="shared" si="2877"/>
        <v/>
      </c>
      <c r="DO174" s="43" t="str">
        <f t="shared" si="2878"/>
        <v/>
      </c>
      <c r="DP174" s="43" t="str">
        <f t="shared" si="2879"/>
        <v/>
      </c>
      <c r="DQ174" s="43" t="str">
        <f t="shared" si="2880"/>
        <v/>
      </c>
      <c r="DR174" s="43" t="str">
        <f t="shared" si="2881"/>
        <v/>
      </c>
      <c r="DS174" s="43" t="str">
        <f t="shared" si="2882"/>
        <v/>
      </c>
      <c r="DT174" s="43" t="str">
        <f t="shared" si="2883"/>
        <v/>
      </c>
      <c r="DU174" s="43" t="str">
        <f t="shared" si="2884"/>
        <v/>
      </c>
      <c r="DV174" s="43" t="str">
        <f t="shared" si="2885"/>
        <v/>
      </c>
      <c r="DW174" s="43" t="str">
        <f t="shared" si="2886"/>
        <v/>
      </c>
      <c r="DX174" s="43" t="str">
        <f t="shared" si="2887"/>
        <v/>
      </c>
      <c r="DY174" s="43" t="str">
        <f t="shared" si="2888"/>
        <v/>
      </c>
      <c r="DZ174" s="43" t="str">
        <f t="shared" si="2889"/>
        <v/>
      </c>
      <c r="EA174" s="43" t="str">
        <f t="shared" si="2890"/>
        <v/>
      </c>
      <c r="EB174" s="43" t="str">
        <f t="shared" si="2891"/>
        <v/>
      </c>
      <c r="EC174" s="43" t="str">
        <f t="shared" si="2892"/>
        <v/>
      </c>
      <c r="ED174" s="43" t="str">
        <f t="shared" si="2893"/>
        <v/>
      </c>
      <c r="EE174" s="43" t="str">
        <f t="shared" si="2894"/>
        <v/>
      </c>
      <c r="EF174" s="43" t="str">
        <f t="shared" si="2895"/>
        <v/>
      </c>
      <c r="EG174" s="43" t="str">
        <f t="shared" si="2896"/>
        <v/>
      </c>
      <c r="EH174" s="43" t="str">
        <f t="shared" si="2897"/>
        <v/>
      </c>
      <c r="EI174" s="43" t="str">
        <f t="shared" si="2898"/>
        <v/>
      </c>
      <c r="EJ174" s="43" t="str">
        <f t="shared" si="2899"/>
        <v/>
      </c>
      <c r="EK174" s="43" t="str">
        <f t="shared" si="2900"/>
        <v/>
      </c>
      <c r="EL174" s="43" t="str">
        <f t="shared" si="2901"/>
        <v/>
      </c>
      <c r="EM174" s="43" t="str">
        <f t="shared" si="2902"/>
        <v/>
      </c>
      <c r="EN174" s="43" t="str">
        <f t="shared" si="2903"/>
        <v/>
      </c>
      <c r="EO174" s="43" t="str">
        <f t="shared" si="2904"/>
        <v/>
      </c>
      <c r="EP174" s="43" t="str">
        <f t="shared" si="2905"/>
        <v/>
      </c>
      <c r="EQ174" s="43" t="str">
        <f t="shared" si="2906"/>
        <v/>
      </c>
      <c r="ER174" s="43" t="str">
        <f t="shared" si="2907"/>
        <v/>
      </c>
      <c r="ES174" s="43" t="str">
        <f t="shared" si="2908"/>
        <v/>
      </c>
      <c r="ET174" s="43" t="str">
        <f t="shared" si="2909"/>
        <v/>
      </c>
      <c r="EU174" s="43" t="str">
        <f t="shared" si="2910"/>
        <v/>
      </c>
      <c r="EV174" s="43" t="str">
        <f t="shared" si="2911"/>
        <v/>
      </c>
      <c r="EW174" s="43" t="str">
        <f t="shared" si="2912"/>
        <v/>
      </c>
      <c r="EX174" s="43" t="str">
        <f t="shared" si="2913"/>
        <v/>
      </c>
      <c r="EY174" s="43" t="str">
        <f t="shared" si="2914"/>
        <v/>
      </c>
      <c r="EZ174" s="43" t="str">
        <f t="shared" si="2915"/>
        <v/>
      </c>
      <c r="FA174" s="43" t="str">
        <f t="shared" si="2916"/>
        <v/>
      </c>
      <c r="FB174" s="43" t="str">
        <f t="shared" si="2917"/>
        <v/>
      </c>
      <c r="FC174" s="43" t="str">
        <f t="shared" si="2918"/>
        <v/>
      </c>
      <c r="FD174" s="43" t="str">
        <f t="shared" si="2919"/>
        <v/>
      </c>
      <c r="FE174" s="43" t="str">
        <f t="shared" si="2920"/>
        <v/>
      </c>
      <c r="FF174" s="43" t="str">
        <f t="shared" si="2921"/>
        <v/>
      </c>
      <c r="FG174" s="43" t="str">
        <f t="shared" si="2922"/>
        <v/>
      </c>
      <c r="FH174" s="43" t="str">
        <f t="shared" si="2923"/>
        <v/>
      </c>
      <c r="FI174" s="43" t="str">
        <f t="shared" si="2924"/>
        <v/>
      </c>
      <c r="FJ174" s="43" t="str">
        <f t="shared" si="2925"/>
        <v/>
      </c>
      <c r="FK174" s="43" t="str">
        <f t="shared" si="2926"/>
        <v/>
      </c>
      <c r="FL174" s="43" t="str">
        <f t="shared" si="2927"/>
        <v/>
      </c>
      <c r="FM174" s="43" t="str">
        <f t="shared" si="2928"/>
        <v/>
      </c>
      <c r="FN174" s="43" t="str">
        <f t="shared" si="2929"/>
        <v/>
      </c>
      <c r="FO174" s="43" t="str">
        <f t="shared" si="2930"/>
        <v/>
      </c>
      <c r="FP174" s="43" t="str">
        <f t="shared" si="2931"/>
        <v/>
      </c>
      <c r="FQ174" s="43" t="str">
        <f t="shared" si="2932"/>
        <v/>
      </c>
      <c r="FR174" s="43" t="str">
        <f t="shared" si="2933"/>
        <v/>
      </c>
      <c r="FS174" s="43" t="str">
        <f t="shared" si="2934"/>
        <v/>
      </c>
    </row>
    <row r="175" spans="1:175" ht="16.5">
      <c r="A175" s="84"/>
      <c r="B175" s="4" t="s">
        <v>522</v>
      </c>
      <c r="C175" s="84" t="s">
        <v>523</v>
      </c>
      <c r="R175" s="37">
        <v>-7794</v>
      </c>
      <c r="S175" s="37">
        <v>195</v>
      </c>
      <c r="T175" s="84" t="s">
        <v>524</v>
      </c>
      <c r="U175" s="55" t="str">
        <f t="shared" si="1549"/>
        <v>ReplaceableTextures\\CommandButtons\\BTNIT04.blp</v>
      </c>
      <c r="CN175" s="12" t="str">
        <f t="shared" si="2787"/>
        <v>InitUnitState('IT04',,,,,,,,,,)</v>
      </c>
      <c r="CO175" s="12" t="str">
        <f t="shared" si="2788"/>
        <v>InitUnitNormal('IT04',,,,,,,,,,)</v>
      </c>
      <c r="CP175" s="12" t="str">
        <f t="shared" si="2789"/>
        <v>InitUnitMagic('IT04',,,,,,,,,,)</v>
      </c>
      <c r="CQ175" s="12" t="str">
        <f t="shared" si="2790"/>
        <v>InitUnitAdd('IT04',,,,,,,,,,)</v>
      </c>
      <c r="CR175" s="12" t="str">
        <f t="shared" si="2791"/>
        <v>InitEquipData('IT04',,"",,,,,'','','','','','',"ReplaceableTextures\\CommandButtons\\BTNIT05.blp")</v>
      </c>
      <c r="CU175" s="67" t="str">
        <f t="shared" si="2864"/>
        <v>|n</v>
      </c>
      <c r="CV175" s="5" t="str">
        <f t="shared" si="2935"/>
        <v>渡过该劫后可结成|Cff00ff7f黄级道果|r。|n|n|Cff00ff7f黄级道果：|r|n攻击+2500|n法强+2500|n生命值+5000|n|Cffffd24d元神力+6|r|n|n|Cff00ff7f战力推荐：|r|n</v>
      </c>
      <c r="CW175" s="6"/>
      <c r="CX175" s="6"/>
      <c r="CY175" s="6"/>
      <c r="CZ175" s="6"/>
      <c r="DA175" s="6"/>
      <c r="DB175" s="43" t="str">
        <f t="shared" si="2865"/>
        <v/>
      </c>
      <c r="DC175" s="43" t="str">
        <f t="shared" si="2866"/>
        <v/>
      </c>
      <c r="DD175" s="43" t="str">
        <f t="shared" si="2867"/>
        <v/>
      </c>
      <c r="DE175" s="43" t="str">
        <f t="shared" si="2868"/>
        <v/>
      </c>
      <c r="DF175" s="43" t="str">
        <f t="shared" si="2869"/>
        <v/>
      </c>
      <c r="DG175" s="43" t="str">
        <f t="shared" si="2870"/>
        <v/>
      </c>
      <c r="DH175" s="43" t="str">
        <f t="shared" si="2871"/>
        <v/>
      </c>
      <c r="DI175" s="43" t="str">
        <f t="shared" si="2872"/>
        <v/>
      </c>
      <c r="DJ175" s="43" t="str">
        <f t="shared" si="2873"/>
        <v/>
      </c>
      <c r="DK175" s="43" t="str">
        <f t="shared" si="2874"/>
        <v/>
      </c>
      <c r="DL175" s="43" t="str">
        <f t="shared" si="2875"/>
        <v/>
      </c>
      <c r="DM175" s="43" t="str">
        <f t="shared" si="2876"/>
        <v/>
      </c>
      <c r="DN175" s="43" t="str">
        <f t="shared" si="2877"/>
        <v/>
      </c>
      <c r="DO175" s="43" t="str">
        <f t="shared" si="2878"/>
        <v/>
      </c>
      <c r="DP175" s="43" t="str">
        <f t="shared" si="2879"/>
        <v/>
      </c>
      <c r="DQ175" s="43" t="str">
        <f t="shared" si="2880"/>
        <v/>
      </c>
      <c r="DR175" s="43" t="str">
        <f t="shared" si="2881"/>
        <v/>
      </c>
      <c r="DS175" s="43" t="str">
        <f t="shared" si="2882"/>
        <v/>
      </c>
      <c r="DT175" s="43" t="str">
        <f t="shared" si="2883"/>
        <v/>
      </c>
      <c r="DU175" s="43" t="str">
        <f t="shared" si="2884"/>
        <v/>
      </c>
      <c r="DV175" s="43" t="str">
        <f t="shared" si="2885"/>
        <v/>
      </c>
      <c r="DW175" s="43" t="str">
        <f t="shared" si="2886"/>
        <v/>
      </c>
      <c r="DX175" s="43" t="str">
        <f t="shared" si="2887"/>
        <v/>
      </c>
      <c r="DY175" s="43" t="str">
        <f t="shared" si="2888"/>
        <v/>
      </c>
      <c r="DZ175" s="43" t="str">
        <f t="shared" si="2889"/>
        <v/>
      </c>
      <c r="EA175" s="43" t="str">
        <f t="shared" si="2890"/>
        <v/>
      </c>
      <c r="EB175" s="43" t="str">
        <f t="shared" si="2891"/>
        <v/>
      </c>
      <c r="EC175" s="43" t="str">
        <f t="shared" si="2892"/>
        <v/>
      </c>
      <c r="ED175" s="43" t="str">
        <f t="shared" si="2893"/>
        <v/>
      </c>
      <c r="EE175" s="43" t="str">
        <f t="shared" si="2894"/>
        <v/>
      </c>
      <c r="EF175" s="43" t="str">
        <f t="shared" si="2895"/>
        <v/>
      </c>
      <c r="EG175" s="43" t="str">
        <f t="shared" si="2896"/>
        <v/>
      </c>
      <c r="EH175" s="43" t="str">
        <f t="shared" si="2897"/>
        <v/>
      </c>
      <c r="EI175" s="43" t="str">
        <f t="shared" si="2898"/>
        <v/>
      </c>
      <c r="EJ175" s="43" t="str">
        <f t="shared" si="2899"/>
        <v/>
      </c>
      <c r="EK175" s="43" t="str">
        <f t="shared" si="2900"/>
        <v/>
      </c>
      <c r="EL175" s="43" t="str">
        <f t="shared" si="2901"/>
        <v/>
      </c>
      <c r="EM175" s="43" t="str">
        <f t="shared" si="2902"/>
        <v/>
      </c>
      <c r="EN175" s="43" t="str">
        <f t="shared" si="2903"/>
        <v/>
      </c>
      <c r="EO175" s="43" t="str">
        <f t="shared" si="2904"/>
        <v/>
      </c>
      <c r="EP175" s="43" t="str">
        <f t="shared" si="2905"/>
        <v/>
      </c>
      <c r="EQ175" s="43" t="str">
        <f t="shared" si="2906"/>
        <v/>
      </c>
      <c r="ER175" s="43" t="str">
        <f t="shared" si="2907"/>
        <v/>
      </c>
      <c r="ES175" s="43" t="str">
        <f t="shared" si="2908"/>
        <v/>
      </c>
      <c r="ET175" s="43" t="str">
        <f t="shared" si="2909"/>
        <v/>
      </c>
      <c r="EU175" s="43" t="str">
        <f t="shared" si="2910"/>
        <v/>
      </c>
      <c r="EV175" s="43" t="str">
        <f t="shared" si="2911"/>
        <v/>
      </c>
      <c r="EW175" s="43" t="str">
        <f t="shared" si="2912"/>
        <v/>
      </c>
      <c r="EX175" s="43" t="str">
        <f t="shared" si="2913"/>
        <v/>
      </c>
      <c r="EY175" s="43" t="str">
        <f t="shared" si="2914"/>
        <v/>
      </c>
      <c r="EZ175" s="43" t="str">
        <f t="shared" si="2915"/>
        <v/>
      </c>
      <c r="FA175" s="43" t="str">
        <f t="shared" si="2916"/>
        <v/>
      </c>
      <c r="FB175" s="43" t="str">
        <f t="shared" si="2917"/>
        <v/>
      </c>
      <c r="FC175" s="43" t="str">
        <f t="shared" si="2918"/>
        <v/>
      </c>
      <c r="FD175" s="43" t="str">
        <f t="shared" si="2919"/>
        <v/>
      </c>
      <c r="FE175" s="43" t="str">
        <f t="shared" si="2920"/>
        <v/>
      </c>
      <c r="FF175" s="43" t="str">
        <f t="shared" si="2921"/>
        <v/>
      </c>
      <c r="FG175" s="43" t="str">
        <f t="shared" si="2922"/>
        <v/>
      </c>
      <c r="FH175" s="43" t="str">
        <f t="shared" si="2923"/>
        <v/>
      </c>
      <c r="FI175" s="43" t="str">
        <f t="shared" si="2924"/>
        <v/>
      </c>
      <c r="FJ175" s="43" t="str">
        <f t="shared" si="2925"/>
        <v/>
      </c>
      <c r="FK175" s="43" t="str">
        <f t="shared" si="2926"/>
        <v/>
      </c>
      <c r="FL175" s="43" t="str">
        <f t="shared" si="2927"/>
        <v/>
      </c>
      <c r="FM175" s="43" t="str">
        <f t="shared" si="2928"/>
        <v/>
      </c>
      <c r="FN175" s="43" t="str">
        <f t="shared" si="2929"/>
        <v/>
      </c>
      <c r="FO175" s="43" t="str">
        <f t="shared" si="2930"/>
        <v/>
      </c>
      <c r="FP175" s="43" t="str">
        <f t="shared" si="2931"/>
        <v/>
      </c>
      <c r="FQ175" s="43" t="str">
        <f t="shared" si="2932"/>
        <v/>
      </c>
      <c r="FR175" s="43" t="str">
        <f t="shared" si="2933"/>
        <v/>
      </c>
      <c r="FS175" s="43" t="str">
        <f t="shared" si="2934"/>
        <v/>
      </c>
    </row>
    <row r="176" spans="1:175" ht="16.5">
      <c r="A176" s="84"/>
      <c r="B176" s="4" t="s">
        <v>525</v>
      </c>
      <c r="C176" s="84" t="s">
        <v>526</v>
      </c>
      <c r="R176" s="37">
        <v>-8110</v>
      </c>
      <c r="S176" s="37">
        <v>1810</v>
      </c>
      <c r="T176" s="84" t="s">
        <v>527</v>
      </c>
      <c r="U176" s="55" t="str">
        <f t="shared" si="1549"/>
        <v>ReplaceableTextures\\CommandButtons\\BTNIT05.blp</v>
      </c>
      <c r="CN176" s="12" t="str">
        <f t="shared" si="2787"/>
        <v>InitUnitState('IT05',,,,,,,,,,)</v>
      </c>
      <c r="CO176" s="12" t="str">
        <f t="shared" si="2788"/>
        <v>InitUnitNormal('IT05',,,,,,,,,,)</v>
      </c>
      <c r="CP176" s="12" t="str">
        <f t="shared" si="2789"/>
        <v>InitUnitMagic('IT05',,,,,,,,,,)</v>
      </c>
      <c r="CQ176" s="12" t="str">
        <f t="shared" si="2790"/>
        <v>InitUnitAdd('IT05',,,,,,,,,,)</v>
      </c>
      <c r="CR176" s="12" t="str">
        <f t="shared" si="2791"/>
        <v>InitEquipData('IT05',,"",,,,,'','','','','','',"ReplaceableTextures\\CommandButtons\\BTNIT06.blp")</v>
      </c>
      <c r="CU176" s="67" t="str">
        <f t="shared" si="2864"/>
        <v>|n</v>
      </c>
      <c r="CV176" s="5" t="str">
        <f t="shared" si="2935"/>
        <v>渡过该劫后可结成|Cff00bfff玄级道果|r。|n|n|Cff00bfff玄级道果：|r|n攻击+3000|n法强+3000|n生命值+6000|n|Cffffd24d元神力+7|r|n|n|Cff00ff7f战力推荐：|r|n</v>
      </c>
      <c r="CW176" s="6"/>
      <c r="CX176" s="6"/>
      <c r="CY176" s="6"/>
      <c r="CZ176" s="6"/>
      <c r="DA176" s="6"/>
      <c r="DB176" s="43" t="str">
        <f t="shared" si="2865"/>
        <v/>
      </c>
      <c r="DC176" s="43" t="str">
        <f t="shared" si="2866"/>
        <v/>
      </c>
      <c r="DD176" s="43" t="str">
        <f t="shared" si="2867"/>
        <v/>
      </c>
      <c r="DE176" s="43" t="str">
        <f t="shared" si="2868"/>
        <v/>
      </c>
      <c r="DF176" s="43" t="str">
        <f t="shared" si="2869"/>
        <v/>
      </c>
      <c r="DG176" s="43" t="str">
        <f t="shared" si="2870"/>
        <v/>
      </c>
      <c r="DH176" s="43" t="str">
        <f t="shared" si="2871"/>
        <v/>
      </c>
      <c r="DI176" s="43" t="str">
        <f t="shared" si="2872"/>
        <v/>
      </c>
      <c r="DJ176" s="43" t="str">
        <f t="shared" si="2873"/>
        <v/>
      </c>
      <c r="DK176" s="43" t="str">
        <f t="shared" si="2874"/>
        <v/>
      </c>
      <c r="DL176" s="43" t="str">
        <f t="shared" si="2875"/>
        <v/>
      </c>
      <c r="DM176" s="43" t="str">
        <f t="shared" si="2876"/>
        <v/>
      </c>
      <c r="DN176" s="43" t="str">
        <f t="shared" si="2877"/>
        <v/>
      </c>
      <c r="DO176" s="43" t="str">
        <f t="shared" si="2878"/>
        <v/>
      </c>
      <c r="DP176" s="43" t="str">
        <f t="shared" si="2879"/>
        <v/>
      </c>
      <c r="DQ176" s="43" t="str">
        <f t="shared" si="2880"/>
        <v/>
      </c>
      <c r="DR176" s="43" t="str">
        <f t="shared" si="2881"/>
        <v/>
      </c>
      <c r="DS176" s="43" t="str">
        <f t="shared" si="2882"/>
        <v/>
      </c>
      <c r="DT176" s="43" t="str">
        <f t="shared" si="2883"/>
        <v/>
      </c>
      <c r="DU176" s="43" t="str">
        <f t="shared" si="2884"/>
        <v/>
      </c>
      <c r="DV176" s="43" t="str">
        <f t="shared" si="2885"/>
        <v/>
      </c>
      <c r="DW176" s="43" t="str">
        <f t="shared" si="2886"/>
        <v/>
      </c>
      <c r="DX176" s="43" t="str">
        <f t="shared" si="2887"/>
        <v/>
      </c>
      <c r="DY176" s="43" t="str">
        <f t="shared" si="2888"/>
        <v/>
      </c>
      <c r="DZ176" s="43" t="str">
        <f t="shared" si="2889"/>
        <v/>
      </c>
      <c r="EA176" s="43" t="str">
        <f t="shared" si="2890"/>
        <v/>
      </c>
      <c r="EB176" s="43" t="str">
        <f t="shared" si="2891"/>
        <v/>
      </c>
      <c r="EC176" s="43" t="str">
        <f t="shared" si="2892"/>
        <v/>
      </c>
      <c r="ED176" s="43" t="str">
        <f t="shared" si="2893"/>
        <v/>
      </c>
      <c r="EE176" s="43" t="str">
        <f t="shared" si="2894"/>
        <v/>
      </c>
      <c r="EF176" s="43" t="str">
        <f t="shared" si="2895"/>
        <v/>
      </c>
      <c r="EG176" s="43" t="str">
        <f t="shared" si="2896"/>
        <v/>
      </c>
      <c r="EH176" s="43" t="str">
        <f t="shared" si="2897"/>
        <v/>
      </c>
      <c r="EI176" s="43" t="str">
        <f t="shared" si="2898"/>
        <v/>
      </c>
      <c r="EJ176" s="43" t="str">
        <f t="shared" si="2899"/>
        <v/>
      </c>
      <c r="EK176" s="43" t="str">
        <f t="shared" si="2900"/>
        <v/>
      </c>
      <c r="EL176" s="43" t="str">
        <f t="shared" si="2901"/>
        <v/>
      </c>
      <c r="EM176" s="43" t="str">
        <f t="shared" si="2902"/>
        <v/>
      </c>
      <c r="EN176" s="43" t="str">
        <f t="shared" si="2903"/>
        <v/>
      </c>
      <c r="EO176" s="43" t="str">
        <f t="shared" si="2904"/>
        <v/>
      </c>
      <c r="EP176" s="43" t="str">
        <f t="shared" si="2905"/>
        <v/>
      </c>
      <c r="EQ176" s="43" t="str">
        <f t="shared" si="2906"/>
        <v/>
      </c>
      <c r="ER176" s="43" t="str">
        <f t="shared" si="2907"/>
        <v/>
      </c>
      <c r="ES176" s="43" t="str">
        <f t="shared" si="2908"/>
        <v/>
      </c>
      <c r="ET176" s="43" t="str">
        <f t="shared" si="2909"/>
        <v/>
      </c>
      <c r="EU176" s="43" t="str">
        <f t="shared" si="2910"/>
        <v/>
      </c>
      <c r="EV176" s="43" t="str">
        <f t="shared" si="2911"/>
        <v/>
      </c>
      <c r="EW176" s="43" t="str">
        <f t="shared" si="2912"/>
        <v/>
      </c>
      <c r="EX176" s="43" t="str">
        <f t="shared" si="2913"/>
        <v/>
      </c>
      <c r="EY176" s="43" t="str">
        <f t="shared" si="2914"/>
        <v/>
      </c>
      <c r="EZ176" s="43" t="str">
        <f t="shared" si="2915"/>
        <v/>
      </c>
      <c r="FA176" s="43" t="str">
        <f t="shared" si="2916"/>
        <v/>
      </c>
      <c r="FB176" s="43" t="str">
        <f t="shared" si="2917"/>
        <v/>
      </c>
      <c r="FC176" s="43" t="str">
        <f t="shared" si="2918"/>
        <v/>
      </c>
      <c r="FD176" s="43" t="str">
        <f t="shared" si="2919"/>
        <v/>
      </c>
      <c r="FE176" s="43" t="str">
        <f t="shared" si="2920"/>
        <v/>
      </c>
      <c r="FF176" s="43" t="str">
        <f t="shared" si="2921"/>
        <v/>
      </c>
      <c r="FG176" s="43" t="str">
        <f t="shared" si="2922"/>
        <v/>
      </c>
      <c r="FH176" s="43" t="str">
        <f t="shared" si="2923"/>
        <v/>
      </c>
      <c r="FI176" s="43" t="str">
        <f t="shared" si="2924"/>
        <v/>
      </c>
      <c r="FJ176" s="43" t="str">
        <f t="shared" si="2925"/>
        <v/>
      </c>
      <c r="FK176" s="43" t="str">
        <f t="shared" si="2926"/>
        <v/>
      </c>
      <c r="FL176" s="43" t="str">
        <f t="shared" si="2927"/>
        <v/>
      </c>
      <c r="FM176" s="43" t="str">
        <f t="shared" si="2928"/>
        <v/>
      </c>
      <c r="FN176" s="43" t="str">
        <f t="shared" si="2929"/>
        <v/>
      </c>
      <c r="FO176" s="43" t="str">
        <f t="shared" si="2930"/>
        <v/>
      </c>
      <c r="FP176" s="43" t="str">
        <f t="shared" si="2931"/>
        <v/>
      </c>
      <c r="FQ176" s="43" t="str">
        <f t="shared" si="2932"/>
        <v/>
      </c>
      <c r="FR176" s="43" t="str">
        <f t="shared" si="2933"/>
        <v/>
      </c>
      <c r="FS176" s="43" t="str">
        <f t="shared" si="2934"/>
        <v/>
      </c>
    </row>
    <row r="177" spans="1:175" ht="16.5">
      <c r="A177" s="84"/>
      <c r="B177" s="4" t="s">
        <v>528</v>
      </c>
      <c r="C177" s="84" t="s">
        <v>529</v>
      </c>
      <c r="R177" s="37">
        <v>-7896</v>
      </c>
      <c r="S177" s="37">
        <v>3839</v>
      </c>
      <c r="T177" s="84" t="s">
        <v>530</v>
      </c>
      <c r="U177" s="55" t="str">
        <f t="shared" si="1549"/>
        <v>ReplaceableTextures\\CommandButtons\\BTNIT06.blp</v>
      </c>
      <c r="CN177" s="12" t="str">
        <f t="shared" si="2787"/>
        <v>InitUnitState('IT06',,,,,,,,,,)</v>
      </c>
      <c r="CO177" s="12" t="str">
        <f t="shared" si="2788"/>
        <v>InitUnitNormal('IT06',,,,,,,,,,)</v>
      </c>
      <c r="CP177" s="12" t="str">
        <f t="shared" si="2789"/>
        <v>InitUnitMagic('IT06',,,,,,,,,,)</v>
      </c>
      <c r="CQ177" s="12" t="str">
        <f t="shared" si="2790"/>
        <v>InitUnitAdd('IT06',,,,,,,,,,)</v>
      </c>
      <c r="CR177" s="12" t="str">
        <f t="shared" si="2791"/>
        <v>InitEquipData('IT06',,"",,,,,'','','','','','',"ReplaceableTextures\\CommandButtons\\BTNIT07.blp")</v>
      </c>
      <c r="CU177" s="67" t="str">
        <f t="shared" si="2864"/>
        <v>|n</v>
      </c>
      <c r="CV177" s="5" t="str">
        <f t="shared" si="2935"/>
        <v>渡过该劫后可结成|Cff00bfff地级道果|r。|n|n|Cff00bfff地级道果：|r|n攻击+4000|n法强+4000|n生命值+8000|n|Cffffd24d元神力+9|r|n|n|n|Cff00ff7f战力推荐：|r|n</v>
      </c>
      <c r="CW177" s="6"/>
      <c r="CX177" s="6"/>
      <c r="CY177" s="6"/>
      <c r="CZ177" s="6"/>
      <c r="DA177" s="6"/>
      <c r="DB177" s="43" t="str">
        <f t="shared" si="2865"/>
        <v/>
      </c>
      <c r="DC177" s="43" t="str">
        <f t="shared" si="2866"/>
        <v/>
      </c>
      <c r="DD177" s="43" t="str">
        <f t="shared" si="2867"/>
        <v/>
      </c>
      <c r="DE177" s="43" t="str">
        <f t="shared" si="2868"/>
        <v/>
      </c>
      <c r="DF177" s="43" t="str">
        <f t="shared" si="2869"/>
        <v/>
      </c>
      <c r="DG177" s="43" t="str">
        <f t="shared" si="2870"/>
        <v/>
      </c>
      <c r="DH177" s="43" t="str">
        <f t="shared" si="2871"/>
        <v/>
      </c>
      <c r="DI177" s="43" t="str">
        <f t="shared" si="2872"/>
        <v/>
      </c>
      <c r="DJ177" s="43" t="str">
        <f t="shared" si="2873"/>
        <v/>
      </c>
      <c r="DK177" s="43" t="str">
        <f t="shared" si="2874"/>
        <v/>
      </c>
      <c r="DL177" s="43" t="str">
        <f t="shared" si="2875"/>
        <v/>
      </c>
      <c r="DM177" s="43" t="str">
        <f t="shared" si="2876"/>
        <v/>
      </c>
      <c r="DN177" s="43" t="str">
        <f t="shared" si="2877"/>
        <v/>
      </c>
      <c r="DO177" s="43" t="str">
        <f t="shared" si="2878"/>
        <v/>
      </c>
      <c r="DP177" s="43" t="str">
        <f t="shared" si="2879"/>
        <v/>
      </c>
      <c r="DQ177" s="43" t="str">
        <f t="shared" si="2880"/>
        <v/>
      </c>
      <c r="DR177" s="43" t="str">
        <f t="shared" si="2881"/>
        <v/>
      </c>
      <c r="DS177" s="43" t="str">
        <f t="shared" si="2882"/>
        <v/>
      </c>
      <c r="DT177" s="43" t="str">
        <f t="shared" si="2883"/>
        <v/>
      </c>
      <c r="DU177" s="43" t="str">
        <f t="shared" si="2884"/>
        <v/>
      </c>
      <c r="DV177" s="43" t="str">
        <f t="shared" si="2885"/>
        <v/>
      </c>
      <c r="DW177" s="43" t="str">
        <f t="shared" si="2886"/>
        <v/>
      </c>
      <c r="DX177" s="43" t="str">
        <f t="shared" si="2887"/>
        <v/>
      </c>
      <c r="DY177" s="43" t="str">
        <f t="shared" si="2888"/>
        <v/>
      </c>
      <c r="DZ177" s="43" t="str">
        <f t="shared" si="2889"/>
        <v/>
      </c>
      <c r="EA177" s="43" t="str">
        <f t="shared" si="2890"/>
        <v/>
      </c>
      <c r="EB177" s="43" t="str">
        <f t="shared" si="2891"/>
        <v/>
      </c>
      <c r="EC177" s="43" t="str">
        <f t="shared" si="2892"/>
        <v/>
      </c>
      <c r="ED177" s="43" t="str">
        <f t="shared" si="2893"/>
        <v/>
      </c>
      <c r="EE177" s="43" t="str">
        <f t="shared" si="2894"/>
        <v/>
      </c>
      <c r="EF177" s="43" t="str">
        <f t="shared" si="2895"/>
        <v/>
      </c>
      <c r="EG177" s="43" t="str">
        <f t="shared" si="2896"/>
        <v/>
      </c>
      <c r="EH177" s="43" t="str">
        <f t="shared" si="2897"/>
        <v/>
      </c>
      <c r="EI177" s="43" t="str">
        <f t="shared" si="2898"/>
        <v/>
      </c>
      <c r="EJ177" s="43" t="str">
        <f t="shared" si="2899"/>
        <v/>
      </c>
      <c r="EK177" s="43" t="str">
        <f t="shared" si="2900"/>
        <v/>
      </c>
      <c r="EL177" s="43" t="str">
        <f t="shared" si="2901"/>
        <v/>
      </c>
      <c r="EM177" s="43" t="str">
        <f t="shared" si="2902"/>
        <v/>
      </c>
      <c r="EN177" s="43" t="str">
        <f t="shared" si="2903"/>
        <v/>
      </c>
      <c r="EO177" s="43" t="str">
        <f t="shared" si="2904"/>
        <v/>
      </c>
      <c r="EP177" s="43" t="str">
        <f t="shared" si="2905"/>
        <v/>
      </c>
      <c r="EQ177" s="43" t="str">
        <f t="shared" si="2906"/>
        <v/>
      </c>
      <c r="ER177" s="43" t="str">
        <f t="shared" si="2907"/>
        <v/>
      </c>
      <c r="ES177" s="43" t="str">
        <f t="shared" si="2908"/>
        <v/>
      </c>
      <c r="ET177" s="43" t="str">
        <f t="shared" si="2909"/>
        <v/>
      </c>
      <c r="EU177" s="43" t="str">
        <f t="shared" si="2910"/>
        <v/>
      </c>
      <c r="EV177" s="43" t="str">
        <f t="shared" si="2911"/>
        <v/>
      </c>
      <c r="EW177" s="43" t="str">
        <f t="shared" si="2912"/>
        <v/>
      </c>
      <c r="EX177" s="43" t="str">
        <f t="shared" si="2913"/>
        <v/>
      </c>
      <c r="EY177" s="43" t="str">
        <f t="shared" si="2914"/>
        <v/>
      </c>
      <c r="EZ177" s="43" t="str">
        <f t="shared" si="2915"/>
        <v/>
      </c>
      <c r="FA177" s="43" t="str">
        <f t="shared" si="2916"/>
        <v/>
      </c>
      <c r="FB177" s="43" t="str">
        <f t="shared" si="2917"/>
        <v/>
      </c>
      <c r="FC177" s="43" t="str">
        <f t="shared" si="2918"/>
        <v/>
      </c>
      <c r="FD177" s="43" t="str">
        <f t="shared" si="2919"/>
        <v/>
      </c>
      <c r="FE177" s="43" t="str">
        <f t="shared" si="2920"/>
        <v/>
      </c>
      <c r="FF177" s="43" t="str">
        <f t="shared" si="2921"/>
        <v/>
      </c>
      <c r="FG177" s="43" t="str">
        <f t="shared" si="2922"/>
        <v/>
      </c>
      <c r="FH177" s="43" t="str">
        <f t="shared" si="2923"/>
        <v/>
      </c>
      <c r="FI177" s="43" t="str">
        <f t="shared" si="2924"/>
        <v/>
      </c>
      <c r="FJ177" s="43" t="str">
        <f t="shared" si="2925"/>
        <v/>
      </c>
      <c r="FK177" s="43" t="str">
        <f t="shared" si="2926"/>
        <v/>
      </c>
      <c r="FL177" s="43" t="str">
        <f t="shared" si="2927"/>
        <v/>
      </c>
      <c r="FM177" s="43" t="str">
        <f t="shared" si="2928"/>
        <v/>
      </c>
      <c r="FN177" s="43" t="str">
        <f t="shared" si="2929"/>
        <v/>
      </c>
      <c r="FO177" s="43" t="str">
        <f t="shared" si="2930"/>
        <v/>
      </c>
      <c r="FP177" s="43" t="str">
        <f t="shared" si="2931"/>
        <v/>
      </c>
      <c r="FQ177" s="43" t="str">
        <f t="shared" si="2932"/>
        <v/>
      </c>
      <c r="FR177" s="43" t="str">
        <f t="shared" si="2933"/>
        <v/>
      </c>
      <c r="FS177" s="43" t="str">
        <f t="shared" si="2934"/>
        <v/>
      </c>
    </row>
    <row r="178" spans="1:175" ht="16.5">
      <c r="A178" s="84"/>
      <c r="B178" s="4" t="s">
        <v>531</v>
      </c>
      <c r="C178" s="84" t="s">
        <v>532</v>
      </c>
      <c r="R178" s="37">
        <v>-7896</v>
      </c>
      <c r="S178" s="37">
        <v>5906</v>
      </c>
      <c r="T178" s="84" t="s">
        <v>533</v>
      </c>
      <c r="U178" s="55" t="str">
        <f t="shared" si="1549"/>
        <v>ReplaceableTextures\\CommandButtons\\BTNIT07.blp</v>
      </c>
      <c r="CN178" s="12" t="str">
        <f t="shared" si="2787"/>
        <v>InitUnitState('IT07',,,,,,,,,,)</v>
      </c>
      <c r="CO178" s="12" t="str">
        <f t="shared" si="2788"/>
        <v>InitUnitNormal('IT07',,,,,,,,,,)</v>
      </c>
      <c r="CP178" s="12" t="str">
        <f t="shared" si="2789"/>
        <v>InitUnitMagic('IT07',,,,,,,,,,)</v>
      </c>
      <c r="CQ178" s="12" t="str">
        <f t="shared" si="2790"/>
        <v>InitUnitAdd('IT07',,,,,,,,,,)</v>
      </c>
      <c r="CR178" s="12" t="str">
        <f t="shared" si="2791"/>
        <v>InitEquipData('IT07',,"",,,,,'','','','','','',"ReplaceableTextures\\CommandButtons\\BTNIT08.blp")</v>
      </c>
      <c r="CU178" s="67" t="str">
        <f t="shared" si="2864"/>
        <v>|n</v>
      </c>
      <c r="CV178" s="5" t="str">
        <f t="shared" si="2935"/>
        <v>渡过该劫后可结成|Cffffc926天级道果|r。|n|n|Cffffc926天级道果：|r|n攻击+5000|n法强+5000|n生命值+10000|n|Cffffd24d元神力+11|r|n|n|Cff00ff7f战力推荐：|r|n</v>
      </c>
      <c r="CW178" s="6"/>
      <c r="CX178" s="6"/>
      <c r="CY178" s="6"/>
      <c r="CZ178" s="6"/>
      <c r="DA178" s="6"/>
      <c r="DB178" s="43" t="str">
        <f t="shared" si="2865"/>
        <v/>
      </c>
      <c r="DC178" s="43" t="str">
        <f t="shared" si="2866"/>
        <v/>
      </c>
      <c r="DD178" s="43" t="str">
        <f t="shared" si="2867"/>
        <v/>
      </c>
      <c r="DE178" s="43" t="str">
        <f t="shared" si="2868"/>
        <v/>
      </c>
      <c r="DF178" s="43" t="str">
        <f t="shared" si="2869"/>
        <v/>
      </c>
      <c r="DG178" s="43" t="str">
        <f t="shared" si="2870"/>
        <v/>
      </c>
      <c r="DH178" s="43" t="str">
        <f t="shared" si="2871"/>
        <v/>
      </c>
      <c r="DI178" s="43" t="str">
        <f t="shared" si="2872"/>
        <v/>
      </c>
      <c r="DJ178" s="43" t="str">
        <f t="shared" si="2873"/>
        <v/>
      </c>
      <c r="DK178" s="43" t="str">
        <f t="shared" si="2874"/>
        <v/>
      </c>
      <c r="DL178" s="43" t="str">
        <f t="shared" si="2875"/>
        <v/>
      </c>
      <c r="DM178" s="43" t="str">
        <f t="shared" si="2876"/>
        <v/>
      </c>
      <c r="DN178" s="43" t="str">
        <f t="shared" si="2877"/>
        <v/>
      </c>
      <c r="DO178" s="43" t="str">
        <f t="shared" si="2878"/>
        <v/>
      </c>
      <c r="DP178" s="43" t="str">
        <f t="shared" si="2879"/>
        <v/>
      </c>
      <c r="DQ178" s="43" t="str">
        <f t="shared" si="2880"/>
        <v/>
      </c>
      <c r="DR178" s="43" t="str">
        <f t="shared" si="2881"/>
        <v/>
      </c>
      <c r="DS178" s="43" t="str">
        <f t="shared" si="2882"/>
        <v/>
      </c>
      <c r="DT178" s="43" t="str">
        <f t="shared" si="2883"/>
        <v/>
      </c>
      <c r="DU178" s="43" t="str">
        <f t="shared" si="2884"/>
        <v/>
      </c>
      <c r="DV178" s="43" t="str">
        <f t="shared" si="2885"/>
        <v/>
      </c>
      <c r="DW178" s="43" t="str">
        <f t="shared" si="2886"/>
        <v/>
      </c>
      <c r="DX178" s="43" t="str">
        <f t="shared" si="2887"/>
        <v/>
      </c>
      <c r="DY178" s="43" t="str">
        <f t="shared" si="2888"/>
        <v/>
      </c>
      <c r="DZ178" s="43" t="str">
        <f t="shared" si="2889"/>
        <v/>
      </c>
      <c r="EA178" s="43" t="str">
        <f t="shared" si="2890"/>
        <v/>
      </c>
      <c r="EB178" s="43" t="str">
        <f t="shared" si="2891"/>
        <v/>
      </c>
      <c r="EC178" s="43" t="str">
        <f t="shared" si="2892"/>
        <v/>
      </c>
      <c r="ED178" s="43" t="str">
        <f t="shared" si="2893"/>
        <v/>
      </c>
      <c r="EE178" s="43" t="str">
        <f t="shared" si="2894"/>
        <v/>
      </c>
      <c r="EF178" s="43" t="str">
        <f t="shared" si="2895"/>
        <v/>
      </c>
      <c r="EG178" s="43" t="str">
        <f t="shared" si="2896"/>
        <v/>
      </c>
      <c r="EH178" s="43" t="str">
        <f t="shared" si="2897"/>
        <v/>
      </c>
      <c r="EI178" s="43" t="str">
        <f t="shared" si="2898"/>
        <v/>
      </c>
      <c r="EJ178" s="43" t="str">
        <f t="shared" si="2899"/>
        <v/>
      </c>
      <c r="EK178" s="43" t="str">
        <f t="shared" si="2900"/>
        <v/>
      </c>
      <c r="EL178" s="43" t="str">
        <f t="shared" si="2901"/>
        <v/>
      </c>
      <c r="EM178" s="43" t="str">
        <f t="shared" si="2902"/>
        <v/>
      </c>
      <c r="EN178" s="43" t="str">
        <f t="shared" si="2903"/>
        <v/>
      </c>
      <c r="EO178" s="43" t="str">
        <f t="shared" si="2904"/>
        <v/>
      </c>
      <c r="EP178" s="43" t="str">
        <f t="shared" si="2905"/>
        <v/>
      </c>
      <c r="EQ178" s="43" t="str">
        <f t="shared" si="2906"/>
        <v/>
      </c>
      <c r="ER178" s="43" t="str">
        <f t="shared" si="2907"/>
        <v/>
      </c>
      <c r="ES178" s="43" t="str">
        <f t="shared" si="2908"/>
        <v/>
      </c>
      <c r="ET178" s="43" t="str">
        <f t="shared" si="2909"/>
        <v/>
      </c>
      <c r="EU178" s="43" t="str">
        <f t="shared" si="2910"/>
        <v/>
      </c>
      <c r="EV178" s="43" t="str">
        <f t="shared" si="2911"/>
        <v/>
      </c>
      <c r="EW178" s="43" t="str">
        <f t="shared" si="2912"/>
        <v/>
      </c>
      <c r="EX178" s="43" t="str">
        <f t="shared" si="2913"/>
        <v/>
      </c>
      <c r="EY178" s="43" t="str">
        <f t="shared" si="2914"/>
        <v/>
      </c>
      <c r="EZ178" s="43" t="str">
        <f t="shared" si="2915"/>
        <v/>
      </c>
      <c r="FA178" s="43" t="str">
        <f t="shared" si="2916"/>
        <v/>
      </c>
      <c r="FB178" s="43" t="str">
        <f t="shared" si="2917"/>
        <v/>
      </c>
      <c r="FC178" s="43" t="str">
        <f t="shared" si="2918"/>
        <v/>
      </c>
      <c r="FD178" s="43" t="str">
        <f t="shared" si="2919"/>
        <v/>
      </c>
      <c r="FE178" s="43" t="str">
        <f t="shared" si="2920"/>
        <v/>
      </c>
      <c r="FF178" s="43" t="str">
        <f t="shared" si="2921"/>
        <v/>
      </c>
      <c r="FG178" s="43" t="str">
        <f t="shared" si="2922"/>
        <v/>
      </c>
      <c r="FH178" s="43" t="str">
        <f t="shared" si="2923"/>
        <v/>
      </c>
      <c r="FI178" s="43" t="str">
        <f t="shared" si="2924"/>
        <v/>
      </c>
      <c r="FJ178" s="43" t="str">
        <f t="shared" si="2925"/>
        <v/>
      </c>
      <c r="FK178" s="43" t="str">
        <f t="shared" si="2926"/>
        <v/>
      </c>
      <c r="FL178" s="43" t="str">
        <f t="shared" si="2927"/>
        <v/>
      </c>
      <c r="FM178" s="43" t="str">
        <f t="shared" si="2928"/>
        <v/>
      </c>
      <c r="FN178" s="43" t="str">
        <f t="shared" si="2929"/>
        <v/>
      </c>
      <c r="FO178" s="43" t="str">
        <f t="shared" si="2930"/>
        <v/>
      </c>
      <c r="FP178" s="43" t="str">
        <f t="shared" si="2931"/>
        <v/>
      </c>
      <c r="FQ178" s="43" t="str">
        <f t="shared" si="2932"/>
        <v/>
      </c>
      <c r="FR178" s="43" t="str">
        <f t="shared" si="2933"/>
        <v/>
      </c>
      <c r="FS178" s="43" t="str">
        <f t="shared" si="2934"/>
        <v/>
      </c>
    </row>
    <row r="179" spans="1:175" ht="16.5">
      <c r="A179" s="84" t="s">
        <v>534</v>
      </c>
      <c r="B179" s="4" t="s">
        <v>535</v>
      </c>
      <c r="C179" s="84" t="s">
        <v>536</v>
      </c>
      <c r="R179" s="37">
        <v>-7970</v>
      </c>
      <c r="S179" s="37">
        <v>7965</v>
      </c>
      <c r="T179" s="84" t="s">
        <v>537</v>
      </c>
      <c r="U179" s="55" t="str">
        <f t="shared" si="1549"/>
        <v>ReplaceableTextures\\CommandButtons\\BTNIT08.blp</v>
      </c>
      <c r="CN179" s="12" t="str">
        <f t="shared" si="2787"/>
        <v>InitUnitState('IT08',,,,,,,,,,)</v>
      </c>
      <c r="CO179" s="12" t="str">
        <f t="shared" si="2788"/>
        <v>InitUnitNormal('IT08',,,,,,,,,,)</v>
      </c>
      <c r="CP179" s="12" t="str">
        <f t="shared" si="2789"/>
        <v>InitUnitMagic('IT08',,,,,,,,,,)</v>
      </c>
      <c r="CQ179" s="12" t="str">
        <f t="shared" si="2790"/>
        <v>InitUnitAdd('IT08',,,,,,,,,,)</v>
      </c>
      <c r="CR179" s="12" t="str">
        <f t="shared" si="2791"/>
        <v>InitEquipData('IT08',,".",,,,,'','','','','','',"ReplaceableTextures\\CommandButtons\\BTNIT09.blp")</v>
      </c>
      <c r="CU179" s="67" t="str">
        <f t="shared" si="2864"/>
        <v>|n</v>
      </c>
      <c r="CV179" s="5" t="str">
        <f t="shared" si="2935"/>
        <v>渡过该劫后可结成|Cffffc926仙品道果|r。|n|n|Cffffc926仙品道果：|r|n攻击+6500|n法强+6500|n生命值+13000|n|Cffffd24d元神力+13|r|n|n|Cff00ff7f战力推荐：|r</v>
      </c>
      <c r="CW179" s="6"/>
      <c r="CX179" s="6"/>
      <c r="CY179" s="6"/>
      <c r="CZ179" s="6"/>
      <c r="DA179" s="6"/>
      <c r="DB179" s="43" t="str">
        <f t="shared" si="2865"/>
        <v/>
      </c>
      <c r="DC179" s="43" t="str">
        <f t="shared" si="2866"/>
        <v/>
      </c>
      <c r="DD179" s="43" t="str">
        <f t="shared" si="2867"/>
        <v/>
      </c>
      <c r="DE179" s="43" t="str">
        <f t="shared" si="2868"/>
        <v/>
      </c>
      <c r="DF179" s="43" t="str">
        <f t="shared" si="2869"/>
        <v/>
      </c>
      <c r="DG179" s="43" t="str">
        <f t="shared" si="2870"/>
        <v/>
      </c>
      <c r="DH179" s="43" t="str">
        <f t="shared" si="2871"/>
        <v/>
      </c>
      <c r="DI179" s="43" t="str">
        <f t="shared" si="2872"/>
        <v/>
      </c>
      <c r="DJ179" s="43" t="str">
        <f t="shared" si="2873"/>
        <v/>
      </c>
      <c r="DK179" s="43" t="str">
        <f t="shared" si="2874"/>
        <v/>
      </c>
      <c r="DL179" s="43" t="str">
        <f t="shared" si="2875"/>
        <v/>
      </c>
      <c r="DM179" s="43" t="str">
        <f t="shared" si="2876"/>
        <v/>
      </c>
      <c r="DN179" s="43" t="str">
        <f t="shared" si="2877"/>
        <v/>
      </c>
      <c r="DO179" s="43" t="str">
        <f t="shared" si="2878"/>
        <v/>
      </c>
      <c r="DP179" s="43" t="str">
        <f t="shared" si="2879"/>
        <v/>
      </c>
      <c r="DQ179" s="43" t="str">
        <f t="shared" si="2880"/>
        <v/>
      </c>
      <c r="DR179" s="43" t="str">
        <f t="shared" si="2881"/>
        <v/>
      </c>
      <c r="DS179" s="43" t="str">
        <f t="shared" si="2882"/>
        <v/>
      </c>
      <c r="DT179" s="43" t="str">
        <f t="shared" si="2883"/>
        <v/>
      </c>
      <c r="DU179" s="43" t="str">
        <f t="shared" si="2884"/>
        <v/>
      </c>
      <c r="DV179" s="43" t="str">
        <f t="shared" si="2885"/>
        <v/>
      </c>
      <c r="DW179" s="43" t="str">
        <f t="shared" si="2886"/>
        <v/>
      </c>
      <c r="DX179" s="43" t="str">
        <f t="shared" si="2887"/>
        <v/>
      </c>
      <c r="DY179" s="43" t="str">
        <f t="shared" si="2888"/>
        <v/>
      </c>
      <c r="DZ179" s="43" t="str">
        <f t="shared" si="2889"/>
        <v/>
      </c>
      <c r="EA179" s="43" t="str">
        <f t="shared" si="2890"/>
        <v/>
      </c>
      <c r="EB179" s="43" t="str">
        <f t="shared" si="2891"/>
        <v/>
      </c>
      <c r="EC179" s="43" t="str">
        <f t="shared" si="2892"/>
        <v/>
      </c>
      <c r="ED179" s="43" t="str">
        <f t="shared" si="2893"/>
        <v/>
      </c>
      <c r="EE179" s="43" t="str">
        <f t="shared" si="2894"/>
        <v/>
      </c>
      <c r="EF179" s="43" t="str">
        <f t="shared" si="2895"/>
        <v/>
      </c>
      <c r="EG179" s="43" t="str">
        <f t="shared" si="2896"/>
        <v/>
      </c>
      <c r="EH179" s="43" t="str">
        <f t="shared" si="2897"/>
        <v/>
      </c>
      <c r="EI179" s="43" t="str">
        <f t="shared" si="2898"/>
        <v/>
      </c>
      <c r="EJ179" s="43" t="str">
        <f t="shared" si="2899"/>
        <v/>
      </c>
      <c r="EK179" s="43" t="str">
        <f t="shared" si="2900"/>
        <v/>
      </c>
      <c r="EL179" s="43" t="str">
        <f t="shared" si="2901"/>
        <v/>
      </c>
      <c r="EM179" s="43" t="str">
        <f t="shared" si="2902"/>
        <v/>
      </c>
      <c r="EN179" s="43" t="str">
        <f t="shared" si="2903"/>
        <v/>
      </c>
      <c r="EO179" s="43" t="str">
        <f t="shared" si="2904"/>
        <v/>
      </c>
      <c r="EP179" s="43" t="str">
        <f t="shared" si="2905"/>
        <v/>
      </c>
      <c r="EQ179" s="43" t="str">
        <f t="shared" si="2906"/>
        <v/>
      </c>
      <c r="ER179" s="43" t="str">
        <f t="shared" si="2907"/>
        <v/>
      </c>
      <c r="ES179" s="43" t="str">
        <f t="shared" si="2908"/>
        <v/>
      </c>
      <c r="ET179" s="43" t="str">
        <f t="shared" si="2909"/>
        <v/>
      </c>
      <c r="EU179" s="43" t="str">
        <f t="shared" si="2910"/>
        <v/>
      </c>
      <c r="EV179" s="43" t="str">
        <f t="shared" si="2911"/>
        <v/>
      </c>
      <c r="EW179" s="43" t="str">
        <f t="shared" si="2912"/>
        <v/>
      </c>
      <c r="EX179" s="43" t="str">
        <f t="shared" si="2913"/>
        <v/>
      </c>
      <c r="EY179" s="43" t="str">
        <f t="shared" si="2914"/>
        <v/>
      </c>
      <c r="EZ179" s="43" t="str">
        <f t="shared" si="2915"/>
        <v/>
      </c>
      <c r="FA179" s="43" t="str">
        <f t="shared" si="2916"/>
        <v/>
      </c>
      <c r="FB179" s="43" t="str">
        <f t="shared" si="2917"/>
        <v/>
      </c>
      <c r="FC179" s="43" t="str">
        <f t="shared" si="2918"/>
        <v/>
      </c>
      <c r="FD179" s="43" t="str">
        <f t="shared" si="2919"/>
        <v/>
      </c>
      <c r="FE179" s="43" t="str">
        <f t="shared" si="2920"/>
        <v/>
      </c>
      <c r="FF179" s="43" t="str">
        <f t="shared" si="2921"/>
        <v/>
      </c>
      <c r="FG179" s="43" t="str">
        <f t="shared" si="2922"/>
        <v/>
      </c>
      <c r="FH179" s="43" t="str">
        <f t="shared" si="2923"/>
        <v/>
      </c>
      <c r="FI179" s="43" t="str">
        <f t="shared" si="2924"/>
        <v/>
      </c>
      <c r="FJ179" s="43" t="str">
        <f t="shared" si="2925"/>
        <v/>
      </c>
      <c r="FK179" s="43" t="str">
        <f t="shared" si="2926"/>
        <v/>
      </c>
      <c r="FL179" s="43" t="str">
        <f t="shared" si="2927"/>
        <v/>
      </c>
      <c r="FM179" s="43" t="str">
        <f t="shared" si="2928"/>
        <v/>
      </c>
      <c r="FN179" s="43" t="str">
        <f t="shared" si="2929"/>
        <v/>
      </c>
      <c r="FO179" s="43" t="str">
        <f t="shared" si="2930"/>
        <v/>
      </c>
      <c r="FP179" s="43" t="str">
        <f t="shared" si="2931"/>
        <v/>
      </c>
      <c r="FQ179" s="43" t="str">
        <f t="shared" si="2932"/>
        <v/>
      </c>
      <c r="FR179" s="43" t="str">
        <f t="shared" si="2933"/>
        <v/>
      </c>
      <c r="FS179" s="43" t="str">
        <f t="shared" si="2934"/>
        <v/>
      </c>
    </row>
    <row r="180" spans="1:175" ht="16.5">
      <c r="A180" s="84"/>
      <c r="B180" s="4" t="s">
        <v>538</v>
      </c>
      <c r="C180" s="84" t="s">
        <v>539</v>
      </c>
      <c r="R180" s="37">
        <v>2100</v>
      </c>
      <c r="S180" s="37">
        <v>-5120</v>
      </c>
      <c r="T180" s="84" t="s">
        <v>540</v>
      </c>
      <c r="U180" s="55" t="str">
        <f t="shared" si="1549"/>
        <v>ReplaceableTextures\\CommandButtons\\BTNIT09.blp</v>
      </c>
      <c r="CN180" s="12" t="str">
        <f t="shared" si="2787"/>
        <v>InitUnitState('IT09',,,,,,,,,,)</v>
      </c>
      <c r="CO180" s="12" t="str">
        <f t="shared" si="2788"/>
        <v>InitUnitNormal('IT09',,,,,,,,,,)</v>
      </c>
      <c r="CP180" s="12" t="str">
        <f t="shared" si="2789"/>
        <v>InitUnitMagic('IT09',,,,,,,,,,)</v>
      </c>
      <c r="CQ180" s="12" t="str">
        <f t="shared" si="2790"/>
        <v>InitUnitAdd('IT09',,,,,,,,,,)</v>
      </c>
      <c r="CR180" s="12" t="str">
        <f t="shared" si="2791"/>
        <v>InitEquipData('IT09',,"",,,,,'','','','','','',"ReplaceableTextures\\CommandButtons\\BTNIT10.blp")</v>
      </c>
      <c r="CU180" s="67" t="str">
        <f t="shared" si="2864"/>
        <v>|n</v>
      </c>
      <c r="CV180" s="5" t="str">
        <f t="shared" si="2935"/>
        <v>渡过该劫后可结成|Cffff0000至圣道果|r。|n|n|Cffff0000至圣道果：|r|n攻击+8000|n法强+8000|n生命值+16000|n|Cffffd24d元神力+16|r|n|n|Cff00ff7f战力推荐：|r</v>
      </c>
      <c r="CW180" s="6"/>
      <c r="CX180" s="6"/>
      <c r="CY180" s="6"/>
      <c r="CZ180" s="6"/>
      <c r="DA180" s="6"/>
      <c r="DB180" s="43" t="str">
        <f t="shared" si="2865"/>
        <v/>
      </c>
      <c r="DC180" s="43" t="str">
        <f t="shared" si="2866"/>
        <v/>
      </c>
      <c r="DD180" s="43" t="str">
        <f t="shared" si="2867"/>
        <v/>
      </c>
      <c r="DE180" s="43" t="str">
        <f t="shared" si="2868"/>
        <v/>
      </c>
      <c r="DF180" s="43" t="str">
        <f t="shared" si="2869"/>
        <v/>
      </c>
      <c r="DG180" s="43" t="str">
        <f t="shared" si="2870"/>
        <v/>
      </c>
      <c r="DH180" s="43" t="str">
        <f t="shared" si="2871"/>
        <v/>
      </c>
      <c r="DI180" s="43" t="str">
        <f t="shared" si="2872"/>
        <v/>
      </c>
      <c r="DJ180" s="43" t="str">
        <f t="shared" si="2873"/>
        <v/>
      </c>
      <c r="DK180" s="43" t="str">
        <f t="shared" si="2874"/>
        <v/>
      </c>
      <c r="DL180" s="43" t="str">
        <f t="shared" si="2875"/>
        <v/>
      </c>
      <c r="DM180" s="43" t="str">
        <f t="shared" si="2876"/>
        <v/>
      </c>
      <c r="DN180" s="43" t="str">
        <f t="shared" si="2877"/>
        <v/>
      </c>
      <c r="DO180" s="43" t="str">
        <f t="shared" si="2878"/>
        <v/>
      </c>
      <c r="DP180" s="43" t="str">
        <f t="shared" si="2879"/>
        <v/>
      </c>
      <c r="DQ180" s="43" t="str">
        <f t="shared" si="2880"/>
        <v/>
      </c>
      <c r="DR180" s="43" t="str">
        <f t="shared" si="2881"/>
        <v/>
      </c>
      <c r="DS180" s="43" t="str">
        <f t="shared" si="2882"/>
        <v/>
      </c>
      <c r="DT180" s="43" t="str">
        <f t="shared" si="2883"/>
        <v/>
      </c>
      <c r="DU180" s="43" t="str">
        <f t="shared" si="2884"/>
        <v/>
      </c>
      <c r="DV180" s="43" t="str">
        <f t="shared" si="2885"/>
        <v/>
      </c>
      <c r="DW180" s="43" t="str">
        <f t="shared" si="2886"/>
        <v/>
      </c>
      <c r="DX180" s="43" t="str">
        <f t="shared" si="2887"/>
        <v/>
      </c>
      <c r="DY180" s="43" t="str">
        <f t="shared" si="2888"/>
        <v/>
      </c>
      <c r="DZ180" s="43" t="str">
        <f t="shared" si="2889"/>
        <v/>
      </c>
      <c r="EA180" s="43" t="str">
        <f t="shared" si="2890"/>
        <v/>
      </c>
      <c r="EB180" s="43" t="str">
        <f t="shared" si="2891"/>
        <v/>
      </c>
      <c r="EC180" s="43" t="str">
        <f t="shared" si="2892"/>
        <v/>
      </c>
      <c r="ED180" s="43" t="str">
        <f t="shared" si="2893"/>
        <v/>
      </c>
      <c r="EE180" s="43" t="str">
        <f t="shared" si="2894"/>
        <v/>
      </c>
      <c r="EF180" s="43" t="str">
        <f t="shared" si="2895"/>
        <v/>
      </c>
      <c r="EG180" s="43" t="str">
        <f t="shared" si="2896"/>
        <v/>
      </c>
      <c r="EH180" s="43" t="str">
        <f t="shared" si="2897"/>
        <v/>
      </c>
      <c r="EI180" s="43" t="str">
        <f t="shared" si="2898"/>
        <v/>
      </c>
      <c r="EJ180" s="43" t="str">
        <f t="shared" si="2899"/>
        <v/>
      </c>
      <c r="EK180" s="43" t="str">
        <f t="shared" si="2900"/>
        <v/>
      </c>
      <c r="EL180" s="43" t="str">
        <f t="shared" si="2901"/>
        <v/>
      </c>
      <c r="EM180" s="43" t="str">
        <f t="shared" si="2902"/>
        <v/>
      </c>
      <c r="EN180" s="43" t="str">
        <f t="shared" si="2903"/>
        <v/>
      </c>
      <c r="EO180" s="43" t="str">
        <f t="shared" si="2904"/>
        <v/>
      </c>
      <c r="EP180" s="43" t="str">
        <f t="shared" si="2905"/>
        <v/>
      </c>
      <c r="EQ180" s="43" t="str">
        <f t="shared" si="2906"/>
        <v/>
      </c>
      <c r="ER180" s="43" t="str">
        <f t="shared" si="2907"/>
        <v/>
      </c>
      <c r="ES180" s="43" t="str">
        <f t="shared" si="2908"/>
        <v/>
      </c>
      <c r="ET180" s="43" t="str">
        <f t="shared" si="2909"/>
        <v/>
      </c>
      <c r="EU180" s="43" t="str">
        <f t="shared" si="2910"/>
        <v/>
      </c>
      <c r="EV180" s="43" t="str">
        <f t="shared" si="2911"/>
        <v/>
      </c>
      <c r="EW180" s="43" t="str">
        <f t="shared" si="2912"/>
        <v/>
      </c>
      <c r="EX180" s="43" t="str">
        <f t="shared" si="2913"/>
        <v/>
      </c>
      <c r="EY180" s="43" t="str">
        <f t="shared" si="2914"/>
        <v/>
      </c>
      <c r="EZ180" s="43" t="str">
        <f t="shared" si="2915"/>
        <v/>
      </c>
      <c r="FA180" s="43" t="str">
        <f t="shared" si="2916"/>
        <v/>
      </c>
      <c r="FB180" s="43" t="str">
        <f t="shared" si="2917"/>
        <v/>
      </c>
      <c r="FC180" s="43" t="str">
        <f t="shared" si="2918"/>
        <v/>
      </c>
      <c r="FD180" s="43" t="str">
        <f t="shared" si="2919"/>
        <v/>
      </c>
      <c r="FE180" s="43" t="str">
        <f t="shared" si="2920"/>
        <v/>
      </c>
      <c r="FF180" s="43" t="str">
        <f t="shared" si="2921"/>
        <v/>
      </c>
      <c r="FG180" s="43" t="str">
        <f t="shared" si="2922"/>
        <v/>
      </c>
      <c r="FH180" s="43" t="str">
        <f t="shared" si="2923"/>
        <v/>
      </c>
      <c r="FI180" s="43" t="str">
        <f t="shared" si="2924"/>
        <v/>
      </c>
      <c r="FJ180" s="43" t="str">
        <f t="shared" si="2925"/>
        <v/>
      </c>
      <c r="FK180" s="43" t="str">
        <f t="shared" si="2926"/>
        <v/>
      </c>
      <c r="FL180" s="43" t="str">
        <f t="shared" si="2927"/>
        <v/>
      </c>
      <c r="FM180" s="43" t="str">
        <f t="shared" si="2928"/>
        <v/>
      </c>
      <c r="FN180" s="43" t="str">
        <f t="shared" si="2929"/>
        <v/>
      </c>
      <c r="FO180" s="43" t="str">
        <f t="shared" si="2930"/>
        <v/>
      </c>
      <c r="FP180" s="43" t="str">
        <f t="shared" si="2931"/>
        <v/>
      </c>
      <c r="FQ180" s="43" t="str">
        <f t="shared" si="2932"/>
        <v/>
      </c>
      <c r="FR180" s="43" t="str">
        <f t="shared" si="2933"/>
        <v/>
      </c>
      <c r="FS180" s="43" t="str">
        <f t="shared" si="2934"/>
        <v/>
      </c>
    </row>
    <row r="181" spans="1:175" ht="16.5">
      <c r="A181" s="84"/>
      <c r="B181" s="4" t="s">
        <v>541</v>
      </c>
      <c r="C181" s="84" t="s">
        <v>542</v>
      </c>
      <c r="R181" s="37">
        <v>2268</v>
      </c>
      <c r="S181" s="37">
        <v>-8065</v>
      </c>
      <c r="T181" s="84" t="s">
        <v>543</v>
      </c>
      <c r="U181" s="55" t="str">
        <f t="shared" si="1549"/>
        <v>ReplaceableTextures\\CommandButtons\\BTNIT10.blp</v>
      </c>
      <c r="CN181" s="12" t="str">
        <f t="shared" si="2787"/>
        <v>InitUnitState('IT10',,,,,,,,,,)</v>
      </c>
      <c r="CO181" s="12" t="str">
        <f t="shared" si="2788"/>
        <v>InitUnitNormal('IT10',,,,,,,,,,)</v>
      </c>
      <c r="CP181" s="12" t="str">
        <f t="shared" si="2789"/>
        <v>InitUnitMagic('IT10',,,,,,,,,,)</v>
      </c>
      <c r="CQ181" s="12" t="str">
        <f t="shared" si="2790"/>
        <v>InitUnitAdd('IT10',,,,,,,,,,)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189&amp;CR$1&amp;")"</f>
        <v>InitEquipData('IT10',,"",,,,,'','','','','','',"ReplaceableTextures\\CommandButtons\\BTN002.blp")</v>
      </c>
      <c r="CU181" s="67" t="str">
        <f t="shared" si="2864"/>
        <v>|n</v>
      </c>
      <c r="CV181" s="5" t="str">
        <f t="shared" si="2935"/>
        <v>渡过该劫后可结成|Cffff0000混沌道果|r。|n|n|Cffff0000混沌道果：|r|n攻击+10000|n法强+10000|n生命值+20000|n|Cffffd24d元神力+20|r|n|n|Cff00ff7f战力推荐：|r</v>
      </c>
      <c r="CW181" s="6"/>
      <c r="CX181" s="6"/>
      <c r="CY181" s="6"/>
      <c r="CZ181" s="6"/>
      <c r="DA181" s="6"/>
      <c r="DB181" s="43" t="str">
        <f t="shared" si="2865"/>
        <v/>
      </c>
      <c r="DC181" s="43" t="str">
        <f t="shared" si="2866"/>
        <v/>
      </c>
      <c r="DD181" s="43" t="str">
        <f t="shared" si="2867"/>
        <v/>
      </c>
      <c r="DE181" s="43" t="str">
        <f t="shared" si="2868"/>
        <v/>
      </c>
      <c r="DF181" s="43" t="str">
        <f t="shared" si="2869"/>
        <v/>
      </c>
      <c r="DG181" s="43" t="str">
        <f t="shared" si="2870"/>
        <v/>
      </c>
      <c r="DH181" s="43" t="str">
        <f t="shared" si="2871"/>
        <v/>
      </c>
      <c r="DI181" s="43" t="str">
        <f t="shared" si="2872"/>
        <v/>
      </c>
      <c r="DJ181" s="43" t="str">
        <f t="shared" si="2873"/>
        <v/>
      </c>
      <c r="DK181" s="43" t="str">
        <f t="shared" si="2874"/>
        <v/>
      </c>
      <c r="DL181" s="43" t="str">
        <f t="shared" si="2875"/>
        <v/>
      </c>
      <c r="DM181" s="43" t="str">
        <f t="shared" si="2876"/>
        <v/>
      </c>
      <c r="DN181" s="43" t="str">
        <f t="shared" si="2877"/>
        <v/>
      </c>
      <c r="DO181" s="43" t="str">
        <f t="shared" si="2878"/>
        <v/>
      </c>
      <c r="DP181" s="43" t="str">
        <f t="shared" si="2879"/>
        <v/>
      </c>
      <c r="DQ181" s="43" t="str">
        <f t="shared" si="2880"/>
        <v/>
      </c>
      <c r="DR181" s="43" t="str">
        <f t="shared" si="2881"/>
        <v/>
      </c>
      <c r="DS181" s="43" t="str">
        <f t="shared" si="2882"/>
        <v/>
      </c>
      <c r="DT181" s="43" t="str">
        <f t="shared" si="2883"/>
        <v/>
      </c>
      <c r="DU181" s="43" t="str">
        <f t="shared" si="2884"/>
        <v/>
      </c>
      <c r="DV181" s="43" t="str">
        <f t="shared" si="2885"/>
        <v/>
      </c>
      <c r="DW181" s="43" t="str">
        <f t="shared" si="2886"/>
        <v/>
      </c>
      <c r="DX181" s="43" t="str">
        <f t="shared" si="2887"/>
        <v/>
      </c>
      <c r="DY181" s="43" t="str">
        <f t="shared" si="2888"/>
        <v/>
      </c>
      <c r="DZ181" s="43" t="str">
        <f t="shared" si="2889"/>
        <v/>
      </c>
      <c r="EA181" s="43" t="str">
        <f t="shared" si="2890"/>
        <v/>
      </c>
      <c r="EB181" s="43" t="str">
        <f t="shared" si="2891"/>
        <v/>
      </c>
      <c r="EC181" s="43" t="str">
        <f t="shared" si="2892"/>
        <v/>
      </c>
      <c r="ED181" s="43" t="str">
        <f t="shared" si="2893"/>
        <v/>
      </c>
      <c r="EE181" s="43" t="str">
        <f t="shared" si="2894"/>
        <v/>
      </c>
      <c r="EF181" s="43" t="str">
        <f t="shared" si="2895"/>
        <v/>
      </c>
      <c r="EG181" s="43" t="str">
        <f t="shared" si="2896"/>
        <v/>
      </c>
      <c r="EH181" s="43" t="str">
        <f t="shared" si="2897"/>
        <v/>
      </c>
      <c r="EI181" s="43" t="str">
        <f t="shared" si="2898"/>
        <v/>
      </c>
      <c r="EJ181" s="43" t="str">
        <f t="shared" si="2899"/>
        <v/>
      </c>
      <c r="EK181" s="43" t="str">
        <f t="shared" si="2900"/>
        <v/>
      </c>
      <c r="EL181" s="43" t="str">
        <f t="shared" si="2901"/>
        <v/>
      </c>
      <c r="EM181" s="43" t="str">
        <f t="shared" si="2902"/>
        <v/>
      </c>
      <c r="EN181" s="43" t="str">
        <f t="shared" si="2903"/>
        <v/>
      </c>
      <c r="EO181" s="43" t="str">
        <f t="shared" si="2904"/>
        <v/>
      </c>
      <c r="EP181" s="43" t="str">
        <f t="shared" si="2905"/>
        <v/>
      </c>
      <c r="EQ181" s="43" t="str">
        <f t="shared" si="2906"/>
        <v/>
      </c>
      <c r="ER181" s="43" t="str">
        <f t="shared" si="2907"/>
        <v/>
      </c>
      <c r="ES181" s="43" t="str">
        <f t="shared" si="2908"/>
        <v/>
      </c>
      <c r="ET181" s="43" t="str">
        <f t="shared" si="2909"/>
        <v/>
      </c>
      <c r="EU181" s="43" t="str">
        <f t="shared" si="2910"/>
        <v/>
      </c>
      <c r="EV181" s="43" t="str">
        <f t="shared" si="2911"/>
        <v/>
      </c>
      <c r="EW181" s="43" t="str">
        <f t="shared" si="2912"/>
        <v/>
      </c>
      <c r="EX181" s="43" t="str">
        <f t="shared" si="2913"/>
        <v/>
      </c>
      <c r="EY181" s="43" t="str">
        <f t="shared" si="2914"/>
        <v/>
      </c>
      <c r="EZ181" s="43" t="str">
        <f t="shared" si="2915"/>
        <v/>
      </c>
      <c r="FA181" s="43" t="str">
        <f t="shared" si="2916"/>
        <v/>
      </c>
      <c r="FB181" s="43" t="str">
        <f t="shared" si="2917"/>
        <v/>
      </c>
      <c r="FC181" s="43" t="str">
        <f t="shared" si="2918"/>
        <v/>
      </c>
      <c r="FD181" s="43" t="str">
        <f t="shared" si="2919"/>
        <v/>
      </c>
      <c r="FE181" s="43" t="str">
        <f t="shared" si="2920"/>
        <v/>
      </c>
      <c r="FF181" s="43" t="str">
        <f t="shared" si="2921"/>
        <v/>
      </c>
      <c r="FG181" s="43" t="str">
        <f t="shared" si="2922"/>
        <v/>
      </c>
      <c r="FH181" s="43" t="str">
        <f t="shared" si="2923"/>
        <v/>
      </c>
      <c r="FI181" s="43" t="str">
        <f t="shared" si="2924"/>
        <v/>
      </c>
      <c r="FJ181" s="43" t="str">
        <f t="shared" si="2925"/>
        <v/>
      </c>
      <c r="FK181" s="43" t="str">
        <f t="shared" si="2926"/>
        <v/>
      </c>
      <c r="FL181" s="43" t="str">
        <f t="shared" si="2927"/>
        <v/>
      </c>
      <c r="FM181" s="43" t="str">
        <f t="shared" si="2928"/>
        <v/>
      </c>
      <c r="FN181" s="43" t="str">
        <f t="shared" si="2929"/>
        <v/>
      </c>
      <c r="FO181" s="43" t="str">
        <f t="shared" si="2930"/>
        <v/>
      </c>
      <c r="FP181" s="43" t="str">
        <f t="shared" si="2931"/>
        <v/>
      </c>
      <c r="FQ181" s="43" t="str">
        <f t="shared" si="2932"/>
        <v/>
      </c>
      <c r="FR181" s="43" t="str">
        <f t="shared" si="2933"/>
        <v/>
      </c>
      <c r="FS181" s="43" t="str">
        <f t="shared" si="2934"/>
        <v/>
      </c>
    </row>
    <row r="182" spans="1:175" ht="16.5">
      <c r="A182" s="84" t="s">
        <v>534</v>
      </c>
      <c r="B182" s="4" t="s">
        <v>544</v>
      </c>
      <c r="C182" s="84" t="s">
        <v>545</v>
      </c>
      <c r="T182" s="84" t="s">
        <v>546</v>
      </c>
      <c r="U182" s="55" t="str">
        <f t="shared" si="1549"/>
        <v>ReplaceableTextures\\CommandButtons\\BTNIT11.blp</v>
      </c>
      <c r="CN182" s="12" t="str">
        <f t="shared" si="2787"/>
        <v>InitUnitState('IT11',,,,,,,,,,)</v>
      </c>
      <c r="CO182" s="12" t="str">
        <f t="shared" si="2788"/>
        <v>InitUnitNormal('IT11',,,,,,,,,,)</v>
      </c>
      <c r="CP182" s="12" t="str">
        <f t="shared" si="2789"/>
        <v>InitUnitMagic('IT11',,,,,,,,,,)</v>
      </c>
      <c r="CQ182" s="12" t="str">
        <f t="shared" si="2790"/>
        <v>InitUnitAdd('IT11',,,,,,,,,,)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InitEquipData('IT11',,".",,,,,'','','','','','',"ReplaceableTextures\\CommandButtons\\BTNIT12.blp")</v>
      </c>
      <c r="CU182" s="67" t="str">
        <f t="shared" ref="CU182:CU189" si="2936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5" t="str">
        <f t="shared" ref="CV182:CV189" si="2937">T182</f>
        <v>境界挑战11</v>
      </c>
      <c r="CW182" s="6"/>
      <c r="CX182" s="6"/>
      <c r="CY182" s="6"/>
      <c r="CZ182" s="6"/>
      <c r="DA182" s="6"/>
      <c r="DB182" s="43" t="str">
        <f t="shared" ref="DB182:DB184" si="2938">IF(V182="","","|n"&amp;DB$2&amp;"+"&amp;V182&amp;DB$1)</f>
        <v/>
      </c>
      <c r="DC182" s="43" t="str">
        <f t="shared" ref="DC182:DC184" si="2939">IF(W182="","","|n"&amp;DC$2&amp;"+"&amp;W182&amp;DC$1)</f>
        <v/>
      </c>
      <c r="DD182" s="43" t="str">
        <f t="shared" ref="DD182:DD184" si="2940">IF(X182="","","|n"&amp;DD$2&amp;"+"&amp;X182&amp;DD$1)</f>
        <v/>
      </c>
      <c r="DE182" s="43" t="str">
        <f t="shared" ref="DE182:DE184" si="2941">IF(Y182="","","|n"&amp;DE$2&amp;"+"&amp;Y182&amp;DE$1)</f>
        <v/>
      </c>
      <c r="DF182" s="43" t="str">
        <f t="shared" ref="DF182:DF184" si="2942">IF(Z182="","","|n"&amp;DF$2&amp;"+"&amp;Z182&amp;DF$1)</f>
        <v/>
      </c>
      <c r="DG182" s="43" t="str">
        <f t="shared" ref="DG182:DG184" si="2943">IF(AA182="","","|n"&amp;DG$2&amp;"+"&amp;AA182&amp;DG$1)</f>
        <v/>
      </c>
      <c r="DH182" s="43" t="str">
        <f t="shared" ref="DH182:DH184" si="2944">IF(AB182="","","|n"&amp;DH$2&amp;"+"&amp;AB182&amp;DH$1)</f>
        <v/>
      </c>
      <c r="DI182" s="43" t="str">
        <f t="shared" ref="DI182:DI184" si="2945">IF(AC182="","","|n"&amp;DI$2&amp;"+"&amp;AC182&amp;DI$1)</f>
        <v/>
      </c>
      <c r="DJ182" s="43" t="str">
        <f t="shared" ref="DJ182:DJ184" si="2946">IF(AD182="","","|n"&amp;DJ$2&amp;"+"&amp;AD182&amp;DJ$1)</f>
        <v/>
      </c>
      <c r="DK182" s="43" t="str">
        <f t="shared" ref="DK182:DK184" si="2947">IF(AE182="","","|n"&amp;DK$2&amp;"+"&amp;AE182&amp;DK$1)</f>
        <v/>
      </c>
      <c r="DL182" s="43" t="str">
        <f t="shared" ref="DL182:DL184" si="2948">IF(AF182="","","|n"&amp;DL$2&amp;"+"&amp;AF182&amp;DL$1)</f>
        <v/>
      </c>
      <c r="DM182" s="43" t="str">
        <f t="shared" ref="DM182:DM184" si="2949">IF(AG182="","","|n"&amp;DM$2&amp;"+"&amp;AG182&amp;DM$1)</f>
        <v/>
      </c>
      <c r="DN182" s="43" t="str">
        <f t="shared" ref="DN182:DN184" si="2950">IF(AH182="","","|n"&amp;DN$2&amp;"+"&amp;AH182&amp;DN$1)</f>
        <v/>
      </c>
      <c r="DO182" s="43" t="str">
        <f t="shared" ref="DO182:DO184" si="2951">IF(AI182="","","|n"&amp;DO$2&amp;"+"&amp;AI182&amp;DO$1)</f>
        <v/>
      </c>
      <c r="DP182" s="43" t="str">
        <f t="shared" ref="DP182:DP184" si="2952">IF(AJ182="","","|n"&amp;DP$2&amp;"+"&amp;AJ182&amp;DP$1)</f>
        <v/>
      </c>
      <c r="DQ182" s="43" t="str">
        <f t="shared" ref="DQ182:DQ184" si="2953">IF(AK182="","","|n"&amp;DQ$2&amp;"+"&amp;AK182&amp;DQ$1)</f>
        <v/>
      </c>
      <c r="DR182" s="43" t="str">
        <f t="shared" ref="DR182:DR184" si="2954">IF(AL182="","","|n"&amp;DR$2&amp;"+"&amp;AL182&amp;DR$1)</f>
        <v/>
      </c>
      <c r="DS182" s="43" t="str">
        <f t="shared" ref="DS182:DS184" si="2955">IF(AM182="","","|n"&amp;DS$2&amp;"+"&amp;AM182&amp;DS$1)</f>
        <v/>
      </c>
      <c r="DT182" s="43" t="str">
        <f t="shared" ref="DT182:DT184" si="2956">IF(AN182="","","|n"&amp;DT$2&amp;"+"&amp;AN182&amp;DT$1)</f>
        <v/>
      </c>
      <c r="DU182" s="43" t="str">
        <f t="shared" ref="DU182:DU184" si="2957">IF(AO182="","","|n"&amp;DU$2&amp;"+"&amp;AO182&amp;DU$1)</f>
        <v/>
      </c>
      <c r="DV182" s="43" t="str">
        <f t="shared" ref="DV182:DV184" si="2958">IF(AP182="","","|n"&amp;DV$2&amp;"+"&amp;AP182&amp;DV$1)</f>
        <v/>
      </c>
      <c r="DW182" s="43" t="str">
        <f t="shared" ref="DW182:DW184" si="2959">IF(AQ182="","","|n"&amp;DW$2&amp;"+"&amp;AQ182&amp;DW$1)</f>
        <v/>
      </c>
      <c r="DX182" s="43" t="str">
        <f t="shared" ref="DX182:DX184" si="2960">IF(AR182="","","|n"&amp;DX$2&amp;"+"&amp;AR182&amp;DX$1)</f>
        <v/>
      </c>
      <c r="DY182" s="43" t="str">
        <f t="shared" ref="DY182:DY184" si="2961">IF(AS182="","","|n"&amp;DY$2&amp;"+"&amp;AS182&amp;DY$1)</f>
        <v/>
      </c>
      <c r="DZ182" s="43" t="str">
        <f t="shared" ref="DZ182:DZ184" si="2962">IF(AT182="","","|n"&amp;DZ$2&amp;"+"&amp;AT182&amp;DZ$1)</f>
        <v/>
      </c>
      <c r="EA182" s="43" t="str">
        <f t="shared" ref="EA182:EA184" si="2963">IF(AU182="","","|n"&amp;EA$2&amp;"+"&amp;AU182&amp;EA$1)</f>
        <v/>
      </c>
      <c r="EB182" s="43" t="str">
        <f t="shared" ref="EB182:EB184" si="2964">IF(AV182="","","|n"&amp;EB$2&amp;"+"&amp;AV182&amp;EB$1)</f>
        <v/>
      </c>
      <c r="EC182" s="43" t="str">
        <f t="shared" ref="EC182:EC184" si="2965">IF(AW182="","","|n"&amp;EC$2&amp;"+"&amp;AW182&amp;EC$1)</f>
        <v/>
      </c>
      <c r="ED182" s="43" t="str">
        <f t="shared" ref="ED182:ED184" si="2966">IF(AX182="","","|n"&amp;ED$2&amp;"+"&amp;AX182&amp;ED$1)</f>
        <v/>
      </c>
      <c r="EE182" s="43" t="str">
        <f t="shared" ref="EE182:EE184" si="2967">IF(AY182="","","|n"&amp;EE$2&amp;"+"&amp;AY182&amp;EE$1)</f>
        <v/>
      </c>
      <c r="EF182" s="43" t="str">
        <f t="shared" ref="EF182:EF184" si="2968">IF(AZ182="","","|n"&amp;EF$2&amp;"+"&amp;AZ182&amp;EF$1)</f>
        <v/>
      </c>
      <c r="EG182" s="43" t="str">
        <f t="shared" ref="EG182:EG184" si="2969">IF(BA182="","","|n"&amp;EG$2&amp;"+"&amp;BA182&amp;EG$1)</f>
        <v/>
      </c>
      <c r="EH182" s="43" t="str">
        <f t="shared" ref="EH182:EH184" si="2970">IF(BB182="","","|n"&amp;EH$2&amp;"+"&amp;BB182&amp;EH$1)</f>
        <v/>
      </c>
      <c r="EI182" s="43" t="str">
        <f t="shared" ref="EI182:EI184" si="2971">IF(BC182="","","|n"&amp;EI$2&amp;"+"&amp;BC182&amp;EI$1)</f>
        <v/>
      </c>
      <c r="EJ182" s="43" t="str">
        <f t="shared" ref="EJ182:EJ184" si="2972">IF(BD182="","","|n"&amp;EJ$2&amp;"+"&amp;BD182&amp;EJ$1)</f>
        <v/>
      </c>
      <c r="EK182" s="43" t="str">
        <f t="shared" ref="EK182:EK184" si="2973">IF(BE182="","","|n"&amp;EK$2&amp;"+"&amp;BE182&amp;EK$1)</f>
        <v/>
      </c>
      <c r="EL182" s="43" t="str">
        <f t="shared" ref="EL182:EL184" si="2974">IF(BF182="","","|n"&amp;EL$2&amp;"+"&amp;BF182&amp;EL$1)</f>
        <v/>
      </c>
      <c r="EM182" s="43" t="str">
        <f t="shared" ref="EM182:EM184" si="2975">IF(BG182="","","|n"&amp;EM$2&amp;"+"&amp;BG182&amp;EM$1)</f>
        <v/>
      </c>
      <c r="EN182" s="43" t="str">
        <f t="shared" ref="EN182:EN184" si="2976">IF(BH182="","","|n"&amp;EN$2&amp;"+"&amp;BH182&amp;EN$1)</f>
        <v/>
      </c>
      <c r="EO182" s="43" t="str">
        <f t="shared" ref="EO182:EO184" si="2977">IF(BI182="","","|n"&amp;EO$2&amp;"+"&amp;BI182&amp;EO$1)</f>
        <v/>
      </c>
      <c r="EP182" s="43" t="str">
        <f t="shared" ref="EP182:EP184" si="2978">IF(BJ182="","","|n"&amp;EP$2&amp;"+"&amp;BJ182&amp;EP$1)</f>
        <v/>
      </c>
      <c r="EQ182" s="43" t="str">
        <f t="shared" ref="EQ182:EQ184" si="2979">IF(BK182="","","|n"&amp;EQ$2&amp;"+"&amp;BK182&amp;EQ$1)</f>
        <v/>
      </c>
      <c r="ER182" s="43" t="str">
        <f t="shared" ref="ER182:ER184" si="2980">IF(BL182="","","|n"&amp;ER$2&amp;"+"&amp;BL182&amp;ER$1)</f>
        <v/>
      </c>
      <c r="ES182" s="43" t="str">
        <f t="shared" ref="ES182:ES184" si="2981">IF(BM182="","","|n"&amp;ES$2&amp;"+"&amp;BM182&amp;ES$1)</f>
        <v/>
      </c>
      <c r="ET182" s="43" t="str">
        <f t="shared" ref="ET182:ET184" si="2982">IF(BN182="","","|n"&amp;ET$2&amp;"+"&amp;BN182&amp;ET$1)</f>
        <v/>
      </c>
      <c r="EU182" s="43" t="str">
        <f t="shared" ref="EU182:EU184" si="2983">IF(BO182="","","|n"&amp;EU$2&amp;"+"&amp;BO182&amp;EU$1)</f>
        <v/>
      </c>
      <c r="EV182" s="43" t="str">
        <f t="shared" ref="EV182:EV184" si="2984">IF(BP182="","","|n"&amp;EV$2&amp;"+"&amp;BP182&amp;EV$1)</f>
        <v/>
      </c>
      <c r="EW182" s="43" t="str">
        <f t="shared" ref="EW182:EW184" si="2985">IF(BQ182="","","|n"&amp;EW$2&amp;"+"&amp;BQ182&amp;EW$1)</f>
        <v/>
      </c>
      <c r="EX182" s="43" t="str">
        <f t="shared" ref="EX182:EX184" si="2986">IF(BR182="","","|n"&amp;EX$2&amp;"+"&amp;BR182&amp;EX$1)</f>
        <v/>
      </c>
      <c r="EY182" s="43" t="str">
        <f t="shared" ref="EY182:EY184" si="2987">IF(BS182="","","|n"&amp;EY$2&amp;"+"&amp;BS182&amp;EY$1)</f>
        <v/>
      </c>
      <c r="EZ182" s="43" t="str">
        <f t="shared" ref="EZ182:EZ184" si="2988">IF(BT182="","","|n"&amp;EZ$2&amp;"+"&amp;BT182&amp;EZ$1)</f>
        <v/>
      </c>
      <c r="FA182" s="43" t="str">
        <f t="shared" ref="FA182:FA184" si="2989">IF(BU182="","","|n"&amp;FA$2&amp;"+"&amp;BU182&amp;FA$1)</f>
        <v/>
      </c>
      <c r="FB182" s="43" t="str">
        <f t="shared" ref="FB182:FB184" si="2990">IF(BV182="","","|n"&amp;FB$2&amp;"+"&amp;BV182&amp;FB$1)</f>
        <v/>
      </c>
      <c r="FC182" s="43" t="str">
        <f t="shared" ref="FC182:FC184" si="2991">IF(BW182="","","|n"&amp;FC$2&amp;"+"&amp;BW182&amp;FC$1)</f>
        <v/>
      </c>
      <c r="FD182" s="43" t="str">
        <f t="shared" ref="FD182:FD184" si="2992">IF(BX182="","","|n"&amp;FD$2&amp;"+"&amp;BX182&amp;FD$1)</f>
        <v/>
      </c>
      <c r="FE182" s="43" t="str">
        <f t="shared" ref="FE182:FE184" si="2993">IF(BY182="","","|n"&amp;FE$2&amp;"+"&amp;BY182&amp;FE$1)</f>
        <v/>
      </c>
      <c r="FF182" s="43" t="str">
        <f t="shared" ref="FF182:FF184" si="2994">IF(BZ182="","","|n"&amp;FF$2&amp;"+"&amp;BZ182&amp;FF$1)</f>
        <v/>
      </c>
      <c r="FG182" s="43" t="str">
        <f t="shared" ref="FG182:FG184" si="2995">IF(CA182="","","|n"&amp;FG$2&amp;"+"&amp;CA182&amp;FG$1)</f>
        <v/>
      </c>
      <c r="FH182" s="43" t="str">
        <f t="shared" ref="FH182:FH184" si="2996">IF(CB182="","","|n"&amp;FH$2&amp;"+"&amp;CB182&amp;FH$1)</f>
        <v/>
      </c>
      <c r="FI182" s="43" t="str">
        <f t="shared" ref="FI182:FI184" si="2997">IF(CC182="","","|n"&amp;FI$2&amp;"+"&amp;CC182&amp;FI$1)</f>
        <v/>
      </c>
      <c r="FJ182" s="43" t="str">
        <f t="shared" ref="FJ182:FJ184" si="2998">IF(CD182="","","|n"&amp;FJ$2&amp;"+"&amp;CD182&amp;FJ$1)</f>
        <v/>
      </c>
      <c r="FK182" s="43" t="str">
        <f t="shared" ref="FK182:FK184" si="2999">IF(CE182="","","|n"&amp;FK$2&amp;"+"&amp;CE182&amp;FK$1)</f>
        <v/>
      </c>
      <c r="FL182" s="43" t="str">
        <f t="shared" ref="FL182:FL184" si="3000">IF(CF182="","","|n"&amp;FL$2&amp;"+"&amp;CF182&amp;FL$1)</f>
        <v/>
      </c>
      <c r="FM182" s="43" t="str">
        <f t="shared" ref="FM182:FM184" si="3001">IF(CG182="","","|n"&amp;FM$2&amp;"+"&amp;CG182&amp;FM$1)</f>
        <v/>
      </c>
      <c r="FN182" s="43" t="str">
        <f t="shared" ref="FN182:FN184" si="3002">IF(CH182="","","|n"&amp;FN$2&amp;"+"&amp;CH182&amp;FN$1)</f>
        <v/>
      </c>
      <c r="FO182" s="43" t="str">
        <f t="shared" ref="FO182:FO184" si="3003">IF(CI182="","","|n"&amp;FO$2&amp;"+"&amp;CI182&amp;FO$1)</f>
        <v/>
      </c>
      <c r="FP182" s="43" t="str">
        <f t="shared" ref="FP182:FP184" si="3004">IF(CJ182="","","|n"&amp;FP$2&amp;"+"&amp;CJ182&amp;FP$1)</f>
        <v/>
      </c>
      <c r="FQ182" s="43" t="str">
        <f t="shared" ref="FQ182:FQ184" si="3005">IF(CK182="","","|n"&amp;FQ$2&amp;"+"&amp;CK182&amp;FQ$1)</f>
        <v/>
      </c>
      <c r="FR182" s="43" t="str">
        <f t="shared" ref="FR182:FR184" si="3006">IF(CL182="","","|n"&amp;FR$2&amp;"+"&amp;CL182&amp;FR$1)</f>
        <v/>
      </c>
      <c r="FS182" s="43" t="str">
        <f t="shared" ref="FS182:FS184" si="3007">IF(CM182="","","|n"&amp;FS$2&amp;"+"&amp;CM182&amp;FS$1)</f>
        <v/>
      </c>
    </row>
    <row r="183" spans="1:175" ht="16.5">
      <c r="A183" s="84"/>
      <c r="B183" s="4" t="s">
        <v>547</v>
      </c>
      <c r="C183" s="84" t="s">
        <v>548</v>
      </c>
      <c r="T183" s="84" t="s">
        <v>549</v>
      </c>
      <c r="U183" s="55" t="str">
        <f t="shared" si="1549"/>
        <v>ReplaceableTextures\\CommandButtons\\BTNIT12.blp</v>
      </c>
      <c r="CN183" s="12" t="str">
        <f t="shared" si="2787"/>
        <v>InitUnitState('IT12',,,,,,,,,,)</v>
      </c>
      <c r="CO183" s="12" t="str">
        <f t="shared" si="2788"/>
        <v>InitUnitNormal('IT12',,,,,,,,,,)</v>
      </c>
      <c r="CP183" s="12" t="str">
        <f t="shared" si="2789"/>
        <v>InitUnitMagic('IT12',,,,,,,,,,)</v>
      </c>
      <c r="CQ183" s="12" t="str">
        <f t="shared" si="2790"/>
        <v>InitUnitAdd('IT12',,,,,,,,,,)</v>
      </c>
      <c r="CR183" s="12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InitEquipData('IT12',,"",,,,,'','','','','','',"ReplaceableTextures\\CommandButtons\\BTNIT13.blp")</v>
      </c>
      <c r="CU183" s="67" t="str">
        <f t="shared" si="2936"/>
        <v>|n</v>
      </c>
      <c r="CV183" s="5" t="str">
        <f t="shared" si="2937"/>
        <v>境界挑战12</v>
      </c>
      <c r="CW183" s="6"/>
      <c r="CX183" s="6"/>
      <c r="CY183" s="6"/>
      <c r="CZ183" s="6"/>
      <c r="DA183" s="6"/>
      <c r="DB183" s="43" t="str">
        <f t="shared" si="2938"/>
        <v/>
      </c>
      <c r="DC183" s="43" t="str">
        <f t="shared" si="2939"/>
        <v/>
      </c>
      <c r="DD183" s="43" t="str">
        <f t="shared" si="2940"/>
        <v/>
      </c>
      <c r="DE183" s="43" t="str">
        <f t="shared" si="2941"/>
        <v/>
      </c>
      <c r="DF183" s="43" t="str">
        <f t="shared" si="2942"/>
        <v/>
      </c>
      <c r="DG183" s="43" t="str">
        <f t="shared" si="2943"/>
        <v/>
      </c>
      <c r="DH183" s="43" t="str">
        <f t="shared" si="2944"/>
        <v/>
      </c>
      <c r="DI183" s="43" t="str">
        <f t="shared" si="2945"/>
        <v/>
      </c>
      <c r="DJ183" s="43" t="str">
        <f t="shared" si="2946"/>
        <v/>
      </c>
      <c r="DK183" s="43" t="str">
        <f t="shared" si="2947"/>
        <v/>
      </c>
      <c r="DL183" s="43" t="str">
        <f t="shared" si="2948"/>
        <v/>
      </c>
      <c r="DM183" s="43" t="str">
        <f t="shared" si="2949"/>
        <v/>
      </c>
      <c r="DN183" s="43" t="str">
        <f t="shared" si="2950"/>
        <v/>
      </c>
      <c r="DO183" s="43" t="str">
        <f t="shared" si="2951"/>
        <v/>
      </c>
      <c r="DP183" s="43" t="str">
        <f t="shared" si="2952"/>
        <v/>
      </c>
      <c r="DQ183" s="43" t="str">
        <f t="shared" si="2953"/>
        <v/>
      </c>
      <c r="DR183" s="43" t="str">
        <f t="shared" si="2954"/>
        <v/>
      </c>
      <c r="DS183" s="43" t="str">
        <f t="shared" si="2955"/>
        <v/>
      </c>
      <c r="DT183" s="43" t="str">
        <f t="shared" si="2956"/>
        <v/>
      </c>
      <c r="DU183" s="43" t="str">
        <f t="shared" si="2957"/>
        <v/>
      </c>
      <c r="DV183" s="43" t="str">
        <f t="shared" si="2958"/>
        <v/>
      </c>
      <c r="DW183" s="43" t="str">
        <f t="shared" si="2959"/>
        <v/>
      </c>
      <c r="DX183" s="43" t="str">
        <f t="shared" si="2960"/>
        <v/>
      </c>
      <c r="DY183" s="43" t="str">
        <f t="shared" si="2961"/>
        <v/>
      </c>
      <c r="DZ183" s="43" t="str">
        <f t="shared" si="2962"/>
        <v/>
      </c>
      <c r="EA183" s="43" t="str">
        <f t="shared" si="2963"/>
        <v/>
      </c>
      <c r="EB183" s="43" t="str">
        <f t="shared" si="2964"/>
        <v/>
      </c>
      <c r="EC183" s="43" t="str">
        <f t="shared" si="2965"/>
        <v/>
      </c>
      <c r="ED183" s="43" t="str">
        <f t="shared" si="2966"/>
        <v/>
      </c>
      <c r="EE183" s="43" t="str">
        <f t="shared" si="2967"/>
        <v/>
      </c>
      <c r="EF183" s="43" t="str">
        <f t="shared" si="2968"/>
        <v/>
      </c>
      <c r="EG183" s="43" t="str">
        <f t="shared" si="2969"/>
        <v/>
      </c>
      <c r="EH183" s="43" t="str">
        <f t="shared" si="2970"/>
        <v/>
      </c>
      <c r="EI183" s="43" t="str">
        <f t="shared" si="2971"/>
        <v/>
      </c>
      <c r="EJ183" s="43" t="str">
        <f t="shared" si="2972"/>
        <v/>
      </c>
      <c r="EK183" s="43" t="str">
        <f t="shared" si="2973"/>
        <v/>
      </c>
      <c r="EL183" s="43" t="str">
        <f t="shared" si="2974"/>
        <v/>
      </c>
      <c r="EM183" s="43" t="str">
        <f t="shared" si="2975"/>
        <v/>
      </c>
      <c r="EN183" s="43" t="str">
        <f t="shared" si="2976"/>
        <v/>
      </c>
      <c r="EO183" s="43" t="str">
        <f t="shared" si="2977"/>
        <v/>
      </c>
      <c r="EP183" s="43" t="str">
        <f t="shared" si="2978"/>
        <v/>
      </c>
      <c r="EQ183" s="43" t="str">
        <f t="shared" si="2979"/>
        <v/>
      </c>
      <c r="ER183" s="43" t="str">
        <f t="shared" si="2980"/>
        <v/>
      </c>
      <c r="ES183" s="43" t="str">
        <f t="shared" si="2981"/>
        <v/>
      </c>
      <c r="ET183" s="43" t="str">
        <f t="shared" si="2982"/>
        <v/>
      </c>
      <c r="EU183" s="43" t="str">
        <f t="shared" si="2983"/>
        <v/>
      </c>
      <c r="EV183" s="43" t="str">
        <f t="shared" si="2984"/>
        <v/>
      </c>
      <c r="EW183" s="43" t="str">
        <f t="shared" si="2985"/>
        <v/>
      </c>
      <c r="EX183" s="43" t="str">
        <f t="shared" si="2986"/>
        <v/>
      </c>
      <c r="EY183" s="43" t="str">
        <f t="shared" si="2987"/>
        <v/>
      </c>
      <c r="EZ183" s="43" t="str">
        <f t="shared" si="2988"/>
        <v/>
      </c>
      <c r="FA183" s="43" t="str">
        <f t="shared" si="2989"/>
        <v/>
      </c>
      <c r="FB183" s="43" t="str">
        <f t="shared" si="2990"/>
        <v/>
      </c>
      <c r="FC183" s="43" t="str">
        <f t="shared" si="2991"/>
        <v/>
      </c>
      <c r="FD183" s="43" t="str">
        <f t="shared" si="2992"/>
        <v/>
      </c>
      <c r="FE183" s="43" t="str">
        <f t="shared" si="2993"/>
        <v/>
      </c>
      <c r="FF183" s="43" t="str">
        <f t="shared" si="2994"/>
        <v/>
      </c>
      <c r="FG183" s="43" t="str">
        <f t="shared" si="2995"/>
        <v/>
      </c>
      <c r="FH183" s="43" t="str">
        <f t="shared" si="2996"/>
        <v/>
      </c>
      <c r="FI183" s="43" t="str">
        <f t="shared" si="2997"/>
        <v/>
      </c>
      <c r="FJ183" s="43" t="str">
        <f t="shared" si="2998"/>
        <v/>
      </c>
      <c r="FK183" s="43" t="str">
        <f t="shared" si="2999"/>
        <v/>
      </c>
      <c r="FL183" s="43" t="str">
        <f t="shared" si="3000"/>
        <v/>
      </c>
      <c r="FM183" s="43" t="str">
        <f t="shared" si="3001"/>
        <v/>
      </c>
      <c r="FN183" s="43" t="str">
        <f t="shared" si="3002"/>
        <v/>
      </c>
      <c r="FO183" s="43" t="str">
        <f t="shared" si="3003"/>
        <v/>
      </c>
      <c r="FP183" s="43" t="str">
        <f t="shared" si="3004"/>
        <v/>
      </c>
      <c r="FQ183" s="43" t="str">
        <f t="shared" si="3005"/>
        <v/>
      </c>
      <c r="FR183" s="43" t="str">
        <f t="shared" si="3006"/>
        <v/>
      </c>
      <c r="FS183" s="43" t="str">
        <f t="shared" si="3007"/>
        <v/>
      </c>
    </row>
    <row r="184" spans="1:175" ht="16.5">
      <c r="A184" s="84"/>
      <c r="B184" s="4" t="s">
        <v>550</v>
      </c>
      <c r="C184" s="84" t="s">
        <v>551</v>
      </c>
      <c r="T184" s="84" t="s">
        <v>552</v>
      </c>
      <c r="U184" s="55" t="str">
        <f t="shared" si="1549"/>
        <v>ReplaceableTextures\\CommandButtons\\BTNIT13.blp</v>
      </c>
      <c r="CN184" s="12" t="str">
        <f t="shared" si="2787"/>
        <v>InitUnitState('IT13',,,,,,,,,,)</v>
      </c>
      <c r="CO184" s="12" t="str">
        <f t="shared" si="2788"/>
        <v>InitUnitNormal('IT13',,,,,,,,,,)</v>
      </c>
      <c r="CP184" s="12" t="str">
        <f t="shared" si="2789"/>
        <v>InitUnitMagic('IT13',,,,,,,,,,)</v>
      </c>
      <c r="CQ184" s="12" t="str">
        <f t="shared" si="2790"/>
        <v>InitUnitAdd('IT13',,,,,,,,,,)</v>
      </c>
      <c r="CR184" s="12" t="e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#REF!&amp;CR$1&amp;")"</f>
        <v>#REF!</v>
      </c>
      <c r="CU184" s="67" t="str">
        <f t="shared" si="2936"/>
        <v>|n</v>
      </c>
      <c r="CV184" s="5" t="str">
        <f t="shared" si="2937"/>
        <v>境界挑战13</v>
      </c>
      <c r="CW184" s="6"/>
      <c r="CX184" s="6"/>
      <c r="CY184" s="6"/>
      <c r="CZ184" s="6"/>
      <c r="DA184" s="6"/>
      <c r="DB184" s="43" t="str">
        <f t="shared" si="2938"/>
        <v/>
      </c>
      <c r="DC184" s="43" t="str">
        <f t="shared" si="2939"/>
        <v/>
      </c>
      <c r="DD184" s="43" t="str">
        <f t="shared" si="2940"/>
        <v/>
      </c>
      <c r="DE184" s="43" t="str">
        <f t="shared" si="2941"/>
        <v/>
      </c>
      <c r="DF184" s="43" t="str">
        <f t="shared" si="2942"/>
        <v/>
      </c>
      <c r="DG184" s="43" t="str">
        <f t="shared" si="2943"/>
        <v/>
      </c>
      <c r="DH184" s="43" t="str">
        <f t="shared" si="2944"/>
        <v/>
      </c>
      <c r="DI184" s="43" t="str">
        <f t="shared" si="2945"/>
        <v/>
      </c>
      <c r="DJ184" s="43" t="str">
        <f t="shared" si="2946"/>
        <v/>
      </c>
      <c r="DK184" s="43" t="str">
        <f t="shared" si="2947"/>
        <v/>
      </c>
      <c r="DL184" s="43" t="str">
        <f t="shared" si="2948"/>
        <v/>
      </c>
      <c r="DM184" s="43" t="str">
        <f t="shared" si="2949"/>
        <v/>
      </c>
      <c r="DN184" s="43" t="str">
        <f t="shared" si="2950"/>
        <v/>
      </c>
      <c r="DO184" s="43" t="str">
        <f t="shared" si="2951"/>
        <v/>
      </c>
      <c r="DP184" s="43" t="str">
        <f t="shared" si="2952"/>
        <v/>
      </c>
      <c r="DQ184" s="43" t="str">
        <f t="shared" si="2953"/>
        <v/>
      </c>
      <c r="DR184" s="43" t="str">
        <f t="shared" si="2954"/>
        <v/>
      </c>
      <c r="DS184" s="43" t="str">
        <f t="shared" si="2955"/>
        <v/>
      </c>
      <c r="DT184" s="43" t="str">
        <f t="shared" si="2956"/>
        <v/>
      </c>
      <c r="DU184" s="43" t="str">
        <f t="shared" si="2957"/>
        <v/>
      </c>
      <c r="DV184" s="43" t="str">
        <f t="shared" si="2958"/>
        <v/>
      </c>
      <c r="DW184" s="43" t="str">
        <f t="shared" si="2959"/>
        <v/>
      </c>
      <c r="DX184" s="43" t="str">
        <f t="shared" si="2960"/>
        <v/>
      </c>
      <c r="DY184" s="43" t="str">
        <f t="shared" si="2961"/>
        <v/>
      </c>
      <c r="DZ184" s="43" t="str">
        <f t="shared" si="2962"/>
        <v/>
      </c>
      <c r="EA184" s="43" t="str">
        <f t="shared" si="2963"/>
        <v/>
      </c>
      <c r="EB184" s="43" t="str">
        <f t="shared" si="2964"/>
        <v/>
      </c>
      <c r="EC184" s="43" t="str">
        <f t="shared" si="2965"/>
        <v/>
      </c>
      <c r="ED184" s="43" t="str">
        <f t="shared" si="2966"/>
        <v/>
      </c>
      <c r="EE184" s="43" t="str">
        <f t="shared" si="2967"/>
        <v/>
      </c>
      <c r="EF184" s="43" t="str">
        <f t="shared" si="2968"/>
        <v/>
      </c>
      <c r="EG184" s="43" t="str">
        <f t="shared" si="2969"/>
        <v/>
      </c>
      <c r="EH184" s="43" t="str">
        <f t="shared" si="2970"/>
        <v/>
      </c>
      <c r="EI184" s="43" t="str">
        <f t="shared" si="2971"/>
        <v/>
      </c>
      <c r="EJ184" s="43" t="str">
        <f t="shared" si="2972"/>
        <v/>
      </c>
      <c r="EK184" s="43" t="str">
        <f t="shared" si="2973"/>
        <v/>
      </c>
      <c r="EL184" s="43" t="str">
        <f t="shared" si="2974"/>
        <v/>
      </c>
      <c r="EM184" s="43" t="str">
        <f t="shared" si="2975"/>
        <v/>
      </c>
      <c r="EN184" s="43" t="str">
        <f t="shared" si="2976"/>
        <v/>
      </c>
      <c r="EO184" s="43" t="str">
        <f t="shared" si="2977"/>
        <v/>
      </c>
      <c r="EP184" s="43" t="str">
        <f t="shared" si="2978"/>
        <v/>
      </c>
      <c r="EQ184" s="43" t="str">
        <f t="shared" si="2979"/>
        <v/>
      </c>
      <c r="ER184" s="43" t="str">
        <f t="shared" si="2980"/>
        <v/>
      </c>
      <c r="ES184" s="43" t="str">
        <f t="shared" si="2981"/>
        <v/>
      </c>
      <c r="ET184" s="43" t="str">
        <f t="shared" si="2982"/>
        <v/>
      </c>
      <c r="EU184" s="43" t="str">
        <f t="shared" si="2983"/>
        <v/>
      </c>
      <c r="EV184" s="43" t="str">
        <f t="shared" si="2984"/>
        <v/>
      </c>
      <c r="EW184" s="43" t="str">
        <f t="shared" si="2985"/>
        <v/>
      </c>
      <c r="EX184" s="43" t="str">
        <f t="shared" si="2986"/>
        <v/>
      </c>
      <c r="EY184" s="43" t="str">
        <f t="shared" si="2987"/>
        <v/>
      </c>
      <c r="EZ184" s="43" t="str">
        <f t="shared" si="2988"/>
        <v/>
      </c>
      <c r="FA184" s="43" t="str">
        <f t="shared" si="2989"/>
        <v/>
      </c>
      <c r="FB184" s="43" t="str">
        <f t="shared" si="2990"/>
        <v/>
      </c>
      <c r="FC184" s="43" t="str">
        <f t="shared" si="2991"/>
        <v/>
      </c>
      <c r="FD184" s="43" t="str">
        <f t="shared" si="2992"/>
        <v/>
      </c>
      <c r="FE184" s="43" t="str">
        <f t="shared" si="2993"/>
        <v/>
      </c>
      <c r="FF184" s="43" t="str">
        <f t="shared" si="2994"/>
        <v/>
      </c>
      <c r="FG184" s="43" t="str">
        <f t="shared" si="2995"/>
        <v/>
      </c>
      <c r="FH184" s="43" t="str">
        <f t="shared" si="2996"/>
        <v/>
      </c>
      <c r="FI184" s="43" t="str">
        <f t="shared" si="2997"/>
        <v/>
      </c>
      <c r="FJ184" s="43" t="str">
        <f t="shared" si="2998"/>
        <v/>
      </c>
      <c r="FK184" s="43" t="str">
        <f t="shared" si="2999"/>
        <v/>
      </c>
      <c r="FL184" s="43" t="str">
        <f t="shared" si="3000"/>
        <v/>
      </c>
      <c r="FM184" s="43" t="str">
        <f t="shared" si="3001"/>
        <v/>
      </c>
      <c r="FN184" s="43" t="str">
        <f t="shared" si="3002"/>
        <v/>
      </c>
      <c r="FO184" s="43" t="str">
        <f t="shared" si="3003"/>
        <v/>
      </c>
      <c r="FP184" s="43" t="str">
        <f t="shared" si="3004"/>
        <v/>
      </c>
      <c r="FQ184" s="43" t="str">
        <f t="shared" si="3005"/>
        <v/>
      </c>
      <c r="FR184" s="43" t="str">
        <f t="shared" si="3006"/>
        <v/>
      </c>
      <c r="FS184" s="43" t="str">
        <f t="shared" si="3007"/>
        <v/>
      </c>
    </row>
    <row r="185" spans="1:175" ht="16.5">
      <c r="A185" s="84"/>
      <c r="B185" s="4" t="s">
        <v>553</v>
      </c>
      <c r="C185" s="84" t="s">
        <v>554</v>
      </c>
      <c r="T185" s="84" t="s">
        <v>554</v>
      </c>
      <c r="U185" s="55" t="str">
        <f t="shared" si="1549"/>
        <v>ReplaceableTextures\\CommandButtons\\BTNIT14.blp</v>
      </c>
      <c r="CN185" s="12" t="str">
        <f t="shared" si="2787"/>
        <v>InitUnitState('IT14',,,,,,,,,,)</v>
      </c>
      <c r="CO185" s="12" t="str">
        <f t="shared" si="2788"/>
        <v>InitUnitNormal('IT14',,,,,,,,,,)</v>
      </c>
      <c r="CP185" s="12" t="str">
        <f t="shared" si="2789"/>
        <v>InitUnitMagic('IT14',,,,,,,,,,)</v>
      </c>
      <c r="CQ185" s="12" t="str">
        <f t="shared" si="2790"/>
        <v>InitUnitAdd('IT14',,,,,,,,,,)</v>
      </c>
      <c r="CR185" s="1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195&amp;CR$1&amp;")"</f>
        <v>InitEquipData('IT14',,"",,,,,'','','','','','',"ReplaceableTextures\\CommandButtons\\BTNIH00.blp")</v>
      </c>
      <c r="CU185" s="67" t="str">
        <f t="shared" si="2936"/>
        <v>|n</v>
      </c>
      <c r="CV185" s="5" t="str">
        <f t="shared" si="2937"/>
        <v>境界挑战14</v>
      </c>
      <c r="CW185" s="6"/>
      <c r="CX185" s="6"/>
      <c r="CY185" s="6"/>
      <c r="CZ185" s="6"/>
      <c r="DA185" s="6"/>
      <c r="DB185" s="43" t="str">
        <f t="shared" ref="DB185:EG186" si="3008">IF(V185="","","|n"&amp;DB$2&amp;"+"&amp;V185&amp;DB$1)</f>
        <v/>
      </c>
      <c r="DC185" s="43" t="str">
        <f t="shared" si="3008"/>
        <v/>
      </c>
      <c r="DD185" s="43" t="str">
        <f t="shared" si="3008"/>
        <v/>
      </c>
      <c r="DE185" s="43" t="str">
        <f t="shared" si="3008"/>
        <v/>
      </c>
      <c r="DF185" s="43" t="str">
        <f t="shared" si="3008"/>
        <v/>
      </c>
      <c r="DG185" s="43" t="str">
        <f t="shared" si="3008"/>
        <v/>
      </c>
      <c r="DH185" s="43" t="str">
        <f t="shared" si="3008"/>
        <v/>
      </c>
      <c r="DI185" s="43" t="str">
        <f t="shared" si="3008"/>
        <v/>
      </c>
      <c r="DJ185" s="43" t="str">
        <f t="shared" si="3008"/>
        <v/>
      </c>
      <c r="DK185" s="43" t="str">
        <f t="shared" si="3008"/>
        <v/>
      </c>
      <c r="DL185" s="43" t="str">
        <f t="shared" si="3008"/>
        <v/>
      </c>
      <c r="DM185" s="43" t="str">
        <f t="shared" si="3008"/>
        <v/>
      </c>
      <c r="DN185" s="43" t="str">
        <f t="shared" si="3008"/>
        <v/>
      </c>
      <c r="DO185" s="43" t="str">
        <f t="shared" si="3008"/>
        <v/>
      </c>
      <c r="DP185" s="43" t="str">
        <f t="shared" si="3008"/>
        <v/>
      </c>
      <c r="DQ185" s="43" t="str">
        <f t="shared" si="3008"/>
        <v/>
      </c>
      <c r="DR185" s="43" t="str">
        <f t="shared" si="3008"/>
        <v/>
      </c>
      <c r="DS185" s="43" t="str">
        <f t="shared" si="3008"/>
        <v/>
      </c>
      <c r="DT185" s="43" t="str">
        <f t="shared" si="3008"/>
        <v/>
      </c>
      <c r="DU185" s="43" t="str">
        <f t="shared" si="3008"/>
        <v/>
      </c>
      <c r="DV185" s="43" t="str">
        <f t="shared" si="3008"/>
        <v/>
      </c>
      <c r="DW185" s="43" t="str">
        <f t="shared" si="3008"/>
        <v/>
      </c>
      <c r="DX185" s="43" t="str">
        <f t="shared" si="3008"/>
        <v/>
      </c>
      <c r="DY185" s="43" t="str">
        <f t="shared" si="3008"/>
        <v/>
      </c>
      <c r="DZ185" s="43" t="str">
        <f t="shared" si="3008"/>
        <v/>
      </c>
      <c r="EA185" s="43" t="str">
        <f t="shared" si="3008"/>
        <v/>
      </c>
      <c r="EB185" s="43" t="str">
        <f t="shared" si="3008"/>
        <v/>
      </c>
      <c r="EC185" s="43" t="str">
        <f t="shared" si="3008"/>
        <v/>
      </c>
      <c r="ED185" s="43" t="str">
        <f t="shared" si="3008"/>
        <v/>
      </c>
      <c r="EE185" s="43" t="str">
        <f t="shared" si="3008"/>
        <v/>
      </c>
      <c r="EF185" s="43" t="str">
        <f t="shared" si="3008"/>
        <v/>
      </c>
      <c r="EG185" s="43" t="str">
        <f t="shared" si="3008"/>
        <v/>
      </c>
      <c r="EH185" s="43" t="str">
        <f t="shared" ref="EH185:FM186" si="3009">IF(BB185="","","|n"&amp;EH$2&amp;"+"&amp;BB185&amp;EH$1)</f>
        <v/>
      </c>
      <c r="EI185" s="43" t="str">
        <f t="shared" si="3009"/>
        <v/>
      </c>
      <c r="EJ185" s="43" t="str">
        <f t="shared" si="3009"/>
        <v/>
      </c>
      <c r="EK185" s="43" t="str">
        <f t="shared" si="3009"/>
        <v/>
      </c>
      <c r="EL185" s="43" t="str">
        <f t="shared" si="3009"/>
        <v/>
      </c>
      <c r="EM185" s="43" t="str">
        <f t="shared" si="3009"/>
        <v/>
      </c>
      <c r="EN185" s="43" t="str">
        <f t="shared" si="3009"/>
        <v/>
      </c>
      <c r="EO185" s="43" t="str">
        <f t="shared" si="3009"/>
        <v/>
      </c>
      <c r="EP185" s="43" t="str">
        <f t="shared" si="3009"/>
        <v/>
      </c>
      <c r="EQ185" s="43" t="str">
        <f t="shared" si="3009"/>
        <v/>
      </c>
      <c r="ER185" s="43" t="str">
        <f t="shared" si="3009"/>
        <v/>
      </c>
      <c r="ES185" s="43" t="str">
        <f t="shared" si="3009"/>
        <v/>
      </c>
      <c r="ET185" s="43" t="str">
        <f t="shared" si="3009"/>
        <v/>
      </c>
      <c r="EU185" s="43" t="str">
        <f t="shared" si="3009"/>
        <v/>
      </c>
      <c r="EV185" s="43" t="str">
        <f t="shared" si="3009"/>
        <v/>
      </c>
      <c r="EW185" s="43" t="str">
        <f t="shared" si="3009"/>
        <v/>
      </c>
      <c r="EX185" s="43" t="str">
        <f t="shared" si="3009"/>
        <v/>
      </c>
      <c r="EY185" s="43" t="str">
        <f t="shared" si="3009"/>
        <v/>
      </c>
      <c r="EZ185" s="43" t="str">
        <f t="shared" si="3009"/>
        <v/>
      </c>
      <c r="FA185" s="43" t="str">
        <f t="shared" si="3009"/>
        <v/>
      </c>
      <c r="FB185" s="43" t="str">
        <f t="shared" si="3009"/>
        <v/>
      </c>
      <c r="FC185" s="43" t="str">
        <f t="shared" si="3009"/>
        <v/>
      </c>
      <c r="FD185" s="43" t="str">
        <f t="shared" si="3009"/>
        <v/>
      </c>
      <c r="FE185" s="43" t="str">
        <f t="shared" si="3009"/>
        <v/>
      </c>
      <c r="FF185" s="43" t="str">
        <f t="shared" si="3009"/>
        <v/>
      </c>
      <c r="FG185" s="43" t="str">
        <f t="shared" si="3009"/>
        <v/>
      </c>
      <c r="FH185" s="43" t="str">
        <f t="shared" si="3009"/>
        <v/>
      </c>
      <c r="FI185" s="43" t="str">
        <f t="shared" si="3009"/>
        <v/>
      </c>
      <c r="FJ185" s="43" t="str">
        <f t="shared" si="3009"/>
        <v/>
      </c>
      <c r="FK185" s="43" t="str">
        <f t="shared" si="3009"/>
        <v/>
      </c>
      <c r="FL185" s="43" t="str">
        <f t="shared" si="3009"/>
        <v/>
      </c>
      <c r="FM185" s="43" t="str">
        <f t="shared" si="3009"/>
        <v/>
      </c>
      <c r="FN185" s="43" t="str">
        <f t="shared" ref="FN185:FS186" si="3010">IF(CH185="","","|n"&amp;FN$2&amp;"+"&amp;CH185&amp;FN$1)</f>
        <v/>
      </c>
      <c r="FO185" s="43" t="str">
        <f t="shared" si="3010"/>
        <v/>
      </c>
      <c r="FP185" s="43" t="str">
        <f t="shared" si="3010"/>
        <v/>
      </c>
      <c r="FQ185" s="43" t="str">
        <f t="shared" si="3010"/>
        <v/>
      </c>
      <c r="FR185" s="43" t="str">
        <f t="shared" si="3010"/>
        <v/>
      </c>
      <c r="FS185" s="43" t="str">
        <f t="shared" si="3010"/>
        <v/>
      </c>
    </row>
    <row r="186" spans="1:175" s="36" customFormat="1" ht="16.5">
      <c r="A186" s="84"/>
      <c r="B186" s="4" t="s">
        <v>773</v>
      </c>
      <c r="C186" s="84" t="s">
        <v>774</v>
      </c>
      <c r="D186" s="69"/>
      <c r="E186" s="69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74"/>
      <c r="Q186" s="74"/>
      <c r="R186" s="74"/>
      <c r="S186" s="74"/>
      <c r="T186" s="84" t="s">
        <v>774</v>
      </c>
      <c r="U186" s="55" t="str">
        <f t="shared" ref="U186" si="3011">"ReplaceableTextures\\CommandButtons\\BTN"&amp;B186&amp;".blp"</f>
        <v>ReplaceableTextures\\CommandButtons\\BTNIZ0A.blp</v>
      </c>
      <c r="V186" s="90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42"/>
      <c r="AS186" s="42"/>
      <c r="AT186" s="91"/>
      <c r="AU186" s="91"/>
      <c r="AV186" s="91"/>
      <c r="AW186" s="91"/>
      <c r="AX186" s="91"/>
      <c r="AY186" s="91"/>
      <c r="AZ186" s="91"/>
      <c r="BA186" s="91"/>
      <c r="BB186" s="91"/>
      <c r="BC186" s="91"/>
      <c r="BD186" s="91"/>
      <c r="BE186" s="91"/>
      <c r="BF186" s="91"/>
      <c r="BG186" s="91"/>
      <c r="BH186" s="91"/>
      <c r="BI186" s="91"/>
      <c r="BJ186" s="91"/>
      <c r="BK186" s="91"/>
      <c r="BL186" s="91"/>
      <c r="BM186" s="91"/>
      <c r="BN186" s="91"/>
      <c r="BO186" s="91"/>
      <c r="BP186" s="91"/>
      <c r="BQ186" s="91"/>
      <c r="BR186" s="91"/>
      <c r="BS186" s="91"/>
      <c r="BT186" s="91"/>
      <c r="BU186" s="91"/>
      <c r="BV186" s="91"/>
      <c r="BW186" s="91"/>
      <c r="BX186" s="91"/>
      <c r="BY186" s="91"/>
      <c r="BZ186" s="91"/>
      <c r="CA186" s="91"/>
      <c r="CB186" s="91"/>
      <c r="CC186" s="91"/>
      <c r="CD186" s="91"/>
      <c r="CE186" s="91"/>
      <c r="CF186" s="91"/>
      <c r="CG186" s="91"/>
      <c r="CH186" s="91"/>
      <c r="CI186" s="91"/>
      <c r="CJ186" s="91"/>
      <c r="CK186" s="91"/>
      <c r="CL186" s="91"/>
      <c r="CM186" s="91"/>
      <c r="CN186" s="92" t="str">
        <f t="shared" ref="CN186" si="3012">"InitUnitState('"&amp;B186&amp;"',"&amp;V186&amp;","&amp;W186&amp;","&amp;X186&amp;","&amp;Y186&amp;","&amp;Z186&amp;","&amp;AA186&amp;","&amp;AB186&amp;","&amp;AC186&amp;","&amp;AD186&amp;","&amp;AE186&amp;")"</f>
        <v>InitUnitState('IZ0A',,,,,,,,,,)</v>
      </c>
      <c r="CO186" s="92" t="str">
        <f t="shared" ref="CO186" si="3013">"InitUnitNormal('"&amp;B186&amp;"',"&amp;AF186&amp;","&amp;AG186&amp;","&amp;AH186&amp;","&amp;AI186&amp;","&amp;AJ186&amp;","&amp;AK186&amp;","&amp;AL186&amp;","&amp;AM186&amp;","&amp;AN186&amp;","&amp;AO186&amp;")"</f>
        <v>InitUnitNormal('IZ0A',,,,,,,,,,)</v>
      </c>
      <c r="CP186" s="92" t="str">
        <f t="shared" ref="CP186" si="3014">"InitUnitMagic('"&amp;B186&amp;"',"&amp;AP186&amp;","&amp;AQ186&amp;","&amp;AR186&amp;","&amp;AS186&amp;","&amp;AT186&amp;","&amp;AU186&amp;","&amp;AV186&amp;","&amp;AW186&amp;","&amp;BI186&amp;","&amp;BJ186&amp;")"</f>
        <v>InitUnitMagic('IZ0A',,,,,,,,,,)</v>
      </c>
      <c r="CQ186" s="92" t="str">
        <f t="shared" ref="CQ186" si="3015">"InitUnitAdd('"&amp;B186&amp;"',"&amp;BK186&amp;","&amp;BL186&amp;","&amp;BM186&amp;","&amp;BN186&amp;","&amp;BO186&amp;","&amp;BP186&amp;","&amp;BQ186&amp;","&amp;BR186&amp;","&amp;BS186&amp;","&amp;BT186&amp;")"</f>
        <v>InitUnitAdd('IZ0A',,,,,,,,,,)</v>
      </c>
      <c r="CR186" s="9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InitEquipData('IZ0A',,"",,,,,'','','','','','',"ReplaceableTextures\\CommandButtons\\BTNIZ01.blp")</v>
      </c>
      <c r="CS186" s="92"/>
      <c r="CT186" s="92"/>
      <c r="CU186" s="67" t="str">
        <f t="shared" ref="CU186" si="3016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36" t="str">
        <f t="shared" ref="CV186" si="3017">T186</f>
        <v>暂停进攻</v>
      </c>
      <c r="CW186" s="6"/>
      <c r="CX186" s="6"/>
      <c r="CY186" s="6"/>
      <c r="CZ186" s="6"/>
      <c r="DA186" s="6"/>
      <c r="DB186" s="93" t="str">
        <f t="shared" si="3008"/>
        <v/>
      </c>
      <c r="DC186" s="93" t="str">
        <f t="shared" si="3008"/>
        <v/>
      </c>
      <c r="DD186" s="93" t="str">
        <f t="shared" si="3008"/>
        <v/>
      </c>
      <c r="DE186" s="93" t="str">
        <f t="shared" si="3008"/>
        <v/>
      </c>
      <c r="DF186" s="93" t="str">
        <f t="shared" si="3008"/>
        <v/>
      </c>
      <c r="DG186" s="93" t="str">
        <f t="shared" si="3008"/>
        <v/>
      </c>
      <c r="DH186" s="93" t="str">
        <f t="shared" si="3008"/>
        <v/>
      </c>
      <c r="DI186" s="93" t="str">
        <f t="shared" si="3008"/>
        <v/>
      </c>
      <c r="DJ186" s="93" t="str">
        <f t="shared" si="3008"/>
        <v/>
      </c>
      <c r="DK186" s="93" t="str">
        <f t="shared" si="3008"/>
        <v/>
      </c>
      <c r="DL186" s="93" t="str">
        <f t="shared" si="3008"/>
        <v/>
      </c>
      <c r="DM186" s="93" t="str">
        <f t="shared" si="3008"/>
        <v/>
      </c>
      <c r="DN186" s="93" t="str">
        <f t="shared" si="3008"/>
        <v/>
      </c>
      <c r="DO186" s="93" t="str">
        <f t="shared" si="3008"/>
        <v/>
      </c>
      <c r="DP186" s="93" t="str">
        <f t="shared" si="3008"/>
        <v/>
      </c>
      <c r="DQ186" s="93" t="str">
        <f t="shared" si="3008"/>
        <v/>
      </c>
      <c r="DR186" s="93" t="str">
        <f t="shared" si="3008"/>
        <v/>
      </c>
      <c r="DS186" s="93" t="str">
        <f t="shared" si="3008"/>
        <v/>
      </c>
      <c r="DT186" s="93" t="str">
        <f t="shared" si="3008"/>
        <v/>
      </c>
      <c r="DU186" s="93" t="str">
        <f t="shared" si="3008"/>
        <v/>
      </c>
      <c r="DV186" s="93" t="str">
        <f t="shared" si="3008"/>
        <v/>
      </c>
      <c r="DW186" s="93" t="str">
        <f t="shared" si="3008"/>
        <v/>
      </c>
      <c r="DX186" s="93" t="str">
        <f t="shared" si="3008"/>
        <v/>
      </c>
      <c r="DY186" s="93" t="str">
        <f t="shared" si="3008"/>
        <v/>
      </c>
      <c r="DZ186" s="93" t="str">
        <f t="shared" si="3008"/>
        <v/>
      </c>
      <c r="EA186" s="93" t="str">
        <f t="shared" si="3008"/>
        <v/>
      </c>
      <c r="EB186" s="93" t="str">
        <f t="shared" si="3008"/>
        <v/>
      </c>
      <c r="EC186" s="93" t="str">
        <f t="shared" si="3008"/>
        <v/>
      </c>
      <c r="ED186" s="93" t="str">
        <f t="shared" si="3008"/>
        <v/>
      </c>
      <c r="EE186" s="93" t="str">
        <f t="shared" si="3008"/>
        <v/>
      </c>
      <c r="EF186" s="93" t="str">
        <f t="shared" si="3008"/>
        <v/>
      </c>
      <c r="EG186" s="93" t="str">
        <f t="shared" si="3008"/>
        <v/>
      </c>
      <c r="EH186" s="93" t="str">
        <f t="shared" si="3009"/>
        <v/>
      </c>
      <c r="EI186" s="93" t="str">
        <f t="shared" si="3009"/>
        <v/>
      </c>
      <c r="EJ186" s="93" t="str">
        <f t="shared" si="3009"/>
        <v/>
      </c>
      <c r="EK186" s="93" t="str">
        <f t="shared" si="3009"/>
        <v/>
      </c>
      <c r="EL186" s="93" t="str">
        <f t="shared" si="3009"/>
        <v/>
      </c>
      <c r="EM186" s="93" t="str">
        <f t="shared" si="3009"/>
        <v/>
      </c>
      <c r="EN186" s="93" t="str">
        <f t="shared" si="3009"/>
        <v/>
      </c>
      <c r="EO186" s="93" t="str">
        <f t="shared" si="3009"/>
        <v/>
      </c>
      <c r="EP186" s="93" t="str">
        <f t="shared" si="3009"/>
        <v/>
      </c>
      <c r="EQ186" s="93" t="str">
        <f t="shared" si="3009"/>
        <v/>
      </c>
      <c r="ER186" s="93" t="str">
        <f t="shared" si="3009"/>
        <v/>
      </c>
      <c r="ES186" s="93" t="str">
        <f t="shared" si="3009"/>
        <v/>
      </c>
      <c r="ET186" s="93" t="str">
        <f t="shared" si="3009"/>
        <v/>
      </c>
      <c r="EU186" s="93" t="str">
        <f t="shared" si="3009"/>
        <v/>
      </c>
      <c r="EV186" s="93" t="str">
        <f t="shared" si="3009"/>
        <v/>
      </c>
      <c r="EW186" s="93" t="str">
        <f t="shared" si="3009"/>
        <v/>
      </c>
      <c r="EX186" s="93" t="str">
        <f t="shared" si="3009"/>
        <v/>
      </c>
      <c r="EY186" s="93" t="str">
        <f t="shared" si="3009"/>
        <v/>
      </c>
      <c r="EZ186" s="93" t="str">
        <f t="shared" si="3009"/>
        <v/>
      </c>
      <c r="FA186" s="93" t="str">
        <f t="shared" si="3009"/>
        <v/>
      </c>
      <c r="FB186" s="93" t="str">
        <f t="shared" si="3009"/>
        <v/>
      </c>
      <c r="FC186" s="93" t="str">
        <f t="shared" si="3009"/>
        <v/>
      </c>
      <c r="FD186" s="93" t="str">
        <f t="shared" si="3009"/>
        <v/>
      </c>
      <c r="FE186" s="93" t="str">
        <f t="shared" si="3009"/>
        <v/>
      </c>
      <c r="FF186" s="93" t="str">
        <f t="shared" si="3009"/>
        <v/>
      </c>
      <c r="FG186" s="93" t="str">
        <f t="shared" si="3009"/>
        <v/>
      </c>
      <c r="FH186" s="93" t="str">
        <f t="shared" si="3009"/>
        <v/>
      </c>
      <c r="FI186" s="93" t="str">
        <f t="shared" si="3009"/>
        <v/>
      </c>
      <c r="FJ186" s="93" t="str">
        <f t="shared" si="3009"/>
        <v/>
      </c>
      <c r="FK186" s="93" t="str">
        <f t="shared" si="3009"/>
        <v/>
      </c>
      <c r="FL186" s="93" t="str">
        <f t="shared" si="3009"/>
        <v/>
      </c>
      <c r="FM186" s="93" t="str">
        <f t="shared" si="3009"/>
        <v/>
      </c>
      <c r="FN186" s="93" t="str">
        <f t="shared" si="3010"/>
        <v/>
      </c>
      <c r="FO186" s="93" t="str">
        <f t="shared" si="3010"/>
        <v/>
      </c>
      <c r="FP186" s="93" t="str">
        <f t="shared" si="3010"/>
        <v/>
      </c>
      <c r="FQ186" s="93" t="str">
        <f t="shared" si="3010"/>
        <v/>
      </c>
      <c r="FR186" s="93" t="str">
        <f t="shared" si="3010"/>
        <v/>
      </c>
      <c r="FS186" s="93" t="str">
        <f t="shared" si="3010"/>
        <v/>
      </c>
    </row>
    <row r="187" spans="1:175" s="36" customFormat="1" ht="16.5">
      <c r="A187" s="84"/>
      <c r="B187" s="4" t="s">
        <v>772</v>
      </c>
      <c r="C187" s="84" t="s">
        <v>555</v>
      </c>
      <c r="D187" s="69"/>
      <c r="E187" s="69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74"/>
      <c r="Q187" s="74"/>
      <c r="R187" s="74"/>
      <c r="S187" s="74"/>
      <c r="T187" s="84" t="s">
        <v>556</v>
      </c>
      <c r="U187" s="55" t="str">
        <f t="shared" si="1549"/>
        <v>ReplaceableTextures\\CommandButtons\\BTNIZ01.blp</v>
      </c>
      <c r="V187" s="90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1"/>
      <c r="AN187" s="91"/>
      <c r="AO187" s="91"/>
      <c r="AP187" s="91"/>
      <c r="AQ187" s="91"/>
      <c r="AR187" s="42"/>
      <c r="AS187" s="42"/>
      <c r="AT187" s="91"/>
      <c r="AU187" s="91"/>
      <c r="AV187" s="91"/>
      <c r="AW187" s="91"/>
      <c r="AX187" s="91"/>
      <c r="AY187" s="91"/>
      <c r="AZ187" s="91"/>
      <c r="BA187" s="91"/>
      <c r="BB187" s="91"/>
      <c r="BC187" s="91"/>
      <c r="BD187" s="91"/>
      <c r="BE187" s="91"/>
      <c r="BF187" s="91"/>
      <c r="BG187" s="91"/>
      <c r="BH187" s="91"/>
      <c r="BI187" s="91"/>
      <c r="BJ187" s="91"/>
      <c r="BK187" s="91"/>
      <c r="BL187" s="91"/>
      <c r="BM187" s="91"/>
      <c r="BN187" s="91"/>
      <c r="BO187" s="91"/>
      <c r="BP187" s="91"/>
      <c r="BQ187" s="91"/>
      <c r="BR187" s="91"/>
      <c r="BS187" s="91"/>
      <c r="BT187" s="91"/>
      <c r="BU187" s="91"/>
      <c r="BV187" s="91"/>
      <c r="BW187" s="91"/>
      <c r="BX187" s="91"/>
      <c r="BY187" s="91"/>
      <c r="BZ187" s="91"/>
      <c r="CA187" s="91"/>
      <c r="CB187" s="91"/>
      <c r="CC187" s="91"/>
      <c r="CD187" s="91"/>
      <c r="CE187" s="91"/>
      <c r="CF187" s="91"/>
      <c r="CG187" s="91"/>
      <c r="CH187" s="91"/>
      <c r="CI187" s="91"/>
      <c r="CJ187" s="91"/>
      <c r="CK187" s="91"/>
      <c r="CL187" s="91"/>
      <c r="CM187" s="91"/>
      <c r="CN187" s="92" t="str">
        <f t="shared" si="2787"/>
        <v>InitUnitState('IZ01',,,,,,,,,,)</v>
      </c>
      <c r="CO187" s="92" t="str">
        <f t="shared" si="2788"/>
        <v>InitUnitNormal('IZ01',,,,,,,,,,)</v>
      </c>
      <c r="CP187" s="92" t="str">
        <f t="shared" si="2789"/>
        <v>InitUnitMagic('IZ01',,,,,,,,,,)</v>
      </c>
      <c r="CQ187" s="92" t="str">
        <f t="shared" si="2790"/>
        <v>InitUnitAdd('IZ01',,,,,,,,,,)</v>
      </c>
      <c r="CR187" s="9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InitEquipData('IZ01',,"",,,,,'','','','','','',"ReplaceableTextures\\CommandButtons\\BTN001.blp")</v>
      </c>
      <c r="CS187" s="92"/>
      <c r="CT187" s="92"/>
      <c r="CU187" s="67" t="str">
        <f t="shared" si="2936"/>
        <v>|n</v>
      </c>
      <c r="CV187" s="36" t="str">
        <f t="shared" si="293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7" s="6"/>
      <c r="CX187" s="6"/>
      <c r="CY187" s="6"/>
      <c r="CZ187" s="6"/>
      <c r="DA187" s="6"/>
      <c r="DB187" s="93" t="str">
        <f t="shared" ref="DB187:FM187" si="3018">IF(V187="","","|n"&amp;DB$2&amp;"+"&amp;V187&amp;DB$1)</f>
        <v/>
      </c>
      <c r="DC187" s="93" t="str">
        <f t="shared" si="3018"/>
        <v/>
      </c>
      <c r="DD187" s="93" t="str">
        <f t="shared" si="3018"/>
        <v/>
      </c>
      <c r="DE187" s="93" t="str">
        <f t="shared" si="3018"/>
        <v/>
      </c>
      <c r="DF187" s="93" t="str">
        <f t="shared" si="3018"/>
        <v/>
      </c>
      <c r="DG187" s="93" t="str">
        <f t="shared" si="3018"/>
        <v/>
      </c>
      <c r="DH187" s="93" t="str">
        <f t="shared" si="3018"/>
        <v/>
      </c>
      <c r="DI187" s="93" t="str">
        <f t="shared" si="3018"/>
        <v/>
      </c>
      <c r="DJ187" s="93" t="str">
        <f t="shared" si="3018"/>
        <v/>
      </c>
      <c r="DK187" s="93" t="str">
        <f t="shared" si="3018"/>
        <v/>
      </c>
      <c r="DL187" s="93" t="str">
        <f t="shared" si="3018"/>
        <v/>
      </c>
      <c r="DM187" s="93" t="str">
        <f t="shared" si="3018"/>
        <v/>
      </c>
      <c r="DN187" s="93" t="str">
        <f t="shared" si="3018"/>
        <v/>
      </c>
      <c r="DO187" s="93" t="str">
        <f t="shared" si="3018"/>
        <v/>
      </c>
      <c r="DP187" s="93" t="str">
        <f t="shared" si="3018"/>
        <v/>
      </c>
      <c r="DQ187" s="93" t="str">
        <f t="shared" si="3018"/>
        <v/>
      </c>
      <c r="DR187" s="93" t="str">
        <f t="shared" si="3018"/>
        <v/>
      </c>
      <c r="DS187" s="93" t="str">
        <f t="shared" si="3018"/>
        <v/>
      </c>
      <c r="DT187" s="93" t="str">
        <f t="shared" si="3018"/>
        <v/>
      </c>
      <c r="DU187" s="93" t="str">
        <f t="shared" si="3018"/>
        <v/>
      </c>
      <c r="DV187" s="93" t="str">
        <f t="shared" si="3018"/>
        <v/>
      </c>
      <c r="DW187" s="93" t="str">
        <f t="shared" si="3018"/>
        <v/>
      </c>
      <c r="DX187" s="93" t="str">
        <f t="shared" si="3018"/>
        <v/>
      </c>
      <c r="DY187" s="93" t="str">
        <f t="shared" si="3018"/>
        <v/>
      </c>
      <c r="DZ187" s="93" t="str">
        <f t="shared" si="3018"/>
        <v/>
      </c>
      <c r="EA187" s="93" t="str">
        <f t="shared" si="3018"/>
        <v/>
      </c>
      <c r="EB187" s="93" t="str">
        <f t="shared" si="3018"/>
        <v/>
      </c>
      <c r="EC187" s="93" t="str">
        <f t="shared" si="3018"/>
        <v/>
      </c>
      <c r="ED187" s="93" t="str">
        <f t="shared" si="3018"/>
        <v/>
      </c>
      <c r="EE187" s="93" t="str">
        <f t="shared" si="3018"/>
        <v/>
      </c>
      <c r="EF187" s="93" t="str">
        <f t="shared" si="3018"/>
        <v/>
      </c>
      <c r="EG187" s="93" t="str">
        <f t="shared" si="3018"/>
        <v/>
      </c>
      <c r="EH187" s="93" t="str">
        <f t="shared" si="3018"/>
        <v/>
      </c>
      <c r="EI187" s="93" t="str">
        <f t="shared" si="3018"/>
        <v/>
      </c>
      <c r="EJ187" s="93" t="str">
        <f t="shared" si="3018"/>
        <v/>
      </c>
      <c r="EK187" s="93" t="str">
        <f t="shared" si="3018"/>
        <v/>
      </c>
      <c r="EL187" s="93" t="str">
        <f t="shared" si="3018"/>
        <v/>
      </c>
      <c r="EM187" s="93" t="str">
        <f t="shared" si="3018"/>
        <v/>
      </c>
      <c r="EN187" s="93" t="str">
        <f t="shared" si="3018"/>
        <v/>
      </c>
      <c r="EO187" s="93" t="str">
        <f t="shared" si="3018"/>
        <v/>
      </c>
      <c r="EP187" s="93" t="str">
        <f t="shared" si="3018"/>
        <v/>
      </c>
      <c r="EQ187" s="93" t="str">
        <f t="shared" si="3018"/>
        <v/>
      </c>
      <c r="ER187" s="93" t="str">
        <f t="shared" si="3018"/>
        <v/>
      </c>
      <c r="ES187" s="93" t="str">
        <f t="shared" si="3018"/>
        <v/>
      </c>
      <c r="ET187" s="93" t="str">
        <f t="shared" si="3018"/>
        <v/>
      </c>
      <c r="EU187" s="93" t="str">
        <f t="shared" si="3018"/>
        <v/>
      </c>
      <c r="EV187" s="93" t="str">
        <f t="shared" si="3018"/>
        <v/>
      </c>
      <c r="EW187" s="93" t="str">
        <f t="shared" si="3018"/>
        <v/>
      </c>
      <c r="EX187" s="93" t="str">
        <f t="shared" si="3018"/>
        <v/>
      </c>
      <c r="EY187" s="93" t="str">
        <f t="shared" si="3018"/>
        <v/>
      </c>
      <c r="EZ187" s="93" t="str">
        <f t="shared" si="3018"/>
        <v/>
      </c>
      <c r="FA187" s="93" t="str">
        <f t="shared" si="3018"/>
        <v/>
      </c>
      <c r="FB187" s="93" t="str">
        <f t="shared" si="3018"/>
        <v/>
      </c>
      <c r="FC187" s="93" t="str">
        <f t="shared" si="3018"/>
        <v/>
      </c>
      <c r="FD187" s="93" t="str">
        <f t="shared" si="3018"/>
        <v/>
      </c>
      <c r="FE187" s="93" t="str">
        <f t="shared" si="3018"/>
        <v/>
      </c>
      <c r="FF187" s="93" t="str">
        <f t="shared" si="3018"/>
        <v/>
      </c>
      <c r="FG187" s="93" t="str">
        <f t="shared" si="3018"/>
        <v/>
      </c>
      <c r="FH187" s="93" t="str">
        <f t="shared" si="3018"/>
        <v/>
      </c>
      <c r="FI187" s="93" t="str">
        <f t="shared" si="3018"/>
        <v/>
      </c>
      <c r="FJ187" s="93" t="str">
        <f t="shared" si="3018"/>
        <v/>
      </c>
      <c r="FK187" s="93" t="str">
        <f t="shared" si="3018"/>
        <v/>
      </c>
      <c r="FL187" s="93" t="str">
        <f t="shared" si="3018"/>
        <v/>
      </c>
      <c r="FM187" s="93" t="str">
        <f t="shared" si="3018"/>
        <v/>
      </c>
      <c r="FN187" s="93" t="str">
        <f t="shared" ref="FN187:FS187" si="3019">IF(CH187="","","|n"&amp;FN$2&amp;"+"&amp;CH187&amp;FN$1)</f>
        <v/>
      </c>
      <c r="FO187" s="93" t="str">
        <f t="shared" si="3019"/>
        <v/>
      </c>
      <c r="FP187" s="93" t="str">
        <f t="shared" si="3019"/>
        <v/>
      </c>
      <c r="FQ187" s="93" t="str">
        <f t="shared" si="3019"/>
        <v/>
      </c>
      <c r="FR187" s="93" t="str">
        <f t="shared" si="3019"/>
        <v/>
      </c>
      <c r="FS187" s="93" t="str">
        <f t="shared" si="3019"/>
        <v/>
      </c>
    </row>
    <row r="188" spans="1:175" ht="16.5">
      <c r="A188" s="84"/>
      <c r="B188" s="4" t="s">
        <v>557</v>
      </c>
      <c r="C188" s="84" t="s">
        <v>558</v>
      </c>
      <c r="T188" s="84" t="s">
        <v>558</v>
      </c>
      <c r="U188" s="55" t="s">
        <v>559</v>
      </c>
      <c r="CN188" s="12" t="str">
        <f t="shared" si="2787"/>
        <v>InitUnitState('IS01',,,,,,,,,,)</v>
      </c>
      <c r="CO188" s="12" t="str">
        <f t="shared" si="2788"/>
        <v>InitUnitNormal('IS01',,,,,,,,,,)</v>
      </c>
      <c r="CP188" s="12" t="str">
        <f t="shared" si="2789"/>
        <v>InitUnitMagic('IS01',,,,,,,,,,)</v>
      </c>
      <c r="CQ188" s="12" t="str">
        <f t="shared" si="2790"/>
        <v>InitUnitAdd('IS01',,,,,,,,,,)</v>
      </c>
      <c r="CR188" s="1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InitEquipData('IS01',,"",,,,,'','','','','','',"ReplaceableTextures\\CommandButtons\\BTN002.blp")</v>
      </c>
      <c r="CU188" s="67" t="str">
        <f t="shared" si="2936"/>
        <v>|n</v>
      </c>
      <c r="CV188" s="5" t="str">
        <f t="shared" si="2937"/>
        <v>抽技能Q</v>
      </c>
      <c r="CW188" s="6"/>
      <c r="CX188" s="6"/>
      <c r="CY188" s="6"/>
      <c r="CZ188" s="6"/>
      <c r="DA188" s="6"/>
      <c r="DB188" s="43" t="str">
        <f t="shared" ref="DB188:DK189" si="3020">IF(V188="","","|n"&amp;DB$2&amp;"+"&amp;V188&amp;DB$1)</f>
        <v/>
      </c>
      <c r="DC188" s="43" t="str">
        <f t="shared" si="3020"/>
        <v/>
      </c>
      <c r="DD188" s="43" t="str">
        <f t="shared" si="3020"/>
        <v/>
      </c>
      <c r="DE188" s="43" t="str">
        <f t="shared" si="3020"/>
        <v/>
      </c>
      <c r="DF188" s="43" t="str">
        <f t="shared" si="3020"/>
        <v/>
      </c>
      <c r="DG188" s="43" t="str">
        <f t="shared" si="3020"/>
        <v/>
      </c>
      <c r="DH188" s="43" t="str">
        <f t="shared" si="3020"/>
        <v/>
      </c>
      <c r="DI188" s="43" t="str">
        <f t="shared" si="3020"/>
        <v/>
      </c>
      <c r="DJ188" s="43" t="str">
        <f t="shared" si="3020"/>
        <v/>
      </c>
      <c r="DK188" s="43" t="str">
        <f t="shared" si="3020"/>
        <v/>
      </c>
      <c r="DL188" s="43" t="str">
        <f t="shared" ref="DL188:DU189" si="3021">IF(AF188="","","|n"&amp;DL$2&amp;"+"&amp;AF188&amp;DL$1)</f>
        <v/>
      </c>
      <c r="DM188" s="43" t="str">
        <f t="shared" si="3021"/>
        <v/>
      </c>
      <c r="DN188" s="43" t="str">
        <f t="shared" si="3021"/>
        <v/>
      </c>
      <c r="DO188" s="43" t="str">
        <f t="shared" si="3021"/>
        <v/>
      </c>
      <c r="DP188" s="43" t="str">
        <f t="shared" si="3021"/>
        <v/>
      </c>
      <c r="DQ188" s="43" t="str">
        <f t="shared" si="3021"/>
        <v/>
      </c>
      <c r="DR188" s="43" t="str">
        <f t="shared" si="3021"/>
        <v/>
      </c>
      <c r="DS188" s="43" t="str">
        <f t="shared" si="3021"/>
        <v/>
      </c>
      <c r="DT188" s="43" t="str">
        <f t="shared" si="3021"/>
        <v/>
      </c>
      <c r="DU188" s="43" t="str">
        <f t="shared" si="3021"/>
        <v/>
      </c>
      <c r="DV188" s="43" t="str">
        <f t="shared" ref="DV188:EE189" si="3022">IF(AP188="","","|n"&amp;DV$2&amp;"+"&amp;AP188&amp;DV$1)</f>
        <v/>
      </c>
      <c r="DW188" s="43" t="str">
        <f t="shared" si="3022"/>
        <v/>
      </c>
      <c r="DX188" s="43" t="str">
        <f t="shared" si="3022"/>
        <v/>
      </c>
      <c r="DY188" s="43" t="str">
        <f t="shared" si="3022"/>
        <v/>
      </c>
      <c r="DZ188" s="43" t="str">
        <f t="shared" si="3022"/>
        <v/>
      </c>
      <c r="EA188" s="43" t="str">
        <f t="shared" si="3022"/>
        <v/>
      </c>
      <c r="EB188" s="43" t="str">
        <f t="shared" si="3022"/>
        <v/>
      </c>
      <c r="EC188" s="43" t="str">
        <f t="shared" si="3022"/>
        <v/>
      </c>
      <c r="ED188" s="43" t="str">
        <f t="shared" si="3022"/>
        <v/>
      </c>
      <c r="EE188" s="43" t="str">
        <f t="shared" si="3022"/>
        <v/>
      </c>
      <c r="EF188" s="43" t="str">
        <f t="shared" ref="EF188:EO189" si="3023">IF(AZ188="","","|n"&amp;EF$2&amp;"+"&amp;AZ188&amp;EF$1)</f>
        <v/>
      </c>
      <c r="EG188" s="43" t="str">
        <f t="shared" si="3023"/>
        <v/>
      </c>
      <c r="EH188" s="43" t="str">
        <f t="shared" si="3023"/>
        <v/>
      </c>
      <c r="EI188" s="43" t="str">
        <f t="shared" si="3023"/>
        <v/>
      </c>
      <c r="EJ188" s="43" t="str">
        <f t="shared" si="3023"/>
        <v/>
      </c>
      <c r="EK188" s="43" t="str">
        <f t="shared" si="3023"/>
        <v/>
      </c>
      <c r="EL188" s="43" t="str">
        <f t="shared" si="3023"/>
        <v/>
      </c>
      <c r="EM188" s="43" t="str">
        <f t="shared" si="3023"/>
        <v/>
      </c>
      <c r="EN188" s="43" t="str">
        <f t="shared" si="3023"/>
        <v/>
      </c>
      <c r="EO188" s="43" t="str">
        <f t="shared" si="3023"/>
        <v/>
      </c>
      <c r="EP188" s="43" t="str">
        <f t="shared" ref="EP188:EY189" si="3024">IF(BJ188="","","|n"&amp;EP$2&amp;"+"&amp;BJ188&amp;EP$1)</f>
        <v/>
      </c>
      <c r="EQ188" s="43" t="str">
        <f t="shared" si="3024"/>
        <v/>
      </c>
      <c r="ER188" s="43" t="str">
        <f t="shared" si="3024"/>
        <v/>
      </c>
      <c r="ES188" s="43" t="str">
        <f t="shared" si="3024"/>
        <v/>
      </c>
      <c r="ET188" s="43" t="str">
        <f t="shared" si="3024"/>
        <v/>
      </c>
      <c r="EU188" s="43" t="str">
        <f t="shared" si="3024"/>
        <v/>
      </c>
      <c r="EV188" s="43" t="str">
        <f t="shared" si="3024"/>
        <v/>
      </c>
      <c r="EW188" s="43" t="str">
        <f t="shared" si="3024"/>
        <v/>
      </c>
      <c r="EX188" s="43" t="str">
        <f t="shared" si="3024"/>
        <v/>
      </c>
      <c r="EY188" s="43" t="str">
        <f t="shared" si="3024"/>
        <v/>
      </c>
      <c r="EZ188" s="43" t="str">
        <f t="shared" ref="EZ188:FI189" si="3025">IF(BT188="","","|n"&amp;EZ$2&amp;"+"&amp;BT188&amp;EZ$1)</f>
        <v/>
      </c>
      <c r="FA188" s="43" t="str">
        <f t="shared" si="3025"/>
        <v/>
      </c>
      <c r="FB188" s="43" t="str">
        <f t="shared" si="3025"/>
        <v/>
      </c>
      <c r="FC188" s="43" t="str">
        <f t="shared" si="3025"/>
        <v/>
      </c>
      <c r="FD188" s="43" t="str">
        <f t="shared" si="3025"/>
        <v/>
      </c>
      <c r="FE188" s="43" t="str">
        <f t="shared" si="3025"/>
        <v/>
      </c>
      <c r="FF188" s="43" t="str">
        <f t="shared" si="3025"/>
        <v/>
      </c>
      <c r="FG188" s="43" t="str">
        <f t="shared" si="3025"/>
        <v/>
      </c>
      <c r="FH188" s="43" t="str">
        <f t="shared" si="3025"/>
        <v/>
      </c>
      <c r="FI188" s="43" t="str">
        <f t="shared" si="3025"/>
        <v/>
      </c>
      <c r="FJ188" s="43" t="str">
        <f t="shared" ref="FJ188:FS189" si="3026">IF(CD188="","","|n"&amp;FJ$2&amp;"+"&amp;CD188&amp;FJ$1)</f>
        <v/>
      </c>
      <c r="FK188" s="43" t="str">
        <f t="shared" si="3026"/>
        <v/>
      </c>
      <c r="FL188" s="43" t="str">
        <f t="shared" si="3026"/>
        <v/>
      </c>
      <c r="FM188" s="43" t="str">
        <f t="shared" si="3026"/>
        <v/>
      </c>
      <c r="FN188" s="43" t="str">
        <f t="shared" si="3026"/>
        <v/>
      </c>
      <c r="FO188" s="43" t="str">
        <f t="shared" si="3026"/>
        <v/>
      </c>
      <c r="FP188" s="43" t="str">
        <f t="shared" si="3026"/>
        <v/>
      </c>
      <c r="FQ188" s="43" t="str">
        <f t="shared" si="3026"/>
        <v/>
      </c>
      <c r="FR188" s="43" t="str">
        <f t="shared" si="3026"/>
        <v/>
      </c>
      <c r="FS188" s="43" t="str">
        <f t="shared" si="3026"/>
        <v/>
      </c>
    </row>
    <row r="189" spans="1:175" ht="16.5">
      <c r="A189" s="84"/>
      <c r="B189" s="4" t="s">
        <v>560</v>
      </c>
      <c r="C189" s="84" t="s">
        <v>561</v>
      </c>
      <c r="T189" s="84" t="s">
        <v>561</v>
      </c>
      <c r="U189" s="55" t="s">
        <v>562</v>
      </c>
      <c r="CN189" s="12" t="str">
        <f t="shared" si="2787"/>
        <v>InitUnitState('IS02',,,,,,,,,,)</v>
      </c>
      <c r="CO189" s="12" t="str">
        <f t="shared" si="2788"/>
        <v>InitUnitNormal('IS02',,,,,,,,,,)</v>
      </c>
      <c r="CP189" s="12" t="str">
        <f t="shared" si="2789"/>
        <v>InitUnitMagic('IS02',,,,,,,,,,)</v>
      </c>
      <c r="CQ189" s="12" t="str">
        <f t="shared" si="2790"/>
        <v>InitUnitAdd('IS02',,,,,,,,,,)</v>
      </c>
      <c r="CR189" s="12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InitEquipData('IS02',,"",,,,,'','','','','','',"ReplaceableTextures\\CommandButtons\\BTN003.blp")</v>
      </c>
      <c r="CU189" s="67" t="str">
        <f t="shared" si="2936"/>
        <v>|n</v>
      </c>
      <c r="CV189" s="5" t="str">
        <f t="shared" si="2937"/>
        <v>抽技能W</v>
      </c>
      <c r="CW189" s="6"/>
      <c r="CX189" s="6"/>
      <c r="CY189" s="6"/>
      <c r="CZ189" s="6"/>
      <c r="DA189" s="6"/>
      <c r="DB189" s="43" t="str">
        <f t="shared" si="3020"/>
        <v/>
      </c>
      <c r="DC189" s="43" t="str">
        <f t="shared" si="3020"/>
        <v/>
      </c>
      <c r="DD189" s="43" t="str">
        <f t="shared" si="3020"/>
        <v/>
      </c>
      <c r="DE189" s="43" t="str">
        <f t="shared" si="3020"/>
        <v/>
      </c>
      <c r="DF189" s="43" t="str">
        <f t="shared" si="3020"/>
        <v/>
      </c>
      <c r="DG189" s="43" t="str">
        <f t="shared" si="3020"/>
        <v/>
      </c>
      <c r="DH189" s="43" t="str">
        <f t="shared" si="3020"/>
        <v/>
      </c>
      <c r="DI189" s="43" t="str">
        <f t="shared" si="3020"/>
        <v/>
      </c>
      <c r="DJ189" s="43" t="str">
        <f t="shared" si="3020"/>
        <v/>
      </c>
      <c r="DK189" s="43" t="str">
        <f t="shared" si="3020"/>
        <v/>
      </c>
      <c r="DL189" s="43" t="str">
        <f t="shared" si="3021"/>
        <v/>
      </c>
      <c r="DM189" s="43" t="str">
        <f t="shared" si="3021"/>
        <v/>
      </c>
      <c r="DN189" s="43" t="str">
        <f t="shared" si="3021"/>
        <v/>
      </c>
      <c r="DO189" s="43" t="str">
        <f t="shared" si="3021"/>
        <v/>
      </c>
      <c r="DP189" s="43" t="str">
        <f t="shared" si="3021"/>
        <v/>
      </c>
      <c r="DQ189" s="43" t="str">
        <f t="shared" si="3021"/>
        <v/>
      </c>
      <c r="DR189" s="43" t="str">
        <f t="shared" si="3021"/>
        <v/>
      </c>
      <c r="DS189" s="43" t="str">
        <f t="shared" si="3021"/>
        <v/>
      </c>
      <c r="DT189" s="43" t="str">
        <f t="shared" si="3021"/>
        <v/>
      </c>
      <c r="DU189" s="43" t="str">
        <f t="shared" si="3021"/>
        <v/>
      </c>
      <c r="DV189" s="43" t="str">
        <f t="shared" si="3022"/>
        <v/>
      </c>
      <c r="DW189" s="43" t="str">
        <f t="shared" si="3022"/>
        <v/>
      </c>
      <c r="DX189" s="43" t="str">
        <f t="shared" si="3022"/>
        <v/>
      </c>
      <c r="DY189" s="43" t="str">
        <f t="shared" si="3022"/>
        <v/>
      </c>
      <c r="DZ189" s="43" t="str">
        <f t="shared" si="3022"/>
        <v/>
      </c>
      <c r="EA189" s="43" t="str">
        <f t="shared" si="3022"/>
        <v/>
      </c>
      <c r="EB189" s="43" t="str">
        <f t="shared" si="3022"/>
        <v/>
      </c>
      <c r="EC189" s="43" t="str">
        <f t="shared" si="3022"/>
        <v/>
      </c>
      <c r="ED189" s="43" t="str">
        <f t="shared" si="3022"/>
        <v/>
      </c>
      <c r="EE189" s="43" t="str">
        <f t="shared" si="3022"/>
        <v/>
      </c>
      <c r="EF189" s="43" t="str">
        <f t="shared" si="3023"/>
        <v/>
      </c>
      <c r="EG189" s="43" t="str">
        <f t="shared" si="3023"/>
        <v/>
      </c>
      <c r="EH189" s="43" t="str">
        <f t="shared" si="3023"/>
        <v/>
      </c>
      <c r="EI189" s="43" t="str">
        <f t="shared" si="3023"/>
        <v/>
      </c>
      <c r="EJ189" s="43" t="str">
        <f t="shared" si="3023"/>
        <v/>
      </c>
      <c r="EK189" s="43" t="str">
        <f t="shared" si="3023"/>
        <v/>
      </c>
      <c r="EL189" s="43" t="str">
        <f t="shared" si="3023"/>
        <v/>
      </c>
      <c r="EM189" s="43" t="str">
        <f t="shared" si="3023"/>
        <v/>
      </c>
      <c r="EN189" s="43" t="str">
        <f t="shared" si="3023"/>
        <v/>
      </c>
      <c r="EO189" s="43" t="str">
        <f t="shared" si="3023"/>
        <v/>
      </c>
      <c r="EP189" s="43" t="str">
        <f t="shared" si="3024"/>
        <v/>
      </c>
      <c r="EQ189" s="43" t="str">
        <f t="shared" si="3024"/>
        <v/>
      </c>
      <c r="ER189" s="43" t="str">
        <f t="shared" si="3024"/>
        <v/>
      </c>
      <c r="ES189" s="43" t="str">
        <f t="shared" si="3024"/>
        <v/>
      </c>
      <c r="ET189" s="43" t="str">
        <f t="shared" si="3024"/>
        <v/>
      </c>
      <c r="EU189" s="43" t="str">
        <f t="shared" si="3024"/>
        <v/>
      </c>
      <c r="EV189" s="43" t="str">
        <f t="shared" si="3024"/>
        <v/>
      </c>
      <c r="EW189" s="43" t="str">
        <f t="shared" si="3024"/>
        <v/>
      </c>
      <c r="EX189" s="43" t="str">
        <f t="shared" si="3024"/>
        <v/>
      </c>
      <c r="EY189" s="43" t="str">
        <f t="shared" si="3024"/>
        <v/>
      </c>
      <c r="EZ189" s="43" t="str">
        <f t="shared" si="3025"/>
        <v/>
      </c>
      <c r="FA189" s="43" t="str">
        <f t="shared" si="3025"/>
        <v/>
      </c>
      <c r="FB189" s="43" t="str">
        <f t="shared" si="3025"/>
        <v/>
      </c>
      <c r="FC189" s="43" t="str">
        <f t="shared" si="3025"/>
        <v/>
      </c>
      <c r="FD189" s="43" t="str">
        <f t="shared" si="3025"/>
        <v/>
      </c>
      <c r="FE189" s="43" t="str">
        <f t="shared" si="3025"/>
        <v/>
      </c>
      <c r="FF189" s="43" t="str">
        <f t="shared" si="3025"/>
        <v/>
      </c>
      <c r="FG189" s="43" t="str">
        <f t="shared" si="3025"/>
        <v/>
      </c>
      <c r="FH189" s="43" t="str">
        <f t="shared" si="3025"/>
        <v/>
      </c>
      <c r="FI189" s="43" t="str">
        <f t="shared" si="3025"/>
        <v/>
      </c>
      <c r="FJ189" s="43" t="str">
        <f t="shared" si="3026"/>
        <v/>
      </c>
      <c r="FK189" s="43" t="str">
        <f t="shared" si="3026"/>
        <v/>
      </c>
      <c r="FL189" s="43" t="str">
        <f t="shared" si="3026"/>
        <v/>
      </c>
      <c r="FM189" s="43" t="str">
        <f t="shared" si="3026"/>
        <v/>
      </c>
      <c r="FN189" s="43" t="str">
        <f t="shared" si="3026"/>
        <v/>
      </c>
      <c r="FO189" s="43" t="str">
        <f t="shared" si="3026"/>
        <v/>
      </c>
      <c r="FP189" s="43" t="str">
        <f t="shared" si="3026"/>
        <v/>
      </c>
      <c r="FQ189" s="43" t="str">
        <f t="shared" si="3026"/>
        <v/>
      </c>
      <c r="FR189" s="43" t="str">
        <f t="shared" si="3026"/>
        <v/>
      </c>
      <c r="FS189" s="43" t="str">
        <f t="shared" si="3026"/>
        <v/>
      </c>
    </row>
    <row r="190" spans="1:175" ht="16.5">
      <c r="A190" s="84"/>
      <c r="B190" s="4" t="s">
        <v>563</v>
      </c>
      <c r="C190" s="84" t="s">
        <v>564</v>
      </c>
      <c r="T190" s="84" t="s">
        <v>564</v>
      </c>
      <c r="U190" s="55" t="s">
        <v>565</v>
      </c>
      <c r="CN190" s="12" t="str">
        <f t="shared" si="2787"/>
        <v>InitUnitState('IS03',,,,,,,,,,)</v>
      </c>
      <c r="CO190" s="12" t="str">
        <f t="shared" si="2788"/>
        <v>InitUnitNormal('IS03',,,,,,,,,,)</v>
      </c>
      <c r="CP190" s="12" t="str">
        <f t="shared" si="2789"/>
        <v>InitUnitMagic('IS03',,,,,,,,,,)</v>
      </c>
      <c r="CQ190" s="12" t="str">
        <f t="shared" si="2790"/>
        <v>InitUnitAdd('IS03',,,,,,,,,,)</v>
      </c>
      <c r="CR190" s="12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67" t="str">
        <f t="shared" ref="CU190:CU195" si="3027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5" t="str">
        <f t="shared" ref="CV190:CV195" si="3028">T190</f>
        <v>抽技能E</v>
      </c>
      <c r="CW190" s="6"/>
      <c r="CX190" s="6"/>
      <c r="CY190" s="6"/>
      <c r="CZ190" s="6"/>
      <c r="DA190" s="6"/>
      <c r="DB190" s="43" t="str">
        <f t="shared" ref="DB190:DB195" si="3029">IF(V190="","","|n"&amp;DB$2&amp;"+"&amp;V190&amp;DB$1)</f>
        <v/>
      </c>
      <c r="DC190" s="43" t="str">
        <f t="shared" ref="DC190:DC195" si="3030">IF(W190="","","|n"&amp;DC$2&amp;"+"&amp;W190&amp;DC$1)</f>
        <v/>
      </c>
      <c r="DD190" s="43" t="str">
        <f t="shared" ref="DD190:DD195" si="3031">IF(X190="","","|n"&amp;DD$2&amp;"+"&amp;X190&amp;DD$1)</f>
        <v/>
      </c>
      <c r="DE190" s="43" t="str">
        <f t="shared" ref="DE190:DE195" si="3032">IF(Y190="","","|n"&amp;DE$2&amp;"+"&amp;Y190&amp;DE$1)</f>
        <v/>
      </c>
      <c r="DF190" s="43" t="str">
        <f t="shared" ref="DF190:DF195" si="3033">IF(Z190="","","|n"&amp;DF$2&amp;"+"&amp;Z190&amp;DF$1)</f>
        <v/>
      </c>
      <c r="DG190" s="43" t="str">
        <f t="shared" ref="DG190:DG195" si="3034">IF(AA190="","","|n"&amp;DG$2&amp;"+"&amp;AA190&amp;DG$1)</f>
        <v/>
      </c>
      <c r="DH190" s="43" t="str">
        <f t="shared" ref="DH190:DH195" si="3035">IF(AB190="","","|n"&amp;DH$2&amp;"+"&amp;AB190&amp;DH$1)</f>
        <v/>
      </c>
      <c r="DI190" s="43" t="str">
        <f t="shared" ref="DI190:DI195" si="3036">IF(AC190="","","|n"&amp;DI$2&amp;"+"&amp;AC190&amp;DI$1)</f>
        <v/>
      </c>
      <c r="DJ190" s="43" t="str">
        <f t="shared" ref="DJ190:DJ195" si="3037">IF(AD190="","","|n"&amp;DJ$2&amp;"+"&amp;AD190&amp;DJ$1)</f>
        <v/>
      </c>
      <c r="DK190" s="43" t="str">
        <f t="shared" ref="DK190:DK195" si="3038">IF(AE190="","","|n"&amp;DK$2&amp;"+"&amp;AE190&amp;DK$1)</f>
        <v/>
      </c>
      <c r="DL190" s="43" t="str">
        <f t="shared" ref="DL190:DL195" si="3039">IF(AF190="","","|n"&amp;DL$2&amp;"+"&amp;AF190&amp;DL$1)</f>
        <v/>
      </c>
      <c r="DM190" s="43" t="str">
        <f t="shared" ref="DM190:DM195" si="3040">IF(AG190="","","|n"&amp;DM$2&amp;"+"&amp;AG190&amp;DM$1)</f>
        <v/>
      </c>
      <c r="DN190" s="43" t="str">
        <f t="shared" ref="DN190:DN195" si="3041">IF(AH190="","","|n"&amp;DN$2&amp;"+"&amp;AH190&amp;DN$1)</f>
        <v/>
      </c>
      <c r="DO190" s="43" t="str">
        <f t="shared" ref="DO190:DO195" si="3042">IF(AI190="","","|n"&amp;DO$2&amp;"+"&amp;AI190&amp;DO$1)</f>
        <v/>
      </c>
      <c r="DP190" s="43" t="str">
        <f t="shared" ref="DP190:DP195" si="3043">IF(AJ190="","","|n"&amp;DP$2&amp;"+"&amp;AJ190&amp;DP$1)</f>
        <v/>
      </c>
      <c r="DQ190" s="43" t="str">
        <f t="shared" ref="DQ190:DQ195" si="3044">IF(AK190="","","|n"&amp;DQ$2&amp;"+"&amp;AK190&amp;DQ$1)</f>
        <v/>
      </c>
      <c r="DR190" s="43" t="str">
        <f t="shared" ref="DR190:DR195" si="3045">IF(AL190="","","|n"&amp;DR$2&amp;"+"&amp;AL190&amp;DR$1)</f>
        <v/>
      </c>
      <c r="DS190" s="43" t="str">
        <f t="shared" ref="DS190:DS195" si="3046">IF(AM190="","","|n"&amp;DS$2&amp;"+"&amp;AM190&amp;DS$1)</f>
        <v/>
      </c>
      <c r="DT190" s="43" t="str">
        <f t="shared" ref="DT190:DT195" si="3047">IF(AN190="","","|n"&amp;DT$2&amp;"+"&amp;AN190&amp;DT$1)</f>
        <v/>
      </c>
      <c r="DU190" s="43" t="str">
        <f t="shared" ref="DU190:DU195" si="3048">IF(AO190="","","|n"&amp;DU$2&amp;"+"&amp;AO190&amp;DU$1)</f>
        <v/>
      </c>
      <c r="DV190" s="43" t="str">
        <f t="shared" ref="DV190:DV195" si="3049">IF(AP190="","","|n"&amp;DV$2&amp;"+"&amp;AP190&amp;DV$1)</f>
        <v/>
      </c>
      <c r="DW190" s="43" t="str">
        <f t="shared" ref="DW190:DW195" si="3050">IF(AQ190="","","|n"&amp;DW$2&amp;"+"&amp;AQ190&amp;DW$1)</f>
        <v/>
      </c>
      <c r="DX190" s="43" t="str">
        <f t="shared" ref="DX190:DX195" si="3051">IF(AR190="","","|n"&amp;DX$2&amp;"+"&amp;AR190&amp;DX$1)</f>
        <v/>
      </c>
      <c r="DY190" s="43" t="str">
        <f t="shared" ref="DY190:DY195" si="3052">IF(AS190="","","|n"&amp;DY$2&amp;"+"&amp;AS190&amp;DY$1)</f>
        <v/>
      </c>
      <c r="DZ190" s="43" t="str">
        <f t="shared" ref="DZ190:DZ195" si="3053">IF(AT190="","","|n"&amp;DZ$2&amp;"+"&amp;AT190&amp;DZ$1)</f>
        <v/>
      </c>
      <c r="EA190" s="43" t="str">
        <f t="shared" ref="EA190:EA195" si="3054">IF(AU190="","","|n"&amp;EA$2&amp;"+"&amp;AU190&amp;EA$1)</f>
        <v/>
      </c>
      <c r="EB190" s="43" t="str">
        <f t="shared" ref="EB190:EB195" si="3055">IF(AV190="","","|n"&amp;EB$2&amp;"+"&amp;AV190&amp;EB$1)</f>
        <v/>
      </c>
      <c r="EC190" s="43" t="str">
        <f t="shared" ref="EC190:EC195" si="3056">IF(AW190="","","|n"&amp;EC$2&amp;"+"&amp;AW190&amp;EC$1)</f>
        <v/>
      </c>
      <c r="ED190" s="43" t="str">
        <f t="shared" ref="ED190:ED195" si="3057">IF(AX190="","","|n"&amp;ED$2&amp;"+"&amp;AX190&amp;ED$1)</f>
        <v/>
      </c>
      <c r="EE190" s="43" t="str">
        <f t="shared" ref="EE190:EE195" si="3058">IF(AY190="","","|n"&amp;EE$2&amp;"+"&amp;AY190&amp;EE$1)</f>
        <v/>
      </c>
      <c r="EF190" s="43" t="str">
        <f t="shared" ref="EF190:EF195" si="3059">IF(AZ190="","","|n"&amp;EF$2&amp;"+"&amp;AZ190&amp;EF$1)</f>
        <v/>
      </c>
      <c r="EG190" s="43" t="str">
        <f t="shared" ref="EG190:EG195" si="3060">IF(BA190="","","|n"&amp;EG$2&amp;"+"&amp;BA190&amp;EG$1)</f>
        <v/>
      </c>
      <c r="EH190" s="43" t="str">
        <f t="shared" ref="EH190:EH195" si="3061">IF(BB190="","","|n"&amp;EH$2&amp;"+"&amp;BB190&amp;EH$1)</f>
        <v/>
      </c>
      <c r="EI190" s="43" t="str">
        <f t="shared" ref="EI190:EI195" si="3062">IF(BC190="","","|n"&amp;EI$2&amp;"+"&amp;BC190&amp;EI$1)</f>
        <v/>
      </c>
      <c r="EJ190" s="43" t="str">
        <f t="shared" ref="EJ190:EJ195" si="3063">IF(BD190="","","|n"&amp;EJ$2&amp;"+"&amp;BD190&amp;EJ$1)</f>
        <v/>
      </c>
      <c r="EK190" s="43" t="str">
        <f t="shared" ref="EK190:EK195" si="3064">IF(BE190="","","|n"&amp;EK$2&amp;"+"&amp;BE190&amp;EK$1)</f>
        <v/>
      </c>
      <c r="EL190" s="43" t="str">
        <f t="shared" ref="EL190:EL195" si="3065">IF(BF190="","","|n"&amp;EL$2&amp;"+"&amp;BF190&amp;EL$1)</f>
        <v/>
      </c>
      <c r="EM190" s="43" t="str">
        <f t="shared" ref="EM190:EM195" si="3066">IF(BG190="","","|n"&amp;EM$2&amp;"+"&amp;BG190&amp;EM$1)</f>
        <v/>
      </c>
      <c r="EN190" s="43" t="str">
        <f t="shared" ref="EN190:EN195" si="3067">IF(BH190="","","|n"&amp;EN$2&amp;"+"&amp;BH190&amp;EN$1)</f>
        <v/>
      </c>
      <c r="EO190" s="43" t="str">
        <f t="shared" ref="EO190:EO195" si="3068">IF(BI190="","","|n"&amp;EO$2&amp;"+"&amp;BI190&amp;EO$1)</f>
        <v/>
      </c>
      <c r="EP190" s="43" t="str">
        <f t="shared" ref="EP190:EP195" si="3069">IF(BJ190="","","|n"&amp;EP$2&amp;"+"&amp;BJ190&amp;EP$1)</f>
        <v/>
      </c>
      <c r="EQ190" s="43" t="str">
        <f t="shared" ref="EQ190:EQ195" si="3070">IF(BK190="","","|n"&amp;EQ$2&amp;"+"&amp;BK190&amp;EQ$1)</f>
        <v/>
      </c>
      <c r="ER190" s="43" t="str">
        <f t="shared" ref="ER190:ER195" si="3071">IF(BL190="","","|n"&amp;ER$2&amp;"+"&amp;BL190&amp;ER$1)</f>
        <v/>
      </c>
      <c r="ES190" s="43" t="str">
        <f t="shared" ref="ES190:ES195" si="3072">IF(BM190="","","|n"&amp;ES$2&amp;"+"&amp;BM190&amp;ES$1)</f>
        <v/>
      </c>
      <c r="ET190" s="43" t="str">
        <f t="shared" ref="ET190:ET195" si="3073">IF(BN190="","","|n"&amp;ET$2&amp;"+"&amp;BN190&amp;ET$1)</f>
        <v/>
      </c>
      <c r="EU190" s="43" t="str">
        <f t="shared" ref="EU190:EU195" si="3074">IF(BO190="","","|n"&amp;EU$2&amp;"+"&amp;BO190&amp;EU$1)</f>
        <v/>
      </c>
      <c r="EV190" s="43" t="str">
        <f t="shared" ref="EV190:EV195" si="3075">IF(BP190="","","|n"&amp;EV$2&amp;"+"&amp;BP190&amp;EV$1)</f>
        <v/>
      </c>
      <c r="EW190" s="43" t="str">
        <f t="shared" ref="EW190:EW195" si="3076">IF(BQ190="","","|n"&amp;EW$2&amp;"+"&amp;BQ190&amp;EW$1)</f>
        <v/>
      </c>
      <c r="EX190" s="43" t="str">
        <f t="shared" ref="EX190:EX195" si="3077">IF(BR190="","","|n"&amp;EX$2&amp;"+"&amp;BR190&amp;EX$1)</f>
        <v/>
      </c>
      <c r="EY190" s="43" t="str">
        <f t="shared" ref="EY190:EY195" si="3078">IF(BS190="","","|n"&amp;EY$2&amp;"+"&amp;BS190&amp;EY$1)</f>
        <v/>
      </c>
      <c r="EZ190" s="43" t="str">
        <f t="shared" ref="EZ190:EZ195" si="3079">IF(BT190="","","|n"&amp;EZ$2&amp;"+"&amp;BT190&amp;EZ$1)</f>
        <v/>
      </c>
      <c r="FA190" s="43" t="str">
        <f t="shared" ref="FA190:FA195" si="3080">IF(BU190="","","|n"&amp;FA$2&amp;"+"&amp;BU190&amp;FA$1)</f>
        <v/>
      </c>
      <c r="FB190" s="43" t="str">
        <f t="shared" ref="FB190:FB195" si="3081">IF(BV190="","","|n"&amp;FB$2&amp;"+"&amp;BV190&amp;FB$1)</f>
        <v/>
      </c>
      <c r="FC190" s="43" t="str">
        <f t="shared" ref="FC190:FC195" si="3082">IF(BW190="","","|n"&amp;FC$2&amp;"+"&amp;BW190&amp;FC$1)</f>
        <v/>
      </c>
      <c r="FD190" s="43" t="str">
        <f t="shared" ref="FD190:FD195" si="3083">IF(BX190="","","|n"&amp;FD$2&amp;"+"&amp;BX190&amp;FD$1)</f>
        <v/>
      </c>
      <c r="FE190" s="43" t="str">
        <f t="shared" ref="FE190:FE195" si="3084">IF(BY190="","","|n"&amp;FE$2&amp;"+"&amp;BY190&amp;FE$1)</f>
        <v/>
      </c>
      <c r="FF190" s="43" t="str">
        <f t="shared" ref="FF190:FF195" si="3085">IF(BZ190="","","|n"&amp;FF$2&amp;"+"&amp;BZ190&amp;FF$1)</f>
        <v/>
      </c>
      <c r="FG190" s="43" t="str">
        <f t="shared" ref="FG190:FG195" si="3086">IF(CA190="","","|n"&amp;FG$2&amp;"+"&amp;CA190&amp;FG$1)</f>
        <v/>
      </c>
      <c r="FH190" s="43" t="str">
        <f t="shared" ref="FH190:FH195" si="3087">IF(CB190="","","|n"&amp;FH$2&amp;"+"&amp;CB190&amp;FH$1)</f>
        <v/>
      </c>
      <c r="FI190" s="43" t="str">
        <f t="shared" ref="FI190:FI195" si="3088">IF(CC190="","","|n"&amp;FI$2&amp;"+"&amp;CC190&amp;FI$1)</f>
        <v/>
      </c>
      <c r="FJ190" s="43" t="str">
        <f t="shared" ref="FJ190:FJ195" si="3089">IF(CD190="","","|n"&amp;FJ$2&amp;"+"&amp;CD190&amp;FJ$1)</f>
        <v/>
      </c>
      <c r="FK190" s="43" t="str">
        <f t="shared" ref="FK190:FK195" si="3090">IF(CE190="","","|n"&amp;FK$2&amp;"+"&amp;CE190&amp;FK$1)</f>
        <v/>
      </c>
      <c r="FL190" s="43" t="str">
        <f t="shared" ref="FL190:FL195" si="3091">IF(CF190="","","|n"&amp;FL$2&amp;"+"&amp;CF190&amp;FL$1)</f>
        <v/>
      </c>
      <c r="FM190" s="43" t="str">
        <f t="shared" ref="FM190:FM195" si="3092">IF(CG190="","","|n"&amp;FM$2&amp;"+"&amp;CG190&amp;FM$1)</f>
        <v/>
      </c>
      <c r="FN190" s="43" t="str">
        <f t="shared" ref="FN190:FN195" si="3093">IF(CH190="","","|n"&amp;FN$2&amp;"+"&amp;CH190&amp;FN$1)</f>
        <v/>
      </c>
      <c r="FO190" s="43" t="str">
        <f t="shared" ref="FO190:FO195" si="3094">IF(CI190="","","|n"&amp;FO$2&amp;"+"&amp;CI190&amp;FO$1)</f>
        <v/>
      </c>
      <c r="FP190" s="43" t="str">
        <f t="shared" ref="FP190:FP195" si="3095">IF(CJ190="","","|n"&amp;FP$2&amp;"+"&amp;CJ190&amp;FP$1)</f>
        <v/>
      </c>
      <c r="FQ190" s="43" t="str">
        <f t="shared" ref="FQ190:FQ195" si="3096">IF(CK190="","","|n"&amp;FQ$2&amp;"+"&amp;CK190&amp;FQ$1)</f>
        <v/>
      </c>
      <c r="FR190" s="43" t="str">
        <f t="shared" ref="FR190:FR195" si="3097">IF(CL190="","","|n"&amp;FR$2&amp;"+"&amp;CL190&amp;FR$1)</f>
        <v/>
      </c>
      <c r="FS190" s="43" t="str">
        <f t="shared" ref="FS190:FS195" si="3098">IF(CM190="","","|n"&amp;FS$2&amp;"+"&amp;CM190&amp;FS$1)</f>
        <v/>
      </c>
    </row>
    <row r="191" spans="1:175" ht="16.5">
      <c r="A191" s="84"/>
      <c r="B191" s="4" t="s">
        <v>566</v>
      </c>
      <c r="C191" s="84" t="s">
        <v>567</v>
      </c>
      <c r="T191" s="84" t="s">
        <v>567</v>
      </c>
      <c r="U191" s="55" t="s">
        <v>568</v>
      </c>
      <c r="CN191" s="12" t="str">
        <f t="shared" si="2787"/>
        <v>InitUnitState('IS21',,,,,,,,,,)</v>
      </c>
      <c r="CO191" s="12" t="str">
        <f t="shared" si="2788"/>
        <v>InitUnitNormal('IS21',,,,,,,,,,)</v>
      </c>
      <c r="CP191" s="12" t="str">
        <f t="shared" si="2789"/>
        <v>InitUnitMagic('IS21',,,,,,,,,,)</v>
      </c>
      <c r="CQ191" s="12" t="str">
        <f t="shared" si="2790"/>
        <v>InitUnitAdd('IS21',,,,,,,,,,)</v>
      </c>
      <c r="CR191" s="12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InitEquipData('IS21',,"",,,,,'','','','','','',"ReplaceableTextures\\CommandButtons\\BTNIN02.blp")</v>
      </c>
      <c r="CU191" s="67" t="str">
        <f t="shared" si="3027"/>
        <v>|n</v>
      </c>
      <c r="CV191" s="5" t="str">
        <f t="shared" si="3028"/>
        <v>Q附魔</v>
      </c>
      <c r="CW191" s="6"/>
      <c r="CX191" s="6"/>
      <c r="CY191" s="6"/>
      <c r="CZ191" s="6"/>
      <c r="DA191" s="6"/>
      <c r="DB191" s="43" t="str">
        <f t="shared" si="3029"/>
        <v/>
      </c>
      <c r="DC191" s="43" t="str">
        <f t="shared" si="3030"/>
        <v/>
      </c>
      <c r="DD191" s="43" t="str">
        <f t="shared" si="3031"/>
        <v/>
      </c>
      <c r="DE191" s="43" t="str">
        <f t="shared" si="3032"/>
        <v/>
      </c>
      <c r="DF191" s="43" t="str">
        <f t="shared" si="3033"/>
        <v/>
      </c>
      <c r="DG191" s="43" t="str">
        <f t="shared" si="3034"/>
        <v/>
      </c>
      <c r="DH191" s="43" t="str">
        <f t="shared" si="3035"/>
        <v/>
      </c>
      <c r="DI191" s="43" t="str">
        <f t="shared" si="3036"/>
        <v/>
      </c>
      <c r="DJ191" s="43" t="str">
        <f t="shared" si="3037"/>
        <v/>
      </c>
      <c r="DK191" s="43" t="str">
        <f t="shared" si="3038"/>
        <v/>
      </c>
      <c r="DL191" s="43" t="str">
        <f t="shared" si="3039"/>
        <v/>
      </c>
      <c r="DM191" s="43" t="str">
        <f t="shared" si="3040"/>
        <v/>
      </c>
      <c r="DN191" s="43" t="str">
        <f t="shared" si="3041"/>
        <v/>
      </c>
      <c r="DO191" s="43" t="str">
        <f t="shared" si="3042"/>
        <v/>
      </c>
      <c r="DP191" s="43" t="str">
        <f t="shared" si="3043"/>
        <v/>
      </c>
      <c r="DQ191" s="43" t="str">
        <f t="shared" si="3044"/>
        <v/>
      </c>
      <c r="DR191" s="43" t="str">
        <f t="shared" si="3045"/>
        <v/>
      </c>
      <c r="DS191" s="43" t="str">
        <f t="shared" si="3046"/>
        <v/>
      </c>
      <c r="DT191" s="43" t="str">
        <f t="shared" si="3047"/>
        <v/>
      </c>
      <c r="DU191" s="43" t="str">
        <f t="shared" si="3048"/>
        <v/>
      </c>
      <c r="DV191" s="43" t="str">
        <f t="shared" si="3049"/>
        <v/>
      </c>
      <c r="DW191" s="43" t="str">
        <f t="shared" si="3050"/>
        <v/>
      </c>
      <c r="DX191" s="43" t="str">
        <f t="shared" si="3051"/>
        <v/>
      </c>
      <c r="DY191" s="43" t="str">
        <f t="shared" si="3052"/>
        <v/>
      </c>
      <c r="DZ191" s="43" t="str">
        <f t="shared" si="3053"/>
        <v/>
      </c>
      <c r="EA191" s="43" t="str">
        <f t="shared" si="3054"/>
        <v/>
      </c>
      <c r="EB191" s="43" t="str">
        <f t="shared" si="3055"/>
        <v/>
      </c>
      <c r="EC191" s="43" t="str">
        <f t="shared" si="3056"/>
        <v/>
      </c>
      <c r="ED191" s="43" t="str">
        <f t="shared" si="3057"/>
        <v/>
      </c>
      <c r="EE191" s="43" t="str">
        <f t="shared" si="3058"/>
        <v/>
      </c>
      <c r="EF191" s="43" t="str">
        <f t="shared" si="3059"/>
        <v/>
      </c>
      <c r="EG191" s="43" t="str">
        <f t="shared" si="3060"/>
        <v/>
      </c>
      <c r="EH191" s="43" t="str">
        <f t="shared" si="3061"/>
        <v/>
      </c>
      <c r="EI191" s="43" t="str">
        <f t="shared" si="3062"/>
        <v/>
      </c>
      <c r="EJ191" s="43" t="str">
        <f t="shared" si="3063"/>
        <v/>
      </c>
      <c r="EK191" s="43" t="str">
        <f t="shared" si="3064"/>
        <v/>
      </c>
      <c r="EL191" s="43" t="str">
        <f t="shared" si="3065"/>
        <v/>
      </c>
      <c r="EM191" s="43" t="str">
        <f t="shared" si="3066"/>
        <v/>
      </c>
      <c r="EN191" s="43" t="str">
        <f t="shared" si="3067"/>
        <v/>
      </c>
      <c r="EO191" s="43" t="str">
        <f t="shared" si="3068"/>
        <v/>
      </c>
      <c r="EP191" s="43" t="str">
        <f t="shared" si="3069"/>
        <v/>
      </c>
      <c r="EQ191" s="43" t="str">
        <f t="shared" si="3070"/>
        <v/>
      </c>
      <c r="ER191" s="43" t="str">
        <f t="shared" si="3071"/>
        <v/>
      </c>
      <c r="ES191" s="43" t="str">
        <f t="shared" si="3072"/>
        <v/>
      </c>
      <c r="ET191" s="43" t="str">
        <f t="shared" si="3073"/>
        <v/>
      </c>
      <c r="EU191" s="43" t="str">
        <f t="shared" si="3074"/>
        <v/>
      </c>
      <c r="EV191" s="43" t="str">
        <f t="shared" si="3075"/>
        <v/>
      </c>
      <c r="EW191" s="43" t="str">
        <f t="shared" si="3076"/>
        <v/>
      </c>
      <c r="EX191" s="43" t="str">
        <f t="shared" si="3077"/>
        <v/>
      </c>
      <c r="EY191" s="43" t="str">
        <f t="shared" si="3078"/>
        <v/>
      </c>
      <c r="EZ191" s="43" t="str">
        <f t="shared" si="3079"/>
        <v/>
      </c>
      <c r="FA191" s="43" t="str">
        <f t="shared" si="3080"/>
        <v/>
      </c>
      <c r="FB191" s="43" t="str">
        <f t="shared" si="3081"/>
        <v/>
      </c>
      <c r="FC191" s="43" t="str">
        <f t="shared" si="3082"/>
        <v/>
      </c>
      <c r="FD191" s="43" t="str">
        <f t="shared" si="3083"/>
        <v/>
      </c>
      <c r="FE191" s="43" t="str">
        <f t="shared" si="3084"/>
        <v/>
      </c>
      <c r="FF191" s="43" t="str">
        <f t="shared" si="3085"/>
        <v/>
      </c>
      <c r="FG191" s="43" t="str">
        <f t="shared" si="3086"/>
        <v/>
      </c>
      <c r="FH191" s="43" t="str">
        <f t="shared" si="3087"/>
        <v/>
      </c>
      <c r="FI191" s="43" t="str">
        <f t="shared" si="3088"/>
        <v/>
      </c>
      <c r="FJ191" s="43" t="str">
        <f t="shared" si="3089"/>
        <v/>
      </c>
      <c r="FK191" s="43" t="str">
        <f t="shared" si="3090"/>
        <v/>
      </c>
      <c r="FL191" s="43" t="str">
        <f t="shared" si="3091"/>
        <v/>
      </c>
      <c r="FM191" s="43" t="str">
        <f t="shared" si="3092"/>
        <v/>
      </c>
      <c r="FN191" s="43" t="str">
        <f t="shared" si="3093"/>
        <v/>
      </c>
      <c r="FO191" s="43" t="str">
        <f t="shared" si="3094"/>
        <v/>
      </c>
      <c r="FP191" s="43" t="str">
        <f t="shared" si="3095"/>
        <v/>
      </c>
      <c r="FQ191" s="43" t="str">
        <f t="shared" si="3096"/>
        <v/>
      </c>
      <c r="FR191" s="43" t="str">
        <f t="shared" si="3097"/>
        <v/>
      </c>
      <c r="FS191" s="43" t="str">
        <f t="shared" si="3098"/>
        <v/>
      </c>
    </row>
    <row r="192" spans="1:175" ht="16.5">
      <c r="A192" s="84"/>
      <c r="B192" s="4" t="s">
        <v>569</v>
      </c>
      <c r="C192" s="84" t="s">
        <v>570</v>
      </c>
      <c r="T192" s="84" t="s">
        <v>570</v>
      </c>
      <c r="U192" s="55" t="s">
        <v>571</v>
      </c>
      <c r="CN192" s="12" t="str">
        <f t="shared" si="2787"/>
        <v>InitUnitState('IS22',,,,,,,,,,)</v>
      </c>
      <c r="CO192" s="12" t="str">
        <f t="shared" si="2788"/>
        <v>InitUnitNormal('IS22',,,,,,,,,,)</v>
      </c>
      <c r="CP192" s="12" t="str">
        <f t="shared" si="2789"/>
        <v>InitUnitMagic('IS22',,,,,,,,,,)</v>
      </c>
      <c r="CQ192" s="12" t="str">
        <f t="shared" si="2790"/>
        <v>InitUnitAdd('IS22',,,,,,,,,,)</v>
      </c>
      <c r="CR192" s="12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InitEquipData('IS22',,"",,,,,'','','','','','',"ReplaceableTextures\\CommandButtons\\BTNIN03.blp")</v>
      </c>
      <c r="CU192" s="67" t="str">
        <f t="shared" si="3027"/>
        <v>|n</v>
      </c>
      <c r="CV192" s="5" t="str">
        <f t="shared" si="3028"/>
        <v>W附魔</v>
      </c>
      <c r="CW192" s="6"/>
      <c r="CX192" s="6"/>
      <c r="CY192" s="6"/>
      <c r="CZ192" s="6"/>
      <c r="DA192" s="6"/>
      <c r="DB192" s="43" t="str">
        <f t="shared" si="3029"/>
        <v/>
      </c>
      <c r="DC192" s="43" t="str">
        <f t="shared" si="3030"/>
        <v/>
      </c>
      <c r="DD192" s="43" t="str">
        <f t="shared" si="3031"/>
        <v/>
      </c>
      <c r="DE192" s="43" t="str">
        <f t="shared" si="3032"/>
        <v/>
      </c>
      <c r="DF192" s="43" t="str">
        <f t="shared" si="3033"/>
        <v/>
      </c>
      <c r="DG192" s="43" t="str">
        <f t="shared" si="3034"/>
        <v/>
      </c>
      <c r="DH192" s="43" t="str">
        <f t="shared" si="3035"/>
        <v/>
      </c>
      <c r="DI192" s="43" t="str">
        <f t="shared" si="3036"/>
        <v/>
      </c>
      <c r="DJ192" s="43" t="str">
        <f t="shared" si="3037"/>
        <v/>
      </c>
      <c r="DK192" s="43" t="str">
        <f t="shared" si="3038"/>
        <v/>
      </c>
      <c r="DL192" s="43" t="str">
        <f t="shared" si="3039"/>
        <v/>
      </c>
      <c r="DM192" s="43" t="str">
        <f t="shared" si="3040"/>
        <v/>
      </c>
      <c r="DN192" s="43" t="str">
        <f t="shared" si="3041"/>
        <v/>
      </c>
      <c r="DO192" s="43" t="str">
        <f t="shared" si="3042"/>
        <v/>
      </c>
      <c r="DP192" s="43" t="str">
        <f t="shared" si="3043"/>
        <v/>
      </c>
      <c r="DQ192" s="43" t="str">
        <f t="shared" si="3044"/>
        <v/>
      </c>
      <c r="DR192" s="43" t="str">
        <f t="shared" si="3045"/>
        <v/>
      </c>
      <c r="DS192" s="43" t="str">
        <f t="shared" si="3046"/>
        <v/>
      </c>
      <c r="DT192" s="43" t="str">
        <f t="shared" si="3047"/>
        <v/>
      </c>
      <c r="DU192" s="43" t="str">
        <f t="shared" si="3048"/>
        <v/>
      </c>
      <c r="DV192" s="43" t="str">
        <f t="shared" si="3049"/>
        <v/>
      </c>
      <c r="DW192" s="43" t="str">
        <f t="shared" si="3050"/>
        <v/>
      </c>
      <c r="DX192" s="43" t="str">
        <f t="shared" si="3051"/>
        <v/>
      </c>
      <c r="DY192" s="43" t="str">
        <f t="shared" si="3052"/>
        <v/>
      </c>
      <c r="DZ192" s="43" t="str">
        <f t="shared" si="3053"/>
        <v/>
      </c>
      <c r="EA192" s="43" t="str">
        <f t="shared" si="3054"/>
        <v/>
      </c>
      <c r="EB192" s="43" t="str">
        <f t="shared" si="3055"/>
        <v/>
      </c>
      <c r="EC192" s="43" t="str">
        <f t="shared" si="3056"/>
        <v/>
      </c>
      <c r="ED192" s="43" t="str">
        <f t="shared" si="3057"/>
        <v/>
      </c>
      <c r="EE192" s="43" t="str">
        <f t="shared" si="3058"/>
        <v/>
      </c>
      <c r="EF192" s="43" t="str">
        <f t="shared" si="3059"/>
        <v/>
      </c>
      <c r="EG192" s="43" t="str">
        <f t="shared" si="3060"/>
        <v/>
      </c>
      <c r="EH192" s="43" t="str">
        <f t="shared" si="3061"/>
        <v/>
      </c>
      <c r="EI192" s="43" t="str">
        <f t="shared" si="3062"/>
        <v/>
      </c>
      <c r="EJ192" s="43" t="str">
        <f t="shared" si="3063"/>
        <v/>
      </c>
      <c r="EK192" s="43" t="str">
        <f t="shared" si="3064"/>
        <v/>
      </c>
      <c r="EL192" s="43" t="str">
        <f t="shared" si="3065"/>
        <v/>
      </c>
      <c r="EM192" s="43" t="str">
        <f t="shared" si="3066"/>
        <v/>
      </c>
      <c r="EN192" s="43" t="str">
        <f t="shared" si="3067"/>
        <v/>
      </c>
      <c r="EO192" s="43" t="str">
        <f t="shared" si="3068"/>
        <v/>
      </c>
      <c r="EP192" s="43" t="str">
        <f t="shared" si="3069"/>
        <v/>
      </c>
      <c r="EQ192" s="43" t="str">
        <f t="shared" si="3070"/>
        <v/>
      </c>
      <c r="ER192" s="43" t="str">
        <f t="shared" si="3071"/>
        <v/>
      </c>
      <c r="ES192" s="43" t="str">
        <f t="shared" si="3072"/>
        <v/>
      </c>
      <c r="ET192" s="43" t="str">
        <f t="shared" si="3073"/>
        <v/>
      </c>
      <c r="EU192" s="43" t="str">
        <f t="shared" si="3074"/>
        <v/>
      </c>
      <c r="EV192" s="43" t="str">
        <f t="shared" si="3075"/>
        <v/>
      </c>
      <c r="EW192" s="43" t="str">
        <f t="shared" si="3076"/>
        <v/>
      </c>
      <c r="EX192" s="43" t="str">
        <f t="shared" si="3077"/>
        <v/>
      </c>
      <c r="EY192" s="43" t="str">
        <f t="shared" si="3078"/>
        <v/>
      </c>
      <c r="EZ192" s="43" t="str">
        <f t="shared" si="3079"/>
        <v/>
      </c>
      <c r="FA192" s="43" t="str">
        <f t="shared" si="3080"/>
        <v/>
      </c>
      <c r="FB192" s="43" t="str">
        <f t="shared" si="3081"/>
        <v/>
      </c>
      <c r="FC192" s="43" t="str">
        <f t="shared" si="3082"/>
        <v/>
      </c>
      <c r="FD192" s="43" t="str">
        <f t="shared" si="3083"/>
        <v/>
      </c>
      <c r="FE192" s="43" t="str">
        <f t="shared" si="3084"/>
        <v/>
      </c>
      <c r="FF192" s="43" t="str">
        <f t="shared" si="3085"/>
        <v/>
      </c>
      <c r="FG192" s="43" t="str">
        <f t="shared" si="3086"/>
        <v/>
      </c>
      <c r="FH192" s="43" t="str">
        <f t="shared" si="3087"/>
        <v/>
      </c>
      <c r="FI192" s="43" t="str">
        <f t="shared" si="3088"/>
        <v/>
      </c>
      <c r="FJ192" s="43" t="str">
        <f t="shared" si="3089"/>
        <v/>
      </c>
      <c r="FK192" s="43" t="str">
        <f t="shared" si="3090"/>
        <v/>
      </c>
      <c r="FL192" s="43" t="str">
        <f t="shared" si="3091"/>
        <v/>
      </c>
      <c r="FM192" s="43" t="str">
        <f t="shared" si="3092"/>
        <v/>
      </c>
      <c r="FN192" s="43" t="str">
        <f t="shared" si="3093"/>
        <v/>
      </c>
      <c r="FO192" s="43" t="str">
        <f t="shared" si="3094"/>
        <v/>
      </c>
      <c r="FP192" s="43" t="str">
        <f t="shared" si="3095"/>
        <v/>
      </c>
      <c r="FQ192" s="43" t="str">
        <f t="shared" si="3096"/>
        <v/>
      </c>
      <c r="FR192" s="43" t="str">
        <f t="shared" si="3097"/>
        <v/>
      </c>
      <c r="FS192" s="43" t="str">
        <f t="shared" si="3098"/>
        <v/>
      </c>
    </row>
    <row r="193" spans="1:175" ht="16.5">
      <c r="A193" s="84"/>
      <c r="B193" s="4" t="s">
        <v>572</v>
      </c>
      <c r="C193" s="84" t="s">
        <v>573</v>
      </c>
      <c r="T193" s="84" t="s">
        <v>573</v>
      </c>
      <c r="U193" s="55" t="s">
        <v>574</v>
      </c>
      <c r="CN193" s="12" t="str">
        <f t="shared" si="2787"/>
        <v>InitUnitState('IS23',,,,,,,,,,)</v>
      </c>
      <c r="CO193" s="12" t="str">
        <f t="shared" si="2788"/>
        <v>InitUnitNormal('IS23',,,,,,,,,,)</v>
      </c>
      <c r="CP193" s="12" t="str">
        <f t="shared" si="2789"/>
        <v>InitUnitMagic('IS23',,,,,,,,,,)</v>
      </c>
      <c r="CQ193" s="12" t="str">
        <f t="shared" si="2790"/>
        <v>InitUnitAdd('IS23',,,,,,,,,,)</v>
      </c>
      <c r="CR193" s="12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U193" s="67" t="str">
        <f t="shared" ref="CU193" si="309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5" t="str">
        <f t="shared" ref="CV193" si="3100">T193</f>
        <v>E附魔</v>
      </c>
      <c r="CW193" s="6"/>
      <c r="CX193" s="6"/>
      <c r="CY193" s="6"/>
      <c r="CZ193" s="6"/>
      <c r="DA193" s="6"/>
      <c r="DB193" s="43" t="str">
        <f t="shared" ref="DB193" si="3101">IF(V193="","","|n"&amp;DB$2&amp;"+"&amp;V193&amp;DB$1)</f>
        <v/>
      </c>
      <c r="DC193" s="43" t="str">
        <f t="shared" ref="DC193" si="3102">IF(W193="","","|n"&amp;DC$2&amp;"+"&amp;W193&amp;DC$1)</f>
        <v/>
      </c>
      <c r="DD193" s="43" t="str">
        <f t="shared" ref="DD193" si="3103">IF(X193="","","|n"&amp;DD$2&amp;"+"&amp;X193&amp;DD$1)</f>
        <v/>
      </c>
      <c r="DE193" s="43" t="str">
        <f t="shared" ref="DE193" si="3104">IF(Y193="","","|n"&amp;DE$2&amp;"+"&amp;Y193&amp;DE$1)</f>
        <v/>
      </c>
      <c r="DF193" s="43" t="str">
        <f t="shared" ref="DF193" si="3105">IF(Z193="","","|n"&amp;DF$2&amp;"+"&amp;Z193&amp;DF$1)</f>
        <v/>
      </c>
      <c r="DG193" s="43" t="str">
        <f t="shared" ref="DG193" si="3106">IF(AA193="","","|n"&amp;DG$2&amp;"+"&amp;AA193&amp;DG$1)</f>
        <v/>
      </c>
      <c r="DH193" s="43" t="str">
        <f t="shared" ref="DH193" si="3107">IF(AB193="","","|n"&amp;DH$2&amp;"+"&amp;AB193&amp;DH$1)</f>
        <v/>
      </c>
      <c r="DI193" s="43" t="str">
        <f t="shared" ref="DI193" si="3108">IF(AC193="","","|n"&amp;DI$2&amp;"+"&amp;AC193&amp;DI$1)</f>
        <v/>
      </c>
      <c r="DJ193" s="43" t="str">
        <f t="shared" ref="DJ193" si="3109">IF(AD193="","","|n"&amp;DJ$2&amp;"+"&amp;AD193&amp;DJ$1)</f>
        <v/>
      </c>
      <c r="DK193" s="43" t="str">
        <f t="shared" ref="DK193" si="3110">IF(AE193="","","|n"&amp;DK$2&amp;"+"&amp;AE193&amp;DK$1)</f>
        <v/>
      </c>
      <c r="DL193" s="43" t="str">
        <f t="shared" ref="DL193" si="3111">IF(AF193="","","|n"&amp;DL$2&amp;"+"&amp;AF193&amp;DL$1)</f>
        <v/>
      </c>
      <c r="DM193" s="43" t="str">
        <f t="shared" ref="DM193" si="3112">IF(AG193="","","|n"&amp;DM$2&amp;"+"&amp;AG193&amp;DM$1)</f>
        <v/>
      </c>
      <c r="DN193" s="43" t="str">
        <f t="shared" ref="DN193" si="3113">IF(AH193="","","|n"&amp;DN$2&amp;"+"&amp;AH193&amp;DN$1)</f>
        <v/>
      </c>
      <c r="DO193" s="43" t="str">
        <f t="shared" ref="DO193" si="3114">IF(AI193="","","|n"&amp;DO$2&amp;"+"&amp;AI193&amp;DO$1)</f>
        <v/>
      </c>
      <c r="DP193" s="43" t="str">
        <f t="shared" ref="DP193" si="3115">IF(AJ193="","","|n"&amp;DP$2&amp;"+"&amp;AJ193&amp;DP$1)</f>
        <v/>
      </c>
      <c r="DQ193" s="43" t="str">
        <f t="shared" ref="DQ193" si="3116">IF(AK193="","","|n"&amp;DQ$2&amp;"+"&amp;AK193&amp;DQ$1)</f>
        <v/>
      </c>
      <c r="DR193" s="43" t="str">
        <f t="shared" ref="DR193" si="3117">IF(AL193="","","|n"&amp;DR$2&amp;"+"&amp;AL193&amp;DR$1)</f>
        <v/>
      </c>
      <c r="DS193" s="43" t="str">
        <f t="shared" ref="DS193" si="3118">IF(AM193="","","|n"&amp;DS$2&amp;"+"&amp;AM193&amp;DS$1)</f>
        <v/>
      </c>
      <c r="DT193" s="43" t="str">
        <f t="shared" ref="DT193" si="3119">IF(AN193="","","|n"&amp;DT$2&amp;"+"&amp;AN193&amp;DT$1)</f>
        <v/>
      </c>
      <c r="DU193" s="43" t="str">
        <f t="shared" ref="DU193" si="3120">IF(AO193="","","|n"&amp;DU$2&amp;"+"&amp;AO193&amp;DU$1)</f>
        <v/>
      </c>
      <c r="DV193" s="43" t="str">
        <f t="shared" ref="DV193" si="3121">IF(AP193="","","|n"&amp;DV$2&amp;"+"&amp;AP193&amp;DV$1)</f>
        <v/>
      </c>
      <c r="DW193" s="43" t="str">
        <f t="shared" ref="DW193" si="3122">IF(AQ193="","","|n"&amp;DW$2&amp;"+"&amp;AQ193&amp;DW$1)</f>
        <v/>
      </c>
      <c r="DX193" s="43" t="str">
        <f t="shared" ref="DX193" si="3123">IF(AR193="","","|n"&amp;DX$2&amp;"+"&amp;AR193&amp;DX$1)</f>
        <v/>
      </c>
      <c r="DY193" s="43" t="str">
        <f t="shared" ref="DY193" si="3124">IF(AS193="","","|n"&amp;DY$2&amp;"+"&amp;AS193&amp;DY$1)</f>
        <v/>
      </c>
      <c r="DZ193" s="43" t="str">
        <f t="shared" ref="DZ193" si="3125">IF(AT193="","","|n"&amp;DZ$2&amp;"+"&amp;AT193&amp;DZ$1)</f>
        <v/>
      </c>
      <c r="EA193" s="43" t="str">
        <f t="shared" ref="EA193" si="3126">IF(AU193="","","|n"&amp;EA$2&amp;"+"&amp;AU193&amp;EA$1)</f>
        <v/>
      </c>
      <c r="EB193" s="43" t="str">
        <f t="shared" ref="EB193" si="3127">IF(AV193="","","|n"&amp;EB$2&amp;"+"&amp;AV193&amp;EB$1)</f>
        <v/>
      </c>
      <c r="EC193" s="43" t="str">
        <f t="shared" ref="EC193" si="3128">IF(AW193="","","|n"&amp;EC$2&amp;"+"&amp;AW193&amp;EC$1)</f>
        <v/>
      </c>
      <c r="ED193" s="43" t="str">
        <f t="shared" ref="ED193" si="3129">IF(AX193="","","|n"&amp;ED$2&amp;"+"&amp;AX193&amp;ED$1)</f>
        <v/>
      </c>
      <c r="EE193" s="43" t="str">
        <f t="shared" ref="EE193" si="3130">IF(AY193="","","|n"&amp;EE$2&amp;"+"&amp;AY193&amp;EE$1)</f>
        <v/>
      </c>
      <c r="EF193" s="43" t="str">
        <f t="shared" ref="EF193" si="3131">IF(AZ193="","","|n"&amp;EF$2&amp;"+"&amp;AZ193&amp;EF$1)</f>
        <v/>
      </c>
      <c r="EG193" s="43" t="str">
        <f t="shared" ref="EG193" si="3132">IF(BA193="","","|n"&amp;EG$2&amp;"+"&amp;BA193&amp;EG$1)</f>
        <v/>
      </c>
      <c r="EH193" s="43" t="str">
        <f t="shared" ref="EH193" si="3133">IF(BB193="","","|n"&amp;EH$2&amp;"+"&amp;BB193&amp;EH$1)</f>
        <v/>
      </c>
      <c r="EI193" s="43" t="str">
        <f t="shared" ref="EI193" si="3134">IF(BC193="","","|n"&amp;EI$2&amp;"+"&amp;BC193&amp;EI$1)</f>
        <v/>
      </c>
      <c r="EJ193" s="43" t="str">
        <f t="shared" ref="EJ193" si="3135">IF(BD193="","","|n"&amp;EJ$2&amp;"+"&amp;BD193&amp;EJ$1)</f>
        <v/>
      </c>
      <c r="EK193" s="43" t="str">
        <f t="shared" ref="EK193" si="3136">IF(BE193="","","|n"&amp;EK$2&amp;"+"&amp;BE193&amp;EK$1)</f>
        <v/>
      </c>
      <c r="EL193" s="43" t="str">
        <f t="shared" ref="EL193" si="3137">IF(BF193="","","|n"&amp;EL$2&amp;"+"&amp;BF193&amp;EL$1)</f>
        <v/>
      </c>
      <c r="EM193" s="43" t="str">
        <f t="shared" ref="EM193" si="3138">IF(BG193="","","|n"&amp;EM$2&amp;"+"&amp;BG193&amp;EM$1)</f>
        <v/>
      </c>
      <c r="EN193" s="43" t="str">
        <f t="shared" ref="EN193" si="3139">IF(BH193="","","|n"&amp;EN$2&amp;"+"&amp;BH193&amp;EN$1)</f>
        <v/>
      </c>
      <c r="EO193" s="43" t="str">
        <f t="shared" ref="EO193" si="3140">IF(BI193="","","|n"&amp;EO$2&amp;"+"&amp;BI193&amp;EO$1)</f>
        <v/>
      </c>
      <c r="EP193" s="43" t="str">
        <f t="shared" ref="EP193" si="3141">IF(BJ193="","","|n"&amp;EP$2&amp;"+"&amp;BJ193&amp;EP$1)</f>
        <v/>
      </c>
      <c r="EQ193" s="43" t="str">
        <f t="shared" ref="EQ193" si="3142">IF(BK193="","","|n"&amp;EQ$2&amp;"+"&amp;BK193&amp;EQ$1)</f>
        <v/>
      </c>
      <c r="ER193" s="43" t="str">
        <f t="shared" ref="ER193" si="3143">IF(BL193="","","|n"&amp;ER$2&amp;"+"&amp;BL193&amp;ER$1)</f>
        <v/>
      </c>
      <c r="ES193" s="43" t="str">
        <f t="shared" ref="ES193" si="3144">IF(BM193="","","|n"&amp;ES$2&amp;"+"&amp;BM193&amp;ES$1)</f>
        <v/>
      </c>
      <c r="ET193" s="43" t="str">
        <f t="shared" ref="ET193" si="3145">IF(BN193="","","|n"&amp;ET$2&amp;"+"&amp;BN193&amp;ET$1)</f>
        <v/>
      </c>
      <c r="EU193" s="43" t="str">
        <f t="shared" ref="EU193" si="3146">IF(BO193="","","|n"&amp;EU$2&amp;"+"&amp;BO193&amp;EU$1)</f>
        <v/>
      </c>
      <c r="EV193" s="43" t="str">
        <f t="shared" ref="EV193" si="3147">IF(BP193="","","|n"&amp;EV$2&amp;"+"&amp;BP193&amp;EV$1)</f>
        <v/>
      </c>
      <c r="EW193" s="43" t="str">
        <f t="shared" ref="EW193" si="3148">IF(BQ193="","","|n"&amp;EW$2&amp;"+"&amp;BQ193&amp;EW$1)</f>
        <v/>
      </c>
      <c r="EX193" s="43" t="str">
        <f t="shared" ref="EX193" si="3149">IF(BR193="","","|n"&amp;EX$2&amp;"+"&amp;BR193&amp;EX$1)</f>
        <v/>
      </c>
      <c r="EY193" s="43" t="str">
        <f t="shared" ref="EY193" si="3150">IF(BS193="","","|n"&amp;EY$2&amp;"+"&amp;BS193&amp;EY$1)</f>
        <v/>
      </c>
      <c r="EZ193" s="43" t="str">
        <f t="shared" ref="EZ193" si="3151">IF(BT193="","","|n"&amp;EZ$2&amp;"+"&amp;BT193&amp;EZ$1)</f>
        <v/>
      </c>
      <c r="FA193" s="43" t="str">
        <f t="shared" ref="FA193" si="3152">IF(BU193="","","|n"&amp;FA$2&amp;"+"&amp;BU193&amp;FA$1)</f>
        <v/>
      </c>
      <c r="FB193" s="43" t="str">
        <f t="shared" ref="FB193" si="3153">IF(BV193="","","|n"&amp;FB$2&amp;"+"&amp;BV193&amp;FB$1)</f>
        <v/>
      </c>
      <c r="FC193" s="43" t="str">
        <f t="shared" ref="FC193" si="3154">IF(BW193="","","|n"&amp;FC$2&amp;"+"&amp;BW193&amp;FC$1)</f>
        <v/>
      </c>
      <c r="FD193" s="43" t="str">
        <f t="shared" ref="FD193" si="3155">IF(BX193="","","|n"&amp;FD$2&amp;"+"&amp;BX193&amp;FD$1)</f>
        <v/>
      </c>
      <c r="FE193" s="43" t="str">
        <f t="shared" ref="FE193" si="3156">IF(BY193="","","|n"&amp;FE$2&amp;"+"&amp;BY193&amp;FE$1)</f>
        <v/>
      </c>
      <c r="FF193" s="43" t="str">
        <f t="shared" ref="FF193" si="3157">IF(BZ193="","","|n"&amp;FF$2&amp;"+"&amp;BZ193&amp;FF$1)</f>
        <v/>
      </c>
      <c r="FG193" s="43" t="str">
        <f t="shared" ref="FG193" si="3158">IF(CA193="","","|n"&amp;FG$2&amp;"+"&amp;CA193&amp;FG$1)</f>
        <v/>
      </c>
      <c r="FH193" s="43" t="str">
        <f t="shared" ref="FH193" si="3159">IF(CB193="","","|n"&amp;FH$2&amp;"+"&amp;CB193&amp;FH$1)</f>
        <v/>
      </c>
      <c r="FI193" s="43" t="str">
        <f t="shared" ref="FI193" si="3160">IF(CC193="","","|n"&amp;FI$2&amp;"+"&amp;CC193&amp;FI$1)</f>
        <v/>
      </c>
      <c r="FJ193" s="43" t="str">
        <f t="shared" ref="FJ193" si="3161">IF(CD193="","","|n"&amp;FJ$2&amp;"+"&amp;CD193&amp;FJ$1)</f>
        <v/>
      </c>
      <c r="FK193" s="43" t="str">
        <f t="shared" ref="FK193" si="3162">IF(CE193="","","|n"&amp;FK$2&amp;"+"&amp;CE193&amp;FK$1)</f>
        <v/>
      </c>
      <c r="FL193" s="43" t="str">
        <f t="shared" ref="FL193" si="3163">IF(CF193="","","|n"&amp;FL$2&amp;"+"&amp;CF193&amp;FL$1)</f>
        <v/>
      </c>
      <c r="FM193" s="43" t="str">
        <f t="shared" ref="FM193" si="3164">IF(CG193="","","|n"&amp;FM$2&amp;"+"&amp;CG193&amp;FM$1)</f>
        <v/>
      </c>
      <c r="FN193" s="43" t="str">
        <f t="shared" ref="FN193" si="3165">IF(CH193="","","|n"&amp;FN$2&amp;"+"&amp;CH193&amp;FN$1)</f>
        <v/>
      </c>
      <c r="FO193" s="43" t="str">
        <f t="shared" ref="FO193" si="3166">IF(CI193="","","|n"&amp;FO$2&amp;"+"&amp;CI193&amp;FO$1)</f>
        <v/>
      </c>
      <c r="FP193" s="43" t="str">
        <f t="shared" ref="FP193" si="3167">IF(CJ193="","","|n"&amp;FP$2&amp;"+"&amp;CJ193&amp;FP$1)</f>
        <v/>
      </c>
      <c r="FQ193" s="43" t="str">
        <f t="shared" ref="FQ193" si="3168">IF(CK193="","","|n"&amp;FQ$2&amp;"+"&amp;CK193&amp;FQ$1)</f>
        <v/>
      </c>
      <c r="FR193" s="43" t="str">
        <f t="shared" ref="FR193" si="3169">IF(CL193="","","|n"&amp;FR$2&amp;"+"&amp;CL193&amp;FR$1)</f>
        <v/>
      </c>
      <c r="FS193" s="43" t="str">
        <f t="shared" ref="FS193" si="3170">IF(CM193="","","|n"&amp;FS$2&amp;"+"&amp;CM193&amp;FS$1)</f>
        <v/>
      </c>
    </row>
    <row r="194" spans="1:175" ht="16.5">
      <c r="A194" s="84"/>
      <c r="B194" s="4" t="s">
        <v>575</v>
      </c>
      <c r="C194" s="84" t="s">
        <v>576</v>
      </c>
      <c r="T194" s="84" t="s">
        <v>577</v>
      </c>
      <c r="U194" s="55" t="str">
        <f t="shared" ref="U194:U201" si="3171">"ReplaceableTextures\\CommandButtons\\BTN"&amp;B194&amp;".blp"</f>
        <v>ReplaceableTextures\\CommandButtons\\BTNIS11.blp</v>
      </c>
      <c r="CN194" s="12" t="str">
        <f t="shared" si="2787"/>
        <v>InitUnitState('IS11',,,,,,,,,,)</v>
      </c>
      <c r="CO194" s="12" t="str">
        <f t="shared" si="2788"/>
        <v>InitUnitNormal('IS11',,,,,,,,,,)</v>
      </c>
      <c r="CP194" s="12" t="str">
        <f t="shared" si="2789"/>
        <v>InitUnitMagic('IS11',,,,,,,,,,)</v>
      </c>
      <c r="CQ194" s="12" t="str">
        <f t="shared" si="2790"/>
        <v>InitUnitAdd('IS11',,,,,,,,,,)</v>
      </c>
      <c r="CR194" s="12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196&amp;CR$1&amp;")"</f>
        <v>InitEquipData('IS11',,"",,,,,'','','','','','',"ReplaceableTextures\\CommandButtons\\BTNIH01.blp")</v>
      </c>
      <c r="CU194" s="67" t="str">
        <f t="shared" ref="CU194" si="3172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5" t="str">
        <f t="shared" ref="CV194" si="3173">T194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94" s="6"/>
      <c r="CX194" s="6"/>
      <c r="CY194" s="6"/>
      <c r="CZ194" s="6"/>
      <c r="DA194" s="6"/>
      <c r="DB194" s="43" t="str">
        <f t="shared" ref="DB194" si="3174">IF(V194="","","|n"&amp;DB$2&amp;"+"&amp;V194&amp;DB$1)</f>
        <v/>
      </c>
      <c r="DC194" s="43" t="str">
        <f t="shared" ref="DC194" si="3175">IF(W194="","","|n"&amp;DC$2&amp;"+"&amp;W194&amp;DC$1)</f>
        <v/>
      </c>
      <c r="DD194" s="43" t="str">
        <f t="shared" ref="DD194" si="3176">IF(X194="","","|n"&amp;DD$2&amp;"+"&amp;X194&amp;DD$1)</f>
        <v/>
      </c>
      <c r="DE194" s="43" t="str">
        <f t="shared" ref="DE194" si="3177">IF(Y194="","","|n"&amp;DE$2&amp;"+"&amp;Y194&amp;DE$1)</f>
        <v/>
      </c>
      <c r="DF194" s="43" t="str">
        <f t="shared" ref="DF194" si="3178">IF(Z194="","","|n"&amp;DF$2&amp;"+"&amp;Z194&amp;DF$1)</f>
        <v/>
      </c>
      <c r="DG194" s="43" t="str">
        <f t="shared" ref="DG194" si="3179">IF(AA194="","","|n"&amp;DG$2&amp;"+"&amp;AA194&amp;DG$1)</f>
        <v/>
      </c>
      <c r="DH194" s="43" t="str">
        <f t="shared" ref="DH194" si="3180">IF(AB194="","","|n"&amp;DH$2&amp;"+"&amp;AB194&amp;DH$1)</f>
        <v/>
      </c>
      <c r="DI194" s="43" t="str">
        <f t="shared" ref="DI194" si="3181">IF(AC194="","","|n"&amp;DI$2&amp;"+"&amp;AC194&amp;DI$1)</f>
        <v/>
      </c>
      <c r="DJ194" s="43" t="str">
        <f t="shared" ref="DJ194" si="3182">IF(AD194="","","|n"&amp;DJ$2&amp;"+"&amp;AD194&amp;DJ$1)</f>
        <v/>
      </c>
      <c r="DK194" s="43" t="str">
        <f t="shared" ref="DK194" si="3183">IF(AE194="","","|n"&amp;DK$2&amp;"+"&amp;AE194&amp;DK$1)</f>
        <v/>
      </c>
      <c r="DL194" s="43" t="str">
        <f t="shared" ref="DL194" si="3184">IF(AF194="","","|n"&amp;DL$2&amp;"+"&amp;AF194&amp;DL$1)</f>
        <v/>
      </c>
      <c r="DM194" s="43" t="str">
        <f t="shared" ref="DM194" si="3185">IF(AG194="","","|n"&amp;DM$2&amp;"+"&amp;AG194&amp;DM$1)</f>
        <v/>
      </c>
      <c r="DN194" s="43" t="str">
        <f t="shared" ref="DN194" si="3186">IF(AH194="","","|n"&amp;DN$2&amp;"+"&amp;AH194&amp;DN$1)</f>
        <v/>
      </c>
      <c r="DO194" s="43" t="str">
        <f t="shared" ref="DO194" si="3187">IF(AI194="","","|n"&amp;DO$2&amp;"+"&amp;AI194&amp;DO$1)</f>
        <v/>
      </c>
      <c r="DP194" s="43" t="str">
        <f t="shared" ref="DP194" si="3188">IF(AJ194="","","|n"&amp;DP$2&amp;"+"&amp;AJ194&amp;DP$1)</f>
        <v/>
      </c>
      <c r="DQ194" s="43" t="str">
        <f t="shared" ref="DQ194" si="3189">IF(AK194="","","|n"&amp;DQ$2&amp;"+"&amp;AK194&amp;DQ$1)</f>
        <v/>
      </c>
      <c r="DR194" s="43" t="str">
        <f t="shared" ref="DR194" si="3190">IF(AL194="","","|n"&amp;DR$2&amp;"+"&amp;AL194&amp;DR$1)</f>
        <v/>
      </c>
      <c r="DS194" s="43" t="str">
        <f t="shared" ref="DS194" si="3191">IF(AM194="","","|n"&amp;DS$2&amp;"+"&amp;AM194&amp;DS$1)</f>
        <v/>
      </c>
      <c r="DT194" s="43" t="str">
        <f t="shared" ref="DT194" si="3192">IF(AN194="","","|n"&amp;DT$2&amp;"+"&amp;AN194&amp;DT$1)</f>
        <v/>
      </c>
      <c r="DU194" s="43" t="str">
        <f t="shared" ref="DU194" si="3193">IF(AO194="","","|n"&amp;DU$2&amp;"+"&amp;AO194&amp;DU$1)</f>
        <v/>
      </c>
      <c r="DV194" s="43" t="str">
        <f t="shared" ref="DV194" si="3194">IF(AP194="","","|n"&amp;DV$2&amp;"+"&amp;AP194&amp;DV$1)</f>
        <v/>
      </c>
      <c r="DW194" s="43" t="str">
        <f t="shared" ref="DW194" si="3195">IF(AQ194="","","|n"&amp;DW$2&amp;"+"&amp;AQ194&amp;DW$1)</f>
        <v/>
      </c>
      <c r="DX194" s="43" t="str">
        <f t="shared" ref="DX194" si="3196">IF(AR194="","","|n"&amp;DX$2&amp;"+"&amp;AR194&amp;DX$1)</f>
        <v/>
      </c>
      <c r="DY194" s="43" t="str">
        <f t="shared" ref="DY194" si="3197">IF(AS194="","","|n"&amp;DY$2&amp;"+"&amp;AS194&amp;DY$1)</f>
        <v/>
      </c>
      <c r="DZ194" s="43" t="str">
        <f t="shared" ref="DZ194" si="3198">IF(AT194="","","|n"&amp;DZ$2&amp;"+"&amp;AT194&amp;DZ$1)</f>
        <v/>
      </c>
      <c r="EA194" s="43" t="str">
        <f t="shared" ref="EA194" si="3199">IF(AU194="","","|n"&amp;EA$2&amp;"+"&amp;AU194&amp;EA$1)</f>
        <v/>
      </c>
      <c r="EB194" s="43" t="str">
        <f t="shared" ref="EB194" si="3200">IF(AV194="","","|n"&amp;EB$2&amp;"+"&amp;AV194&amp;EB$1)</f>
        <v/>
      </c>
      <c r="EC194" s="43" t="str">
        <f t="shared" ref="EC194" si="3201">IF(AW194="","","|n"&amp;EC$2&amp;"+"&amp;AW194&amp;EC$1)</f>
        <v/>
      </c>
      <c r="ED194" s="43" t="str">
        <f t="shared" ref="ED194" si="3202">IF(AX194="","","|n"&amp;ED$2&amp;"+"&amp;AX194&amp;ED$1)</f>
        <v/>
      </c>
      <c r="EE194" s="43" t="str">
        <f t="shared" ref="EE194" si="3203">IF(AY194="","","|n"&amp;EE$2&amp;"+"&amp;AY194&amp;EE$1)</f>
        <v/>
      </c>
      <c r="EF194" s="43" t="str">
        <f t="shared" ref="EF194" si="3204">IF(AZ194="","","|n"&amp;EF$2&amp;"+"&amp;AZ194&amp;EF$1)</f>
        <v/>
      </c>
      <c r="EG194" s="43" t="str">
        <f t="shared" ref="EG194" si="3205">IF(BA194="","","|n"&amp;EG$2&amp;"+"&amp;BA194&amp;EG$1)</f>
        <v/>
      </c>
      <c r="EH194" s="43" t="str">
        <f t="shared" ref="EH194" si="3206">IF(BB194="","","|n"&amp;EH$2&amp;"+"&amp;BB194&amp;EH$1)</f>
        <v/>
      </c>
      <c r="EI194" s="43" t="str">
        <f t="shared" ref="EI194" si="3207">IF(BC194="","","|n"&amp;EI$2&amp;"+"&amp;BC194&amp;EI$1)</f>
        <v/>
      </c>
      <c r="EJ194" s="43" t="str">
        <f t="shared" ref="EJ194" si="3208">IF(BD194="","","|n"&amp;EJ$2&amp;"+"&amp;BD194&amp;EJ$1)</f>
        <v/>
      </c>
      <c r="EK194" s="43" t="str">
        <f t="shared" ref="EK194" si="3209">IF(BE194="","","|n"&amp;EK$2&amp;"+"&amp;BE194&amp;EK$1)</f>
        <v/>
      </c>
      <c r="EL194" s="43" t="str">
        <f t="shared" ref="EL194" si="3210">IF(BF194="","","|n"&amp;EL$2&amp;"+"&amp;BF194&amp;EL$1)</f>
        <v/>
      </c>
      <c r="EM194" s="43" t="str">
        <f t="shared" ref="EM194" si="3211">IF(BG194="","","|n"&amp;EM$2&amp;"+"&amp;BG194&amp;EM$1)</f>
        <v/>
      </c>
      <c r="EN194" s="43" t="str">
        <f t="shared" ref="EN194" si="3212">IF(BH194="","","|n"&amp;EN$2&amp;"+"&amp;BH194&amp;EN$1)</f>
        <v/>
      </c>
      <c r="EO194" s="43" t="str">
        <f t="shared" ref="EO194" si="3213">IF(BI194="","","|n"&amp;EO$2&amp;"+"&amp;BI194&amp;EO$1)</f>
        <v/>
      </c>
      <c r="EP194" s="43" t="str">
        <f t="shared" ref="EP194" si="3214">IF(BJ194="","","|n"&amp;EP$2&amp;"+"&amp;BJ194&amp;EP$1)</f>
        <v/>
      </c>
      <c r="EQ194" s="43" t="str">
        <f t="shared" ref="EQ194" si="3215">IF(BK194="","","|n"&amp;EQ$2&amp;"+"&amp;BK194&amp;EQ$1)</f>
        <v/>
      </c>
      <c r="ER194" s="43" t="str">
        <f t="shared" ref="ER194" si="3216">IF(BL194="","","|n"&amp;ER$2&amp;"+"&amp;BL194&amp;ER$1)</f>
        <v/>
      </c>
      <c r="ES194" s="43" t="str">
        <f t="shared" ref="ES194" si="3217">IF(BM194="","","|n"&amp;ES$2&amp;"+"&amp;BM194&amp;ES$1)</f>
        <v/>
      </c>
      <c r="ET194" s="43" t="str">
        <f t="shared" ref="ET194" si="3218">IF(BN194="","","|n"&amp;ET$2&amp;"+"&amp;BN194&amp;ET$1)</f>
        <v/>
      </c>
      <c r="EU194" s="43" t="str">
        <f t="shared" ref="EU194" si="3219">IF(BO194="","","|n"&amp;EU$2&amp;"+"&amp;BO194&amp;EU$1)</f>
        <v/>
      </c>
      <c r="EV194" s="43" t="str">
        <f t="shared" ref="EV194" si="3220">IF(BP194="","","|n"&amp;EV$2&amp;"+"&amp;BP194&amp;EV$1)</f>
        <v/>
      </c>
      <c r="EW194" s="43" t="str">
        <f t="shared" ref="EW194" si="3221">IF(BQ194="","","|n"&amp;EW$2&amp;"+"&amp;BQ194&amp;EW$1)</f>
        <v/>
      </c>
      <c r="EX194" s="43" t="str">
        <f t="shared" ref="EX194" si="3222">IF(BR194="","","|n"&amp;EX$2&amp;"+"&amp;BR194&amp;EX$1)</f>
        <v/>
      </c>
      <c r="EY194" s="43" t="str">
        <f t="shared" ref="EY194" si="3223">IF(BS194="","","|n"&amp;EY$2&amp;"+"&amp;BS194&amp;EY$1)</f>
        <v/>
      </c>
      <c r="EZ194" s="43" t="str">
        <f t="shared" ref="EZ194" si="3224">IF(BT194="","","|n"&amp;EZ$2&amp;"+"&amp;BT194&amp;EZ$1)</f>
        <v/>
      </c>
      <c r="FA194" s="43" t="str">
        <f t="shared" ref="FA194" si="3225">IF(BU194="","","|n"&amp;FA$2&amp;"+"&amp;BU194&amp;FA$1)</f>
        <v/>
      </c>
      <c r="FB194" s="43" t="str">
        <f t="shared" ref="FB194" si="3226">IF(BV194="","","|n"&amp;FB$2&amp;"+"&amp;BV194&amp;FB$1)</f>
        <v/>
      </c>
      <c r="FC194" s="43" t="str">
        <f t="shared" ref="FC194" si="3227">IF(BW194="","","|n"&amp;FC$2&amp;"+"&amp;BW194&amp;FC$1)</f>
        <v/>
      </c>
      <c r="FD194" s="43" t="str">
        <f t="shared" ref="FD194" si="3228">IF(BX194="","","|n"&amp;FD$2&amp;"+"&amp;BX194&amp;FD$1)</f>
        <v/>
      </c>
      <c r="FE194" s="43" t="str">
        <f t="shared" ref="FE194" si="3229">IF(BY194="","","|n"&amp;FE$2&amp;"+"&amp;BY194&amp;FE$1)</f>
        <v/>
      </c>
      <c r="FF194" s="43" t="str">
        <f t="shared" ref="FF194" si="3230">IF(BZ194="","","|n"&amp;FF$2&amp;"+"&amp;BZ194&amp;FF$1)</f>
        <v/>
      </c>
      <c r="FG194" s="43" t="str">
        <f t="shared" ref="FG194" si="3231">IF(CA194="","","|n"&amp;FG$2&amp;"+"&amp;CA194&amp;FG$1)</f>
        <v/>
      </c>
      <c r="FH194" s="43" t="str">
        <f t="shared" ref="FH194" si="3232">IF(CB194="","","|n"&amp;FH$2&amp;"+"&amp;CB194&amp;FH$1)</f>
        <v/>
      </c>
      <c r="FI194" s="43" t="str">
        <f t="shared" ref="FI194" si="3233">IF(CC194="","","|n"&amp;FI$2&amp;"+"&amp;CC194&amp;FI$1)</f>
        <v/>
      </c>
      <c r="FJ194" s="43" t="str">
        <f t="shared" ref="FJ194" si="3234">IF(CD194="","","|n"&amp;FJ$2&amp;"+"&amp;CD194&amp;FJ$1)</f>
        <v/>
      </c>
      <c r="FK194" s="43" t="str">
        <f t="shared" ref="FK194" si="3235">IF(CE194="","","|n"&amp;FK$2&amp;"+"&amp;CE194&amp;FK$1)</f>
        <v/>
      </c>
      <c r="FL194" s="43" t="str">
        <f t="shared" ref="FL194" si="3236">IF(CF194="","","|n"&amp;FL$2&amp;"+"&amp;CF194&amp;FL$1)</f>
        <v/>
      </c>
      <c r="FM194" s="43" t="str">
        <f t="shared" ref="FM194" si="3237">IF(CG194="","","|n"&amp;FM$2&amp;"+"&amp;CG194&amp;FM$1)</f>
        <v/>
      </c>
      <c r="FN194" s="43" t="str">
        <f t="shared" ref="FN194" si="3238">IF(CH194="","","|n"&amp;FN$2&amp;"+"&amp;CH194&amp;FN$1)</f>
        <v/>
      </c>
      <c r="FO194" s="43" t="str">
        <f t="shared" ref="FO194" si="3239">IF(CI194="","","|n"&amp;FO$2&amp;"+"&amp;CI194&amp;FO$1)</f>
        <v/>
      </c>
      <c r="FP194" s="43" t="str">
        <f t="shared" ref="FP194" si="3240">IF(CJ194="","","|n"&amp;FP$2&amp;"+"&amp;CJ194&amp;FP$1)</f>
        <v/>
      </c>
      <c r="FQ194" s="43" t="str">
        <f t="shared" ref="FQ194" si="3241">IF(CK194="","","|n"&amp;FQ$2&amp;"+"&amp;CK194&amp;FQ$1)</f>
        <v/>
      </c>
      <c r="FR194" s="43" t="str">
        <f t="shared" ref="FR194" si="3242">IF(CL194="","","|n"&amp;FR$2&amp;"+"&amp;CL194&amp;FR$1)</f>
        <v/>
      </c>
      <c r="FS194" s="43" t="str">
        <f t="shared" ref="FS194" si="3243">IF(CM194="","","|n"&amp;FS$2&amp;"+"&amp;CM194&amp;FS$1)</f>
        <v/>
      </c>
    </row>
    <row r="195" spans="1:175" ht="16.5">
      <c r="A195" s="84"/>
      <c r="B195" s="4" t="s">
        <v>578</v>
      </c>
      <c r="C195" s="84" t="s">
        <v>579</v>
      </c>
      <c r="T195" s="84" t="s">
        <v>580</v>
      </c>
      <c r="U195" s="55" t="str">
        <f t="shared" si="3171"/>
        <v>ReplaceableTextures\\CommandButtons\\BTNIH00.blp</v>
      </c>
      <c r="CN195" s="12" t="str">
        <f t="shared" si="2787"/>
        <v>InitUnitState('IH00',,,,,,,,,,)</v>
      </c>
      <c r="CO195" s="12" t="str">
        <f t="shared" si="2788"/>
        <v>InitUnitNormal('IH00',,,,,,,,,,)</v>
      </c>
      <c r="CP195" s="12" t="str">
        <f t="shared" si="2789"/>
        <v>InitUnitMagic('IH00',,,,,,,,,,)</v>
      </c>
      <c r="CQ195" s="12" t="str">
        <f t="shared" si="2790"/>
        <v>InitUnitAdd('IH00',,,,,,,,,,)</v>
      </c>
      <c r="CR195" s="12" t="str">
        <f t="shared" ref="CR195:CR202" si="3244"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InitEquipData('IH00',,"",,,,,'','','','','','',"ReplaceableTextures\\CommandButtons\\BTNIH01.blp")</v>
      </c>
      <c r="CU195" s="67" t="str">
        <f t="shared" si="3027"/>
        <v>|n</v>
      </c>
      <c r="CV195" s="5" t="str">
        <f t="shared" si="3028"/>
        <v>抽中所有兽魂后觉醒|Cffff0000神兽神通（R）|r。|n|n|Cff00ff7f觉醒时将根据你抽中的兽魂，随机领悟对应的神兽神通。|r</v>
      </c>
      <c r="CW195" s="6"/>
      <c r="CX195" s="6"/>
      <c r="CY195" s="6"/>
      <c r="CZ195" s="6"/>
      <c r="DA195" s="6"/>
      <c r="DB195" s="43" t="str">
        <f t="shared" si="3029"/>
        <v/>
      </c>
      <c r="DC195" s="43" t="str">
        <f t="shared" si="3030"/>
        <v/>
      </c>
      <c r="DD195" s="43" t="str">
        <f t="shared" si="3031"/>
        <v/>
      </c>
      <c r="DE195" s="43" t="str">
        <f t="shared" si="3032"/>
        <v/>
      </c>
      <c r="DF195" s="43" t="str">
        <f t="shared" si="3033"/>
        <v/>
      </c>
      <c r="DG195" s="43" t="str">
        <f t="shared" si="3034"/>
        <v/>
      </c>
      <c r="DH195" s="43" t="str">
        <f t="shared" si="3035"/>
        <v/>
      </c>
      <c r="DI195" s="43" t="str">
        <f t="shared" si="3036"/>
        <v/>
      </c>
      <c r="DJ195" s="43" t="str">
        <f t="shared" si="3037"/>
        <v/>
      </c>
      <c r="DK195" s="43" t="str">
        <f t="shared" si="3038"/>
        <v/>
      </c>
      <c r="DL195" s="43" t="str">
        <f t="shared" si="3039"/>
        <v/>
      </c>
      <c r="DM195" s="43" t="str">
        <f t="shared" si="3040"/>
        <v/>
      </c>
      <c r="DN195" s="43" t="str">
        <f t="shared" si="3041"/>
        <v/>
      </c>
      <c r="DO195" s="43" t="str">
        <f t="shared" si="3042"/>
        <v/>
      </c>
      <c r="DP195" s="43" t="str">
        <f t="shared" si="3043"/>
        <v/>
      </c>
      <c r="DQ195" s="43" t="str">
        <f t="shared" si="3044"/>
        <v/>
      </c>
      <c r="DR195" s="43" t="str">
        <f t="shared" si="3045"/>
        <v/>
      </c>
      <c r="DS195" s="43" t="str">
        <f t="shared" si="3046"/>
        <v/>
      </c>
      <c r="DT195" s="43" t="str">
        <f t="shared" si="3047"/>
        <v/>
      </c>
      <c r="DU195" s="43" t="str">
        <f t="shared" si="3048"/>
        <v/>
      </c>
      <c r="DV195" s="43" t="str">
        <f t="shared" si="3049"/>
        <v/>
      </c>
      <c r="DW195" s="43" t="str">
        <f t="shared" si="3050"/>
        <v/>
      </c>
      <c r="DX195" s="43" t="str">
        <f t="shared" si="3051"/>
        <v/>
      </c>
      <c r="DY195" s="43" t="str">
        <f t="shared" si="3052"/>
        <v/>
      </c>
      <c r="DZ195" s="43" t="str">
        <f t="shared" si="3053"/>
        <v/>
      </c>
      <c r="EA195" s="43" t="str">
        <f t="shared" si="3054"/>
        <v/>
      </c>
      <c r="EB195" s="43" t="str">
        <f t="shared" si="3055"/>
        <v/>
      </c>
      <c r="EC195" s="43" t="str">
        <f t="shared" si="3056"/>
        <v/>
      </c>
      <c r="ED195" s="43" t="str">
        <f t="shared" si="3057"/>
        <v/>
      </c>
      <c r="EE195" s="43" t="str">
        <f t="shared" si="3058"/>
        <v/>
      </c>
      <c r="EF195" s="43" t="str">
        <f t="shared" si="3059"/>
        <v/>
      </c>
      <c r="EG195" s="43" t="str">
        <f t="shared" si="3060"/>
        <v/>
      </c>
      <c r="EH195" s="43" t="str">
        <f t="shared" si="3061"/>
        <v/>
      </c>
      <c r="EI195" s="43" t="str">
        <f t="shared" si="3062"/>
        <v/>
      </c>
      <c r="EJ195" s="43" t="str">
        <f t="shared" si="3063"/>
        <v/>
      </c>
      <c r="EK195" s="43" t="str">
        <f t="shared" si="3064"/>
        <v/>
      </c>
      <c r="EL195" s="43" t="str">
        <f t="shared" si="3065"/>
        <v/>
      </c>
      <c r="EM195" s="43" t="str">
        <f t="shared" si="3066"/>
        <v/>
      </c>
      <c r="EN195" s="43" t="str">
        <f t="shared" si="3067"/>
        <v/>
      </c>
      <c r="EO195" s="43" t="str">
        <f t="shared" si="3068"/>
        <v/>
      </c>
      <c r="EP195" s="43" t="str">
        <f t="shared" si="3069"/>
        <v/>
      </c>
      <c r="EQ195" s="43" t="str">
        <f t="shared" si="3070"/>
        <v/>
      </c>
      <c r="ER195" s="43" t="str">
        <f t="shared" si="3071"/>
        <v/>
      </c>
      <c r="ES195" s="43" t="str">
        <f t="shared" si="3072"/>
        <v/>
      </c>
      <c r="ET195" s="43" t="str">
        <f t="shared" si="3073"/>
        <v/>
      </c>
      <c r="EU195" s="43" t="str">
        <f t="shared" si="3074"/>
        <v/>
      </c>
      <c r="EV195" s="43" t="str">
        <f t="shared" si="3075"/>
        <v/>
      </c>
      <c r="EW195" s="43" t="str">
        <f t="shared" si="3076"/>
        <v/>
      </c>
      <c r="EX195" s="43" t="str">
        <f t="shared" si="3077"/>
        <v/>
      </c>
      <c r="EY195" s="43" t="str">
        <f t="shared" si="3078"/>
        <v/>
      </c>
      <c r="EZ195" s="43" t="str">
        <f t="shared" si="3079"/>
        <v/>
      </c>
      <c r="FA195" s="43" t="str">
        <f t="shared" si="3080"/>
        <v/>
      </c>
      <c r="FB195" s="43" t="str">
        <f t="shared" si="3081"/>
        <v/>
      </c>
      <c r="FC195" s="43" t="str">
        <f t="shared" si="3082"/>
        <v/>
      </c>
      <c r="FD195" s="43" t="str">
        <f t="shared" si="3083"/>
        <v/>
      </c>
      <c r="FE195" s="43" t="str">
        <f t="shared" si="3084"/>
        <v/>
      </c>
      <c r="FF195" s="43" t="str">
        <f t="shared" si="3085"/>
        <v/>
      </c>
      <c r="FG195" s="43" t="str">
        <f t="shared" si="3086"/>
        <v/>
      </c>
      <c r="FH195" s="43" t="str">
        <f t="shared" si="3087"/>
        <v/>
      </c>
      <c r="FI195" s="43" t="str">
        <f t="shared" si="3088"/>
        <v/>
      </c>
      <c r="FJ195" s="43" t="str">
        <f t="shared" si="3089"/>
        <v/>
      </c>
      <c r="FK195" s="43" t="str">
        <f t="shared" si="3090"/>
        <v/>
      </c>
      <c r="FL195" s="43" t="str">
        <f t="shared" si="3091"/>
        <v/>
      </c>
      <c r="FM195" s="43" t="str">
        <f t="shared" si="3092"/>
        <v/>
      </c>
      <c r="FN195" s="43" t="str">
        <f t="shared" si="3093"/>
        <v/>
      </c>
      <c r="FO195" s="43" t="str">
        <f t="shared" si="3094"/>
        <v/>
      </c>
      <c r="FP195" s="43" t="str">
        <f t="shared" si="3095"/>
        <v/>
      </c>
      <c r="FQ195" s="43" t="str">
        <f t="shared" si="3096"/>
        <v/>
      </c>
      <c r="FR195" s="43" t="str">
        <f t="shared" si="3097"/>
        <v/>
      </c>
      <c r="FS195" s="43" t="str">
        <f t="shared" si="3098"/>
        <v/>
      </c>
    </row>
    <row r="196" spans="1:175" ht="42.75">
      <c r="A196" s="84"/>
      <c r="B196" s="4" t="s">
        <v>581</v>
      </c>
      <c r="C196" s="84" t="s">
        <v>582</v>
      </c>
      <c r="T196" s="89" t="s">
        <v>583</v>
      </c>
      <c r="U196" s="55" t="str">
        <f t="shared" si="3171"/>
        <v>ReplaceableTextures\\CommandButtons\\BTNIH01.blp</v>
      </c>
      <c r="CN196" s="12" t="str">
        <f t="shared" si="2787"/>
        <v>InitUnitState('IH01',,,,,,,,,,)</v>
      </c>
      <c r="CO196" s="12" t="str">
        <f t="shared" si="2788"/>
        <v>InitUnitNormal('IH01',,,,,,,,,,)</v>
      </c>
      <c r="CP196" s="12" t="str">
        <f t="shared" si="2789"/>
        <v>InitUnitMagic('IH01',,,,,,,,,,)</v>
      </c>
      <c r="CQ196" s="12" t="str">
        <f t="shared" si="2790"/>
        <v>InitUnitAdd('IH01',,,,,,,,,,)</v>
      </c>
      <c r="CR196" s="12" t="str">
        <f t="shared" si="3244"/>
        <v>InitEquipData('IH01',,"",,,,,'','','','','','',"ReplaceableTextures\\CommandButtons\\BTNIH02.blp")</v>
      </c>
      <c r="CU196" s="67" t="str">
        <f t="shared" ref="CU196" si="3245">CONCATENATE(DB196,DC196,DD196,DE196,DF196,DG196,DH196,DI196,DJ196,DK196,DL196,DM196,DN196,DO196,DP196,DQ196,DR196,DS196,DT196,DU196,DV196,DW196,DX196,DY196,DZ196,EA196,EB196,EC196,ED196,EE196,EF196,EG196,EH196,EI196,EJ196,EK196,EL196,EM196,EN196,EO196,EP196&amp;"|n")</f>
        <v>|n</v>
      </c>
      <c r="CV196" s="5" t="str">
        <f t="shared" ref="CV196" si="3246">T196</f>
        <v>|Cff999999基础属性：|n|r攻击+20%|n|n|Cff999999神通传承：|n|r|Cffff0000血之裂痕|r</v>
      </c>
      <c r="CW196" s="6"/>
      <c r="CX196" s="6"/>
      <c r="CY196" s="6"/>
      <c r="CZ196" s="6"/>
      <c r="DA196" s="6"/>
      <c r="DB196" s="43" t="str">
        <f t="shared" ref="DB196" si="3247">IF(V196="","","|n"&amp;DB$2&amp;"+"&amp;V196&amp;DB$1)</f>
        <v/>
      </c>
      <c r="DC196" s="43" t="str">
        <f t="shared" ref="DC196" si="3248">IF(W196="","","|n"&amp;DC$2&amp;"+"&amp;W196&amp;DC$1)</f>
        <v/>
      </c>
      <c r="DD196" s="43" t="str">
        <f t="shared" ref="DD196" si="3249">IF(X196="","","|n"&amp;DD$2&amp;"+"&amp;X196&amp;DD$1)</f>
        <v/>
      </c>
      <c r="DE196" s="43" t="str">
        <f t="shared" ref="DE196" si="3250">IF(Y196="","","|n"&amp;DE$2&amp;"+"&amp;Y196&amp;DE$1)</f>
        <v/>
      </c>
      <c r="DF196" s="43" t="str">
        <f t="shared" ref="DF196" si="3251">IF(Z196="","","|n"&amp;DF$2&amp;"+"&amp;Z196&amp;DF$1)</f>
        <v/>
      </c>
      <c r="DG196" s="43" t="str">
        <f t="shared" ref="DG196" si="3252">IF(AA196="","","|n"&amp;DG$2&amp;"+"&amp;AA196&amp;DG$1)</f>
        <v/>
      </c>
      <c r="DH196" s="43" t="str">
        <f t="shared" ref="DH196" si="3253">IF(AB196="","","|n"&amp;DH$2&amp;"+"&amp;AB196&amp;DH$1)</f>
        <v/>
      </c>
      <c r="DI196" s="43" t="str">
        <f t="shared" ref="DI196" si="3254">IF(AC196="","","|n"&amp;DI$2&amp;"+"&amp;AC196&amp;DI$1)</f>
        <v/>
      </c>
      <c r="DJ196" s="43" t="str">
        <f t="shared" ref="DJ196" si="3255">IF(AD196="","","|n"&amp;DJ$2&amp;"+"&amp;AD196&amp;DJ$1)</f>
        <v/>
      </c>
      <c r="DK196" s="43" t="str">
        <f t="shared" ref="DK196" si="3256">IF(AE196="","","|n"&amp;DK$2&amp;"+"&amp;AE196&amp;DK$1)</f>
        <v/>
      </c>
      <c r="DL196" s="43" t="str">
        <f t="shared" ref="DL196" si="3257">IF(AF196="","","|n"&amp;DL$2&amp;"+"&amp;AF196&amp;DL$1)</f>
        <v/>
      </c>
      <c r="DM196" s="43" t="str">
        <f t="shared" ref="DM196" si="3258">IF(AG196="","","|n"&amp;DM$2&amp;"+"&amp;AG196&amp;DM$1)</f>
        <v/>
      </c>
      <c r="DN196" s="43" t="str">
        <f t="shared" ref="DN196" si="3259">IF(AH196="","","|n"&amp;DN$2&amp;"+"&amp;AH196&amp;DN$1)</f>
        <v/>
      </c>
      <c r="DO196" s="43" t="str">
        <f t="shared" ref="DO196" si="3260">IF(AI196="","","|n"&amp;DO$2&amp;"+"&amp;AI196&amp;DO$1)</f>
        <v/>
      </c>
      <c r="DP196" s="43" t="str">
        <f t="shared" ref="DP196" si="3261">IF(AJ196="","","|n"&amp;DP$2&amp;"+"&amp;AJ196&amp;DP$1)</f>
        <v/>
      </c>
      <c r="DQ196" s="43" t="str">
        <f t="shared" ref="DQ196" si="3262">IF(AK196="","","|n"&amp;DQ$2&amp;"+"&amp;AK196&amp;DQ$1)</f>
        <v/>
      </c>
      <c r="DR196" s="43" t="str">
        <f t="shared" ref="DR196" si="3263">IF(AL196="","","|n"&amp;DR$2&amp;"+"&amp;AL196&amp;DR$1)</f>
        <v/>
      </c>
      <c r="DS196" s="43" t="str">
        <f t="shared" ref="DS196" si="3264">IF(AM196="","","|n"&amp;DS$2&amp;"+"&amp;AM196&amp;DS$1)</f>
        <v/>
      </c>
      <c r="DT196" s="43" t="str">
        <f t="shared" ref="DT196" si="3265">IF(AN196="","","|n"&amp;DT$2&amp;"+"&amp;AN196&amp;DT$1)</f>
        <v/>
      </c>
      <c r="DU196" s="43" t="str">
        <f t="shared" ref="DU196" si="3266">IF(AO196="","","|n"&amp;DU$2&amp;"+"&amp;AO196&amp;DU$1)</f>
        <v/>
      </c>
      <c r="DV196" s="43" t="str">
        <f t="shared" ref="DV196" si="3267">IF(AP196="","","|n"&amp;DV$2&amp;"+"&amp;AP196&amp;DV$1)</f>
        <v/>
      </c>
      <c r="DW196" s="43" t="str">
        <f t="shared" ref="DW196" si="3268">IF(AQ196="","","|n"&amp;DW$2&amp;"+"&amp;AQ196&amp;DW$1)</f>
        <v/>
      </c>
      <c r="DX196" s="43" t="str">
        <f t="shared" ref="DX196" si="3269">IF(AR196="","","|n"&amp;DX$2&amp;"+"&amp;AR196&amp;DX$1)</f>
        <v/>
      </c>
      <c r="DY196" s="43" t="str">
        <f t="shared" ref="DY196" si="3270">IF(AS196="","","|n"&amp;DY$2&amp;"+"&amp;AS196&amp;DY$1)</f>
        <v/>
      </c>
      <c r="DZ196" s="43" t="str">
        <f t="shared" ref="DZ196" si="3271">IF(AT196="","","|n"&amp;DZ$2&amp;"+"&amp;AT196&amp;DZ$1)</f>
        <v/>
      </c>
      <c r="EA196" s="43" t="str">
        <f t="shared" ref="EA196" si="3272">IF(AU196="","","|n"&amp;EA$2&amp;"+"&amp;AU196&amp;EA$1)</f>
        <v/>
      </c>
      <c r="EB196" s="43" t="str">
        <f t="shared" ref="EB196" si="3273">IF(AV196="","","|n"&amp;EB$2&amp;"+"&amp;AV196&amp;EB$1)</f>
        <v/>
      </c>
      <c r="EC196" s="43" t="str">
        <f t="shared" ref="EC196" si="3274">IF(AW196="","","|n"&amp;EC$2&amp;"+"&amp;AW196&amp;EC$1)</f>
        <v/>
      </c>
      <c r="ED196" s="43" t="str">
        <f t="shared" ref="ED196" si="3275">IF(AX196="","","|n"&amp;ED$2&amp;"+"&amp;AX196&amp;ED$1)</f>
        <v/>
      </c>
      <c r="EE196" s="43" t="str">
        <f t="shared" ref="EE196" si="3276">IF(AY196="","","|n"&amp;EE$2&amp;"+"&amp;AY196&amp;EE$1)</f>
        <v/>
      </c>
      <c r="EF196" s="43" t="str">
        <f t="shared" ref="EF196" si="3277">IF(AZ196="","","|n"&amp;EF$2&amp;"+"&amp;AZ196&amp;EF$1)</f>
        <v/>
      </c>
      <c r="EG196" s="43" t="str">
        <f t="shared" ref="EG196" si="3278">IF(BA196="","","|n"&amp;EG$2&amp;"+"&amp;BA196&amp;EG$1)</f>
        <v/>
      </c>
      <c r="EH196" s="43" t="str">
        <f t="shared" ref="EH196" si="3279">IF(BB196="","","|n"&amp;EH$2&amp;"+"&amp;BB196&amp;EH$1)</f>
        <v/>
      </c>
      <c r="EI196" s="43" t="str">
        <f t="shared" ref="EI196" si="3280">IF(BC196="","","|n"&amp;EI$2&amp;"+"&amp;BC196&amp;EI$1)</f>
        <v/>
      </c>
      <c r="EJ196" s="43" t="str">
        <f t="shared" ref="EJ196" si="3281">IF(BD196="","","|n"&amp;EJ$2&amp;"+"&amp;BD196&amp;EJ$1)</f>
        <v/>
      </c>
      <c r="EK196" s="43" t="str">
        <f t="shared" ref="EK196" si="3282">IF(BE196="","","|n"&amp;EK$2&amp;"+"&amp;BE196&amp;EK$1)</f>
        <v/>
      </c>
      <c r="EL196" s="43" t="str">
        <f t="shared" ref="EL196" si="3283">IF(BF196="","","|n"&amp;EL$2&amp;"+"&amp;BF196&amp;EL$1)</f>
        <v/>
      </c>
      <c r="EM196" s="43" t="str">
        <f t="shared" ref="EM196" si="3284">IF(BG196="","","|n"&amp;EM$2&amp;"+"&amp;BG196&amp;EM$1)</f>
        <v/>
      </c>
      <c r="EN196" s="43" t="str">
        <f t="shared" ref="EN196" si="3285">IF(BH196="","","|n"&amp;EN$2&amp;"+"&amp;BH196&amp;EN$1)</f>
        <v/>
      </c>
      <c r="EO196" s="43" t="str">
        <f t="shared" ref="EO196" si="3286">IF(BI196="","","|n"&amp;EO$2&amp;"+"&amp;BI196&amp;EO$1)</f>
        <v/>
      </c>
      <c r="EP196" s="43" t="str">
        <f t="shared" ref="EP196" si="3287">IF(BJ196="","","|n"&amp;EP$2&amp;"+"&amp;BJ196&amp;EP$1)</f>
        <v/>
      </c>
      <c r="EQ196" s="43" t="str">
        <f t="shared" ref="EQ196" si="3288">IF(BK196="","","|n"&amp;EQ$2&amp;"+"&amp;BK196&amp;EQ$1)</f>
        <v/>
      </c>
      <c r="ER196" s="43" t="str">
        <f t="shared" ref="ER196" si="3289">IF(BL196="","","|n"&amp;ER$2&amp;"+"&amp;BL196&amp;ER$1)</f>
        <v/>
      </c>
      <c r="ES196" s="43" t="str">
        <f t="shared" ref="ES196" si="3290">IF(BM196="","","|n"&amp;ES$2&amp;"+"&amp;BM196&amp;ES$1)</f>
        <v/>
      </c>
      <c r="ET196" s="43" t="str">
        <f t="shared" ref="ET196" si="3291">IF(BN196="","","|n"&amp;ET$2&amp;"+"&amp;BN196&amp;ET$1)</f>
        <v/>
      </c>
      <c r="EU196" s="43" t="str">
        <f t="shared" ref="EU196" si="3292">IF(BO196="","","|n"&amp;EU$2&amp;"+"&amp;BO196&amp;EU$1)</f>
        <v/>
      </c>
      <c r="EV196" s="43" t="str">
        <f t="shared" ref="EV196" si="3293">IF(BP196="","","|n"&amp;EV$2&amp;"+"&amp;BP196&amp;EV$1)</f>
        <v/>
      </c>
      <c r="EW196" s="43" t="str">
        <f t="shared" ref="EW196" si="3294">IF(BQ196="","","|n"&amp;EW$2&amp;"+"&amp;BQ196&amp;EW$1)</f>
        <v/>
      </c>
      <c r="EX196" s="43" t="str">
        <f t="shared" ref="EX196" si="3295">IF(BR196="","","|n"&amp;EX$2&amp;"+"&amp;BR196&amp;EX$1)</f>
        <v/>
      </c>
      <c r="EY196" s="43" t="str">
        <f t="shared" ref="EY196" si="3296">IF(BS196="","","|n"&amp;EY$2&amp;"+"&amp;BS196&amp;EY$1)</f>
        <v/>
      </c>
      <c r="EZ196" s="43" t="str">
        <f t="shared" ref="EZ196" si="3297">IF(BT196="","","|n"&amp;EZ$2&amp;"+"&amp;BT196&amp;EZ$1)</f>
        <v/>
      </c>
      <c r="FA196" s="43" t="str">
        <f t="shared" ref="FA196" si="3298">IF(BU196="","","|n"&amp;FA$2&amp;"+"&amp;BU196&amp;FA$1)</f>
        <v/>
      </c>
      <c r="FB196" s="43" t="str">
        <f t="shared" ref="FB196" si="3299">IF(BV196="","","|n"&amp;FB$2&amp;"+"&amp;BV196&amp;FB$1)</f>
        <v/>
      </c>
      <c r="FC196" s="43" t="str">
        <f t="shared" ref="FC196" si="3300">IF(BW196="","","|n"&amp;FC$2&amp;"+"&amp;BW196&amp;FC$1)</f>
        <v/>
      </c>
      <c r="FD196" s="43" t="str">
        <f t="shared" ref="FD196" si="3301">IF(BX196="","","|n"&amp;FD$2&amp;"+"&amp;BX196&amp;FD$1)</f>
        <v/>
      </c>
      <c r="FE196" s="43" t="str">
        <f t="shared" ref="FE196" si="3302">IF(BY196="","","|n"&amp;FE$2&amp;"+"&amp;BY196&amp;FE$1)</f>
        <v/>
      </c>
      <c r="FF196" s="43" t="str">
        <f t="shared" ref="FF196" si="3303">IF(BZ196="","","|n"&amp;FF$2&amp;"+"&amp;BZ196&amp;FF$1)</f>
        <v/>
      </c>
      <c r="FG196" s="43" t="str">
        <f t="shared" ref="FG196" si="3304">IF(CA196="","","|n"&amp;FG$2&amp;"+"&amp;CA196&amp;FG$1)</f>
        <v/>
      </c>
      <c r="FH196" s="43" t="str">
        <f t="shared" ref="FH196" si="3305">IF(CB196="","","|n"&amp;FH$2&amp;"+"&amp;CB196&amp;FH$1)</f>
        <v/>
      </c>
      <c r="FI196" s="43" t="str">
        <f t="shared" ref="FI196" si="3306">IF(CC196="","","|n"&amp;FI$2&amp;"+"&amp;CC196&amp;FI$1)</f>
        <v/>
      </c>
      <c r="FJ196" s="43" t="str">
        <f t="shared" ref="FJ196" si="3307">IF(CD196="","","|n"&amp;FJ$2&amp;"+"&amp;CD196&amp;FJ$1)</f>
        <v/>
      </c>
      <c r="FK196" s="43" t="str">
        <f t="shared" ref="FK196" si="3308">IF(CE196="","","|n"&amp;FK$2&amp;"+"&amp;CE196&amp;FK$1)</f>
        <v/>
      </c>
      <c r="FL196" s="43" t="str">
        <f t="shared" ref="FL196" si="3309">IF(CF196="","","|n"&amp;FL$2&amp;"+"&amp;CF196&amp;FL$1)</f>
        <v/>
      </c>
      <c r="FM196" s="43" t="str">
        <f t="shared" ref="FM196" si="3310">IF(CG196="","","|n"&amp;FM$2&amp;"+"&amp;CG196&amp;FM$1)</f>
        <v/>
      </c>
      <c r="FN196" s="43" t="str">
        <f t="shared" ref="FN196" si="3311">IF(CH196="","","|n"&amp;FN$2&amp;"+"&amp;CH196&amp;FN$1)</f>
        <v/>
      </c>
      <c r="FO196" s="43" t="str">
        <f t="shared" ref="FO196" si="3312">IF(CI196="","","|n"&amp;FO$2&amp;"+"&amp;CI196&amp;FO$1)</f>
        <v/>
      </c>
      <c r="FP196" s="43" t="str">
        <f t="shared" ref="FP196" si="3313">IF(CJ196="","","|n"&amp;FP$2&amp;"+"&amp;CJ196&amp;FP$1)</f>
        <v/>
      </c>
      <c r="FQ196" s="43" t="str">
        <f t="shared" ref="FQ196" si="3314">IF(CK196="","","|n"&amp;FQ$2&amp;"+"&amp;CK196&amp;FQ$1)</f>
        <v/>
      </c>
      <c r="FR196" s="43" t="str">
        <f t="shared" ref="FR196" si="3315">IF(CL196="","","|n"&amp;FR$2&amp;"+"&amp;CL196&amp;FR$1)</f>
        <v/>
      </c>
      <c r="FS196" s="43" t="str">
        <f t="shared" ref="FS196" si="3316">IF(CM196="","","|n"&amp;FS$2&amp;"+"&amp;CM196&amp;FS$1)</f>
        <v/>
      </c>
    </row>
    <row r="197" spans="1:175" ht="16.5">
      <c r="A197" s="84"/>
      <c r="B197" s="4" t="s">
        <v>584</v>
      </c>
      <c r="C197" s="84" t="s">
        <v>585</v>
      </c>
      <c r="T197" s="84" t="s">
        <v>586</v>
      </c>
      <c r="U197" s="55" t="str">
        <f t="shared" si="3171"/>
        <v>ReplaceableTextures\\CommandButtons\\BTNIH02.blp</v>
      </c>
      <c r="CN197" s="12" t="str">
        <f t="shared" si="2787"/>
        <v>InitUnitState('IH02',,,,,,,,,,)</v>
      </c>
      <c r="CO197" s="12" t="str">
        <f t="shared" si="2788"/>
        <v>InitUnitNormal('IH02',,,,,,,,,,)</v>
      </c>
      <c r="CP197" s="12" t="str">
        <f t="shared" si="2789"/>
        <v>InitUnitMagic('IH02',,,,,,,,,,)</v>
      </c>
      <c r="CQ197" s="12" t="str">
        <f t="shared" si="2790"/>
        <v>InitUnitAdd('IH02',,,,,,,,,,)</v>
      </c>
      <c r="CR197" s="12" t="str">
        <f t="shared" si="3244"/>
        <v>InitEquipData('IH02',,"",,,,,'','','','','','',"ReplaceableTextures\\CommandButtons\\BTNIH03.blp")</v>
      </c>
      <c r="CU197" s="67" t="str">
        <f t="shared" ref="CU197:CU203" si="3317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5" t="str">
        <f t="shared" ref="CV197:CV203" si="3318">T197</f>
        <v>|Cff999999基础属性：|n|r法强+20%|n|n|Cff999999神通传承：|n|r|Cffff0000十绝阵|r</v>
      </c>
      <c r="CW197" s="6"/>
      <c r="CX197" s="6"/>
      <c r="CY197" s="6"/>
      <c r="CZ197" s="6"/>
      <c r="DA197" s="6"/>
      <c r="DB197" s="43" t="str">
        <f t="shared" ref="DB197:DB203" si="3319">IF(V197="","","|n"&amp;DB$2&amp;"+"&amp;V197&amp;DB$1)</f>
        <v/>
      </c>
      <c r="DC197" s="43" t="str">
        <f t="shared" ref="DC197:DC203" si="3320">IF(W197="","","|n"&amp;DC$2&amp;"+"&amp;W197&amp;DC$1)</f>
        <v/>
      </c>
      <c r="DD197" s="43" t="str">
        <f t="shared" ref="DD197:DD203" si="3321">IF(X197="","","|n"&amp;DD$2&amp;"+"&amp;X197&amp;DD$1)</f>
        <v/>
      </c>
      <c r="DE197" s="43" t="str">
        <f t="shared" ref="DE197:DE203" si="3322">IF(Y197="","","|n"&amp;DE$2&amp;"+"&amp;Y197&amp;DE$1)</f>
        <v/>
      </c>
      <c r="DF197" s="43" t="str">
        <f t="shared" ref="DF197:DF203" si="3323">IF(Z197="","","|n"&amp;DF$2&amp;"+"&amp;Z197&amp;DF$1)</f>
        <v/>
      </c>
      <c r="DG197" s="43" t="str">
        <f t="shared" ref="DG197:DG203" si="3324">IF(AA197="","","|n"&amp;DG$2&amp;"+"&amp;AA197&amp;DG$1)</f>
        <v/>
      </c>
      <c r="DH197" s="43" t="str">
        <f t="shared" ref="DH197:DH203" si="3325">IF(AB197="","","|n"&amp;DH$2&amp;"+"&amp;AB197&amp;DH$1)</f>
        <v/>
      </c>
      <c r="DI197" s="43" t="str">
        <f t="shared" ref="DI197:DI203" si="3326">IF(AC197="","","|n"&amp;DI$2&amp;"+"&amp;AC197&amp;DI$1)</f>
        <v/>
      </c>
      <c r="DJ197" s="43" t="str">
        <f t="shared" ref="DJ197:DJ203" si="3327">IF(AD197="","","|n"&amp;DJ$2&amp;"+"&amp;AD197&amp;DJ$1)</f>
        <v/>
      </c>
      <c r="DK197" s="43" t="str">
        <f t="shared" ref="DK197:DK203" si="3328">IF(AE197="","","|n"&amp;DK$2&amp;"+"&amp;AE197&amp;DK$1)</f>
        <v/>
      </c>
      <c r="DL197" s="43" t="str">
        <f t="shared" ref="DL197:DL203" si="3329">IF(AF197="","","|n"&amp;DL$2&amp;"+"&amp;AF197&amp;DL$1)</f>
        <v/>
      </c>
      <c r="DM197" s="43" t="str">
        <f t="shared" ref="DM197:DM203" si="3330">IF(AG197="","","|n"&amp;DM$2&amp;"+"&amp;AG197&amp;DM$1)</f>
        <v/>
      </c>
      <c r="DN197" s="43" t="str">
        <f t="shared" ref="DN197:DN203" si="3331">IF(AH197="","","|n"&amp;DN$2&amp;"+"&amp;AH197&amp;DN$1)</f>
        <v/>
      </c>
      <c r="DO197" s="43" t="str">
        <f t="shared" ref="DO197:DO203" si="3332">IF(AI197="","","|n"&amp;DO$2&amp;"+"&amp;AI197&amp;DO$1)</f>
        <v/>
      </c>
      <c r="DP197" s="43" t="str">
        <f t="shared" ref="DP197:DP203" si="3333">IF(AJ197="","","|n"&amp;DP$2&amp;"+"&amp;AJ197&amp;DP$1)</f>
        <v/>
      </c>
      <c r="DQ197" s="43" t="str">
        <f t="shared" ref="DQ197:DQ203" si="3334">IF(AK197="","","|n"&amp;DQ$2&amp;"+"&amp;AK197&amp;DQ$1)</f>
        <v/>
      </c>
      <c r="DR197" s="43" t="str">
        <f t="shared" ref="DR197:DR203" si="3335">IF(AL197="","","|n"&amp;DR$2&amp;"+"&amp;AL197&amp;DR$1)</f>
        <v/>
      </c>
      <c r="DS197" s="43" t="str">
        <f t="shared" ref="DS197:DS203" si="3336">IF(AM197="","","|n"&amp;DS$2&amp;"+"&amp;AM197&amp;DS$1)</f>
        <v/>
      </c>
      <c r="DT197" s="43" t="str">
        <f t="shared" ref="DT197:DT203" si="3337">IF(AN197="","","|n"&amp;DT$2&amp;"+"&amp;AN197&amp;DT$1)</f>
        <v/>
      </c>
      <c r="DU197" s="43" t="str">
        <f t="shared" ref="DU197:DU203" si="3338">IF(AO197="","","|n"&amp;DU$2&amp;"+"&amp;AO197&amp;DU$1)</f>
        <v/>
      </c>
      <c r="DV197" s="43" t="str">
        <f t="shared" ref="DV197:DV203" si="3339">IF(AP197="","","|n"&amp;DV$2&amp;"+"&amp;AP197&amp;DV$1)</f>
        <v/>
      </c>
      <c r="DW197" s="43" t="str">
        <f t="shared" ref="DW197:DW203" si="3340">IF(AQ197="","","|n"&amp;DW$2&amp;"+"&amp;AQ197&amp;DW$1)</f>
        <v/>
      </c>
      <c r="DX197" s="43" t="str">
        <f t="shared" ref="DX197:DX203" si="3341">IF(AR197="","","|n"&amp;DX$2&amp;"+"&amp;AR197&amp;DX$1)</f>
        <v/>
      </c>
      <c r="DY197" s="43" t="str">
        <f t="shared" ref="DY197:DY203" si="3342">IF(AS197="","","|n"&amp;DY$2&amp;"+"&amp;AS197&amp;DY$1)</f>
        <v/>
      </c>
      <c r="DZ197" s="43" t="str">
        <f t="shared" ref="DZ197:DZ203" si="3343">IF(AT197="","","|n"&amp;DZ$2&amp;"+"&amp;AT197&amp;DZ$1)</f>
        <v/>
      </c>
      <c r="EA197" s="43" t="str">
        <f t="shared" ref="EA197:EA203" si="3344">IF(AU197="","","|n"&amp;EA$2&amp;"+"&amp;AU197&amp;EA$1)</f>
        <v/>
      </c>
      <c r="EB197" s="43" t="str">
        <f t="shared" ref="EB197:EB203" si="3345">IF(AV197="","","|n"&amp;EB$2&amp;"+"&amp;AV197&amp;EB$1)</f>
        <v/>
      </c>
      <c r="EC197" s="43" t="str">
        <f t="shared" ref="EC197:EC203" si="3346">IF(AW197="","","|n"&amp;EC$2&amp;"+"&amp;AW197&amp;EC$1)</f>
        <v/>
      </c>
      <c r="ED197" s="43" t="str">
        <f t="shared" ref="ED197:ED203" si="3347">IF(AX197="","","|n"&amp;ED$2&amp;"+"&amp;AX197&amp;ED$1)</f>
        <v/>
      </c>
      <c r="EE197" s="43" t="str">
        <f t="shared" ref="EE197:EE203" si="3348">IF(AY197="","","|n"&amp;EE$2&amp;"+"&amp;AY197&amp;EE$1)</f>
        <v/>
      </c>
      <c r="EF197" s="43" t="str">
        <f t="shared" ref="EF197:EF203" si="3349">IF(AZ197="","","|n"&amp;EF$2&amp;"+"&amp;AZ197&amp;EF$1)</f>
        <v/>
      </c>
      <c r="EG197" s="43" t="str">
        <f t="shared" ref="EG197:EG203" si="3350">IF(BA197="","","|n"&amp;EG$2&amp;"+"&amp;BA197&amp;EG$1)</f>
        <v/>
      </c>
      <c r="EH197" s="43" t="str">
        <f t="shared" ref="EH197:EH203" si="3351">IF(BB197="","","|n"&amp;EH$2&amp;"+"&amp;BB197&amp;EH$1)</f>
        <v/>
      </c>
      <c r="EI197" s="43" t="str">
        <f t="shared" ref="EI197:EI203" si="3352">IF(BC197="","","|n"&amp;EI$2&amp;"+"&amp;BC197&amp;EI$1)</f>
        <v/>
      </c>
      <c r="EJ197" s="43" t="str">
        <f t="shared" ref="EJ197:EJ203" si="3353">IF(BD197="","","|n"&amp;EJ$2&amp;"+"&amp;BD197&amp;EJ$1)</f>
        <v/>
      </c>
      <c r="EK197" s="43" t="str">
        <f t="shared" ref="EK197:EK203" si="3354">IF(BE197="","","|n"&amp;EK$2&amp;"+"&amp;BE197&amp;EK$1)</f>
        <v/>
      </c>
      <c r="EL197" s="43" t="str">
        <f t="shared" ref="EL197:EL203" si="3355">IF(BF197="","","|n"&amp;EL$2&amp;"+"&amp;BF197&amp;EL$1)</f>
        <v/>
      </c>
      <c r="EM197" s="43" t="str">
        <f t="shared" ref="EM197:EM203" si="3356">IF(BG197="","","|n"&amp;EM$2&amp;"+"&amp;BG197&amp;EM$1)</f>
        <v/>
      </c>
      <c r="EN197" s="43" t="str">
        <f t="shared" ref="EN197:EN203" si="3357">IF(BH197="","","|n"&amp;EN$2&amp;"+"&amp;BH197&amp;EN$1)</f>
        <v/>
      </c>
      <c r="EO197" s="43" t="str">
        <f t="shared" ref="EO197:EO203" si="3358">IF(BI197="","","|n"&amp;EO$2&amp;"+"&amp;BI197&amp;EO$1)</f>
        <v/>
      </c>
      <c r="EP197" s="43" t="str">
        <f t="shared" ref="EP197:EP203" si="3359">IF(BJ197="","","|n"&amp;EP$2&amp;"+"&amp;BJ197&amp;EP$1)</f>
        <v/>
      </c>
      <c r="EQ197" s="43" t="str">
        <f t="shared" ref="EQ197:EQ203" si="3360">IF(BK197="","","|n"&amp;EQ$2&amp;"+"&amp;BK197&amp;EQ$1)</f>
        <v/>
      </c>
      <c r="ER197" s="43" t="str">
        <f t="shared" ref="ER197:ER203" si="3361">IF(BL197="","","|n"&amp;ER$2&amp;"+"&amp;BL197&amp;ER$1)</f>
        <v/>
      </c>
      <c r="ES197" s="43" t="str">
        <f t="shared" ref="ES197:ES203" si="3362">IF(BM197="","","|n"&amp;ES$2&amp;"+"&amp;BM197&amp;ES$1)</f>
        <v/>
      </c>
      <c r="ET197" s="43" t="str">
        <f t="shared" ref="ET197:ET203" si="3363">IF(BN197="","","|n"&amp;ET$2&amp;"+"&amp;BN197&amp;ET$1)</f>
        <v/>
      </c>
      <c r="EU197" s="43" t="str">
        <f t="shared" ref="EU197:EU203" si="3364">IF(BO197="","","|n"&amp;EU$2&amp;"+"&amp;BO197&amp;EU$1)</f>
        <v/>
      </c>
      <c r="EV197" s="43" t="str">
        <f t="shared" ref="EV197:EV203" si="3365">IF(BP197="","","|n"&amp;EV$2&amp;"+"&amp;BP197&amp;EV$1)</f>
        <v/>
      </c>
      <c r="EW197" s="43" t="str">
        <f t="shared" ref="EW197:EW203" si="3366">IF(BQ197="","","|n"&amp;EW$2&amp;"+"&amp;BQ197&amp;EW$1)</f>
        <v/>
      </c>
      <c r="EX197" s="43" t="str">
        <f t="shared" ref="EX197:EX203" si="3367">IF(BR197="","","|n"&amp;EX$2&amp;"+"&amp;BR197&amp;EX$1)</f>
        <v/>
      </c>
      <c r="EY197" s="43" t="str">
        <f t="shared" ref="EY197:EY203" si="3368">IF(BS197="","","|n"&amp;EY$2&amp;"+"&amp;BS197&amp;EY$1)</f>
        <v/>
      </c>
      <c r="EZ197" s="43" t="str">
        <f t="shared" ref="EZ197:EZ203" si="3369">IF(BT197="","","|n"&amp;EZ$2&amp;"+"&amp;BT197&amp;EZ$1)</f>
        <v/>
      </c>
      <c r="FA197" s="43" t="str">
        <f t="shared" ref="FA197:FA203" si="3370">IF(BU197="","","|n"&amp;FA$2&amp;"+"&amp;BU197&amp;FA$1)</f>
        <v/>
      </c>
      <c r="FB197" s="43" t="str">
        <f t="shared" ref="FB197:FB203" si="3371">IF(BV197="","","|n"&amp;FB$2&amp;"+"&amp;BV197&amp;FB$1)</f>
        <v/>
      </c>
      <c r="FC197" s="43" t="str">
        <f t="shared" ref="FC197:FC203" si="3372">IF(BW197="","","|n"&amp;FC$2&amp;"+"&amp;BW197&amp;FC$1)</f>
        <v/>
      </c>
      <c r="FD197" s="43" t="str">
        <f t="shared" ref="FD197:FD203" si="3373">IF(BX197="","","|n"&amp;FD$2&amp;"+"&amp;BX197&amp;FD$1)</f>
        <v/>
      </c>
      <c r="FE197" s="43" t="str">
        <f t="shared" ref="FE197:FE203" si="3374">IF(BY197="","","|n"&amp;FE$2&amp;"+"&amp;BY197&amp;FE$1)</f>
        <v/>
      </c>
      <c r="FF197" s="43" t="str">
        <f t="shared" ref="FF197:FF203" si="3375">IF(BZ197="","","|n"&amp;FF$2&amp;"+"&amp;BZ197&amp;FF$1)</f>
        <v/>
      </c>
      <c r="FG197" s="43" t="str">
        <f t="shared" ref="FG197:FG203" si="3376">IF(CA197="","","|n"&amp;FG$2&amp;"+"&amp;CA197&amp;FG$1)</f>
        <v/>
      </c>
      <c r="FH197" s="43" t="str">
        <f t="shared" ref="FH197:FH203" si="3377">IF(CB197="","","|n"&amp;FH$2&amp;"+"&amp;CB197&amp;FH$1)</f>
        <v/>
      </c>
      <c r="FI197" s="43" t="str">
        <f t="shared" ref="FI197:FI203" si="3378">IF(CC197="","","|n"&amp;FI$2&amp;"+"&amp;CC197&amp;FI$1)</f>
        <v/>
      </c>
      <c r="FJ197" s="43" t="str">
        <f t="shared" ref="FJ197:FJ203" si="3379">IF(CD197="","","|n"&amp;FJ$2&amp;"+"&amp;CD197&amp;FJ$1)</f>
        <v/>
      </c>
      <c r="FK197" s="43" t="str">
        <f t="shared" ref="FK197:FK203" si="3380">IF(CE197="","","|n"&amp;FK$2&amp;"+"&amp;CE197&amp;FK$1)</f>
        <v/>
      </c>
      <c r="FL197" s="43" t="str">
        <f t="shared" ref="FL197:FL203" si="3381">IF(CF197="","","|n"&amp;FL$2&amp;"+"&amp;CF197&amp;FL$1)</f>
        <v/>
      </c>
      <c r="FM197" s="43" t="str">
        <f t="shared" ref="FM197:FM203" si="3382">IF(CG197="","","|n"&amp;FM$2&amp;"+"&amp;CG197&amp;FM$1)</f>
        <v/>
      </c>
      <c r="FN197" s="43" t="str">
        <f t="shared" ref="FN197:FN203" si="3383">IF(CH197="","","|n"&amp;FN$2&amp;"+"&amp;CH197&amp;FN$1)</f>
        <v/>
      </c>
      <c r="FO197" s="43" t="str">
        <f t="shared" ref="FO197:FO203" si="3384">IF(CI197="","","|n"&amp;FO$2&amp;"+"&amp;CI197&amp;FO$1)</f>
        <v/>
      </c>
      <c r="FP197" s="43" t="str">
        <f t="shared" ref="FP197:FP203" si="3385">IF(CJ197="","","|n"&amp;FP$2&amp;"+"&amp;CJ197&amp;FP$1)</f>
        <v/>
      </c>
      <c r="FQ197" s="43" t="str">
        <f t="shared" ref="FQ197:FQ203" si="3386">IF(CK197="","","|n"&amp;FQ$2&amp;"+"&amp;CK197&amp;FQ$1)</f>
        <v/>
      </c>
      <c r="FR197" s="43" t="str">
        <f t="shared" ref="FR197:FR203" si="3387">IF(CL197="","","|n"&amp;FR$2&amp;"+"&amp;CL197&amp;FR$1)</f>
        <v/>
      </c>
      <c r="FS197" s="43" t="str">
        <f t="shared" ref="FS197:FS203" si="3388">IF(CM197="","","|n"&amp;FS$2&amp;"+"&amp;CM197&amp;FS$1)</f>
        <v/>
      </c>
    </row>
    <row r="198" spans="1:175" ht="16.5">
      <c r="A198" s="84"/>
      <c r="B198" s="4" t="s">
        <v>587</v>
      </c>
      <c r="C198" s="84" t="s">
        <v>588</v>
      </c>
      <c r="T198" s="84" t="s">
        <v>589</v>
      </c>
      <c r="U198" s="55" t="str">
        <f t="shared" si="3171"/>
        <v>ReplaceableTextures\\CommandButtons\\BTNIH03.blp</v>
      </c>
      <c r="CN198" s="12" t="str">
        <f t="shared" si="2787"/>
        <v>InitUnitState('IH03',,,,,,,,,,)</v>
      </c>
      <c r="CO198" s="12" t="str">
        <f t="shared" si="2788"/>
        <v>InitUnitNormal('IH03',,,,,,,,,,)</v>
      </c>
      <c r="CP198" s="12" t="str">
        <f t="shared" si="2789"/>
        <v>InitUnitMagic('IH03',,,,,,,,,,)</v>
      </c>
      <c r="CQ198" s="12" t="str">
        <f t="shared" si="2790"/>
        <v>InitUnitAdd('IH03',,,,,,,,,,)</v>
      </c>
      <c r="CR198" s="12" t="str">
        <f t="shared" si="3244"/>
        <v>InitEquipData('IH03',,"",,,,,'','','','','','',"ReplaceableTextures\\CommandButtons\\BTNIH04.blp")</v>
      </c>
      <c r="CU198" s="67" t="str">
        <f t="shared" si="3317"/>
        <v>|n</v>
      </c>
      <c r="CV198" s="5" t="str">
        <f t="shared" si="3318"/>
        <v>|Cff999999基础属性：|n|r生命+40%|n|n|Cff999999神通传承：|n|r|Cffff0000八荒斗神|r</v>
      </c>
      <c r="CW198" s="6"/>
      <c r="CX198" s="6"/>
      <c r="CY198" s="6"/>
      <c r="CZ198" s="6"/>
      <c r="DA198" s="6"/>
      <c r="DB198" s="43" t="str">
        <f t="shared" si="3319"/>
        <v/>
      </c>
      <c r="DC198" s="43" t="str">
        <f t="shared" si="3320"/>
        <v/>
      </c>
      <c r="DD198" s="43" t="str">
        <f t="shared" si="3321"/>
        <v/>
      </c>
      <c r="DE198" s="43" t="str">
        <f t="shared" si="3322"/>
        <v/>
      </c>
      <c r="DF198" s="43" t="str">
        <f t="shared" si="3323"/>
        <v/>
      </c>
      <c r="DG198" s="43" t="str">
        <f t="shared" si="3324"/>
        <v/>
      </c>
      <c r="DH198" s="43" t="str">
        <f t="shared" si="3325"/>
        <v/>
      </c>
      <c r="DI198" s="43" t="str">
        <f t="shared" si="3326"/>
        <v/>
      </c>
      <c r="DJ198" s="43" t="str">
        <f t="shared" si="3327"/>
        <v/>
      </c>
      <c r="DK198" s="43" t="str">
        <f t="shared" si="3328"/>
        <v/>
      </c>
      <c r="DL198" s="43" t="str">
        <f t="shared" si="3329"/>
        <v/>
      </c>
      <c r="DM198" s="43" t="str">
        <f t="shared" si="3330"/>
        <v/>
      </c>
      <c r="DN198" s="43" t="str">
        <f t="shared" si="3331"/>
        <v/>
      </c>
      <c r="DO198" s="43" t="str">
        <f t="shared" si="3332"/>
        <v/>
      </c>
      <c r="DP198" s="43" t="str">
        <f t="shared" si="3333"/>
        <v/>
      </c>
      <c r="DQ198" s="43" t="str">
        <f t="shared" si="3334"/>
        <v/>
      </c>
      <c r="DR198" s="43" t="str">
        <f t="shared" si="3335"/>
        <v/>
      </c>
      <c r="DS198" s="43" t="str">
        <f t="shared" si="3336"/>
        <v/>
      </c>
      <c r="DT198" s="43" t="str">
        <f t="shared" si="3337"/>
        <v/>
      </c>
      <c r="DU198" s="43" t="str">
        <f t="shared" si="3338"/>
        <v/>
      </c>
      <c r="DV198" s="43" t="str">
        <f t="shared" si="3339"/>
        <v/>
      </c>
      <c r="DW198" s="43" t="str">
        <f t="shared" si="3340"/>
        <v/>
      </c>
      <c r="DX198" s="43" t="str">
        <f t="shared" si="3341"/>
        <v/>
      </c>
      <c r="DY198" s="43" t="str">
        <f t="shared" si="3342"/>
        <v/>
      </c>
      <c r="DZ198" s="43" t="str">
        <f t="shared" si="3343"/>
        <v/>
      </c>
      <c r="EA198" s="43" t="str">
        <f t="shared" si="3344"/>
        <v/>
      </c>
      <c r="EB198" s="43" t="str">
        <f t="shared" si="3345"/>
        <v/>
      </c>
      <c r="EC198" s="43" t="str">
        <f t="shared" si="3346"/>
        <v/>
      </c>
      <c r="ED198" s="43" t="str">
        <f t="shared" si="3347"/>
        <v/>
      </c>
      <c r="EE198" s="43" t="str">
        <f t="shared" si="3348"/>
        <v/>
      </c>
      <c r="EF198" s="43" t="str">
        <f t="shared" si="3349"/>
        <v/>
      </c>
      <c r="EG198" s="43" t="str">
        <f t="shared" si="3350"/>
        <v/>
      </c>
      <c r="EH198" s="43" t="str">
        <f t="shared" si="3351"/>
        <v/>
      </c>
      <c r="EI198" s="43" t="str">
        <f t="shared" si="3352"/>
        <v/>
      </c>
      <c r="EJ198" s="43" t="str">
        <f t="shared" si="3353"/>
        <v/>
      </c>
      <c r="EK198" s="43" t="str">
        <f t="shared" si="3354"/>
        <v/>
      </c>
      <c r="EL198" s="43" t="str">
        <f t="shared" si="3355"/>
        <v/>
      </c>
      <c r="EM198" s="43" t="str">
        <f t="shared" si="3356"/>
        <v/>
      </c>
      <c r="EN198" s="43" t="str">
        <f t="shared" si="3357"/>
        <v/>
      </c>
      <c r="EO198" s="43" t="str">
        <f t="shared" si="3358"/>
        <v/>
      </c>
      <c r="EP198" s="43" t="str">
        <f t="shared" si="3359"/>
        <v/>
      </c>
      <c r="EQ198" s="43" t="str">
        <f t="shared" si="3360"/>
        <v/>
      </c>
      <c r="ER198" s="43" t="str">
        <f t="shared" si="3361"/>
        <v/>
      </c>
      <c r="ES198" s="43" t="str">
        <f t="shared" si="3362"/>
        <v/>
      </c>
      <c r="ET198" s="43" t="str">
        <f t="shared" si="3363"/>
        <v/>
      </c>
      <c r="EU198" s="43" t="str">
        <f t="shared" si="3364"/>
        <v/>
      </c>
      <c r="EV198" s="43" t="str">
        <f t="shared" si="3365"/>
        <v/>
      </c>
      <c r="EW198" s="43" t="str">
        <f t="shared" si="3366"/>
        <v/>
      </c>
      <c r="EX198" s="43" t="str">
        <f t="shared" si="3367"/>
        <v/>
      </c>
      <c r="EY198" s="43" t="str">
        <f t="shared" si="3368"/>
        <v/>
      </c>
      <c r="EZ198" s="43" t="str">
        <f t="shared" si="3369"/>
        <v/>
      </c>
      <c r="FA198" s="43" t="str">
        <f t="shared" si="3370"/>
        <v/>
      </c>
      <c r="FB198" s="43" t="str">
        <f t="shared" si="3371"/>
        <v/>
      </c>
      <c r="FC198" s="43" t="str">
        <f t="shared" si="3372"/>
        <v/>
      </c>
      <c r="FD198" s="43" t="str">
        <f t="shared" si="3373"/>
        <v/>
      </c>
      <c r="FE198" s="43" t="str">
        <f t="shared" si="3374"/>
        <v/>
      </c>
      <c r="FF198" s="43" t="str">
        <f t="shared" si="3375"/>
        <v/>
      </c>
      <c r="FG198" s="43" t="str">
        <f t="shared" si="3376"/>
        <v/>
      </c>
      <c r="FH198" s="43" t="str">
        <f t="shared" si="3377"/>
        <v/>
      </c>
      <c r="FI198" s="43" t="str">
        <f t="shared" si="3378"/>
        <v/>
      </c>
      <c r="FJ198" s="43" t="str">
        <f t="shared" si="3379"/>
        <v/>
      </c>
      <c r="FK198" s="43" t="str">
        <f t="shared" si="3380"/>
        <v/>
      </c>
      <c r="FL198" s="43" t="str">
        <f t="shared" si="3381"/>
        <v/>
      </c>
      <c r="FM198" s="43" t="str">
        <f t="shared" si="3382"/>
        <v/>
      </c>
      <c r="FN198" s="43" t="str">
        <f t="shared" si="3383"/>
        <v/>
      </c>
      <c r="FO198" s="43" t="str">
        <f t="shared" si="3384"/>
        <v/>
      </c>
      <c r="FP198" s="43" t="str">
        <f t="shared" si="3385"/>
        <v/>
      </c>
      <c r="FQ198" s="43" t="str">
        <f t="shared" si="3386"/>
        <v/>
      </c>
      <c r="FR198" s="43" t="str">
        <f t="shared" si="3387"/>
        <v/>
      </c>
      <c r="FS198" s="43" t="str">
        <f t="shared" si="3388"/>
        <v/>
      </c>
    </row>
    <row r="199" spans="1:175" ht="16.5">
      <c r="A199" s="84"/>
      <c r="B199" s="4" t="s">
        <v>590</v>
      </c>
      <c r="C199" s="84" t="s">
        <v>591</v>
      </c>
      <c r="T199" s="84" t="s">
        <v>592</v>
      </c>
      <c r="U199" s="55" t="str">
        <f t="shared" si="3171"/>
        <v>ReplaceableTextures\\CommandButtons\\BTNIH04.blp</v>
      </c>
      <c r="CN199" s="12" t="str">
        <f t="shared" si="2787"/>
        <v>InitUnitState('IH04',,,,,,,,,,)</v>
      </c>
      <c r="CO199" s="12" t="str">
        <f t="shared" si="2788"/>
        <v>InitUnitNormal('IH04',,,,,,,,,,)</v>
      </c>
      <c r="CP199" s="12" t="str">
        <f t="shared" si="2789"/>
        <v>InitUnitMagic('IH04',,,,,,,,,,)</v>
      </c>
      <c r="CQ199" s="12" t="str">
        <f t="shared" si="2790"/>
        <v>InitUnitAdd('IH04',,,,,,,,,,)</v>
      </c>
      <c r="CR199" s="12" t="str">
        <f t="shared" si="3244"/>
        <v>InitEquipData('IH04',,"",,,,,'','','','','','',"ReplaceableTextures\\CommandButtons\\BTNIH05.blp")</v>
      </c>
      <c r="CU199" s="67" t="str">
        <f t="shared" si="3317"/>
        <v>|n</v>
      </c>
      <c r="CV199" s="5" t="str">
        <f t="shared" si="3318"/>
        <v>|Cff999999基础属性：|n|r物穿+10%|n|n|Cff999999神通传承：|n|r|Cffff0000冰封之域|r</v>
      </c>
      <c r="CW199" s="6"/>
      <c r="CX199" s="6"/>
      <c r="CY199" s="6"/>
      <c r="CZ199" s="6"/>
      <c r="DA199" s="6"/>
      <c r="DB199" s="43" t="str">
        <f t="shared" si="3319"/>
        <v/>
      </c>
      <c r="DC199" s="43" t="str">
        <f t="shared" si="3320"/>
        <v/>
      </c>
      <c r="DD199" s="43" t="str">
        <f t="shared" si="3321"/>
        <v/>
      </c>
      <c r="DE199" s="43" t="str">
        <f t="shared" si="3322"/>
        <v/>
      </c>
      <c r="DF199" s="43" t="str">
        <f t="shared" si="3323"/>
        <v/>
      </c>
      <c r="DG199" s="43" t="str">
        <f t="shared" si="3324"/>
        <v/>
      </c>
      <c r="DH199" s="43" t="str">
        <f t="shared" si="3325"/>
        <v/>
      </c>
      <c r="DI199" s="43" t="str">
        <f t="shared" si="3326"/>
        <v/>
      </c>
      <c r="DJ199" s="43" t="str">
        <f t="shared" si="3327"/>
        <v/>
      </c>
      <c r="DK199" s="43" t="str">
        <f t="shared" si="3328"/>
        <v/>
      </c>
      <c r="DL199" s="43" t="str">
        <f t="shared" si="3329"/>
        <v/>
      </c>
      <c r="DM199" s="43" t="str">
        <f t="shared" si="3330"/>
        <v/>
      </c>
      <c r="DN199" s="43" t="str">
        <f t="shared" si="3331"/>
        <v/>
      </c>
      <c r="DO199" s="43" t="str">
        <f t="shared" si="3332"/>
        <v/>
      </c>
      <c r="DP199" s="43" t="str">
        <f t="shared" si="3333"/>
        <v/>
      </c>
      <c r="DQ199" s="43" t="str">
        <f t="shared" si="3334"/>
        <v/>
      </c>
      <c r="DR199" s="43" t="str">
        <f t="shared" si="3335"/>
        <v/>
      </c>
      <c r="DS199" s="43" t="str">
        <f t="shared" si="3336"/>
        <v/>
      </c>
      <c r="DT199" s="43" t="str">
        <f t="shared" si="3337"/>
        <v/>
      </c>
      <c r="DU199" s="43" t="str">
        <f t="shared" si="3338"/>
        <v/>
      </c>
      <c r="DV199" s="43" t="str">
        <f t="shared" si="3339"/>
        <v/>
      </c>
      <c r="DW199" s="43" t="str">
        <f t="shared" si="3340"/>
        <v/>
      </c>
      <c r="DX199" s="43" t="str">
        <f t="shared" si="3341"/>
        <v/>
      </c>
      <c r="DY199" s="43" t="str">
        <f t="shared" si="3342"/>
        <v/>
      </c>
      <c r="DZ199" s="43" t="str">
        <f t="shared" si="3343"/>
        <v/>
      </c>
      <c r="EA199" s="43" t="str">
        <f t="shared" si="3344"/>
        <v/>
      </c>
      <c r="EB199" s="43" t="str">
        <f t="shared" si="3345"/>
        <v/>
      </c>
      <c r="EC199" s="43" t="str">
        <f t="shared" si="3346"/>
        <v/>
      </c>
      <c r="ED199" s="43" t="str">
        <f t="shared" si="3347"/>
        <v/>
      </c>
      <c r="EE199" s="43" t="str">
        <f t="shared" si="3348"/>
        <v/>
      </c>
      <c r="EF199" s="43" t="str">
        <f t="shared" si="3349"/>
        <v/>
      </c>
      <c r="EG199" s="43" t="str">
        <f t="shared" si="3350"/>
        <v/>
      </c>
      <c r="EH199" s="43" t="str">
        <f t="shared" si="3351"/>
        <v/>
      </c>
      <c r="EI199" s="43" t="str">
        <f t="shared" si="3352"/>
        <v/>
      </c>
      <c r="EJ199" s="43" t="str">
        <f t="shared" si="3353"/>
        <v/>
      </c>
      <c r="EK199" s="43" t="str">
        <f t="shared" si="3354"/>
        <v/>
      </c>
      <c r="EL199" s="43" t="str">
        <f t="shared" si="3355"/>
        <v/>
      </c>
      <c r="EM199" s="43" t="str">
        <f t="shared" si="3356"/>
        <v/>
      </c>
      <c r="EN199" s="43" t="str">
        <f t="shared" si="3357"/>
        <v/>
      </c>
      <c r="EO199" s="43" t="str">
        <f t="shared" si="3358"/>
        <v/>
      </c>
      <c r="EP199" s="43" t="str">
        <f t="shared" si="3359"/>
        <v/>
      </c>
      <c r="EQ199" s="43" t="str">
        <f t="shared" si="3360"/>
        <v/>
      </c>
      <c r="ER199" s="43" t="str">
        <f t="shared" si="3361"/>
        <v/>
      </c>
      <c r="ES199" s="43" t="str">
        <f t="shared" si="3362"/>
        <v/>
      </c>
      <c r="ET199" s="43" t="str">
        <f t="shared" si="3363"/>
        <v/>
      </c>
      <c r="EU199" s="43" t="str">
        <f t="shared" si="3364"/>
        <v/>
      </c>
      <c r="EV199" s="43" t="str">
        <f t="shared" si="3365"/>
        <v/>
      </c>
      <c r="EW199" s="43" t="str">
        <f t="shared" si="3366"/>
        <v/>
      </c>
      <c r="EX199" s="43" t="str">
        <f t="shared" si="3367"/>
        <v/>
      </c>
      <c r="EY199" s="43" t="str">
        <f t="shared" si="3368"/>
        <v/>
      </c>
      <c r="EZ199" s="43" t="str">
        <f t="shared" si="3369"/>
        <v/>
      </c>
      <c r="FA199" s="43" t="str">
        <f t="shared" si="3370"/>
        <v/>
      </c>
      <c r="FB199" s="43" t="str">
        <f t="shared" si="3371"/>
        <v/>
      </c>
      <c r="FC199" s="43" t="str">
        <f t="shared" si="3372"/>
        <v/>
      </c>
      <c r="FD199" s="43" t="str">
        <f t="shared" si="3373"/>
        <v/>
      </c>
      <c r="FE199" s="43" t="str">
        <f t="shared" si="3374"/>
        <v/>
      </c>
      <c r="FF199" s="43" t="str">
        <f t="shared" si="3375"/>
        <v/>
      </c>
      <c r="FG199" s="43" t="str">
        <f t="shared" si="3376"/>
        <v/>
      </c>
      <c r="FH199" s="43" t="str">
        <f t="shared" si="3377"/>
        <v/>
      </c>
      <c r="FI199" s="43" t="str">
        <f t="shared" si="3378"/>
        <v/>
      </c>
      <c r="FJ199" s="43" t="str">
        <f t="shared" si="3379"/>
        <v/>
      </c>
      <c r="FK199" s="43" t="str">
        <f t="shared" si="3380"/>
        <v/>
      </c>
      <c r="FL199" s="43" t="str">
        <f t="shared" si="3381"/>
        <v/>
      </c>
      <c r="FM199" s="43" t="str">
        <f t="shared" si="3382"/>
        <v/>
      </c>
      <c r="FN199" s="43" t="str">
        <f t="shared" si="3383"/>
        <v/>
      </c>
      <c r="FO199" s="43" t="str">
        <f t="shared" si="3384"/>
        <v/>
      </c>
      <c r="FP199" s="43" t="str">
        <f t="shared" si="3385"/>
        <v/>
      </c>
      <c r="FQ199" s="43" t="str">
        <f t="shared" si="3386"/>
        <v/>
      </c>
      <c r="FR199" s="43" t="str">
        <f t="shared" si="3387"/>
        <v/>
      </c>
      <c r="FS199" s="43" t="str">
        <f t="shared" si="3388"/>
        <v/>
      </c>
    </row>
    <row r="200" spans="1:175" ht="16.5">
      <c r="A200" s="84"/>
      <c r="B200" s="4" t="s">
        <v>593</v>
      </c>
      <c r="C200" s="84" t="s">
        <v>594</v>
      </c>
      <c r="T200" s="84" t="s">
        <v>595</v>
      </c>
      <c r="U200" s="55" t="str">
        <f t="shared" si="3171"/>
        <v>ReplaceableTextures\\CommandButtons\\BTNIH05.blp</v>
      </c>
      <c r="CN200" s="12" t="str">
        <f t="shared" si="2787"/>
        <v>InitUnitState('IH05',,,,,,,,,,)</v>
      </c>
      <c r="CO200" s="12" t="str">
        <f t="shared" si="2788"/>
        <v>InitUnitNormal('IH05',,,,,,,,,,)</v>
      </c>
      <c r="CP200" s="12" t="str">
        <f t="shared" si="2789"/>
        <v>InitUnitMagic('IH05',,,,,,,,,,)</v>
      </c>
      <c r="CQ200" s="12" t="str">
        <f t="shared" si="2790"/>
        <v>InitUnitAdd('IH05',,,,,,,,,,)</v>
      </c>
      <c r="CR200" s="12" t="str">
        <f t="shared" si="3244"/>
        <v>InitEquipData('IH05',,"",,,,,'','','','','','',"ReplaceableTextures\\CommandButtons\\BTNIH06.blp")</v>
      </c>
      <c r="CU200" s="67" t="str">
        <f t="shared" si="3317"/>
        <v>|n</v>
      </c>
      <c r="CV200" s="5" t="str">
        <f t="shared" si="3318"/>
        <v>|Cff999999基础属性：|n|r法穿+10%|n|n|Cff999999神通传承：|n|r|Cffff0000离魂秘术|r</v>
      </c>
      <c r="CW200" s="6"/>
      <c r="CX200" s="6"/>
      <c r="CY200" s="6"/>
      <c r="CZ200" s="6"/>
      <c r="DA200" s="6"/>
      <c r="DB200" s="43" t="str">
        <f t="shared" si="3319"/>
        <v/>
      </c>
      <c r="DC200" s="43" t="str">
        <f t="shared" si="3320"/>
        <v/>
      </c>
      <c r="DD200" s="43" t="str">
        <f t="shared" si="3321"/>
        <v/>
      </c>
      <c r="DE200" s="43" t="str">
        <f t="shared" si="3322"/>
        <v/>
      </c>
      <c r="DF200" s="43" t="str">
        <f t="shared" si="3323"/>
        <v/>
      </c>
      <c r="DG200" s="43" t="str">
        <f t="shared" si="3324"/>
        <v/>
      </c>
      <c r="DH200" s="43" t="str">
        <f t="shared" si="3325"/>
        <v/>
      </c>
      <c r="DI200" s="43" t="str">
        <f t="shared" si="3326"/>
        <v/>
      </c>
      <c r="DJ200" s="43" t="str">
        <f t="shared" si="3327"/>
        <v/>
      </c>
      <c r="DK200" s="43" t="str">
        <f t="shared" si="3328"/>
        <v/>
      </c>
      <c r="DL200" s="43" t="str">
        <f t="shared" si="3329"/>
        <v/>
      </c>
      <c r="DM200" s="43" t="str">
        <f t="shared" si="3330"/>
        <v/>
      </c>
      <c r="DN200" s="43" t="str">
        <f t="shared" si="3331"/>
        <v/>
      </c>
      <c r="DO200" s="43" t="str">
        <f t="shared" si="3332"/>
        <v/>
      </c>
      <c r="DP200" s="43" t="str">
        <f t="shared" si="3333"/>
        <v/>
      </c>
      <c r="DQ200" s="43" t="str">
        <f t="shared" si="3334"/>
        <v/>
      </c>
      <c r="DR200" s="43" t="str">
        <f t="shared" si="3335"/>
        <v/>
      </c>
      <c r="DS200" s="43" t="str">
        <f t="shared" si="3336"/>
        <v/>
      </c>
      <c r="DT200" s="43" t="str">
        <f t="shared" si="3337"/>
        <v/>
      </c>
      <c r="DU200" s="43" t="str">
        <f t="shared" si="3338"/>
        <v/>
      </c>
      <c r="DV200" s="43" t="str">
        <f t="shared" si="3339"/>
        <v/>
      </c>
      <c r="DW200" s="43" t="str">
        <f t="shared" si="3340"/>
        <v/>
      </c>
      <c r="DX200" s="43" t="str">
        <f t="shared" si="3341"/>
        <v/>
      </c>
      <c r="DY200" s="43" t="str">
        <f t="shared" si="3342"/>
        <v/>
      </c>
      <c r="DZ200" s="43" t="str">
        <f t="shared" si="3343"/>
        <v/>
      </c>
      <c r="EA200" s="43" t="str">
        <f t="shared" si="3344"/>
        <v/>
      </c>
      <c r="EB200" s="43" t="str">
        <f t="shared" si="3345"/>
        <v/>
      </c>
      <c r="EC200" s="43" t="str">
        <f t="shared" si="3346"/>
        <v/>
      </c>
      <c r="ED200" s="43" t="str">
        <f t="shared" si="3347"/>
        <v/>
      </c>
      <c r="EE200" s="43" t="str">
        <f t="shared" si="3348"/>
        <v/>
      </c>
      <c r="EF200" s="43" t="str">
        <f t="shared" si="3349"/>
        <v/>
      </c>
      <c r="EG200" s="43" t="str">
        <f t="shared" si="3350"/>
        <v/>
      </c>
      <c r="EH200" s="43" t="str">
        <f t="shared" si="3351"/>
        <v/>
      </c>
      <c r="EI200" s="43" t="str">
        <f t="shared" si="3352"/>
        <v/>
      </c>
      <c r="EJ200" s="43" t="str">
        <f t="shared" si="3353"/>
        <v/>
      </c>
      <c r="EK200" s="43" t="str">
        <f t="shared" si="3354"/>
        <v/>
      </c>
      <c r="EL200" s="43" t="str">
        <f t="shared" si="3355"/>
        <v/>
      </c>
      <c r="EM200" s="43" t="str">
        <f t="shared" si="3356"/>
        <v/>
      </c>
      <c r="EN200" s="43" t="str">
        <f t="shared" si="3357"/>
        <v/>
      </c>
      <c r="EO200" s="43" t="str">
        <f t="shared" si="3358"/>
        <v/>
      </c>
      <c r="EP200" s="43" t="str">
        <f t="shared" si="3359"/>
        <v/>
      </c>
      <c r="EQ200" s="43" t="str">
        <f t="shared" si="3360"/>
        <v/>
      </c>
      <c r="ER200" s="43" t="str">
        <f t="shared" si="3361"/>
        <v/>
      </c>
      <c r="ES200" s="43" t="str">
        <f t="shared" si="3362"/>
        <v/>
      </c>
      <c r="ET200" s="43" t="str">
        <f t="shared" si="3363"/>
        <v/>
      </c>
      <c r="EU200" s="43" t="str">
        <f t="shared" si="3364"/>
        <v/>
      </c>
      <c r="EV200" s="43" t="str">
        <f t="shared" si="3365"/>
        <v/>
      </c>
      <c r="EW200" s="43" t="str">
        <f t="shared" si="3366"/>
        <v/>
      </c>
      <c r="EX200" s="43" t="str">
        <f t="shared" si="3367"/>
        <v/>
      </c>
      <c r="EY200" s="43" t="str">
        <f t="shared" si="3368"/>
        <v/>
      </c>
      <c r="EZ200" s="43" t="str">
        <f t="shared" si="3369"/>
        <v/>
      </c>
      <c r="FA200" s="43" t="str">
        <f t="shared" si="3370"/>
        <v/>
      </c>
      <c r="FB200" s="43" t="str">
        <f t="shared" si="3371"/>
        <v/>
      </c>
      <c r="FC200" s="43" t="str">
        <f t="shared" si="3372"/>
        <v/>
      </c>
      <c r="FD200" s="43" t="str">
        <f t="shared" si="3373"/>
        <v/>
      </c>
      <c r="FE200" s="43" t="str">
        <f t="shared" si="3374"/>
        <v/>
      </c>
      <c r="FF200" s="43" t="str">
        <f t="shared" si="3375"/>
        <v/>
      </c>
      <c r="FG200" s="43" t="str">
        <f t="shared" si="3376"/>
        <v/>
      </c>
      <c r="FH200" s="43" t="str">
        <f t="shared" si="3377"/>
        <v/>
      </c>
      <c r="FI200" s="43" t="str">
        <f t="shared" si="3378"/>
        <v/>
      </c>
      <c r="FJ200" s="43" t="str">
        <f t="shared" si="3379"/>
        <v/>
      </c>
      <c r="FK200" s="43" t="str">
        <f t="shared" si="3380"/>
        <v/>
      </c>
      <c r="FL200" s="43" t="str">
        <f t="shared" si="3381"/>
        <v/>
      </c>
      <c r="FM200" s="43" t="str">
        <f t="shared" si="3382"/>
        <v/>
      </c>
      <c r="FN200" s="43" t="str">
        <f t="shared" si="3383"/>
        <v/>
      </c>
      <c r="FO200" s="43" t="str">
        <f t="shared" si="3384"/>
        <v/>
      </c>
      <c r="FP200" s="43" t="str">
        <f t="shared" si="3385"/>
        <v/>
      </c>
      <c r="FQ200" s="43" t="str">
        <f t="shared" si="3386"/>
        <v/>
      </c>
      <c r="FR200" s="43" t="str">
        <f t="shared" si="3387"/>
        <v/>
      </c>
      <c r="FS200" s="43" t="str">
        <f t="shared" si="3388"/>
        <v/>
      </c>
    </row>
    <row r="201" spans="1:175" ht="16.5">
      <c r="A201" s="84"/>
      <c r="B201" s="4" t="s">
        <v>596</v>
      </c>
      <c r="C201" s="84" t="s">
        <v>597</v>
      </c>
      <c r="T201" s="84" t="s">
        <v>598</v>
      </c>
      <c r="U201" s="55" t="str">
        <f t="shared" si="3171"/>
        <v>ReplaceableTextures\\CommandButtons\\BTNIH06.blp</v>
      </c>
      <c r="CN201" s="12" t="str">
        <f t="shared" si="2787"/>
        <v>InitUnitState('IH06',,,,,,,,,,)</v>
      </c>
      <c r="CO201" s="12" t="str">
        <f t="shared" si="2788"/>
        <v>InitUnitNormal('IH06',,,,,,,,,,)</v>
      </c>
      <c r="CP201" s="12" t="str">
        <f t="shared" si="2789"/>
        <v>InitUnitMagic('IH06',,,,,,,,,,)</v>
      </c>
      <c r="CQ201" s="12" t="str">
        <f t="shared" si="2790"/>
        <v>InitUnitAdd('IH06',,,,,,,,,,)</v>
      </c>
      <c r="CR201" s="12" t="str">
        <f t="shared" si="3244"/>
        <v>InitEquipData('IH06',,"",,,,,'','','','','','',"ReplaceableTextures\\CommandButtons\\BTNIH07.blp")</v>
      </c>
      <c r="CU201" s="67" t="str">
        <f t="shared" si="3317"/>
        <v>|n</v>
      </c>
      <c r="CV201" s="5" t="str">
        <f t="shared" si="3318"/>
        <v>|Cff999999基础属性：|n|r暴击+5%，爆伤+50%|n|n|Cff999999神通传承：|n|r|Cffff0000修罗之怒|r</v>
      </c>
      <c r="CW201" s="6"/>
      <c r="CX201" s="6"/>
      <c r="CY201" s="6"/>
      <c r="CZ201" s="6"/>
      <c r="DA201" s="6"/>
      <c r="DB201" s="43" t="str">
        <f t="shared" si="3319"/>
        <v/>
      </c>
      <c r="DC201" s="43" t="str">
        <f t="shared" si="3320"/>
        <v/>
      </c>
      <c r="DD201" s="43" t="str">
        <f t="shared" si="3321"/>
        <v/>
      </c>
      <c r="DE201" s="43" t="str">
        <f t="shared" si="3322"/>
        <v/>
      </c>
      <c r="DF201" s="43" t="str">
        <f t="shared" si="3323"/>
        <v/>
      </c>
      <c r="DG201" s="43" t="str">
        <f t="shared" si="3324"/>
        <v/>
      </c>
      <c r="DH201" s="43" t="str">
        <f t="shared" si="3325"/>
        <v/>
      </c>
      <c r="DI201" s="43" t="str">
        <f t="shared" si="3326"/>
        <v/>
      </c>
      <c r="DJ201" s="43" t="str">
        <f t="shared" si="3327"/>
        <v/>
      </c>
      <c r="DK201" s="43" t="str">
        <f t="shared" si="3328"/>
        <v/>
      </c>
      <c r="DL201" s="43" t="str">
        <f t="shared" si="3329"/>
        <v/>
      </c>
      <c r="DM201" s="43" t="str">
        <f t="shared" si="3330"/>
        <v/>
      </c>
      <c r="DN201" s="43" t="str">
        <f t="shared" si="3331"/>
        <v/>
      </c>
      <c r="DO201" s="43" t="str">
        <f t="shared" si="3332"/>
        <v/>
      </c>
      <c r="DP201" s="43" t="str">
        <f t="shared" si="3333"/>
        <v/>
      </c>
      <c r="DQ201" s="43" t="str">
        <f t="shared" si="3334"/>
        <v/>
      </c>
      <c r="DR201" s="43" t="str">
        <f t="shared" si="3335"/>
        <v/>
      </c>
      <c r="DS201" s="43" t="str">
        <f t="shared" si="3336"/>
        <v/>
      </c>
      <c r="DT201" s="43" t="str">
        <f t="shared" si="3337"/>
        <v/>
      </c>
      <c r="DU201" s="43" t="str">
        <f t="shared" si="3338"/>
        <v/>
      </c>
      <c r="DV201" s="43" t="str">
        <f t="shared" si="3339"/>
        <v/>
      </c>
      <c r="DW201" s="43" t="str">
        <f t="shared" si="3340"/>
        <v/>
      </c>
      <c r="DX201" s="43" t="str">
        <f t="shared" si="3341"/>
        <v/>
      </c>
      <c r="DY201" s="43" t="str">
        <f t="shared" si="3342"/>
        <v/>
      </c>
      <c r="DZ201" s="43" t="str">
        <f t="shared" si="3343"/>
        <v/>
      </c>
      <c r="EA201" s="43" t="str">
        <f t="shared" si="3344"/>
        <v/>
      </c>
      <c r="EB201" s="43" t="str">
        <f t="shared" si="3345"/>
        <v/>
      </c>
      <c r="EC201" s="43" t="str">
        <f t="shared" si="3346"/>
        <v/>
      </c>
      <c r="ED201" s="43" t="str">
        <f t="shared" si="3347"/>
        <v/>
      </c>
      <c r="EE201" s="43" t="str">
        <f t="shared" si="3348"/>
        <v/>
      </c>
      <c r="EF201" s="43" t="str">
        <f t="shared" si="3349"/>
        <v/>
      </c>
      <c r="EG201" s="43" t="str">
        <f t="shared" si="3350"/>
        <v/>
      </c>
      <c r="EH201" s="43" t="str">
        <f t="shared" si="3351"/>
        <v/>
      </c>
      <c r="EI201" s="43" t="str">
        <f t="shared" si="3352"/>
        <v/>
      </c>
      <c r="EJ201" s="43" t="str">
        <f t="shared" si="3353"/>
        <v/>
      </c>
      <c r="EK201" s="43" t="str">
        <f t="shared" si="3354"/>
        <v/>
      </c>
      <c r="EL201" s="43" t="str">
        <f t="shared" si="3355"/>
        <v/>
      </c>
      <c r="EM201" s="43" t="str">
        <f t="shared" si="3356"/>
        <v/>
      </c>
      <c r="EN201" s="43" t="str">
        <f t="shared" si="3357"/>
        <v/>
      </c>
      <c r="EO201" s="43" t="str">
        <f t="shared" si="3358"/>
        <v/>
      </c>
      <c r="EP201" s="43" t="str">
        <f t="shared" si="3359"/>
        <v/>
      </c>
      <c r="EQ201" s="43" t="str">
        <f t="shared" si="3360"/>
        <v/>
      </c>
      <c r="ER201" s="43" t="str">
        <f t="shared" si="3361"/>
        <v/>
      </c>
      <c r="ES201" s="43" t="str">
        <f t="shared" si="3362"/>
        <v/>
      </c>
      <c r="ET201" s="43" t="str">
        <f t="shared" si="3363"/>
        <v/>
      </c>
      <c r="EU201" s="43" t="str">
        <f t="shared" si="3364"/>
        <v/>
      </c>
      <c r="EV201" s="43" t="str">
        <f t="shared" si="3365"/>
        <v/>
      </c>
      <c r="EW201" s="43" t="str">
        <f t="shared" si="3366"/>
        <v/>
      </c>
      <c r="EX201" s="43" t="str">
        <f t="shared" si="3367"/>
        <v/>
      </c>
      <c r="EY201" s="43" t="str">
        <f t="shared" si="3368"/>
        <v/>
      </c>
      <c r="EZ201" s="43" t="str">
        <f t="shared" si="3369"/>
        <v/>
      </c>
      <c r="FA201" s="43" t="str">
        <f t="shared" si="3370"/>
        <v/>
      </c>
      <c r="FB201" s="43" t="str">
        <f t="shared" si="3371"/>
        <v/>
      </c>
      <c r="FC201" s="43" t="str">
        <f t="shared" si="3372"/>
        <v/>
      </c>
      <c r="FD201" s="43" t="str">
        <f t="shared" si="3373"/>
        <v/>
      </c>
      <c r="FE201" s="43" t="str">
        <f t="shared" si="3374"/>
        <v/>
      </c>
      <c r="FF201" s="43" t="str">
        <f t="shared" si="3375"/>
        <v/>
      </c>
      <c r="FG201" s="43" t="str">
        <f t="shared" si="3376"/>
        <v/>
      </c>
      <c r="FH201" s="43" t="str">
        <f t="shared" si="3377"/>
        <v/>
      </c>
      <c r="FI201" s="43" t="str">
        <f t="shared" si="3378"/>
        <v/>
      </c>
      <c r="FJ201" s="43" t="str">
        <f t="shared" si="3379"/>
        <v/>
      </c>
      <c r="FK201" s="43" t="str">
        <f t="shared" si="3380"/>
        <v/>
      </c>
      <c r="FL201" s="43" t="str">
        <f t="shared" si="3381"/>
        <v/>
      </c>
      <c r="FM201" s="43" t="str">
        <f t="shared" si="3382"/>
        <v/>
      </c>
      <c r="FN201" s="43" t="str">
        <f t="shared" si="3383"/>
        <v/>
      </c>
      <c r="FO201" s="43" t="str">
        <f t="shared" si="3384"/>
        <v/>
      </c>
      <c r="FP201" s="43" t="str">
        <f t="shared" si="3385"/>
        <v/>
      </c>
      <c r="FQ201" s="43" t="str">
        <f t="shared" si="3386"/>
        <v/>
      </c>
      <c r="FR201" s="43" t="str">
        <f t="shared" si="3387"/>
        <v/>
      </c>
      <c r="FS201" s="43" t="str">
        <f t="shared" si="3388"/>
        <v/>
      </c>
    </row>
    <row r="202" spans="1:175" ht="16.5">
      <c r="A202" s="84"/>
      <c r="B202" s="4" t="s">
        <v>599</v>
      </c>
      <c r="C202" s="84" t="s">
        <v>600</v>
      </c>
      <c r="T202" s="84" t="s">
        <v>601</v>
      </c>
      <c r="U202" s="55" t="str">
        <f t="shared" ref="U202:U212" si="3389">"ReplaceableTextures\\CommandButtons\\BTN"&amp;B202&amp;".blp"</f>
        <v>ReplaceableTextures\\CommandButtons\\BTNIH07.blp</v>
      </c>
      <c r="CN202" s="12" t="str">
        <f t="shared" si="2787"/>
        <v>InitUnitState('IH07',,,,,,,,,,)</v>
      </c>
      <c r="CO202" s="12" t="str">
        <f t="shared" si="2788"/>
        <v>InitUnitNormal('IH07',,,,,,,,,,)</v>
      </c>
      <c r="CP202" s="12" t="str">
        <f t="shared" si="2789"/>
        <v>InitUnitMagic('IH07',,,,,,,,,,)</v>
      </c>
      <c r="CQ202" s="12" t="str">
        <f t="shared" si="2790"/>
        <v>InitUnitAdd('IH07',,,,,,,,,,)</v>
      </c>
      <c r="CR202" s="12" t="str">
        <f t="shared" si="3244"/>
        <v>InitEquipData('IH07',,"",,,,,'','','','','','',"ReplaceableTextures\\CommandButtons\\BTNIH08.blp")</v>
      </c>
      <c r="CU202" s="67" t="str">
        <f t="shared" si="3317"/>
        <v>|n</v>
      </c>
      <c r="CV202" s="5" t="str">
        <f t="shared" si="3318"/>
        <v>|Cff999999基础属性：|n|r攻速+50%|n|n|Cff999999神通传承：|n|r|Cffff0000神威一击|r</v>
      </c>
      <c r="CW202" s="6"/>
      <c r="CX202" s="6"/>
      <c r="CY202" s="6"/>
      <c r="CZ202" s="6"/>
      <c r="DA202" s="6"/>
      <c r="DB202" s="43" t="str">
        <f t="shared" si="3319"/>
        <v/>
      </c>
      <c r="DC202" s="43" t="str">
        <f t="shared" si="3320"/>
        <v/>
      </c>
      <c r="DD202" s="43" t="str">
        <f t="shared" si="3321"/>
        <v/>
      </c>
      <c r="DE202" s="43" t="str">
        <f t="shared" si="3322"/>
        <v/>
      </c>
      <c r="DF202" s="43" t="str">
        <f t="shared" si="3323"/>
        <v/>
      </c>
      <c r="DG202" s="43" t="str">
        <f t="shared" si="3324"/>
        <v/>
      </c>
      <c r="DH202" s="43" t="str">
        <f t="shared" si="3325"/>
        <v/>
      </c>
      <c r="DI202" s="43" t="str">
        <f t="shared" si="3326"/>
        <v/>
      </c>
      <c r="DJ202" s="43" t="str">
        <f t="shared" si="3327"/>
        <v/>
      </c>
      <c r="DK202" s="43" t="str">
        <f t="shared" si="3328"/>
        <v/>
      </c>
      <c r="DL202" s="43" t="str">
        <f t="shared" si="3329"/>
        <v/>
      </c>
      <c r="DM202" s="43" t="str">
        <f t="shared" si="3330"/>
        <v/>
      </c>
      <c r="DN202" s="43" t="str">
        <f t="shared" si="3331"/>
        <v/>
      </c>
      <c r="DO202" s="43" t="str">
        <f t="shared" si="3332"/>
        <v/>
      </c>
      <c r="DP202" s="43" t="str">
        <f t="shared" si="3333"/>
        <v/>
      </c>
      <c r="DQ202" s="43" t="str">
        <f t="shared" si="3334"/>
        <v/>
      </c>
      <c r="DR202" s="43" t="str">
        <f t="shared" si="3335"/>
        <v/>
      </c>
      <c r="DS202" s="43" t="str">
        <f t="shared" si="3336"/>
        <v/>
      </c>
      <c r="DT202" s="43" t="str">
        <f t="shared" si="3337"/>
        <v/>
      </c>
      <c r="DU202" s="43" t="str">
        <f t="shared" si="3338"/>
        <v/>
      </c>
      <c r="DV202" s="43" t="str">
        <f t="shared" si="3339"/>
        <v/>
      </c>
      <c r="DW202" s="43" t="str">
        <f t="shared" si="3340"/>
        <v/>
      </c>
      <c r="DX202" s="43" t="str">
        <f t="shared" si="3341"/>
        <v/>
      </c>
      <c r="DY202" s="43" t="str">
        <f t="shared" si="3342"/>
        <v/>
      </c>
      <c r="DZ202" s="43" t="str">
        <f t="shared" si="3343"/>
        <v/>
      </c>
      <c r="EA202" s="43" t="str">
        <f t="shared" si="3344"/>
        <v/>
      </c>
      <c r="EB202" s="43" t="str">
        <f t="shared" si="3345"/>
        <v/>
      </c>
      <c r="EC202" s="43" t="str">
        <f t="shared" si="3346"/>
        <v/>
      </c>
      <c r="ED202" s="43" t="str">
        <f t="shared" si="3347"/>
        <v/>
      </c>
      <c r="EE202" s="43" t="str">
        <f t="shared" si="3348"/>
        <v/>
      </c>
      <c r="EF202" s="43" t="str">
        <f t="shared" si="3349"/>
        <v/>
      </c>
      <c r="EG202" s="43" t="str">
        <f t="shared" si="3350"/>
        <v/>
      </c>
      <c r="EH202" s="43" t="str">
        <f t="shared" si="3351"/>
        <v/>
      </c>
      <c r="EI202" s="43" t="str">
        <f t="shared" si="3352"/>
        <v/>
      </c>
      <c r="EJ202" s="43" t="str">
        <f t="shared" si="3353"/>
        <v/>
      </c>
      <c r="EK202" s="43" t="str">
        <f t="shared" si="3354"/>
        <v/>
      </c>
      <c r="EL202" s="43" t="str">
        <f t="shared" si="3355"/>
        <v/>
      </c>
      <c r="EM202" s="43" t="str">
        <f t="shared" si="3356"/>
        <v/>
      </c>
      <c r="EN202" s="43" t="str">
        <f t="shared" si="3357"/>
        <v/>
      </c>
      <c r="EO202" s="43" t="str">
        <f t="shared" si="3358"/>
        <v/>
      </c>
      <c r="EP202" s="43" t="str">
        <f t="shared" si="3359"/>
        <v/>
      </c>
      <c r="EQ202" s="43" t="str">
        <f t="shared" si="3360"/>
        <v/>
      </c>
      <c r="ER202" s="43" t="str">
        <f t="shared" si="3361"/>
        <v/>
      </c>
      <c r="ES202" s="43" t="str">
        <f t="shared" si="3362"/>
        <v/>
      </c>
      <c r="ET202" s="43" t="str">
        <f t="shared" si="3363"/>
        <v/>
      </c>
      <c r="EU202" s="43" t="str">
        <f t="shared" si="3364"/>
        <v/>
      </c>
      <c r="EV202" s="43" t="str">
        <f t="shared" si="3365"/>
        <v/>
      </c>
      <c r="EW202" s="43" t="str">
        <f t="shared" si="3366"/>
        <v/>
      </c>
      <c r="EX202" s="43" t="str">
        <f t="shared" si="3367"/>
        <v/>
      </c>
      <c r="EY202" s="43" t="str">
        <f t="shared" si="3368"/>
        <v/>
      </c>
      <c r="EZ202" s="43" t="str">
        <f t="shared" si="3369"/>
        <v/>
      </c>
      <c r="FA202" s="43" t="str">
        <f t="shared" si="3370"/>
        <v/>
      </c>
      <c r="FB202" s="43" t="str">
        <f t="shared" si="3371"/>
        <v/>
      </c>
      <c r="FC202" s="43" t="str">
        <f t="shared" si="3372"/>
        <v/>
      </c>
      <c r="FD202" s="43" t="str">
        <f t="shared" si="3373"/>
        <v/>
      </c>
      <c r="FE202" s="43" t="str">
        <f t="shared" si="3374"/>
        <v/>
      </c>
      <c r="FF202" s="43" t="str">
        <f t="shared" si="3375"/>
        <v/>
      </c>
      <c r="FG202" s="43" t="str">
        <f t="shared" si="3376"/>
        <v/>
      </c>
      <c r="FH202" s="43" t="str">
        <f t="shared" si="3377"/>
        <v/>
      </c>
      <c r="FI202" s="43" t="str">
        <f t="shared" si="3378"/>
        <v/>
      </c>
      <c r="FJ202" s="43" t="str">
        <f t="shared" si="3379"/>
        <v/>
      </c>
      <c r="FK202" s="43" t="str">
        <f t="shared" si="3380"/>
        <v/>
      </c>
      <c r="FL202" s="43" t="str">
        <f t="shared" si="3381"/>
        <v/>
      </c>
      <c r="FM202" s="43" t="str">
        <f t="shared" si="3382"/>
        <v/>
      </c>
      <c r="FN202" s="43" t="str">
        <f t="shared" si="3383"/>
        <v/>
      </c>
      <c r="FO202" s="43" t="str">
        <f t="shared" si="3384"/>
        <v/>
      </c>
      <c r="FP202" s="43" t="str">
        <f t="shared" si="3385"/>
        <v/>
      </c>
      <c r="FQ202" s="43" t="str">
        <f t="shared" si="3386"/>
        <v/>
      </c>
      <c r="FR202" s="43" t="str">
        <f t="shared" si="3387"/>
        <v/>
      </c>
      <c r="FS202" s="43" t="str">
        <f t="shared" si="3388"/>
        <v/>
      </c>
    </row>
    <row r="203" spans="1:175" ht="16.5">
      <c r="A203" s="84"/>
      <c r="B203" s="4" t="s">
        <v>602</v>
      </c>
      <c r="C203" s="84" t="s">
        <v>603</v>
      </c>
      <c r="T203" s="84" t="s">
        <v>604</v>
      </c>
      <c r="U203" s="55" t="str">
        <f t="shared" si="3389"/>
        <v>ReplaceableTextures\\CommandButtons\\BTNIH08.blp</v>
      </c>
      <c r="CN203" s="12" t="str">
        <f t="shared" si="2787"/>
        <v>InitUnitState('IH08',,,,,,,,,,)</v>
      </c>
      <c r="CO203" s="12" t="str">
        <f t="shared" si="2788"/>
        <v>InitUnitNormal('IH08',,,,,,,,,,)</v>
      </c>
      <c r="CP203" s="12" t="str">
        <f t="shared" si="2789"/>
        <v>InitUnitMagic('IH08',,,,,,,,,,)</v>
      </c>
      <c r="CQ203" s="12" t="str">
        <f t="shared" si="2790"/>
        <v>InitUnitAdd('IH08',,,,,,,,,,)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222&amp;CR$1&amp;")"</f>
        <v>InitEquipData('IH08',,"",,,,,'','','','','','',"ReplaceableTextures\\CommandButtons\\BTNIF01.blp")</v>
      </c>
      <c r="CU203" s="67" t="str">
        <f t="shared" si="3317"/>
        <v>|n</v>
      </c>
      <c r="CV203" s="5" t="str">
        <f t="shared" si="3318"/>
        <v>|Cff999999基础属性：|n|r冷却+10%|n|n|Cff999999神通传承：|n|r|Cffff0000道法自然|r</v>
      </c>
      <c r="CW203" s="6"/>
      <c r="CX203" s="6"/>
      <c r="CY203" s="6"/>
      <c r="CZ203" s="6"/>
      <c r="DA203" s="6"/>
      <c r="DB203" s="43" t="str">
        <f t="shared" si="3319"/>
        <v/>
      </c>
      <c r="DC203" s="43" t="str">
        <f t="shared" si="3320"/>
        <v/>
      </c>
      <c r="DD203" s="43" t="str">
        <f t="shared" si="3321"/>
        <v/>
      </c>
      <c r="DE203" s="43" t="str">
        <f t="shared" si="3322"/>
        <v/>
      </c>
      <c r="DF203" s="43" t="str">
        <f t="shared" si="3323"/>
        <v/>
      </c>
      <c r="DG203" s="43" t="str">
        <f t="shared" si="3324"/>
        <v/>
      </c>
      <c r="DH203" s="43" t="str">
        <f t="shared" si="3325"/>
        <v/>
      </c>
      <c r="DI203" s="43" t="str">
        <f t="shared" si="3326"/>
        <v/>
      </c>
      <c r="DJ203" s="43" t="str">
        <f t="shared" si="3327"/>
        <v/>
      </c>
      <c r="DK203" s="43" t="str">
        <f t="shared" si="3328"/>
        <v/>
      </c>
      <c r="DL203" s="43" t="str">
        <f t="shared" si="3329"/>
        <v/>
      </c>
      <c r="DM203" s="43" t="str">
        <f t="shared" si="3330"/>
        <v/>
      </c>
      <c r="DN203" s="43" t="str">
        <f t="shared" si="3331"/>
        <v/>
      </c>
      <c r="DO203" s="43" t="str">
        <f t="shared" si="3332"/>
        <v/>
      </c>
      <c r="DP203" s="43" t="str">
        <f t="shared" si="3333"/>
        <v/>
      </c>
      <c r="DQ203" s="43" t="str">
        <f t="shared" si="3334"/>
        <v/>
      </c>
      <c r="DR203" s="43" t="str">
        <f t="shared" si="3335"/>
        <v/>
      </c>
      <c r="DS203" s="43" t="str">
        <f t="shared" si="3336"/>
        <v/>
      </c>
      <c r="DT203" s="43" t="str">
        <f t="shared" si="3337"/>
        <v/>
      </c>
      <c r="DU203" s="43" t="str">
        <f t="shared" si="3338"/>
        <v/>
      </c>
      <c r="DV203" s="43" t="str">
        <f t="shared" si="3339"/>
        <v/>
      </c>
      <c r="DW203" s="43" t="str">
        <f t="shared" si="3340"/>
        <v/>
      </c>
      <c r="DX203" s="43" t="str">
        <f t="shared" si="3341"/>
        <v/>
      </c>
      <c r="DY203" s="43" t="str">
        <f t="shared" si="3342"/>
        <v/>
      </c>
      <c r="DZ203" s="43" t="str">
        <f t="shared" si="3343"/>
        <v/>
      </c>
      <c r="EA203" s="43" t="str">
        <f t="shared" si="3344"/>
        <v/>
      </c>
      <c r="EB203" s="43" t="str">
        <f t="shared" si="3345"/>
        <v/>
      </c>
      <c r="EC203" s="43" t="str">
        <f t="shared" si="3346"/>
        <v/>
      </c>
      <c r="ED203" s="43" t="str">
        <f t="shared" si="3347"/>
        <v/>
      </c>
      <c r="EE203" s="43" t="str">
        <f t="shared" si="3348"/>
        <v/>
      </c>
      <c r="EF203" s="43" t="str">
        <f t="shared" si="3349"/>
        <v/>
      </c>
      <c r="EG203" s="43" t="str">
        <f t="shared" si="3350"/>
        <v/>
      </c>
      <c r="EH203" s="43" t="str">
        <f t="shared" si="3351"/>
        <v/>
      </c>
      <c r="EI203" s="43" t="str">
        <f t="shared" si="3352"/>
        <v/>
      </c>
      <c r="EJ203" s="43" t="str">
        <f t="shared" si="3353"/>
        <v/>
      </c>
      <c r="EK203" s="43" t="str">
        <f t="shared" si="3354"/>
        <v/>
      </c>
      <c r="EL203" s="43" t="str">
        <f t="shared" si="3355"/>
        <v/>
      </c>
      <c r="EM203" s="43" t="str">
        <f t="shared" si="3356"/>
        <v/>
      </c>
      <c r="EN203" s="43" t="str">
        <f t="shared" si="3357"/>
        <v/>
      </c>
      <c r="EO203" s="43" t="str">
        <f t="shared" si="3358"/>
        <v/>
      </c>
      <c r="EP203" s="43" t="str">
        <f t="shared" si="3359"/>
        <v/>
      </c>
      <c r="EQ203" s="43" t="str">
        <f t="shared" si="3360"/>
        <v/>
      </c>
      <c r="ER203" s="43" t="str">
        <f t="shared" si="3361"/>
        <v/>
      </c>
      <c r="ES203" s="43" t="str">
        <f t="shared" si="3362"/>
        <v/>
      </c>
      <c r="ET203" s="43" t="str">
        <f t="shared" si="3363"/>
        <v/>
      </c>
      <c r="EU203" s="43" t="str">
        <f t="shared" si="3364"/>
        <v/>
      </c>
      <c r="EV203" s="43" t="str">
        <f t="shared" si="3365"/>
        <v/>
      </c>
      <c r="EW203" s="43" t="str">
        <f t="shared" si="3366"/>
        <v/>
      </c>
      <c r="EX203" s="43" t="str">
        <f t="shared" si="3367"/>
        <v/>
      </c>
      <c r="EY203" s="43" t="str">
        <f t="shared" si="3368"/>
        <v/>
      </c>
      <c r="EZ203" s="43" t="str">
        <f t="shared" si="3369"/>
        <v/>
      </c>
      <c r="FA203" s="43" t="str">
        <f t="shared" si="3370"/>
        <v/>
      </c>
      <c r="FB203" s="43" t="str">
        <f t="shared" si="3371"/>
        <v/>
      </c>
      <c r="FC203" s="43" t="str">
        <f t="shared" si="3372"/>
        <v/>
      </c>
      <c r="FD203" s="43" t="str">
        <f t="shared" si="3373"/>
        <v/>
      </c>
      <c r="FE203" s="43" t="str">
        <f t="shared" si="3374"/>
        <v/>
      </c>
      <c r="FF203" s="43" t="str">
        <f t="shared" si="3375"/>
        <v/>
      </c>
      <c r="FG203" s="43" t="str">
        <f t="shared" si="3376"/>
        <v/>
      </c>
      <c r="FH203" s="43" t="str">
        <f t="shared" si="3377"/>
        <v/>
      </c>
      <c r="FI203" s="43" t="str">
        <f t="shared" si="3378"/>
        <v/>
      </c>
      <c r="FJ203" s="43" t="str">
        <f t="shared" si="3379"/>
        <v/>
      </c>
      <c r="FK203" s="43" t="str">
        <f t="shared" si="3380"/>
        <v/>
      </c>
      <c r="FL203" s="43" t="str">
        <f t="shared" si="3381"/>
        <v/>
      </c>
      <c r="FM203" s="43" t="str">
        <f t="shared" si="3382"/>
        <v/>
      </c>
      <c r="FN203" s="43" t="str">
        <f t="shared" si="3383"/>
        <v/>
      </c>
      <c r="FO203" s="43" t="str">
        <f t="shared" si="3384"/>
        <v/>
      </c>
      <c r="FP203" s="43" t="str">
        <f t="shared" si="3385"/>
        <v/>
      </c>
      <c r="FQ203" s="43" t="str">
        <f t="shared" si="3386"/>
        <v/>
      </c>
      <c r="FR203" s="43" t="str">
        <f t="shared" si="3387"/>
        <v/>
      </c>
      <c r="FS203" s="43" t="str">
        <f t="shared" si="3388"/>
        <v/>
      </c>
    </row>
    <row r="204" spans="1:175">
      <c r="A204" s="84"/>
      <c r="B204" s="7" t="s">
        <v>605</v>
      </c>
      <c r="C204" s="85" t="s">
        <v>606</v>
      </c>
      <c r="T204" s="135" t="s">
        <v>795</v>
      </c>
      <c r="U204" s="55" t="str">
        <f t="shared" si="3389"/>
        <v>ReplaceableTextures\\CommandButtons\\BTNIB01.blp</v>
      </c>
      <c r="CN204" s="12" t="str">
        <f t="shared" si="2787"/>
        <v>InitUnitState('IB01',,,,,,,,,,)</v>
      </c>
      <c r="CO204" s="12" t="str">
        <f t="shared" si="2788"/>
        <v>InitUnitNormal('IB01',,,,,,,,,,)</v>
      </c>
      <c r="CP204" s="12" t="str">
        <f t="shared" si="2789"/>
        <v>InitUnitMagic('IB01',,,,,,,,,,)</v>
      </c>
      <c r="CQ204" s="12" t="str">
        <f t="shared" si="2790"/>
        <v>InitUnitAdd('IB01',,,,,,,,,,)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InitEquipData('IB01',,"",,,,,'','','','','','',"ReplaceableTextures\\CommandButtons\\BTNIB02.blp")</v>
      </c>
      <c r="CU204" s="67" t="str">
        <f t="shared" ref="CU204:CU212" si="3390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5" t="str">
        <f t="shared" ref="CV204:CV212" si="3391">T204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4" s="6"/>
      <c r="CX204" s="6"/>
      <c r="CY204" s="6"/>
      <c r="CZ204" s="6"/>
      <c r="DA204" s="6"/>
      <c r="DB204" s="43" t="str">
        <f t="shared" ref="DB204:DB211" si="3392">IF(V204="","","|n"&amp;DB$2&amp;"+"&amp;V204&amp;DB$1)</f>
        <v/>
      </c>
      <c r="DC204" s="43" t="str">
        <f t="shared" ref="DC204:DC211" si="3393">IF(W204="","","|n"&amp;DC$2&amp;"+"&amp;W204&amp;DC$1)</f>
        <v/>
      </c>
      <c r="DD204" s="43" t="str">
        <f t="shared" ref="DD204:DD211" si="3394">IF(X204="","","|n"&amp;DD$2&amp;"+"&amp;X204&amp;DD$1)</f>
        <v/>
      </c>
      <c r="DE204" s="43" t="str">
        <f t="shared" ref="DE204:DE211" si="3395">IF(Y204="","","|n"&amp;DE$2&amp;"+"&amp;Y204&amp;DE$1)</f>
        <v/>
      </c>
      <c r="DF204" s="43" t="str">
        <f t="shared" ref="DF204:DF211" si="3396">IF(Z204="","","|n"&amp;DF$2&amp;"+"&amp;Z204&amp;DF$1)</f>
        <v/>
      </c>
      <c r="DG204" s="43" t="str">
        <f t="shared" ref="DG204:DG211" si="3397">IF(AA204="","","|n"&amp;DG$2&amp;"+"&amp;AA204&amp;DG$1)</f>
        <v/>
      </c>
      <c r="DH204" s="43" t="str">
        <f t="shared" ref="DH204:DH211" si="3398">IF(AB204="","","|n"&amp;DH$2&amp;"+"&amp;AB204&amp;DH$1)</f>
        <v/>
      </c>
      <c r="DI204" s="43" t="str">
        <f t="shared" ref="DI204:DI211" si="3399">IF(AC204="","","|n"&amp;DI$2&amp;"+"&amp;AC204&amp;DI$1)</f>
        <v/>
      </c>
      <c r="DJ204" s="43" t="str">
        <f t="shared" ref="DJ204:DJ211" si="3400">IF(AD204="","","|n"&amp;DJ$2&amp;"+"&amp;AD204&amp;DJ$1)</f>
        <v/>
      </c>
      <c r="DK204" s="43" t="str">
        <f t="shared" ref="DK204:DK211" si="3401">IF(AE204="","","|n"&amp;DK$2&amp;"+"&amp;AE204&amp;DK$1)</f>
        <v/>
      </c>
      <c r="DL204" s="43" t="str">
        <f t="shared" ref="DL204:DL211" si="3402">IF(AF204="","","|n"&amp;DL$2&amp;"+"&amp;AF204&amp;DL$1)</f>
        <v/>
      </c>
      <c r="DM204" s="43" t="str">
        <f t="shared" ref="DM204:DM211" si="3403">IF(AG204="","","|n"&amp;DM$2&amp;"+"&amp;AG204&amp;DM$1)</f>
        <v/>
      </c>
      <c r="DN204" s="43" t="str">
        <f t="shared" ref="DN204:DN211" si="3404">IF(AH204="","","|n"&amp;DN$2&amp;"+"&amp;AH204&amp;DN$1)</f>
        <v/>
      </c>
      <c r="DO204" s="43" t="str">
        <f t="shared" ref="DO204:DO211" si="3405">IF(AI204="","","|n"&amp;DO$2&amp;"+"&amp;AI204&amp;DO$1)</f>
        <v/>
      </c>
      <c r="DP204" s="43" t="str">
        <f t="shared" ref="DP204:DP211" si="3406">IF(AJ204="","","|n"&amp;DP$2&amp;"+"&amp;AJ204&amp;DP$1)</f>
        <v/>
      </c>
      <c r="DQ204" s="43" t="str">
        <f t="shared" ref="DQ204:DQ211" si="3407">IF(AK204="","","|n"&amp;DQ$2&amp;"+"&amp;AK204&amp;DQ$1)</f>
        <v/>
      </c>
      <c r="DR204" s="43" t="str">
        <f t="shared" ref="DR204:DR211" si="3408">IF(AL204="","","|n"&amp;DR$2&amp;"+"&amp;AL204&amp;DR$1)</f>
        <v/>
      </c>
      <c r="DS204" s="43" t="str">
        <f t="shared" ref="DS204:DS211" si="3409">IF(AM204="","","|n"&amp;DS$2&amp;"+"&amp;AM204&amp;DS$1)</f>
        <v/>
      </c>
      <c r="DT204" s="43" t="str">
        <f t="shared" ref="DT204:DT211" si="3410">IF(AN204="","","|n"&amp;DT$2&amp;"+"&amp;AN204&amp;DT$1)</f>
        <v/>
      </c>
      <c r="DU204" s="43" t="str">
        <f t="shared" ref="DU204:DU211" si="3411">IF(AO204="","","|n"&amp;DU$2&amp;"+"&amp;AO204&amp;DU$1)</f>
        <v/>
      </c>
      <c r="DV204" s="43" t="str">
        <f t="shared" ref="DV204:DV211" si="3412">IF(AP204="","","|n"&amp;DV$2&amp;"+"&amp;AP204&amp;DV$1)</f>
        <v/>
      </c>
      <c r="DW204" s="43" t="str">
        <f t="shared" ref="DW204:DW211" si="3413">IF(AQ204="","","|n"&amp;DW$2&amp;"+"&amp;AQ204&amp;DW$1)</f>
        <v/>
      </c>
      <c r="DX204" s="43" t="str">
        <f t="shared" ref="DX204:DX211" si="3414">IF(AR204="","","|n"&amp;DX$2&amp;"+"&amp;AR204&amp;DX$1)</f>
        <v/>
      </c>
      <c r="DY204" s="43" t="str">
        <f t="shared" ref="DY204:DY211" si="3415">IF(AS204="","","|n"&amp;DY$2&amp;"+"&amp;AS204&amp;DY$1)</f>
        <v/>
      </c>
      <c r="DZ204" s="43" t="str">
        <f t="shared" ref="DZ204:DZ211" si="3416">IF(AT204="","","|n"&amp;DZ$2&amp;"+"&amp;AT204&amp;DZ$1)</f>
        <v/>
      </c>
      <c r="EA204" s="43" t="str">
        <f t="shared" ref="EA204:EA211" si="3417">IF(AU204="","","|n"&amp;EA$2&amp;"+"&amp;AU204&amp;EA$1)</f>
        <v/>
      </c>
      <c r="EB204" s="43" t="str">
        <f t="shared" ref="EB204:EB211" si="3418">IF(AV204="","","|n"&amp;EB$2&amp;"+"&amp;AV204&amp;EB$1)</f>
        <v/>
      </c>
      <c r="EC204" s="43" t="str">
        <f t="shared" ref="EC204:EC211" si="3419">IF(AW204="","","|n"&amp;EC$2&amp;"+"&amp;AW204&amp;EC$1)</f>
        <v/>
      </c>
      <c r="ED204" s="43" t="str">
        <f t="shared" ref="ED204:ED211" si="3420">IF(AX204="","","|n"&amp;ED$2&amp;"+"&amp;AX204&amp;ED$1)</f>
        <v/>
      </c>
      <c r="EE204" s="43" t="str">
        <f t="shared" ref="EE204:EE211" si="3421">IF(AY204="","","|n"&amp;EE$2&amp;"+"&amp;AY204&amp;EE$1)</f>
        <v/>
      </c>
      <c r="EF204" s="43" t="str">
        <f t="shared" ref="EF204:EF211" si="3422">IF(AZ204="","","|n"&amp;EF$2&amp;"+"&amp;AZ204&amp;EF$1)</f>
        <v/>
      </c>
      <c r="EG204" s="43" t="str">
        <f t="shared" ref="EG204:EG211" si="3423">IF(BA204="","","|n"&amp;EG$2&amp;"+"&amp;BA204&amp;EG$1)</f>
        <v/>
      </c>
      <c r="EH204" s="43" t="str">
        <f t="shared" ref="EH204:EH211" si="3424">IF(BB204="","","|n"&amp;EH$2&amp;"+"&amp;BB204&amp;EH$1)</f>
        <v/>
      </c>
      <c r="EI204" s="43" t="str">
        <f t="shared" ref="EI204:EI211" si="3425">IF(BC204="","","|n"&amp;EI$2&amp;"+"&amp;BC204&amp;EI$1)</f>
        <v/>
      </c>
      <c r="EJ204" s="43" t="str">
        <f t="shared" ref="EJ204:EJ211" si="3426">IF(BD204="","","|n"&amp;EJ$2&amp;"+"&amp;BD204&amp;EJ$1)</f>
        <v/>
      </c>
      <c r="EK204" s="43" t="str">
        <f t="shared" ref="EK204:EK211" si="3427">IF(BE204="","","|n"&amp;EK$2&amp;"+"&amp;BE204&amp;EK$1)</f>
        <v/>
      </c>
      <c r="EL204" s="43" t="str">
        <f t="shared" ref="EL204:EL211" si="3428">IF(BF204="","","|n"&amp;EL$2&amp;"+"&amp;BF204&amp;EL$1)</f>
        <v/>
      </c>
      <c r="EM204" s="43" t="str">
        <f t="shared" ref="EM204:EM211" si="3429">IF(BG204="","","|n"&amp;EM$2&amp;"+"&amp;BG204&amp;EM$1)</f>
        <v/>
      </c>
      <c r="EN204" s="43" t="str">
        <f t="shared" ref="EN204:EN211" si="3430">IF(BH204="","","|n"&amp;EN$2&amp;"+"&amp;BH204&amp;EN$1)</f>
        <v/>
      </c>
      <c r="EO204" s="43" t="str">
        <f t="shared" ref="EO204:EO211" si="3431">IF(BI204="","","|n"&amp;EO$2&amp;"+"&amp;BI204&amp;EO$1)</f>
        <v/>
      </c>
      <c r="EP204" s="43" t="str">
        <f t="shared" ref="EP204:EP211" si="3432">IF(BJ204="","","|n"&amp;EP$2&amp;"+"&amp;BJ204&amp;EP$1)</f>
        <v/>
      </c>
      <c r="EQ204" s="43" t="str">
        <f t="shared" ref="EQ204:EQ211" si="3433">IF(BK204="","","|n"&amp;EQ$2&amp;"+"&amp;BK204&amp;EQ$1)</f>
        <v/>
      </c>
      <c r="ER204" s="43" t="str">
        <f t="shared" ref="ER204:ER211" si="3434">IF(BL204="","","|n"&amp;ER$2&amp;"+"&amp;BL204&amp;ER$1)</f>
        <v/>
      </c>
      <c r="ES204" s="43" t="str">
        <f t="shared" ref="ES204:ES211" si="3435">IF(BM204="","","|n"&amp;ES$2&amp;"+"&amp;BM204&amp;ES$1)</f>
        <v/>
      </c>
      <c r="ET204" s="43" t="str">
        <f t="shared" ref="ET204:ET211" si="3436">IF(BN204="","","|n"&amp;ET$2&amp;"+"&amp;BN204&amp;ET$1)</f>
        <v/>
      </c>
      <c r="EU204" s="43" t="str">
        <f t="shared" ref="EU204:EU211" si="3437">IF(BO204="","","|n"&amp;EU$2&amp;"+"&amp;BO204&amp;EU$1)</f>
        <v/>
      </c>
      <c r="EV204" s="43" t="str">
        <f t="shared" ref="EV204:EV211" si="3438">IF(BP204="","","|n"&amp;EV$2&amp;"+"&amp;BP204&amp;EV$1)</f>
        <v/>
      </c>
      <c r="EW204" s="43" t="str">
        <f t="shared" ref="EW204:EW211" si="3439">IF(BQ204="","","|n"&amp;EW$2&amp;"+"&amp;BQ204&amp;EW$1)</f>
        <v/>
      </c>
      <c r="EX204" s="43" t="str">
        <f t="shared" ref="EX204:EX211" si="3440">IF(BR204="","","|n"&amp;EX$2&amp;"+"&amp;BR204&amp;EX$1)</f>
        <v/>
      </c>
      <c r="EY204" s="43" t="str">
        <f t="shared" ref="EY204:EY211" si="3441">IF(BS204="","","|n"&amp;EY$2&amp;"+"&amp;BS204&amp;EY$1)</f>
        <v/>
      </c>
      <c r="EZ204" s="43" t="str">
        <f t="shared" ref="EZ204:EZ211" si="3442">IF(BT204="","","|n"&amp;EZ$2&amp;"+"&amp;BT204&amp;EZ$1)</f>
        <v/>
      </c>
      <c r="FA204" s="43" t="str">
        <f t="shared" ref="FA204:FA211" si="3443">IF(BU204="","","|n"&amp;FA$2&amp;"+"&amp;BU204&amp;FA$1)</f>
        <v/>
      </c>
      <c r="FB204" s="43" t="str">
        <f t="shared" ref="FB204:FB211" si="3444">IF(BV204="","","|n"&amp;FB$2&amp;"+"&amp;BV204&amp;FB$1)</f>
        <v/>
      </c>
      <c r="FC204" s="43" t="str">
        <f t="shared" ref="FC204:FC211" si="3445">IF(BW204="","","|n"&amp;FC$2&amp;"+"&amp;BW204&amp;FC$1)</f>
        <v/>
      </c>
      <c r="FD204" s="43" t="str">
        <f t="shared" ref="FD204:FD211" si="3446">IF(BX204="","","|n"&amp;FD$2&amp;"+"&amp;BX204&amp;FD$1)</f>
        <v/>
      </c>
      <c r="FE204" s="43" t="str">
        <f t="shared" ref="FE204:FE211" si="3447">IF(BY204="","","|n"&amp;FE$2&amp;"+"&amp;BY204&amp;FE$1)</f>
        <v/>
      </c>
      <c r="FF204" s="43" t="str">
        <f t="shared" ref="FF204:FF211" si="3448">IF(BZ204="","","|n"&amp;FF$2&amp;"+"&amp;BZ204&amp;FF$1)</f>
        <v/>
      </c>
      <c r="FG204" s="43" t="str">
        <f t="shared" ref="FG204:FG211" si="3449">IF(CA204="","","|n"&amp;FG$2&amp;"+"&amp;CA204&amp;FG$1)</f>
        <v/>
      </c>
      <c r="FH204" s="43" t="str">
        <f t="shared" ref="FH204:FH211" si="3450">IF(CB204="","","|n"&amp;FH$2&amp;"+"&amp;CB204&amp;FH$1)</f>
        <v/>
      </c>
      <c r="FI204" s="43" t="str">
        <f t="shared" ref="FI204:FI211" si="3451">IF(CC204="","","|n"&amp;FI$2&amp;"+"&amp;CC204&amp;FI$1)</f>
        <v/>
      </c>
      <c r="FJ204" s="43" t="str">
        <f t="shared" ref="FJ204:FJ211" si="3452">IF(CD204="","","|n"&amp;FJ$2&amp;"+"&amp;CD204&amp;FJ$1)</f>
        <v/>
      </c>
      <c r="FK204" s="43" t="str">
        <f t="shared" ref="FK204:FK211" si="3453">IF(CE204="","","|n"&amp;FK$2&amp;"+"&amp;CE204&amp;FK$1)</f>
        <v/>
      </c>
      <c r="FL204" s="43" t="str">
        <f t="shared" ref="FL204:FL211" si="3454">IF(CF204="","","|n"&amp;FL$2&amp;"+"&amp;CF204&amp;FL$1)</f>
        <v/>
      </c>
      <c r="FM204" s="43" t="str">
        <f t="shared" ref="FM204:FM211" si="3455">IF(CG204="","","|n"&amp;FM$2&amp;"+"&amp;CG204&amp;FM$1)</f>
        <v/>
      </c>
      <c r="FN204" s="43" t="str">
        <f t="shared" ref="FN204:FN211" si="3456">IF(CH204="","","|n"&amp;FN$2&amp;"+"&amp;CH204&amp;FN$1)</f>
        <v/>
      </c>
      <c r="FO204" s="43" t="str">
        <f t="shared" ref="FO204:FO211" si="3457">IF(CI204="","","|n"&amp;FO$2&amp;"+"&amp;CI204&amp;FO$1)</f>
        <v/>
      </c>
      <c r="FP204" s="43" t="str">
        <f t="shared" ref="FP204:FP211" si="3458">IF(CJ204="","","|n"&amp;FP$2&amp;"+"&amp;CJ204&amp;FP$1)</f>
        <v/>
      </c>
      <c r="FQ204" s="43" t="str">
        <f t="shared" ref="FQ204:FQ211" si="3459">IF(CK204="","","|n"&amp;FQ$2&amp;"+"&amp;CK204&amp;FQ$1)</f>
        <v/>
      </c>
      <c r="FR204" s="43" t="str">
        <f t="shared" ref="FR204:FR211" si="3460">IF(CL204="","","|n"&amp;FR$2&amp;"+"&amp;CL204&amp;FR$1)</f>
        <v/>
      </c>
      <c r="FS204" s="43" t="str">
        <f t="shared" ref="FS204:FS211" si="3461">IF(CM204="","","|n"&amp;FS$2&amp;"+"&amp;CM204&amp;FS$1)</f>
        <v/>
      </c>
    </row>
    <row r="205" spans="1:175">
      <c r="A205" s="84"/>
      <c r="B205" s="7" t="s">
        <v>607</v>
      </c>
      <c r="C205" s="85" t="s">
        <v>608</v>
      </c>
      <c r="T205" s="135" t="s">
        <v>796</v>
      </c>
      <c r="U205" s="55" t="str">
        <f t="shared" si="3389"/>
        <v>ReplaceableTextures\\CommandButtons\\BTNIB02.blp</v>
      </c>
      <c r="CN205" s="12" t="str">
        <f t="shared" si="2787"/>
        <v>InitUnitState('IB02',,,,,,,,,,)</v>
      </c>
      <c r="CO205" s="12" t="str">
        <f t="shared" si="2788"/>
        <v>InitUnitNormal('IB02',,,,,,,,,,)</v>
      </c>
      <c r="CP205" s="12" t="str">
        <f t="shared" si="2789"/>
        <v>InitUnitMagic('IB02',,,,,,,,,,)</v>
      </c>
      <c r="CQ205" s="12" t="str">
        <f t="shared" si="2790"/>
        <v>InitUnitAdd('IB02',,,,,,,,,,)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InitEquipData('IB02',,"",,,,,'','','','','','',"ReplaceableTextures\\CommandButtons\\BTNIB03.blp")</v>
      </c>
      <c r="CU205" s="67" t="str">
        <f t="shared" si="3390"/>
        <v>|n</v>
      </c>
      <c r="CV205" s="5" t="str">
        <f t="shared" si="3391"/>
        <v>加入《|cff00ffcc全民封神|r》官方QQ群，即可获得入群礼包码！|n|n输入礼包码即可获得：|n|cffffcc33金币+2000|n每秒攻击+2|n每秒业力+1|r</v>
      </c>
      <c r="CW205" s="6"/>
      <c r="CX205" s="6"/>
      <c r="CY205" s="6"/>
      <c r="CZ205" s="6"/>
      <c r="DA205" s="6"/>
      <c r="DB205" s="43" t="str">
        <f t="shared" si="3392"/>
        <v/>
      </c>
      <c r="DC205" s="43" t="str">
        <f t="shared" si="3393"/>
        <v/>
      </c>
      <c r="DD205" s="43" t="str">
        <f t="shared" si="3394"/>
        <v/>
      </c>
      <c r="DE205" s="43" t="str">
        <f t="shared" si="3395"/>
        <v/>
      </c>
      <c r="DF205" s="43" t="str">
        <f t="shared" si="3396"/>
        <v/>
      </c>
      <c r="DG205" s="43" t="str">
        <f t="shared" si="3397"/>
        <v/>
      </c>
      <c r="DH205" s="43" t="str">
        <f t="shared" si="3398"/>
        <v/>
      </c>
      <c r="DI205" s="43" t="str">
        <f t="shared" si="3399"/>
        <v/>
      </c>
      <c r="DJ205" s="43" t="str">
        <f t="shared" si="3400"/>
        <v/>
      </c>
      <c r="DK205" s="43" t="str">
        <f t="shared" si="3401"/>
        <v/>
      </c>
      <c r="DL205" s="43" t="str">
        <f t="shared" si="3402"/>
        <v/>
      </c>
      <c r="DM205" s="43" t="str">
        <f t="shared" si="3403"/>
        <v/>
      </c>
      <c r="DN205" s="43" t="str">
        <f t="shared" si="3404"/>
        <v/>
      </c>
      <c r="DO205" s="43" t="str">
        <f t="shared" si="3405"/>
        <v/>
      </c>
      <c r="DP205" s="43" t="str">
        <f t="shared" si="3406"/>
        <v/>
      </c>
      <c r="DQ205" s="43" t="str">
        <f t="shared" si="3407"/>
        <v/>
      </c>
      <c r="DR205" s="43" t="str">
        <f t="shared" si="3408"/>
        <v/>
      </c>
      <c r="DS205" s="43" t="str">
        <f t="shared" si="3409"/>
        <v/>
      </c>
      <c r="DT205" s="43" t="str">
        <f t="shared" si="3410"/>
        <v/>
      </c>
      <c r="DU205" s="43" t="str">
        <f t="shared" si="3411"/>
        <v/>
      </c>
      <c r="DV205" s="43" t="str">
        <f t="shared" si="3412"/>
        <v/>
      </c>
      <c r="DW205" s="43" t="str">
        <f t="shared" si="3413"/>
        <v/>
      </c>
      <c r="DX205" s="43" t="str">
        <f t="shared" si="3414"/>
        <v/>
      </c>
      <c r="DY205" s="43" t="str">
        <f t="shared" si="3415"/>
        <v/>
      </c>
      <c r="DZ205" s="43" t="str">
        <f t="shared" si="3416"/>
        <v/>
      </c>
      <c r="EA205" s="43" t="str">
        <f t="shared" si="3417"/>
        <v/>
      </c>
      <c r="EB205" s="43" t="str">
        <f t="shared" si="3418"/>
        <v/>
      </c>
      <c r="EC205" s="43" t="str">
        <f t="shared" si="3419"/>
        <v/>
      </c>
      <c r="ED205" s="43" t="str">
        <f t="shared" si="3420"/>
        <v/>
      </c>
      <c r="EE205" s="43" t="str">
        <f t="shared" si="3421"/>
        <v/>
      </c>
      <c r="EF205" s="43" t="str">
        <f t="shared" si="3422"/>
        <v/>
      </c>
      <c r="EG205" s="43" t="str">
        <f t="shared" si="3423"/>
        <v/>
      </c>
      <c r="EH205" s="43" t="str">
        <f t="shared" si="3424"/>
        <v/>
      </c>
      <c r="EI205" s="43" t="str">
        <f t="shared" si="3425"/>
        <v/>
      </c>
      <c r="EJ205" s="43" t="str">
        <f t="shared" si="3426"/>
        <v/>
      </c>
      <c r="EK205" s="43" t="str">
        <f t="shared" si="3427"/>
        <v/>
      </c>
      <c r="EL205" s="43" t="str">
        <f t="shared" si="3428"/>
        <v/>
      </c>
      <c r="EM205" s="43" t="str">
        <f t="shared" si="3429"/>
        <v/>
      </c>
      <c r="EN205" s="43" t="str">
        <f t="shared" si="3430"/>
        <v/>
      </c>
      <c r="EO205" s="43" t="str">
        <f t="shared" si="3431"/>
        <v/>
      </c>
      <c r="EP205" s="43" t="str">
        <f t="shared" si="3432"/>
        <v/>
      </c>
      <c r="EQ205" s="43" t="str">
        <f t="shared" si="3433"/>
        <v/>
      </c>
      <c r="ER205" s="43" t="str">
        <f t="shared" si="3434"/>
        <v/>
      </c>
      <c r="ES205" s="43" t="str">
        <f t="shared" si="3435"/>
        <v/>
      </c>
      <c r="ET205" s="43" t="str">
        <f t="shared" si="3436"/>
        <v/>
      </c>
      <c r="EU205" s="43" t="str">
        <f t="shared" si="3437"/>
        <v/>
      </c>
      <c r="EV205" s="43" t="str">
        <f t="shared" si="3438"/>
        <v/>
      </c>
      <c r="EW205" s="43" t="str">
        <f t="shared" si="3439"/>
        <v/>
      </c>
      <c r="EX205" s="43" t="str">
        <f t="shared" si="3440"/>
        <v/>
      </c>
      <c r="EY205" s="43" t="str">
        <f t="shared" si="3441"/>
        <v/>
      </c>
      <c r="EZ205" s="43" t="str">
        <f t="shared" si="3442"/>
        <v/>
      </c>
      <c r="FA205" s="43" t="str">
        <f t="shared" si="3443"/>
        <v/>
      </c>
      <c r="FB205" s="43" t="str">
        <f t="shared" si="3444"/>
        <v/>
      </c>
      <c r="FC205" s="43" t="str">
        <f t="shared" si="3445"/>
        <v/>
      </c>
      <c r="FD205" s="43" t="str">
        <f t="shared" si="3446"/>
        <v/>
      </c>
      <c r="FE205" s="43" t="str">
        <f t="shared" si="3447"/>
        <v/>
      </c>
      <c r="FF205" s="43" t="str">
        <f t="shared" si="3448"/>
        <v/>
      </c>
      <c r="FG205" s="43" t="str">
        <f t="shared" si="3449"/>
        <v/>
      </c>
      <c r="FH205" s="43" t="str">
        <f t="shared" si="3450"/>
        <v/>
      </c>
      <c r="FI205" s="43" t="str">
        <f t="shared" si="3451"/>
        <v/>
      </c>
      <c r="FJ205" s="43" t="str">
        <f t="shared" si="3452"/>
        <v/>
      </c>
      <c r="FK205" s="43" t="str">
        <f t="shared" si="3453"/>
        <v/>
      </c>
      <c r="FL205" s="43" t="str">
        <f t="shared" si="3454"/>
        <v/>
      </c>
      <c r="FM205" s="43" t="str">
        <f t="shared" si="3455"/>
        <v/>
      </c>
      <c r="FN205" s="43" t="str">
        <f t="shared" si="3456"/>
        <v/>
      </c>
      <c r="FO205" s="43" t="str">
        <f t="shared" si="3457"/>
        <v/>
      </c>
      <c r="FP205" s="43" t="str">
        <f t="shared" si="3458"/>
        <v/>
      </c>
      <c r="FQ205" s="43" t="str">
        <f t="shared" si="3459"/>
        <v/>
      </c>
      <c r="FR205" s="43" t="str">
        <f t="shared" si="3460"/>
        <v/>
      </c>
      <c r="FS205" s="43" t="str">
        <f t="shared" si="3461"/>
        <v/>
      </c>
    </row>
    <row r="206" spans="1:175">
      <c r="A206" s="84"/>
      <c r="B206" s="7" t="s">
        <v>609</v>
      </c>
      <c r="C206" s="85" t="s">
        <v>610</v>
      </c>
      <c r="T206" s="135" t="s">
        <v>797</v>
      </c>
      <c r="U206" s="55" t="str">
        <f t="shared" si="3389"/>
        <v>ReplaceableTextures\\CommandButtons\\BTNIB03.blp</v>
      </c>
      <c r="CN206" s="12" t="str">
        <f t="shared" si="2787"/>
        <v>InitUnitState('IB03',,,,,,,,,,)</v>
      </c>
      <c r="CO206" s="12" t="str">
        <f t="shared" si="2788"/>
        <v>InitUnitNormal('IB03',,,,,,,,,,)</v>
      </c>
      <c r="CP206" s="12" t="str">
        <f t="shared" si="2789"/>
        <v>InitUnitMagic('IB03',,,,,,,,,,)</v>
      </c>
      <c r="CQ206" s="12" t="str">
        <f t="shared" si="2790"/>
        <v>InitUnitAdd('IB03',,,,,,,,,,)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InitEquipData('IB03',,"",,,,,'','','','','','',"ReplaceableTextures\\CommandButtons\\BTNIB04.blp")</v>
      </c>
      <c r="CU206" s="67" t="str">
        <f t="shared" si="3390"/>
        <v>|n</v>
      </c>
      <c r="CV206" s="5" t="str">
        <f t="shared" si="3391"/>
        <v>|cff99ccff给与地图有效评论建议|r即可领取：|n|cffffff00杀敌生命+5|n杀敌业力+1|n|r|cffffcc33每级通行证永久增加3点杀敌生命奖励！|n|n|r|cff808080地图等级达到3级可领取|r</v>
      </c>
      <c r="CW206" s="6"/>
      <c r="CX206" s="6"/>
      <c r="CY206" s="6"/>
      <c r="CZ206" s="6"/>
      <c r="DA206" s="6"/>
      <c r="DB206" s="43" t="str">
        <f t="shared" si="3392"/>
        <v/>
      </c>
      <c r="DC206" s="43" t="str">
        <f t="shared" si="3393"/>
        <v/>
      </c>
      <c r="DD206" s="43" t="str">
        <f t="shared" si="3394"/>
        <v/>
      </c>
      <c r="DE206" s="43" t="str">
        <f t="shared" si="3395"/>
        <v/>
      </c>
      <c r="DF206" s="43" t="str">
        <f t="shared" si="3396"/>
        <v/>
      </c>
      <c r="DG206" s="43" t="str">
        <f t="shared" si="3397"/>
        <v/>
      </c>
      <c r="DH206" s="43" t="str">
        <f t="shared" si="3398"/>
        <v/>
      </c>
      <c r="DI206" s="43" t="str">
        <f t="shared" si="3399"/>
        <v/>
      </c>
      <c r="DJ206" s="43" t="str">
        <f t="shared" si="3400"/>
        <v/>
      </c>
      <c r="DK206" s="43" t="str">
        <f t="shared" si="3401"/>
        <v/>
      </c>
      <c r="DL206" s="43" t="str">
        <f t="shared" si="3402"/>
        <v/>
      </c>
      <c r="DM206" s="43" t="str">
        <f t="shared" si="3403"/>
        <v/>
      </c>
      <c r="DN206" s="43" t="str">
        <f t="shared" si="3404"/>
        <v/>
      </c>
      <c r="DO206" s="43" t="str">
        <f t="shared" si="3405"/>
        <v/>
      </c>
      <c r="DP206" s="43" t="str">
        <f t="shared" si="3406"/>
        <v/>
      </c>
      <c r="DQ206" s="43" t="str">
        <f t="shared" si="3407"/>
        <v/>
      </c>
      <c r="DR206" s="43" t="str">
        <f t="shared" si="3408"/>
        <v/>
      </c>
      <c r="DS206" s="43" t="str">
        <f t="shared" si="3409"/>
        <v/>
      </c>
      <c r="DT206" s="43" t="str">
        <f t="shared" si="3410"/>
        <v/>
      </c>
      <c r="DU206" s="43" t="str">
        <f t="shared" si="3411"/>
        <v/>
      </c>
      <c r="DV206" s="43" t="str">
        <f t="shared" si="3412"/>
        <v/>
      </c>
      <c r="DW206" s="43" t="str">
        <f t="shared" si="3413"/>
        <v/>
      </c>
      <c r="DX206" s="43" t="str">
        <f t="shared" si="3414"/>
        <v/>
      </c>
      <c r="DY206" s="43" t="str">
        <f t="shared" si="3415"/>
        <v/>
      </c>
      <c r="DZ206" s="43" t="str">
        <f t="shared" si="3416"/>
        <v/>
      </c>
      <c r="EA206" s="43" t="str">
        <f t="shared" si="3417"/>
        <v/>
      </c>
      <c r="EB206" s="43" t="str">
        <f t="shared" si="3418"/>
        <v/>
      </c>
      <c r="EC206" s="43" t="str">
        <f t="shared" si="3419"/>
        <v/>
      </c>
      <c r="ED206" s="43" t="str">
        <f t="shared" si="3420"/>
        <v/>
      </c>
      <c r="EE206" s="43" t="str">
        <f t="shared" si="3421"/>
        <v/>
      </c>
      <c r="EF206" s="43" t="str">
        <f t="shared" si="3422"/>
        <v/>
      </c>
      <c r="EG206" s="43" t="str">
        <f t="shared" si="3423"/>
        <v/>
      </c>
      <c r="EH206" s="43" t="str">
        <f t="shared" si="3424"/>
        <v/>
      </c>
      <c r="EI206" s="43" t="str">
        <f t="shared" si="3425"/>
        <v/>
      </c>
      <c r="EJ206" s="43" t="str">
        <f t="shared" si="3426"/>
        <v/>
      </c>
      <c r="EK206" s="43" t="str">
        <f t="shared" si="3427"/>
        <v/>
      </c>
      <c r="EL206" s="43" t="str">
        <f t="shared" si="3428"/>
        <v/>
      </c>
      <c r="EM206" s="43" t="str">
        <f t="shared" si="3429"/>
        <v/>
      </c>
      <c r="EN206" s="43" t="str">
        <f t="shared" si="3430"/>
        <v/>
      </c>
      <c r="EO206" s="43" t="str">
        <f t="shared" si="3431"/>
        <v/>
      </c>
      <c r="EP206" s="43" t="str">
        <f t="shared" si="3432"/>
        <v/>
      </c>
      <c r="EQ206" s="43" t="str">
        <f t="shared" si="3433"/>
        <v/>
      </c>
      <c r="ER206" s="43" t="str">
        <f t="shared" si="3434"/>
        <v/>
      </c>
      <c r="ES206" s="43" t="str">
        <f t="shared" si="3435"/>
        <v/>
      </c>
      <c r="ET206" s="43" t="str">
        <f t="shared" si="3436"/>
        <v/>
      </c>
      <c r="EU206" s="43" t="str">
        <f t="shared" si="3437"/>
        <v/>
      </c>
      <c r="EV206" s="43" t="str">
        <f t="shared" si="3438"/>
        <v/>
      </c>
      <c r="EW206" s="43" t="str">
        <f t="shared" si="3439"/>
        <v/>
      </c>
      <c r="EX206" s="43" t="str">
        <f t="shared" si="3440"/>
        <v/>
      </c>
      <c r="EY206" s="43" t="str">
        <f t="shared" si="3441"/>
        <v/>
      </c>
      <c r="EZ206" s="43" t="str">
        <f t="shared" si="3442"/>
        <v/>
      </c>
      <c r="FA206" s="43" t="str">
        <f t="shared" si="3443"/>
        <v/>
      </c>
      <c r="FB206" s="43" t="str">
        <f t="shared" si="3444"/>
        <v/>
      </c>
      <c r="FC206" s="43" t="str">
        <f t="shared" si="3445"/>
        <v/>
      </c>
      <c r="FD206" s="43" t="str">
        <f t="shared" si="3446"/>
        <v/>
      </c>
      <c r="FE206" s="43" t="str">
        <f t="shared" si="3447"/>
        <v/>
      </c>
      <c r="FF206" s="43" t="str">
        <f t="shared" si="3448"/>
        <v/>
      </c>
      <c r="FG206" s="43" t="str">
        <f t="shared" si="3449"/>
        <v/>
      </c>
      <c r="FH206" s="43" t="str">
        <f t="shared" si="3450"/>
        <v/>
      </c>
      <c r="FI206" s="43" t="str">
        <f t="shared" si="3451"/>
        <v/>
      </c>
      <c r="FJ206" s="43" t="str">
        <f t="shared" si="3452"/>
        <v/>
      </c>
      <c r="FK206" s="43" t="str">
        <f t="shared" si="3453"/>
        <v/>
      </c>
      <c r="FL206" s="43" t="str">
        <f t="shared" si="3454"/>
        <v/>
      </c>
      <c r="FM206" s="43" t="str">
        <f t="shared" si="3455"/>
        <v/>
      </c>
      <c r="FN206" s="43" t="str">
        <f t="shared" si="3456"/>
        <v/>
      </c>
      <c r="FO206" s="43" t="str">
        <f t="shared" si="3457"/>
        <v/>
      </c>
      <c r="FP206" s="43" t="str">
        <f t="shared" si="3458"/>
        <v/>
      </c>
      <c r="FQ206" s="43" t="str">
        <f t="shared" si="3459"/>
        <v/>
      </c>
      <c r="FR206" s="43" t="str">
        <f t="shared" si="3460"/>
        <v/>
      </c>
      <c r="FS206" s="43" t="str">
        <f t="shared" si="3461"/>
        <v/>
      </c>
    </row>
    <row r="207" spans="1:175">
      <c r="A207" s="84"/>
      <c r="B207" s="7" t="s">
        <v>611</v>
      </c>
      <c r="C207" s="85" t="s">
        <v>612</v>
      </c>
      <c r="T207" s="135" t="s">
        <v>798</v>
      </c>
      <c r="U207" s="55" t="str">
        <f t="shared" si="3389"/>
        <v>ReplaceableTextures\\CommandButtons\\BTNIB04.blp</v>
      </c>
      <c r="CN207" s="12" t="str">
        <f t="shared" ref="CN207:CN213" si="3462">"InitUnitState('"&amp;B207&amp;"',"&amp;V207&amp;","&amp;W207&amp;","&amp;X207&amp;","&amp;Y207&amp;","&amp;Z207&amp;","&amp;AA207&amp;","&amp;AB207&amp;","&amp;AC207&amp;","&amp;AD207&amp;","&amp;AE207&amp;")"</f>
        <v>InitUnitState('IB04',,,,,,,,,,)</v>
      </c>
      <c r="CO207" s="12" t="str">
        <f t="shared" ref="CO207:CO213" si="3463">"InitUnitNormal('"&amp;B207&amp;"',"&amp;AF207&amp;","&amp;AG207&amp;","&amp;AH207&amp;","&amp;AI207&amp;","&amp;AJ207&amp;","&amp;AK207&amp;","&amp;AL207&amp;","&amp;AM207&amp;","&amp;AN207&amp;","&amp;AO207&amp;")"</f>
        <v>InitUnitNormal('IB04',,,,,,,,,,)</v>
      </c>
      <c r="CP207" s="12" t="str">
        <f t="shared" ref="CP207:CP213" si="3464">"InitUnitMagic('"&amp;B207&amp;"',"&amp;AP207&amp;","&amp;AQ207&amp;","&amp;AR207&amp;","&amp;AS207&amp;","&amp;AT207&amp;","&amp;AU207&amp;","&amp;AV207&amp;","&amp;AW207&amp;","&amp;BI207&amp;","&amp;BJ207&amp;")"</f>
        <v>InitUnitMagic('IB04',,,,,,,,,,)</v>
      </c>
      <c r="CQ207" s="12" t="str">
        <f t="shared" ref="CQ207:CQ213" si="3465">"InitUnitAdd('"&amp;B207&amp;"',"&amp;BK207&amp;","&amp;BL207&amp;","&amp;BM207&amp;","&amp;BN207&amp;","&amp;BO207&amp;","&amp;BP207&amp;","&amp;BQ207&amp;","&amp;BR207&amp;","&amp;BS207&amp;","&amp;BT207&amp;")"</f>
        <v>InitUnitAdd('IB04',,,,,,,,,,)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InitEquipData('IB04',,"",,,,,'','','','','','',"ReplaceableTextures\\CommandButtons\\BTNIB05.blp")</v>
      </c>
      <c r="CU207" s="67" t="str">
        <f t="shared" si="3390"/>
        <v>|n</v>
      </c>
      <c r="CV207" s="5" t="str">
        <f t="shared" si="3391"/>
        <v>|cff99ccff房间大厅界面点击右上角《|r|cffcc99ff收藏|r|cff99ccff》后可领取该礼包。|n|n|r属性：|n|cffffcc33物理伤害+5%|n法术伤害+5%|r</v>
      </c>
      <c r="CW207" s="6"/>
      <c r="CX207" s="6"/>
      <c r="CY207" s="6"/>
      <c r="CZ207" s="6"/>
      <c r="DA207" s="6"/>
      <c r="DB207" s="43" t="str">
        <f t="shared" si="3392"/>
        <v/>
      </c>
      <c r="DC207" s="43" t="str">
        <f t="shared" si="3393"/>
        <v/>
      </c>
      <c r="DD207" s="43" t="str">
        <f t="shared" si="3394"/>
        <v/>
      </c>
      <c r="DE207" s="43" t="str">
        <f t="shared" si="3395"/>
        <v/>
      </c>
      <c r="DF207" s="43" t="str">
        <f t="shared" si="3396"/>
        <v/>
      </c>
      <c r="DG207" s="43" t="str">
        <f t="shared" si="3397"/>
        <v/>
      </c>
      <c r="DH207" s="43" t="str">
        <f t="shared" si="3398"/>
        <v/>
      </c>
      <c r="DI207" s="43" t="str">
        <f t="shared" si="3399"/>
        <v/>
      </c>
      <c r="DJ207" s="43" t="str">
        <f t="shared" si="3400"/>
        <v/>
      </c>
      <c r="DK207" s="43" t="str">
        <f t="shared" si="3401"/>
        <v/>
      </c>
      <c r="DL207" s="43" t="str">
        <f t="shared" si="3402"/>
        <v/>
      </c>
      <c r="DM207" s="43" t="str">
        <f t="shared" si="3403"/>
        <v/>
      </c>
      <c r="DN207" s="43" t="str">
        <f t="shared" si="3404"/>
        <v/>
      </c>
      <c r="DO207" s="43" t="str">
        <f t="shared" si="3405"/>
        <v/>
      </c>
      <c r="DP207" s="43" t="str">
        <f t="shared" si="3406"/>
        <v/>
      </c>
      <c r="DQ207" s="43" t="str">
        <f t="shared" si="3407"/>
        <v/>
      </c>
      <c r="DR207" s="43" t="str">
        <f t="shared" si="3408"/>
        <v/>
      </c>
      <c r="DS207" s="43" t="str">
        <f t="shared" si="3409"/>
        <v/>
      </c>
      <c r="DT207" s="43" t="str">
        <f t="shared" si="3410"/>
        <v/>
      </c>
      <c r="DU207" s="43" t="str">
        <f t="shared" si="3411"/>
        <v/>
      </c>
      <c r="DV207" s="43" t="str">
        <f t="shared" si="3412"/>
        <v/>
      </c>
      <c r="DW207" s="43" t="str">
        <f t="shared" si="3413"/>
        <v/>
      </c>
      <c r="DX207" s="43" t="str">
        <f t="shared" si="3414"/>
        <v/>
      </c>
      <c r="DY207" s="43" t="str">
        <f t="shared" si="3415"/>
        <v/>
      </c>
      <c r="DZ207" s="43" t="str">
        <f t="shared" si="3416"/>
        <v/>
      </c>
      <c r="EA207" s="43" t="str">
        <f t="shared" si="3417"/>
        <v/>
      </c>
      <c r="EB207" s="43" t="str">
        <f t="shared" si="3418"/>
        <v/>
      </c>
      <c r="EC207" s="43" t="str">
        <f t="shared" si="3419"/>
        <v/>
      </c>
      <c r="ED207" s="43" t="str">
        <f t="shared" si="3420"/>
        <v/>
      </c>
      <c r="EE207" s="43" t="str">
        <f t="shared" si="3421"/>
        <v/>
      </c>
      <c r="EF207" s="43" t="str">
        <f t="shared" si="3422"/>
        <v/>
      </c>
      <c r="EG207" s="43" t="str">
        <f t="shared" si="3423"/>
        <v/>
      </c>
      <c r="EH207" s="43" t="str">
        <f t="shared" si="3424"/>
        <v/>
      </c>
      <c r="EI207" s="43" t="str">
        <f t="shared" si="3425"/>
        <v/>
      </c>
      <c r="EJ207" s="43" t="str">
        <f t="shared" si="3426"/>
        <v/>
      </c>
      <c r="EK207" s="43" t="str">
        <f t="shared" si="3427"/>
        <v/>
      </c>
      <c r="EL207" s="43" t="str">
        <f t="shared" si="3428"/>
        <v/>
      </c>
      <c r="EM207" s="43" t="str">
        <f t="shared" si="3429"/>
        <v/>
      </c>
      <c r="EN207" s="43" t="str">
        <f t="shared" si="3430"/>
        <v/>
      </c>
      <c r="EO207" s="43" t="str">
        <f t="shared" si="3431"/>
        <v/>
      </c>
      <c r="EP207" s="43" t="str">
        <f t="shared" si="3432"/>
        <v/>
      </c>
      <c r="EQ207" s="43" t="str">
        <f t="shared" si="3433"/>
        <v/>
      </c>
      <c r="ER207" s="43" t="str">
        <f t="shared" si="3434"/>
        <v/>
      </c>
      <c r="ES207" s="43" t="str">
        <f t="shared" si="3435"/>
        <v/>
      </c>
      <c r="ET207" s="43" t="str">
        <f t="shared" si="3436"/>
        <v/>
      </c>
      <c r="EU207" s="43" t="str">
        <f t="shared" si="3437"/>
        <v/>
      </c>
      <c r="EV207" s="43" t="str">
        <f t="shared" si="3438"/>
        <v/>
      </c>
      <c r="EW207" s="43" t="str">
        <f t="shared" si="3439"/>
        <v/>
      </c>
      <c r="EX207" s="43" t="str">
        <f t="shared" si="3440"/>
        <v/>
      </c>
      <c r="EY207" s="43" t="str">
        <f t="shared" si="3441"/>
        <v/>
      </c>
      <c r="EZ207" s="43" t="str">
        <f t="shared" si="3442"/>
        <v/>
      </c>
      <c r="FA207" s="43" t="str">
        <f t="shared" si="3443"/>
        <v/>
      </c>
      <c r="FB207" s="43" t="str">
        <f t="shared" si="3444"/>
        <v/>
      </c>
      <c r="FC207" s="43" t="str">
        <f t="shared" si="3445"/>
        <v/>
      </c>
      <c r="FD207" s="43" t="str">
        <f t="shared" si="3446"/>
        <v/>
      </c>
      <c r="FE207" s="43" t="str">
        <f t="shared" si="3447"/>
        <v/>
      </c>
      <c r="FF207" s="43" t="str">
        <f t="shared" si="3448"/>
        <v/>
      </c>
      <c r="FG207" s="43" t="str">
        <f t="shared" si="3449"/>
        <v/>
      </c>
      <c r="FH207" s="43" t="str">
        <f t="shared" si="3450"/>
        <v/>
      </c>
      <c r="FI207" s="43" t="str">
        <f t="shared" si="3451"/>
        <v/>
      </c>
      <c r="FJ207" s="43" t="str">
        <f t="shared" si="3452"/>
        <v/>
      </c>
      <c r="FK207" s="43" t="str">
        <f t="shared" si="3453"/>
        <v/>
      </c>
      <c r="FL207" s="43" t="str">
        <f t="shared" si="3454"/>
        <v/>
      </c>
      <c r="FM207" s="43" t="str">
        <f t="shared" si="3455"/>
        <v/>
      </c>
      <c r="FN207" s="43" t="str">
        <f t="shared" si="3456"/>
        <v/>
      </c>
      <c r="FO207" s="43" t="str">
        <f t="shared" si="3457"/>
        <v/>
      </c>
      <c r="FP207" s="43" t="str">
        <f t="shared" si="3458"/>
        <v/>
      </c>
      <c r="FQ207" s="43" t="str">
        <f t="shared" si="3459"/>
        <v/>
      </c>
      <c r="FR207" s="43" t="str">
        <f t="shared" si="3460"/>
        <v/>
      </c>
      <c r="FS207" s="43" t="str">
        <f t="shared" si="3461"/>
        <v/>
      </c>
    </row>
    <row r="208" spans="1:175">
      <c r="A208" s="84"/>
      <c r="B208" s="7" t="s">
        <v>613</v>
      </c>
      <c r="C208" s="85" t="s">
        <v>614</v>
      </c>
      <c r="T208" s="135" t="s">
        <v>800</v>
      </c>
      <c r="U208" s="55" t="str">
        <f t="shared" si="3389"/>
        <v>ReplaceableTextures\\CommandButtons\\BTNIB05.blp</v>
      </c>
      <c r="CN208" s="12" t="str">
        <f t="shared" si="3462"/>
        <v>InitUnitState('IB05',,,,,,,,,,)</v>
      </c>
      <c r="CO208" s="12" t="str">
        <f t="shared" si="3463"/>
        <v>InitUnitNormal('IB05',,,,,,,,,,)</v>
      </c>
      <c r="CP208" s="12" t="str">
        <f t="shared" si="3464"/>
        <v>InitUnitMagic('IB05',,,,,,,,,,)</v>
      </c>
      <c r="CQ208" s="12" t="str">
        <f t="shared" si="3465"/>
        <v>InitUnitAdd('IB05',,,,,,,,,,)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227&amp;CR$1&amp;")"</f>
        <v>InitEquipData('IB05',,"",,,,,'','','','','','',"")</v>
      </c>
      <c r="CU208" s="67" t="str">
        <f t="shared" si="3390"/>
        <v>|n</v>
      </c>
      <c r="CV208" s="5" t="str">
        <f t="shared" si="3391"/>
        <v>|cff33ff00购买魔兽重制版可领取该礼包！|n|n|r属性：|n|cffffcc33高级聚宝盆|r</v>
      </c>
      <c r="CW208" s="6"/>
      <c r="CX208" s="6"/>
      <c r="CY208" s="6"/>
      <c r="CZ208" s="6"/>
      <c r="DA208" s="6"/>
      <c r="DB208" s="43" t="str">
        <f t="shared" si="3392"/>
        <v/>
      </c>
      <c r="DC208" s="43" t="str">
        <f t="shared" si="3393"/>
        <v/>
      </c>
      <c r="DD208" s="43" t="str">
        <f t="shared" si="3394"/>
        <v/>
      </c>
      <c r="DE208" s="43" t="str">
        <f t="shared" si="3395"/>
        <v/>
      </c>
      <c r="DF208" s="43" t="str">
        <f t="shared" si="3396"/>
        <v/>
      </c>
      <c r="DG208" s="43" t="str">
        <f t="shared" si="3397"/>
        <v/>
      </c>
      <c r="DH208" s="43" t="str">
        <f t="shared" si="3398"/>
        <v/>
      </c>
      <c r="DI208" s="43" t="str">
        <f t="shared" si="3399"/>
        <v/>
      </c>
      <c r="DJ208" s="43" t="str">
        <f t="shared" si="3400"/>
        <v/>
      </c>
      <c r="DK208" s="43" t="str">
        <f t="shared" si="3401"/>
        <v/>
      </c>
      <c r="DL208" s="43" t="str">
        <f t="shared" si="3402"/>
        <v/>
      </c>
      <c r="DM208" s="43" t="str">
        <f t="shared" si="3403"/>
        <v/>
      </c>
      <c r="DN208" s="43" t="str">
        <f t="shared" si="3404"/>
        <v/>
      </c>
      <c r="DO208" s="43" t="str">
        <f t="shared" si="3405"/>
        <v/>
      </c>
      <c r="DP208" s="43" t="str">
        <f t="shared" si="3406"/>
        <v/>
      </c>
      <c r="DQ208" s="43" t="str">
        <f t="shared" si="3407"/>
        <v/>
      </c>
      <c r="DR208" s="43" t="str">
        <f t="shared" si="3408"/>
        <v/>
      </c>
      <c r="DS208" s="43" t="str">
        <f t="shared" si="3409"/>
        <v/>
      </c>
      <c r="DT208" s="43" t="str">
        <f t="shared" si="3410"/>
        <v/>
      </c>
      <c r="DU208" s="43" t="str">
        <f t="shared" si="3411"/>
        <v/>
      </c>
      <c r="DV208" s="43" t="str">
        <f t="shared" si="3412"/>
        <v/>
      </c>
      <c r="DW208" s="43" t="str">
        <f t="shared" si="3413"/>
        <v/>
      </c>
      <c r="DX208" s="43" t="str">
        <f t="shared" si="3414"/>
        <v/>
      </c>
      <c r="DY208" s="43" t="str">
        <f t="shared" si="3415"/>
        <v/>
      </c>
      <c r="DZ208" s="43" t="str">
        <f t="shared" si="3416"/>
        <v/>
      </c>
      <c r="EA208" s="43" t="str">
        <f t="shared" si="3417"/>
        <v/>
      </c>
      <c r="EB208" s="43" t="str">
        <f t="shared" si="3418"/>
        <v/>
      </c>
      <c r="EC208" s="43" t="str">
        <f t="shared" si="3419"/>
        <v/>
      </c>
      <c r="ED208" s="43" t="str">
        <f t="shared" si="3420"/>
        <v/>
      </c>
      <c r="EE208" s="43" t="str">
        <f t="shared" si="3421"/>
        <v/>
      </c>
      <c r="EF208" s="43" t="str">
        <f t="shared" si="3422"/>
        <v/>
      </c>
      <c r="EG208" s="43" t="str">
        <f t="shared" si="3423"/>
        <v/>
      </c>
      <c r="EH208" s="43" t="str">
        <f t="shared" si="3424"/>
        <v/>
      </c>
      <c r="EI208" s="43" t="str">
        <f t="shared" si="3425"/>
        <v/>
      </c>
      <c r="EJ208" s="43" t="str">
        <f t="shared" si="3426"/>
        <v/>
      </c>
      <c r="EK208" s="43" t="str">
        <f t="shared" si="3427"/>
        <v/>
      </c>
      <c r="EL208" s="43" t="str">
        <f t="shared" si="3428"/>
        <v/>
      </c>
      <c r="EM208" s="43" t="str">
        <f t="shared" si="3429"/>
        <v/>
      </c>
      <c r="EN208" s="43" t="str">
        <f t="shared" si="3430"/>
        <v/>
      </c>
      <c r="EO208" s="43" t="str">
        <f t="shared" si="3431"/>
        <v/>
      </c>
      <c r="EP208" s="43" t="str">
        <f t="shared" si="3432"/>
        <v/>
      </c>
      <c r="EQ208" s="43" t="str">
        <f t="shared" si="3433"/>
        <v/>
      </c>
      <c r="ER208" s="43" t="str">
        <f t="shared" si="3434"/>
        <v/>
      </c>
      <c r="ES208" s="43" t="str">
        <f t="shared" si="3435"/>
        <v/>
      </c>
      <c r="ET208" s="43" t="str">
        <f t="shared" si="3436"/>
        <v/>
      </c>
      <c r="EU208" s="43" t="str">
        <f t="shared" si="3437"/>
        <v/>
      </c>
      <c r="EV208" s="43" t="str">
        <f t="shared" si="3438"/>
        <v/>
      </c>
      <c r="EW208" s="43" t="str">
        <f t="shared" si="3439"/>
        <v/>
      </c>
      <c r="EX208" s="43" t="str">
        <f t="shared" si="3440"/>
        <v/>
      </c>
      <c r="EY208" s="43" t="str">
        <f t="shared" si="3441"/>
        <v/>
      </c>
      <c r="EZ208" s="43" t="str">
        <f t="shared" si="3442"/>
        <v/>
      </c>
      <c r="FA208" s="43" t="str">
        <f t="shared" si="3443"/>
        <v/>
      </c>
      <c r="FB208" s="43" t="str">
        <f t="shared" si="3444"/>
        <v/>
      </c>
      <c r="FC208" s="43" t="str">
        <f t="shared" si="3445"/>
        <v/>
      </c>
      <c r="FD208" s="43" t="str">
        <f t="shared" si="3446"/>
        <v/>
      </c>
      <c r="FE208" s="43" t="str">
        <f t="shared" si="3447"/>
        <v/>
      </c>
      <c r="FF208" s="43" t="str">
        <f t="shared" si="3448"/>
        <v/>
      </c>
      <c r="FG208" s="43" t="str">
        <f t="shared" si="3449"/>
        <v/>
      </c>
      <c r="FH208" s="43" t="str">
        <f t="shared" si="3450"/>
        <v/>
      </c>
      <c r="FI208" s="43" t="str">
        <f t="shared" si="3451"/>
        <v/>
      </c>
      <c r="FJ208" s="43" t="str">
        <f t="shared" si="3452"/>
        <v/>
      </c>
      <c r="FK208" s="43" t="str">
        <f t="shared" si="3453"/>
        <v/>
      </c>
      <c r="FL208" s="43" t="str">
        <f t="shared" si="3454"/>
        <v/>
      </c>
      <c r="FM208" s="43" t="str">
        <f t="shared" si="3455"/>
        <v/>
      </c>
      <c r="FN208" s="43" t="str">
        <f t="shared" si="3456"/>
        <v/>
      </c>
      <c r="FO208" s="43" t="str">
        <f t="shared" si="3457"/>
        <v/>
      </c>
      <c r="FP208" s="43" t="str">
        <f t="shared" si="3458"/>
        <v/>
      </c>
      <c r="FQ208" s="43" t="str">
        <f t="shared" si="3459"/>
        <v/>
      </c>
      <c r="FR208" s="43" t="str">
        <f t="shared" si="3460"/>
        <v/>
      </c>
      <c r="FS208" s="43" t="str">
        <f t="shared" si="3461"/>
        <v/>
      </c>
    </row>
    <row r="209" spans="1:175">
      <c r="A209" s="84"/>
      <c r="B209" s="7" t="s">
        <v>615</v>
      </c>
      <c r="C209" s="85" t="s">
        <v>616</v>
      </c>
      <c r="T209" s="135" t="s">
        <v>802</v>
      </c>
      <c r="U209" s="55" t="str">
        <f t="shared" si="3389"/>
        <v>ReplaceableTextures\\CommandButtons\\BTNIB06.blp</v>
      </c>
      <c r="CN209" s="12" t="str">
        <f t="shared" si="3462"/>
        <v>InitUnitState('IB06',,,,,,,,,,)</v>
      </c>
      <c r="CO209" s="12" t="str">
        <f t="shared" si="3463"/>
        <v>InitUnitNormal('IB06',,,,,,,,,,)</v>
      </c>
      <c r="CP209" s="12" t="str">
        <f t="shared" si="3464"/>
        <v>InitUnitMagic('IB06',,,,,,,,,,)</v>
      </c>
      <c r="CQ209" s="12" t="str">
        <f t="shared" si="3465"/>
        <v>InitUnitAdd('IB06',,,,,,,,,,)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InitEquipData('IB06',,"",,,,,'','','','','','',"ReplaceableTextures\\CommandButtons\\BTNIB07.blp")</v>
      </c>
      <c r="CU209" s="67" t="str">
        <f t="shared" si="3390"/>
        <v>|n</v>
      </c>
      <c r="CV209" s="5" t="str">
        <f t="shared" si="339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9" s="6"/>
      <c r="CX209" s="6"/>
      <c r="CY209" s="6"/>
      <c r="CZ209" s="6"/>
      <c r="DA209" s="6"/>
      <c r="DB209" s="43" t="str">
        <f t="shared" si="3392"/>
        <v/>
      </c>
      <c r="DC209" s="43" t="str">
        <f t="shared" si="3393"/>
        <v/>
      </c>
      <c r="DD209" s="43" t="str">
        <f t="shared" si="3394"/>
        <v/>
      </c>
      <c r="DE209" s="43" t="str">
        <f t="shared" si="3395"/>
        <v/>
      </c>
      <c r="DF209" s="43" t="str">
        <f t="shared" si="3396"/>
        <v/>
      </c>
      <c r="DG209" s="43" t="str">
        <f t="shared" si="3397"/>
        <v/>
      </c>
      <c r="DH209" s="43" t="str">
        <f t="shared" si="3398"/>
        <v/>
      </c>
      <c r="DI209" s="43" t="str">
        <f t="shared" si="3399"/>
        <v/>
      </c>
      <c r="DJ209" s="43" t="str">
        <f t="shared" si="3400"/>
        <v/>
      </c>
      <c r="DK209" s="43" t="str">
        <f t="shared" si="3401"/>
        <v/>
      </c>
      <c r="DL209" s="43" t="str">
        <f t="shared" si="3402"/>
        <v/>
      </c>
      <c r="DM209" s="43" t="str">
        <f t="shared" si="3403"/>
        <v/>
      </c>
      <c r="DN209" s="43" t="str">
        <f t="shared" si="3404"/>
        <v/>
      </c>
      <c r="DO209" s="43" t="str">
        <f t="shared" si="3405"/>
        <v/>
      </c>
      <c r="DP209" s="43" t="str">
        <f t="shared" si="3406"/>
        <v/>
      </c>
      <c r="DQ209" s="43" t="str">
        <f t="shared" si="3407"/>
        <v/>
      </c>
      <c r="DR209" s="43" t="str">
        <f t="shared" si="3408"/>
        <v/>
      </c>
      <c r="DS209" s="43" t="str">
        <f t="shared" si="3409"/>
        <v/>
      </c>
      <c r="DT209" s="43" t="str">
        <f t="shared" si="3410"/>
        <v/>
      </c>
      <c r="DU209" s="43" t="str">
        <f t="shared" si="3411"/>
        <v/>
      </c>
      <c r="DV209" s="43" t="str">
        <f t="shared" si="3412"/>
        <v/>
      </c>
      <c r="DW209" s="43" t="str">
        <f t="shared" si="3413"/>
        <v/>
      </c>
      <c r="DX209" s="43" t="str">
        <f t="shared" si="3414"/>
        <v/>
      </c>
      <c r="DY209" s="43" t="str">
        <f t="shared" si="3415"/>
        <v/>
      </c>
      <c r="DZ209" s="43" t="str">
        <f t="shared" si="3416"/>
        <v/>
      </c>
      <c r="EA209" s="43" t="str">
        <f t="shared" si="3417"/>
        <v/>
      </c>
      <c r="EB209" s="43" t="str">
        <f t="shared" si="3418"/>
        <v/>
      </c>
      <c r="EC209" s="43" t="str">
        <f t="shared" si="3419"/>
        <v/>
      </c>
      <c r="ED209" s="43" t="str">
        <f t="shared" si="3420"/>
        <v/>
      </c>
      <c r="EE209" s="43" t="str">
        <f t="shared" si="3421"/>
        <v/>
      </c>
      <c r="EF209" s="43" t="str">
        <f t="shared" si="3422"/>
        <v/>
      </c>
      <c r="EG209" s="43" t="str">
        <f t="shared" si="3423"/>
        <v/>
      </c>
      <c r="EH209" s="43" t="str">
        <f t="shared" si="3424"/>
        <v/>
      </c>
      <c r="EI209" s="43" t="str">
        <f t="shared" si="3425"/>
        <v/>
      </c>
      <c r="EJ209" s="43" t="str">
        <f t="shared" si="3426"/>
        <v/>
      </c>
      <c r="EK209" s="43" t="str">
        <f t="shared" si="3427"/>
        <v/>
      </c>
      <c r="EL209" s="43" t="str">
        <f t="shared" si="3428"/>
        <v/>
      </c>
      <c r="EM209" s="43" t="str">
        <f t="shared" si="3429"/>
        <v/>
      </c>
      <c r="EN209" s="43" t="str">
        <f t="shared" si="3430"/>
        <v/>
      </c>
      <c r="EO209" s="43" t="str">
        <f t="shared" si="3431"/>
        <v/>
      </c>
      <c r="EP209" s="43" t="str">
        <f t="shared" si="3432"/>
        <v/>
      </c>
      <c r="EQ209" s="43" t="str">
        <f t="shared" si="3433"/>
        <v/>
      </c>
      <c r="ER209" s="43" t="str">
        <f t="shared" si="3434"/>
        <v/>
      </c>
      <c r="ES209" s="43" t="str">
        <f t="shared" si="3435"/>
        <v/>
      </c>
      <c r="ET209" s="43" t="str">
        <f t="shared" si="3436"/>
        <v/>
      </c>
      <c r="EU209" s="43" t="str">
        <f t="shared" si="3437"/>
        <v/>
      </c>
      <c r="EV209" s="43" t="str">
        <f t="shared" si="3438"/>
        <v/>
      </c>
      <c r="EW209" s="43" t="str">
        <f t="shared" si="3439"/>
        <v/>
      </c>
      <c r="EX209" s="43" t="str">
        <f t="shared" si="3440"/>
        <v/>
      </c>
      <c r="EY209" s="43" t="str">
        <f t="shared" si="3441"/>
        <v/>
      </c>
      <c r="EZ209" s="43" t="str">
        <f t="shared" si="3442"/>
        <v/>
      </c>
      <c r="FA209" s="43" t="str">
        <f t="shared" si="3443"/>
        <v/>
      </c>
      <c r="FB209" s="43" t="str">
        <f t="shared" si="3444"/>
        <v/>
      </c>
      <c r="FC209" s="43" t="str">
        <f t="shared" si="3445"/>
        <v/>
      </c>
      <c r="FD209" s="43" t="str">
        <f t="shared" si="3446"/>
        <v/>
      </c>
      <c r="FE209" s="43" t="str">
        <f t="shared" si="3447"/>
        <v/>
      </c>
      <c r="FF209" s="43" t="str">
        <f t="shared" si="3448"/>
        <v/>
      </c>
      <c r="FG209" s="43" t="str">
        <f t="shared" si="3449"/>
        <v/>
      </c>
      <c r="FH209" s="43" t="str">
        <f t="shared" si="3450"/>
        <v/>
      </c>
      <c r="FI209" s="43" t="str">
        <f t="shared" si="3451"/>
        <v/>
      </c>
      <c r="FJ209" s="43" t="str">
        <f t="shared" si="3452"/>
        <v/>
      </c>
      <c r="FK209" s="43" t="str">
        <f t="shared" si="3453"/>
        <v/>
      </c>
      <c r="FL209" s="43" t="str">
        <f t="shared" si="3454"/>
        <v/>
      </c>
      <c r="FM209" s="43" t="str">
        <f t="shared" si="3455"/>
        <v/>
      </c>
      <c r="FN209" s="43" t="str">
        <f t="shared" si="3456"/>
        <v/>
      </c>
      <c r="FO209" s="43" t="str">
        <f t="shared" si="3457"/>
        <v/>
      </c>
      <c r="FP209" s="43" t="str">
        <f t="shared" si="3458"/>
        <v/>
      </c>
      <c r="FQ209" s="43" t="str">
        <f t="shared" si="3459"/>
        <v/>
      </c>
      <c r="FR209" s="43" t="str">
        <f t="shared" si="3460"/>
        <v/>
      </c>
      <c r="FS209" s="43" t="str">
        <f t="shared" si="3461"/>
        <v/>
      </c>
    </row>
    <row r="210" spans="1:175">
      <c r="A210" s="84"/>
      <c r="B210" s="7" t="s">
        <v>617</v>
      </c>
      <c r="C210" s="85" t="s">
        <v>618</v>
      </c>
      <c r="T210" s="135" t="s">
        <v>803</v>
      </c>
      <c r="U210" s="55" t="str">
        <f t="shared" si="3389"/>
        <v>ReplaceableTextures\\CommandButtons\\BTNIB07.blp</v>
      </c>
      <c r="CN210" s="12" t="str">
        <f t="shared" si="3462"/>
        <v>InitUnitState('IB07',,,,,,,,,,)</v>
      </c>
      <c r="CO210" s="12" t="str">
        <f t="shared" si="3463"/>
        <v>InitUnitNormal('IB07',,,,,,,,,,)</v>
      </c>
      <c r="CP210" s="12" t="str">
        <f t="shared" si="3464"/>
        <v>InitUnitMagic('IB07',,,,,,,,,,)</v>
      </c>
      <c r="CQ210" s="12" t="str">
        <f t="shared" si="3465"/>
        <v>InitUnitAdd('IB07',,,,,,,,,,)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InitEquipData('IB07',,"",,,,,'','','','','','',"ReplaceableTextures\\CommandButtons\\BTNIB08.blp")</v>
      </c>
      <c r="CU210" s="67" t="str">
        <f t="shared" si="3390"/>
        <v>|n</v>
      </c>
      <c r="CV210" s="5" t="str">
        <f t="shared" si="339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0" s="6"/>
      <c r="CX210" s="6"/>
      <c r="CY210" s="6"/>
      <c r="CZ210" s="6"/>
      <c r="DA210" s="6"/>
      <c r="DB210" s="43" t="str">
        <f t="shared" si="3392"/>
        <v/>
      </c>
      <c r="DC210" s="43" t="str">
        <f t="shared" si="3393"/>
        <v/>
      </c>
      <c r="DD210" s="43" t="str">
        <f t="shared" si="3394"/>
        <v/>
      </c>
      <c r="DE210" s="43" t="str">
        <f t="shared" si="3395"/>
        <v/>
      </c>
      <c r="DF210" s="43" t="str">
        <f t="shared" si="3396"/>
        <v/>
      </c>
      <c r="DG210" s="43" t="str">
        <f t="shared" si="3397"/>
        <v/>
      </c>
      <c r="DH210" s="43" t="str">
        <f t="shared" si="3398"/>
        <v/>
      </c>
      <c r="DI210" s="43" t="str">
        <f t="shared" si="3399"/>
        <v/>
      </c>
      <c r="DJ210" s="43" t="str">
        <f t="shared" si="3400"/>
        <v/>
      </c>
      <c r="DK210" s="43" t="str">
        <f t="shared" si="3401"/>
        <v/>
      </c>
      <c r="DL210" s="43" t="str">
        <f t="shared" si="3402"/>
        <v/>
      </c>
      <c r="DM210" s="43" t="str">
        <f t="shared" si="3403"/>
        <v/>
      </c>
      <c r="DN210" s="43" t="str">
        <f t="shared" si="3404"/>
        <v/>
      </c>
      <c r="DO210" s="43" t="str">
        <f t="shared" si="3405"/>
        <v/>
      </c>
      <c r="DP210" s="43" t="str">
        <f t="shared" si="3406"/>
        <v/>
      </c>
      <c r="DQ210" s="43" t="str">
        <f t="shared" si="3407"/>
        <v/>
      </c>
      <c r="DR210" s="43" t="str">
        <f t="shared" si="3408"/>
        <v/>
      </c>
      <c r="DS210" s="43" t="str">
        <f t="shared" si="3409"/>
        <v/>
      </c>
      <c r="DT210" s="43" t="str">
        <f t="shared" si="3410"/>
        <v/>
      </c>
      <c r="DU210" s="43" t="str">
        <f t="shared" si="3411"/>
        <v/>
      </c>
      <c r="DV210" s="43" t="str">
        <f t="shared" si="3412"/>
        <v/>
      </c>
      <c r="DW210" s="43" t="str">
        <f t="shared" si="3413"/>
        <v/>
      </c>
      <c r="DX210" s="43" t="str">
        <f t="shared" si="3414"/>
        <v/>
      </c>
      <c r="DY210" s="43" t="str">
        <f t="shared" si="3415"/>
        <v/>
      </c>
      <c r="DZ210" s="43" t="str">
        <f t="shared" si="3416"/>
        <v/>
      </c>
      <c r="EA210" s="43" t="str">
        <f t="shared" si="3417"/>
        <v/>
      </c>
      <c r="EB210" s="43" t="str">
        <f t="shared" si="3418"/>
        <v/>
      </c>
      <c r="EC210" s="43" t="str">
        <f t="shared" si="3419"/>
        <v/>
      </c>
      <c r="ED210" s="43" t="str">
        <f t="shared" si="3420"/>
        <v/>
      </c>
      <c r="EE210" s="43" t="str">
        <f t="shared" si="3421"/>
        <v/>
      </c>
      <c r="EF210" s="43" t="str">
        <f t="shared" si="3422"/>
        <v/>
      </c>
      <c r="EG210" s="43" t="str">
        <f t="shared" si="3423"/>
        <v/>
      </c>
      <c r="EH210" s="43" t="str">
        <f t="shared" si="3424"/>
        <v/>
      </c>
      <c r="EI210" s="43" t="str">
        <f t="shared" si="3425"/>
        <v/>
      </c>
      <c r="EJ210" s="43" t="str">
        <f t="shared" si="3426"/>
        <v/>
      </c>
      <c r="EK210" s="43" t="str">
        <f t="shared" si="3427"/>
        <v/>
      </c>
      <c r="EL210" s="43" t="str">
        <f t="shared" si="3428"/>
        <v/>
      </c>
      <c r="EM210" s="43" t="str">
        <f t="shared" si="3429"/>
        <v/>
      </c>
      <c r="EN210" s="43" t="str">
        <f t="shared" si="3430"/>
        <v/>
      </c>
      <c r="EO210" s="43" t="str">
        <f t="shared" si="3431"/>
        <v/>
      </c>
      <c r="EP210" s="43" t="str">
        <f t="shared" si="3432"/>
        <v/>
      </c>
      <c r="EQ210" s="43" t="str">
        <f t="shared" si="3433"/>
        <v/>
      </c>
      <c r="ER210" s="43" t="str">
        <f t="shared" si="3434"/>
        <v/>
      </c>
      <c r="ES210" s="43" t="str">
        <f t="shared" si="3435"/>
        <v/>
      </c>
      <c r="ET210" s="43" t="str">
        <f t="shared" si="3436"/>
        <v/>
      </c>
      <c r="EU210" s="43" t="str">
        <f t="shared" si="3437"/>
        <v/>
      </c>
      <c r="EV210" s="43" t="str">
        <f t="shared" si="3438"/>
        <v/>
      </c>
      <c r="EW210" s="43" t="str">
        <f t="shared" si="3439"/>
        <v/>
      </c>
      <c r="EX210" s="43" t="str">
        <f t="shared" si="3440"/>
        <v/>
      </c>
      <c r="EY210" s="43" t="str">
        <f t="shared" si="3441"/>
        <v/>
      </c>
      <c r="EZ210" s="43" t="str">
        <f t="shared" si="3442"/>
        <v/>
      </c>
      <c r="FA210" s="43" t="str">
        <f t="shared" si="3443"/>
        <v/>
      </c>
      <c r="FB210" s="43" t="str">
        <f t="shared" si="3444"/>
        <v/>
      </c>
      <c r="FC210" s="43" t="str">
        <f t="shared" si="3445"/>
        <v/>
      </c>
      <c r="FD210" s="43" t="str">
        <f t="shared" si="3446"/>
        <v/>
      </c>
      <c r="FE210" s="43" t="str">
        <f t="shared" si="3447"/>
        <v/>
      </c>
      <c r="FF210" s="43" t="str">
        <f t="shared" si="3448"/>
        <v/>
      </c>
      <c r="FG210" s="43" t="str">
        <f t="shared" si="3449"/>
        <v/>
      </c>
      <c r="FH210" s="43" t="str">
        <f t="shared" si="3450"/>
        <v/>
      </c>
      <c r="FI210" s="43" t="str">
        <f t="shared" si="3451"/>
        <v/>
      </c>
      <c r="FJ210" s="43" t="str">
        <f t="shared" si="3452"/>
        <v/>
      </c>
      <c r="FK210" s="43" t="str">
        <f t="shared" si="3453"/>
        <v/>
      </c>
      <c r="FL210" s="43" t="str">
        <f t="shared" si="3454"/>
        <v/>
      </c>
      <c r="FM210" s="43" t="str">
        <f t="shared" si="3455"/>
        <v/>
      </c>
      <c r="FN210" s="43" t="str">
        <f t="shared" si="3456"/>
        <v/>
      </c>
      <c r="FO210" s="43" t="str">
        <f t="shared" si="3457"/>
        <v/>
      </c>
      <c r="FP210" s="43" t="str">
        <f t="shared" si="3458"/>
        <v/>
      </c>
      <c r="FQ210" s="43" t="str">
        <f t="shared" si="3459"/>
        <v/>
      </c>
      <c r="FR210" s="43" t="str">
        <f t="shared" si="3460"/>
        <v/>
      </c>
      <c r="FS210" s="43" t="str">
        <f t="shared" si="3461"/>
        <v/>
      </c>
    </row>
    <row r="211" spans="1:175">
      <c r="A211" s="84"/>
      <c r="B211" s="7" t="s">
        <v>619</v>
      </c>
      <c r="C211" s="85" t="s">
        <v>620</v>
      </c>
      <c r="T211" s="135" t="s">
        <v>804</v>
      </c>
      <c r="U211" s="55" t="str">
        <f t="shared" si="3389"/>
        <v>ReplaceableTextures\\CommandButtons\\BTNIB08.blp</v>
      </c>
      <c r="CN211" s="12" t="str">
        <f t="shared" si="3462"/>
        <v>InitUnitState('IB08',,,,,,,,,,)</v>
      </c>
      <c r="CO211" s="12" t="str">
        <f t="shared" si="3463"/>
        <v>InitUnitNormal('IB08',,,,,,,,,,)</v>
      </c>
      <c r="CP211" s="12" t="str">
        <f t="shared" si="3464"/>
        <v>InitUnitMagic('IB08',,,,,,,,,,)</v>
      </c>
      <c r="CQ211" s="12" t="str">
        <f t="shared" si="3465"/>
        <v>InitUnitAdd('IB08',,,,,,,,,,)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230&amp;CR$1&amp;")"</f>
        <v>InitEquipData('IB08',,"",,,,,'','','','','','',"")</v>
      </c>
      <c r="CU211" s="67" t="str">
        <f t="shared" si="3390"/>
        <v>|n</v>
      </c>
      <c r="CV211" s="5" t="str">
        <f t="shared" si="339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1" s="6"/>
      <c r="CX211" s="6"/>
      <c r="CY211" s="6"/>
      <c r="CZ211" s="6"/>
      <c r="DA211" s="6"/>
      <c r="DB211" s="43" t="str">
        <f t="shared" si="3392"/>
        <v/>
      </c>
      <c r="DC211" s="43" t="str">
        <f t="shared" si="3393"/>
        <v/>
      </c>
      <c r="DD211" s="43" t="str">
        <f t="shared" si="3394"/>
        <v/>
      </c>
      <c r="DE211" s="43" t="str">
        <f t="shared" si="3395"/>
        <v/>
      </c>
      <c r="DF211" s="43" t="str">
        <f t="shared" si="3396"/>
        <v/>
      </c>
      <c r="DG211" s="43" t="str">
        <f t="shared" si="3397"/>
        <v/>
      </c>
      <c r="DH211" s="43" t="str">
        <f t="shared" si="3398"/>
        <v/>
      </c>
      <c r="DI211" s="43" t="str">
        <f t="shared" si="3399"/>
        <v/>
      </c>
      <c r="DJ211" s="43" t="str">
        <f t="shared" si="3400"/>
        <v/>
      </c>
      <c r="DK211" s="43" t="str">
        <f t="shared" si="3401"/>
        <v/>
      </c>
      <c r="DL211" s="43" t="str">
        <f t="shared" si="3402"/>
        <v/>
      </c>
      <c r="DM211" s="43" t="str">
        <f t="shared" si="3403"/>
        <v/>
      </c>
      <c r="DN211" s="43" t="str">
        <f t="shared" si="3404"/>
        <v/>
      </c>
      <c r="DO211" s="43" t="str">
        <f t="shared" si="3405"/>
        <v/>
      </c>
      <c r="DP211" s="43" t="str">
        <f t="shared" si="3406"/>
        <v/>
      </c>
      <c r="DQ211" s="43" t="str">
        <f t="shared" si="3407"/>
        <v/>
      </c>
      <c r="DR211" s="43" t="str">
        <f t="shared" si="3408"/>
        <v/>
      </c>
      <c r="DS211" s="43" t="str">
        <f t="shared" si="3409"/>
        <v/>
      </c>
      <c r="DT211" s="43" t="str">
        <f t="shared" si="3410"/>
        <v/>
      </c>
      <c r="DU211" s="43" t="str">
        <f t="shared" si="3411"/>
        <v/>
      </c>
      <c r="DV211" s="43" t="str">
        <f t="shared" si="3412"/>
        <v/>
      </c>
      <c r="DW211" s="43" t="str">
        <f t="shared" si="3413"/>
        <v/>
      </c>
      <c r="DX211" s="43" t="str">
        <f t="shared" si="3414"/>
        <v/>
      </c>
      <c r="DY211" s="43" t="str">
        <f t="shared" si="3415"/>
        <v/>
      </c>
      <c r="DZ211" s="43" t="str">
        <f t="shared" si="3416"/>
        <v/>
      </c>
      <c r="EA211" s="43" t="str">
        <f t="shared" si="3417"/>
        <v/>
      </c>
      <c r="EB211" s="43" t="str">
        <f t="shared" si="3418"/>
        <v/>
      </c>
      <c r="EC211" s="43" t="str">
        <f t="shared" si="3419"/>
        <v/>
      </c>
      <c r="ED211" s="43" t="str">
        <f t="shared" si="3420"/>
        <v/>
      </c>
      <c r="EE211" s="43" t="str">
        <f t="shared" si="3421"/>
        <v/>
      </c>
      <c r="EF211" s="43" t="str">
        <f t="shared" si="3422"/>
        <v/>
      </c>
      <c r="EG211" s="43" t="str">
        <f t="shared" si="3423"/>
        <v/>
      </c>
      <c r="EH211" s="43" t="str">
        <f t="shared" si="3424"/>
        <v/>
      </c>
      <c r="EI211" s="43" t="str">
        <f t="shared" si="3425"/>
        <v/>
      </c>
      <c r="EJ211" s="43" t="str">
        <f t="shared" si="3426"/>
        <v/>
      </c>
      <c r="EK211" s="43" t="str">
        <f t="shared" si="3427"/>
        <v/>
      </c>
      <c r="EL211" s="43" t="str">
        <f t="shared" si="3428"/>
        <v/>
      </c>
      <c r="EM211" s="43" t="str">
        <f t="shared" si="3429"/>
        <v/>
      </c>
      <c r="EN211" s="43" t="str">
        <f t="shared" si="3430"/>
        <v/>
      </c>
      <c r="EO211" s="43" t="str">
        <f t="shared" si="3431"/>
        <v/>
      </c>
      <c r="EP211" s="43" t="str">
        <f t="shared" si="3432"/>
        <v/>
      </c>
      <c r="EQ211" s="43" t="str">
        <f t="shared" si="3433"/>
        <v/>
      </c>
      <c r="ER211" s="43" t="str">
        <f t="shared" si="3434"/>
        <v/>
      </c>
      <c r="ES211" s="43" t="str">
        <f t="shared" si="3435"/>
        <v/>
      </c>
      <c r="ET211" s="43" t="str">
        <f t="shared" si="3436"/>
        <v/>
      </c>
      <c r="EU211" s="43" t="str">
        <f t="shared" si="3437"/>
        <v/>
      </c>
      <c r="EV211" s="43" t="str">
        <f t="shared" si="3438"/>
        <v/>
      </c>
      <c r="EW211" s="43" t="str">
        <f t="shared" si="3439"/>
        <v/>
      </c>
      <c r="EX211" s="43" t="str">
        <f t="shared" si="3440"/>
        <v/>
      </c>
      <c r="EY211" s="43" t="str">
        <f t="shared" si="3441"/>
        <v/>
      </c>
      <c r="EZ211" s="43" t="str">
        <f t="shared" si="3442"/>
        <v/>
      </c>
      <c r="FA211" s="43" t="str">
        <f t="shared" si="3443"/>
        <v/>
      </c>
      <c r="FB211" s="43" t="str">
        <f t="shared" si="3444"/>
        <v/>
      </c>
      <c r="FC211" s="43" t="str">
        <f t="shared" si="3445"/>
        <v/>
      </c>
      <c r="FD211" s="43" t="str">
        <f t="shared" si="3446"/>
        <v/>
      </c>
      <c r="FE211" s="43" t="str">
        <f t="shared" si="3447"/>
        <v/>
      </c>
      <c r="FF211" s="43" t="str">
        <f t="shared" si="3448"/>
        <v/>
      </c>
      <c r="FG211" s="43" t="str">
        <f t="shared" si="3449"/>
        <v/>
      </c>
      <c r="FH211" s="43" t="str">
        <f t="shared" si="3450"/>
        <v/>
      </c>
      <c r="FI211" s="43" t="str">
        <f t="shared" si="3451"/>
        <v/>
      </c>
      <c r="FJ211" s="43" t="str">
        <f t="shared" si="3452"/>
        <v/>
      </c>
      <c r="FK211" s="43" t="str">
        <f t="shared" si="3453"/>
        <v/>
      </c>
      <c r="FL211" s="43" t="str">
        <f t="shared" si="3454"/>
        <v/>
      </c>
      <c r="FM211" s="43" t="str">
        <f t="shared" si="3455"/>
        <v/>
      </c>
      <c r="FN211" s="43" t="str">
        <f t="shared" si="3456"/>
        <v/>
      </c>
      <c r="FO211" s="43" t="str">
        <f t="shared" si="3457"/>
        <v/>
      </c>
      <c r="FP211" s="43" t="str">
        <f t="shared" si="3458"/>
        <v/>
      </c>
      <c r="FQ211" s="43" t="str">
        <f t="shared" si="3459"/>
        <v/>
      </c>
      <c r="FR211" s="43" t="str">
        <f t="shared" si="3460"/>
        <v/>
      </c>
      <c r="FS211" s="43" t="str">
        <f t="shared" si="3461"/>
        <v/>
      </c>
    </row>
    <row r="212" spans="1:175">
      <c r="A212" s="84"/>
      <c r="B212" s="7" t="s">
        <v>621</v>
      </c>
      <c r="C212" s="85" t="s">
        <v>622</v>
      </c>
      <c r="T212" s="85"/>
      <c r="U212" s="55" t="str">
        <f t="shared" si="3389"/>
        <v>ReplaceableTextures\\CommandButtons\\BTNIB09.blp</v>
      </c>
      <c r="CN212" s="12" t="str">
        <f t="shared" si="3462"/>
        <v>InitUnitState('IB09',,,,,,,,,,)</v>
      </c>
      <c r="CO212" s="12" t="str">
        <f t="shared" si="3463"/>
        <v>InitUnitNormal('IB09',,,,,,,,,,)</v>
      </c>
      <c r="CP212" s="12" t="str">
        <f t="shared" si="3464"/>
        <v>InitUnitMagic('IB09',,,,,,,,,,)</v>
      </c>
      <c r="CQ212" s="12" t="str">
        <f t="shared" si="3465"/>
        <v>InitUnitAdd('IB09',,,,,,,,,,)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231&amp;CR$1&amp;")"</f>
        <v>InitEquipData('IB09',,"",,,,,'','','','','','',"")</v>
      </c>
      <c r="CU212" s="67" t="str">
        <f t="shared" si="3390"/>
        <v>|n</v>
      </c>
      <c r="CV212" s="5">
        <f t="shared" si="3391"/>
        <v>0</v>
      </c>
      <c r="CW212" s="6"/>
      <c r="CX212" s="6"/>
      <c r="CY212" s="6"/>
      <c r="CZ212" s="6"/>
      <c r="DA212" s="6"/>
      <c r="DB212" s="43" t="str">
        <f t="shared" ref="DB212:FM212" si="3466">IF(V212="","","|n"&amp;DB$2&amp;"+"&amp;V212&amp;DB$1)</f>
        <v/>
      </c>
      <c r="DC212" s="43" t="str">
        <f t="shared" si="3466"/>
        <v/>
      </c>
      <c r="DD212" s="43" t="str">
        <f t="shared" si="3466"/>
        <v/>
      </c>
      <c r="DE212" s="43" t="str">
        <f t="shared" si="3466"/>
        <v/>
      </c>
      <c r="DF212" s="43" t="str">
        <f t="shared" si="3466"/>
        <v/>
      </c>
      <c r="DG212" s="43" t="str">
        <f t="shared" si="3466"/>
        <v/>
      </c>
      <c r="DH212" s="43" t="str">
        <f t="shared" si="3466"/>
        <v/>
      </c>
      <c r="DI212" s="43" t="str">
        <f t="shared" si="3466"/>
        <v/>
      </c>
      <c r="DJ212" s="43" t="str">
        <f t="shared" si="3466"/>
        <v/>
      </c>
      <c r="DK212" s="43" t="str">
        <f t="shared" si="3466"/>
        <v/>
      </c>
      <c r="DL212" s="43" t="str">
        <f t="shared" si="3466"/>
        <v/>
      </c>
      <c r="DM212" s="43" t="str">
        <f t="shared" si="3466"/>
        <v/>
      </c>
      <c r="DN212" s="43" t="str">
        <f t="shared" si="3466"/>
        <v/>
      </c>
      <c r="DO212" s="43" t="str">
        <f t="shared" si="3466"/>
        <v/>
      </c>
      <c r="DP212" s="43" t="str">
        <f t="shared" si="3466"/>
        <v/>
      </c>
      <c r="DQ212" s="43" t="str">
        <f t="shared" si="3466"/>
        <v/>
      </c>
      <c r="DR212" s="43" t="str">
        <f t="shared" si="3466"/>
        <v/>
      </c>
      <c r="DS212" s="43" t="str">
        <f t="shared" si="3466"/>
        <v/>
      </c>
      <c r="DT212" s="43" t="str">
        <f t="shared" si="3466"/>
        <v/>
      </c>
      <c r="DU212" s="43" t="str">
        <f t="shared" si="3466"/>
        <v/>
      </c>
      <c r="DV212" s="43" t="str">
        <f t="shared" si="3466"/>
        <v/>
      </c>
      <c r="DW212" s="43" t="str">
        <f t="shared" si="3466"/>
        <v/>
      </c>
      <c r="DX212" s="43" t="str">
        <f t="shared" si="3466"/>
        <v/>
      </c>
      <c r="DY212" s="43" t="str">
        <f t="shared" si="3466"/>
        <v/>
      </c>
      <c r="DZ212" s="43" t="str">
        <f t="shared" si="3466"/>
        <v/>
      </c>
      <c r="EA212" s="43" t="str">
        <f t="shared" si="3466"/>
        <v/>
      </c>
      <c r="EB212" s="43" t="str">
        <f t="shared" si="3466"/>
        <v/>
      </c>
      <c r="EC212" s="43" t="str">
        <f t="shared" si="3466"/>
        <v/>
      </c>
      <c r="ED212" s="43" t="str">
        <f t="shared" si="3466"/>
        <v/>
      </c>
      <c r="EE212" s="43" t="str">
        <f t="shared" si="3466"/>
        <v/>
      </c>
      <c r="EF212" s="43" t="str">
        <f t="shared" si="3466"/>
        <v/>
      </c>
      <c r="EG212" s="43" t="str">
        <f t="shared" si="3466"/>
        <v/>
      </c>
      <c r="EH212" s="43" t="str">
        <f t="shared" si="3466"/>
        <v/>
      </c>
      <c r="EI212" s="43" t="str">
        <f t="shared" si="3466"/>
        <v/>
      </c>
      <c r="EJ212" s="43" t="str">
        <f t="shared" si="3466"/>
        <v/>
      </c>
      <c r="EK212" s="43" t="str">
        <f t="shared" si="3466"/>
        <v/>
      </c>
      <c r="EL212" s="43" t="str">
        <f t="shared" si="3466"/>
        <v/>
      </c>
      <c r="EM212" s="43" t="str">
        <f t="shared" si="3466"/>
        <v/>
      </c>
      <c r="EN212" s="43" t="str">
        <f t="shared" si="3466"/>
        <v/>
      </c>
      <c r="EO212" s="43" t="str">
        <f t="shared" si="3466"/>
        <v/>
      </c>
      <c r="EP212" s="43" t="str">
        <f t="shared" si="3466"/>
        <v/>
      </c>
      <c r="EQ212" s="43" t="str">
        <f t="shared" si="3466"/>
        <v/>
      </c>
      <c r="ER212" s="43" t="str">
        <f t="shared" si="3466"/>
        <v/>
      </c>
      <c r="ES212" s="43" t="str">
        <f t="shared" si="3466"/>
        <v/>
      </c>
      <c r="ET212" s="43" t="str">
        <f t="shared" si="3466"/>
        <v/>
      </c>
      <c r="EU212" s="43" t="str">
        <f t="shared" si="3466"/>
        <v/>
      </c>
      <c r="EV212" s="43" t="str">
        <f t="shared" si="3466"/>
        <v/>
      </c>
      <c r="EW212" s="43" t="str">
        <f t="shared" si="3466"/>
        <v/>
      </c>
      <c r="EX212" s="43" t="str">
        <f t="shared" si="3466"/>
        <v/>
      </c>
      <c r="EY212" s="43" t="str">
        <f t="shared" si="3466"/>
        <v/>
      </c>
      <c r="EZ212" s="43" t="str">
        <f t="shared" si="3466"/>
        <v/>
      </c>
      <c r="FA212" s="43" t="str">
        <f t="shared" si="3466"/>
        <v/>
      </c>
      <c r="FB212" s="43" t="str">
        <f t="shared" si="3466"/>
        <v/>
      </c>
      <c r="FC212" s="43" t="str">
        <f t="shared" si="3466"/>
        <v/>
      </c>
      <c r="FD212" s="43" t="str">
        <f t="shared" si="3466"/>
        <v/>
      </c>
      <c r="FE212" s="43" t="str">
        <f t="shared" si="3466"/>
        <v/>
      </c>
      <c r="FF212" s="43" t="str">
        <f t="shared" si="3466"/>
        <v/>
      </c>
      <c r="FG212" s="43" t="str">
        <f t="shared" si="3466"/>
        <v/>
      </c>
      <c r="FH212" s="43" t="str">
        <f t="shared" si="3466"/>
        <v/>
      </c>
      <c r="FI212" s="43" t="str">
        <f t="shared" si="3466"/>
        <v/>
      </c>
      <c r="FJ212" s="43" t="str">
        <f t="shared" si="3466"/>
        <v/>
      </c>
      <c r="FK212" s="43" t="str">
        <f t="shared" si="3466"/>
        <v/>
      </c>
      <c r="FL212" s="43" t="str">
        <f t="shared" si="3466"/>
        <v/>
      </c>
      <c r="FM212" s="43" t="str">
        <f t="shared" si="3466"/>
        <v/>
      </c>
      <c r="FN212" s="43" t="str">
        <f t="shared" ref="FN212:FS212" si="3467">IF(CH212="","","|n"&amp;FN$2&amp;"+"&amp;CH212&amp;FN$1)</f>
        <v/>
      </c>
      <c r="FO212" s="43" t="str">
        <f t="shared" si="3467"/>
        <v/>
      </c>
      <c r="FP212" s="43" t="str">
        <f t="shared" si="3467"/>
        <v/>
      </c>
      <c r="FQ212" s="43" t="str">
        <f t="shared" si="3467"/>
        <v/>
      </c>
      <c r="FR212" s="43" t="str">
        <f t="shared" si="3467"/>
        <v/>
      </c>
      <c r="FS212" s="43" t="str">
        <f t="shared" si="3467"/>
        <v/>
      </c>
    </row>
    <row r="213" spans="1:175">
      <c r="A213" s="84"/>
      <c r="B213" s="7" t="s">
        <v>623</v>
      </c>
      <c r="C213" s="85" t="str">
        <f>"已领取"&amp;C204</f>
        <v>已领取公众号礼包</v>
      </c>
      <c r="T213" s="85" t="s">
        <v>805</v>
      </c>
      <c r="U213" s="55" t="str">
        <f t="shared" ref="U213:U222" si="3468">"ReplaceableTextures\\CommandButtons\\BTN"&amp;B213&amp;".blp"</f>
        <v>ReplaceableTextures\\CommandButtons\\BTNIB51.blp</v>
      </c>
      <c r="CN213" s="12" t="str">
        <f t="shared" si="3462"/>
        <v>InitUnitState('IB51',,,,,,,,,,)</v>
      </c>
      <c r="CO213" s="12" t="str">
        <f t="shared" si="3463"/>
        <v>InitUnitNormal('IB51',,,,,,,,,,)</v>
      </c>
      <c r="CP213" s="12" t="str">
        <f t="shared" si="3464"/>
        <v>InitUnitMagic('IB51',,,,,,,,,,)</v>
      </c>
      <c r="CQ213" s="12" t="str">
        <f t="shared" si="3465"/>
        <v>InitUnitAdd('IB51',,,,,,,,,,)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InitEquipData('IB51',,"",,,,,'','','','','','',"ReplaceableTextures\\CommandButtons\\BTNIB52.blp")</v>
      </c>
      <c r="CU213" s="67" t="str">
        <f t="shared" ref="CU213:CU221" si="3469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5" t="str">
        <f t="shared" ref="CV213:CV221" si="3470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"/>
      <c r="CX213" s="6"/>
      <c r="CY213" s="6"/>
      <c r="CZ213" s="6"/>
      <c r="DA213" s="6"/>
      <c r="DB213" s="43" t="str">
        <f t="shared" ref="DB213:DB219" si="3471">IF(V213="","","|n"&amp;DB$2&amp;"+"&amp;V213&amp;DB$1)</f>
        <v/>
      </c>
      <c r="DC213" s="43" t="str">
        <f t="shared" ref="DC213:DC219" si="3472">IF(W213="","","|n"&amp;DC$2&amp;"+"&amp;W213&amp;DC$1)</f>
        <v/>
      </c>
      <c r="DD213" s="43" t="str">
        <f t="shared" ref="DD213:DD219" si="3473">IF(X213="","","|n"&amp;DD$2&amp;"+"&amp;X213&amp;DD$1)</f>
        <v/>
      </c>
      <c r="DE213" s="43" t="str">
        <f t="shared" ref="DE213:DE219" si="3474">IF(Y213="","","|n"&amp;DE$2&amp;"+"&amp;Y213&amp;DE$1)</f>
        <v/>
      </c>
      <c r="DF213" s="43" t="str">
        <f t="shared" ref="DF213:DF219" si="3475">IF(Z213="","","|n"&amp;DF$2&amp;"+"&amp;Z213&amp;DF$1)</f>
        <v/>
      </c>
      <c r="DG213" s="43" t="str">
        <f t="shared" ref="DG213:DG219" si="3476">IF(AA213="","","|n"&amp;DG$2&amp;"+"&amp;AA213&amp;DG$1)</f>
        <v/>
      </c>
      <c r="DH213" s="43" t="str">
        <f t="shared" ref="DH213:DH219" si="3477">IF(AB213="","","|n"&amp;DH$2&amp;"+"&amp;AB213&amp;DH$1)</f>
        <v/>
      </c>
      <c r="DI213" s="43" t="str">
        <f t="shared" ref="DI213:DI219" si="3478">IF(AC213="","","|n"&amp;DI$2&amp;"+"&amp;AC213&amp;DI$1)</f>
        <v/>
      </c>
      <c r="DJ213" s="43" t="str">
        <f t="shared" ref="DJ213:DJ219" si="3479">IF(AD213="","","|n"&amp;DJ$2&amp;"+"&amp;AD213&amp;DJ$1)</f>
        <v/>
      </c>
      <c r="DK213" s="43" t="str">
        <f t="shared" ref="DK213:DK219" si="3480">IF(AE213="","","|n"&amp;DK$2&amp;"+"&amp;AE213&amp;DK$1)</f>
        <v/>
      </c>
      <c r="DL213" s="43" t="str">
        <f t="shared" ref="DL213:DL219" si="3481">IF(AF213="","","|n"&amp;DL$2&amp;"+"&amp;AF213&amp;DL$1)</f>
        <v/>
      </c>
      <c r="DM213" s="43" t="str">
        <f t="shared" ref="DM213:DM219" si="3482">IF(AG213="","","|n"&amp;DM$2&amp;"+"&amp;AG213&amp;DM$1)</f>
        <v/>
      </c>
      <c r="DN213" s="43" t="str">
        <f t="shared" ref="DN213:DN219" si="3483">IF(AH213="","","|n"&amp;DN$2&amp;"+"&amp;AH213&amp;DN$1)</f>
        <v/>
      </c>
      <c r="DO213" s="43" t="str">
        <f t="shared" ref="DO213:DO219" si="3484">IF(AI213="","","|n"&amp;DO$2&amp;"+"&amp;AI213&amp;DO$1)</f>
        <v/>
      </c>
      <c r="DP213" s="43" t="str">
        <f t="shared" ref="DP213:DP219" si="3485">IF(AJ213="","","|n"&amp;DP$2&amp;"+"&amp;AJ213&amp;DP$1)</f>
        <v/>
      </c>
      <c r="DQ213" s="43" t="str">
        <f t="shared" ref="DQ213:DQ219" si="3486">IF(AK213="","","|n"&amp;DQ$2&amp;"+"&amp;AK213&amp;DQ$1)</f>
        <v/>
      </c>
      <c r="DR213" s="43" t="str">
        <f t="shared" ref="DR213:DR219" si="3487">IF(AL213="","","|n"&amp;DR$2&amp;"+"&amp;AL213&amp;DR$1)</f>
        <v/>
      </c>
      <c r="DS213" s="43" t="str">
        <f t="shared" ref="DS213:DS219" si="3488">IF(AM213="","","|n"&amp;DS$2&amp;"+"&amp;AM213&amp;DS$1)</f>
        <v/>
      </c>
      <c r="DT213" s="43" t="str">
        <f t="shared" ref="DT213:DT219" si="3489">IF(AN213="","","|n"&amp;DT$2&amp;"+"&amp;AN213&amp;DT$1)</f>
        <v/>
      </c>
      <c r="DU213" s="43" t="str">
        <f t="shared" ref="DU213:DU219" si="3490">IF(AO213="","","|n"&amp;DU$2&amp;"+"&amp;AO213&amp;DU$1)</f>
        <v/>
      </c>
      <c r="DV213" s="43" t="str">
        <f t="shared" ref="DV213:DV219" si="3491">IF(AP213="","","|n"&amp;DV$2&amp;"+"&amp;AP213&amp;DV$1)</f>
        <v/>
      </c>
      <c r="DW213" s="43" t="str">
        <f t="shared" ref="DW213:DW219" si="3492">IF(AQ213="","","|n"&amp;DW$2&amp;"+"&amp;AQ213&amp;DW$1)</f>
        <v/>
      </c>
      <c r="DX213" s="43" t="str">
        <f t="shared" ref="DX213:DX219" si="3493">IF(AR213="","","|n"&amp;DX$2&amp;"+"&amp;AR213&amp;DX$1)</f>
        <v/>
      </c>
      <c r="DY213" s="43" t="str">
        <f t="shared" ref="DY213:DY219" si="3494">IF(AS213="","","|n"&amp;DY$2&amp;"+"&amp;AS213&amp;DY$1)</f>
        <v/>
      </c>
      <c r="DZ213" s="43" t="str">
        <f t="shared" ref="DZ213:DZ219" si="3495">IF(AT213="","","|n"&amp;DZ$2&amp;"+"&amp;AT213&amp;DZ$1)</f>
        <v/>
      </c>
      <c r="EA213" s="43" t="str">
        <f t="shared" ref="EA213:EA219" si="3496">IF(AU213="","","|n"&amp;EA$2&amp;"+"&amp;AU213&amp;EA$1)</f>
        <v/>
      </c>
      <c r="EB213" s="43" t="str">
        <f t="shared" ref="EB213:EB219" si="3497">IF(AV213="","","|n"&amp;EB$2&amp;"+"&amp;AV213&amp;EB$1)</f>
        <v/>
      </c>
      <c r="EC213" s="43" t="str">
        <f t="shared" ref="EC213:EC219" si="3498">IF(AW213="","","|n"&amp;EC$2&amp;"+"&amp;AW213&amp;EC$1)</f>
        <v/>
      </c>
      <c r="ED213" s="43" t="str">
        <f t="shared" ref="ED213:ED219" si="3499">IF(AX213="","","|n"&amp;ED$2&amp;"+"&amp;AX213&amp;ED$1)</f>
        <v/>
      </c>
      <c r="EE213" s="43" t="str">
        <f t="shared" ref="EE213:EE219" si="3500">IF(AY213="","","|n"&amp;EE$2&amp;"+"&amp;AY213&amp;EE$1)</f>
        <v/>
      </c>
      <c r="EF213" s="43" t="str">
        <f t="shared" ref="EF213:EF219" si="3501">IF(AZ213="","","|n"&amp;EF$2&amp;"+"&amp;AZ213&amp;EF$1)</f>
        <v/>
      </c>
      <c r="EG213" s="43" t="str">
        <f t="shared" ref="EG213:EG219" si="3502">IF(BA213="","","|n"&amp;EG$2&amp;"+"&amp;BA213&amp;EG$1)</f>
        <v/>
      </c>
      <c r="EH213" s="43" t="str">
        <f t="shared" ref="EH213:EH219" si="3503">IF(BB213="","","|n"&amp;EH$2&amp;"+"&amp;BB213&amp;EH$1)</f>
        <v/>
      </c>
      <c r="EI213" s="43" t="str">
        <f t="shared" ref="EI213:EI219" si="3504">IF(BC213="","","|n"&amp;EI$2&amp;"+"&amp;BC213&amp;EI$1)</f>
        <v/>
      </c>
      <c r="EJ213" s="43" t="str">
        <f t="shared" ref="EJ213:EJ219" si="3505">IF(BD213="","","|n"&amp;EJ$2&amp;"+"&amp;BD213&amp;EJ$1)</f>
        <v/>
      </c>
      <c r="EK213" s="43" t="str">
        <f t="shared" ref="EK213:EK219" si="3506">IF(BE213="","","|n"&amp;EK$2&amp;"+"&amp;BE213&amp;EK$1)</f>
        <v/>
      </c>
      <c r="EL213" s="43" t="str">
        <f t="shared" ref="EL213:EL219" si="3507">IF(BF213="","","|n"&amp;EL$2&amp;"+"&amp;BF213&amp;EL$1)</f>
        <v/>
      </c>
      <c r="EM213" s="43" t="str">
        <f t="shared" ref="EM213:EM219" si="3508">IF(BG213="","","|n"&amp;EM$2&amp;"+"&amp;BG213&amp;EM$1)</f>
        <v/>
      </c>
      <c r="EN213" s="43" t="str">
        <f t="shared" ref="EN213:EN219" si="3509">IF(BH213="","","|n"&amp;EN$2&amp;"+"&amp;BH213&amp;EN$1)</f>
        <v/>
      </c>
      <c r="EO213" s="43" t="str">
        <f t="shared" ref="EO213:EO219" si="3510">IF(BI213="","","|n"&amp;EO$2&amp;"+"&amp;BI213&amp;EO$1)</f>
        <v/>
      </c>
      <c r="EP213" s="43" t="str">
        <f t="shared" ref="EP213:EP219" si="3511">IF(BJ213="","","|n"&amp;EP$2&amp;"+"&amp;BJ213&amp;EP$1)</f>
        <v/>
      </c>
      <c r="EQ213" s="43" t="str">
        <f t="shared" ref="EQ213:EQ219" si="3512">IF(BK213="","","|n"&amp;EQ$2&amp;"+"&amp;BK213&amp;EQ$1)</f>
        <v/>
      </c>
      <c r="ER213" s="43" t="str">
        <f t="shared" ref="ER213:ER219" si="3513">IF(BL213="","","|n"&amp;ER$2&amp;"+"&amp;BL213&amp;ER$1)</f>
        <v/>
      </c>
      <c r="ES213" s="43" t="str">
        <f t="shared" ref="ES213:ES219" si="3514">IF(BM213="","","|n"&amp;ES$2&amp;"+"&amp;BM213&amp;ES$1)</f>
        <v/>
      </c>
      <c r="ET213" s="43" t="str">
        <f t="shared" ref="ET213:ET219" si="3515">IF(BN213="","","|n"&amp;ET$2&amp;"+"&amp;BN213&amp;ET$1)</f>
        <v/>
      </c>
      <c r="EU213" s="43" t="str">
        <f t="shared" ref="EU213:EU219" si="3516">IF(BO213="","","|n"&amp;EU$2&amp;"+"&amp;BO213&amp;EU$1)</f>
        <v/>
      </c>
      <c r="EV213" s="43" t="str">
        <f t="shared" ref="EV213:EV219" si="3517">IF(BP213="","","|n"&amp;EV$2&amp;"+"&amp;BP213&amp;EV$1)</f>
        <v/>
      </c>
      <c r="EW213" s="43" t="str">
        <f t="shared" ref="EW213:EW219" si="3518">IF(BQ213="","","|n"&amp;EW$2&amp;"+"&amp;BQ213&amp;EW$1)</f>
        <v/>
      </c>
      <c r="EX213" s="43" t="str">
        <f t="shared" ref="EX213:EX219" si="3519">IF(BR213="","","|n"&amp;EX$2&amp;"+"&amp;BR213&amp;EX$1)</f>
        <v/>
      </c>
      <c r="EY213" s="43" t="str">
        <f t="shared" ref="EY213:EY219" si="3520">IF(BS213="","","|n"&amp;EY$2&amp;"+"&amp;BS213&amp;EY$1)</f>
        <v/>
      </c>
      <c r="EZ213" s="43" t="str">
        <f t="shared" ref="EZ213:EZ219" si="3521">IF(BT213="","","|n"&amp;EZ$2&amp;"+"&amp;BT213&amp;EZ$1)</f>
        <v/>
      </c>
      <c r="FA213" s="43" t="str">
        <f t="shared" ref="FA213:FA219" si="3522">IF(BU213="","","|n"&amp;FA$2&amp;"+"&amp;BU213&amp;FA$1)</f>
        <v/>
      </c>
      <c r="FB213" s="43" t="str">
        <f t="shared" ref="FB213:FB219" si="3523">IF(BV213="","","|n"&amp;FB$2&amp;"+"&amp;BV213&amp;FB$1)</f>
        <v/>
      </c>
      <c r="FC213" s="43" t="str">
        <f t="shared" ref="FC213:FC219" si="3524">IF(BW213="","","|n"&amp;FC$2&amp;"+"&amp;BW213&amp;FC$1)</f>
        <v/>
      </c>
      <c r="FD213" s="43" t="str">
        <f t="shared" ref="FD213:FD219" si="3525">IF(BX213="","","|n"&amp;FD$2&amp;"+"&amp;BX213&amp;FD$1)</f>
        <v/>
      </c>
      <c r="FE213" s="43" t="str">
        <f t="shared" ref="FE213:FE219" si="3526">IF(BY213="","","|n"&amp;FE$2&amp;"+"&amp;BY213&amp;FE$1)</f>
        <v/>
      </c>
      <c r="FF213" s="43" t="str">
        <f t="shared" ref="FF213:FF219" si="3527">IF(BZ213="","","|n"&amp;FF$2&amp;"+"&amp;BZ213&amp;FF$1)</f>
        <v/>
      </c>
      <c r="FG213" s="43" t="str">
        <f t="shared" ref="FG213:FG219" si="3528">IF(CA213="","","|n"&amp;FG$2&amp;"+"&amp;CA213&amp;FG$1)</f>
        <v/>
      </c>
      <c r="FH213" s="43" t="str">
        <f t="shared" ref="FH213:FH219" si="3529">IF(CB213="","","|n"&amp;FH$2&amp;"+"&amp;CB213&amp;FH$1)</f>
        <v/>
      </c>
      <c r="FI213" s="43" t="str">
        <f t="shared" ref="FI213:FI219" si="3530">IF(CC213="","","|n"&amp;FI$2&amp;"+"&amp;CC213&amp;FI$1)</f>
        <v/>
      </c>
      <c r="FJ213" s="43" t="str">
        <f t="shared" ref="FJ213:FJ219" si="3531">IF(CD213="","","|n"&amp;FJ$2&amp;"+"&amp;CD213&amp;FJ$1)</f>
        <v/>
      </c>
      <c r="FK213" s="43" t="str">
        <f t="shared" ref="FK213:FK219" si="3532">IF(CE213="","","|n"&amp;FK$2&amp;"+"&amp;CE213&amp;FK$1)</f>
        <v/>
      </c>
      <c r="FL213" s="43" t="str">
        <f t="shared" ref="FL213:FL219" si="3533">IF(CF213="","","|n"&amp;FL$2&amp;"+"&amp;CF213&amp;FL$1)</f>
        <v/>
      </c>
      <c r="FM213" s="43" t="str">
        <f t="shared" ref="FM213:FM219" si="3534">IF(CG213="","","|n"&amp;FM$2&amp;"+"&amp;CG213&amp;FM$1)</f>
        <v/>
      </c>
      <c r="FN213" s="43" t="str">
        <f t="shared" ref="FN213:FN219" si="3535">IF(CH213="","","|n"&amp;FN$2&amp;"+"&amp;CH213&amp;FN$1)</f>
        <v/>
      </c>
      <c r="FO213" s="43" t="str">
        <f t="shared" ref="FO213:FO219" si="3536">IF(CI213="","","|n"&amp;FO$2&amp;"+"&amp;CI213&amp;FO$1)</f>
        <v/>
      </c>
      <c r="FP213" s="43" t="str">
        <f t="shared" ref="FP213:FP219" si="3537">IF(CJ213="","","|n"&amp;FP$2&amp;"+"&amp;CJ213&amp;FP$1)</f>
        <v/>
      </c>
      <c r="FQ213" s="43" t="str">
        <f t="shared" ref="FQ213:FQ219" si="3538">IF(CK213="","","|n"&amp;FQ$2&amp;"+"&amp;CK213&amp;FQ$1)</f>
        <v/>
      </c>
      <c r="FR213" s="43" t="str">
        <f t="shared" ref="FR213:FR219" si="3539">IF(CL213="","","|n"&amp;FR$2&amp;"+"&amp;CL213&amp;FR$1)</f>
        <v/>
      </c>
      <c r="FS213" s="43" t="str">
        <f t="shared" ref="FS213:FS219" si="3540">IF(CM213="","","|n"&amp;FS$2&amp;"+"&amp;CM213&amp;FS$1)</f>
        <v/>
      </c>
    </row>
    <row r="214" spans="1:175">
      <c r="A214" s="84"/>
      <c r="B214" s="7" t="s">
        <v>624</v>
      </c>
      <c r="C214" s="85" t="str">
        <f t="shared" ref="C214:C221" si="3541">"已领取"&amp;C205</f>
        <v>已领取入群礼包</v>
      </c>
      <c r="T214" s="85" t="s">
        <v>806</v>
      </c>
      <c r="U214" s="55" t="str">
        <f t="shared" si="3468"/>
        <v>ReplaceableTextures\\CommandButtons\\BTNIB52.blp</v>
      </c>
      <c r="CN214" s="12" t="str">
        <f t="shared" ref="CN214:CN221" si="3542">"InitUnitState('"&amp;B214&amp;"',"&amp;V214&amp;","&amp;W214&amp;","&amp;X214&amp;","&amp;Y214&amp;","&amp;Z214&amp;","&amp;AA214&amp;","&amp;AB214&amp;","&amp;AC214&amp;","&amp;AD214&amp;","&amp;AE214&amp;")"</f>
        <v>InitUnitState('IB52',,,,,,,,,,)</v>
      </c>
      <c r="CO214" s="12" t="str">
        <f t="shared" ref="CO214:CO221" si="3543">"InitUnitNormal('"&amp;B214&amp;"',"&amp;AF214&amp;","&amp;AG214&amp;","&amp;AH214&amp;","&amp;AI214&amp;","&amp;AJ214&amp;","&amp;AK214&amp;","&amp;AL214&amp;","&amp;AM214&amp;","&amp;AN214&amp;","&amp;AO214&amp;")"</f>
        <v>InitUnitNormal('IB52',,,,,,,,,,)</v>
      </c>
      <c r="CP214" s="12" t="str">
        <f t="shared" ref="CP214:CP221" si="3544">"InitUnitMagic('"&amp;B214&amp;"',"&amp;AP214&amp;","&amp;AQ214&amp;","&amp;AR214&amp;","&amp;AS214&amp;","&amp;AT214&amp;","&amp;AU214&amp;","&amp;AV214&amp;","&amp;AW214&amp;","&amp;BI214&amp;","&amp;BJ214&amp;")"</f>
        <v>InitUnitMagic('IB52',,,,,,,,,,)</v>
      </c>
      <c r="CQ214" s="12" t="str">
        <f t="shared" ref="CQ214:CQ221" si="3545">"InitUnitAdd('"&amp;B214&amp;"',"&amp;BK214&amp;","&amp;BL214&amp;","&amp;BM214&amp;","&amp;BN214&amp;","&amp;BO214&amp;","&amp;BP214&amp;","&amp;BQ214&amp;","&amp;BR214&amp;","&amp;BS214&amp;","&amp;BT214&amp;")"</f>
        <v>InitUnitAdd('IB52',,,,,,,,,,)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InitEquipData('IB52',,"",,,,,'','','','','','',"ReplaceableTextures\\CommandButtons\\BTNIB53.blp")</v>
      </c>
      <c r="CU214" s="67" t="str">
        <f t="shared" si="3469"/>
        <v>|n</v>
      </c>
      <c r="CV214" s="5" t="str">
        <f t="shared" si="3470"/>
        <v>加入《|cff00ffcc全民封神|r》官方QQ群，即可获得入群礼包码！|n|n输入礼包码即可获得：|n|cffffcc33金币+2000|n每秒攻击+2|n每秒业力+1|r</v>
      </c>
      <c r="CW214" s="6"/>
      <c r="CX214" s="6"/>
      <c r="CY214" s="6"/>
      <c r="CZ214" s="6"/>
      <c r="DA214" s="6"/>
      <c r="DB214" s="43" t="str">
        <f t="shared" si="3471"/>
        <v/>
      </c>
      <c r="DC214" s="43" t="str">
        <f t="shared" si="3472"/>
        <v/>
      </c>
      <c r="DD214" s="43" t="str">
        <f t="shared" si="3473"/>
        <v/>
      </c>
      <c r="DE214" s="43" t="str">
        <f t="shared" si="3474"/>
        <v/>
      </c>
      <c r="DF214" s="43" t="str">
        <f t="shared" si="3475"/>
        <v/>
      </c>
      <c r="DG214" s="43" t="str">
        <f t="shared" si="3476"/>
        <v/>
      </c>
      <c r="DH214" s="43" t="str">
        <f t="shared" si="3477"/>
        <v/>
      </c>
      <c r="DI214" s="43" t="str">
        <f t="shared" si="3478"/>
        <v/>
      </c>
      <c r="DJ214" s="43" t="str">
        <f t="shared" si="3479"/>
        <v/>
      </c>
      <c r="DK214" s="43" t="str">
        <f t="shared" si="3480"/>
        <v/>
      </c>
      <c r="DL214" s="43" t="str">
        <f t="shared" si="3481"/>
        <v/>
      </c>
      <c r="DM214" s="43" t="str">
        <f t="shared" si="3482"/>
        <v/>
      </c>
      <c r="DN214" s="43" t="str">
        <f t="shared" si="3483"/>
        <v/>
      </c>
      <c r="DO214" s="43" t="str">
        <f t="shared" si="3484"/>
        <v/>
      </c>
      <c r="DP214" s="43" t="str">
        <f t="shared" si="3485"/>
        <v/>
      </c>
      <c r="DQ214" s="43" t="str">
        <f t="shared" si="3486"/>
        <v/>
      </c>
      <c r="DR214" s="43" t="str">
        <f t="shared" si="3487"/>
        <v/>
      </c>
      <c r="DS214" s="43" t="str">
        <f t="shared" si="3488"/>
        <v/>
      </c>
      <c r="DT214" s="43" t="str">
        <f t="shared" si="3489"/>
        <v/>
      </c>
      <c r="DU214" s="43" t="str">
        <f t="shared" si="3490"/>
        <v/>
      </c>
      <c r="DV214" s="43" t="str">
        <f t="shared" si="3491"/>
        <v/>
      </c>
      <c r="DW214" s="43" t="str">
        <f t="shared" si="3492"/>
        <v/>
      </c>
      <c r="DX214" s="43" t="str">
        <f t="shared" si="3493"/>
        <v/>
      </c>
      <c r="DY214" s="43" t="str">
        <f t="shared" si="3494"/>
        <v/>
      </c>
      <c r="DZ214" s="43" t="str">
        <f t="shared" si="3495"/>
        <v/>
      </c>
      <c r="EA214" s="43" t="str">
        <f t="shared" si="3496"/>
        <v/>
      </c>
      <c r="EB214" s="43" t="str">
        <f t="shared" si="3497"/>
        <v/>
      </c>
      <c r="EC214" s="43" t="str">
        <f t="shared" si="3498"/>
        <v/>
      </c>
      <c r="ED214" s="43" t="str">
        <f t="shared" si="3499"/>
        <v/>
      </c>
      <c r="EE214" s="43" t="str">
        <f t="shared" si="3500"/>
        <v/>
      </c>
      <c r="EF214" s="43" t="str">
        <f t="shared" si="3501"/>
        <v/>
      </c>
      <c r="EG214" s="43" t="str">
        <f t="shared" si="3502"/>
        <v/>
      </c>
      <c r="EH214" s="43" t="str">
        <f t="shared" si="3503"/>
        <v/>
      </c>
      <c r="EI214" s="43" t="str">
        <f t="shared" si="3504"/>
        <v/>
      </c>
      <c r="EJ214" s="43" t="str">
        <f t="shared" si="3505"/>
        <v/>
      </c>
      <c r="EK214" s="43" t="str">
        <f t="shared" si="3506"/>
        <v/>
      </c>
      <c r="EL214" s="43" t="str">
        <f t="shared" si="3507"/>
        <v/>
      </c>
      <c r="EM214" s="43" t="str">
        <f t="shared" si="3508"/>
        <v/>
      </c>
      <c r="EN214" s="43" t="str">
        <f t="shared" si="3509"/>
        <v/>
      </c>
      <c r="EO214" s="43" t="str">
        <f t="shared" si="3510"/>
        <v/>
      </c>
      <c r="EP214" s="43" t="str">
        <f t="shared" si="3511"/>
        <v/>
      </c>
      <c r="EQ214" s="43" t="str">
        <f t="shared" si="3512"/>
        <v/>
      </c>
      <c r="ER214" s="43" t="str">
        <f t="shared" si="3513"/>
        <v/>
      </c>
      <c r="ES214" s="43" t="str">
        <f t="shared" si="3514"/>
        <v/>
      </c>
      <c r="ET214" s="43" t="str">
        <f t="shared" si="3515"/>
        <v/>
      </c>
      <c r="EU214" s="43" t="str">
        <f t="shared" si="3516"/>
        <v/>
      </c>
      <c r="EV214" s="43" t="str">
        <f t="shared" si="3517"/>
        <v/>
      </c>
      <c r="EW214" s="43" t="str">
        <f t="shared" si="3518"/>
        <v/>
      </c>
      <c r="EX214" s="43" t="str">
        <f t="shared" si="3519"/>
        <v/>
      </c>
      <c r="EY214" s="43" t="str">
        <f t="shared" si="3520"/>
        <v/>
      </c>
      <c r="EZ214" s="43" t="str">
        <f t="shared" si="3521"/>
        <v/>
      </c>
      <c r="FA214" s="43" t="str">
        <f t="shared" si="3522"/>
        <v/>
      </c>
      <c r="FB214" s="43" t="str">
        <f t="shared" si="3523"/>
        <v/>
      </c>
      <c r="FC214" s="43" t="str">
        <f t="shared" si="3524"/>
        <v/>
      </c>
      <c r="FD214" s="43" t="str">
        <f t="shared" si="3525"/>
        <v/>
      </c>
      <c r="FE214" s="43" t="str">
        <f t="shared" si="3526"/>
        <v/>
      </c>
      <c r="FF214" s="43" t="str">
        <f t="shared" si="3527"/>
        <v/>
      </c>
      <c r="FG214" s="43" t="str">
        <f t="shared" si="3528"/>
        <v/>
      </c>
      <c r="FH214" s="43" t="str">
        <f t="shared" si="3529"/>
        <v/>
      </c>
      <c r="FI214" s="43" t="str">
        <f t="shared" si="3530"/>
        <v/>
      </c>
      <c r="FJ214" s="43" t="str">
        <f t="shared" si="3531"/>
        <v/>
      </c>
      <c r="FK214" s="43" t="str">
        <f t="shared" si="3532"/>
        <v/>
      </c>
      <c r="FL214" s="43" t="str">
        <f t="shared" si="3533"/>
        <v/>
      </c>
      <c r="FM214" s="43" t="str">
        <f t="shared" si="3534"/>
        <v/>
      </c>
      <c r="FN214" s="43" t="str">
        <f t="shared" si="3535"/>
        <v/>
      </c>
      <c r="FO214" s="43" t="str">
        <f t="shared" si="3536"/>
        <v/>
      </c>
      <c r="FP214" s="43" t="str">
        <f t="shared" si="3537"/>
        <v/>
      </c>
      <c r="FQ214" s="43" t="str">
        <f t="shared" si="3538"/>
        <v/>
      </c>
      <c r="FR214" s="43" t="str">
        <f t="shared" si="3539"/>
        <v/>
      </c>
      <c r="FS214" s="43" t="str">
        <f t="shared" si="3540"/>
        <v/>
      </c>
    </row>
    <row r="215" spans="1:175">
      <c r="A215" s="84"/>
      <c r="B215" s="7" t="s">
        <v>625</v>
      </c>
      <c r="C215" s="85" t="str">
        <f t="shared" si="3541"/>
        <v>已领取拜年礼包</v>
      </c>
      <c r="T215" s="85" t="s">
        <v>807</v>
      </c>
      <c r="U215" s="55" t="str">
        <f t="shared" si="3468"/>
        <v>ReplaceableTextures\\CommandButtons\\BTNIB53.blp</v>
      </c>
      <c r="CN215" s="12" t="str">
        <f t="shared" si="3542"/>
        <v>InitUnitState('IB53',,,,,,,,,,)</v>
      </c>
      <c r="CO215" s="12" t="str">
        <f t="shared" si="3543"/>
        <v>InitUnitNormal('IB53',,,,,,,,,,)</v>
      </c>
      <c r="CP215" s="12" t="str">
        <f t="shared" si="3544"/>
        <v>InitUnitMagic('IB53',,,,,,,,,,)</v>
      </c>
      <c r="CQ215" s="12" t="str">
        <f t="shared" si="3545"/>
        <v>InitUnitAdd('IB53',,,,,,,,,,)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InitEquipData('IB53',,"",,,,,'','','','','','',"ReplaceableTextures\\CommandButtons\\BTNIB54.blp")</v>
      </c>
      <c r="CU215" s="67" t="str">
        <f t="shared" si="3469"/>
        <v>|n</v>
      </c>
      <c r="CV215" s="5" t="str">
        <f t="shared" si="3470"/>
        <v>|cff99ccff给与地图有效评论建议|r即可领取：|n|cffffff00杀敌生命+5|n杀敌业力+1|n|r|cffffcc33每级通行证永久增加3点杀敌生命奖励！|n|n|r|cff808080地图等级达到3级可领取|r</v>
      </c>
      <c r="CW215" s="6"/>
      <c r="CX215" s="6"/>
      <c r="CY215" s="6"/>
      <c r="CZ215" s="6"/>
      <c r="DA215" s="6"/>
      <c r="DB215" s="43" t="str">
        <f t="shared" si="3471"/>
        <v/>
      </c>
      <c r="DC215" s="43" t="str">
        <f t="shared" si="3472"/>
        <v/>
      </c>
      <c r="DD215" s="43" t="str">
        <f t="shared" si="3473"/>
        <v/>
      </c>
      <c r="DE215" s="43" t="str">
        <f t="shared" si="3474"/>
        <v/>
      </c>
      <c r="DF215" s="43" t="str">
        <f t="shared" si="3475"/>
        <v/>
      </c>
      <c r="DG215" s="43" t="str">
        <f t="shared" si="3476"/>
        <v/>
      </c>
      <c r="DH215" s="43" t="str">
        <f t="shared" si="3477"/>
        <v/>
      </c>
      <c r="DI215" s="43" t="str">
        <f t="shared" si="3478"/>
        <v/>
      </c>
      <c r="DJ215" s="43" t="str">
        <f t="shared" si="3479"/>
        <v/>
      </c>
      <c r="DK215" s="43" t="str">
        <f t="shared" si="3480"/>
        <v/>
      </c>
      <c r="DL215" s="43" t="str">
        <f t="shared" si="3481"/>
        <v/>
      </c>
      <c r="DM215" s="43" t="str">
        <f t="shared" si="3482"/>
        <v/>
      </c>
      <c r="DN215" s="43" t="str">
        <f t="shared" si="3483"/>
        <v/>
      </c>
      <c r="DO215" s="43" t="str">
        <f t="shared" si="3484"/>
        <v/>
      </c>
      <c r="DP215" s="43" t="str">
        <f t="shared" si="3485"/>
        <v/>
      </c>
      <c r="DQ215" s="43" t="str">
        <f t="shared" si="3486"/>
        <v/>
      </c>
      <c r="DR215" s="43" t="str">
        <f t="shared" si="3487"/>
        <v/>
      </c>
      <c r="DS215" s="43" t="str">
        <f t="shared" si="3488"/>
        <v/>
      </c>
      <c r="DT215" s="43" t="str">
        <f t="shared" si="3489"/>
        <v/>
      </c>
      <c r="DU215" s="43" t="str">
        <f t="shared" si="3490"/>
        <v/>
      </c>
      <c r="DV215" s="43" t="str">
        <f t="shared" si="3491"/>
        <v/>
      </c>
      <c r="DW215" s="43" t="str">
        <f t="shared" si="3492"/>
        <v/>
      </c>
      <c r="DX215" s="43" t="str">
        <f t="shared" si="3493"/>
        <v/>
      </c>
      <c r="DY215" s="43" t="str">
        <f t="shared" si="3494"/>
        <v/>
      </c>
      <c r="DZ215" s="43" t="str">
        <f t="shared" si="3495"/>
        <v/>
      </c>
      <c r="EA215" s="43" t="str">
        <f t="shared" si="3496"/>
        <v/>
      </c>
      <c r="EB215" s="43" t="str">
        <f t="shared" si="3497"/>
        <v/>
      </c>
      <c r="EC215" s="43" t="str">
        <f t="shared" si="3498"/>
        <v/>
      </c>
      <c r="ED215" s="43" t="str">
        <f t="shared" si="3499"/>
        <v/>
      </c>
      <c r="EE215" s="43" t="str">
        <f t="shared" si="3500"/>
        <v/>
      </c>
      <c r="EF215" s="43" t="str">
        <f t="shared" si="3501"/>
        <v/>
      </c>
      <c r="EG215" s="43" t="str">
        <f t="shared" si="3502"/>
        <v/>
      </c>
      <c r="EH215" s="43" t="str">
        <f t="shared" si="3503"/>
        <v/>
      </c>
      <c r="EI215" s="43" t="str">
        <f t="shared" si="3504"/>
        <v/>
      </c>
      <c r="EJ215" s="43" t="str">
        <f t="shared" si="3505"/>
        <v/>
      </c>
      <c r="EK215" s="43" t="str">
        <f t="shared" si="3506"/>
        <v/>
      </c>
      <c r="EL215" s="43" t="str">
        <f t="shared" si="3507"/>
        <v/>
      </c>
      <c r="EM215" s="43" t="str">
        <f t="shared" si="3508"/>
        <v/>
      </c>
      <c r="EN215" s="43" t="str">
        <f t="shared" si="3509"/>
        <v/>
      </c>
      <c r="EO215" s="43" t="str">
        <f t="shared" si="3510"/>
        <v/>
      </c>
      <c r="EP215" s="43" t="str">
        <f t="shared" si="3511"/>
        <v/>
      </c>
      <c r="EQ215" s="43" t="str">
        <f t="shared" si="3512"/>
        <v/>
      </c>
      <c r="ER215" s="43" t="str">
        <f t="shared" si="3513"/>
        <v/>
      </c>
      <c r="ES215" s="43" t="str">
        <f t="shared" si="3514"/>
        <v/>
      </c>
      <c r="ET215" s="43" t="str">
        <f t="shared" si="3515"/>
        <v/>
      </c>
      <c r="EU215" s="43" t="str">
        <f t="shared" si="3516"/>
        <v/>
      </c>
      <c r="EV215" s="43" t="str">
        <f t="shared" si="3517"/>
        <v/>
      </c>
      <c r="EW215" s="43" t="str">
        <f t="shared" si="3518"/>
        <v/>
      </c>
      <c r="EX215" s="43" t="str">
        <f t="shared" si="3519"/>
        <v/>
      </c>
      <c r="EY215" s="43" t="str">
        <f t="shared" si="3520"/>
        <v/>
      </c>
      <c r="EZ215" s="43" t="str">
        <f t="shared" si="3521"/>
        <v/>
      </c>
      <c r="FA215" s="43" t="str">
        <f t="shared" si="3522"/>
        <v/>
      </c>
      <c r="FB215" s="43" t="str">
        <f t="shared" si="3523"/>
        <v/>
      </c>
      <c r="FC215" s="43" t="str">
        <f t="shared" si="3524"/>
        <v/>
      </c>
      <c r="FD215" s="43" t="str">
        <f t="shared" si="3525"/>
        <v/>
      </c>
      <c r="FE215" s="43" t="str">
        <f t="shared" si="3526"/>
        <v/>
      </c>
      <c r="FF215" s="43" t="str">
        <f t="shared" si="3527"/>
        <v/>
      </c>
      <c r="FG215" s="43" t="str">
        <f t="shared" si="3528"/>
        <v/>
      </c>
      <c r="FH215" s="43" t="str">
        <f t="shared" si="3529"/>
        <v/>
      </c>
      <c r="FI215" s="43" t="str">
        <f t="shared" si="3530"/>
        <v/>
      </c>
      <c r="FJ215" s="43" t="str">
        <f t="shared" si="3531"/>
        <v/>
      </c>
      <c r="FK215" s="43" t="str">
        <f t="shared" si="3532"/>
        <v/>
      </c>
      <c r="FL215" s="43" t="str">
        <f t="shared" si="3533"/>
        <v/>
      </c>
      <c r="FM215" s="43" t="str">
        <f t="shared" si="3534"/>
        <v/>
      </c>
      <c r="FN215" s="43" t="str">
        <f t="shared" si="3535"/>
        <v/>
      </c>
      <c r="FO215" s="43" t="str">
        <f t="shared" si="3536"/>
        <v/>
      </c>
      <c r="FP215" s="43" t="str">
        <f t="shared" si="3537"/>
        <v/>
      </c>
      <c r="FQ215" s="43" t="str">
        <f t="shared" si="3538"/>
        <v/>
      </c>
      <c r="FR215" s="43" t="str">
        <f t="shared" si="3539"/>
        <v/>
      </c>
      <c r="FS215" s="43" t="str">
        <f t="shared" si="3540"/>
        <v/>
      </c>
    </row>
    <row r="216" spans="1:175">
      <c r="A216" s="84"/>
      <c r="B216" s="7" t="s">
        <v>626</v>
      </c>
      <c r="C216" s="85" t="str">
        <f t="shared" si="3541"/>
        <v>已领取收藏礼包</v>
      </c>
      <c r="T216" s="85" t="s">
        <v>808</v>
      </c>
      <c r="U216" s="55" t="str">
        <f t="shared" si="3468"/>
        <v>ReplaceableTextures\\CommandButtons\\BTNIB54.blp</v>
      </c>
      <c r="CN216" s="12" t="str">
        <f t="shared" si="3542"/>
        <v>InitUnitState('IB54',,,,,,,,,,)</v>
      </c>
      <c r="CO216" s="12" t="str">
        <f t="shared" si="3543"/>
        <v>InitUnitNormal('IB54',,,,,,,,,,)</v>
      </c>
      <c r="CP216" s="12" t="str">
        <f t="shared" si="3544"/>
        <v>InitUnitMagic('IB54',,,,,,,,,,)</v>
      </c>
      <c r="CQ216" s="12" t="str">
        <f t="shared" si="3545"/>
        <v>InitUnitAdd('IB54',,,,,,,,,,)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InitEquipData('IB54',,"",,,,,'','','','','','',"ReplaceableTextures\\CommandButtons\\BTNIB55.blp")</v>
      </c>
      <c r="CU216" s="67" t="str">
        <f t="shared" si="3469"/>
        <v>|n</v>
      </c>
      <c r="CV216" s="5" t="str">
        <f t="shared" si="3470"/>
        <v>|cff99ccff房间大厅界面点击右上角《|r|cffcc99ff收藏|r|cff99ccff》后可领取该礼包。|n|n|r属性：|n|cffffcc33物理伤害+5%|n法术伤害+5%|r</v>
      </c>
      <c r="CW216" s="6"/>
      <c r="CX216" s="6"/>
      <c r="CY216" s="6"/>
      <c r="CZ216" s="6"/>
      <c r="DA216" s="6"/>
      <c r="DB216" s="43" t="str">
        <f t="shared" si="3471"/>
        <v/>
      </c>
      <c r="DC216" s="43" t="str">
        <f t="shared" si="3472"/>
        <v/>
      </c>
      <c r="DD216" s="43" t="str">
        <f t="shared" si="3473"/>
        <v/>
      </c>
      <c r="DE216" s="43" t="str">
        <f t="shared" si="3474"/>
        <v/>
      </c>
      <c r="DF216" s="43" t="str">
        <f t="shared" si="3475"/>
        <v/>
      </c>
      <c r="DG216" s="43" t="str">
        <f t="shared" si="3476"/>
        <v/>
      </c>
      <c r="DH216" s="43" t="str">
        <f t="shared" si="3477"/>
        <v/>
      </c>
      <c r="DI216" s="43" t="str">
        <f t="shared" si="3478"/>
        <v/>
      </c>
      <c r="DJ216" s="43" t="str">
        <f t="shared" si="3479"/>
        <v/>
      </c>
      <c r="DK216" s="43" t="str">
        <f t="shared" si="3480"/>
        <v/>
      </c>
      <c r="DL216" s="43" t="str">
        <f t="shared" si="3481"/>
        <v/>
      </c>
      <c r="DM216" s="43" t="str">
        <f t="shared" si="3482"/>
        <v/>
      </c>
      <c r="DN216" s="43" t="str">
        <f t="shared" si="3483"/>
        <v/>
      </c>
      <c r="DO216" s="43" t="str">
        <f t="shared" si="3484"/>
        <v/>
      </c>
      <c r="DP216" s="43" t="str">
        <f t="shared" si="3485"/>
        <v/>
      </c>
      <c r="DQ216" s="43" t="str">
        <f t="shared" si="3486"/>
        <v/>
      </c>
      <c r="DR216" s="43" t="str">
        <f t="shared" si="3487"/>
        <v/>
      </c>
      <c r="DS216" s="43" t="str">
        <f t="shared" si="3488"/>
        <v/>
      </c>
      <c r="DT216" s="43" t="str">
        <f t="shared" si="3489"/>
        <v/>
      </c>
      <c r="DU216" s="43" t="str">
        <f t="shared" si="3490"/>
        <v/>
      </c>
      <c r="DV216" s="43" t="str">
        <f t="shared" si="3491"/>
        <v/>
      </c>
      <c r="DW216" s="43" t="str">
        <f t="shared" si="3492"/>
        <v/>
      </c>
      <c r="DX216" s="43" t="str">
        <f t="shared" si="3493"/>
        <v/>
      </c>
      <c r="DY216" s="43" t="str">
        <f t="shared" si="3494"/>
        <v/>
      </c>
      <c r="DZ216" s="43" t="str">
        <f t="shared" si="3495"/>
        <v/>
      </c>
      <c r="EA216" s="43" t="str">
        <f t="shared" si="3496"/>
        <v/>
      </c>
      <c r="EB216" s="43" t="str">
        <f t="shared" si="3497"/>
        <v/>
      </c>
      <c r="EC216" s="43" t="str">
        <f t="shared" si="3498"/>
        <v/>
      </c>
      <c r="ED216" s="43" t="str">
        <f t="shared" si="3499"/>
        <v/>
      </c>
      <c r="EE216" s="43" t="str">
        <f t="shared" si="3500"/>
        <v/>
      </c>
      <c r="EF216" s="43" t="str">
        <f t="shared" si="3501"/>
        <v/>
      </c>
      <c r="EG216" s="43" t="str">
        <f t="shared" si="3502"/>
        <v/>
      </c>
      <c r="EH216" s="43" t="str">
        <f t="shared" si="3503"/>
        <v/>
      </c>
      <c r="EI216" s="43" t="str">
        <f t="shared" si="3504"/>
        <v/>
      </c>
      <c r="EJ216" s="43" t="str">
        <f t="shared" si="3505"/>
        <v/>
      </c>
      <c r="EK216" s="43" t="str">
        <f t="shared" si="3506"/>
        <v/>
      </c>
      <c r="EL216" s="43" t="str">
        <f t="shared" si="3507"/>
        <v/>
      </c>
      <c r="EM216" s="43" t="str">
        <f t="shared" si="3508"/>
        <v/>
      </c>
      <c r="EN216" s="43" t="str">
        <f t="shared" si="3509"/>
        <v/>
      </c>
      <c r="EO216" s="43" t="str">
        <f t="shared" si="3510"/>
        <v/>
      </c>
      <c r="EP216" s="43" t="str">
        <f t="shared" si="3511"/>
        <v/>
      </c>
      <c r="EQ216" s="43" t="str">
        <f t="shared" si="3512"/>
        <v/>
      </c>
      <c r="ER216" s="43" t="str">
        <f t="shared" si="3513"/>
        <v/>
      </c>
      <c r="ES216" s="43" t="str">
        <f t="shared" si="3514"/>
        <v/>
      </c>
      <c r="ET216" s="43" t="str">
        <f t="shared" si="3515"/>
        <v/>
      </c>
      <c r="EU216" s="43" t="str">
        <f t="shared" si="3516"/>
        <v/>
      </c>
      <c r="EV216" s="43" t="str">
        <f t="shared" si="3517"/>
        <v/>
      </c>
      <c r="EW216" s="43" t="str">
        <f t="shared" si="3518"/>
        <v/>
      </c>
      <c r="EX216" s="43" t="str">
        <f t="shared" si="3519"/>
        <v/>
      </c>
      <c r="EY216" s="43" t="str">
        <f t="shared" si="3520"/>
        <v/>
      </c>
      <c r="EZ216" s="43" t="str">
        <f t="shared" si="3521"/>
        <v/>
      </c>
      <c r="FA216" s="43" t="str">
        <f t="shared" si="3522"/>
        <v/>
      </c>
      <c r="FB216" s="43" t="str">
        <f t="shared" si="3523"/>
        <v/>
      </c>
      <c r="FC216" s="43" t="str">
        <f t="shared" si="3524"/>
        <v/>
      </c>
      <c r="FD216" s="43" t="str">
        <f t="shared" si="3525"/>
        <v/>
      </c>
      <c r="FE216" s="43" t="str">
        <f t="shared" si="3526"/>
        <v/>
      </c>
      <c r="FF216" s="43" t="str">
        <f t="shared" si="3527"/>
        <v/>
      </c>
      <c r="FG216" s="43" t="str">
        <f t="shared" si="3528"/>
        <v/>
      </c>
      <c r="FH216" s="43" t="str">
        <f t="shared" si="3529"/>
        <v/>
      </c>
      <c r="FI216" s="43" t="str">
        <f t="shared" si="3530"/>
        <v/>
      </c>
      <c r="FJ216" s="43" t="str">
        <f t="shared" si="3531"/>
        <v/>
      </c>
      <c r="FK216" s="43" t="str">
        <f t="shared" si="3532"/>
        <v/>
      </c>
      <c r="FL216" s="43" t="str">
        <f t="shared" si="3533"/>
        <v/>
      </c>
      <c r="FM216" s="43" t="str">
        <f t="shared" si="3534"/>
        <v/>
      </c>
      <c r="FN216" s="43" t="str">
        <f t="shared" si="3535"/>
        <v/>
      </c>
      <c r="FO216" s="43" t="str">
        <f t="shared" si="3536"/>
        <v/>
      </c>
      <c r="FP216" s="43" t="str">
        <f t="shared" si="3537"/>
        <v/>
      </c>
      <c r="FQ216" s="43" t="str">
        <f t="shared" si="3538"/>
        <v/>
      </c>
      <c r="FR216" s="43" t="str">
        <f t="shared" si="3539"/>
        <v/>
      </c>
      <c r="FS216" s="43" t="str">
        <f t="shared" si="3540"/>
        <v/>
      </c>
    </row>
    <row r="217" spans="1:175">
      <c r="A217" s="84"/>
      <c r="B217" s="7" t="s">
        <v>627</v>
      </c>
      <c r="C217" s="85" t="str">
        <f t="shared" si="3541"/>
        <v>已领取重置版礼包</v>
      </c>
      <c r="T217" s="85" t="s">
        <v>799</v>
      </c>
      <c r="U217" s="55" t="str">
        <f t="shared" si="3468"/>
        <v>ReplaceableTextures\\CommandButtons\\BTNIB55.blp</v>
      </c>
      <c r="CN217" s="12" t="str">
        <f t="shared" si="3542"/>
        <v>InitUnitState('IB55',,,,,,,,,,)</v>
      </c>
      <c r="CO217" s="12" t="str">
        <f t="shared" si="3543"/>
        <v>InitUnitNormal('IB55',,,,,,,,,,)</v>
      </c>
      <c r="CP217" s="12" t="str">
        <f t="shared" si="3544"/>
        <v>InitUnitMagic('IB55',,,,,,,,,,)</v>
      </c>
      <c r="CQ217" s="12" t="str">
        <f t="shared" si="3545"/>
        <v>InitUnitAdd('IB55',,,,,,,,,,)</v>
      </c>
      <c r="CR217" s="12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235&amp;CR$1&amp;")"</f>
        <v>InitEquipData('IB55',,"",,,,,'','','','','','',"")</v>
      </c>
      <c r="CU217" s="67" t="str">
        <f t="shared" si="3469"/>
        <v>|n</v>
      </c>
      <c r="CV217" s="5" t="str">
        <f t="shared" si="3470"/>
        <v>|cff33ff00购买魔兽重制版可领取该礼包！|n|n|r属性：|n|cffffcc33高级聚宝盆|r</v>
      </c>
      <c r="CW217" s="6"/>
      <c r="CX217" s="6"/>
      <c r="CY217" s="6"/>
      <c r="CZ217" s="6"/>
      <c r="DA217" s="6"/>
      <c r="DB217" s="43" t="str">
        <f t="shared" si="3471"/>
        <v/>
      </c>
      <c r="DC217" s="43" t="str">
        <f t="shared" si="3472"/>
        <v/>
      </c>
      <c r="DD217" s="43" t="str">
        <f t="shared" si="3473"/>
        <v/>
      </c>
      <c r="DE217" s="43" t="str">
        <f t="shared" si="3474"/>
        <v/>
      </c>
      <c r="DF217" s="43" t="str">
        <f t="shared" si="3475"/>
        <v/>
      </c>
      <c r="DG217" s="43" t="str">
        <f t="shared" si="3476"/>
        <v/>
      </c>
      <c r="DH217" s="43" t="str">
        <f t="shared" si="3477"/>
        <v/>
      </c>
      <c r="DI217" s="43" t="str">
        <f t="shared" si="3478"/>
        <v/>
      </c>
      <c r="DJ217" s="43" t="str">
        <f t="shared" si="3479"/>
        <v/>
      </c>
      <c r="DK217" s="43" t="str">
        <f t="shared" si="3480"/>
        <v/>
      </c>
      <c r="DL217" s="43" t="str">
        <f t="shared" si="3481"/>
        <v/>
      </c>
      <c r="DM217" s="43" t="str">
        <f t="shared" si="3482"/>
        <v/>
      </c>
      <c r="DN217" s="43" t="str">
        <f t="shared" si="3483"/>
        <v/>
      </c>
      <c r="DO217" s="43" t="str">
        <f t="shared" si="3484"/>
        <v/>
      </c>
      <c r="DP217" s="43" t="str">
        <f t="shared" si="3485"/>
        <v/>
      </c>
      <c r="DQ217" s="43" t="str">
        <f t="shared" si="3486"/>
        <v/>
      </c>
      <c r="DR217" s="43" t="str">
        <f t="shared" si="3487"/>
        <v/>
      </c>
      <c r="DS217" s="43" t="str">
        <f t="shared" si="3488"/>
        <v/>
      </c>
      <c r="DT217" s="43" t="str">
        <f t="shared" si="3489"/>
        <v/>
      </c>
      <c r="DU217" s="43" t="str">
        <f t="shared" si="3490"/>
        <v/>
      </c>
      <c r="DV217" s="43" t="str">
        <f t="shared" si="3491"/>
        <v/>
      </c>
      <c r="DW217" s="43" t="str">
        <f t="shared" si="3492"/>
        <v/>
      </c>
      <c r="DX217" s="43" t="str">
        <f t="shared" si="3493"/>
        <v/>
      </c>
      <c r="DY217" s="43" t="str">
        <f t="shared" si="3494"/>
        <v/>
      </c>
      <c r="DZ217" s="43" t="str">
        <f t="shared" si="3495"/>
        <v/>
      </c>
      <c r="EA217" s="43" t="str">
        <f t="shared" si="3496"/>
        <v/>
      </c>
      <c r="EB217" s="43" t="str">
        <f t="shared" si="3497"/>
        <v/>
      </c>
      <c r="EC217" s="43" t="str">
        <f t="shared" si="3498"/>
        <v/>
      </c>
      <c r="ED217" s="43" t="str">
        <f t="shared" si="3499"/>
        <v/>
      </c>
      <c r="EE217" s="43" t="str">
        <f t="shared" si="3500"/>
        <v/>
      </c>
      <c r="EF217" s="43" t="str">
        <f t="shared" si="3501"/>
        <v/>
      </c>
      <c r="EG217" s="43" t="str">
        <f t="shared" si="3502"/>
        <v/>
      </c>
      <c r="EH217" s="43" t="str">
        <f t="shared" si="3503"/>
        <v/>
      </c>
      <c r="EI217" s="43" t="str">
        <f t="shared" si="3504"/>
        <v/>
      </c>
      <c r="EJ217" s="43" t="str">
        <f t="shared" si="3505"/>
        <v/>
      </c>
      <c r="EK217" s="43" t="str">
        <f t="shared" si="3506"/>
        <v/>
      </c>
      <c r="EL217" s="43" t="str">
        <f t="shared" si="3507"/>
        <v/>
      </c>
      <c r="EM217" s="43" t="str">
        <f t="shared" si="3508"/>
        <v/>
      </c>
      <c r="EN217" s="43" t="str">
        <f t="shared" si="3509"/>
        <v/>
      </c>
      <c r="EO217" s="43" t="str">
        <f t="shared" si="3510"/>
        <v/>
      </c>
      <c r="EP217" s="43" t="str">
        <f t="shared" si="3511"/>
        <v/>
      </c>
      <c r="EQ217" s="43" t="str">
        <f t="shared" si="3512"/>
        <v/>
      </c>
      <c r="ER217" s="43" t="str">
        <f t="shared" si="3513"/>
        <v/>
      </c>
      <c r="ES217" s="43" t="str">
        <f t="shared" si="3514"/>
        <v/>
      </c>
      <c r="ET217" s="43" t="str">
        <f t="shared" si="3515"/>
        <v/>
      </c>
      <c r="EU217" s="43" t="str">
        <f t="shared" si="3516"/>
        <v/>
      </c>
      <c r="EV217" s="43" t="str">
        <f t="shared" si="3517"/>
        <v/>
      </c>
      <c r="EW217" s="43" t="str">
        <f t="shared" si="3518"/>
        <v/>
      </c>
      <c r="EX217" s="43" t="str">
        <f t="shared" si="3519"/>
        <v/>
      </c>
      <c r="EY217" s="43" t="str">
        <f t="shared" si="3520"/>
        <v/>
      </c>
      <c r="EZ217" s="43" t="str">
        <f t="shared" si="3521"/>
        <v/>
      </c>
      <c r="FA217" s="43" t="str">
        <f t="shared" si="3522"/>
        <v/>
      </c>
      <c r="FB217" s="43" t="str">
        <f t="shared" si="3523"/>
        <v/>
      </c>
      <c r="FC217" s="43" t="str">
        <f t="shared" si="3524"/>
        <v/>
      </c>
      <c r="FD217" s="43" t="str">
        <f t="shared" si="3525"/>
        <v/>
      </c>
      <c r="FE217" s="43" t="str">
        <f t="shared" si="3526"/>
        <v/>
      </c>
      <c r="FF217" s="43" t="str">
        <f t="shared" si="3527"/>
        <v/>
      </c>
      <c r="FG217" s="43" t="str">
        <f t="shared" si="3528"/>
        <v/>
      </c>
      <c r="FH217" s="43" t="str">
        <f t="shared" si="3529"/>
        <v/>
      </c>
      <c r="FI217" s="43" t="str">
        <f t="shared" si="3530"/>
        <v/>
      </c>
      <c r="FJ217" s="43" t="str">
        <f t="shared" si="3531"/>
        <v/>
      </c>
      <c r="FK217" s="43" t="str">
        <f t="shared" si="3532"/>
        <v/>
      </c>
      <c r="FL217" s="43" t="str">
        <f t="shared" si="3533"/>
        <v/>
      </c>
      <c r="FM217" s="43" t="str">
        <f t="shared" si="3534"/>
        <v/>
      </c>
      <c r="FN217" s="43" t="str">
        <f t="shared" si="3535"/>
        <v/>
      </c>
      <c r="FO217" s="43" t="str">
        <f t="shared" si="3536"/>
        <v/>
      </c>
      <c r="FP217" s="43" t="str">
        <f t="shared" si="3537"/>
        <v/>
      </c>
      <c r="FQ217" s="43" t="str">
        <f t="shared" si="3538"/>
        <v/>
      </c>
      <c r="FR217" s="43" t="str">
        <f t="shared" si="3539"/>
        <v/>
      </c>
      <c r="FS217" s="43" t="str">
        <f t="shared" si="3540"/>
        <v/>
      </c>
    </row>
    <row r="218" spans="1:175">
      <c r="A218" s="84"/>
      <c r="B218" s="7" t="s">
        <v>628</v>
      </c>
      <c r="C218" s="85" t="str">
        <f t="shared" si="3541"/>
        <v>已领取公会福利</v>
      </c>
      <c r="T218" s="85" t="s">
        <v>801</v>
      </c>
      <c r="U218" s="55" t="str">
        <f t="shared" si="3468"/>
        <v>ReplaceableTextures\\CommandButtons\\BTNIB56.blp</v>
      </c>
      <c r="CN218" s="12" t="str">
        <f t="shared" si="3542"/>
        <v>InitUnitState('IB56',,,,,,,,,,)</v>
      </c>
      <c r="CO218" s="12" t="str">
        <f t="shared" si="3543"/>
        <v>InitUnitNormal('IB56',,,,,,,,,,)</v>
      </c>
      <c r="CP218" s="12" t="str">
        <f t="shared" si="3544"/>
        <v>InitUnitMagic('IB56',,,,,,,,,,)</v>
      </c>
      <c r="CQ218" s="12" t="str">
        <f t="shared" si="3545"/>
        <v>InitUnitAdd('IB56',,,,,,,,,,)</v>
      </c>
      <c r="CR218" s="12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InitEquipData('IB56',,"",,,,,'','','','','','',"ReplaceableTextures\\CommandButtons\\BTNIB57.blp")</v>
      </c>
      <c r="CU218" s="67" t="str">
        <f t="shared" si="3469"/>
        <v>|n</v>
      </c>
      <c r="CV218" s="5" t="str">
        <f t="shared" si="347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"/>
      <c r="CX218" s="6"/>
      <c r="CY218" s="6"/>
      <c r="CZ218" s="6"/>
      <c r="DA218" s="6"/>
      <c r="DB218" s="43" t="str">
        <f t="shared" si="3471"/>
        <v/>
      </c>
      <c r="DC218" s="43" t="str">
        <f t="shared" si="3472"/>
        <v/>
      </c>
      <c r="DD218" s="43" t="str">
        <f t="shared" si="3473"/>
        <v/>
      </c>
      <c r="DE218" s="43" t="str">
        <f t="shared" si="3474"/>
        <v/>
      </c>
      <c r="DF218" s="43" t="str">
        <f t="shared" si="3475"/>
        <v/>
      </c>
      <c r="DG218" s="43" t="str">
        <f t="shared" si="3476"/>
        <v/>
      </c>
      <c r="DH218" s="43" t="str">
        <f t="shared" si="3477"/>
        <v/>
      </c>
      <c r="DI218" s="43" t="str">
        <f t="shared" si="3478"/>
        <v/>
      </c>
      <c r="DJ218" s="43" t="str">
        <f t="shared" si="3479"/>
        <v/>
      </c>
      <c r="DK218" s="43" t="str">
        <f t="shared" si="3480"/>
        <v/>
      </c>
      <c r="DL218" s="43" t="str">
        <f t="shared" si="3481"/>
        <v/>
      </c>
      <c r="DM218" s="43" t="str">
        <f t="shared" si="3482"/>
        <v/>
      </c>
      <c r="DN218" s="43" t="str">
        <f t="shared" si="3483"/>
        <v/>
      </c>
      <c r="DO218" s="43" t="str">
        <f t="shared" si="3484"/>
        <v/>
      </c>
      <c r="DP218" s="43" t="str">
        <f t="shared" si="3485"/>
        <v/>
      </c>
      <c r="DQ218" s="43" t="str">
        <f t="shared" si="3486"/>
        <v/>
      </c>
      <c r="DR218" s="43" t="str">
        <f t="shared" si="3487"/>
        <v/>
      </c>
      <c r="DS218" s="43" t="str">
        <f t="shared" si="3488"/>
        <v/>
      </c>
      <c r="DT218" s="43" t="str">
        <f t="shared" si="3489"/>
        <v/>
      </c>
      <c r="DU218" s="43" t="str">
        <f t="shared" si="3490"/>
        <v/>
      </c>
      <c r="DV218" s="43" t="str">
        <f t="shared" si="3491"/>
        <v/>
      </c>
      <c r="DW218" s="43" t="str">
        <f t="shared" si="3492"/>
        <v/>
      </c>
      <c r="DX218" s="43" t="str">
        <f t="shared" si="3493"/>
        <v/>
      </c>
      <c r="DY218" s="43" t="str">
        <f t="shared" si="3494"/>
        <v/>
      </c>
      <c r="DZ218" s="43" t="str">
        <f t="shared" si="3495"/>
        <v/>
      </c>
      <c r="EA218" s="43" t="str">
        <f t="shared" si="3496"/>
        <v/>
      </c>
      <c r="EB218" s="43" t="str">
        <f t="shared" si="3497"/>
        <v/>
      </c>
      <c r="EC218" s="43" t="str">
        <f t="shared" si="3498"/>
        <v/>
      </c>
      <c r="ED218" s="43" t="str">
        <f t="shared" si="3499"/>
        <v/>
      </c>
      <c r="EE218" s="43" t="str">
        <f t="shared" si="3500"/>
        <v/>
      </c>
      <c r="EF218" s="43" t="str">
        <f t="shared" si="3501"/>
        <v/>
      </c>
      <c r="EG218" s="43" t="str">
        <f t="shared" si="3502"/>
        <v/>
      </c>
      <c r="EH218" s="43" t="str">
        <f t="shared" si="3503"/>
        <v/>
      </c>
      <c r="EI218" s="43" t="str">
        <f t="shared" si="3504"/>
        <v/>
      </c>
      <c r="EJ218" s="43" t="str">
        <f t="shared" si="3505"/>
        <v/>
      </c>
      <c r="EK218" s="43" t="str">
        <f t="shared" si="3506"/>
        <v/>
      </c>
      <c r="EL218" s="43" t="str">
        <f t="shared" si="3507"/>
        <v/>
      </c>
      <c r="EM218" s="43" t="str">
        <f t="shared" si="3508"/>
        <v/>
      </c>
      <c r="EN218" s="43" t="str">
        <f t="shared" si="3509"/>
        <v/>
      </c>
      <c r="EO218" s="43" t="str">
        <f t="shared" si="3510"/>
        <v/>
      </c>
      <c r="EP218" s="43" t="str">
        <f t="shared" si="3511"/>
        <v/>
      </c>
      <c r="EQ218" s="43" t="str">
        <f t="shared" si="3512"/>
        <v/>
      </c>
      <c r="ER218" s="43" t="str">
        <f t="shared" si="3513"/>
        <v/>
      </c>
      <c r="ES218" s="43" t="str">
        <f t="shared" si="3514"/>
        <v/>
      </c>
      <c r="ET218" s="43" t="str">
        <f t="shared" si="3515"/>
        <v/>
      </c>
      <c r="EU218" s="43" t="str">
        <f t="shared" si="3516"/>
        <v/>
      </c>
      <c r="EV218" s="43" t="str">
        <f t="shared" si="3517"/>
        <v/>
      </c>
      <c r="EW218" s="43" t="str">
        <f t="shared" si="3518"/>
        <v/>
      </c>
      <c r="EX218" s="43" t="str">
        <f t="shared" si="3519"/>
        <v/>
      </c>
      <c r="EY218" s="43" t="str">
        <f t="shared" si="3520"/>
        <v/>
      </c>
      <c r="EZ218" s="43" t="str">
        <f t="shared" si="3521"/>
        <v/>
      </c>
      <c r="FA218" s="43" t="str">
        <f t="shared" si="3522"/>
        <v/>
      </c>
      <c r="FB218" s="43" t="str">
        <f t="shared" si="3523"/>
        <v/>
      </c>
      <c r="FC218" s="43" t="str">
        <f t="shared" si="3524"/>
        <v/>
      </c>
      <c r="FD218" s="43" t="str">
        <f t="shared" si="3525"/>
        <v/>
      </c>
      <c r="FE218" s="43" t="str">
        <f t="shared" si="3526"/>
        <v/>
      </c>
      <c r="FF218" s="43" t="str">
        <f t="shared" si="3527"/>
        <v/>
      </c>
      <c r="FG218" s="43" t="str">
        <f t="shared" si="3528"/>
        <v/>
      </c>
      <c r="FH218" s="43" t="str">
        <f t="shared" si="3529"/>
        <v/>
      </c>
      <c r="FI218" s="43" t="str">
        <f t="shared" si="3530"/>
        <v/>
      </c>
      <c r="FJ218" s="43" t="str">
        <f t="shared" si="3531"/>
        <v/>
      </c>
      <c r="FK218" s="43" t="str">
        <f t="shared" si="3532"/>
        <v/>
      </c>
      <c r="FL218" s="43" t="str">
        <f t="shared" si="3533"/>
        <v/>
      </c>
      <c r="FM218" s="43" t="str">
        <f t="shared" si="3534"/>
        <v/>
      </c>
      <c r="FN218" s="43" t="str">
        <f t="shared" si="3535"/>
        <v/>
      </c>
      <c r="FO218" s="43" t="str">
        <f t="shared" si="3536"/>
        <v/>
      </c>
      <c r="FP218" s="43" t="str">
        <f t="shared" si="3537"/>
        <v/>
      </c>
      <c r="FQ218" s="43" t="str">
        <f t="shared" si="3538"/>
        <v/>
      </c>
      <c r="FR218" s="43" t="str">
        <f t="shared" si="3539"/>
        <v/>
      </c>
      <c r="FS218" s="43" t="str">
        <f t="shared" si="3540"/>
        <v/>
      </c>
    </row>
    <row r="219" spans="1:175">
      <c r="A219" s="84"/>
      <c r="B219" s="7" t="s">
        <v>629</v>
      </c>
      <c r="C219" s="85" t="str">
        <f t="shared" si="3541"/>
        <v>已领取星耀礼包</v>
      </c>
      <c r="T219" s="85" t="s">
        <v>809</v>
      </c>
      <c r="U219" s="55" t="str">
        <f t="shared" si="3468"/>
        <v>ReplaceableTextures\\CommandButtons\\BTNIB57.blp</v>
      </c>
      <c r="CN219" s="12" t="str">
        <f t="shared" si="3542"/>
        <v>InitUnitState('IB57',,,,,,,,,,)</v>
      </c>
      <c r="CO219" s="12" t="str">
        <f t="shared" si="3543"/>
        <v>InitUnitNormal('IB57',,,,,,,,,,)</v>
      </c>
      <c r="CP219" s="12" t="str">
        <f t="shared" si="3544"/>
        <v>InitUnitMagic('IB57',,,,,,,,,,)</v>
      </c>
      <c r="CQ219" s="12" t="str">
        <f t="shared" si="3545"/>
        <v>InitUnitAdd('IB57',,,,,,,,,,)</v>
      </c>
      <c r="CR219" s="12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221&amp;CR$1&amp;")"</f>
        <v>InitEquipData('IB57',,"",,,,,'','','','','','',"ReplaceableTextures\\CommandButtons\\BTNIB59.blp")</v>
      </c>
      <c r="CU219" s="67" t="str">
        <f t="shared" si="3469"/>
        <v>|n</v>
      </c>
      <c r="CV219" s="5" t="str">
        <f t="shared" si="347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"/>
      <c r="CX219" s="6"/>
      <c r="CY219" s="6"/>
      <c r="CZ219" s="6"/>
      <c r="DA219" s="6"/>
      <c r="DB219" s="43" t="str">
        <f t="shared" si="3471"/>
        <v/>
      </c>
      <c r="DC219" s="43" t="str">
        <f t="shared" si="3472"/>
        <v/>
      </c>
      <c r="DD219" s="43" t="str">
        <f t="shared" si="3473"/>
        <v/>
      </c>
      <c r="DE219" s="43" t="str">
        <f t="shared" si="3474"/>
        <v/>
      </c>
      <c r="DF219" s="43" t="str">
        <f t="shared" si="3475"/>
        <v/>
      </c>
      <c r="DG219" s="43" t="str">
        <f t="shared" si="3476"/>
        <v/>
      </c>
      <c r="DH219" s="43" t="str">
        <f t="shared" si="3477"/>
        <v/>
      </c>
      <c r="DI219" s="43" t="str">
        <f t="shared" si="3478"/>
        <v/>
      </c>
      <c r="DJ219" s="43" t="str">
        <f t="shared" si="3479"/>
        <v/>
      </c>
      <c r="DK219" s="43" t="str">
        <f t="shared" si="3480"/>
        <v/>
      </c>
      <c r="DL219" s="43" t="str">
        <f t="shared" si="3481"/>
        <v/>
      </c>
      <c r="DM219" s="43" t="str">
        <f t="shared" si="3482"/>
        <v/>
      </c>
      <c r="DN219" s="43" t="str">
        <f t="shared" si="3483"/>
        <v/>
      </c>
      <c r="DO219" s="43" t="str">
        <f t="shared" si="3484"/>
        <v/>
      </c>
      <c r="DP219" s="43" t="str">
        <f t="shared" si="3485"/>
        <v/>
      </c>
      <c r="DQ219" s="43" t="str">
        <f t="shared" si="3486"/>
        <v/>
      </c>
      <c r="DR219" s="43" t="str">
        <f t="shared" si="3487"/>
        <v/>
      </c>
      <c r="DS219" s="43" t="str">
        <f t="shared" si="3488"/>
        <v/>
      </c>
      <c r="DT219" s="43" t="str">
        <f t="shared" si="3489"/>
        <v/>
      </c>
      <c r="DU219" s="43" t="str">
        <f t="shared" si="3490"/>
        <v/>
      </c>
      <c r="DV219" s="43" t="str">
        <f t="shared" si="3491"/>
        <v/>
      </c>
      <c r="DW219" s="43" t="str">
        <f t="shared" si="3492"/>
        <v/>
      </c>
      <c r="DX219" s="43" t="str">
        <f t="shared" si="3493"/>
        <v/>
      </c>
      <c r="DY219" s="43" t="str">
        <f t="shared" si="3494"/>
        <v/>
      </c>
      <c r="DZ219" s="43" t="str">
        <f t="shared" si="3495"/>
        <v/>
      </c>
      <c r="EA219" s="43" t="str">
        <f t="shared" si="3496"/>
        <v/>
      </c>
      <c r="EB219" s="43" t="str">
        <f t="shared" si="3497"/>
        <v/>
      </c>
      <c r="EC219" s="43" t="str">
        <f t="shared" si="3498"/>
        <v/>
      </c>
      <c r="ED219" s="43" t="str">
        <f t="shared" si="3499"/>
        <v/>
      </c>
      <c r="EE219" s="43" t="str">
        <f t="shared" si="3500"/>
        <v/>
      </c>
      <c r="EF219" s="43" t="str">
        <f t="shared" si="3501"/>
        <v/>
      </c>
      <c r="EG219" s="43" t="str">
        <f t="shared" si="3502"/>
        <v/>
      </c>
      <c r="EH219" s="43" t="str">
        <f t="shared" si="3503"/>
        <v/>
      </c>
      <c r="EI219" s="43" t="str">
        <f t="shared" si="3504"/>
        <v/>
      </c>
      <c r="EJ219" s="43" t="str">
        <f t="shared" si="3505"/>
        <v/>
      </c>
      <c r="EK219" s="43" t="str">
        <f t="shared" si="3506"/>
        <v/>
      </c>
      <c r="EL219" s="43" t="str">
        <f t="shared" si="3507"/>
        <v/>
      </c>
      <c r="EM219" s="43" t="str">
        <f t="shared" si="3508"/>
        <v/>
      </c>
      <c r="EN219" s="43" t="str">
        <f t="shared" si="3509"/>
        <v/>
      </c>
      <c r="EO219" s="43" t="str">
        <f t="shared" si="3510"/>
        <v/>
      </c>
      <c r="EP219" s="43" t="str">
        <f t="shared" si="3511"/>
        <v/>
      </c>
      <c r="EQ219" s="43" t="str">
        <f t="shared" si="3512"/>
        <v/>
      </c>
      <c r="ER219" s="43" t="str">
        <f t="shared" si="3513"/>
        <v/>
      </c>
      <c r="ES219" s="43" t="str">
        <f t="shared" si="3514"/>
        <v/>
      </c>
      <c r="ET219" s="43" t="str">
        <f t="shared" si="3515"/>
        <v/>
      </c>
      <c r="EU219" s="43" t="str">
        <f t="shared" si="3516"/>
        <v/>
      </c>
      <c r="EV219" s="43" t="str">
        <f t="shared" si="3517"/>
        <v/>
      </c>
      <c r="EW219" s="43" t="str">
        <f t="shared" si="3518"/>
        <v/>
      </c>
      <c r="EX219" s="43" t="str">
        <f t="shared" si="3519"/>
        <v/>
      </c>
      <c r="EY219" s="43" t="str">
        <f t="shared" si="3520"/>
        <v/>
      </c>
      <c r="EZ219" s="43" t="str">
        <f t="shared" si="3521"/>
        <v/>
      </c>
      <c r="FA219" s="43" t="str">
        <f t="shared" si="3522"/>
        <v/>
      </c>
      <c r="FB219" s="43" t="str">
        <f t="shared" si="3523"/>
        <v/>
      </c>
      <c r="FC219" s="43" t="str">
        <f t="shared" si="3524"/>
        <v/>
      </c>
      <c r="FD219" s="43" t="str">
        <f t="shared" si="3525"/>
        <v/>
      </c>
      <c r="FE219" s="43" t="str">
        <f t="shared" si="3526"/>
        <v/>
      </c>
      <c r="FF219" s="43" t="str">
        <f t="shared" si="3527"/>
        <v/>
      </c>
      <c r="FG219" s="43" t="str">
        <f t="shared" si="3528"/>
        <v/>
      </c>
      <c r="FH219" s="43" t="str">
        <f t="shared" si="3529"/>
        <v/>
      </c>
      <c r="FI219" s="43" t="str">
        <f t="shared" si="3530"/>
        <v/>
      </c>
      <c r="FJ219" s="43" t="str">
        <f t="shared" si="3531"/>
        <v/>
      </c>
      <c r="FK219" s="43" t="str">
        <f t="shared" si="3532"/>
        <v/>
      </c>
      <c r="FL219" s="43" t="str">
        <f t="shared" si="3533"/>
        <v/>
      </c>
      <c r="FM219" s="43" t="str">
        <f t="shared" si="3534"/>
        <v/>
      </c>
      <c r="FN219" s="43" t="str">
        <f t="shared" si="3535"/>
        <v/>
      </c>
      <c r="FO219" s="43" t="str">
        <f t="shared" si="3536"/>
        <v/>
      </c>
      <c r="FP219" s="43" t="str">
        <f t="shared" si="3537"/>
        <v/>
      </c>
      <c r="FQ219" s="43" t="str">
        <f t="shared" si="3538"/>
        <v/>
      </c>
      <c r="FR219" s="43" t="str">
        <f t="shared" si="3539"/>
        <v/>
      </c>
      <c r="FS219" s="43" t="str">
        <f t="shared" si="3540"/>
        <v/>
      </c>
    </row>
    <row r="220" spans="1:175">
      <c r="A220" s="84"/>
      <c r="B220" s="7" t="s">
        <v>630</v>
      </c>
      <c r="C220" s="85" t="str">
        <f t="shared" si="3541"/>
        <v>已领取魔芝RPG礼包</v>
      </c>
      <c r="T220" s="85" t="s">
        <v>810</v>
      </c>
      <c r="U220" s="55" t="str">
        <f t="shared" si="3468"/>
        <v>ReplaceableTextures\\CommandButtons\\BTNIB58.blp</v>
      </c>
      <c r="CN220" s="12" t="str">
        <f t="shared" si="3542"/>
        <v>InitUnitState('IB58',,,,,,,,,,)</v>
      </c>
      <c r="CO220" s="12" t="str">
        <f t="shared" si="3543"/>
        <v>InitUnitNormal('IB58',,,,,,,,,,)</v>
      </c>
      <c r="CP220" s="12" t="str">
        <f t="shared" si="3544"/>
        <v>InitUnitMagic('IB58',,,,,,,,,,)</v>
      </c>
      <c r="CQ220" s="12" t="str">
        <f t="shared" si="3545"/>
        <v>InitUnitAdd('IB58',,,,,,,,,,)</v>
      </c>
      <c r="CR220" s="12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237&amp;CR$1&amp;")"</f>
        <v>InitEquipData('IB58',,"",,,,,'','','','','','',"")</v>
      </c>
      <c r="CU220" s="67" t="str">
        <f t="shared" si="3469"/>
        <v>|n</v>
      </c>
      <c r="CV220" s="5" t="str">
        <f t="shared" si="347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"/>
      <c r="CX220" s="6"/>
      <c r="CY220" s="6"/>
      <c r="CZ220" s="6"/>
      <c r="DA220" s="6"/>
      <c r="DB220" s="43" t="str">
        <f t="shared" ref="DB220:FM220" si="3546">IF(V220="","","|n"&amp;DB$2&amp;"+"&amp;V220&amp;DB$1)</f>
        <v/>
      </c>
      <c r="DC220" s="43" t="str">
        <f t="shared" si="3546"/>
        <v/>
      </c>
      <c r="DD220" s="43" t="str">
        <f t="shared" si="3546"/>
        <v/>
      </c>
      <c r="DE220" s="43" t="str">
        <f t="shared" si="3546"/>
        <v/>
      </c>
      <c r="DF220" s="43" t="str">
        <f t="shared" si="3546"/>
        <v/>
      </c>
      <c r="DG220" s="43" t="str">
        <f t="shared" si="3546"/>
        <v/>
      </c>
      <c r="DH220" s="43" t="str">
        <f t="shared" si="3546"/>
        <v/>
      </c>
      <c r="DI220" s="43" t="str">
        <f t="shared" si="3546"/>
        <v/>
      </c>
      <c r="DJ220" s="43" t="str">
        <f t="shared" si="3546"/>
        <v/>
      </c>
      <c r="DK220" s="43" t="str">
        <f t="shared" si="3546"/>
        <v/>
      </c>
      <c r="DL220" s="43" t="str">
        <f t="shared" si="3546"/>
        <v/>
      </c>
      <c r="DM220" s="43" t="str">
        <f t="shared" si="3546"/>
        <v/>
      </c>
      <c r="DN220" s="43" t="str">
        <f t="shared" si="3546"/>
        <v/>
      </c>
      <c r="DO220" s="43" t="str">
        <f t="shared" si="3546"/>
        <v/>
      </c>
      <c r="DP220" s="43" t="str">
        <f t="shared" si="3546"/>
        <v/>
      </c>
      <c r="DQ220" s="43" t="str">
        <f t="shared" si="3546"/>
        <v/>
      </c>
      <c r="DR220" s="43" t="str">
        <f t="shared" si="3546"/>
        <v/>
      </c>
      <c r="DS220" s="43" t="str">
        <f t="shared" si="3546"/>
        <v/>
      </c>
      <c r="DT220" s="43" t="str">
        <f t="shared" si="3546"/>
        <v/>
      </c>
      <c r="DU220" s="43" t="str">
        <f t="shared" si="3546"/>
        <v/>
      </c>
      <c r="DV220" s="43" t="str">
        <f t="shared" si="3546"/>
        <v/>
      </c>
      <c r="DW220" s="43" t="str">
        <f t="shared" si="3546"/>
        <v/>
      </c>
      <c r="DX220" s="43" t="str">
        <f t="shared" si="3546"/>
        <v/>
      </c>
      <c r="DY220" s="43" t="str">
        <f t="shared" si="3546"/>
        <v/>
      </c>
      <c r="DZ220" s="43" t="str">
        <f t="shared" si="3546"/>
        <v/>
      </c>
      <c r="EA220" s="43" t="str">
        <f t="shared" si="3546"/>
        <v/>
      </c>
      <c r="EB220" s="43" t="str">
        <f t="shared" si="3546"/>
        <v/>
      </c>
      <c r="EC220" s="43" t="str">
        <f t="shared" si="3546"/>
        <v/>
      </c>
      <c r="ED220" s="43" t="str">
        <f t="shared" si="3546"/>
        <v/>
      </c>
      <c r="EE220" s="43" t="str">
        <f t="shared" si="3546"/>
        <v/>
      </c>
      <c r="EF220" s="43" t="str">
        <f t="shared" si="3546"/>
        <v/>
      </c>
      <c r="EG220" s="43" t="str">
        <f t="shared" si="3546"/>
        <v/>
      </c>
      <c r="EH220" s="43" t="str">
        <f t="shared" si="3546"/>
        <v/>
      </c>
      <c r="EI220" s="43" t="str">
        <f t="shared" si="3546"/>
        <v/>
      </c>
      <c r="EJ220" s="43" t="str">
        <f t="shared" si="3546"/>
        <v/>
      </c>
      <c r="EK220" s="43" t="str">
        <f t="shared" si="3546"/>
        <v/>
      </c>
      <c r="EL220" s="43" t="str">
        <f t="shared" si="3546"/>
        <v/>
      </c>
      <c r="EM220" s="43" t="str">
        <f t="shared" si="3546"/>
        <v/>
      </c>
      <c r="EN220" s="43" t="str">
        <f t="shared" si="3546"/>
        <v/>
      </c>
      <c r="EO220" s="43" t="str">
        <f t="shared" si="3546"/>
        <v/>
      </c>
      <c r="EP220" s="43" t="str">
        <f t="shared" si="3546"/>
        <v/>
      </c>
      <c r="EQ220" s="43" t="str">
        <f t="shared" si="3546"/>
        <v/>
      </c>
      <c r="ER220" s="43" t="str">
        <f t="shared" si="3546"/>
        <v/>
      </c>
      <c r="ES220" s="43" t="str">
        <f t="shared" si="3546"/>
        <v/>
      </c>
      <c r="ET220" s="43" t="str">
        <f t="shared" si="3546"/>
        <v/>
      </c>
      <c r="EU220" s="43" t="str">
        <f t="shared" si="3546"/>
        <v/>
      </c>
      <c r="EV220" s="43" t="str">
        <f t="shared" si="3546"/>
        <v/>
      </c>
      <c r="EW220" s="43" t="str">
        <f t="shared" si="3546"/>
        <v/>
      </c>
      <c r="EX220" s="43" t="str">
        <f t="shared" si="3546"/>
        <v/>
      </c>
      <c r="EY220" s="43" t="str">
        <f t="shared" si="3546"/>
        <v/>
      </c>
      <c r="EZ220" s="43" t="str">
        <f t="shared" si="3546"/>
        <v/>
      </c>
      <c r="FA220" s="43" t="str">
        <f t="shared" si="3546"/>
        <v/>
      </c>
      <c r="FB220" s="43" t="str">
        <f t="shared" si="3546"/>
        <v/>
      </c>
      <c r="FC220" s="43" t="str">
        <f t="shared" si="3546"/>
        <v/>
      </c>
      <c r="FD220" s="43" t="str">
        <f t="shared" si="3546"/>
        <v/>
      </c>
      <c r="FE220" s="43" t="str">
        <f t="shared" si="3546"/>
        <v/>
      </c>
      <c r="FF220" s="43" t="str">
        <f t="shared" si="3546"/>
        <v/>
      </c>
      <c r="FG220" s="43" t="str">
        <f t="shared" si="3546"/>
        <v/>
      </c>
      <c r="FH220" s="43" t="str">
        <f t="shared" si="3546"/>
        <v/>
      </c>
      <c r="FI220" s="43" t="str">
        <f t="shared" si="3546"/>
        <v/>
      </c>
      <c r="FJ220" s="43" t="str">
        <f t="shared" si="3546"/>
        <v/>
      </c>
      <c r="FK220" s="43" t="str">
        <f t="shared" si="3546"/>
        <v/>
      </c>
      <c r="FL220" s="43" t="str">
        <f t="shared" si="3546"/>
        <v/>
      </c>
      <c r="FM220" s="43" t="str">
        <f t="shared" si="3546"/>
        <v/>
      </c>
      <c r="FN220" s="43" t="str">
        <f t="shared" ref="FN220:FS220" si="3547">IF(CH220="","","|n"&amp;FN$2&amp;"+"&amp;CH220&amp;FN$1)</f>
        <v/>
      </c>
      <c r="FO220" s="43" t="str">
        <f t="shared" si="3547"/>
        <v/>
      </c>
      <c r="FP220" s="43" t="str">
        <f t="shared" si="3547"/>
        <v/>
      </c>
      <c r="FQ220" s="43" t="str">
        <f t="shared" si="3547"/>
        <v/>
      </c>
      <c r="FR220" s="43" t="str">
        <f t="shared" si="3547"/>
        <v/>
      </c>
      <c r="FS220" s="43" t="str">
        <f t="shared" si="3547"/>
        <v/>
      </c>
    </row>
    <row r="221" spans="1:175">
      <c r="A221" s="84"/>
      <c r="B221" s="7" t="s">
        <v>631</v>
      </c>
      <c r="C221" s="85" t="str">
        <f t="shared" si="3541"/>
        <v>已领取老铁礼包</v>
      </c>
      <c r="T221" s="85" t="s">
        <v>632</v>
      </c>
      <c r="U221" s="55" t="str">
        <f t="shared" si="3468"/>
        <v>ReplaceableTextures\\CommandButtons\\BTNIB59.blp</v>
      </c>
      <c r="CN221" s="12" t="str">
        <f t="shared" si="3542"/>
        <v>InitUnitState('IB59',,,,,,,,,,)</v>
      </c>
      <c r="CO221" s="12" t="str">
        <f t="shared" si="3543"/>
        <v>InitUnitNormal('IB59',,,,,,,,,,)</v>
      </c>
      <c r="CP221" s="12" t="str">
        <f t="shared" si="3544"/>
        <v>InitUnitMagic('IB59',,,,,,,,,,)</v>
      </c>
      <c r="CQ221" s="12" t="str">
        <f t="shared" si="3545"/>
        <v>InitUnitAdd('IB59',,,,,,,,,,)</v>
      </c>
      <c r="CR221" s="12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238&amp;CR$1&amp;")"</f>
        <v>InitEquipData('IB59',,"",,,,,'','','','','','',"")</v>
      </c>
      <c r="CU221" s="67" t="str">
        <f t="shared" si="3469"/>
        <v>|n</v>
      </c>
      <c r="CV221" s="5" t="str">
        <f t="shared" si="3470"/>
        <v>已领取老铁礼包</v>
      </c>
      <c r="CW221" s="6"/>
      <c r="CX221" s="6"/>
      <c r="CY221" s="6"/>
      <c r="CZ221" s="6"/>
      <c r="DA221" s="6"/>
      <c r="DB221" s="43" t="str">
        <f t="shared" ref="DB221:FM221" si="3548">IF(V221="","","|n"&amp;DB$2&amp;"+"&amp;V221&amp;DB$1)</f>
        <v/>
      </c>
      <c r="DC221" s="43" t="str">
        <f t="shared" si="3548"/>
        <v/>
      </c>
      <c r="DD221" s="43" t="str">
        <f t="shared" si="3548"/>
        <v/>
      </c>
      <c r="DE221" s="43" t="str">
        <f t="shared" si="3548"/>
        <v/>
      </c>
      <c r="DF221" s="43" t="str">
        <f t="shared" si="3548"/>
        <v/>
      </c>
      <c r="DG221" s="43" t="str">
        <f t="shared" si="3548"/>
        <v/>
      </c>
      <c r="DH221" s="43" t="str">
        <f t="shared" si="3548"/>
        <v/>
      </c>
      <c r="DI221" s="43" t="str">
        <f t="shared" si="3548"/>
        <v/>
      </c>
      <c r="DJ221" s="43" t="str">
        <f t="shared" si="3548"/>
        <v/>
      </c>
      <c r="DK221" s="43" t="str">
        <f t="shared" si="3548"/>
        <v/>
      </c>
      <c r="DL221" s="43" t="str">
        <f t="shared" si="3548"/>
        <v/>
      </c>
      <c r="DM221" s="43" t="str">
        <f t="shared" si="3548"/>
        <v/>
      </c>
      <c r="DN221" s="43" t="str">
        <f t="shared" si="3548"/>
        <v/>
      </c>
      <c r="DO221" s="43" t="str">
        <f t="shared" si="3548"/>
        <v/>
      </c>
      <c r="DP221" s="43" t="str">
        <f t="shared" si="3548"/>
        <v/>
      </c>
      <c r="DQ221" s="43" t="str">
        <f t="shared" si="3548"/>
        <v/>
      </c>
      <c r="DR221" s="43" t="str">
        <f t="shared" si="3548"/>
        <v/>
      </c>
      <c r="DS221" s="43" t="str">
        <f t="shared" si="3548"/>
        <v/>
      </c>
      <c r="DT221" s="43" t="str">
        <f t="shared" si="3548"/>
        <v/>
      </c>
      <c r="DU221" s="43" t="str">
        <f t="shared" si="3548"/>
        <v/>
      </c>
      <c r="DV221" s="43" t="str">
        <f t="shared" si="3548"/>
        <v/>
      </c>
      <c r="DW221" s="43" t="str">
        <f t="shared" si="3548"/>
        <v/>
      </c>
      <c r="DX221" s="43" t="str">
        <f t="shared" si="3548"/>
        <v/>
      </c>
      <c r="DY221" s="43" t="str">
        <f t="shared" si="3548"/>
        <v/>
      </c>
      <c r="DZ221" s="43" t="str">
        <f t="shared" si="3548"/>
        <v/>
      </c>
      <c r="EA221" s="43" t="str">
        <f t="shared" si="3548"/>
        <v/>
      </c>
      <c r="EB221" s="43" t="str">
        <f t="shared" si="3548"/>
        <v/>
      </c>
      <c r="EC221" s="43" t="str">
        <f t="shared" si="3548"/>
        <v/>
      </c>
      <c r="ED221" s="43" t="str">
        <f t="shared" si="3548"/>
        <v/>
      </c>
      <c r="EE221" s="43" t="str">
        <f t="shared" si="3548"/>
        <v/>
      </c>
      <c r="EF221" s="43" t="str">
        <f t="shared" si="3548"/>
        <v/>
      </c>
      <c r="EG221" s="43" t="str">
        <f t="shared" si="3548"/>
        <v/>
      </c>
      <c r="EH221" s="43" t="str">
        <f t="shared" si="3548"/>
        <v/>
      </c>
      <c r="EI221" s="43" t="str">
        <f t="shared" si="3548"/>
        <v/>
      </c>
      <c r="EJ221" s="43" t="str">
        <f t="shared" si="3548"/>
        <v/>
      </c>
      <c r="EK221" s="43" t="str">
        <f t="shared" si="3548"/>
        <v/>
      </c>
      <c r="EL221" s="43" t="str">
        <f t="shared" si="3548"/>
        <v/>
      </c>
      <c r="EM221" s="43" t="str">
        <f t="shared" si="3548"/>
        <v/>
      </c>
      <c r="EN221" s="43" t="str">
        <f t="shared" si="3548"/>
        <v/>
      </c>
      <c r="EO221" s="43" t="str">
        <f t="shared" si="3548"/>
        <v/>
      </c>
      <c r="EP221" s="43" t="str">
        <f t="shared" si="3548"/>
        <v/>
      </c>
      <c r="EQ221" s="43" t="str">
        <f t="shared" si="3548"/>
        <v/>
      </c>
      <c r="ER221" s="43" t="str">
        <f t="shared" si="3548"/>
        <v/>
      </c>
      <c r="ES221" s="43" t="str">
        <f t="shared" si="3548"/>
        <v/>
      </c>
      <c r="ET221" s="43" t="str">
        <f t="shared" si="3548"/>
        <v/>
      </c>
      <c r="EU221" s="43" t="str">
        <f t="shared" si="3548"/>
        <v/>
      </c>
      <c r="EV221" s="43" t="str">
        <f t="shared" si="3548"/>
        <v/>
      </c>
      <c r="EW221" s="43" t="str">
        <f t="shared" si="3548"/>
        <v/>
      </c>
      <c r="EX221" s="43" t="str">
        <f t="shared" si="3548"/>
        <v/>
      </c>
      <c r="EY221" s="43" t="str">
        <f t="shared" si="3548"/>
        <v/>
      </c>
      <c r="EZ221" s="43" t="str">
        <f t="shared" si="3548"/>
        <v/>
      </c>
      <c r="FA221" s="43" t="str">
        <f t="shared" si="3548"/>
        <v/>
      </c>
      <c r="FB221" s="43" t="str">
        <f t="shared" si="3548"/>
        <v/>
      </c>
      <c r="FC221" s="43" t="str">
        <f t="shared" si="3548"/>
        <v/>
      </c>
      <c r="FD221" s="43" t="str">
        <f t="shared" si="3548"/>
        <v/>
      </c>
      <c r="FE221" s="43" t="str">
        <f t="shared" si="3548"/>
        <v/>
      </c>
      <c r="FF221" s="43" t="str">
        <f t="shared" si="3548"/>
        <v/>
      </c>
      <c r="FG221" s="43" t="str">
        <f t="shared" si="3548"/>
        <v/>
      </c>
      <c r="FH221" s="43" t="str">
        <f t="shared" si="3548"/>
        <v/>
      </c>
      <c r="FI221" s="43" t="str">
        <f t="shared" si="3548"/>
        <v/>
      </c>
      <c r="FJ221" s="43" t="str">
        <f t="shared" si="3548"/>
        <v/>
      </c>
      <c r="FK221" s="43" t="str">
        <f t="shared" si="3548"/>
        <v/>
      </c>
      <c r="FL221" s="43" t="str">
        <f t="shared" si="3548"/>
        <v/>
      </c>
      <c r="FM221" s="43" t="str">
        <f t="shared" si="3548"/>
        <v/>
      </c>
      <c r="FN221" s="43" t="str">
        <f t="shared" ref="FN221:FS221" si="3549">IF(CH221="","","|n"&amp;FN$2&amp;"+"&amp;CH221&amp;FN$1)</f>
        <v/>
      </c>
      <c r="FO221" s="43" t="str">
        <f t="shared" si="3549"/>
        <v/>
      </c>
      <c r="FP221" s="43" t="str">
        <f t="shared" si="3549"/>
        <v/>
      </c>
      <c r="FQ221" s="43" t="str">
        <f t="shared" si="3549"/>
        <v/>
      </c>
      <c r="FR221" s="43" t="str">
        <f t="shared" si="3549"/>
        <v/>
      </c>
      <c r="FS221" s="43" t="str">
        <f t="shared" si="3549"/>
        <v/>
      </c>
    </row>
    <row r="222" spans="1:175" ht="16.5">
      <c r="A222" s="94"/>
      <c r="B222" s="7" t="s">
        <v>633</v>
      </c>
      <c r="C222" s="5" t="s">
        <v>117</v>
      </c>
      <c r="T222" s="101"/>
      <c r="U222" s="55" t="str">
        <f t="shared" si="3468"/>
        <v>ReplaceableTextures\\CommandButtons\\BTNIF01.blp</v>
      </c>
      <c r="CN222" s="12" t="str">
        <f t="shared" ref="CN222:CN249" si="3550">"InitUnitState('"&amp;B222&amp;"',"&amp;V222&amp;","&amp;W222&amp;","&amp;X222&amp;","&amp;Y222&amp;","&amp;Z222&amp;","&amp;AA222&amp;","&amp;AB222&amp;","&amp;AC222&amp;","&amp;AD222&amp;","&amp;AE222&amp;")"</f>
        <v>InitUnitState('IF01',,,,,,,,,,)</v>
      </c>
      <c r="CO222" s="12" t="str">
        <f t="shared" ref="CO222:CO249" si="3551">"InitUnitNormal('"&amp;B222&amp;"',"&amp;AF222&amp;","&amp;AG222&amp;","&amp;AH222&amp;","&amp;AI222&amp;","&amp;AJ222&amp;","&amp;AK222&amp;","&amp;AL222&amp;","&amp;AM222&amp;","&amp;AN222&amp;","&amp;AO222&amp;")"</f>
        <v>InitUnitNormal('IF01',,,,,,,,,,)</v>
      </c>
      <c r="CP222" s="12" t="str">
        <f t="shared" ref="CP222:CP249" si="3552">"InitUnitMagic('"&amp;B222&amp;"',"&amp;AP222&amp;","&amp;AQ222&amp;","&amp;AR222&amp;","&amp;AS222&amp;","&amp;AT222&amp;","&amp;AU222&amp;","&amp;AV222&amp;","&amp;AW222&amp;","&amp;BI222&amp;","&amp;BJ222&amp;")"</f>
        <v>InitUnitMagic('IF01',,,,,,,,,,)</v>
      </c>
      <c r="CQ222" s="12" t="str">
        <f t="shared" ref="CQ222:CQ249" si="3553">"InitUnitAdd('"&amp;B222&amp;"',"&amp;BK222&amp;","&amp;BL222&amp;","&amp;BM222&amp;","&amp;BN222&amp;","&amp;BO222&amp;","&amp;BP222&amp;","&amp;BQ222&amp;","&amp;BR222&amp;","&amp;BS222&amp;","&amp;BT222&amp;")"</f>
        <v>InitUnitAdd('IF01',,,,,,,,,,)</v>
      </c>
      <c r="CR222" s="12" t="str">
        <f t="shared" ref="CR222:CR258" si="3554"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InitEquipData('IF01',,"",,,,,'','','','','','',"")</v>
      </c>
      <c r="CU222" s="67" t="str">
        <f t="shared" ref="CU222:CU244" si="3555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W222" s="6"/>
      <c r="CX222" s="6"/>
      <c r="CY222" s="6"/>
      <c r="CZ222" s="6"/>
      <c r="DA222" s="6"/>
      <c r="DB222" s="43" t="str">
        <f t="shared" ref="DB222:DB244" si="3556">IF(V222="","","|n"&amp;DB$2&amp;"+"&amp;V222&amp;DB$1)</f>
        <v/>
      </c>
      <c r="DC222" s="43" t="str">
        <f t="shared" ref="DC222:DC244" si="3557">IF(W222="","","|n"&amp;DC$2&amp;"+"&amp;W222&amp;DC$1)</f>
        <v/>
      </c>
      <c r="DD222" s="43" t="str">
        <f t="shared" ref="DD222:DD244" si="3558">IF(X222="","","|n"&amp;DD$2&amp;"+"&amp;X222&amp;DD$1)</f>
        <v/>
      </c>
      <c r="DE222" s="43" t="str">
        <f t="shared" ref="DE222:DE244" si="3559">IF(Y222="","","|n"&amp;DE$2&amp;"+"&amp;Y222&amp;DE$1)</f>
        <v/>
      </c>
      <c r="DF222" s="43" t="str">
        <f t="shared" ref="DF222:DF244" si="3560">IF(Z222="","","|n"&amp;DF$2&amp;"+"&amp;Z222&amp;DF$1)</f>
        <v/>
      </c>
      <c r="DG222" s="43" t="str">
        <f t="shared" ref="DG222:DG244" si="3561">IF(AA222="","","|n"&amp;DG$2&amp;"+"&amp;AA222&amp;DG$1)</f>
        <v/>
      </c>
      <c r="DH222" s="43" t="str">
        <f t="shared" ref="DH222:DH244" si="3562">IF(AB222="","","|n"&amp;DH$2&amp;"+"&amp;AB222&amp;DH$1)</f>
        <v/>
      </c>
      <c r="DI222" s="43" t="str">
        <f t="shared" ref="DI222:DI244" si="3563">IF(AC222="","","|n"&amp;DI$2&amp;"+"&amp;AC222&amp;DI$1)</f>
        <v/>
      </c>
      <c r="DJ222" s="43" t="str">
        <f t="shared" ref="DJ222:DJ244" si="3564">IF(AD222="","","|n"&amp;DJ$2&amp;"+"&amp;AD222&amp;DJ$1)</f>
        <v/>
      </c>
      <c r="DK222" s="43" t="str">
        <f t="shared" ref="DK222:DK244" si="3565">IF(AE222="","","|n"&amp;DK$2&amp;"+"&amp;AE222&amp;DK$1)</f>
        <v/>
      </c>
      <c r="DL222" s="43" t="str">
        <f t="shared" ref="DL222:DL244" si="3566">IF(AF222="","","|n"&amp;DL$2&amp;"+"&amp;AF222&amp;DL$1)</f>
        <v/>
      </c>
      <c r="DM222" s="43" t="str">
        <f t="shared" ref="DM222:DM244" si="3567">IF(AG222="","","|n"&amp;DM$2&amp;"+"&amp;AG222&amp;DM$1)</f>
        <v/>
      </c>
      <c r="DN222" s="43" t="str">
        <f t="shared" ref="DN222:DN244" si="3568">IF(AH222="","","|n"&amp;DN$2&amp;"+"&amp;AH222&amp;DN$1)</f>
        <v/>
      </c>
      <c r="DO222" s="43" t="str">
        <f t="shared" ref="DO222:DO244" si="3569">IF(AI222="","","|n"&amp;DO$2&amp;"+"&amp;AI222&amp;DO$1)</f>
        <v/>
      </c>
      <c r="DP222" s="43" t="str">
        <f t="shared" ref="DP222:DP244" si="3570">IF(AJ222="","","|n"&amp;DP$2&amp;"+"&amp;AJ222&amp;DP$1)</f>
        <v/>
      </c>
      <c r="DQ222" s="43" t="str">
        <f t="shared" ref="DQ222:DQ244" si="3571">IF(AK222="","","|n"&amp;DQ$2&amp;"+"&amp;AK222&amp;DQ$1)</f>
        <v/>
      </c>
      <c r="DR222" s="43" t="str">
        <f t="shared" ref="DR222:DR244" si="3572">IF(AL222="","","|n"&amp;DR$2&amp;"+"&amp;AL222&amp;DR$1)</f>
        <v/>
      </c>
      <c r="DS222" s="43" t="str">
        <f t="shared" ref="DS222:DS244" si="3573">IF(AM222="","","|n"&amp;DS$2&amp;"+"&amp;AM222&amp;DS$1)</f>
        <v/>
      </c>
      <c r="DT222" s="43" t="str">
        <f t="shared" ref="DT222:DT244" si="3574">IF(AN222="","","|n"&amp;DT$2&amp;"+"&amp;AN222&amp;DT$1)</f>
        <v/>
      </c>
      <c r="DU222" s="43" t="str">
        <f t="shared" ref="DU222:DU244" si="3575">IF(AO222="","","|n"&amp;DU$2&amp;"+"&amp;AO222&amp;DU$1)</f>
        <v/>
      </c>
      <c r="DV222" s="43" t="str">
        <f t="shared" ref="DV222:DV244" si="3576">IF(AP222="","","|n"&amp;DV$2&amp;"+"&amp;AP222&amp;DV$1)</f>
        <v/>
      </c>
      <c r="DW222" s="43" t="str">
        <f t="shared" ref="DW222:DW244" si="3577">IF(AQ222="","","|n"&amp;DW$2&amp;"+"&amp;AQ222&amp;DW$1)</f>
        <v/>
      </c>
      <c r="DX222" s="43" t="str">
        <f t="shared" ref="DX222:DX244" si="3578">IF(AR222="","","|n"&amp;DX$2&amp;"+"&amp;AR222&amp;DX$1)</f>
        <v/>
      </c>
      <c r="DY222" s="43" t="str">
        <f t="shared" ref="DY222:DY244" si="3579">IF(AS222="","","|n"&amp;DY$2&amp;"+"&amp;AS222&amp;DY$1)</f>
        <v/>
      </c>
      <c r="DZ222" s="43" t="str">
        <f t="shared" ref="DZ222:DZ244" si="3580">IF(AT222="","","|n"&amp;DZ$2&amp;"+"&amp;AT222&amp;DZ$1)</f>
        <v/>
      </c>
      <c r="EA222" s="43" t="str">
        <f t="shared" ref="EA222:EA244" si="3581">IF(AU222="","","|n"&amp;EA$2&amp;"+"&amp;AU222&amp;EA$1)</f>
        <v/>
      </c>
      <c r="EB222" s="43" t="str">
        <f t="shared" ref="EB222:EB244" si="3582">IF(AV222="","","|n"&amp;EB$2&amp;"+"&amp;AV222&amp;EB$1)</f>
        <v/>
      </c>
      <c r="EC222" s="43" t="str">
        <f t="shared" ref="EC222:EC244" si="3583">IF(AW222="","","|n"&amp;EC$2&amp;"+"&amp;AW222&amp;EC$1)</f>
        <v/>
      </c>
      <c r="ED222" s="43" t="str">
        <f t="shared" ref="ED222:ED244" si="3584">IF(AX222="","","|n"&amp;ED$2&amp;"+"&amp;AX222&amp;ED$1)</f>
        <v/>
      </c>
      <c r="EE222" s="43" t="str">
        <f t="shared" ref="EE222:EE244" si="3585">IF(AY222="","","|n"&amp;EE$2&amp;"+"&amp;AY222&amp;EE$1)</f>
        <v/>
      </c>
      <c r="EF222" s="43" t="str">
        <f t="shared" ref="EF222:EF244" si="3586">IF(AZ222="","","|n"&amp;EF$2&amp;"+"&amp;AZ222&amp;EF$1)</f>
        <v/>
      </c>
      <c r="EG222" s="43" t="str">
        <f t="shared" ref="EG222:EG244" si="3587">IF(BA222="","","|n"&amp;EG$2&amp;"+"&amp;BA222&amp;EG$1)</f>
        <v/>
      </c>
      <c r="EH222" s="43" t="str">
        <f t="shared" ref="EH222:EH244" si="3588">IF(BB222="","","|n"&amp;EH$2&amp;"+"&amp;BB222&amp;EH$1)</f>
        <v/>
      </c>
      <c r="EI222" s="43" t="str">
        <f t="shared" ref="EI222:EI244" si="3589">IF(BC222="","","|n"&amp;EI$2&amp;"+"&amp;BC222&amp;EI$1)</f>
        <v/>
      </c>
      <c r="EJ222" s="43" t="str">
        <f t="shared" ref="EJ222:EJ244" si="3590">IF(BD222="","","|n"&amp;EJ$2&amp;"+"&amp;BD222&amp;EJ$1)</f>
        <v/>
      </c>
      <c r="EK222" s="43" t="str">
        <f t="shared" ref="EK222:EK244" si="3591">IF(BE222="","","|n"&amp;EK$2&amp;"+"&amp;BE222&amp;EK$1)</f>
        <v/>
      </c>
      <c r="EL222" s="43" t="str">
        <f t="shared" ref="EL222:EL244" si="3592">IF(BF222="","","|n"&amp;EL$2&amp;"+"&amp;BF222&amp;EL$1)</f>
        <v/>
      </c>
      <c r="EM222" s="43" t="str">
        <f t="shared" ref="EM222:EM244" si="3593">IF(BG222="","","|n"&amp;EM$2&amp;"+"&amp;BG222&amp;EM$1)</f>
        <v/>
      </c>
      <c r="EN222" s="43" t="str">
        <f t="shared" ref="EN222:EN244" si="3594">IF(BH222="","","|n"&amp;EN$2&amp;"+"&amp;BH222&amp;EN$1)</f>
        <v/>
      </c>
      <c r="EO222" s="43" t="str">
        <f t="shared" ref="EO222:EO244" si="3595">IF(BI222="","","|n"&amp;EO$2&amp;"+"&amp;BI222&amp;EO$1)</f>
        <v/>
      </c>
      <c r="EP222" s="43" t="str">
        <f t="shared" ref="EP222:EP244" si="3596">IF(BJ222="","","|n"&amp;EP$2&amp;"+"&amp;BJ222&amp;EP$1)</f>
        <v/>
      </c>
      <c r="EQ222" s="43" t="str">
        <f t="shared" ref="EQ222:EQ244" si="3597">IF(BK222="","","|n"&amp;EQ$2&amp;"+"&amp;BK222&amp;EQ$1)</f>
        <v/>
      </c>
      <c r="ER222" s="43" t="str">
        <f t="shared" ref="ER222:ER244" si="3598">IF(BL222="","","|n"&amp;ER$2&amp;"+"&amp;BL222&amp;ER$1)</f>
        <v/>
      </c>
      <c r="ES222" s="43" t="str">
        <f t="shared" ref="ES222:ES244" si="3599">IF(BM222="","","|n"&amp;ES$2&amp;"+"&amp;BM222&amp;ES$1)</f>
        <v/>
      </c>
      <c r="ET222" s="43" t="str">
        <f t="shared" ref="ET222:ET244" si="3600">IF(BN222="","","|n"&amp;ET$2&amp;"+"&amp;BN222&amp;ET$1)</f>
        <v/>
      </c>
      <c r="EU222" s="43" t="str">
        <f t="shared" ref="EU222:EU244" si="3601">IF(BO222="","","|n"&amp;EU$2&amp;"+"&amp;BO222&amp;EU$1)</f>
        <v/>
      </c>
      <c r="EV222" s="43" t="str">
        <f t="shared" ref="EV222:EV244" si="3602">IF(BP222="","","|n"&amp;EV$2&amp;"+"&amp;BP222&amp;EV$1)</f>
        <v/>
      </c>
      <c r="EW222" s="43" t="str">
        <f t="shared" ref="EW222:EW244" si="3603">IF(BQ222="","","|n"&amp;EW$2&amp;"+"&amp;BQ222&amp;EW$1)</f>
        <v/>
      </c>
      <c r="EX222" s="43" t="str">
        <f t="shared" ref="EX222:EX244" si="3604">IF(BR222="","","|n"&amp;EX$2&amp;"+"&amp;BR222&amp;EX$1)</f>
        <v/>
      </c>
      <c r="EY222" s="43" t="str">
        <f t="shared" ref="EY222:EY244" si="3605">IF(BS222="","","|n"&amp;EY$2&amp;"+"&amp;BS222&amp;EY$1)</f>
        <v/>
      </c>
      <c r="EZ222" s="43" t="str">
        <f t="shared" ref="EZ222:EZ244" si="3606">IF(BT222="","","|n"&amp;EZ$2&amp;"+"&amp;BT222&amp;EZ$1)</f>
        <v/>
      </c>
      <c r="FA222" s="43" t="str">
        <f t="shared" ref="FA222:FA244" si="3607">IF(BU222="","","|n"&amp;FA$2&amp;"+"&amp;BU222&amp;FA$1)</f>
        <v/>
      </c>
      <c r="FB222" s="43" t="str">
        <f t="shared" ref="FB222:FB244" si="3608">IF(BV222="","","|n"&amp;FB$2&amp;"+"&amp;BV222&amp;FB$1)</f>
        <v/>
      </c>
      <c r="FC222" s="43" t="str">
        <f t="shared" ref="FC222:FC244" si="3609">IF(BW222="","","|n"&amp;FC$2&amp;"+"&amp;BW222&amp;FC$1)</f>
        <v/>
      </c>
      <c r="FD222" s="43" t="str">
        <f t="shared" ref="FD222:FD244" si="3610">IF(BX222="","","|n"&amp;FD$2&amp;"+"&amp;BX222&amp;FD$1)</f>
        <v/>
      </c>
      <c r="FE222" s="43" t="str">
        <f t="shared" ref="FE222:FE244" si="3611">IF(BY222="","","|n"&amp;FE$2&amp;"+"&amp;BY222&amp;FE$1)</f>
        <v/>
      </c>
      <c r="FF222" s="43" t="str">
        <f t="shared" ref="FF222:FF244" si="3612">IF(BZ222="","","|n"&amp;FF$2&amp;"+"&amp;BZ222&amp;FF$1)</f>
        <v/>
      </c>
      <c r="FG222" s="43" t="str">
        <f t="shared" ref="FG222:FG244" si="3613">IF(CA222="","","|n"&amp;FG$2&amp;"+"&amp;CA222&amp;FG$1)</f>
        <v/>
      </c>
      <c r="FH222" s="43" t="str">
        <f t="shared" ref="FH222:FH244" si="3614">IF(CB222="","","|n"&amp;FH$2&amp;"+"&amp;CB222&amp;FH$1)</f>
        <v/>
      </c>
      <c r="FI222" s="43" t="str">
        <f t="shared" ref="FI222:FI244" si="3615">IF(CC222="","","|n"&amp;FI$2&amp;"+"&amp;CC222&amp;FI$1)</f>
        <v/>
      </c>
      <c r="FJ222" s="43" t="str">
        <f t="shared" ref="FJ222:FJ244" si="3616">IF(CD222="","","|n"&amp;FJ$2&amp;"+"&amp;CD222&amp;FJ$1)</f>
        <v/>
      </c>
      <c r="FK222" s="43" t="str">
        <f t="shared" ref="FK222:FK244" si="3617">IF(CE222="","","|n"&amp;FK$2&amp;"+"&amp;CE222&amp;FK$1)</f>
        <v/>
      </c>
      <c r="FL222" s="43" t="str">
        <f t="shared" ref="FL222:FL244" si="3618">IF(CF222="","","|n"&amp;FL$2&amp;"+"&amp;CF222&amp;FL$1)</f>
        <v/>
      </c>
      <c r="FM222" s="43" t="str">
        <f t="shared" ref="FM222:FM244" si="3619">IF(CG222="","","|n"&amp;FM$2&amp;"+"&amp;CG222&amp;FM$1)</f>
        <v/>
      </c>
      <c r="FN222" s="43" t="str">
        <f t="shared" ref="FN222:FN244" si="3620">IF(CH222="","","|n"&amp;FN$2&amp;"+"&amp;CH222&amp;FN$1)</f>
        <v/>
      </c>
      <c r="FO222" s="43" t="str">
        <f t="shared" ref="FO222:FO244" si="3621">IF(CI222="","","|n"&amp;FO$2&amp;"+"&amp;CI222&amp;FO$1)</f>
        <v/>
      </c>
      <c r="FP222" s="43" t="str">
        <f t="shared" ref="FP222:FP244" si="3622">IF(CJ222="","","|n"&amp;FP$2&amp;"+"&amp;CJ222&amp;FP$1)</f>
        <v/>
      </c>
      <c r="FQ222" s="43" t="str">
        <f t="shared" ref="FQ222:FQ244" si="3623">IF(CK222="","","|n"&amp;FQ$2&amp;"+"&amp;CK222&amp;FQ$1)</f>
        <v/>
      </c>
      <c r="FR222" s="43" t="str">
        <f t="shared" ref="FR222:FR244" si="3624">IF(CL222="","","|n"&amp;FR$2&amp;"+"&amp;CL222&amp;FR$1)</f>
        <v/>
      </c>
      <c r="FS222" s="43" t="str">
        <f t="shared" ref="FS222:FS244" si="3625">IF(CM222="","","|n"&amp;FS$2&amp;"+"&amp;CM222&amp;FS$1)</f>
        <v/>
      </c>
    </row>
    <row r="223" spans="1:175" ht="16.5">
      <c r="A223" s="94"/>
      <c r="B223" s="7" t="s">
        <v>634</v>
      </c>
      <c r="C223" s="5" t="s">
        <v>635</v>
      </c>
      <c r="T223" s="101"/>
      <c r="U223" s="55"/>
      <c r="CN223" s="12" t="str">
        <f t="shared" si="3550"/>
        <v>InitUnitState('IF02',,,,,,,,,,)</v>
      </c>
      <c r="CO223" s="12" t="str">
        <f t="shared" si="3551"/>
        <v>InitUnitNormal('IF02',,,,,,,,,,)</v>
      </c>
      <c r="CP223" s="12" t="str">
        <f t="shared" si="3552"/>
        <v>InitUnitMagic('IF02',,,,,,,,,,)</v>
      </c>
      <c r="CQ223" s="12" t="str">
        <f t="shared" si="3553"/>
        <v>InitUnitAdd('IF02',,,,,,,,,,)</v>
      </c>
      <c r="CR223" s="12" t="str">
        <f t="shared" si="3554"/>
        <v>InitEquipData('IF02',,"",,,,,'','','','','','',"")</v>
      </c>
      <c r="CU223" s="67" t="str">
        <f t="shared" si="3555"/>
        <v>|n</v>
      </c>
      <c r="CW223" s="6"/>
      <c r="CX223" s="6"/>
      <c r="CY223" s="6"/>
      <c r="CZ223" s="6"/>
      <c r="DA223" s="6"/>
      <c r="DB223" s="43" t="str">
        <f t="shared" si="3556"/>
        <v/>
      </c>
      <c r="DC223" s="43" t="str">
        <f t="shared" si="3557"/>
        <v/>
      </c>
      <c r="DD223" s="43" t="str">
        <f t="shared" si="3558"/>
        <v/>
      </c>
      <c r="DE223" s="43" t="str">
        <f t="shared" si="3559"/>
        <v/>
      </c>
      <c r="DF223" s="43" t="str">
        <f t="shared" si="3560"/>
        <v/>
      </c>
      <c r="DG223" s="43" t="str">
        <f t="shared" si="3561"/>
        <v/>
      </c>
      <c r="DH223" s="43" t="str">
        <f t="shared" si="3562"/>
        <v/>
      </c>
      <c r="DI223" s="43" t="str">
        <f t="shared" si="3563"/>
        <v/>
      </c>
      <c r="DJ223" s="43" t="str">
        <f t="shared" si="3564"/>
        <v/>
      </c>
      <c r="DK223" s="43" t="str">
        <f t="shared" si="3565"/>
        <v/>
      </c>
      <c r="DL223" s="43" t="str">
        <f t="shared" si="3566"/>
        <v/>
      </c>
      <c r="DM223" s="43" t="str">
        <f t="shared" si="3567"/>
        <v/>
      </c>
      <c r="DN223" s="43" t="str">
        <f t="shared" si="3568"/>
        <v/>
      </c>
      <c r="DO223" s="43" t="str">
        <f t="shared" si="3569"/>
        <v/>
      </c>
      <c r="DP223" s="43" t="str">
        <f t="shared" si="3570"/>
        <v/>
      </c>
      <c r="DQ223" s="43" t="str">
        <f t="shared" si="3571"/>
        <v/>
      </c>
      <c r="DR223" s="43" t="str">
        <f t="shared" si="3572"/>
        <v/>
      </c>
      <c r="DS223" s="43" t="str">
        <f t="shared" si="3573"/>
        <v/>
      </c>
      <c r="DT223" s="43" t="str">
        <f t="shared" si="3574"/>
        <v/>
      </c>
      <c r="DU223" s="43" t="str">
        <f t="shared" si="3575"/>
        <v/>
      </c>
      <c r="DV223" s="43" t="str">
        <f t="shared" si="3576"/>
        <v/>
      </c>
      <c r="DW223" s="43" t="str">
        <f t="shared" si="3577"/>
        <v/>
      </c>
      <c r="DX223" s="43" t="str">
        <f t="shared" si="3578"/>
        <v/>
      </c>
      <c r="DY223" s="43" t="str">
        <f t="shared" si="3579"/>
        <v/>
      </c>
      <c r="DZ223" s="43" t="str">
        <f t="shared" si="3580"/>
        <v/>
      </c>
      <c r="EA223" s="43" t="str">
        <f t="shared" si="3581"/>
        <v/>
      </c>
      <c r="EB223" s="43" t="str">
        <f t="shared" si="3582"/>
        <v/>
      </c>
      <c r="EC223" s="43" t="str">
        <f t="shared" si="3583"/>
        <v/>
      </c>
      <c r="ED223" s="43" t="str">
        <f t="shared" si="3584"/>
        <v/>
      </c>
      <c r="EE223" s="43" t="str">
        <f t="shared" si="3585"/>
        <v/>
      </c>
      <c r="EF223" s="43" t="str">
        <f t="shared" si="3586"/>
        <v/>
      </c>
      <c r="EG223" s="43" t="str">
        <f t="shared" si="3587"/>
        <v/>
      </c>
      <c r="EH223" s="43" t="str">
        <f t="shared" si="3588"/>
        <v/>
      </c>
      <c r="EI223" s="43" t="str">
        <f t="shared" si="3589"/>
        <v/>
      </c>
      <c r="EJ223" s="43" t="str">
        <f t="shared" si="3590"/>
        <v/>
      </c>
      <c r="EK223" s="43" t="str">
        <f t="shared" si="3591"/>
        <v/>
      </c>
      <c r="EL223" s="43" t="str">
        <f t="shared" si="3592"/>
        <v/>
      </c>
      <c r="EM223" s="43" t="str">
        <f t="shared" si="3593"/>
        <v/>
      </c>
      <c r="EN223" s="43" t="str">
        <f t="shared" si="3594"/>
        <v/>
      </c>
      <c r="EO223" s="43" t="str">
        <f t="shared" si="3595"/>
        <v/>
      </c>
      <c r="EP223" s="43" t="str">
        <f t="shared" si="3596"/>
        <v/>
      </c>
      <c r="EQ223" s="43" t="str">
        <f t="shared" si="3597"/>
        <v/>
      </c>
      <c r="ER223" s="43" t="str">
        <f t="shared" si="3598"/>
        <v/>
      </c>
      <c r="ES223" s="43" t="str">
        <f t="shared" si="3599"/>
        <v/>
      </c>
      <c r="ET223" s="43" t="str">
        <f t="shared" si="3600"/>
        <v/>
      </c>
      <c r="EU223" s="43" t="str">
        <f t="shared" si="3601"/>
        <v/>
      </c>
      <c r="EV223" s="43" t="str">
        <f t="shared" si="3602"/>
        <v/>
      </c>
      <c r="EW223" s="43" t="str">
        <f t="shared" si="3603"/>
        <v/>
      </c>
      <c r="EX223" s="43" t="str">
        <f t="shared" si="3604"/>
        <v/>
      </c>
      <c r="EY223" s="43" t="str">
        <f t="shared" si="3605"/>
        <v/>
      </c>
      <c r="EZ223" s="43" t="str">
        <f t="shared" si="3606"/>
        <v/>
      </c>
      <c r="FA223" s="43" t="str">
        <f t="shared" si="3607"/>
        <v/>
      </c>
      <c r="FB223" s="43" t="str">
        <f t="shared" si="3608"/>
        <v/>
      </c>
      <c r="FC223" s="43" t="str">
        <f t="shared" si="3609"/>
        <v/>
      </c>
      <c r="FD223" s="43" t="str">
        <f t="shared" si="3610"/>
        <v/>
      </c>
      <c r="FE223" s="43" t="str">
        <f t="shared" si="3611"/>
        <v/>
      </c>
      <c r="FF223" s="43" t="str">
        <f t="shared" si="3612"/>
        <v/>
      </c>
      <c r="FG223" s="43" t="str">
        <f t="shared" si="3613"/>
        <v/>
      </c>
      <c r="FH223" s="43" t="str">
        <f t="shared" si="3614"/>
        <v/>
      </c>
      <c r="FI223" s="43" t="str">
        <f t="shared" si="3615"/>
        <v/>
      </c>
      <c r="FJ223" s="43" t="str">
        <f t="shared" si="3616"/>
        <v/>
      </c>
      <c r="FK223" s="43" t="str">
        <f t="shared" si="3617"/>
        <v/>
      </c>
      <c r="FL223" s="43" t="str">
        <f t="shared" si="3618"/>
        <v/>
      </c>
      <c r="FM223" s="43" t="str">
        <f t="shared" si="3619"/>
        <v/>
      </c>
      <c r="FN223" s="43" t="str">
        <f t="shared" si="3620"/>
        <v/>
      </c>
      <c r="FO223" s="43" t="str">
        <f t="shared" si="3621"/>
        <v/>
      </c>
      <c r="FP223" s="43" t="str">
        <f t="shared" si="3622"/>
        <v/>
      </c>
      <c r="FQ223" s="43" t="str">
        <f t="shared" si="3623"/>
        <v/>
      </c>
      <c r="FR223" s="43" t="str">
        <f t="shared" si="3624"/>
        <v/>
      </c>
      <c r="FS223" s="43" t="str">
        <f t="shared" si="3625"/>
        <v/>
      </c>
    </row>
    <row r="224" spans="1:175" ht="16.5">
      <c r="A224" s="95"/>
      <c r="B224" s="7" t="s">
        <v>636</v>
      </c>
      <c r="C224" s="5" t="s">
        <v>117</v>
      </c>
      <c r="T224" s="102"/>
      <c r="U224" s="55"/>
      <c r="CN224" s="12" t="str">
        <f t="shared" si="3550"/>
        <v>InitUnitState('IF03',,,,,,,,,,)</v>
      </c>
      <c r="CO224" s="12" t="str">
        <f t="shared" si="3551"/>
        <v>InitUnitNormal('IF03',,,,,,,,,,)</v>
      </c>
      <c r="CP224" s="12" t="str">
        <f t="shared" si="3552"/>
        <v>InitUnitMagic('IF03',,,,,,,,,,)</v>
      </c>
      <c r="CQ224" s="12" t="str">
        <f t="shared" si="3553"/>
        <v>InitUnitAdd('IF03',,,,,,,,,,)</v>
      </c>
      <c r="CR224" s="12" t="str">
        <f t="shared" si="3554"/>
        <v>InitEquipData('IF03',,"",,,,,'','','','','','',"")</v>
      </c>
      <c r="CU224" s="67" t="str">
        <f t="shared" si="3555"/>
        <v>|n</v>
      </c>
      <c r="CW224" s="6"/>
      <c r="CX224" s="6"/>
      <c r="CY224" s="6"/>
      <c r="CZ224" s="6"/>
      <c r="DA224" s="6"/>
      <c r="DB224" s="43" t="str">
        <f t="shared" si="3556"/>
        <v/>
      </c>
      <c r="DC224" s="43" t="str">
        <f t="shared" si="3557"/>
        <v/>
      </c>
      <c r="DD224" s="43" t="str">
        <f t="shared" si="3558"/>
        <v/>
      </c>
      <c r="DE224" s="43" t="str">
        <f t="shared" si="3559"/>
        <v/>
      </c>
      <c r="DF224" s="43" t="str">
        <f t="shared" si="3560"/>
        <v/>
      </c>
      <c r="DG224" s="43" t="str">
        <f t="shared" si="3561"/>
        <v/>
      </c>
      <c r="DH224" s="43" t="str">
        <f t="shared" si="3562"/>
        <v/>
      </c>
      <c r="DI224" s="43" t="str">
        <f t="shared" si="3563"/>
        <v/>
      </c>
      <c r="DJ224" s="43" t="str">
        <f t="shared" si="3564"/>
        <v/>
      </c>
      <c r="DK224" s="43" t="str">
        <f t="shared" si="3565"/>
        <v/>
      </c>
      <c r="DL224" s="43" t="str">
        <f t="shared" si="3566"/>
        <v/>
      </c>
      <c r="DM224" s="43" t="str">
        <f t="shared" si="3567"/>
        <v/>
      </c>
      <c r="DN224" s="43" t="str">
        <f t="shared" si="3568"/>
        <v/>
      </c>
      <c r="DO224" s="43" t="str">
        <f t="shared" si="3569"/>
        <v/>
      </c>
      <c r="DP224" s="43" t="str">
        <f t="shared" si="3570"/>
        <v/>
      </c>
      <c r="DQ224" s="43" t="str">
        <f t="shared" si="3571"/>
        <v/>
      </c>
      <c r="DR224" s="43" t="str">
        <f t="shared" si="3572"/>
        <v/>
      </c>
      <c r="DS224" s="43" t="str">
        <f t="shared" si="3573"/>
        <v/>
      </c>
      <c r="DT224" s="43" t="str">
        <f t="shared" si="3574"/>
        <v/>
      </c>
      <c r="DU224" s="43" t="str">
        <f t="shared" si="3575"/>
        <v/>
      </c>
      <c r="DV224" s="43" t="str">
        <f t="shared" si="3576"/>
        <v/>
      </c>
      <c r="DW224" s="43" t="str">
        <f t="shared" si="3577"/>
        <v/>
      </c>
      <c r="DX224" s="43" t="str">
        <f t="shared" si="3578"/>
        <v/>
      </c>
      <c r="DY224" s="43" t="str">
        <f t="shared" si="3579"/>
        <v/>
      </c>
      <c r="DZ224" s="43" t="str">
        <f t="shared" si="3580"/>
        <v/>
      </c>
      <c r="EA224" s="43" t="str">
        <f t="shared" si="3581"/>
        <v/>
      </c>
      <c r="EB224" s="43" t="str">
        <f t="shared" si="3582"/>
        <v/>
      </c>
      <c r="EC224" s="43" t="str">
        <f t="shared" si="3583"/>
        <v/>
      </c>
      <c r="ED224" s="43" t="str">
        <f t="shared" si="3584"/>
        <v/>
      </c>
      <c r="EE224" s="43" t="str">
        <f t="shared" si="3585"/>
        <v/>
      </c>
      <c r="EF224" s="43" t="str">
        <f t="shared" si="3586"/>
        <v/>
      </c>
      <c r="EG224" s="43" t="str">
        <f t="shared" si="3587"/>
        <v/>
      </c>
      <c r="EH224" s="43" t="str">
        <f t="shared" si="3588"/>
        <v/>
      </c>
      <c r="EI224" s="43" t="str">
        <f t="shared" si="3589"/>
        <v/>
      </c>
      <c r="EJ224" s="43" t="str">
        <f t="shared" si="3590"/>
        <v/>
      </c>
      <c r="EK224" s="43" t="str">
        <f t="shared" si="3591"/>
        <v/>
      </c>
      <c r="EL224" s="43" t="str">
        <f t="shared" si="3592"/>
        <v/>
      </c>
      <c r="EM224" s="43" t="str">
        <f t="shared" si="3593"/>
        <v/>
      </c>
      <c r="EN224" s="43" t="str">
        <f t="shared" si="3594"/>
        <v/>
      </c>
      <c r="EO224" s="43" t="str">
        <f t="shared" si="3595"/>
        <v/>
      </c>
      <c r="EP224" s="43" t="str">
        <f t="shared" si="3596"/>
        <v/>
      </c>
      <c r="EQ224" s="43" t="str">
        <f t="shared" si="3597"/>
        <v/>
      </c>
      <c r="ER224" s="43" t="str">
        <f t="shared" si="3598"/>
        <v/>
      </c>
      <c r="ES224" s="43" t="str">
        <f t="shared" si="3599"/>
        <v/>
      </c>
      <c r="ET224" s="43" t="str">
        <f t="shared" si="3600"/>
        <v/>
      </c>
      <c r="EU224" s="43" t="str">
        <f t="shared" si="3601"/>
        <v/>
      </c>
      <c r="EV224" s="43" t="str">
        <f t="shared" si="3602"/>
        <v/>
      </c>
      <c r="EW224" s="43" t="str">
        <f t="shared" si="3603"/>
        <v/>
      </c>
      <c r="EX224" s="43" t="str">
        <f t="shared" si="3604"/>
        <v/>
      </c>
      <c r="EY224" s="43" t="str">
        <f t="shared" si="3605"/>
        <v/>
      </c>
      <c r="EZ224" s="43" t="str">
        <f t="shared" si="3606"/>
        <v/>
      </c>
      <c r="FA224" s="43" t="str">
        <f t="shared" si="3607"/>
        <v/>
      </c>
      <c r="FB224" s="43" t="str">
        <f t="shared" si="3608"/>
        <v/>
      </c>
      <c r="FC224" s="43" t="str">
        <f t="shared" si="3609"/>
        <v/>
      </c>
      <c r="FD224" s="43" t="str">
        <f t="shared" si="3610"/>
        <v/>
      </c>
      <c r="FE224" s="43" t="str">
        <f t="shared" si="3611"/>
        <v/>
      </c>
      <c r="FF224" s="43" t="str">
        <f t="shared" si="3612"/>
        <v/>
      </c>
      <c r="FG224" s="43" t="str">
        <f t="shared" si="3613"/>
        <v/>
      </c>
      <c r="FH224" s="43" t="str">
        <f t="shared" si="3614"/>
        <v/>
      </c>
      <c r="FI224" s="43" t="str">
        <f t="shared" si="3615"/>
        <v/>
      </c>
      <c r="FJ224" s="43" t="str">
        <f t="shared" si="3616"/>
        <v/>
      </c>
      <c r="FK224" s="43" t="str">
        <f t="shared" si="3617"/>
        <v/>
      </c>
      <c r="FL224" s="43" t="str">
        <f t="shared" si="3618"/>
        <v/>
      </c>
      <c r="FM224" s="43" t="str">
        <f t="shared" si="3619"/>
        <v/>
      </c>
      <c r="FN224" s="43" t="str">
        <f t="shared" si="3620"/>
        <v/>
      </c>
      <c r="FO224" s="43" t="str">
        <f t="shared" si="3621"/>
        <v/>
      </c>
      <c r="FP224" s="43" t="str">
        <f t="shared" si="3622"/>
        <v/>
      </c>
      <c r="FQ224" s="43" t="str">
        <f t="shared" si="3623"/>
        <v/>
      </c>
      <c r="FR224" s="43" t="str">
        <f t="shared" si="3624"/>
        <v/>
      </c>
      <c r="FS224" s="43" t="str">
        <f t="shared" si="3625"/>
        <v/>
      </c>
    </row>
    <row r="225" spans="1:175" ht="16.5">
      <c r="A225" s="95"/>
      <c r="B225" s="7" t="s">
        <v>637</v>
      </c>
      <c r="C225" s="5" t="s">
        <v>635</v>
      </c>
      <c r="T225" s="102"/>
      <c r="U225" s="55"/>
      <c r="CN225" s="12" t="str">
        <f t="shared" si="3550"/>
        <v>InitUnitState('IF04',,,,,,,,,,)</v>
      </c>
      <c r="CO225" s="12" t="str">
        <f t="shared" si="3551"/>
        <v>InitUnitNormal('IF04',,,,,,,,,,)</v>
      </c>
      <c r="CP225" s="12" t="str">
        <f t="shared" si="3552"/>
        <v>InitUnitMagic('IF04',,,,,,,,,,)</v>
      </c>
      <c r="CQ225" s="12" t="str">
        <f t="shared" si="3553"/>
        <v>InitUnitAdd('IF04',,,,,,,,,,)</v>
      </c>
      <c r="CR225" s="12" t="str">
        <f t="shared" si="3554"/>
        <v>InitEquipData('IF04',,"",,,,,'','','','','','',"")</v>
      </c>
      <c r="CU225" s="67" t="str">
        <f t="shared" si="3555"/>
        <v>|n</v>
      </c>
      <c r="CW225" s="6"/>
      <c r="CX225" s="6"/>
      <c r="CY225" s="6"/>
      <c r="CZ225" s="6"/>
      <c r="DA225" s="6"/>
      <c r="DB225" s="43" t="str">
        <f t="shared" si="3556"/>
        <v/>
      </c>
      <c r="DC225" s="43" t="str">
        <f t="shared" si="3557"/>
        <v/>
      </c>
      <c r="DD225" s="43" t="str">
        <f t="shared" si="3558"/>
        <v/>
      </c>
      <c r="DE225" s="43" t="str">
        <f t="shared" si="3559"/>
        <v/>
      </c>
      <c r="DF225" s="43" t="str">
        <f t="shared" si="3560"/>
        <v/>
      </c>
      <c r="DG225" s="43" t="str">
        <f t="shared" si="3561"/>
        <v/>
      </c>
      <c r="DH225" s="43" t="str">
        <f t="shared" si="3562"/>
        <v/>
      </c>
      <c r="DI225" s="43" t="str">
        <f t="shared" si="3563"/>
        <v/>
      </c>
      <c r="DJ225" s="43" t="str">
        <f t="shared" si="3564"/>
        <v/>
      </c>
      <c r="DK225" s="43" t="str">
        <f t="shared" si="3565"/>
        <v/>
      </c>
      <c r="DL225" s="43" t="str">
        <f t="shared" si="3566"/>
        <v/>
      </c>
      <c r="DM225" s="43" t="str">
        <f t="shared" si="3567"/>
        <v/>
      </c>
      <c r="DN225" s="43" t="str">
        <f t="shared" si="3568"/>
        <v/>
      </c>
      <c r="DO225" s="43" t="str">
        <f t="shared" si="3569"/>
        <v/>
      </c>
      <c r="DP225" s="43" t="str">
        <f t="shared" si="3570"/>
        <v/>
      </c>
      <c r="DQ225" s="43" t="str">
        <f t="shared" si="3571"/>
        <v/>
      </c>
      <c r="DR225" s="43" t="str">
        <f t="shared" si="3572"/>
        <v/>
      </c>
      <c r="DS225" s="43" t="str">
        <f t="shared" si="3573"/>
        <v/>
      </c>
      <c r="DT225" s="43" t="str">
        <f t="shared" si="3574"/>
        <v/>
      </c>
      <c r="DU225" s="43" t="str">
        <f t="shared" si="3575"/>
        <v/>
      </c>
      <c r="DV225" s="43" t="str">
        <f t="shared" si="3576"/>
        <v/>
      </c>
      <c r="DW225" s="43" t="str">
        <f t="shared" si="3577"/>
        <v/>
      </c>
      <c r="DX225" s="43" t="str">
        <f t="shared" si="3578"/>
        <v/>
      </c>
      <c r="DY225" s="43" t="str">
        <f t="shared" si="3579"/>
        <v/>
      </c>
      <c r="DZ225" s="43" t="str">
        <f t="shared" si="3580"/>
        <v/>
      </c>
      <c r="EA225" s="43" t="str">
        <f t="shared" si="3581"/>
        <v/>
      </c>
      <c r="EB225" s="43" t="str">
        <f t="shared" si="3582"/>
        <v/>
      </c>
      <c r="EC225" s="43" t="str">
        <f t="shared" si="3583"/>
        <v/>
      </c>
      <c r="ED225" s="43" t="str">
        <f t="shared" si="3584"/>
        <v/>
      </c>
      <c r="EE225" s="43" t="str">
        <f t="shared" si="3585"/>
        <v/>
      </c>
      <c r="EF225" s="43" t="str">
        <f t="shared" si="3586"/>
        <v/>
      </c>
      <c r="EG225" s="43" t="str">
        <f t="shared" si="3587"/>
        <v/>
      </c>
      <c r="EH225" s="43" t="str">
        <f t="shared" si="3588"/>
        <v/>
      </c>
      <c r="EI225" s="43" t="str">
        <f t="shared" si="3589"/>
        <v/>
      </c>
      <c r="EJ225" s="43" t="str">
        <f t="shared" si="3590"/>
        <v/>
      </c>
      <c r="EK225" s="43" t="str">
        <f t="shared" si="3591"/>
        <v/>
      </c>
      <c r="EL225" s="43" t="str">
        <f t="shared" si="3592"/>
        <v/>
      </c>
      <c r="EM225" s="43" t="str">
        <f t="shared" si="3593"/>
        <v/>
      </c>
      <c r="EN225" s="43" t="str">
        <f t="shared" si="3594"/>
        <v/>
      </c>
      <c r="EO225" s="43" t="str">
        <f t="shared" si="3595"/>
        <v/>
      </c>
      <c r="EP225" s="43" t="str">
        <f t="shared" si="3596"/>
        <v/>
      </c>
      <c r="EQ225" s="43" t="str">
        <f t="shared" si="3597"/>
        <v/>
      </c>
      <c r="ER225" s="43" t="str">
        <f t="shared" si="3598"/>
        <v/>
      </c>
      <c r="ES225" s="43" t="str">
        <f t="shared" si="3599"/>
        <v/>
      </c>
      <c r="ET225" s="43" t="str">
        <f t="shared" si="3600"/>
        <v/>
      </c>
      <c r="EU225" s="43" t="str">
        <f t="shared" si="3601"/>
        <v/>
      </c>
      <c r="EV225" s="43" t="str">
        <f t="shared" si="3602"/>
        <v/>
      </c>
      <c r="EW225" s="43" t="str">
        <f t="shared" si="3603"/>
        <v/>
      </c>
      <c r="EX225" s="43" t="str">
        <f t="shared" si="3604"/>
        <v/>
      </c>
      <c r="EY225" s="43" t="str">
        <f t="shared" si="3605"/>
        <v/>
      </c>
      <c r="EZ225" s="43" t="str">
        <f t="shared" si="3606"/>
        <v/>
      </c>
      <c r="FA225" s="43" t="str">
        <f t="shared" si="3607"/>
        <v/>
      </c>
      <c r="FB225" s="43" t="str">
        <f t="shared" si="3608"/>
        <v/>
      </c>
      <c r="FC225" s="43" t="str">
        <f t="shared" si="3609"/>
        <v/>
      </c>
      <c r="FD225" s="43" t="str">
        <f t="shared" si="3610"/>
        <v/>
      </c>
      <c r="FE225" s="43" t="str">
        <f t="shared" si="3611"/>
        <v/>
      </c>
      <c r="FF225" s="43" t="str">
        <f t="shared" si="3612"/>
        <v/>
      </c>
      <c r="FG225" s="43" t="str">
        <f t="shared" si="3613"/>
        <v/>
      </c>
      <c r="FH225" s="43" t="str">
        <f t="shared" si="3614"/>
        <v/>
      </c>
      <c r="FI225" s="43" t="str">
        <f t="shared" si="3615"/>
        <v/>
      </c>
      <c r="FJ225" s="43" t="str">
        <f t="shared" si="3616"/>
        <v/>
      </c>
      <c r="FK225" s="43" t="str">
        <f t="shared" si="3617"/>
        <v/>
      </c>
      <c r="FL225" s="43" t="str">
        <f t="shared" si="3618"/>
        <v/>
      </c>
      <c r="FM225" s="43" t="str">
        <f t="shared" si="3619"/>
        <v/>
      </c>
      <c r="FN225" s="43" t="str">
        <f t="shared" si="3620"/>
        <v/>
      </c>
      <c r="FO225" s="43" t="str">
        <f t="shared" si="3621"/>
        <v/>
      </c>
      <c r="FP225" s="43" t="str">
        <f t="shared" si="3622"/>
        <v/>
      </c>
      <c r="FQ225" s="43" t="str">
        <f t="shared" si="3623"/>
        <v/>
      </c>
      <c r="FR225" s="43" t="str">
        <f t="shared" si="3624"/>
        <v/>
      </c>
      <c r="FS225" s="43" t="str">
        <f t="shared" si="3625"/>
        <v/>
      </c>
    </row>
    <row r="226" spans="1:175" ht="16.5">
      <c r="A226" s="95"/>
      <c r="B226" s="7" t="s">
        <v>638</v>
      </c>
      <c r="C226" s="5" t="s">
        <v>117</v>
      </c>
      <c r="T226" s="102"/>
      <c r="U226" s="55"/>
      <c r="CN226" s="12" t="str">
        <f t="shared" si="3550"/>
        <v>InitUnitState('IF05',,,,,,,,,,)</v>
      </c>
      <c r="CO226" s="12" t="str">
        <f t="shared" si="3551"/>
        <v>InitUnitNormal('IF05',,,,,,,,,,)</v>
      </c>
      <c r="CP226" s="12" t="str">
        <f t="shared" si="3552"/>
        <v>InitUnitMagic('IF05',,,,,,,,,,)</v>
      </c>
      <c r="CQ226" s="12" t="str">
        <f t="shared" si="3553"/>
        <v>InitUnitAdd('IF05',,,,,,,,,,)</v>
      </c>
      <c r="CR226" s="12" t="str">
        <f t="shared" si="3554"/>
        <v>InitEquipData('IF05',,"",,,,,'','','','','','',"")</v>
      </c>
      <c r="CU226" s="67" t="str">
        <f t="shared" si="3555"/>
        <v>|n</v>
      </c>
      <c r="CW226" s="6"/>
      <c r="CX226" s="6"/>
      <c r="CY226" s="6"/>
      <c r="CZ226" s="6"/>
      <c r="DA226" s="6"/>
      <c r="DB226" s="43" t="str">
        <f t="shared" si="3556"/>
        <v/>
      </c>
      <c r="DC226" s="43" t="str">
        <f t="shared" si="3557"/>
        <v/>
      </c>
      <c r="DD226" s="43" t="str">
        <f t="shared" si="3558"/>
        <v/>
      </c>
      <c r="DE226" s="43" t="str">
        <f t="shared" si="3559"/>
        <v/>
      </c>
      <c r="DF226" s="43" t="str">
        <f t="shared" si="3560"/>
        <v/>
      </c>
      <c r="DG226" s="43" t="str">
        <f t="shared" si="3561"/>
        <v/>
      </c>
      <c r="DH226" s="43" t="str">
        <f t="shared" si="3562"/>
        <v/>
      </c>
      <c r="DI226" s="43" t="str">
        <f t="shared" si="3563"/>
        <v/>
      </c>
      <c r="DJ226" s="43" t="str">
        <f t="shared" si="3564"/>
        <v/>
      </c>
      <c r="DK226" s="43" t="str">
        <f t="shared" si="3565"/>
        <v/>
      </c>
      <c r="DL226" s="43" t="str">
        <f t="shared" si="3566"/>
        <v/>
      </c>
      <c r="DM226" s="43" t="str">
        <f t="shared" si="3567"/>
        <v/>
      </c>
      <c r="DN226" s="43" t="str">
        <f t="shared" si="3568"/>
        <v/>
      </c>
      <c r="DO226" s="43" t="str">
        <f t="shared" si="3569"/>
        <v/>
      </c>
      <c r="DP226" s="43" t="str">
        <f t="shared" si="3570"/>
        <v/>
      </c>
      <c r="DQ226" s="43" t="str">
        <f t="shared" si="3571"/>
        <v/>
      </c>
      <c r="DR226" s="43" t="str">
        <f t="shared" si="3572"/>
        <v/>
      </c>
      <c r="DS226" s="43" t="str">
        <f t="shared" si="3573"/>
        <v/>
      </c>
      <c r="DT226" s="43" t="str">
        <f t="shared" si="3574"/>
        <v/>
      </c>
      <c r="DU226" s="43" t="str">
        <f t="shared" si="3575"/>
        <v/>
      </c>
      <c r="DV226" s="43" t="str">
        <f t="shared" si="3576"/>
        <v/>
      </c>
      <c r="DW226" s="43" t="str">
        <f t="shared" si="3577"/>
        <v/>
      </c>
      <c r="DX226" s="43" t="str">
        <f t="shared" si="3578"/>
        <v/>
      </c>
      <c r="DY226" s="43" t="str">
        <f t="shared" si="3579"/>
        <v/>
      </c>
      <c r="DZ226" s="43" t="str">
        <f t="shared" si="3580"/>
        <v/>
      </c>
      <c r="EA226" s="43" t="str">
        <f t="shared" si="3581"/>
        <v/>
      </c>
      <c r="EB226" s="43" t="str">
        <f t="shared" si="3582"/>
        <v/>
      </c>
      <c r="EC226" s="43" t="str">
        <f t="shared" si="3583"/>
        <v/>
      </c>
      <c r="ED226" s="43" t="str">
        <f t="shared" si="3584"/>
        <v/>
      </c>
      <c r="EE226" s="43" t="str">
        <f t="shared" si="3585"/>
        <v/>
      </c>
      <c r="EF226" s="43" t="str">
        <f t="shared" si="3586"/>
        <v/>
      </c>
      <c r="EG226" s="43" t="str">
        <f t="shared" si="3587"/>
        <v/>
      </c>
      <c r="EH226" s="43" t="str">
        <f t="shared" si="3588"/>
        <v/>
      </c>
      <c r="EI226" s="43" t="str">
        <f t="shared" si="3589"/>
        <v/>
      </c>
      <c r="EJ226" s="43" t="str">
        <f t="shared" si="3590"/>
        <v/>
      </c>
      <c r="EK226" s="43" t="str">
        <f t="shared" si="3591"/>
        <v/>
      </c>
      <c r="EL226" s="43" t="str">
        <f t="shared" si="3592"/>
        <v/>
      </c>
      <c r="EM226" s="43" t="str">
        <f t="shared" si="3593"/>
        <v/>
      </c>
      <c r="EN226" s="43" t="str">
        <f t="shared" si="3594"/>
        <v/>
      </c>
      <c r="EO226" s="43" t="str">
        <f t="shared" si="3595"/>
        <v/>
      </c>
      <c r="EP226" s="43" t="str">
        <f t="shared" si="3596"/>
        <v/>
      </c>
      <c r="EQ226" s="43" t="str">
        <f t="shared" si="3597"/>
        <v/>
      </c>
      <c r="ER226" s="43" t="str">
        <f t="shared" si="3598"/>
        <v/>
      </c>
      <c r="ES226" s="43" t="str">
        <f t="shared" si="3599"/>
        <v/>
      </c>
      <c r="ET226" s="43" t="str">
        <f t="shared" si="3600"/>
        <v/>
      </c>
      <c r="EU226" s="43" t="str">
        <f t="shared" si="3601"/>
        <v/>
      </c>
      <c r="EV226" s="43" t="str">
        <f t="shared" si="3602"/>
        <v/>
      </c>
      <c r="EW226" s="43" t="str">
        <f t="shared" si="3603"/>
        <v/>
      </c>
      <c r="EX226" s="43" t="str">
        <f t="shared" si="3604"/>
        <v/>
      </c>
      <c r="EY226" s="43" t="str">
        <f t="shared" si="3605"/>
        <v/>
      </c>
      <c r="EZ226" s="43" t="str">
        <f t="shared" si="3606"/>
        <v/>
      </c>
      <c r="FA226" s="43" t="str">
        <f t="shared" si="3607"/>
        <v/>
      </c>
      <c r="FB226" s="43" t="str">
        <f t="shared" si="3608"/>
        <v/>
      </c>
      <c r="FC226" s="43" t="str">
        <f t="shared" si="3609"/>
        <v/>
      </c>
      <c r="FD226" s="43" t="str">
        <f t="shared" si="3610"/>
        <v/>
      </c>
      <c r="FE226" s="43" t="str">
        <f t="shared" si="3611"/>
        <v/>
      </c>
      <c r="FF226" s="43" t="str">
        <f t="shared" si="3612"/>
        <v/>
      </c>
      <c r="FG226" s="43" t="str">
        <f t="shared" si="3613"/>
        <v/>
      </c>
      <c r="FH226" s="43" t="str">
        <f t="shared" si="3614"/>
        <v/>
      </c>
      <c r="FI226" s="43" t="str">
        <f t="shared" si="3615"/>
        <v/>
      </c>
      <c r="FJ226" s="43" t="str">
        <f t="shared" si="3616"/>
        <v/>
      </c>
      <c r="FK226" s="43" t="str">
        <f t="shared" si="3617"/>
        <v/>
      </c>
      <c r="FL226" s="43" t="str">
        <f t="shared" si="3618"/>
        <v/>
      </c>
      <c r="FM226" s="43" t="str">
        <f t="shared" si="3619"/>
        <v/>
      </c>
      <c r="FN226" s="43" t="str">
        <f t="shared" si="3620"/>
        <v/>
      </c>
      <c r="FO226" s="43" t="str">
        <f t="shared" si="3621"/>
        <v/>
      </c>
      <c r="FP226" s="43" t="str">
        <f t="shared" si="3622"/>
        <v/>
      </c>
      <c r="FQ226" s="43" t="str">
        <f t="shared" si="3623"/>
        <v/>
      </c>
      <c r="FR226" s="43" t="str">
        <f t="shared" si="3624"/>
        <v/>
      </c>
      <c r="FS226" s="43" t="str">
        <f t="shared" si="3625"/>
        <v/>
      </c>
    </row>
    <row r="227" spans="1:175" ht="16.5">
      <c r="A227" s="95"/>
      <c r="B227" s="7" t="s">
        <v>639</v>
      </c>
      <c r="C227" s="5" t="s">
        <v>635</v>
      </c>
      <c r="T227" s="102"/>
      <c r="U227" s="55"/>
      <c r="CN227" s="12" t="str">
        <f t="shared" si="3550"/>
        <v>InitUnitState('IF06',,,,,,,,,,)</v>
      </c>
      <c r="CO227" s="12" t="str">
        <f t="shared" si="3551"/>
        <v>InitUnitNormal('IF06',,,,,,,,,,)</v>
      </c>
      <c r="CP227" s="12" t="str">
        <f t="shared" si="3552"/>
        <v>InitUnitMagic('IF06',,,,,,,,,,)</v>
      </c>
      <c r="CQ227" s="12" t="str">
        <f t="shared" si="3553"/>
        <v>InitUnitAdd('IF06',,,,,,,,,,)</v>
      </c>
      <c r="CR227" s="12" t="str">
        <f t="shared" si="3554"/>
        <v>InitEquipData('IF06',,"",,,,,'','','','','','',"")</v>
      </c>
      <c r="CU227" s="67" t="str">
        <f t="shared" si="3555"/>
        <v>|n</v>
      </c>
      <c r="CW227" s="6"/>
      <c r="CX227" s="6"/>
      <c r="CY227" s="6"/>
      <c r="CZ227" s="6"/>
      <c r="DA227" s="6"/>
      <c r="DB227" s="43" t="str">
        <f t="shared" si="3556"/>
        <v/>
      </c>
      <c r="DC227" s="43" t="str">
        <f t="shared" si="3557"/>
        <v/>
      </c>
      <c r="DD227" s="43" t="str">
        <f t="shared" si="3558"/>
        <v/>
      </c>
      <c r="DE227" s="43" t="str">
        <f t="shared" si="3559"/>
        <v/>
      </c>
      <c r="DF227" s="43" t="str">
        <f t="shared" si="3560"/>
        <v/>
      </c>
      <c r="DG227" s="43" t="str">
        <f t="shared" si="3561"/>
        <v/>
      </c>
      <c r="DH227" s="43" t="str">
        <f t="shared" si="3562"/>
        <v/>
      </c>
      <c r="DI227" s="43" t="str">
        <f t="shared" si="3563"/>
        <v/>
      </c>
      <c r="DJ227" s="43" t="str">
        <f t="shared" si="3564"/>
        <v/>
      </c>
      <c r="DK227" s="43" t="str">
        <f t="shared" si="3565"/>
        <v/>
      </c>
      <c r="DL227" s="43" t="str">
        <f t="shared" si="3566"/>
        <v/>
      </c>
      <c r="DM227" s="43" t="str">
        <f t="shared" si="3567"/>
        <v/>
      </c>
      <c r="DN227" s="43" t="str">
        <f t="shared" si="3568"/>
        <v/>
      </c>
      <c r="DO227" s="43" t="str">
        <f t="shared" si="3569"/>
        <v/>
      </c>
      <c r="DP227" s="43" t="str">
        <f t="shared" si="3570"/>
        <v/>
      </c>
      <c r="DQ227" s="43" t="str">
        <f t="shared" si="3571"/>
        <v/>
      </c>
      <c r="DR227" s="43" t="str">
        <f t="shared" si="3572"/>
        <v/>
      </c>
      <c r="DS227" s="43" t="str">
        <f t="shared" si="3573"/>
        <v/>
      </c>
      <c r="DT227" s="43" t="str">
        <f t="shared" si="3574"/>
        <v/>
      </c>
      <c r="DU227" s="43" t="str">
        <f t="shared" si="3575"/>
        <v/>
      </c>
      <c r="DV227" s="43" t="str">
        <f t="shared" si="3576"/>
        <v/>
      </c>
      <c r="DW227" s="43" t="str">
        <f t="shared" si="3577"/>
        <v/>
      </c>
      <c r="DX227" s="43" t="str">
        <f t="shared" si="3578"/>
        <v/>
      </c>
      <c r="DY227" s="43" t="str">
        <f t="shared" si="3579"/>
        <v/>
      </c>
      <c r="DZ227" s="43" t="str">
        <f t="shared" si="3580"/>
        <v/>
      </c>
      <c r="EA227" s="43" t="str">
        <f t="shared" si="3581"/>
        <v/>
      </c>
      <c r="EB227" s="43" t="str">
        <f t="shared" si="3582"/>
        <v/>
      </c>
      <c r="EC227" s="43" t="str">
        <f t="shared" si="3583"/>
        <v/>
      </c>
      <c r="ED227" s="43" t="str">
        <f t="shared" si="3584"/>
        <v/>
      </c>
      <c r="EE227" s="43" t="str">
        <f t="shared" si="3585"/>
        <v/>
      </c>
      <c r="EF227" s="43" t="str">
        <f t="shared" si="3586"/>
        <v/>
      </c>
      <c r="EG227" s="43" t="str">
        <f t="shared" si="3587"/>
        <v/>
      </c>
      <c r="EH227" s="43" t="str">
        <f t="shared" si="3588"/>
        <v/>
      </c>
      <c r="EI227" s="43" t="str">
        <f t="shared" si="3589"/>
        <v/>
      </c>
      <c r="EJ227" s="43" t="str">
        <f t="shared" si="3590"/>
        <v/>
      </c>
      <c r="EK227" s="43" t="str">
        <f t="shared" si="3591"/>
        <v/>
      </c>
      <c r="EL227" s="43" t="str">
        <f t="shared" si="3592"/>
        <v/>
      </c>
      <c r="EM227" s="43" t="str">
        <f t="shared" si="3593"/>
        <v/>
      </c>
      <c r="EN227" s="43" t="str">
        <f t="shared" si="3594"/>
        <v/>
      </c>
      <c r="EO227" s="43" t="str">
        <f t="shared" si="3595"/>
        <v/>
      </c>
      <c r="EP227" s="43" t="str">
        <f t="shared" si="3596"/>
        <v/>
      </c>
      <c r="EQ227" s="43" t="str">
        <f t="shared" si="3597"/>
        <v/>
      </c>
      <c r="ER227" s="43" t="str">
        <f t="shared" si="3598"/>
        <v/>
      </c>
      <c r="ES227" s="43" t="str">
        <f t="shared" si="3599"/>
        <v/>
      </c>
      <c r="ET227" s="43" t="str">
        <f t="shared" si="3600"/>
        <v/>
      </c>
      <c r="EU227" s="43" t="str">
        <f t="shared" si="3601"/>
        <v/>
      </c>
      <c r="EV227" s="43" t="str">
        <f t="shared" si="3602"/>
        <v/>
      </c>
      <c r="EW227" s="43" t="str">
        <f t="shared" si="3603"/>
        <v/>
      </c>
      <c r="EX227" s="43" t="str">
        <f t="shared" si="3604"/>
        <v/>
      </c>
      <c r="EY227" s="43" t="str">
        <f t="shared" si="3605"/>
        <v/>
      </c>
      <c r="EZ227" s="43" t="str">
        <f t="shared" si="3606"/>
        <v/>
      </c>
      <c r="FA227" s="43" t="str">
        <f t="shared" si="3607"/>
        <v/>
      </c>
      <c r="FB227" s="43" t="str">
        <f t="shared" si="3608"/>
        <v/>
      </c>
      <c r="FC227" s="43" t="str">
        <f t="shared" si="3609"/>
        <v/>
      </c>
      <c r="FD227" s="43" t="str">
        <f t="shared" si="3610"/>
        <v/>
      </c>
      <c r="FE227" s="43" t="str">
        <f t="shared" si="3611"/>
        <v/>
      </c>
      <c r="FF227" s="43" t="str">
        <f t="shared" si="3612"/>
        <v/>
      </c>
      <c r="FG227" s="43" t="str">
        <f t="shared" si="3613"/>
        <v/>
      </c>
      <c r="FH227" s="43" t="str">
        <f t="shared" si="3614"/>
        <v/>
      </c>
      <c r="FI227" s="43" t="str">
        <f t="shared" si="3615"/>
        <v/>
      </c>
      <c r="FJ227" s="43" t="str">
        <f t="shared" si="3616"/>
        <v/>
      </c>
      <c r="FK227" s="43" t="str">
        <f t="shared" si="3617"/>
        <v/>
      </c>
      <c r="FL227" s="43" t="str">
        <f t="shared" si="3618"/>
        <v/>
      </c>
      <c r="FM227" s="43" t="str">
        <f t="shared" si="3619"/>
        <v/>
      </c>
      <c r="FN227" s="43" t="str">
        <f t="shared" si="3620"/>
        <v/>
      </c>
      <c r="FO227" s="43" t="str">
        <f t="shared" si="3621"/>
        <v/>
      </c>
      <c r="FP227" s="43" t="str">
        <f t="shared" si="3622"/>
        <v/>
      </c>
      <c r="FQ227" s="43" t="str">
        <f t="shared" si="3623"/>
        <v/>
      </c>
      <c r="FR227" s="43" t="str">
        <f t="shared" si="3624"/>
        <v/>
      </c>
      <c r="FS227" s="43" t="str">
        <f t="shared" si="3625"/>
        <v/>
      </c>
    </row>
    <row r="228" spans="1:175" ht="16.5">
      <c r="A228" s="95"/>
      <c r="B228" s="7" t="s">
        <v>640</v>
      </c>
      <c r="C228" s="5" t="s">
        <v>117</v>
      </c>
      <c r="T228" s="102"/>
      <c r="U228" s="55"/>
      <c r="CN228" s="12" t="str">
        <f t="shared" si="3550"/>
        <v>InitUnitState('IF07',,,,,,,,,,)</v>
      </c>
      <c r="CO228" s="12" t="str">
        <f t="shared" si="3551"/>
        <v>InitUnitNormal('IF07',,,,,,,,,,)</v>
      </c>
      <c r="CP228" s="12" t="str">
        <f t="shared" si="3552"/>
        <v>InitUnitMagic('IF07',,,,,,,,,,)</v>
      </c>
      <c r="CQ228" s="12" t="str">
        <f t="shared" si="3553"/>
        <v>InitUnitAdd('IF07',,,,,,,,,,)</v>
      </c>
      <c r="CR228" s="12" t="str">
        <f t="shared" si="3554"/>
        <v>InitEquipData('IF07',,"",,,,,'','','','','','',"")</v>
      </c>
      <c r="CU228" s="67" t="str">
        <f t="shared" si="3555"/>
        <v>|n</v>
      </c>
      <c r="CW228" s="6"/>
      <c r="CX228" s="6"/>
      <c r="CY228" s="6"/>
      <c r="CZ228" s="6"/>
      <c r="DA228" s="6"/>
      <c r="DB228" s="43" t="str">
        <f t="shared" si="3556"/>
        <v/>
      </c>
      <c r="DC228" s="43" t="str">
        <f t="shared" si="3557"/>
        <v/>
      </c>
      <c r="DD228" s="43" t="str">
        <f t="shared" si="3558"/>
        <v/>
      </c>
      <c r="DE228" s="43" t="str">
        <f t="shared" si="3559"/>
        <v/>
      </c>
      <c r="DF228" s="43" t="str">
        <f t="shared" si="3560"/>
        <v/>
      </c>
      <c r="DG228" s="43" t="str">
        <f t="shared" si="3561"/>
        <v/>
      </c>
      <c r="DH228" s="43" t="str">
        <f t="shared" si="3562"/>
        <v/>
      </c>
      <c r="DI228" s="43" t="str">
        <f t="shared" si="3563"/>
        <v/>
      </c>
      <c r="DJ228" s="43" t="str">
        <f t="shared" si="3564"/>
        <v/>
      </c>
      <c r="DK228" s="43" t="str">
        <f t="shared" si="3565"/>
        <v/>
      </c>
      <c r="DL228" s="43" t="str">
        <f t="shared" si="3566"/>
        <v/>
      </c>
      <c r="DM228" s="43" t="str">
        <f t="shared" si="3567"/>
        <v/>
      </c>
      <c r="DN228" s="43" t="str">
        <f t="shared" si="3568"/>
        <v/>
      </c>
      <c r="DO228" s="43" t="str">
        <f t="shared" si="3569"/>
        <v/>
      </c>
      <c r="DP228" s="43" t="str">
        <f t="shared" si="3570"/>
        <v/>
      </c>
      <c r="DQ228" s="43" t="str">
        <f t="shared" si="3571"/>
        <v/>
      </c>
      <c r="DR228" s="43" t="str">
        <f t="shared" si="3572"/>
        <v/>
      </c>
      <c r="DS228" s="43" t="str">
        <f t="shared" si="3573"/>
        <v/>
      </c>
      <c r="DT228" s="43" t="str">
        <f t="shared" si="3574"/>
        <v/>
      </c>
      <c r="DU228" s="43" t="str">
        <f t="shared" si="3575"/>
        <v/>
      </c>
      <c r="DV228" s="43" t="str">
        <f t="shared" si="3576"/>
        <v/>
      </c>
      <c r="DW228" s="43" t="str">
        <f t="shared" si="3577"/>
        <v/>
      </c>
      <c r="DX228" s="43" t="str">
        <f t="shared" si="3578"/>
        <v/>
      </c>
      <c r="DY228" s="43" t="str">
        <f t="shared" si="3579"/>
        <v/>
      </c>
      <c r="DZ228" s="43" t="str">
        <f t="shared" si="3580"/>
        <v/>
      </c>
      <c r="EA228" s="43" t="str">
        <f t="shared" si="3581"/>
        <v/>
      </c>
      <c r="EB228" s="43" t="str">
        <f t="shared" si="3582"/>
        <v/>
      </c>
      <c r="EC228" s="43" t="str">
        <f t="shared" si="3583"/>
        <v/>
      </c>
      <c r="ED228" s="43" t="str">
        <f t="shared" si="3584"/>
        <v/>
      </c>
      <c r="EE228" s="43" t="str">
        <f t="shared" si="3585"/>
        <v/>
      </c>
      <c r="EF228" s="43" t="str">
        <f t="shared" si="3586"/>
        <v/>
      </c>
      <c r="EG228" s="43" t="str">
        <f t="shared" si="3587"/>
        <v/>
      </c>
      <c r="EH228" s="43" t="str">
        <f t="shared" si="3588"/>
        <v/>
      </c>
      <c r="EI228" s="43" t="str">
        <f t="shared" si="3589"/>
        <v/>
      </c>
      <c r="EJ228" s="43" t="str">
        <f t="shared" si="3590"/>
        <v/>
      </c>
      <c r="EK228" s="43" t="str">
        <f t="shared" si="3591"/>
        <v/>
      </c>
      <c r="EL228" s="43" t="str">
        <f t="shared" si="3592"/>
        <v/>
      </c>
      <c r="EM228" s="43" t="str">
        <f t="shared" si="3593"/>
        <v/>
      </c>
      <c r="EN228" s="43" t="str">
        <f t="shared" si="3594"/>
        <v/>
      </c>
      <c r="EO228" s="43" t="str">
        <f t="shared" si="3595"/>
        <v/>
      </c>
      <c r="EP228" s="43" t="str">
        <f t="shared" si="3596"/>
        <v/>
      </c>
      <c r="EQ228" s="43" t="str">
        <f t="shared" si="3597"/>
        <v/>
      </c>
      <c r="ER228" s="43" t="str">
        <f t="shared" si="3598"/>
        <v/>
      </c>
      <c r="ES228" s="43" t="str">
        <f t="shared" si="3599"/>
        <v/>
      </c>
      <c r="ET228" s="43" t="str">
        <f t="shared" si="3600"/>
        <v/>
      </c>
      <c r="EU228" s="43" t="str">
        <f t="shared" si="3601"/>
        <v/>
      </c>
      <c r="EV228" s="43" t="str">
        <f t="shared" si="3602"/>
        <v/>
      </c>
      <c r="EW228" s="43" t="str">
        <f t="shared" si="3603"/>
        <v/>
      </c>
      <c r="EX228" s="43" t="str">
        <f t="shared" si="3604"/>
        <v/>
      </c>
      <c r="EY228" s="43" t="str">
        <f t="shared" si="3605"/>
        <v/>
      </c>
      <c r="EZ228" s="43" t="str">
        <f t="shared" si="3606"/>
        <v/>
      </c>
      <c r="FA228" s="43" t="str">
        <f t="shared" si="3607"/>
        <v/>
      </c>
      <c r="FB228" s="43" t="str">
        <f t="shared" si="3608"/>
        <v/>
      </c>
      <c r="FC228" s="43" t="str">
        <f t="shared" si="3609"/>
        <v/>
      </c>
      <c r="FD228" s="43" t="str">
        <f t="shared" si="3610"/>
        <v/>
      </c>
      <c r="FE228" s="43" t="str">
        <f t="shared" si="3611"/>
        <v/>
      </c>
      <c r="FF228" s="43" t="str">
        <f t="shared" si="3612"/>
        <v/>
      </c>
      <c r="FG228" s="43" t="str">
        <f t="shared" si="3613"/>
        <v/>
      </c>
      <c r="FH228" s="43" t="str">
        <f t="shared" si="3614"/>
        <v/>
      </c>
      <c r="FI228" s="43" t="str">
        <f t="shared" si="3615"/>
        <v/>
      </c>
      <c r="FJ228" s="43" t="str">
        <f t="shared" si="3616"/>
        <v/>
      </c>
      <c r="FK228" s="43" t="str">
        <f t="shared" si="3617"/>
        <v/>
      </c>
      <c r="FL228" s="43" t="str">
        <f t="shared" si="3618"/>
        <v/>
      </c>
      <c r="FM228" s="43" t="str">
        <f t="shared" si="3619"/>
        <v/>
      </c>
      <c r="FN228" s="43" t="str">
        <f t="shared" si="3620"/>
        <v/>
      </c>
      <c r="FO228" s="43" t="str">
        <f t="shared" si="3621"/>
        <v/>
      </c>
      <c r="FP228" s="43" t="str">
        <f t="shared" si="3622"/>
        <v/>
      </c>
      <c r="FQ228" s="43" t="str">
        <f t="shared" si="3623"/>
        <v/>
      </c>
      <c r="FR228" s="43" t="str">
        <f t="shared" si="3624"/>
        <v/>
      </c>
      <c r="FS228" s="43" t="str">
        <f t="shared" si="3625"/>
        <v/>
      </c>
    </row>
    <row r="229" spans="1:175" ht="16.5">
      <c r="A229" s="95"/>
      <c r="B229" s="7" t="s">
        <v>641</v>
      </c>
      <c r="C229" s="5" t="s">
        <v>635</v>
      </c>
      <c r="T229" s="102"/>
      <c r="U229" s="55"/>
      <c r="CN229" s="12" t="str">
        <f t="shared" si="3550"/>
        <v>InitUnitState('IF08',,,,,,,,,,)</v>
      </c>
      <c r="CO229" s="12" t="str">
        <f t="shared" si="3551"/>
        <v>InitUnitNormal('IF08',,,,,,,,,,)</v>
      </c>
      <c r="CP229" s="12" t="str">
        <f t="shared" si="3552"/>
        <v>InitUnitMagic('IF08',,,,,,,,,,)</v>
      </c>
      <c r="CQ229" s="12" t="str">
        <f t="shared" si="3553"/>
        <v>InitUnitAdd('IF08',,,,,,,,,,)</v>
      </c>
      <c r="CR229" s="12" t="str">
        <f t="shared" si="3554"/>
        <v>InitEquipData('IF08',,"",,,,,'','','','','','',"")</v>
      </c>
      <c r="CU229" s="67" t="str">
        <f t="shared" si="3555"/>
        <v>|n</v>
      </c>
      <c r="CW229" s="6"/>
      <c r="CX229" s="6"/>
      <c r="CY229" s="6"/>
      <c r="CZ229" s="6"/>
      <c r="DA229" s="6"/>
      <c r="DB229" s="43" t="str">
        <f t="shared" si="3556"/>
        <v/>
      </c>
      <c r="DC229" s="43" t="str">
        <f t="shared" si="3557"/>
        <v/>
      </c>
      <c r="DD229" s="43" t="str">
        <f t="shared" si="3558"/>
        <v/>
      </c>
      <c r="DE229" s="43" t="str">
        <f t="shared" si="3559"/>
        <v/>
      </c>
      <c r="DF229" s="43" t="str">
        <f t="shared" si="3560"/>
        <v/>
      </c>
      <c r="DG229" s="43" t="str">
        <f t="shared" si="3561"/>
        <v/>
      </c>
      <c r="DH229" s="43" t="str">
        <f t="shared" si="3562"/>
        <v/>
      </c>
      <c r="DI229" s="43" t="str">
        <f t="shared" si="3563"/>
        <v/>
      </c>
      <c r="DJ229" s="43" t="str">
        <f t="shared" si="3564"/>
        <v/>
      </c>
      <c r="DK229" s="43" t="str">
        <f t="shared" si="3565"/>
        <v/>
      </c>
      <c r="DL229" s="43" t="str">
        <f t="shared" si="3566"/>
        <v/>
      </c>
      <c r="DM229" s="43" t="str">
        <f t="shared" si="3567"/>
        <v/>
      </c>
      <c r="DN229" s="43" t="str">
        <f t="shared" si="3568"/>
        <v/>
      </c>
      <c r="DO229" s="43" t="str">
        <f t="shared" si="3569"/>
        <v/>
      </c>
      <c r="DP229" s="43" t="str">
        <f t="shared" si="3570"/>
        <v/>
      </c>
      <c r="DQ229" s="43" t="str">
        <f t="shared" si="3571"/>
        <v/>
      </c>
      <c r="DR229" s="43" t="str">
        <f t="shared" si="3572"/>
        <v/>
      </c>
      <c r="DS229" s="43" t="str">
        <f t="shared" si="3573"/>
        <v/>
      </c>
      <c r="DT229" s="43" t="str">
        <f t="shared" si="3574"/>
        <v/>
      </c>
      <c r="DU229" s="43" t="str">
        <f t="shared" si="3575"/>
        <v/>
      </c>
      <c r="DV229" s="43" t="str">
        <f t="shared" si="3576"/>
        <v/>
      </c>
      <c r="DW229" s="43" t="str">
        <f t="shared" si="3577"/>
        <v/>
      </c>
      <c r="DX229" s="43" t="str">
        <f t="shared" si="3578"/>
        <v/>
      </c>
      <c r="DY229" s="43" t="str">
        <f t="shared" si="3579"/>
        <v/>
      </c>
      <c r="DZ229" s="43" t="str">
        <f t="shared" si="3580"/>
        <v/>
      </c>
      <c r="EA229" s="43" t="str">
        <f t="shared" si="3581"/>
        <v/>
      </c>
      <c r="EB229" s="43" t="str">
        <f t="shared" si="3582"/>
        <v/>
      </c>
      <c r="EC229" s="43" t="str">
        <f t="shared" si="3583"/>
        <v/>
      </c>
      <c r="ED229" s="43" t="str">
        <f t="shared" si="3584"/>
        <v/>
      </c>
      <c r="EE229" s="43" t="str">
        <f t="shared" si="3585"/>
        <v/>
      </c>
      <c r="EF229" s="43" t="str">
        <f t="shared" si="3586"/>
        <v/>
      </c>
      <c r="EG229" s="43" t="str">
        <f t="shared" si="3587"/>
        <v/>
      </c>
      <c r="EH229" s="43" t="str">
        <f t="shared" si="3588"/>
        <v/>
      </c>
      <c r="EI229" s="43" t="str">
        <f t="shared" si="3589"/>
        <v/>
      </c>
      <c r="EJ229" s="43" t="str">
        <f t="shared" si="3590"/>
        <v/>
      </c>
      <c r="EK229" s="43" t="str">
        <f t="shared" si="3591"/>
        <v/>
      </c>
      <c r="EL229" s="43" t="str">
        <f t="shared" si="3592"/>
        <v/>
      </c>
      <c r="EM229" s="43" t="str">
        <f t="shared" si="3593"/>
        <v/>
      </c>
      <c r="EN229" s="43" t="str">
        <f t="shared" si="3594"/>
        <v/>
      </c>
      <c r="EO229" s="43" t="str">
        <f t="shared" si="3595"/>
        <v/>
      </c>
      <c r="EP229" s="43" t="str">
        <f t="shared" si="3596"/>
        <v/>
      </c>
      <c r="EQ229" s="43" t="str">
        <f t="shared" si="3597"/>
        <v/>
      </c>
      <c r="ER229" s="43" t="str">
        <f t="shared" si="3598"/>
        <v/>
      </c>
      <c r="ES229" s="43" t="str">
        <f t="shared" si="3599"/>
        <v/>
      </c>
      <c r="ET229" s="43" t="str">
        <f t="shared" si="3600"/>
        <v/>
      </c>
      <c r="EU229" s="43" t="str">
        <f t="shared" si="3601"/>
        <v/>
      </c>
      <c r="EV229" s="43" t="str">
        <f t="shared" si="3602"/>
        <v/>
      </c>
      <c r="EW229" s="43" t="str">
        <f t="shared" si="3603"/>
        <v/>
      </c>
      <c r="EX229" s="43" t="str">
        <f t="shared" si="3604"/>
        <v/>
      </c>
      <c r="EY229" s="43" t="str">
        <f t="shared" si="3605"/>
        <v/>
      </c>
      <c r="EZ229" s="43" t="str">
        <f t="shared" si="3606"/>
        <v/>
      </c>
      <c r="FA229" s="43" t="str">
        <f t="shared" si="3607"/>
        <v/>
      </c>
      <c r="FB229" s="43" t="str">
        <f t="shared" si="3608"/>
        <v/>
      </c>
      <c r="FC229" s="43" t="str">
        <f t="shared" si="3609"/>
        <v/>
      </c>
      <c r="FD229" s="43" t="str">
        <f t="shared" si="3610"/>
        <v/>
      </c>
      <c r="FE229" s="43" t="str">
        <f t="shared" si="3611"/>
        <v/>
      </c>
      <c r="FF229" s="43" t="str">
        <f t="shared" si="3612"/>
        <v/>
      </c>
      <c r="FG229" s="43" t="str">
        <f t="shared" si="3613"/>
        <v/>
      </c>
      <c r="FH229" s="43" t="str">
        <f t="shared" si="3614"/>
        <v/>
      </c>
      <c r="FI229" s="43" t="str">
        <f t="shared" si="3615"/>
        <v/>
      </c>
      <c r="FJ229" s="43" t="str">
        <f t="shared" si="3616"/>
        <v/>
      </c>
      <c r="FK229" s="43" t="str">
        <f t="shared" si="3617"/>
        <v/>
      </c>
      <c r="FL229" s="43" t="str">
        <f t="shared" si="3618"/>
        <v/>
      </c>
      <c r="FM229" s="43" t="str">
        <f t="shared" si="3619"/>
        <v/>
      </c>
      <c r="FN229" s="43" t="str">
        <f t="shared" si="3620"/>
        <v/>
      </c>
      <c r="FO229" s="43" t="str">
        <f t="shared" si="3621"/>
        <v/>
      </c>
      <c r="FP229" s="43" t="str">
        <f t="shared" si="3622"/>
        <v/>
      </c>
      <c r="FQ229" s="43" t="str">
        <f t="shared" si="3623"/>
        <v/>
      </c>
      <c r="FR229" s="43" t="str">
        <f t="shared" si="3624"/>
        <v/>
      </c>
      <c r="FS229" s="43" t="str">
        <f t="shared" si="3625"/>
        <v/>
      </c>
    </row>
    <row r="230" spans="1:175" ht="16.5">
      <c r="A230" s="95"/>
      <c r="B230" s="7" t="s">
        <v>642</v>
      </c>
      <c r="C230" s="5" t="s">
        <v>117</v>
      </c>
      <c r="T230" s="102"/>
      <c r="U230" s="55"/>
      <c r="CN230" s="12" t="str">
        <f t="shared" si="3550"/>
        <v>InitUnitState('IF09',,,,,,,,,,)</v>
      </c>
      <c r="CO230" s="12" t="str">
        <f t="shared" si="3551"/>
        <v>InitUnitNormal('IF09',,,,,,,,,,)</v>
      </c>
      <c r="CP230" s="12" t="str">
        <f t="shared" si="3552"/>
        <v>InitUnitMagic('IF09',,,,,,,,,,)</v>
      </c>
      <c r="CQ230" s="12" t="str">
        <f t="shared" si="3553"/>
        <v>InitUnitAdd('IF09',,,,,,,,,,)</v>
      </c>
      <c r="CR230" s="12" t="str">
        <f t="shared" si="3554"/>
        <v>InitEquipData('IF09',,"",,,,,'','','','','','',"")</v>
      </c>
      <c r="CU230" s="67" t="str">
        <f t="shared" si="3555"/>
        <v>|n</v>
      </c>
      <c r="CW230" s="6"/>
      <c r="CX230" s="6"/>
      <c r="CY230" s="6"/>
      <c r="CZ230" s="6"/>
      <c r="DA230" s="6"/>
      <c r="DB230" s="43" t="str">
        <f t="shared" si="3556"/>
        <v/>
      </c>
      <c r="DC230" s="43" t="str">
        <f t="shared" si="3557"/>
        <v/>
      </c>
      <c r="DD230" s="43" t="str">
        <f t="shared" si="3558"/>
        <v/>
      </c>
      <c r="DE230" s="43" t="str">
        <f t="shared" si="3559"/>
        <v/>
      </c>
      <c r="DF230" s="43" t="str">
        <f t="shared" si="3560"/>
        <v/>
      </c>
      <c r="DG230" s="43" t="str">
        <f t="shared" si="3561"/>
        <v/>
      </c>
      <c r="DH230" s="43" t="str">
        <f t="shared" si="3562"/>
        <v/>
      </c>
      <c r="DI230" s="43" t="str">
        <f t="shared" si="3563"/>
        <v/>
      </c>
      <c r="DJ230" s="43" t="str">
        <f t="shared" si="3564"/>
        <v/>
      </c>
      <c r="DK230" s="43" t="str">
        <f t="shared" si="3565"/>
        <v/>
      </c>
      <c r="DL230" s="43" t="str">
        <f t="shared" si="3566"/>
        <v/>
      </c>
      <c r="DM230" s="43" t="str">
        <f t="shared" si="3567"/>
        <v/>
      </c>
      <c r="DN230" s="43" t="str">
        <f t="shared" si="3568"/>
        <v/>
      </c>
      <c r="DO230" s="43" t="str">
        <f t="shared" si="3569"/>
        <v/>
      </c>
      <c r="DP230" s="43" t="str">
        <f t="shared" si="3570"/>
        <v/>
      </c>
      <c r="DQ230" s="43" t="str">
        <f t="shared" si="3571"/>
        <v/>
      </c>
      <c r="DR230" s="43" t="str">
        <f t="shared" si="3572"/>
        <v/>
      </c>
      <c r="DS230" s="43" t="str">
        <f t="shared" si="3573"/>
        <v/>
      </c>
      <c r="DT230" s="43" t="str">
        <f t="shared" si="3574"/>
        <v/>
      </c>
      <c r="DU230" s="43" t="str">
        <f t="shared" si="3575"/>
        <v/>
      </c>
      <c r="DV230" s="43" t="str">
        <f t="shared" si="3576"/>
        <v/>
      </c>
      <c r="DW230" s="43" t="str">
        <f t="shared" si="3577"/>
        <v/>
      </c>
      <c r="DX230" s="43" t="str">
        <f t="shared" si="3578"/>
        <v/>
      </c>
      <c r="DY230" s="43" t="str">
        <f t="shared" si="3579"/>
        <v/>
      </c>
      <c r="DZ230" s="43" t="str">
        <f t="shared" si="3580"/>
        <v/>
      </c>
      <c r="EA230" s="43" t="str">
        <f t="shared" si="3581"/>
        <v/>
      </c>
      <c r="EB230" s="43" t="str">
        <f t="shared" si="3582"/>
        <v/>
      </c>
      <c r="EC230" s="43" t="str">
        <f t="shared" si="3583"/>
        <v/>
      </c>
      <c r="ED230" s="43" t="str">
        <f t="shared" si="3584"/>
        <v/>
      </c>
      <c r="EE230" s="43" t="str">
        <f t="shared" si="3585"/>
        <v/>
      </c>
      <c r="EF230" s="43" t="str">
        <f t="shared" si="3586"/>
        <v/>
      </c>
      <c r="EG230" s="43" t="str">
        <f t="shared" si="3587"/>
        <v/>
      </c>
      <c r="EH230" s="43" t="str">
        <f t="shared" si="3588"/>
        <v/>
      </c>
      <c r="EI230" s="43" t="str">
        <f t="shared" si="3589"/>
        <v/>
      </c>
      <c r="EJ230" s="43" t="str">
        <f t="shared" si="3590"/>
        <v/>
      </c>
      <c r="EK230" s="43" t="str">
        <f t="shared" si="3591"/>
        <v/>
      </c>
      <c r="EL230" s="43" t="str">
        <f t="shared" si="3592"/>
        <v/>
      </c>
      <c r="EM230" s="43" t="str">
        <f t="shared" si="3593"/>
        <v/>
      </c>
      <c r="EN230" s="43" t="str">
        <f t="shared" si="3594"/>
        <v/>
      </c>
      <c r="EO230" s="43" t="str">
        <f t="shared" si="3595"/>
        <v/>
      </c>
      <c r="EP230" s="43" t="str">
        <f t="shared" si="3596"/>
        <v/>
      </c>
      <c r="EQ230" s="43" t="str">
        <f t="shared" si="3597"/>
        <v/>
      </c>
      <c r="ER230" s="43" t="str">
        <f t="shared" si="3598"/>
        <v/>
      </c>
      <c r="ES230" s="43" t="str">
        <f t="shared" si="3599"/>
        <v/>
      </c>
      <c r="ET230" s="43" t="str">
        <f t="shared" si="3600"/>
        <v/>
      </c>
      <c r="EU230" s="43" t="str">
        <f t="shared" si="3601"/>
        <v/>
      </c>
      <c r="EV230" s="43" t="str">
        <f t="shared" si="3602"/>
        <v/>
      </c>
      <c r="EW230" s="43" t="str">
        <f t="shared" si="3603"/>
        <v/>
      </c>
      <c r="EX230" s="43" t="str">
        <f t="shared" si="3604"/>
        <v/>
      </c>
      <c r="EY230" s="43" t="str">
        <f t="shared" si="3605"/>
        <v/>
      </c>
      <c r="EZ230" s="43" t="str">
        <f t="shared" si="3606"/>
        <v/>
      </c>
      <c r="FA230" s="43" t="str">
        <f t="shared" si="3607"/>
        <v/>
      </c>
      <c r="FB230" s="43" t="str">
        <f t="shared" si="3608"/>
        <v/>
      </c>
      <c r="FC230" s="43" t="str">
        <f t="shared" si="3609"/>
        <v/>
      </c>
      <c r="FD230" s="43" t="str">
        <f t="shared" si="3610"/>
        <v/>
      </c>
      <c r="FE230" s="43" t="str">
        <f t="shared" si="3611"/>
        <v/>
      </c>
      <c r="FF230" s="43" t="str">
        <f t="shared" si="3612"/>
        <v/>
      </c>
      <c r="FG230" s="43" t="str">
        <f t="shared" si="3613"/>
        <v/>
      </c>
      <c r="FH230" s="43" t="str">
        <f t="shared" si="3614"/>
        <v/>
      </c>
      <c r="FI230" s="43" t="str">
        <f t="shared" si="3615"/>
        <v/>
      </c>
      <c r="FJ230" s="43" t="str">
        <f t="shared" si="3616"/>
        <v/>
      </c>
      <c r="FK230" s="43" t="str">
        <f t="shared" si="3617"/>
        <v/>
      </c>
      <c r="FL230" s="43" t="str">
        <f t="shared" si="3618"/>
        <v/>
      </c>
      <c r="FM230" s="43" t="str">
        <f t="shared" si="3619"/>
        <v/>
      </c>
      <c r="FN230" s="43" t="str">
        <f t="shared" si="3620"/>
        <v/>
      </c>
      <c r="FO230" s="43" t="str">
        <f t="shared" si="3621"/>
        <v/>
      </c>
      <c r="FP230" s="43" t="str">
        <f t="shared" si="3622"/>
        <v/>
      </c>
      <c r="FQ230" s="43" t="str">
        <f t="shared" si="3623"/>
        <v/>
      </c>
      <c r="FR230" s="43" t="str">
        <f t="shared" si="3624"/>
        <v/>
      </c>
      <c r="FS230" s="43" t="str">
        <f t="shared" si="3625"/>
        <v/>
      </c>
    </row>
    <row r="231" spans="1:175" ht="16.5">
      <c r="A231" s="95"/>
      <c r="B231" s="7" t="s">
        <v>643</v>
      </c>
      <c r="C231" s="5" t="s">
        <v>635</v>
      </c>
      <c r="T231" s="102"/>
      <c r="U231" s="55"/>
      <c r="CN231" s="12" t="str">
        <f t="shared" si="3550"/>
        <v>InitUnitState('IF10',,,,,,,,,,)</v>
      </c>
      <c r="CO231" s="12" t="str">
        <f t="shared" si="3551"/>
        <v>InitUnitNormal('IF10',,,,,,,,,,)</v>
      </c>
      <c r="CP231" s="12" t="str">
        <f t="shared" si="3552"/>
        <v>InitUnitMagic('IF10',,,,,,,,,,)</v>
      </c>
      <c r="CQ231" s="12" t="str">
        <f t="shared" si="3553"/>
        <v>InitUnitAdd('IF10',,,,,,,,,,)</v>
      </c>
      <c r="CR231" s="12" t="str">
        <f t="shared" si="3554"/>
        <v>InitEquipData('IF10',,"",,,,,'','','','','','',"")</v>
      </c>
      <c r="CU231" s="67" t="str">
        <f t="shared" si="3555"/>
        <v>|n</v>
      </c>
      <c r="CW231" s="6"/>
      <c r="CX231" s="6"/>
      <c r="CY231" s="6"/>
      <c r="CZ231" s="6"/>
      <c r="DA231" s="6"/>
      <c r="DB231" s="43" t="str">
        <f t="shared" si="3556"/>
        <v/>
      </c>
      <c r="DC231" s="43" t="str">
        <f t="shared" si="3557"/>
        <v/>
      </c>
      <c r="DD231" s="43" t="str">
        <f t="shared" si="3558"/>
        <v/>
      </c>
      <c r="DE231" s="43" t="str">
        <f t="shared" si="3559"/>
        <v/>
      </c>
      <c r="DF231" s="43" t="str">
        <f t="shared" si="3560"/>
        <v/>
      </c>
      <c r="DG231" s="43" t="str">
        <f t="shared" si="3561"/>
        <v/>
      </c>
      <c r="DH231" s="43" t="str">
        <f t="shared" si="3562"/>
        <v/>
      </c>
      <c r="DI231" s="43" t="str">
        <f t="shared" si="3563"/>
        <v/>
      </c>
      <c r="DJ231" s="43" t="str">
        <f t="shared" si="3564"/>
        <v/>
      </c>
      <c r="DK231" s="43" t="str">
        <f t="shared" si="3565"/>
        <v/>
      </c>
      <c r="DL231" s="43" t="str">
        <f t="shared" si="3566"/>
        <v/>
      </c>
      <c r="DM231" s="43" t="str">
        <f t="shared" si="3567"/>
        <v/>
      </c>
      <c r="DN231" s="43" t="str">
        <f t="shared" si="3568"/>
        <v/>
      </c>
      <c r="DO231" s="43" t="str">
        <f t="shared" si="3569"/>
        <v/>
      </c>
      <c r="DP231" s="43" t="str">
        <f t="shared" si="3570"/>
        <v/>
      </c>
      <c r="DQ231" s="43" t="str">
        <f t="shared" si="3571"/>
        <v/>
      </c>
      <c r="DR231" s="43" t="str">
        <f t="shared" si="3572"/>
        <v/>
      </c>
      <c r="DS231" s="43" t="str">
        <f t="shared" si="3573"/>
        <v/>
      </c>
      <c r="DT231" s="43" t="str">
        <f t="shared" si="3574"/>
        <v/>
      </c>
      <c r="DU231" s="43" t="str">
        <f t="shared" si="3575"/>
        <v/>
      </c>
      <c r="DV231" s="43" t="str">
        <f t="shared" si="3576"/>
        <v/>
      </c>
      <c r="DW231" s="43" t="str">
        <f t="shared" si="3577"/>
        <v/>
      </c>
      <c r="DX231" s="43" t="str">
        <f t="shared" si="3578"/>
        <v/>
      </c>
      <c r="DY231" s="43" t="str">
        <f t="shared" si="3579"/>
        <v/>
      </c>
      <c r="DZ231" s="43" t="str">
        <f t="shared" si="3580"/>
        <v/>
      </c>
      <c r="EA231" s="43" t="str">
        <f t="shared" si="3581"/>
        <v/>
      </c>
      <c r="EB231" s="43" t="str">
        <f t="shared" si="3582"/>
        <v/>
      </c>
      <c r="EC231" s="43" t="str">
        <f t="shared" si="3583"/>
        <v/>
      </c>
      <c r="ED231" s="43" t="str">
        <f t="shared" si="3584"/>
        <v/>
      </c>
      <c r="EE231" s="43" t="str">
        <f t="shared" si="3585"/>
        <v/>
      </c>
      <c r="EF231" s="43" t="str">
        <f t="shared" si="3586"/>
        <v/>
      </c>
      <c r="EG231" s="43" t="str">
        <f t="shared" si="3587"/>
        <v/>
      </c>
      <c r="EH231" s="43" t="str">
        <f t="shared" si="3588"/>
        <v/>
      </c>
      <c r="EI231" s="43" t="str">
        <f t="shared" si="3589"/>
        <v/>
      </c>
      <c r="EJ231" s="43" t="str">
        <f t="shared" si="3590"/>
        <v/>
      </c>
      <c r="EK231" s="43" t="str">
        <f t="shared" si="3591"/>
        <v/>
      </c>
      <c r="EL231" s="43" t="str">
        <f t="shared" si="3592"/>
        <v/>
      </c>
      <c r="EM231" s="43" t="str">
        <f t="shared" si="3593"/>
        <v/>
      </c>
      <c r="EN231" s="43" t="str">
        <f t="shared" si="3594"/>
        <v/>
      </c>
      <c r="EO231" s="43" t="str">
        <f t="shared" si="3595"/>
        <v/>
      </c>
      <c r="EP231" s="43" t="str">
        <f t="shared" si="3596"/>
        <v/>
      </c>
      <c r="EQ231" s="43" t="str">
        <f t="shared" si="3597"/>
        <v/>
      </c>
      <c r="ER231" s="43" t="str">
        <f t="shared" si="3598"/>
        <v/>
      </c>
      <c r="ES231" s="43" t="str">
        <f t="shared" si="3599"/>
        <v/>
      </c>
      <c r="ET231" s="43" t="str">
        <f t="shared" si="3600"/>
        <v/>
      </c>
      <c r="EU231" s="43" t="str">
        <f t="shared" si="3601"/>
        <v/>
      </c>
      <c r="EV231" s="43" t="str">
        <f t="shared" si="3602"/>
        <v/>
      </c>
      <c r="EW231" s="43" t="str">
        <f t="shared" si="3603"/>
        <v/>
      </c>
      <c r="EX231" s="43" t="str">
        <f t="shared" si="3604"/>
        <v/>
      </c>
      <c r="EY231" s="43" t="str">
        <f t="shared" si="3605"/>
        <v/>
      </c>
      <c r="EZ231" s="43" t="str">
        <f t="shared" si="3606"/>
        <v/>
      </c>
      <c r="FA231" s="43" t="str">
        <f t="shared" si="3607"/>
        <v/>
      </c>
      <c r="FB231" s="43" t="str">
        <f t="shared" si="3608"/>
        <v/>
      </c>
      <c r="FC231" s="43" t="str">
        <f t="shared" si="3609"/>
        <v/>
      </c>
      <c r="FD231" s="43" t="str">
        <f t="shared" si="3610"/>
        <v/>
      </c>
      <c r="FE231" s="43" t="str">
        <f t="shared" si="3611"/>
        <v/>
      </c>
      <c r="FF231" s="43" t="str">
        <f t="shared" si="3612"/>
        <v/>
      </c>
      <c r="FG231" s="43" t="str">
        <f t="shared" si="3613"/>
        <v/>
      </c>
      <c r="FH231" s="43" t="str">
        <f t="shared" si="3614"/>
        <v/>
      </c>
      <c r="FI231" s="43" t="str">
        <f t="shared" si="3615"/>
        <v/>
      </c>
      <c r="FJ231" s="43" t="str">
        <f t="shared" si="3616"/>
        <v/>
      </c>
      <c r="FK231" s="43" t="str">
        <f t="shared" si="3617"/>
        <v/>
      </c>
      <c r="FL231" s="43" t="str">
        <f t="shared" si="3618"/>
        <v/>
      </c>
      <c r="FM231" s="43" t="str">
        <f t="shared" si="3619"/>
        <v/>
      </c>
      <c r="FN231" s="43" t="str">
        <f t="shared" si="3620"/>
        <v/>
      </c>
      <c r="FO231" s="43" t="str">
        <f t="shared" si="3621"/>
        <v/>
      </c>
      <c r="FP231" s="43" t="str">
        <f t="shared" si="3622"/>
        <v/>
      </c>
      <c r="FQ231" s="43" t="str">
        <f t="shared" si="3623"/>
        <v/>
      </c>
      <c r="FR231" s="43" t="str">
        <f t="shared" si="3624"/>
        <v/>
      </c>
      <c r="FS231" s="43" t="str">
        <f t="shared" si="3625"/>
        <v/>
      </c>
    </row>
    <row r="232" spans="1:175" ht="16.5">
      <c r="A232" s="95"/>
      <c r="B232" s="7" t="s">
        <v>644</v>
      </c>
      <c r="C232" s="5" t="s">
        <v>645</v>
      </c>
      <c r="T232" s="102"/>
      <c r="U232" s="55"/>
      <c r="CN232" s="12" t="str">
        <f t="shared" si="3550"/>
        <v>InitUnitState('IF11',,,,,,,,,,)</v>
      </c>
      <c r="CO232" s="12" t="str">
        <f t="shared" si="3551"/>
        <v>InitUnitNormal('IF11',,,,,,,,,,)</v>
      </c>
      <c r="CP232" s="12" t="str">
        <f t="shared" si="3552"/>
        <v>InitUnitMagic('IF11',,,,,,,,,,)</v>
      </c>
      <c r="CQ232" s="12" t="str">
        <f t="shared" si="3553"/>
        <v>InitUnitAdd('IF11',,,,,,,,,,)</v>
      </c>
      <c r="CR232" s="12" t="str">
        <f t="shared" si="3554"/>
        <v>InitEquipData('IF11',,"",,,,,'','','','','','',"")</v>
      </c>
      <c r="CU232" s="67" t="str">
        <f t="shared" si="3555"/>
        <v>|n</v>
      </c>
      <c r="CW232" s="6"/>
      <c r="CX232" s="6"/>
      <c r="CY232" s="6"/>
      <c r="CZ232" s="6"/>
      <c r="DA232" s="6"/>
      <c r="DB232" s="43" t="str">
        <f t="shared" si="3556"/>
        <v/>
      </c>
      <c r="DC232" s="43" t="str">
        <f t="shared" si="3557"/>
        <v/>
      </c>
      <c r="DD232" s="43" t="str">
        <f t="shared" si="3558"/>
        <v/>
      </c>
      <c r="DE232" s="43" t="str">
        <f t="shared" si="3559"/>
        <v/>
      </c>
      <c r="DF232" s="43" t="str">
        <f t="shared" si="3560"/>
        <v/>
      </c>
      <c r="DG232" s="43" t="str">
        <f t="shared" si="3561"/>
        <v/>
      </c>
      <c r="DH232" s="43" t="str">
        <f t="shared" si="3562"/>
        <v/>
      </c>
      <c r="DI232" s="43" t="str">
        <f t="shared" si="3563"/>
        <v/>
      </c>
      <c r="DJ232" s="43" t="str">
        <f t="shared" si="3564"/>
        <v/>
      </c>
      <c r="DK232" s="43" t="str">
        <f t="shared" si="3565"/>
        <v/>
      </c>
      <c r="DL232" s="43" t="str">
        <f t="shared" si="3566"/>
        <v/>
      </c>
      <c r="DM232" s="43" t="str">
        <f t="shared" si="3567"/>
        <v/>
      </c>
      <c r="DN232" s="43" t="str">
        <f t="shared" si="3568"/>
        <v/>
      </c>
      <c r="DO232" s="43" t="str">
        <f t="shared" si="3569"/>
        <v/>
      </c>
      <c r="DP232" s="43" t="str">
        <f t="shared" si="3570"/>
        <v/>
      </c>
      <c r="DQ232" s="43" t="str">
        <f t="shared" si="3571"/>
        <v/>
      </c>
      <c r="DR232" s="43" t="str">
        <f t="shared" si="3572"/>
        <v/>
      </c>
      <c r="DS232" s="43" t="str">
        <f t="shared" si="3573"/>
        <v/>
      </c>
      <c r="DT232" s="43" t="str">
        <f t="shared" si="3574"/>
        <v/>
      </c>
      <c r="DU232" s="43" t="str">
        <f t="shared" si="3575"/>
        <v/>
      </c>
      <c r="DV232" s="43" t="str">
        <f t="shared" si="3576"/>
        <v/>
      </c>
      <c r="DW232" s="43" t="str">
        <f t="shared" si="3577"/>
        <v/>
      </c>
      <c r="DX232" s="43" t="str">
        <f t="shared" si="3578"/>
        <v/>
      </c>
      <c r="DY232" s="43" t="str">
        <f t="shared" si="3579"/>
        <v/>
      </c>
      <c r="DZ232" s="43" t="str">
        <f t="shared" si="3580"/>
        <v/>
      </c>
      <c r="EA232" s="43" t="str">
        <f t="shared" si="3581"/>
        <v/>
      </c>
      <c r="EB232" s="43" t="str">
        <f t="shared" si="3582"/>
        <v/>
      </c>
      <c r="EC232" s="43" t="str">
        <f t="shared" si="3583"/>
        <v/>
      </c>
      <c r="ED232" s="43" t="str">
        <f t="shared" si="3584"/>
        <v/>
      </c>
      <c r="EE232" s="43" t="str">
        <f t="shared" si="3585"/>
        <v/>
      </c>
      <c r="EF232" s="43" t="str">
        <f t="shared" si="3586"/>
        <v/>
      </c>
      <c r="EG232" s="43" t="str">
        <f t="shared" si="3587"/>
        <v/>
      </c>
      <c r="EH232" s="43" t="str">
        <f t="shared" si="3588"/>
        <v/>
      </c>
      <c r="EI232" s="43" t="str">
        <f t="shared" si="3589"/>
        <v/>
      </c>
      <c r="EJ232" s="43" t="str">
        <f t="shared" si="3590"/>
        <v/>
      </c>
      <c r="EK232" s="43" t="str">
        <f t="shared" si="3591"/>
        <v/>
      </c>
      <c r="EL232" s="43" t="str">
        <f t="shared" si="3592"/>
        <v/>
      </c>
      <c r="EM232" s="43" t="str">
        <f t="shared" si="3593"/>
        <v/>
      </c>
      <c r="EN232" s="43" t="str">
        <f t="shared" si="3594"/>
        <v/>
      </c>
      <c r="EO232" s="43" t="str">
        <f t="shared" si="3595"/>
        <v/>
      </c>
      <c r="EP232" s="43" t="str">
        <f t="shared" si="3596"/>
        <v/>
      </c>
      <c r="EQ232" s="43" t="str">
        <f t="shared" si="3597"/>
        <v/>
      </c>
      <c r="ER232" s="43" t="str">
        <f t="shared" si="3598"/>
        <v/>
      </c>
      <c r="ES232" s="43" t="str">
        <f t="shared" si="3599"/>
        <v/>
      </c>
      <c r="ET232" s="43" t="str">
        <f t="shared" si="3600"/>
        <v/>
      </c>
      <c r="EU232" s="43" t="str">
        <f t="shared" si="3601"/>
        <v/>
      </c>
      <c r="EV232" s="43" t="str">
        <f t="shared" si="3602"/>
        <v/>
      </c>
      <c r="EW232" s="43" t="str">
        <f t="shared" si="3603"/>
        <v/>
      </c>
      <c r="EX232" s="43" t="str">
        <f t="shared" si="3604"/>
        <v/>
      </c>
      <c r="EY232" s="43" t="str">
        <f t="shared" si="3605"/>
        <v/>
      </c>
      <c r="EZ232" s="43" t="str">
        <f t="shared" si="3606"/>
        <v/>
      </c>
      <c r="FA232" s="43" t="str">
        <f t="shared" si="3607"/>
        <v/>
      </c>
      <c r="FB232" s="43" t="str">
        <f t="shared" si="3608"/>
        <v/>
      </c>
      <c r="FC232" s="43" t="str">
        <f t="shared" si="3609"/>
        <v/>
      </c>
      <c r="FD232" s="43" t="str">
        <f t="shared" si="3610"/>
        <v/>
      </c>
      <c r="FE232" s="43" t="str">
        <f t="shared" si="3611"/>
        <v/>
      </c>
      <c r="FF232" s="43" t="str">
        <f t="shared" si="3612"/>
        <v/>
      </c>
      <c r="FG232" s="43" t="str">
        <f t="shared" si="3613"/>
        <v/>
      </c>
      <c r="FH232" s="43" t="str">
        <f t="shared" si="3614"/>
        <v/>
      </c>
      <c r="FI232" s="43" t="str">
        <f t="shared" si="3615"/>
        <v/>
      </c>
      <c r="FJ232" s="43" t="str">
        <f t="shared" si="3616"/>
        <v/>
      </c>
      <c r="FK232" s="43" t="str">
        <f t="shared" si="3617"/>
        <v/>
      </c>
      <c r="FL232" s="43" t="str">
        <f t="shared" si="3618"/>
        <v/>
      </c>
      <c r="FM232" s="43" t="str">
        <f t="shared" si="3619"/>
        <v/>
      </c>
      <c r="FN232" s="43" t="str">
        <f t="shared" si="3620"/>
        <v/>
      </c>
      <c r="FO232" s="43" t="str">
        <f t="shared" si="3621"/>
        <v/>
      </c>
      <c r="FP232" s="43" t="str">
        <f t="shared" si="3622"/>
        <v/>
      </c>
      <c r="FQ232" s="43" t="str">
        <f t="shared" si="3623"/>
        <v/>
      </c>
      <c r="FR232" s="43" t="str">
        <f t="shared" si="3624"/>
        <v/>
      </c>
      <c r="FS232" s="43" t="str">
        <f t="shared" si="3625"/>
        <v/>
      </c>
    </row>
    <row r="233" spans="1:175" ht="16.5">
      <c r="A233" s="94"/>
      <c r="B233" s="7" t="s">
        <v>646</v>
      </c>
      <c r="C233" s="5" t="s">
        <v>134</v>
      </c>
      <c r="T233" s="103"/>
      <c r="U233" s="55"/>
      <c r="CN233" s="12" t="str">
        <f t="shared" si="3550"/>
        <v>InitUnitState('IF12',,,,,,,,,,)</v>
      </c>
      <c r="CO233" s="12" t="str">
        <f t="shared" si="3551"/>
        <v>InitUnitNormal('IF12',,,,,,,,,,)</v>
      </c>
      <c r="CP233" s="12" t="str">
        <f t="shared" si="3552"/>
        <v>InitUnitMagic('IF12',,,,,,,,,,)</v>
      </c>
      <c r="CQ233" s="12" t="str">
        <f t="shared" si="3553"/>
        <v>InitUnitAdd('IF12',,,,,,,,,,)</v>
      </c>
      <c r="CR233" s="12" t="str">
        <f t="shared" si="3554"/>
        <v>InitEquipData('IF12',,"",,,,,'','','','','','',"")</v>
      </c>
      <c r="CU233" s="67" t="str">
        <f t="shared" si="3555"/>
        <v>|n</v>
      </c>
      <c r="CW233" s="6"/>
      <c r="CX233" s="6"/>
      <c r="CY233" s="6"/>
      <c r="CZ233" s="6"/>
      <c r="DA233" s="6"/>
      <c r="DB233" s="43" t="str">
        <f t="shared" si="3556"/>
        <v/>
      </c>
      <c r="DC233" s="43" t="str">
        <f t="shared" si="3557"/>
        <v/>
      </c>
      <c r="DD233" s="43" t="str">
        <f t="shared" si="3558"/>
        <v/>
      </c>
      <c r="DE233" s="43" t="str">
        <f t="shared" si="3559"/>
        <v/>
      </c>
      <c r="DF233" s="43" t="str">
        <f t="shared" si="3560"/>
        <v/>
      </c>
      <c r="DG233" s="43" t="str">
        <f t="shared" si="3561"/>
        <v/>
      </c>
      <c r="DH233" s="43" t="str">
        <f t="shared" si="3562"/>
        <v/>
      </c>
      <c r="DI233" s="43" t="str">
        <f t="shared" si="3563"/>
        <v/>
      </c>
      <c r="DJ233" s="43" t="str">
        <f t="shared" si="3564"/>
        <v/>
      </c>
      <c r="DK233" s="43" t="str">
        <f t="shared" si="3565"/>
        <v/>
      </c>
      <c r="DL233" s="43" t="str">
        <f t="shared" si="3566"/>
        <v/>
      </c>
      <c r="DM233" s="43" t="str">
        <f t="shared" si="3567"/>
        <v/>
      </c>
      <c r="DN233" s="43" t="str">
        <f t="shared" si="3568"/>
        <v/>
      </c>
      <c r="DO233" s="43" t="str">
        <f t="shared" si="3569"/>
        <v/>
      </c>
      <c r="DP233" s="43" t="str">
        <f t="shared" si="3570"/>
        <v/>
      </c>
      <c r="DQ233" s="43" t="str">
        <f t="shared" si="3571"/>
        <v/>
      </c>
      <c r="DR233" s="43" t="str">
        <f t="shared" si="3572"/>
        <v/>
      </c>
      <c r="DS233" s="43" t="str">
        <f t="shared" si="3573"/>
        <v/>
      </c>
      <c r="DT233" s="43" t="str">
        <f t="shared" si="3574"/>
        <v/>
      </c>
      <c r="DU233" s="43" t="str">
        <f t="shared" si="3575"/>
        <v/>
      </c>
      <c r="DV233" s="43" t="str">
        <f t="shared" si="3576"/>
        <v/>
      </c>
      <c r="DW233" s="43" t="str">
        <f t="shared" si="3577"/>
        <v/>
      </c>
      <c r="DX233" s="43" t="str">
        <f t="shared" si="3578"/>
        <v/>
      </c>
      <c r="DY233" s="43" t="str">
        <f t="shared" si="3579"/>
        <v/>
      </c>
      <c r="DZ233" s="43" t="str">
        <f t="shared" si="3580"/>
        <v/>
      </c>
      <c r="EA233" s="43" t="str">
        <f t="shared" si="3581"/>
        <v/>
      </c>
      <c r="EB233" s="43" t="str">
        <f t="shared" si="3582"/>
        <v/>
      </c>
      <c r="EC233" s="43" t="str">
        <f t="shared" si="3583"/>
        <v/>
      </c>
      <c r="ED233" s="43" t="str">
        <f t="shared" si="3584"/>
        <v/>
      </c>
      <c r="EE233" s="43" t="str">
        <f t="shared" si="3585"/>
        <v/>
      </c>
      <c r="EF233" s="43" t="str">
        <f t="shared" si="3586"/>
        <v/>
      </c>
      <c r="EG233" s="43" t="str">
        <f t="shared" si="3587"/>
        <v/>
      </c>
      <c r="EH233" s="43" t="str">
        <f t="shared" si="3588"/>
        <v/>
      </c>
      <c r="EI233" s="43" t="str">
        <f t="shared" si="3589"/>
        <v/>
      </c>
      <c r="EJ233" s="43" t="str">
        <f t="shared" si="3590"/>
        <v/>
      </c>
      <c r="EK233" s="43" t="str">
        <f t="shared" si="3591"/>
        <v/>
      </c>
      <c r="EL233" s="43" t="str">
        <f t="shared" si="3592"/>
        <v/>
      </c>
      <c r="EM233" s="43" t="str">
        <f t="shared" si="3593"/>
        <v/>
      </c>
      <c r="EN233" s="43" t="str">
        <f t="shared" si="3594"/>
        <v/>
      </c>
      <c r="EO233" s="43" t="str">
        <f t="shared" si="3595"/>
        <v/>
      </c>
      <c r="EP233" s="43" t="str">
        <f t="shared" si="3596"/>
        <v/>
      </c>
      <c r="EQ233" s="43" t="str">
        <f t="shared" si="3597"/>
        <v/>
      </c>
      <c r="ER233" s="43" t="str">
        <f t="shared" si="3598"/>
        <v/>
      </c>
      <c r="ES233" s="43" t="str">
        <f t="shared" si="3599"/>
        <v/>
      </c>
      <c r="ET233" s="43" t="str">
        <f t="shared" si="3600"/>
        <v/>
      </c>
      <c r="EU233" s="43" t="str">
        <f t="shared" si="3601"/>
        <v/>
      </c>
      <c r="EV233" s="43" t="str">
        <f t="shared" si="3602"/>
        <v/>
      </c>
      <c r="EW233" s="43" t="str">
        <f t="shared" si="3603"/>
        <v/>
      </c>
      <c r="EX233" s="43" t="str">
        <f t="shared" si="3604"/>
        <v/>
      </c>
      <c r="EY233" s="43" t="str">
        <f t="shared" si="3605"/>
        <v/>
      </c>
      <c r="EZ233" s="43" t="str">
        <f t="shared" si="3606"/>
        <v/>
      </c>
      <c r="FA233" s="43" t="str">
        <f t="shared" si="3607"/>
        <v/>
      </c>
      <c r="FB233" s="43" t="str">
        <f t="shared" si="3608"/>
        <v/>
      </c>
      <c r="FC233" s="43" t="str">
        <f t="shared" si="3609"/>
        <v/>
      </c>
      <c r="FD233" s="43" t="str">
        <f t="shared" si="3610"/>
        <v/>
      </c>
      <c r="FE233" s="43" t="str">
        <f t="shared" si="3611"/>
        <v/>
      </c>
      <c r="FF233" s="43" t="str">
        <f t="shared" si="3612"/>
        <v/>
      </c>
      <c r="FG233" s="43" t="str">
        <f t="shared" si="3613"/>
        <v/>
      </c>
      <c r="FH233" s="43" t="str">
        <f t="shared" si="3614"/>
        <v/>
      </c>
      <c r="FI233" s="43" t="str">
        <f t="shared" si="3615"/>
        <v/>
      </c>
      <c r="FJ233" s="43" t="str">
        <f t="shared" si="3616"/>
        <v/>
      </c>
      <c r="FK233" s="43" t="str">
        <f t="shared" si="3617"/>
        <v/>
      </c>
      <c r="FL233" s="43" t="str">
        <f t="shared" si="3618"/>
        <v/>
      </c>
      <c r="FM233" s="43" t="str">
        <f t="shared" si="3619"/>
        <v/>
      </c>
      <c r="FN233" s="43" t="str">
        <f t="shared" si="3620"/>
        <v/>
      </c>
      <c r="FO233" s="43" t="str">
        <f t="shared" si="3621"/>
        <v/>
      </c>
      <c r="FP233" s="43" t="str">
        <f t="shared" si="3622"/>
        <v/>
      </c>
      <c r="FQ233" s="43" t="str">
        <f t="shared" si="3623"/>
        <v/>
      </c>
      <c r="FR233" s="43" t="str">
        <f t="shared" si="3624"/>
        <v/>
      </c>
      <c r="FS233" s="43" t="str">
        <f t="shared" si="3625"/>
        <v/>
      </c>
    </row>
    <row r="234" spans="1:175" ht="16.5">
      <c r="A234" s="94"/>
      <c r="B234" s="7" t="s">
        <v>647</v>
      </c>
      <c r="C234" s="5" t="s">
        <v>648</v>
      </c>
      <c r="T234" s="103"/>
      <c r="U234" s="55"/>
      <c r="CN234" s="12" t="str">
        <f t="shared" si="3550"/>
        <v>InitUnitState('IF13',,,,,,,,,,)</v>
      </c>
      <c r="CO234" s="12" t="str">
        <f t="shared" si="3551"/>
        <v>InitUnitNormal('IF13',,,,,,,,,,)</v>
      </c>
      <c r="CP234" s="12" t="str">
        <f t="shared" si="3552"/>
        <v>InitUnitMagic('IF13',,,,,,,,,,)</v>
      </c>
      <c r="CQ234" s="12" t="str">
        <f t="shared" si="3553"/>
        <v>InitUnitAdd('IF13',,,,,,,,,,)</v>
      </c>
      <c r="CR234" s="12" t="str">
        <f t="shared" si="3554"/>
        <v>InitEquipData('IF13',,"",,,,,'','','','','','',"")</v>
      </c>
      <c r="CU234" s="67" t="str">
        <f t="shared" si="3555"/>
        <v>|n</v>
      </c>
      <c r="CW234" s="6"/>
      <c r="CX234" s="6"/>
      <c r="CY234" s="6"/>
      <c r="CZ234" s="6"/>
      <c r="DA234" s="6"/>
      <c r="DB234" s="43" t="str">
        <f t="shared" si="3556"/>
        <v/>
      </c>
      <c r="DC234" s="43" t="str">
        <f t="shared" si="3557"/>
        <v/>
      </c>
      <c r="DD234" s="43" t="str">
        <f t="shared" si="3558"/>
        <v/>
      </c>
      <c r="DE234" s="43" t="str">
        <f t="shared" si="3559"/>
        <v/>
      </c>
      <c r="DF234" s="43" t="str">
        <f t="shared" si="3560"/>
        <v/>
      </c>
      <c r="DG234" s="43" t="str">
        <f t="shared" si="3561"/>
        <v/>
      </c>
      <c r="DH234" s="43" t="str">
        <f t="shared" si="3562"/>
        <v/>
      </c>
      <c r="DI234" s="43" t="str">
        <f t="shared" si="3563"/>
        <v/>
      </c>
      <c r="DJ234" s="43" t="str">
        <f t="shared" si="3564"/>
        <v/>
      </c>
      <c r="DK234" s="43" t="str">
        <f t="shared" si="3565"/>
        <v/>
      </c>
      <c r="DL234" s="43" t="str">
        <f t="shared" si="3566"/>
        <v/>
      </c>
      <c r="DM234" s="43" t="str">
        <f t="shared" si="3567"/>
        <v/>
      </c>
      <c r="DN234" s="43" t="str">
        <f t="shared" si="3568"/>
        <v/>
      </c>
      <c r="DO234" s="43" t="str">
        <f t="shared" si="3569"/>
        <v/>
      </c>
      <c r="DP234" s="43" t="str">
        <f t="shared" si="3570"/>
        <v/>
      </c>
      <c r="DQ234" s="43" t="str">
        <f t="shared" si="3571"/>
        <v/>
      </c>
      <c r="DR234" s="43" t="str">
        <f t="shared" si="3572"/>
        <v/>
      </c>
      <c r="DS234" s="43" t="str">
        <f t="shared" si="3573"/>
        <v/>
      </c>
      <c r="DT234" s="43" t="str">
        <f t="shared" si="3574"/>
        <v/>
      </c>
      <c r="DU234" s="43" t="str">
        <f t="shared" si="3575"/>
        <v/>
      </c>
      <c r="DV234" s="43" t="str">
        <f t="shared" si="3576"/>
        <v/>
      </c>
      <c r="DW234" s="43" t="str">
        <f t="shared" si="3577"/>
        <v/>
      </c>
      <c r="DX234" s="43" t="str">
        <f t="shared" si="3578"/>
        <v/>
      </c>
      <c r="DY234" s="43" t="str">
        <f t="shared" si="3579"/>
        <v/>
      </c>
      <c r="DZ234" s="43" t="str">
        <f t="shared" si="3580"/>
        <v/>
      </c>
      <c r="EA234" s="43" t="str">
        <f t="shared" si="3581"/>
        <v/>
      </c>
      <c r="EB234" s="43" t="str">
        <f t="shared" si="3582"/>
        <v/>
      </c>
      <c r="EC234" s="43" t="str">
        <f t="shared" si="3583"/>
        <v/>
      </c>
      <c r="ED234" s="43" t="str">
        <f t="shared" si="3584"/>
        <v/>
      </c>
      <c r="EE234" s="43" t="str">
        <f t="shared" si="3585"/>
        <v/>
      </c>
      <c r="EF234" s="43" t="str">
        <f t="shared" si="3586"/>
        <v/>
      </c>
      <c r="EG234" s="43" t="str">
        <f t="shared" si="3587"/>
        <v/>
      </c>
      <c r="EH234" s="43" t="str">
        <f t="shared" si="3588"/>
        <v/>
      </c>
      <c r="EI234" s="43" t="str">
        <f t="shared" si="3589"/>
        <v/>
      </c>
      <c r="EJ234" s="43" t="str">
        <f t="shared" si="3590"/>
        <v/>
      </c>
      <c r="EK234" s="43" t="str">
        <f t="shared" si="3591"/>
        <v/>
      </c>
      <c r="EL234" s="43" t="str">
        <f t="shared" si="3592"/>
        <v/>
      </c>
      <c r="EM234" s="43" t="str">
        <f t="shared" si="3593"/>
        <v/>
      </c>
      <c r="EN234" s="43" t="str">
        <f t="shared" si="3594"/>
        <v/>
      </c>
      <c r="EO234" s="43" t="str">
        <f t="shared" si="3595"/>
        <v/>
      </c>
      <c r="EP234" s="43" t="str">
        <f t="shared" si="3596"/>
        <v/>
      </c>
      <c r="EQ234" s="43" t="str">
        <f t="shared" si="3597"/>
        <v/>
      </c>
      <c r="ER234" s="43" t="str">
        <f t="shared" si="3598"/>
        <v/>
      </c>
      <c r="ES234" s="43" t="str">
        <f t="shared" si="3599"/>
        <v/>
      </c>
      <c r="ET234" s="43" t="str">
        <f t="shared" si="3600"/>
        <v/>
      </c>
      <c r="EU234" s="43" t="str">
        <f t="shared" si="3601"/>
        <v/>
      </c>
      <c r="EV234" s="43" t="str">
        <f t="shared" si="3602"/>
        <v/>
      </c>
      <c r="EW234" s="43" t="str">
        <f t="shared" si="3603"/>
        <v/>
      </c>
      <c r="EX234" s="43" t="str">
        <f t="shared" si="3604"/>
        <v/>
      </c>
      <c r="EY234" s="43" t="str">
        <f t="shared" si="3605"/>
        <v/>
      </c>
      <c r="EZ234" s="43" t="str">
        <f t="shared" si="3606"/>
        <v/>
      </c>
      <c r="FA234" s="43" t="str">
        <f t="shared" si="3607"/>
        <v/>
      </c>
      <c r="FB234" s="43" t="str">
        <f t="shared" si="3608"/>
        <v/>
      </c>
      <c r="FC234" s="43" t="str">
        <f t="shared" si="3609"/>
        <v/>
      </c>
      <c r="FD234" s="43" t="str">
        <f t="shared" si="3610"/>
        <v/>
      </c>
      <c r="FE234" s="43" t="str">
        <f t="shared" si="3611"/>
        <v/>
      </c>
      <c r="FF234" s="43" t="str">
        <f t="shared" si="3612"/>
        <v/>
      </c>
      <c r="FG234" s="43" t="str">
        <f t="shared" si="3613"/>
        <v/>
      </c>
      <c r="FH234" s="43" t="str">
        <f t="shared" si="3614"/>
        <v/>
      </c>
      <c r="FI234" s="43" t="str">
        <f t="shared" si="3615"/>
        <v/>
      </c>
      <c r="FJ234" s="43" t="str">
        <f t="shared" si="3616"/>
        <v/>
      </c>
      <c r="FK234" s="43" t="str">
        <f t="shared" si="3617"/>
        <v/>
      </c>
      <c r="FL234" s="43" t="str">
        <f t="shared" si="3618"/>
        <v/>
      </c>
      <c r="FM234" s="43" t="str">
        <f t="shared" si="3619"/>
        <v/>
      </c>
      <c r="FN234" s="43" t="str">
        <f t="shared" si="3620"/>
        <v/>
      </c>
      <c r="FO234" s="43" t="str">
        <f t="shared" si="3621"/>
        <v/>
      </c>
      <c r="FP234" s="43" t="str">
        <f t="shared" si="3622"/>
        <v/>
      </c>
      <c r="FQ234" s="43" t="str">
        <f t="shared" si="3623"/>
        <v/>
      </c>
      <c r="FR234" s="43" t="str">
        <f t="shared" si="3624"/>
        <v/>
      </c>
      <c r="FS234" s="43" t="str">
        <f t="shared" si="3625"/>
        <v/>
      </c>
    </row>
    <row r="235" spans="1:175" ht="16.5">
      <c r="A235" s="94"/>
      <c r="B235" s="7" t="s">
        <v>649</v>
      </c>
      <c r="C235" s="5" t="s">
        <v>648</v>
      </c>
      <c r="T235" s="103"/>
      <c r="U235" s="55"/>
      <c r="CN235" s="12" t="str">
        <f t="shared" si="3550"/>
        <v>InitUnitState('IF14',,,,,,,,,,)</v>
      </c>
      <c r="CO235" s="12" t="str">
        <f t="shared" si="3551"/>
        <v>InitUnitNormal('IF14',,,,,,,,,,)</v>
      </c>
      <c r="CP235" s="12" t="str">
        <f t="shared" si="3552"/>
        <v>InitUnitMagic('IF14',,,,,,,,,,)</v>
      </c>
      <c r="CQ235" s="12" t="str">
        <f t="shared" si="3553"/>
        <v>InitUnitAdd('IF14',,,,,,,,,,)</v>
      </c>
      <c r="CR235" s="12" t="str">
        <f t="shared" si="3554"/>
        <v>InitEquipData('IF14',,"",,,,,'','','','','','',"")</v>
      </c>
      <c r="CU235" s="67" t="str">
        <f t="shared" si="3555"/>
        <v>|n</v>
      </c>
      <c r="CW235" s="6"/>
      <c r="CX235" s="6"/>
      <c r="CY235" s="6"/>
      <c r="CZ235" s="6"/>
      <c r="DA235" s="6"/>
      <c r="DB235" s="43" t="str">
        <f t="shared" si="3556"/>
        <v/>
      </c>
      <c r="DC235" s="43" t="str">
        <f t="shared" si="3557"/>
        <v/>
      </c>
      <c r="DD235" s="43" t="str">
        <f t="shared" si="3558"/>
        <v/>
      </c>
      <c r="DE235" s="43" t="str">
        <f t="shared" si="3559"/>
        <v/>
      </c>
      <c r="DF235" s="43" t="str">
        <f t="shared" si="3560"/>
        <v/>
      </c>
      <c r="DG235" s="43" t="str">
        <f t="shared" si="3561"/>
        <v/>
      </c>
      <c r="DH235" s="43" t="str">
        <f t="shared" si="3562"/>
        <v/>
      </c>
      <c r="DI235" s="43" t="str">
        <f t="shared" si="3563"/>
        <v/>
      </c>
      <c r="DJ235" s="43" t="str">
        <f t="shared" si="3564"/>
        <v/>
      </c>
      <c r="DK235" s="43" t="str">
        <f t="shared" si="3565"/>
        <v/>
      </c>
      <c r="DL235" s="43" t="str">
        <f t="shared" si="3566"/>
        <v/>
      </c>
      <c r="DM235" s="43" t="str">
        <f t="shared" si="3567"/>
        <v/>
      </c>
      <c r="DN235" s="43" t="str">
        <f t="shared" si="3568"/>
        <v/>
      </c>
      <c r="DO235" s="43" t="str">
        <f t="shared" si="3569"/>
        <v/>
      </c>
      <c r="DP235" s="43" t="str">
        <f t="shared" si="3570"/>
        <v/>
      </c>
      <c r="DQ235" s="43" t="str">
        <f t="shared" si="3571"/>
        <v/>
      </c>
      <c r="DR235" s="43" t="str">
        <f t="shared" si="3572"/>
        <v/>
      </c>
      <c r="DS235" s="43" t="str">
        <f t="shared" si="3573"/>
        <v/>
      </c>
      <c r="DT235" s="43" t="str">
        <f t="shared" si="3574"/>
        <v/>
      </c>
      <c r="DU235" s="43" t="str">
        <f t="shared" si="3575"/>
        <v/>
      </c>
      <c r="DV235" s="43" t="str">
        <f t="shared" si="3576"/>
        <v/>
      </c>
      <c r="DW235" s="43" t="str">
        <f t="shared" si="3577"/>
        <v/>
      </c>
      <c r="DX235" s="43" t="str">
        <f t="shared" si="3578"/>
        <v/>
      </c>
      <c r="DY235" s="43" t="str">
        <f t="shared" si="3579"/>
        <v/>
      </c>
      <c r="DZ235" s="43" t="str">
        <f t="shared" si="3580"/>
        <v/>
      </c>
      <c r="EA235" s="43" t="str">
        <f t="shared" si="3581"/>
        <v/>
      </c>
      <c r="EB235" s="43" t="str">
        <f t="shared" si="3582"/>
        <v/>
      </c>
      <c r="EC235" s="43" t="str">
        <f t="shared" si="3583"/>
        <v/>
      </c>
      <c r="ED235" s="43" t="str">
        <f t="shared" si="3584"/>
        <v/>
      </c>
      <c r="EE235" s="43" t="str">
        <f t="shared" si="3585"/>
        <v/>
      </c>
      <c r="EF235" s="43" t="str">
        <f t="shared" si="3586"/>
        <v/>
      </c>
      <c r="EG235" s="43" t="str">
        <f t="shared" si="3587"/>
        <v/>
      </c>
      <c r="EH235" s="43" t="str">
        <f t="shared" si="3588"/>
        <v/>
      </c>
      <c r="EI235" s="43" t="str">
        <f t="shared" si="3589"/>
        <v/>
      </c>
      <c r="EJ235" s="43" t="str">
        <f t="shared" si="3590"/>
        <v/>
      </c>
      <c r="EK235" s="43" t="str">
        <f t="shared" si="3591"/>
        <v/>
      </c>
      <c r="EL235" s="43" t="str">
        <f t="shared" si="3592"/>
        <v/>
      </c>
      <c r="EM235" s="43" t="str">
        <f t="shared" si="3593"/>
        <v/>
      </c>
      <c r="EN235" s="43" t="str">
        <f t="shared" si="3594"/>
        <v/>
      </c>
      <c r="EO235" s="43" t="str">
        <f t="shared" si="3595"/>
        <v/>
      </c>
      <c r="EP235" s="43" t="str">
        <f t="shared" si="3596"/>
        <v/>
      </c>
      <c r="EQ235" s="43" t="str">
        <f t="shared" si="3597"/>
        <v/>
      </c>
      <c r="ER235" s="43" t="str">
        <f t="shared" si="3598"/>
        <v/>
      </c>
      <c r="ES235" s="43" t="str">
        <f t="shared" si="3599"/>
        <v/>
      </c>
      <c r="ET235" s="43" t="str">
        <f t="shared" si="3600"/>
        <v/>
      </c>
      <c r="EU235" s="43" t="str">
        <f t="shared" si="3601"/>
        <v/>
      </c>
      <c r="EV235" s="43" t="str">
        <f t="shared" si="3602"/>
        <v/>
      </c>
      <c r="EW235" s="43" t="str">
        <f t="shared" si="3603"/>
        <v/>
      </c>
      <c r="EX235" s="43" t="str">
        <f t="shared" si="3604"/>
        <v/>
      </c>
      <c r="EY235" s="43" t="str">
        <f t="shared" si="3605"/>
        <v/>
      </c>
      <c r="EZ235" s="43" t="str">
        <f t="shared" si="3606"/>
        <v/>
      </c>
      <c r="FA235" s="43" t="str">
        <f t="shared" si="3607"/>
        <v/>
      </c>
      <c r="FB235" s="43" t="str">
        <f t="shared" si="3608"/>
        <v/>
      </c>
      <c r="FC235" s="43" t="str">
        <f t="shared" si="3609"/>
        <v/>
      </c>
      <c r="FD235" s="43" t="str">
        <f t="shared" si="3610"/>
        <v/>
      </c>
      <c r="FE235" s="43" t="str">
        <f t="shared" si="3611"/>
        <v/>
      </c>
      <c r="FF235" s="43" t="str">
        <f t="shared" si="3612"/>
        <v/>
      </c>
      <c r="FG235" s="43" t="str">
        <f t="shared" si="3613"/>
        <v/>
      </c>
      <c r="FH235" s="43" t="str">
        <f t="shared" si="3614"/>
        <v/>
      </c>
      <c r="FI235" s="43" t="str">
        <f t="shared" si="3615"/>
        <v/>
      </c>
      <c r="FJ235" s="43" t="str">
        <f t="shared" si="3616"/>
        <v/>
      </c>
      <c r="FK235" s="43" t="str">
        <f t="shared" si="3617"/>
        <v/>
      </c>
      <c r="FL235" s="43" t="str">
        <f t="shared" si="3618"/>
        <v/>
      </c>
      <c r="FM235" s="43" t="str">
        <f t="shared" si="3619"/>
        <v/>
      </c>
      <c r="FN235" s="43" t="str">
        <f t="shared" si="3620"/>
        <v/>
      </c>
      <c r="FO235" s="43" t="str">
        <f t="shared" si="3621"/>
        <v/>
      </c>
      <c r="FP235" s="43" t="str">
        <f t="shared" si="3622"/>
        <v/>
      </c>
      <c r="FQ235" s="43" t="str">
        <f t="shared" si="3623"/>
        <v/>
      </c>
      <c r="FR235" s="43" t="str">
        <f t="shared" si="3624"/>
        <v/>
      </c>
      <c r="FS235" s="43" t="str">
        <f t="shared" si="3625"/>
        <v/>
      </c>
    </row>
    <row r="236" spans="1:175" ht="16.5">
      <c r="A236" s="94"/>
      <c r="B236" s="7" t="s">
        <v>650</v>
      </c>
      <c r="C236" s="5" t="s">
        <v>648</v>
      </c>
      <c r="T236" s="103"/>
      <c r="U236" s="55"/>
      <c r="CN236" s="12" t="str">
        <f t="shared" si="3550"/>
        <v>InitUnitState('IF15',,,,,,,,,,)</v>
      </c>
      <c r="CO236" s="12" t="str">
        <f t="shared" si="3551"/>
        <v>InitUnitNormal('IF15',,,,,,,,,,)</v>
      </c>
      <c r="CP236" s="12" t="str">
        <f t="shared" si="3552"/>
        <v>InitUnitMagic('IF15',,,,,,,,,,)</v>
      </c>
      <c r="CQ236" s="12" t="str">
        <f t="shared" si="3553"/>
        <v>InitUnitAdd('IF15',,,,,,,,,,)</v>
      </c>
      <c r="CR236" s="12" t="str">
        <f t="shared" si="3554"/>
        <v>InitEquipData('IF15',,"",,,,,'','','','','','',"")</v>
      </c>
      <c r="CU236" s="67" t="str">
        <f t="shared" si="3555"/>
        <v>|n</v>
      </c>
      <c r="CW236" s="6"/>
      <c r="CX236" s="6"/>
      <c r="CY236" s="6"/>
      <c r="CZ236" s="6"/>
      <c r="DA236" s="6"/>
      <c r="DB236" s="43" t="str">
        <f t="shared" si="3556"/>
        <v/>
      </c>
      <c r="DC236" s="43" t="str">
        <f t="shared" si="3557"/>
        <v/>
      </c>
      <c r="DD236" s="43" t="str">
        <f t="shared" si="3558"/>
        <v/>
      </c>
      <c r="DE236" s="43" t="str">
        <f t="shared" si="3559"/>
        <v/>
      </c>
      <c r="DF236" s="43" t="str">
        <f t="shared" si="3560"/>
        <v/>
      </c>
      <c r="DG236" s="43" t="str">
        <f t="shared" si="3561"/>
        <v/>
      </c>
      <c r="DH236" s="43" t="str">
        <f t="shared" si="3562"/>
        <v/>
      </c>
      <c r="DI236" s="43" t="str">
        <f t="shared" si="3563"/>
        <v/>
      </c>
      <c r="DJ236" s="43" t="str">
        <f t="shared" si="3564"/>
        <v/>
      </c>
      <c r="DK236" s="43" t="str">
        <f t="shared" si="3565"/>
        <v/>
      </c>
      <c r="DL236" s="43" t="str">
        <f t="shared" si="3566"/>
        <v/>
      </c>
      <c r="DM236" s="43" t="str">
        <f t="shared" si="3567"/>
        <v/>
      </c>
      <c r="DN236" s="43" t="str">
        <f t="shared" si="3568"/>
        <v/>
      </c>
      <c r="DO236" s="43" t="str">
        <f t="shared" si="3569"/>
        <v/>
      </c>
      <c r="DP236" s="43" t="str">
        <f t="shared" si="3570"/>
        <v/>
      </c>
      <c r="DQ236" s="43" t="str">
        <f t="shared" si="3571"/>
        <v/>
      </c>
      <c r="DR236" s="43" t="str">
        <f t="shared" si="3572"/>
        <v/>
      </c>
      <c r="DS236" s="43" t="str">
        <f t="shared" si="3573"/>
        <v/>
      </c>
      <c r="DT236" s="43" t="str">
        <f t="shared" si="3574"/>
        <v/>
      </c>
      <c r="DU236" s="43" t="str">
        <f t="shared" si="3575"/>
        <v/>
      </c>
      <c r="DV236" s="43" t="str">
        <f t="shared" si="3576"/>
        <v/>
      </c>
      <c r="DW236" s="43" t="str">
        <f t="shared" si="3577"/>
        <v/>
      </c>
      <c r="DX236" s="43" t="str">
        <f t="shared" si="3578"/>
        <v/>
      </c>
      <c r="DY236" s="43" t="str">
        <f t="shared" si="3579"/>
        <v/>
      </c>
      <c r="DZ236" s="43" t="str">
        <f t="shared" si="3580"/>
        <v/>
      </c>
      <c r="EA236" s="43" t="str">
        <f t="shared" si="3581"/>
        <v/>
      </c>
      <c r="EB236" s="43" t="str">
        <f t="shared" si="3582"/>
        <v/>
      </c>
      <c r="EC236" s="43" t="str">
        <f t="shared" si="3583"/>
        <v/>
      </c>
      <c r="ED236" s="43" t="str">
        <f t="shared" si="3584"/>
        <v/>
      </c>
      <c r="EE236" s="43" t="str">
        <f t="shared" si="3585"/>
        <v/>
      </c>
      <c r="EF236" s="43" t="str">
        <f t="shared" si="3586"/>
        <v/>
      </c>
      <c r="EG236" s="43" t="str">
        <f t="shared" si="3587"/>
        <v/>
      </c>
      <c r="EH236" s="43" t="str">
        <f t="shared" si="3588"/>
        <v/>
      </c>
      <c r="EI236" s="43" t="str">
        <f t="shared" si="3589"/>
        <v/>
      </c>
      <c r="EJ236" s="43" t="str">
        <f t="shared" si="3590"/>
        <v/>
      </c>
      <c r="EK236" s="43" t="str">
        <f t="shared" si="3591"/>
        <v/>
      </c>
      <c r="EL236" s="43" t="str">
        <f t="shared" si="3592"/>
        <v/>
      </c>
      <c r="EM236" s="43" t="str">
        <f t="shared" si="3593"/>
        <v/>
      </c>
      <c r="EN236" s="43" t="str">
        <f t="shared" si="3594"/>
        <v/>
      </c>
      <c r="EO236" s="43" t="str">
        <f t="shared" si="3595"/>
        <v/>
      </c>
      <c r="EP236" s="43" t="str">
        <f t="shared" si="3596"/>
        <v/>
      </c>
      <c r="EQ236" s="43" t="str">
        <f t="shared" si="3597"/>
        <v/>
      </c>
      <c r="ER236" s="43" t="str">
        <f t="shared" si="3598"/>
        <v/>
      </c>
      <c r="ES236" s="43" t="str">
        <f t="shared" si="3599"/>
        <v/>
      </c>
      <c r="ET236" s="43" t="str">
        <f t="shared" si="3600"/>
        <v/>
      </c>
      <c r="EU236" s="43" t="str">
        <f t="shared" si="3601"/>
        <v/>
      </c>
      <c r="EV236" s="43" t="str">
        <f t="shared" si="3602"/>
        <v/>
      </c>
      <c r="EW236" s="43" t="str">
        <f t="shared" si="3603"/>
        <v/>
      </c>
      <c r="EX236" s="43" t="str">
        <f t="shared" si="3604"/>
        <v/>
      </c>
      <c r="EY236" s="43" t="str">
        <f t="shared" si="3605"/>
        <v/>
      </c>
      <c r="EZ236" s="43" t="str">
        <f t="shared" si="3606"/>
        <v/>
      </c>
      <c r="FA236" s="43" t="str">
        <f t="shared" si="3607"/>
        <v/>
      </c>
      <c r="FB236" s="43" t="str">
        <f t="shared" si="3608"/>
        <v/>
      </c>
      <c r="FC236" s="43" t="str">
        <f t="shared" si="3609"/>
        <v/>
      </c>
      <c r="FD236" s="43" t="str">
        <f t="shared" si="3610"/>
        <v/>
      </c>
      <c r="FE236" s="43" t="str">
        <f t="shared" si="3611"/>
        <v/>
      </c>
      <c r="FF236" s="43" t="str">
        <f t="shared" si="3612"/>
        <v/>
      </c>
      <c r="FG236" s="43" t="str">
        <f t="shared" si="3613"/>
        <v/>
      </c>
      <c r="FH236" s="43" t="str">
        <f t="shared" si="3614"/>
        <v/>
      </c>
      <c r="FI236" s="43" t="str">
        <f t="shared" si="3615"/>
        <v/>
      </c>
      <c r="FJ236" s="43" t="str">
        <f t="shared" si="3616"/>
        <v/>
      </c>
      <c r="FK236" s="43" t="str">
        <f t="shared" si="3617"/>
        <v/>
      </c>
      <c r="FL236" s="43" t="str">
        <f t="shared" si="3618"/>
        <v/>
      </c>
      <c r="FM236" s="43" t="str">
        <f t="shared" si="3619"/>
        <v/>
      </c>
      <c r="FN236" s="43" t="str">
        <f t="shared" si="3620"/>
        <v/>
      </c>
      <c r="FO236" s="43" t="str">
        <f t="shared" si="3621"/>
        <v/>
      </c>
      <c r="FP236" s="43" t="str">
        <f t="shared" si="3622"/>
        <v/>
      </c>
      <c r="FQ236" s="43" t="str">
        <f t="shared" si="3623"/>
        <v/>
      </c>
      <c r="FR236" s="43" t="str">
        <f t="shared" si="3624"/>
        <v/>
      </c>
      <c r="FS236" s="43" t="str">
        <f t="shared" si="3625"/>
        <v/>
      </c>
    </row>
    <row r="237" spans="1:175" ht="16.5">
      <c r="A237" s="94"/>
      <c r="B237" s="7" t="s">
        <v>651</v>
      </c>
      <c r="C237" s="5" t="s">
        <v>140</v>
      </c>
      <c r="T237" s="103"/>
      <c r="U237" s="55"/>
      <c r="CN237" s="12" t="str">
        <f t="shared" si="3550"/>
        <v>InitUnitState('IF16',,,,,,,,,,)</v>
      </c>
      <c r="CO237" s="12" t="str">
        <f t="shared" si="3551"/>
        <v>InitUnitNormal('IF16',,,,,,,,,,)</v>
      </c>
      <c r="CP237" s="12" t="str">
        <f t="shared" si="3552"/>
        <v>InitUnitMagic('IF16',,,,,,,,,,)</v>
      </c>
      <c r="CQ237" s="12" t="str">
        <f t="shared" si="3553"/>
        <v>InitUnitAdd('IF16',,,,,,,,,,)</v>
      </c>
      <c r="CR237" s="12" t="str">
        <f t="shared" si="3554"/>
        <v>InitEquipData('IF16',,"",,,,,'','','','','','',"")</v>
      </c>
      <c r="CU237" s="67" t="str">
        <f t="shared" si="3555"/>
        <v>|n</v>
      </c>
      <c r="CW237" s="6"/>
      <c r="CX237" s="6"/>
      <c r="CY237" s="6"/>
      <c r="CZ237" s="6"/>
      <c r="DA237" s="6"/>
      <c r="DB237" s="43" t="str">
        <f t="shared" si="3556"/>
        <v/>
      </c>
      <c r="DC237" s="43" t="str">
        <f t="shared" si="3557"/>
        <v/>
      </c>
      <c r="DD237" s="43" t="str">
        <f t="shared" si="3558"/>
        <v/>
      </c>
      <c r="DE237" s="43" t="str">
        <f t="shared" si="3559"/>
        <v/>
      </c>
      <c r="DF237" s="43" t="str">
        <f t="shared" si="3560"/>
        <v/>
      </c>
      <c r="DG237" s="43" t="str">
        <f t="shared" si="3561"/>
        <v/>
      </c>
      <c r="DH237" s="43" t="str">
        <f t="shared" si="3562"/>
        <v/>
      </c>
      <c r="DI237" s="43" t="str">
        <f t="shared" si="3563"/>
        <v/>
      </c>
      <c r="DJ237" s="43" t="str">
        <f t="shared" si="3564"/>
        <v/>
      </c>
      <c r="DK237" s="43" t="str">
        <f t="shared" si="3565"/>
        <v/>
      </c>
      <c r="DL237" s="43" t="str">
        <f t="shared" si="3566"/>
        <v/>
      </c>
      <c r="DM237" s="43" t="str">
        <f t="shared" si="3567"/>
        <v/>
      </c>
      <c r="DN237" s="43" t="str">
        <f t="shared" si="3568"/>
        <v/>
      </c>
      <c r="DO237" s="43" t="str">
        <f t="shared" si="3569"/>
        <v/>
      </c>
      <c r="DP237" s="43" t="str">
        <f t="shared" si="3570"/>
        <v/>
      </c>
      <c r="DQ237" s="43" t="str">
        <f t="shared" si="3571"/>
        <v/>
      </c>
      <c r="DR237" s="43" t="str">
        <f t="shared" si="3572"/>
        <v/>
      </c>
      <c r="DS237" s="43" t="str">
        <f t="shared" si="3573"/>
        <v/>
      </c>
      <c r="DT237" s="43" t="str">
        <f t="shared" si="3574"/>
        <v/>
      </c>
      <c r="DU237" s="43" t="str">
        <f t="shared" si="3575"/>
        <v/>
      </c>
      <c r="DV237" s="43" t="str">
        <f t="shared" si="3576"/>
        <v/>
      </c>
      <c r="DW237" s="43" t="str">
        <f t="shared" si="3577"/>
        <v/>
      </c>
      <c r="DX237" s="43" t="str">
        <f t="shared" si="3578"/>
        <v/>
      </c>
      <c r="DY237" s="43" t="str">
        <f t="shared" si="3579"/>
        <v/>
      </c>
      <c r="DZ237" s="43" t="str">
        <f t="shared" si="3580"/>
        <v/>
      </c>
      <c r="EA237" s="43" t="str">
        <f t="shared" si="3581"/>
        <v/>
      </c>
      <c r="EB237" s="43" t="str">
        <f t="shared" si="3582"/>
        <v/>
      </c>
      <c r="EC237" s="43" t="str">
        <f t="shared" si="3583"/>
        <v/>
      </c>
      <c r="ED237" s="43" t="str">
        <f t="shared" si="3584"/>
        <v/>
      </c>
      <c r="EE237" s="43" t="str">
        <f t="shared" si="3585"/>
        <v/>
      </c>
      <c r="EF237" s="43" t="str">
        <f t="shared" si="3586"/>
        <v/>
      </c>
      <c r="EG237" s="43" t="str">
        <f t="shared" si="3587"/>
        <v/>
      </c>
      <c r="EH237" s="43" t="str">
        <f t="shared" si="3588"/>
        <v/>
      </c>
      <c r="EI237" s="43" t="str">
        <f t="shared" si="3589"/>
        <v/>
      </c>
      <c r="EJ237" s="43" t="str">
        <f t="shared" si="3590"/>
        <v/>
      </c>
      <c r="EK237" s="43" t="str">
        <f t="shared" si="3591"/>
        <v/>
      </c>
      <c r="EL237" s="43" t="str">
        <f t="shared" si="3592"/>
        <v/>
      </c>
      <c r="EM237" s="43" t="str">
        <f t="shared" si="3593"/>
        <v/>
      </c>
      <c r="EN237" s="43" t="str">
        <f t="shared" si="3594"/>
        <v/>
      </c>
      <c r="EO237" s="43" t="str">
        <f t="shared" si="3595"/>
        <v/>
      </c>
      <c r="EP237" s="43" t="str">
        <f t="shared" si="3596"/>
        <v/>
      </c>
      <c r="EQ237" s="43" t="str">
        <f t="shared" si="3597"/>
        <v/>
      </c>
      <c r="ER237" s="43" t="str">
        <f t="shared" si="3598"/>
        <v/>
      </c>
      <c r="ES237" s="43" t="str">
        <f t="shared" si="3599"/>
        <v/>
      </c>
      <c r="ET237" s="43" t="str">
        <f t="shared" si="3600"/>
        <v/>
      </c>
      <c r="EU237" s="43" t="str">
        <f t="shared" si="3601"/>
        <v/>
      </c>
      <c r="EV237" s="43" t="str">
        <f t="shared" si="3602"/>
        <v/>
      </c>
      <c r="EW237" s="43" t="str">
        <f t="shared" si="3603"/>
        <v/>
      </c>
      <c r="EX237" s="43" t="str">
        <f t="shared" si="3604"/>
        <v/>
      </c>
      <c r="EY237" s="43" t="str">
        <f t="shared" si="3605"/>
        <v/>
      </c>
      <c r="EZ237" s="43" t="str">
        <f t="shared" si="3606"/>
        <v/>
      </c>
      <c r="FA237" s="43" t="str">
        <f t="shared" si="3607"/>
        <v/>
      </c>
      <c r="FB237" s="43" t="str">
        <f t="shared" si="3608"/>
        <v/>
      </c>
      <c r="FC237" s="43" t="str">
        <f t="shared" si="3609"/>
        <v/>
      </c>
      <c r="FD237" s="43" t="str">
        <f t="shared" si="3610"/>
        <v/>
      </c>
      <c r="FE237" s="43" t="str">
        <f t="shared" si="3611"/>
        <v/>
      </c>
      <c r="FF237" s="43" t="str">
        <f t="shared" si="3612"/>
        <v/>
      </c>
      <c r="FG237" s="43" t="str">
        <f t="shared" si="3613"/>
        <v/>
      </c>
      <c r="FH237" s="43" t="str">
        <f t="shared" si="3614"/>
        <v/>
      </c>
      <c r="FI237" s="43" t="str">
        <f t="shared" si="3615"/>
        <v/>
      </c>
      <c r="FJ237" s="43" t="str">
        <f t="shared" si="3616"/>
        <v/>
      </c>
      <c r="FK237" s="43" t="str">
        <f t="shared" si="3617"/>
        <v/>
      </c>
      <c r="FL237" s="43" t="str">
        <f t="shared" si="3618"/>
        <v/>
      </c>
      <c r="FM237" s="43" t="str">
        <f t="shared" si="3619"/>
        <v/>
      </c>
      <c r="FN237" s="43" t="str">
        <f t="shared" si="3620"/>
        <v/>
      </c>
      <c r="FO237" s="43" t="str">
        <f t="shared" si="3621"/>
        <v/>
      </c>
      <c r="FP237" s="43" t="str">
        <f t="shared" si="3622"/>
        <v/>
      </c>
      <c r="FQ237" s="43" t="str">
        <f t="shared" si="3623"/>
        <v/>
      </c>
      <c r="FR237" s="43" t="str">
        <f t="shared" si="3624"/>
        <v/>
      </c>
      <c r="FS237" s="43" t="str">
        <f t="shared" si="3625"/>
        <v/>
      </c>
    </row>
    <row r="238" spans="1:175" ht="16.5">
      <c r="A238" s="94"/>
      <c r="B238" s="7" t="s">
        <v>652</v>
      </c>
      <c r="C238" s="5" t="s">
        <v>140</v>
      </c>
      <c r="T238" s="103"/>
      <c r="U238" s="55"/>
      <c r="CN238" s="12" t="str">
        <f t="shared" si="3550"/>
        <v>InitUnitState('IF17',,,,,,,,,,)</v>
      </c>
      <c r="CO238" s="12" t="str">
        <f t="shared" si="3551"/>
        <v>InitUnitNormal('IF17',,,,,,,,,,)</v>
      </c>
      <c r="CP238" s="12" t="str">
        <f t="shared" si="3552"/>
        <v>InitUnitMagic('IF17',,,,,,,,,,)</v>
      </c>
      <c r="CQ238" s="12" t="str">
        <f t="shared" si="3553"/>
        <v>InitUnitAdd('IF17',,,,,,,,,,)</v>
      </c>
      <c r="CR238" s="12" t="str">
        <f t="shared" si="3554"/>
        <v>InitEquipData('IF17',,"",,,,,'','','','','','',"")</v>
      </c>
      <c r="CU238" s="67" t="str">
        <f t="shared" si="3555"/>
        <v>|n</v>
      </c>
      <c r="CW238" s="6"/>
      <c r="CX238" s="6"/>
      <c r="CY238" s="6"/>
      <c r="CZ238" s="6"/>
      <c r="DA238" s="6"/>
      <c r="DB238" s="43" t="str">
        <f t="shared" si="3556"/>
        <v/>
      </c>
      <c r="DC238" s="43" t="str">
        <f t="shared" si="3557"/>
        <v/>
      </c>
      <c r="DD238" s="43" t="str">
        <f t="shared" si="3558"/>
        <v/>
      </c>
      <c r="DE238" s="43" t="str">
        <f t="shared" si="3559"/>
        <v/>
      </c>
      <c r="DF238" s="43" t="str">
        <f t="shared" si="3560"/>
        <v/>
      </c>
      <c r="DG238" s="43" t="str">
        <f t="shared" si="3561"/>
        <v/>
      </c>
      <c r="DH238" s="43" t="str">
        <f t="shared" si="3562"/>
        <v/>
      </c>
      <c r="DI238" s="43" t="str">
        <f t="shared" si="3563"/>
        <v/>
      </c>
      <c r="DJ238" s="43" t="str">
        <f t="shared" si="3564"/>
        <v/>
      </c>
      <c r="DK238" s="43" t="str">
        <f t="shared" si="3565"/>
        <v/>
      </c>
      <c r="DL238" s="43" t="str">
        <f t="shared" si="3566"/>
        <v/>
      </c>
      <c r="DM238" s="43" t="str">
        <f t="shared" si="3567"/>
        <v/>
      </c>
      <c r="DN238" s="43" t="str">
        <f t="shared" si="3568"/>
        <v/>
      </c>
      <c r="DO238" s="43" t="str">
        <f t="shared" si="3569"/>
        <v/>
      </c>
      <c r="DP238" s="43" t="str">
        <f t="shared" si="3570"/>
        <v/>
      </c>
      <c r="DQ238" s="43" t="str">
        <f t="shared" si="3571"/>
        <v/>
      </c>
      <c r="DR238" s="43" t="str">
        <f t="shared" si="3572"/>
        <v/>
      </c>
      <c r="DS238" s="43" t="str">
        <f t="shared" si="3573"/>
        <v/>
      </c>
      <c r="DT238" s="43" t="str">
        <f t="shared" si="3574"/>
        <v/>
      </c>
      <c r="DU238" s="43" t="str">
        <f t="shared" si="3575"/>
        <v/>
      </c>
      <c r="DV238" s="43" t="str">
        <f t="shared" si="3576"/>
        <v/>
      </c>
      <c r="DW238" s="43" t="str">
        <f t="shared" si="3577"/>
        <v/>
      </c>
      <c r="DX238" s="43" t="str">
        <f t="shared" si="3578"/>
        <v/>
      </c>
      <c r="DY238" s="43" t="str">
        <f t="shared" si="3579"/>
        <v/>
      </c>
      <c r="DZ238" s="43" t="str">
        <f t="shared" si="3580"/>
        <v/>
      </c>
      <c r="EA238" s="43" t="str">
        <f t="shared" si="3581"/>
        <v/>
      </c>
      <c r="EB238" s="43" t="str">
        <f t="shared" si="3582"/>
        <v/>
      </c>
      <c r="EC238" s="43" t="str">
        <f t="shared" si="3583"/>
        <v/>
      </c>
      <c r="ED238" s="43" t="str">
        <f t="shared" si="3584"/>
        <v/>
      </c>
      <c r="EE238" s="43" t="str">
        <f t="shared" si="3585"/>
        <v/>
      </c>
      <c r="EF238" s="43" t="str">
        <f t="shared" si="3586"/>
        <v/>
      </c>
      <c r="EG238" s="43" t="str">
        <f t="shared" si="3587"/>
        <v/>
      </c>
      <c r="EH238" s="43" t="str">
        <f t="shared" si="3588"/>
        <v/>
      </c>
      <c r="EI238" s="43" t="str">
        <f t="shared" si="3589"/>
        <v/>
      </c>
      <c r="EJ238" s="43" t="str">
        <f t="shared" si="3590"/>
        <v/>
      </c>
      <c r="EK238" s="43" t="str">
        <f t="shared" si="3591"/>
        <v/>
      </c>
      <c r="EL238" s="43" t="str">
        <f t="shared" si="3592"/>
        <v/>
      </c>
      <c r="EM238" s="43" t="str">
        <f t="shared" si="3593"/>
        <v/>
      </c>
      <c r="EN238" s="43" t="str">
        <f t="shared" si="3594"/>
        <v/>
      </c>
      <c r="EO238" s="43" t="str">
        <f t="shared" si="3595"/>
        <v/>
      </c>
      <c r="EP238" s="43" t="str">
        <f t="shared" si="3596"/>
        <v/>
      </c>
      <c r="EQ238" s="43" t="str">
        <f t="shared" si="3597"/>
        <v/>
      </c>
      <c r="ER238" s="43" t="str">
        <f t="shared" si="3598"/>
        <v/>
      </c>
      <c r="ES238" s="43" t="str">
        <f t="shared" si="3599"/>
        <v/>
      </c>
      <c r="ET238" s="43" t="str">
        <f t="shared" si="3600"/>
        <v/>
      </c>
      <c r="EU238" s="43" t="str">
        <f t="shared" si="3601"/>
        <v/>
      </c>
      <c r="EV238" s="43" t="str">
        <f t="shared" si="3602"/>
        <v/>
      </c>
      <c r="EW238" s="43" t="str">
        <f t="shared" si="3603"/>
        <v/>
      </c>
      <c r="EX238" s="43" t="str">
        <f t="shared" si="3604"/>
        <v/>
      </c>
      <c r="EY238" s="43" t="str">
        <f t="shared" si="3605"/>
        <v/>
      </c>
      <c r="EZ238" s="43" t="str">
        <f t="shared" si="3606"/>
        <v/>
      </c>
      <c r="FA238" s="43" t="str">
        <f t="shared" si="3607"/>
        <v/>
      </c>
      <c r="FB238" s="43" t="str">
        <f t="shared" si="3608"/>
        <v/>
      </c>
      <c r="FC238" s="43" t="str">
        <f t="shared" si="3609"/>
        <v/>
      </c>
      <c r="FD238" s="43" t="str">
        <f t="shared" si="3610"/>
        <v/>
      </c>
      <c r="FE238" s="43" t="str">
        <f t="shared" si="3611"/>
        <v/>
      </c>
      <c r="FF238" s="43" t="str">
        <f t="shared" si="3612"/>
        <v/>
      </c>
      <c r="FG238" s="43" t="str">
        <f t="shared" si="3613"/>
        <v/>
      </c>
      <c r="FH238" s="43" t="str">
        <f t="shared" si="3614"/>
        <v/>
      </c>
      <c r="FI238" s="43" t="str">
        <f t="shared" si="3615"/>
        <v/>
      </c>
      <c r="FJ238" s="43" t="str">
        <f t="shared" si="3616"/>
        <v/>
      </c>
      <c r="FK238" s="43" t="str">
        <f t="shared" si="3617"/>
        <v/>
      </c>
      <c r="FL238" s="43" t="str">
        <f t="shared" si="3618"/>
        <v/>
      </c>
      <c r="FM238" s="43" t="str">
        <f t="shared" si="3619"/>
        <v/>
      </c>
      <c r="FN238" s="43" t="str">
        <f t="shared" si="3620"/>
        <v/>
      </c>
      <c r="FO238" s="43" t="str">
        <f t="shared" si="3621"/>
        <v/>
      </c>
      <c r="FP238" s="43" t="str">
        <f t="shared" si="3622"/>
        <v/>
      </c>
      <c r="FQ238" s="43" t="str">
        <f t="shared" si="3623"/>
        <v/>
      </c>
      <c r="FR238" s="43" t="str">
        <f t="shared" si="3624"/>
        <v/>
      </c>
      <c r="FS238" s="43" t="str">
        <f t="shared" si="3625"/>
        <v/>
      </c>
    </row>
    <row r="239" spans="1:175" ht="16.5">
      <c r="A239" s="94"/>
      <c r="B239" s="7" t="s">
        <v>653</v>
      </c>
      <c r="C239" s="5" t="s">
        <v>654</v>
      </c>
      <c r="T239" s="104"/>
      <c r="U239" s="55"/>
      <c r="CN239" s="12" t="str">
        <f t="shared" si="3550"/>
        <v>InitUnitState('IF18',,,,,,,,,,)</v>
      </c>
      <c r="CO239" s="12" t="str">
        <f t="shared" si="3551"/>
        <v>InitUnitNormal('IF18',,,,,,,,,,)</v>
      </c>
      <c r="CP239" s="12" t="str">
        <f t="shared" si="3552"/>
        <v>InitUnitMagic('IF18',,,,,,,,,,)</v>
      </c>
      <c r="CQ239" s="12" t="str">
        <f t="shared" si="3553"/>
        <v>InitUnitAdd('IF18',,,,,,,,,,)</v>
      </c>
      <c r="CR239" s="12" t="str">
        <f t="shared" si="3554"/>
        <v>InitEquipData('IF18',,"",,,,,'','','','','','',"")</v>
      </c>
      <c r="CU239" s="67" t="str">
        <f t="shared" si="3555"/>
        <v>|n</v>
      </c>
      <c r="CW239" s="6"/>
      <c r="CX239" s="6"/>
      <c r="CY239" s="6"/>
      <c r="CZ239" s="6"/>
      <c r="DA239" s="6"/>
      <c r="DB239" s="43" t="str">
        <f t="shared" si="3556"/>
        <v/>
      </c>
      <c r="DC239" s="43" t="str">
        <f t="shared" si="3557"/>
        <v/>
      </c>
      <c r="DD239" s="43" t="str">
        <f t="shared" si="3558"/>
        <v/>
      </c>
      <c r="DE239" s="43" t="str">
        <f t="shared" si="3559"/>
        <v/>
      </c>
      <c r="DF239" s="43" t="str">
        <f t="shared" si="3560"/>
        <v/>
      </c>
      <c r="DG239" s="43" t="str">
        <f t="shared" si="3561"/>
        <v/>
      </c>
      <c r="DH239" s="43" t="str">
        <f t="shared" si="3562"/>
        <v/>
      </c>
      <c r="DI239" s="43" t="str">
        <f t="shared" si="3563"/>
        <v/>
      </c>
      <c r="DJ239" s="43" t="str">
        <f t="shared" si="3564"/>
        <v/>
      </c>
      <c r="DK239" s="43" t="str">
        <f t="shared" si="3565"/>
        <v/>
      </c>
      <c r="DL239" s="43" t="str">
        <f t="shared" si="3566"/>
        <v/>
      </c>
      <c r="DM239" s="43" t="str">
        <f t="shared" si="3567"/>
        <v/>
      </c>
      <c r="DN239" s="43" t="str">
        <f t="shared" si="3568"/>
        <v/>
      </c>
      <c r="DO239" s="43" t="str">
        <f t="shared" si="3569"/>
        <v/>
      </c>
      <c r="DP239" s="43" t="str">
        <f t="shared" si="3570"/>
        <v/>
      </c>
      <c r="DQ239" s="43" t="str">
        <f t="shared" si="3571"/>
        <v/>
      </c>
      <c r="DR239" s="43" t="str">
        <f t="shared" si="3572"/>
        <v/>
      </c>
      <c r="DS239" s="43" t="str">
        <f t="shared" si="3573"/>
        <v/>
      </c>
      <c r="DT239" s="43" t="str">
        <f t="shared" si="3574"/>
        <v/>
      </c>
      <c r="DU239" s="43" t="str">
        <f t="shared" si="3575"/>
        <v/>
      </c>
      <c r="DV239" s="43" t="str">
        <f t="shared" si="3576"/>
        <v/>
      </c>
      <c r="DW239" s="43" t="str">
        <f t="shared" si="3577"/>
        <v/>
      </c>
      <c r="DX239" s="43" t="str">
        <f t="shared" si="3578"/>
        <v/>
      </c>
      <c r="DY239" s="43" t="str">
        <f t="shared" si="3579"/>
        <v/>
      </c>
      <c r="DZ239" s="43" t="str">
        <f t="shared" si="3580"/>
        <v/>
      </c>
      <c r="EA239" s="43" t="str">
        <f t="shared" si="3581"/>
        <v/>
      </c>
      <c r="EB239" s="43" t="str">
        <f t="shared" si="3582"/>
        <v/>
      </c>
      <c r="EC239" s="43" t="str">
        <f t="shared" si="3583"/>
        <v/>
      </c>
      <c r="ED239" s="43" t="str">
        <f t="shared" si="3584"/>
        <v/>
      </c>
      <c r="EE239" s="43" t="str">
        <f t="shared" si="3585"/>
        <v/>
      </c>
      <c r="EF239" s="43" t="str">
        <f t="shared" si="3586"/>
        <v/>
      </c>
      <c r="EG239" s="43" t="str">
        <f t="shared" si="3587"/>
        <v/>
      </c>
      <c r="EH239" s="43" t="str">
        <f t="shared" si="3588"/>
        <v/>
      </c>
      <c r="EI239" s="43" t="str">
        <f t="shared" si="3589"/>
        <v/>
      </c>
      <c r="EJ239" s="43" t="str">
        <f t="shared" si="3590"/>
        <v/>
      </c>
      <c r="EK239" s="43" t="str">
        <f t="shared" si="3591"/>
        <v/>
      </c>
      <c r="EL239" s="43" t="str">
        <f t="shared" si="3592"/>
        <v/>
      </c>
      <c r="EM239" s="43" t="str">
        <f t="shared" si="3593"/>
        <v/>
      </c>
      <c r="EN239" s="43" t="str">
        <f t="shared" si="3594"/>
        <v/>
      </c>
      <c r="EO239" s="43" t="str">
        <f t="shared" si="3595"/>
        <v/>
      </c>
      <c r="EP239" s="43" t="str">
        <f t="shared" si="3596"/>
        <v/>
      </c>
      <c r="EQ239" s="43" t="str">
        <f t="shared" si="3597"/>
        <v/>
      </c>
      <c r="ER239" s="43" t="str">
        <f t="shared" si="3598"/>
        <v/>
      </c>
      <c r="ES239" s="43" t="str">
        <f t="shared" si="3599"/>
        <v/>
      </c>
      <c r="ET239" s="43" t="str">
        <f t="shared" si="3600"/>
        <v/>
      </c>
      <c r="EU239" s="43" t="str">
        <f t="shared" si="3601"/>
        <v/>
      </c>
      <c r="EV239" s="43" t="str">
        <f t="shared" si="3602"/>
        <v/>
      </c>
      <c r="EW239" s="43" t="str">
        <f t="shared" si="3603"/>
        <v/>
      </c>
      <c r="EX239" s="43" t="str">
        <f t="shared" si="3604"/>
        <v/>
      </c>
      <c r="EY239" s="43" t="str">
        <f t="shared" si="3605"/>
        <v/>
      </c>
      <c r="EZ239" s="43" t="str">
        <f t="shared" si="3606"/>
        <v/>
      </c>
      <c r="FA239" s="43" t="str">
        <f t="shared" si="3607"/>
        <v/>
      </c>
      <c r="FB239" s="43" t="str">
        <f t="shared" si="3608"/>
        <v/>
      </c>
      <c r="FC239" s="43" t="str">
        <f t="shared" si="3609"/>
        <v/>
      </c>
      <c r="FD239" s="43" t="str">
        <f t="shared" si="3610"/>
        <v/>
      </c>
      <c r="FE239" s="43" t="str">
        <f t="shared" si="3611"/>
        <v/>
      </c>
      <c r="FF239" s="43" t="str">
        <f t="shared" si="3612"/>
        <v/>
      </c>
      <c r="FG239" s="43" t="str">
        <f t="shared" si="3613"/>
        <v/>
      </c>
      <c r="FH239" s="43" t="str">
        <f t="shared" si="3614"/>
        <v/>
      </c>
      <c r="FI239" s="43" t="str">
        <f t="shared" si="3615"/>
        <v/>
      </c>
      <c r="FJ239" s="43" t="str">
        <f t="shared" si="3616"/>
        <v/>
      </c>
      <c r="FK239" s="43" t="str">
        <f t="shared" si="3617"/>
        <v/>
      </c>
      <c r="FL239" s="43" t="str">
        <f t="shared" si="3618"/>
        <v/>
      </c>
      <c r="FM239" s="43" t="str">
        <f t="shared" si="3619"/>
        <v/>
      </c>
      <c r="FN239" s="43" t="str">
        <f t="shared" si="3620"/>
        <v/>
      </c>
      <c r="FO239" s="43" t="str">
        <f t="shared" si="3621"/>
        <v/>
      </c>
      <c r="FP239" s="43" t="str">
        <f t="shared" si="3622"/>
        <v/>
      </c>
      <c r="FQ239" s="43" t="str">
        <f t="shared" si="3623"/>
        <v/>
      </c>
      <c r="FR239" s="43" t="str">
        <f t="shared" si="3624"/>
        <v/>
      </c>
      <c r="FS239" s="43" t="str">
        <f t="shared" si="3625"/>
        <v/>
      </c>
    </row>
    <row r="240" spans="1:175" ht="16.5">
      <c r="A240" s="94"/>
      <c r="B240" s="7" t="s">
        <v>655</v>
      </c>
      <c r="C240" s="5" t="s">
        <v>654</v>
      </c>
      <c r="T240" s="104"/>
      <c r="U240" s="55"/>
      <c r="CN240" s="12" t="str">
        <f t="shared" si="3550"/>
        <v>InitUnitState('IF19',,,,,,,,,,)</v>
      </c>
      <c r="CO240" s="12" t="str">
        <f t="shared" si="3551"/>
        <v>InitUnitNormal('IF19',,,,,,,,,,)</v>
      </c>
      <c r="CP240" s="12" t="str">
        <f t="shared" si="3552"/>
        <v>InitUnitMagic('IF19',,,,,,,,,,)</v>
      </c>
      <c r="CQ240" s="12" t="str">
        <f t="shared" si="3553"/>
        <v>InitUnitAdd('IF19',,,,,,,,,,)</v>
      </c>
      <c r="CR240" s="12" t="str">
        <f t="shared" si="3554"/>
        <v>InitEquipData('IF19',,"",,,,,'','','','','','',"")</v>
      </c>
      <c r="CU240" s="67" t="str">
        <f t="shared" si="3555"/>
        <v>|n</v>
      </c>
      <c r="CW240" s="6"/>
      <c r="CX240" s="6"/>
      <c r="CY240" s="6"/>
      <c r="CZ240" s="6"/>
      <c r="DA240" s="6"/>
      <c r="DB240" s="43" t="str">
        <f t="shared" si="3556"/>
        <v/>
      </c>
      <c r="DC240" s="43" t="str">
        <f t="shared" si="3557"/>
        <v/>
      </c>
      <c r="DD240" s="43" t="str">
        <f t="shared" si="3558"/>
        <v/>
      </c>
      <c r="DE240" s="43" t="str">
        <f t="shared" si="3559"/>
        <v/>
      </c>
      <c r="DF240" s="43" t="str">
        <f t="shared" si="3560"/>
        <v/>
      </c>
      <c r="DG240" s="43" t="str">
        <f t="shared" si="3561"/>
        <v/>
      </c>
      <c r="DH240" s="43" t="str">
        <f t="shared" si="3562"/>
        <v/>
      </c>
      <c r="DI240" s="43" t="str">
        <f t="shared" si="3563"/>
        <v/>
      </c>
      <c r="DJ240" s="43" t="str">
        <f t="shared" si="3564"/>
        <v/>
      </c>
      <c r="DK240" s="43" t="str">
        <f t="shared" si="3565"/>
        <v/>
      </c>
      <c r="DL240" s="43" t="str">
        <f t="shared" si="3566"/>
        <v/>
      </c>
      <c r="DM240" s="43" t="str">
        <f t="shared" si="3567"/>
        <v/>
      </c>
      <c r="DN240" s="43" t="str">
        <f t="shared" si="3568"/>
        <v/>
      </c>
      <c r="DO240" s="43" t="str">
        <f t="shared" si="3569"/>
        <v/>
      </c>
      <c r="DP240" s="43" t="str">
        <f t="shared" si="3570"/>
        <v/>
      </c>
      <c r="DQ240" s="43" t="str">
        <f t="shared" si="3571"/>
        <v/>
      </c>
      <c r="DR240" s="43" t="str">
        <f t="shared" si="3572"/>
        <v/>
      </c>
      <c r="DS240" s="43" t="str">
        <f t="shared" si="3573"/>
        <v/>
      </c>
      <c r="DT240" s="43" t="str">
        <f t="shared" si="3574"/>
        <v/>
      </c>
      <c r="DU240" s="43" t="str">
        <f t="shared" si="3575"/>
        <v/>
      </c>
      <c r="DV240" s="43" t="str">
        <f t="shared" si="3576"/>
        <v/>
      </c>
      <c r="DW240" s="43" t="str">
        <f t="shared" si="3577"/>
        <v/>
      </c>
      <c r="DX240" s="43" t="str">
        <f t="shared" si="3578"/>
        <v/>
      </c>
      <c r="DY240" s="43" t="str">
        <f t="shared" si="3579"/>
        <v/>
      </c>
      <c r="DZ240" s="43" t="str">
        <f t="shared" si="3580"/>
        <v/>
      </c>
      <c r="EA240" s="43" t="str">
        <f t="shared" si="3581"/>
        <v/>
      </c>
      <c r="EB240" s="43" t="str">
        <f t="shared" si="3582"/>
        <v/>
      </c>
      <c r="EC240" s="43" t="str">
        <f t="shared" si="3583"/>
        <v/>
      </c>
      <c r="ED240" s="43" t="str">
        <f t="shared" si="3584"/>
        <v/>
      </c>
      <c r="EE240" s="43" t="str">
        <f t="shared" si="3585"/>
        <v/>
      </c>
      <c r="EF240" s="43" t="str">
        <f t="shared" si="3586"/>
        <v/>
      </c>
      <c r="EG240" s="43" t="str">
        <f t="shared" si="3587"/>
        <v/>
      </c>
      <c r="EH240" s="43" t="str">
        <f t="shared" si="3588"/>
        <v/>
      </c>
      <c r="EI240" s="43" t="str">
        <f t="shared" si="3589"/>
        <v/>
      </c>
      <c r="EJ240" s="43" t="str">
        <f t="shared" si="3590"/>
        <v/>
      </c>
      <c r="EK240" s="43" t="str">
        <f t="shared" si="3591"/>
        <v/>
      </c>
      <c r="EL240" s="43" t="str">
        <f t="shared" si="3592"/>
        <v/>
      </c>
      <c r="EM240" s="43" t="str">
        <f t="shared" si="3593"/>
        <v/>
      </c>
      <c r="EN240" s="43" t="str">
        <f t="shared" si="3594"/>
        <v/>
      </c>
      <c r="EO240" s="43" t="str">
        <f t="shared" si="3595"/>
        <v/>
      </c>
      <c r="EP240" s="43" t="str">
        <f t="shared" si="3596"/>
        <v/>
      </c>
      <c r="EQ240" s="43" t="str">
        <f t="shared" si="3597"/>
        <v/>
      </c>
      <c r="ER240" s="43" t="str">
        <f t="shared" si="3598"/>
        <v/>
      </c>
      <c r="ES240" s="43" t="str">
        <f t="shared" si="3599"/>
        <v/>
      </c>
      <c r="ET240" s="43" t="str">
        <f t="shared" si="3600"/>
        <v/>
      </c>
      <c r="EU240" s="43" t="str">
        <f t="shared" si="3601"/>
        <v/>
      </c>
      <c r="EV240" s="43" t="str">
        <f t="shared" si="3602"/>
        <v/>
      </c>
      <c r="EW240" s="43" t="str">
        <f t="shared" si="3603"/>
        <v/>
      </c>
      <c r="EX240" s="43" t="str">
        <f t="shared" si="3604"/>
        <v/>
      </c>
      <c r="EY240" s="43" t="str">
        <f t="shared" si="3605"/>
        <v/>
      </c>
      <c r="EZ240" s="43" t="str">
        <f t="shared" si="3606"/>
        <v/>
      </c>
      <c r="FA240" s="43" t="str">
        <f t="shared" si="3607"/>
        <v/>
      </c>
      <c r="FB240" s="43" t="str">
        <f t="shared" si="3608"/>
        <v/>
      </c>
      <c r="FC240" s="43" t="str">
        <f t="shared" si="3609"/>
        <v/>
      </c>
      <c r="FD240" s="43" t="str">
        <f t="shared" si="3610"/>
        <v/>
      </c>
      <c r="FE240" s="43" t="str">
        <f t="shared" si="3611"/>
        <v/>
      </c>
      <c r="FF240" s="43" t="str">
        <f t="shared" si="3612"/>
        <v/>
      </c>
      <c r="FG240" s="43" t="str">
        <f t="shared" si="3613"/>
        <v/>
      </c>
      <c r="FH240" s="43" t="str">
        <f t="shared" si="3614"/>
        <v/>
      </c>
      <c r="FI240" s="43" t="str">
        <f t="shared" si="3615"/>
        <v/>
      </c>
      <c r="FJ240" s="43" t="str">
        <f t="shared" si="3616"/>
        <v/>
      </c>
      <c r="FK240" s="43" t="str">
        <f t="shared" si="3617"/>
        <v/>
      </c>
      <c r="FL240" s="43" t="str">
        <f t="shared" si="3618"/>
        <v/>
      </c>
      <c r="FM240" s="43" t="str">
        <f t="shared" si="3619"/>
        <v/>
      </c>
      <c r="FN240" s="43" t="str">
        <f t="shared" si="3620"/>
        <v/>
      </c>
      <c r="FO240" s="43" t="str">
        <f t="shared" si="3621"/>
        <v/>
      </c>
      <c r="FP240" s="43" t="str">
        <f t="shared" si="3622"/>
        <v/>
      </c>
      <c r="FQ240" s="43" t="str">
        <f t="shared" si="3623"/>
        <v/>
      </c>
      <c r="FR240" s="43" t="str">
        <f t="shared" si="3624"/>
        <v/>
      </c>
      <c r="FS240" s="43" t="str">
        <f t="shared" si="3625"/>
        <v/>
      </c>
    </row>
    <row r="241" spans="1:175" ht="16.5">
      <c r="A241" s="94"/>
      <c r="B241" s="7" t="s">
        <v>656</v>
      </c>
      <c r="C241" s="5" t="s">
        <v>127</v>
      </c>
      <c r="T241" s="104"/>
      <c r="U241" s="55"/>
      <c r="CN241" s="12" t="str">
        <f t="shared" si="3550"/>
        <v>InitUnitState('IF20',,,,,,,,,,)</v>
      </c>
      <c r="CO241" s="12" t="str">
        <f t="shared" si="3551"/>
        <v>InitUnitNormal('IF20',,,,,,,,,,)</v>
      </c>
      <c r="CP241" s="12" t="str">
        <f t="shared" si="3552"/>
        <v>InitUnitMagic('IF20',,,,,,,,,,)</v>
      </c>
      <c r="CQ241" s="12" t="str">
        <f t="shared" si="3553"/>
        <v>InitUnitAdd('IF20',,,,,,,,,,)</v>
      </c>
      <c r="CR241" s="12" t="str">
        <f t="shared" si="3554"/>
        <v>InitEquipData('IF20',,"",,,,,'','','','','','',"")</v>
      </c>
      <c r="CU241" s="67" t="str">
        <f t="shared" si="3555"/>
        <v>|n</v>
      </c>
      <c r="CW241" s="6"/>
      <c r="CX241" s="6"/>
      <c r="CY241" s="6"/>
      <c r="CZ241" s="6"/>
      <c r="DA241" s="6"/>
      <c r="DB241" s="43" t="str">
        <f t="shared" si="3556"/>
        <v/>
      </c>
      <c r="DC241" s="43" t="str">
        <f t="shared" si="3557"/>
        <v/>
      </c>
      <c r="DD241" s="43" t="str">
        <f t="shared" si="3558"/>
        <v/>
      </c>
      <c r="DE241" s="43" t="str">
        <f t="shared" si="3559"/>
        <v/>
      </c>
      <c r="DF241" s="43" t="str">
        <f t="shared" si="3560"/>
        <v/>
      </c>
      <c r="DG241" s="43" t="str">
        <f t="shared" si="3561"/>
        <v/>
      </c>
      <c r="DH241" s="43" t="str">
        <f t="shared" si="3562"/>
        <v/>
      </c>
      <c r="DI241" s="43" t="str">
        <f t="shared" si="3563"/>
        <v/>
      </c>
      <c r="DJ241" s="43" t="str">
        <f t="shared" si="3564"/>
        <v/>
      </c>
      <c r="DK241" s="43" t="str">
        <f t="shared" si="3565"/>
        <v/>
      </c>
      <c r="DL241" s="43" t="str">
        <f t="shared" si="3566"/>
        <v/>
      </c>
      <c r="DM241" s="43" t="str">
        <f t="shared" si="3567"/>
        <v/>
      </c>
      <c r="DN241" s="43" t="str">
        <f t="shared" si="3568"/>
        <v/>
      </c>
      <c r="DO241" s="43" t="str">
        <f t="shared" si="3569"/>
        <v/>
      </c>
      <c r="DP241" s="43" t="str">
        <f t="shared" si="3570"/>
        <v/>
      </c>
      <c r="DQ241" s="43" t="str">
        <f t="shared" si="3571"/>
        <v/>
      </c>
      <c r="DR241" s="43" t="str">
        <f t="shared" si="3572"/>
        <v/>
      </c>
      <c r="DS241" s="43" t="str">
        <f t="shared" si="3573"/>
        <v/>
      </c>
      <c r="DT241" s="43" t="str">
        <f t="shared" si="3574"/>
        <v/>
      </c>
      <c r="DU241" s="43" t="str">
        <f t="shared" si="3575"/>
        <v/>
      </c>
      <c r="DV241" s="43" t="str">
        <f t="shared" si="3576"/>
        <v/>
      </c>
      <c r="DW241" s="43" t="str">
        <f t="shared" si="3577"/>
        <v/>
      </c>
      <c r="DX241" s="43" t="str">
        <f t="shared" si="3578"/>
        <v/>
      </c>
      <c r="DY241" s="43" t="str">
        <f t="shared" si="3579"/>
        <v/>
      </c>
      <c r="DZ241" s="43" t="str">
        <f t="shared" si="3580"/>
        <v/>
      </c>
      <c r="EA241" s="43" t="str">
        <f t="shared" si="3581"/>
        <v/>
      </c>
      <c r="EB241" s="43" t="str">
        <f t="shared" si="3582"/>
        <v/>
      </c>
      <c r="EC241" s="43" t="str">
        <f t="shared" si="3583"/>
        <v/>
      </c>
      <c r="ED241" s="43" t="str">
        <f t="shared" si="3584"/>
        <v/>
      </c>
      <c r="EE241" s="43" t="str">
        <f t="shared" si="3585"/>
        <v/>
      </c>
      <c r="EF241" s="43" t="str">
        <f t="shared" si="3586"/>
        <v/>
      </c>
      <c r="EG241" s="43" t="str">
        <f t="shared" si="3587"/>
        <v/>
      </c>
      <c r="EH241" s="43" t="str">
        <f t="shared" si="3588"/>
        <v/>
      </c>
      <c r="EI241" s="43" t="str">
        <f t="shared" si="3589"/>
        <v/>
      </c>
      <c r="EJ241" s="43" t="str">
        <f t="shared" si="3590"/>
        <v/>
      </c>
      <c r="EK241" s="43" t="str">
        <f t="shared" si="3591"/>
        <v/>
      </c>
      <c r="EL241" s="43" t="str">
        <f t="shared" si="3592"/>
        <v/>
      </c>
      <c r="EM241" s="43" t="str">
        <f t="shared" si="3593"/>
        <v/>
      </c>
      <c r="EN241" s="43" t="str">
        <f t="shared" si="3594"/>
        <v/>
      </c>
      <c r="EO241" s="43" t="str">
        <f t="shared" si="3595"/>
        <v/>
      </c>
      <c r="EP241" s="43" t="str">
        <f t="shared" si="3596"/>
        <v/>
      </c>
      <c r="EQ241" s="43" t="str">
        <f t="shared" si="3597"/>
        <v/>
      </c>
      <c r="ER241" s="43" t="str">
        <f t="shared" si="3598"/>
        <v/>
      </c>
      <c r="ES241" s="43" t="str">
        <f t="shared" si="3599"/>
        <v/>
      </c>
      <c r="ET241" s="43" t="str">
        <f t="shared" si="3600"/>
        <v/>
      </c>
      <c r="EU241" s="43" t="str">
        <f t="shared" si="3601"/>
        <v/>
      </c>
      <c r="EV241" s="43" t="str">
        <f t="shared" si="3602"/>
        <v/>
      </c>
      <c r="EW241" s="43" t="str">
        <f t="shared" si="3603"/>
        <v/>
      </c>
      <c r="EX241" s="43" t="str">
        <f t="shared" si="3604"/>
        <v/>
      </c>
      <c r="EY241" s="43" t="str">
        <f t="shared" si="3605"/>
        <v/>
      </c>
      <c r="EZ241" s="43" t="str">
        <f t="shared" si="3606"/>
        <v/>
      </c>
      <c r="FA241" s="43" t="str">
        <f t="shared" si="3607"/>
        <v/>
      </c>
      <c r="FB241" s="43" t="str">
        <f t="shared" si="3608"/>
        <v/>
      </c>
      <c r="FC241" s="43" t="str">
        <f t="shared" si="3609"/>
        <v/>
      </c>
      <c r="FD241" s="43" t="str">
        <f t="shared" si="3610"/>
        <v/>
      </c>
      <c r="FE241" s="43" t="str">
        <f t="shared" si="3611"/>
        <v/>
      </c>
      <c r="FF241" s="43" t="str">
        <f t="shared" si="3612"/>
        <v/>
      </c>
      <c r="FG241" s="43" t="str">
        <f t="shared" si="3613"/>
        <v/>
      </c>
      <c r="FH241" s="43" t="str">
        <f t="shared" si="3614"/>
        <v/>
      </c>
      <c r="FI241" s="43" t="str">
        <f t="shared" si="3615"/>
        <v/>
      </c>
      <c r="FJ241" s="43" t="str">
        <f t="shared" si="3616"/>
        <v/>
      </c>
      <c r="FK241" s="43" t="str">
        <f t="shared" si="3617"/>
        <v/>
      </c>
      <c r="FL241" s="43" t="str">
        <f t="shared" si="3618"/>
        <v/>
      </c>
      <c r="FM241" s="43" t="str">
        <f t="shared" si="3619"/>
        <v/>
      </c>
      <c r="FN241" s="43" t="str">
        <f t="shared" si="3620"/>
        <v/>
      </c>
      <c r="FO241" s="43" t="str">
        <f t="shared" si="3621"/>
        <v/>
      </c>
      <c r="FP241" s="43" t="str">
        <f t="shared" si="3622"/>
        <v/>
      </c>
      <c r="FQ241" s="43" t="str">
        <f t="shared" si="3623"/>
        <v/>
      </c>
      <c r="FR241" s="43" t="str">
        <f t="shared" si="3624"/>
        <v/>
      </c>
      <c r="FS241" s="43" t="str">
        <f t="shared" si="3625"/>
        <v/>
      </c>
    </row>
    <row r="242" spans="1:175">
      <c r="A242" s="7"/>
      <c r="B242" s="7" t="s">
        <v>657</v>
      </c>
      <c r="C242" s="5" t="s">
        <v>127</v>
      </c>
      <c r="T242" s="105"/>
      <c r="U242" s="55"/>
      <c r="CN242" s="12" t="str">
        <f t="shared" si="3550"/>
        <v>InitUnitState('IF21',,,,,,,,,,)</v>
      </c>
      <c r="CO242" s="12" t="str">
        <f t="shared" si="3551"/>
        <v>InitUnitNormal('IF21',,,,,,,,,,)</v>
      </c>
      <c r="CP242" s="12" t="str">
        <f t="shared" si="3552"/>
        <v>InitUnitMagic('IF21',,,,,,,,,,)</v>
      </c>
      <c r="CQ242" s="12" t="str">
        <f t="shared" si="3553"/>
        <v>InitUnitAdd('IF21',,,,,,,,,,)</v>
      </c>
      <c r="CR242" s="12" t="str">
        <f t="shared" si="3554"/>
        <v>InitEquipData('IF21',,"",,,,,'','','','','','',"")</v>
      </c>
      <c r="CU242" s="67" t="str">
        <f t="shared" si="3555"/>
        <v>|n</v>
      </c>
      <c r="CW242" s="6"/>
      <c r="CX242" s="6"/>
      <c r="CY242" s="6"/>
      <c r="CZ242" s="6"/>
      <c r="DA242" s="6"/>
      <c r="DB242" s="43" t="str">
        <f t="shared" si="3556"/>
        <v/>
      </c>
      <c r="DC242" s="43" t="str">
        <f t="shared" si="3557"/>
        <v/>
      </c>
      <c r="DD242" s="43" t="str">
        <f t="shared" si="3558"/>
        <v/>
      </c>
      <c r="DE242" s="43" t="str">
        <f t="shared" si="3559"/>
        <v/>
      </c>
      <c r="DF242" s="43" t="str">
        <f t="shared" si="3560"/>
        <v/>
      </c>
      <c r="DG242" s="43" t="str">
        <f t="shared" si="3561"/>
        <v/>
      </c>
      <c r="DH242" s="43" t="str">
        <f t="shared" si="3562"/>
        <v/>
      </c>
      <c r="DI242" s="43" t="str">
        <f t="shared" si="3563"/>
        <v/>
      </c>
      <c r="DJ242" s="43" t="str">
        <f t="shared" si="3564"/>
        <v/>
      </c>
      <c r="DK242" s="43" t="str">
        <f t="shared" si="3565"/>
        <v/>
      </c>
      <c r="DL242" s="43" t="str">
        <f t="shared" si="3566"/>
        <v/>
      </c>
      <c r="DM242" s="43" t="str">
        <f t="shared" si="3567"/>
        <v/>
      </c>
      <c r="DN242" s="43" t="str">
        <f t="shared" si="3568"/>
        <v/>
      </c>
      <c r="DO242" s="43" t="str">
        <f t="shared" si="3569"/>
        <v/>
      </c>
      <c r="DP242" s="43" t="str">
        <f t="shared" si="3570"/>
        <v/>
      </c>
      <c r="DQ242" s="43" t="str">
        <f t="shared" si="3571"/>
        <v/>
      </c>
      <c r="DR242" s="43" t="str">
        <f t="shared" si="3572"/>
        <v/>
      </c>
      <c r="DS242" s="43" t="str">
        <f t="shared" si="3573"/>
        <v/>
      </c>
      <c r="DT242" s="43" t="str">
        <f t="shared" si="3574"/>
        <v/>
      </c>
      <c r="DU242" s="43" t="str">
        <f t="shared" si="3575"/>
        <v/>
      </c>
      <c r="DV242" s="43" t="str">
        <f t="shared" si="3576"/>
        <v/>
      </c>
      <c r="DW242" s="43" t="str">
        <f t="shared" si="3577"/>
        <v/>
      </c>
      <c r="DX242" s="43" t="str">
        <f t="shared" si="3578"/>
        <v/>
      </c>
      <c r="DY242" s="43" t="str">
        <f t="shared" si="3579"/>
        <v/>
      </c>
      <c r="DZ242" s="43" t="str">
        <f t="shared" si="3580"/>
        <v/>
      </c>
      <c r="EA242" s="43" t="str">
        <f t="shared" si="3581"/>
        <v/>
      </c>
      <c r="EB242" s="43" t="str">
        <f t="shared" si="3582"/>
        <v/>
      </c>
      <c r="EC242" s="43" t="str">
        <f t="shared" si="3583"/>
        <v/>
      </c>
      <c r="ED242" s="43" t="str">
        <f t="shared" si="3584"/>
        <v/>
      </c>
      <c r="EE242" s="43" t="str">
        <f t="shared" si="3585"/>
        <v/>
      </c>
      <c r="EF242" s="43" t="str">
        <f t="shared" si="3586"/>
        <v/>
      </c>
      <c r="EG242" s="43" t="str">
        <f t="shared" si="3587"/>
        <v/>
      </c>
      <c r="EH242" s="43" t="str">
        <f t="shared" si="3588"/>
        <v/>
      </c>
      <c r="EI242" s="43" t="str">
        <f t="shared" si="3589"/>
        <v/>
      </c>
      <c r="EJ242" s="43" t="str">
        <f t="shared" si="3590"/>
        <v/>
      </c>
      <c r="EK242" s="43" t="str">
        <f t="shared" si="3591"/>
        <v/>
      </c>
      <c r="EL242" s="43" t="str">
        <f t="shared" si="3592"/>
        <v/>
      </c>
      <c r="EM242" s="43" t="str">
        <f t="shared" si="3593"/>
        <v/>
      </c>
      <c r="EN242" s="43" t="str">
        <f t="shared" si="3594"/>
        <v/>
      </c>
      <c r="EO242" s="43" t="str">
        <f t="shared" si="3595"/>
        <v/>
      </c>
      <c r="EP242" s="43" t="str">
        <f t="shared" si="3596"/>
        <v/>
      </c>
      <c r="EQ242" s="43" t="str">
        <f t="shared" si="3597"/>
        <v/>
      </c>
      <c r="ER242" s="43" t="str">
        <f t="shared" si="3598"/>
        <v/>
      </c>
      <c r="ES242" s="43" t="str">
        <f t="shared" si="3599"/>
        <v/>
      </c>
      <c r="ET242" s="43" t="str">
        <f t="shared" si="3600"/>
        <v/>
      </c>
      <c r="EU242" s="43" t="str">
        <f t="shared" si="3601"/>
        <v/>
      </c>
      <c r="EV242" s="43" t="str">
        <f t="shared" si="3602"/>
        <v/>
      </c>
      <c r="EW242" s="43" t="str">
        <f t="shared" si="3603"/>
        <v/>
      </c>
      <c r="EX242" s="43" t="str">
        <f t="shared" si="3604"/>
        <v/>
      </c>
      <c r="EY242" s="43" t="str">
        <f t="shared" si="3605"/>
        <v/>
      </c>
      <c r="EZ242" s="43" t="str">
        <f t="shared" si="3606"/>
        <v/>
      </c>
      <c r="FA242" s="43" t="str">
        <f t="shared" si="3607"/>
        <v/>
      </c>
      <c r="FB242" s="43" t="str">
        <f t="shared" si="3608"/>
        <v/>
      </c>
      <c r="FC242" s="43" t="str">
        <f t="shared" si="3609"/>
        <v/>
      </c>
      <c r="FD242" s="43" t="str">
        <f t="shared" si="3610"/>
        <v/>
      </c>
      <c r="FE242" s="43" t="str">
        <f t="shared" si="3611"/>
        <v/>
      </c>
      <c r="FF242" s="43" t="str">
        <f t="shared" si="3612"/>
        <v/>
      </c>
      <c r="FG242" s="43" t="str">
        <f t="shared" si="3613"/>
        <v/>
      </c>
      <c r="FH242" s="43" t="str">
        <f t="shared" si="3614"/>
        <v/>
      </c>
      <c r="FI242" s="43" t="str">
        <f t="shared" si="3615"/>
        <v/>
      </c>
      <c r="FJ242" s="43" t="str">
        <f t="shared" si="3616"/>
        <v/>
      </c>
      <c r="FK242" s="43" t="str">
        <f t="shared" si="3617"/>
        <v/>
      </c>
      <c r="FL242" s="43" t="str">
        <f t="shared" si="3618"/>
        <v/>
      </c>
      <c r="FM242" s="43" t="str">
        <f t="shared" si="3619"/>
        <v/>
      </c>
      <c r="FN242" s="43" t="str">
        <f t="shared" si="3620"/>
        <v/>
      </c>
      <c r="FO242" s="43" t="str">
        <f t="shared" si="3621"/>
        <v/>
      </c>
      <c r="FP242" s="43" t="str">
        <f t="shared" si="3622"/>
        <v/>
      </c>
      <c r="FQ242" s="43" t="str">
        <f t="shared" si="3623"/>
        <v/>
      </c>
      <c r="FR242" s="43" t="str">
        <f t="shared" si="3624"/>
        <v/>
      </c>
      <c r="FS242" s="43" t="str">
        <f t="shared" si="3625"/>
        <v/>
      </c>
    </row>
    <row r="243" spans="1:175">
      <c r="A243" s="7"/>
      <c r="B243" s="7" t="s">
        <v>658</v>
      </c>
      <c r="C243" s="5" t="s">
        <v>659</v>
      </c>
      <c r="T243" s="105"/>
      <c r="U243" s="55"/>
      <c r="CN243" s="12" t="str">
        <f t="shared" si="3550"/>
        <v>InitUnitState('IF22',,,,,,,,,,)</v>
      </c>
      <c r="CO243" s="12" t="str">
        <f t="shared" si="3551"/>
        <v>InitUnitNormal('IF22',,,,,,,,,,)</v>
      </c>
      <c r="CP243" s="12" t="str">
        <f t="shared" si="3552"/>
        <v>InitUnitMagic('IF22',,,,,,,,,,)</v>
      </c>
      <c r="CQ243" s="12" t="str">
        <f t="shared" si="3553"/>
        <v>InitUnitAdd('IF22',,,,,,,,,,)</v>
      </c>
      <c r="CR243" s="12" t="str">
        <f t="shared" si="3554"/>
        <v>InitEquipData('IF22',,"",,,,,'','','','','','',"")</v>
      </c>
      <c r="CU243" s="67" t="str">
        <f t="shared" si="3555"/>
        <v>|n</v>
      </c>
      <c r="CW243" s="6"/>
      <c r="CX243" s="6"/>
      <c r="CY243" s="6"/>
      <c r="CZ243" s="6"/>
      <c r="DA243" s="6"/>
      <c r="DB243" s="43" t="str">
        <f t="shared" si="3556"/>
        <v/>
      </c>
      <c r="DC243" s="43" t="str">
        <f t="shared" si="3557"/>
        <v/>
      </c>
      <c r="DD243" s="43" t="str">
        <f t="shared" si="3558"/>
        <v/>
      </c>
      <c r="DE243" s="43" t="str">
        <f t="shared" si="3559"/>
        <v/>
      </c>
      <c r="DF243" s="43" t="str">
        <f t="shared" si="3560"/>
        <v/>
      </c>
      <c r="DG243" s="43" t="str">
        <f t="shared" si="3561"/>
        <v/>
      </c>
      <c r="DH243" s="43" t="str">
        <f t="shared" si="3562"/>
        <v/>
      </c>
      <c r="DI243" s="43" t="str">
        <f t="shared" si="3563"/>
        <v/>
      </c>
      <c r="DJ243" s="43" t="str">
        <f t="shared" si="3564"/>
        <v/>
      </c>
      <c r="DK243" s="43" t="str">
        <f t="shared" si="3565"/>
        <v/>
      </c>
      <c r="DL243" s="43" t="str">
        <f t="shared" si="3566"/>
        <v/>
      </c>
      <c r="DM243" s="43" t="str">
        <f t="shared" si="3567"/>
        <v/>
      </c>
      <c r="DN243" s="43" t="str">
        <f t="shared" si="3568"/>
        <v/>
      </c>
      <c r="DO243" s="43" t="str">
        <f t="shared" si="3569"/>
        <v/>
      </c>
      <c r="DP243" s="43" t="str">
        <f t="shared" si="3570"/>
        <v/>
      </c>
      <c r="DQ243" s="43" t="str">
        <f t="shared" si="3571"/>
        <v/>
      </c>
      <c r="DR243" s="43" t="str">
        <f t="shared" si="3572"/>
        <v/>
      </c>
      <c r="DS243" s="43" t="str">
        <f t="shared" si="3573"/>
        <v/>
      </c>
      <c r="DT243" s="43" t="str">
        <f t="shared" si="3574"/>
        <v/>
      </c>
      <c r="DU243" s="43" t="str">
        <f t="shared" si="3575"/>
        <v/>
      </c>
      <c r="DV243" s="43" t="str">
        <f t="shared" si="3576"/>
        <v/>
      </c>
      <c r="DW243" s="43" t="str">
        <f t="shared" si="3577"/>
        <v/>
      </c>
      <c r="DX243" s="43" t="str">
        <f t="shared" si="3578"/>
        <v/>
      </c>
      <c r="DY243" s="43" t="str">
        <f t="shared" si="3579"/>
        <v/>
      </c>
      <c r="DZ243" s="43" t="str">
        <f t="shared" si="3580"/>
        <v/>
      </c>
      <c r="EA243" s="43" t="str">
        <f t="shared" si="3581"/>
        <v/>
      </c>
      <c r="EB243" s="43" t="str">
        <f t="shared" si="3582"/>
        <v/>
      </c>
      <c r="EC243" s="43" t="str">
        <f t="shared" si="3583"/>
        <v/>
      </c>
      <c r="ED243" s="43" t="str">
        <f t="shared" si="3584"/>
        <v/>
      </c>
      <c r="EE243" s="43" t="str">
        <f t="shared" si="3585"/>
        <v/>
      </c>
      <c r="EF243" s="43" t="str">
        <f t="shared" si="3586"/>
        <v/>
      </c>
      <c r="EG243" s="43" t="str">
        <f t="shared" si="3587"/>
        <v/>
      </c>
      <c r="EH243" s="43" t="str">
        <f t="shared" si="3588"/>
        <v/>
      </c>
      <c r="EI243" s="43" t="str">
        <f t="shared" si="3589"/>
        <v/>
      </c>
      <c r="EJ243" s="43" t="str">
        <f t="shared" si="3590"/>
        <v/>
      </c>
      <c r="EK243" s="43" t="str">
        <f t="shared" si="3591"/>
        <v/>
      </c>
      <c r="EL243" s="43" t="str">
        <f t="shared" si="3592"/>
        <v/>
      </c>
      <c r="EM243" s="43" t="str">
        <f t="shared" si="3593"/>
        <v/>
      </c>
      <c r="EN243" s="43" t="str">
        <f t="shared" si="3594"/>
        <v/>
      </c>
      <c r="EO243" s="43" t="str">
        <f t="shared" si="3595"/>
        <v/>
      </c>
      <c r="EP243" s="43" t="str">
        <f t="shared" si="3596"/>
        <v/>
      </c>
      <c r="EQ243" s="43" t="str">
        <f t="shared" si="3597"/>
        <v/>
      </c>
      <c r="ER243" s="43" t="str">
        <f t="shared" si="3598"/>
        <v/>
      </c>
      <c r="ES243" s="43" t="str">
        <f t="shared" si="3599"/>
        <v/>
      </c>
      <c r="ET243" s="43" t="str">
        <f t="shared" si="3600"/>
        <v/>
      </c>
      <c r="EU243" s="43" t="str">
        <f t="shared" si="3601"/>
        <v/>
      </c>
      <c r="EV243" s="43" t="str">
        <f t="shared" si="3602"/>
        <v/>
      </c>
      <c r="EW243" s="43" t="str">
        <f t="shared" si="3603"/>
        <v/>
      </c>
      <c r="EX243" s="43" t="str">
        <f t="shared" si="3604"/>
        <v/>
      </c>
      <c r="EY243" s="43" t="str">
        <f t="shared" si="3605"/>
        <v/>
      </c>
      <c r="EZ243" s="43" t="str">
        <f t="shared" si="3606"/>
        <v/>
      </c>
      <c r="FA243" s="43" t="str">
        <f t="shared" si="3607"/>
        <v/>
      </c>
      <c r="FB243" s="43" t="str">
        <f t="shared" si="3608"/>
        <v/>
      </c>
      <c r="FC243" s="43" t="str">
        <f t="shared" si="3609"/>
        <v/>
      </c>
      <c r="FD243" s="43" t="str">
        <f t="shared" si="3610"/>
        <v/>
      </c>
      <c r="FE243" s="43" t="str">
        <f t="shared" si="3611"/>
        <v/>
      </c>
      <c r="FF243" s="43" t="str">
        <f t="shared" si="3612"/>
        <v/>
      </c>
      <c r="FG243" s="43" t="str">
        <f t="shared" si="3613"/>
        <v/>
      </c>
      <c r="FH243" s="43" t="str">
        <f t="shared" si="3614"/>
        <v/>
      </c>
      <c r="FI243" s="43" t="str">
        <f t="shared" si="3615"/>
        <v/>
      </c>
      <c r="FJ243" s="43" t="str">
        <f t="shared" si="3616"/>
        <v/>
      </c>
      <c r="FK243" s="43" t="str">
        <f t="shared" si="3617"/>
        <v/>
      </c>
      <c r="FL243" s="43" t="str">
        <f t="shared" si="3618"/>
        <v/>
      </c>
      <c r="FM243" s="43" t="str">
        <f t="shared" si="3619"/>
        <v/>
      </c>
      <c r="FN243" s="43" t="str">
        <f t="shared" si="3620"/>
        <v/>
      </c>
      <c r="FO243" s="43" t="str">
        <f t="shared" si="3621"/>
        <v/>
      </c>
      <c r="FP243" s="43" t="str">
        <f t="shared" si="3622"/>
        <v/>
      </c>
      <c r="FQ243" s="43" t="str">
        <f t="shared" si="3623"/>
        <v/>
      </c>
      <c r="FR243" s="43" t="str">
        <f t="shared" si="3624"/>
        <v/>
      </c>
      <c r="FS243" s="43" t="str">
        <f t="shared" si="3625"/>
        <v/>
      </c>
    </row>
    <row r="244" spans="1:175">
      <c r="A244" s="7"/>
      <c r="B244" s="7" t="s">
        <v>660</v>
      </c>
      <c r="C244" s="5" t="s">
        <v>659</v>
      </c>
      <c r="T244" s="105"/>
      <c r="U244" s="55"/>
      <c r="CN244" s="12" t="str">
        <f t="shared" si="3550"/>
        <v>InitUnitState('IF23',,,,,,,,,,)</v>
      </c>
      <c r="CO244" s="12" t="str">
        <f t="shared" si="3551"/>
        <v>InitUnitNormal('IF23',,,,,,,,,,)</v>
      </c>
      <c r="CP244" s="12" t="str">
        <f t="shared" si="3552"/>
        <v>InitUnitMagic('IF23',,,,,,,,,,)</v>
      </c>
      <c r="CQ244" s="12" t="str">
        <f t="shared" si="3553"/>
        <v>InitUnitAdd('IF23',,,,,,,,,,)</v>
      </c>
      <c r="CR244" s="12" t="str">
        <f t="shared" si="3554"/>
        <v>InitEquipData('IF23',,"",,,,,'','','','','','',"")</v>
      </c>
      <c r="CU244" s="67" t="str">
        <f t="shared" si="3555"/>
        <v>|n</v>
      </c>
      <c r="CW244" s="6"/>
      <c r="CX244" s="6"/>
      <c r="CY244" s="6"/>
      <c r="CZ244" s="6"/>
      <c r="DA244" s="6"/>
      <c r="DB244" s="43" t="str">
        <f t="shared" si="3556"/>
        <v/>
      </c>
      <c r="DC244" s="43" t="str">
        <f t="shared" si="3557"/>
        <v/>
      </c>
      <c r="DD244" s="43" t="str">
        <f t="shared" si="3558"/>
        <v/>
      </c>
      <c r="DE244" s="43" t="str">
        <f t="shared" si="3559"/>
        <v/>
      </c>
      <c r="DF244" s="43" t="str">
        <f t="shared" si="3560"/>
        <v/>
      </c>
      <c r="DG244" s="43" t="str">
        <f t="shared" si="3561"/>
        <v/>
      </c>
      <c r="DH244" s="43" t="str">
        <f t="shared" si="3562"/>
        <v/>
      </c>
      <c r="DI244" s="43" t="str">
        <f t="shared" si="3563"/>
        <v/>
      </c>
      <c r="DJ244" s="43" t="str">
        <f t="shared" si="3564"/>
        <v/>
      </c>
      <c r="DK244" s="43" t="str">
        <f t="shared" si="3565"/>
        <v/>
      </c>
      <c r="DL244" s="43" t="str">
        <f t="shared" si="3566"/>
        <v/>
      </c>
      <c r="DM244" s="43" t="str">
        <f t="shared" si="3567"/>
        <v/>
      </c>
      <c r="DN244" s="43" t="str">
        <f t="shared" si="3568"/>
        <v/>
      </c>
      <c r="DO244" s="43" t="str">
        <f t="shared" si="3569"/>
        <v/>
      </c>
      <c r="DP244" s="43" t="str">
        <f t="shared" si="3570"/>
        <v/>
      </c>
      <c r="DQ244" s="43" t="str">
        <f t="shared" si="3571"/>
        <v/>
      </c>
      <c r="DR244" s="43" t="str">
        <f t="shared" si="3572"/>
        <v/>
      </c>
      <c r="DS244" s="43" t="str">
        <f t="shared" si="3573"/>
        <v/>
      </c>
      <c r="DT244" s="43" t="str">
        <f t="shared" si="3574"/>
        <v/>
      </c>
      <c r="DU244" s="43" t="str">
        <f t="shared" si="3575"/>
        <v/>
      </c>
      <c r="DV244" s="43" t="str">
        <f t="shared" si="3576"/>
        <v/>
      </c>
      <c r="DW244" s="43" t="str">
        <f t="shared" si="3577"/>
        <v/>
      </c>
      <c r="DX244" s="43" t="str">
        <f t="shared" si="3578"/>
        <v/>
      </c>
      <c r="DY244" s="43" t="str">
        <f t="shared" si="3579"/>
        <v/>
      </c>
      <c r="DZ244" s="43" t="str">
        <f t="shared" si="3580"/>
        <v/>
      </c>
      <c r="EA244" s="43" t="str">
        <f t="shared" si="3581"/>
        <v/>
      </c>
      <c r="EB244" s="43" t="str">
        <f t="shared" si="3582"/>
        <v/>
      </c>
      <c r="EC244" s="43" t="str">
        <f t="shared" si="3583"/>
        <v/>
      </c>
      <c r="ED244" s="43" t="str">
        <f t="shared" si="3584"/>
        <v/>
      </c>
      <c r="EE244" s="43" t="str">
        <f t="shared" si="3585"/>
        <v/>
      </c>
      <c r="EF244" s="43" t="str">
        <f t="shared" si="3586"/>
        <v/>
      </c>
      <c r="EG244" s="43" t="str">
        <f t="shared" si="3587"/>
        <v/>
      </c>
      <c r="EH244" s="43" t="str">
        <f t="shared" si="3588"/>
        <v/>
      </c>
      <c r="EI244" s="43" t="str">
        <f t="shared" si="3589"/>
        <v/>
      </c>
      <c r="EJ244" s="43" t="str">
        <f t="shared" si="3590"/>
        <v/>
      </c>
      <c r="EK244" s="43" t="str">
        <f t="shared" si="3591"/>
        <v/>
      </c>
      <c r="EL244" s="43" t="str">
        <f t="shared" si="3592"/>
        <v/>
      </c>
      <c r="EM244" s="43" t="str">
        <f t="shared" si="3593"/>
        <v/>
      </c>
      <c r="EN244" s="43" t="str">
        <f t="shared" si="3594"/>
        <v/>
      </c>
      <c r="EO244" s="43" t="str">
        <f t="shared" si="3595"/>
        <v/>
      </c>
      <c r="EP244" s="43" t="str">
        <f t="shared" si="3596"/>
        <v/>
      </c>
      <c r="EQ244" s="43" t="str">
        <f t="shared" si="3597"/>
        <v/>
      </c>
      <c r="ER244" s="43" t="str">
        <f t="shared" si="3598"/>
        <v/>
      </c>
      <c r="ES244" s="43" t="str">
        <f t="shared" si="3599"/>
        <v/>
      </c>
      <c r="ET244" s="43" t="str">
        <f t="shared" si="3600"/>
        <v/>
      </c>
      <c r="EU244" s="43" t="str">
        <f t="shared" si="3601"/>
        <v/>
      </c>
      <c r="EV244" s="43" t="str">
        <f t="shared" si="3602"/>
        <v/>
      </c>
      <c r="EW244" s="43" t="str">
        <f t="shared" si="3603"/>
        <v/>
      </c>
      <c r="EX244" s="43" t="str">
        <f t="shared" si="3604"/>
        <v/>
      </c>
      <c r="EY244" s="43" t="str">
        <f t="shared" si="3605"/>
        <v/>
      </c>
      <c r="EZ244" s="43" t="str">
        <f t="shared" si="3606"/>
        <v/>
      </c>
      <c r="FA244" s="43" t="str">
        <f t="shared" si="3607"/>
        <v/>
      </c>
      <c r="FB244" s="43" t="str">
        <f t="shared" si="3608"/>
        <v/>
      </c>
      <c r="FC244" s="43" t="str">
        <f t="shared" si="3609"/>
        <v/>
      </c>
      <c r="FD244" s="43" t="str">
        <f t="shared" si="3610"/>
        <v/>
      </c>
      <c r="FE244" s="43" t="str">
        <f t="shared" si="3611"/>
        <v/>
      </c>
      <c r="FF244" s="43" t="str">
        <f t="shared" si="3612"/>
        <v/>
      </c>
      <c r="FG244" s="43" t="str">
        <f t="shared" si="3613"/>
        <v/>
      </c>
      <c r="FH244" s="43" t="str">
        <f t="shared" si="3614"/>
        <v/>
      </c>
      <c r="FI244" s="43" t="str">
        <f t="shared" si="3615"/>
        <v/>
      </c>
      <c r="FJ244" s="43" t="str">
        <f t="shared" si="3616"/>
        <v/>
      </c>
      <c r="FK244" s="43" t="str">
        <f t="shared" si="3617"/>
        <v/>
      </c>
      <c r="FL244" s="43" t="str">
        <f t="shared" si="3618"/>
        <v/>
      </c>
      <c r="FM244" s="43" t="str">
        <f t="shared" si="3619"/>
        <v/>
      </c>
      <c r="FN244" s="43" t="str">
        <f t="shared" si="3620"/>
        <v/>
      </c>
      <c r="FO244" s="43" t="str">
        <f t="shared" si="3621"/>
        <v/>
      </c>
      <c r="FP244" s="43" t="str">
        <f t="shared" si="3622"/>
        <v/>
      </c>
      <c r="FQ244" s="43" t="str">
        <f t="shared" si="3623"/>
        <v/>
      </c>
      <c r="FR244" s="43" t="str">
        <f t="shared" si="3624"/>
        <v/>
      </c>
      <c r="FS244" s="43" t="str">
        <f t="shared" si="3625"/>
        <v/>
      </c>
    </row>
    <row r="245" spans="1:175">
      <c r="A245" s="7"/>
      <c r="B245" s="7" t="s">
        <v>661</v>
      </c>
      <c r="C245" s="5" t="s">
        <v>122</v>
      </c>
      <c r="T245" s="105"/>
      <c r="U245" s="55"/>
      <c r="CN245" s="12" t="str">
        <f t="shared" si="3550"/>
        <v>InitUnitState('IF24',,,,,,,,,,)</v>
      </c>
      <c r="CO245" s="12" t="str">
        <f t="shared" si="3551"/>
        <v>InitUnitNormal('IF24',,,,,,,,,,)</v>
      </c>
      <c r="CP245" s="12" t="str">
        <f t="shared" si="3552"/>
        <v>InitUnitMagic('IF24',,,,,,,,,,)</v>
      </c>
      <c r="CQ245" s="12" t="str">
        <f t="shared" si="3553"/>
        <v>InitUnitAdd('IF24',,,,,,,,,,)</v>
      </c>
      <c r="CR245" s="12" t="str">
        <f t="shared" si="3554"/>
        <v>InitEquipData('IF24',,"",,,,,'','','','','','',"")</v>
      </c>
      <c r="CU245" s="67" t="str">
        <f t="shared" ref="CU245:CU286" si="362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W245" s="6"/>
      <c r="CX245" s="6"/>
      <c r="CY245" s="6"/>
      <c r="CZ245" s="6"/>
      <c r="DA245" s="6"/>
      <c r="DB245" s="43" t="str">
        <f t="shared" ref="DB245:DB286" si="3627">IF(V245="","","|n"&amp;DB$2&amp;"+"&amp;V245&amp;DB$1)</f>
        <v/>
      </c>
      <c r="DC245" s="43" t="str">
        <f t="shared" ref="DC245:DC286" si="3628">IF(W245="","","|n"&amp;DC$2&amp;"+"&amp;W245&amp;DC$1)</f>
        <v/>
      </c>
      <c r="DD245" s="43" t="str">
        <f t="shared" ref="DD245:DD286" si="3629">IF(X245="","","|n"&amp;DD$2&amp;"+"&amp;X245&amp;DD$1)</f>
        <v/>
      </c>
      <c r="DE245" s="43" t="str">
        <f t="shared" ref="DE245:DE286" si="3630">IF(Y245="","","|n"&amp;DE$2&amp;"+"&amp;Y245&amp;DE$1)</f>
        <v/>
      </c>
      <c r="DF245" s="43" t="str">
        <f t="shared" ref="DF245:DF286" si="3631">IF(Z245="","","|n"&amp;DF$2&amp;"+"&amp;Z245&amp;DF$1)</f>
        <v/>
      </c>
      <c r="DG245" s="43" t="str">
        <f t="shared" ref="DG245:DG286" si="3632">IF(AA245="","","|n"&amp;DG$2&amp;"+"&amp;AA245&amp;DG$1)</f>
        <v/>
      </c>
      <c r="DH245" s="43" t="str">
        <f t="shared" ref="DH245:DH286" si="3633">IF(AB245="","","|n"&amp;DH$2&amp;"+"&amp;AB245&amp;DH$1)</f>
        <v/>
      </c>
      <c r="DI245" s="43" t="str">
        <f t="shared" ref="DI245:DI286" si="3634">IF(AC245="","","|n"&amp;DI$2&amp;"+"&amp;AC245&amp;DI$1)</f>
        <v/>
      </c>
      <c r="DJ245" s="43" t="str">
        <f t="shared" ref="DJ245:DJ286" si="3635">IF(AD245="","","|n"&amp;DJ$2&amp;"+"&amp;AD245&amp;DJ$1)</f>
        <v/>
      </c>
      <c r="DK245" s="43" t="str">
        <f t="shared" ref="DK245:DK286" si="3636">IF(AE245="","","|n"&amp;DK$2&amp;"+"&amp;AE245&amp;DK$1)</f>
        <v/>
      </c>
      <c r="DL245" s="43" t="str">
        <f t="shared" ref="DL245:DL286" si="3637">IF(AF245="","","|n"&amp;DL$2&amp;"+"&amp;AF245&amp;DL$1)</f>
        <v/>
      </c>
      <c r="DM245" s="43" t="str">
        <f t="shared" ref="DM245:DM286" si="3638">IF(AG245="","","|n"&amp;DM$2&amp;"+"&amp;AG245&amp;DM$1)</f>
        <v/>
      </c>
      <c r="DN245" s="43" t="str">
        <f t="shared" ref="DN245:DN286" si="3639">IF(AH245="","","|n"&amp;DN$2&amp;"+"&amp;AH245&amp;DN$1)</f>
        <v/>
      </c>
      <c r="DO245" s="43" t="str">
        <f t="shared" ref="DO245:DO286" si="3640">IF(AI245="","","|n"&amp;DO$2&amp;"+"&amp;AI245&amp;DO$1)</f>
        <v/>
      </c>
      <c r="DP245" s="43" t="str">
        <f t="shared" ref="DP245:DP286" si="3641">IF(AJ245="","","|n"&amp;DP$2&amp;"+"&amp;AJ245&amp;DP$1)</f>
        <v/>
      </c>
      <c r="DQ245" s="43" t="str">
        <f t="shared" ref="DQ245:DQ286" si="3642">IF(AK245="","","|n"&amp;DQ$2&amp;"+"&amp;AK245&amp;DQ$1)</f>
        <v/>
      </c>
      <c r="DR245" s="43" t="str">
        <f t="shared" ref="DR245:DR286" si="3643">IF(AL245="","","|n"&amp;DR$2&amp;"+"&amp;AL245&amp;DR$1)</f>
        <v/>
      </c>
      <c r="DS245" s="43" t="str">
        <f t="shared" ref="DS245:DS286" si="3644">IF(AM245="","","|n"&amp;DS$2&amp;"+"&amp;AM245&amp;DS$1)</f>
        <v/>
      </c>
      <c r="DT245" s="43" t="str">
        <f t="shared" ref="DT245:DT286" si="3645">IF(AN245="","","|n"&amp;DT$2&amp;"+"&amp;AN245&amp;DT$1)</f>
        <v/>
      </c>
      <c r="DU245" s="43" t="str">
        <f t="shared" ref="DU245:DU286" si="3646">IF(AO245="","","|n"&amp;DU$2&amp;"+"&amp;AO245&amp;DU$1)</f>
        <v/>
      </c>
      <c r="DV245" s="43" t="str">
        <f t="shared" ref="DV245:DV286" si="3647">IF(AP245="","","|n"&amp;DV$2&amp;"+"&amp;AP245&amp;DV$1)</f>
        <v/>
      </c>
      <c r="DW245" s="43" t="str">
        <f t="shared" ref="DW245:DW286" si="3648">IF(AQ245="","","|n"&amp;DW$2&amp;"+"&amp;AQ245&amp;DW$1)</f>
        <v/>
      </c>
      <c r="DX245" s="43" t="str">
        <f t="shared" ref="DX245:DX286" si="3649">IF(AR245="","","|n"&amp;DX$2&amp;"+"&amp;AR245&amp;DX$1)</f>
        <v/>
      </c>
      <c r="DY245" s="43" t="str">
        <f t="shared" ref="DY245:DY286" si="3650">IF(AS245="","","|n"&amp;DY$2&amp;"+"&amp;AS245&amp;DY$1)</f>
        <v/>
      </c>
      <c r="DZ245" s="43" t="str">
        <f t="shared" ref="DZ245:DZ286" si="3651">IF(AT245="","","|n"&amp;DZ$2&amp;"+"&amp;AT245&amp;DZ$1)</f>
        <v/>
      </c>
      <c r="EA245" s="43" t="str">
        <f t="shared" ref="EA245:EA286" si="3652">IF(AU245="","","|n"&amp;EA$2&amp;"+"&amp;AU245&amp;EA$1)</f>
        <v/>
      </c>
      <c r="EB245" s="43" t="str">
        <f t="shared" ref="EB245:EB286" si="3653">IF(AV245="","","|n"&amp;EB$2&amp;"+"&amp;AV245&amp;EB$1)</f>
        <v/>
      </c>
      <c r="EC245" s="43" t="str">
        <f t="shared" ref="EC245:EC286" si="3654">IF(AW245="","","|n"&amp;EC$2&amp;"+"&amp;AW245&amp;EC$1)</f>
        <v/>
      </c>
      <c r="ED245" s="43" t="str">
        <f t="shared" ref="ED245:ED286" si="3655">IF(AX245="","","|n"&amp;ED$2&amp;"+"&amp;AX245&amp;ED$1)</f>
        <v/>
      </c>
      <c r="EE245" s="43" t="str">
        <f t="shared" ref="EE245:EE286" si="3656">IF(AY245="","","|n"&amp;EE$2&amp;"+"&amp;AY245&amp;EE$1)</f>
        <v/>
      </c>
      <c r="EF245" s="43" t="str">
        <f t="shared" ref="EF245:EF286" si="3657">IF(AZ245="","","|n"&amp;EF$2&amp;"+"&amp;AZ245&amp;EF$1)</f>
        <v/>
      </c>
      <c r="EG245" s="43" t="str">
        <f t="shared" ref="EG245:EG286" si="3658">IF(BA245="","","|n"&amp;EG$2&amp;"+"&amp;BA245&amp;EG$1)</f>
        <v/>
      </c>
      <c r="EH245" s="43" t="str">
        <f t="shared" ref="EH245:EH286" si="3659">IF(BB245="","","|n"&amp;EH$2&amp;"+"&amp;BB245&amp;EH$1)</f>
        <v/>
      </c>
      <c r="EI245" s="43" t="str">
        <f t="shared" ref="EI245:EI286" si="3660">IF(BC245="","","|n"&amp;EI$2&amp;"+"&amp;BC245&amp;EI$1)</f>
        <v/>
      </c>
      <c r="EJ245" s="43" t="str">
        <f t="shared" ref="EJ245:EJ286" si="3661">IF(BD245="","","|n"&amp;EJ$2&amp;"+"&amp;BD245&amp;EJ$1)</f>
        <v/>
      </c>
      <c r="EK245" s="43" t="str">
        <f t="shared" ref="EK245:EK286" si="3662">IF(BE245="","","|n"&amp;EK$2&amp;"+"&amp;BE245&amp;EK$1)</f>
        <v/>
      </c>
      <c r="EL245" s="43" t="str">
        <f t="shared" ref="EL245:EL286" si="3663">IF(BF245="","","|n"&amp;EL$2&amp;"+"&amp;BF245&amp;EL$1)</f>
        <v/>
      </c>
      <c r="EM245" s="43" t="str">
        <f t="shared" ref="EM245:EM286" si="3664">IF(BG245="","","|n"&amp;EM$2&amp;"+"&amp;BG245&amp;EM$1)</f>
        <v/>
      </c>
      <c r="EN245" s="43" t="str">
        <f t="shared" ref="EN245:EN286" si="3665">IF(BH245="","","|n"&amp;EN$2&amp;"+"&amp;BH245&amp;EN$1)</f>
        <v/>
      </c>
      <c r="EO245" s="43" t="str">
        <f t="shared" ref="EO245:EO286" si="3666">IF(BI245="","","|n"&amp;EO$2&amp;"+"&amp;BI245&amp;EO$1)</f>
        <v/>
      </c>
      <c r="EP245" s="43" t="str">
        <f t="shared" ref="EP245:EP286" si="3667">IF(BJ245="","","|n"&amp;EP$2&amp;"+"&amp;BJ245&amp;EP$1)</f>
        <v/>
      </c>
      <c r="EQ245" s="43" t="str">
        <f t="shared" ref="EQ245:EQ286" si="3668">IF(BK245="","","|n"&amp;EQ$2&amp;"+"&amp;BK245&amp;EQ$1)</f>
        <v/>
      </c>
      <c r="ER245" s="43" t="str">
        <f t="shared" ref="ER245:ER286" si="3669">IF(BL245="","","|n"&amp;ER$2&amp;"+"&amp;BL245&amp;ER$1)</f>
        <v/>
      </c>
      <c r="ES245" s="43" t="str">
        <f t="shared" ref="ES245:ES286" si="3670">IF(BM245="","","|n"&amp;ES$2&amp;"+"&amp;BM245&amp;ES$1)</f>
        <v/>
      </c>
      <c r="ET245" s="43" t="str">
        <f t="shared" ref="ET245:ET286" si="3671">IF(BN245="","","|n"&amp;ET$2&amp;"+"&amp;BN245&amp;ET$1)</f>
        <v/>
      </c>
      <c r="EU245" s="43" t="str">
        <f t="shared" ref="EU245:EU286" si="3672">IF(BO245="","","|n"&amp;EU$2&amp;"+"&amp;BO245&amp;EU$1)</f>
        <v/>
      </c>
      <c r="EV245" s="43" t="str">
        <f t="shared" ref="EV245:EV286" si="3673">IF(BP245="","","|n"&amp;EV$2&amp;"+"&amp;BP245&amp;EV$1)</f>
        <v/>
      </c>
      <c r="EW245" s="43" t="str">
        <f t="shared" ref="EW245:EW286" si="3674">IF(BQ245="","","|n"&amp;EW$2&amp;"+"&amp;BQ245&amp;EW$1)</f>
        <v/>
      </c>
      <c r="EX245" s="43" t="str">
        <f t="shared" ref="EX245:EX286" si="3675">IF(BR245="","","|n"&amp;EX$2&amp;"+"&amp;BR245&amp;EX$1)</f>
        <v/>
      </c>
      <c r="EY245" s="43" t="str">
        <f t="shared" ref="EY245:EY286" si="3676">IF(BS245="","","|n"&amp;EY$2&amp;"+"&amp;BS245&amp;EY$1)</f>
        <v/>
      </c>
      <c r="EZ245" s="43" t="str">
        <f t="shared" ref="EZ245:EZ286" si="3677">IF(BT245="","","|n"&amp;EZ$2&amp;"+"&amp;BT245&amp;EZ$1)</f>
        <v/>
      </c>
      <c r="FA245" s="43" t="str">
        <f t="shared" ref="FA245:FA286" si="3678">IF(BU245="","","|n"&amp;FA$2&amp;"+"&amp;BU245&amp;FA$1)</f>
        <v/>
      </c>
      <c r="FB245" s="43" t="str">
        <f t="shared" ref="FB245:FB286" si="3679">IF(BV245="","","|n"&amp;FB$2&amp;"+"&amp;BV245&amp;FB$1)</f>
        <v/>
      </c>
      <c r="FC245" s="43" t="str">
        <f t="shared" ref="FC245:FC286" si="3680">IF(BW245="","","|n"&amp;FC$2&amp;"+"&amp;BW245&amp;FC$1)</f>
        <v/>
      </c>
      <c r="FD245" s="43" t="str">
        <f t="shared" ref="FD245:FD286" si="3681">IF(BX245="","","|n"&amp;FD$2&amp;"+"&amp;BX245&amp;FD$1)</f>
        <v/>
      </c>
      <c r="FE245" s="43" t="str">
        <f t="shared" ref="FE245:FE286" si="3682">IF(BY245="","","|n"&amp;FE$2&amp;"+"&amp;BY245&amp;FE$1)</f>
        <v/>
      </c>
      <c r="FF245" s="43" t="str">
        <f t="shared" ref="FF245:FF286" si="3683">IF(BZ245="","","|n"&amp;FF$2&amp;"+"&amp;BZ245&amp;FF$1)</f>
        <v/>
      </c>
      <c r="FG245" s="43" t="str">
        <f t="shared" ref="FG245:FG286" si="3684">IF(CA245="","","|n"&amp;FG$2&amp;"+"&amp;CA245&amp;FG$1)</f>
        <v/>
      </c>
      <c r="FH245" s="43" t="str">
        <f t="shared" ref="FH245:FH286" si="3685">IF(CB245="","","|n"&amp;FH$2&amp;"+"&amp;CB245&amp;FH$1)</f>
        <v/>
      </c>
      <c r="FI245" s="43" t="str">
        <f t="shared" ref="FI245:FI286" si="3686">IF(CC245="","","|n"&amp;FI$2&amp;"+"&amp;CC245&amp;FI$1)</f>
        <v/>
      </c>
      <c r="FJ245" s="43" t="str">
        <f t="shared" ref="FJ245:FJ286" si="3687">IF(CD245="","","|n"&amp;FJ$2&amp;"+"&amp;CD245&amp;FJ$1)</f>
        <v/>
      </c>
      <c r="FK245" s="43" t="str">
        <f t="shared" ref="FK245:FK286" si="3688">IF(CE245="","","|n"&amp;FK$2&amp;"+"&amp;CE245&amp;FK$1)</f>
        <v/>
      </c>
      <c r="FL245" s="43" t="str">
        <f t="shared" ref="FL245:FL286" si="3689">IF(CF245="","","|n"&amp;FL$2&amp;"+"&amp;CF245&amp;FL$1)</f>
        <v/>
      </c>
      <c r="FM245" s="43" t="str">
        <f t="shared" ref="FM245:FM286" si="3690">IF(CG245="","","|n"&amp;FM$2&amp;"+"&amp;CG245&amp;FM$1)</f>
        <v/>
      </c>
      <c r="FN245" s="43" t="str">
        <f t="shared" ref="FN245:FN286" si="3691">IF(CH245="","","|n"&amp;FN$2&amp;"+"&amp;CH245&amp;FN$1)</f>
        <v/>
      </c>
      <c r="FO245" s="43" t="str">
        <f t="shared" ref="FO245:FO286" si="3692">IF(CI245="","","|n"&amp;FO$2&amp;"+"&amp;CI245&amp;FO$1)</f>
        <v/>
      </c>
      <c r="FP245" s="43" t="str">
        <f t="shared" ref="FP245:FP286" si="3693">IF(CJ245="","","|n"&amp;FP$2&amp;"+"&amp;CJ245&amp;FP$1)</f>
        <v/>
      </c>
      <c r="FQ245" s="43" t="str">
        <f t="shared" ref="FQ245:FQ286" si="3694">IF(CK245="","","|n"&amp;FQ$2&amp;"+"&amp;CK245&amp;FQ$1)</f>
        <v/>
      </c>
      <c r="FR245" s="43" t="str">
        <f t="shared" ref="FR245:FR286" si="3695">IF(CL245="","","|n"&amp;FR$2&amp;"+"&amp;CL245&amp;FR$1)</f>
        <v/>
      </c>
      <c r="FS245" s="43" t="str">
        <f t="shared" ref="FS245:FS286" si="3696">IF(CM245="","","|n"&amp;FS$2&amp;"+"&amp;CM245&amp;FS$1)</f>
        <v/>
      </c>
    </row>
    <row r="246" spans="1:175">
      <c r="A246" s="7"/>
      <c r="B246" s="7" t="s">
        <v>662</v>
      </c>
      <c r="C246" s="5" t="s">
        <v>663</v>
      </c>
      <c r="T246" s="105"/>
      <c r="U246" s="55"/>
      <c r="CN246" s="12" t="str">
        <f t="shared" si="3550"/>
        <v>InitUnitState('IF25',,,,,,,,,,)</v>
      </c>
      <c r="CO246" s="12" t="str">
        <f t="shared" si="3551"/>
        <v>InitUnitNormal('IF25',,,,,,,,,,)</v>
      </c>
      <c r="CP246" s="12" t="str">
        <f t="shared" si="3552"/>
        <v>InitUnitMagic('IF25',,,,,,,,,,)</v>
      </c>
      <c r="CQ246" s="12" t="str">
        <f t="shared" si="3553"/>
        <v>InitUnitAdd('IF25',,,,,,,,,,)</v>
      </c>
      <c r="CR246" s="12" t="str">
        <f t="shared" si="3554"/>
        <v>InitEquipData('IF25',,"",,,,,'','','','','','',"")</v>
      </c>
      <c r="CU246" s="67" t="str">
        <f t="shared" si="3626"/>
        <v>|n</v>
      </c>
      <c r="CW246" s="6"/>
      <c r="CX246" s="6"/>
      <c r="CY246" s="6"/>
      <c r="CZ246" s="6"/>
      <c r="DA246" s="6"/>
      <c r="DB246" s="43" t="str">
        <f t="shared" si="3627"/>
        <v/>
      </c>
      <c r="DC246" s="43" t="str">
        <f t="shared" si="3628"/>
        <v/>
      </c>
      <c r="DD246" s="43" t="str">
        <f t="shared" si="3629"/>
        <v/>
      </c>
      <c r="DE246" s="43" t="str">
        <f t="shared" si="3630"/>
        <v/>
      </c>
      <c r="DF246" s="43" t="str">
        <f t="shared" si="3631"/>
        <v/>
      </c>
      <c r="DG246" s="43" t="str">
        <f t="shared" si="3632"/>
        <v/>
      </c>
      <c r="DH246" s="43" t="str">
        <f t="shared" si="3633"/>
        <v/>
      </c>
      <c r="DI246" s="43" t="str">
        <f t="shared" si="3634"/>
        <v/>
      </c>
      <c r="DJ246" s="43" t="str">
        <f t="shared" si="3635"/>
        <v/>
      </c>
      <c r="DK246" s="43" t="str">
        <f t="shared" si="3636"/>
        <v/>
      </c>
      <c r="DL246" s="43" t="str">
        <f t="shared" si="3637"/>
        <v/>
      </c>
      <c r="DM246" s="43" t="str">
        <f t="shared" si="3638"/>
        <v/>
      </c>
      <c r="DN246" s="43" t="str">
        <f t="shared" si="3639"/>
        <v/>
      </c>
      <c r="DO246" s="43" t="str">
        <f t="shared" si="3640"/>
        <v/>
      </c>
      <c r="DP246" s="43" t="str">
        <f t="shared" si="3641"/>
        <v/>
      </c>
      <c r="DQ246" s="43" t="str">
        <f t="shared" si="3642"/>
        <v/>
      </c>
      <c r="DR246" s="43" t="str">
        <f t="shared" si="3643"/>
        <v/>
      </c>
      <c r="DS246" s="43" t="str">
        <f t="shared" si="3644"/>
        <v/>
      </c>
      <c r="DT246" s="43" t="str">
        <f t="shared" si="3645"/>
        <v/>
      </c>
      <c r="DU246" s="43" t="str">
        <f t="shared" si="3646"/>
        <v/>
      </c>
      <c r="DV246" s="43" t="str">
        <f t="shared" si="3647"/>
        <v/>
      </c>
      <c r="DW246" s="43" t="str">
        <f t="shared" si="3648"/>
        <v/>
      </c>
      <c r="DX246" s="43" t="str">
        <f t="shared" si="3649"/>
        <v/>
      </c>
      <c r="DY246" s="43" t="str">
        <f t="shared" si="3650"/>
        <v/>
      </c>
      <c r="DZ246" s="43" t="str">
        <f t="shared" si="3651"/>
        <v/>
      </c>
      <c r="EA246" s="43" t="str">
        <f t="shared" si="3652"/>
        <v/>
      </c>
      <c r="EB246" s="43" t="str">
        <f t="shared" si="3653"/>
        <v/>
      </c>
      <c r="EC246" s="43" t="str">
        <f t="shared" si="3654"/>
        <v/>
      </c>
      <c r="ED246" s="43" t="str">
        <f t="shared" si="3655"/>
        <v/>
      </c>
      <c r="EE246" s="43" t="str">
        <f t="shared" si="3656"/>
        <v/>
      </c>
      <c r="EF246" s="43" t="str">
        <f t="shared" si="3657"/>
        <v/>
      </c>
      <c r="EG246" s="43" t="str">
        <f t="shared" si="3658"/>
        <v/>
      </c>
      <c r="EH246" s="43" t="str">
        <f t="shared" si="3659"/>
        <v/>
      </c>
      <c r="EI246" s="43" t="str">
        <f t="shared" si="3660"/>
        <v/>
      </c>
      <c r="EJ246" s="43" t="str">
        <f t="shared" si="3661"/>
        <v/>
      </c>
      <c r="EK246" s="43" t="str">
        <f t="shared" si="3662"/>
        <v/>
      </c>
      <c r="EL246" s="43" t="str">
        <f t="shared" si="3663"/>
        <v/>
      </c>
      <c r="EM246" s="43" t="str">
        <f t="shared" si="3664"/>
        <v/>
      </c>
      <c r="EN246" s="43" t="str">
        <f t="shared" si="3665"/>
        <v/>
      </c>
      <c r="EO246" s="43" t="str">
        <f t="shared" si="3666"/>
        <v/>
      </c>
      <c r="EP246" s="43" t="str">
        <f t="shared" si="3667"/>
        <v/>
      </c>
      <c r="EQ246" s="43" t="str">
        <f t="shared" si="3668"/>
        <v/>
      </c>
      <c r="ER246" s="43" t="str">
        <f t="shared" si="3669"/>
        <v/>
      </c>
      <c r="ES246" s="43" t="str">
        <f t="shared" si="3670"/>
        <v/>
      </c>
      <c r="ET246" s="43" t="str">
        <f t="shared" si="3671"/>
        <v/>
      </c>
      <c r="EU246" s="43" t="str">
        <f t="shared" si="3672"/>
        <v/>
      </c>
      <c r="EV246" s="43" t="str">
        <f t="shared" si="3673"/>
        <v/>
      </c>
      <c r="EW246" s="43" t="str">
        <f t="shared" si="3674"/>
        <v/>
      </c>
      <c r="EX246" s="43" t="str">
        <f t="shared" si="3675"/>
        <v/>
      </c>
      <c r="EY246" s="43" t="str">
        <f t="shared" si="3676"/>
        <v/>
      </c>
      <c r="EZ246" s="43" t="str">
        <f t="shared" si="3677"/>
        <v/>
      </c>
      <c r="FA246" s="43" t="str">
        <f t="shared" si="3678"/>
        <v/>
      </c>
      <c r="FB246" s="43" t="str">
        <f t="shared" si="3679"/>
        <v/>
      </c>
      <c r="FC246" s="43" t="str">
        <f t="shared" si="3680"/>
        <v/>
      </c>
      <c r="FD246" s="43" t="str">
        <f t="shared" si="3681"/>
        <v/>
      </c>
      <c r="FE246" s="43" t="str">
        <f t="shared" si="3682"/>
        <v/>
      </c>
      <c r="FF246" s="43" t="str">
        <f t="shared" si="3683"/>
        <v/>
      </c>
      <c r="FG246" s="43" t="str">
        <f t="shared" si="3684"/>
        <v/>
      </c>
      <c r="FH246" s="43" t="str">
        <f t="shared" si="3685"/>
        <v/>
      </c>
      <c r="FI246" s="43" t="str">
        <f t="shared" si="3686"/>
        <v/>
      </c>
      <c r="FJ246" s="43" t="str">
        <f t="shared" si="3687"/>
        <v/>
      </c>
      <c r="FK246" s="43" t="str">
        <f t="shared" si="3688"/>
        <v/>
      </c>
      <c r="FL246" s="43" t="str">
        <f t="shared" si="3689"/>
        <v/>
      </c>
      <c r="FM246" s="43" t="str">
        <f t="shared" si="3690"/>
        <v/>
      </c>
      <c r="FN246" s="43" t="str">
        <f t="shared" si="3691"/>
        <v/>
      </c>
      <c r="FO246" s="43" t="str">
        <f t="shared" si="3692"/>
        <v/>
      </c>
      <c r="FP246" s="43" t="str">
        <f t="shared" si="3693"/>
        <v/>
      </c>
      <c r="FQ246" s="43" t="str">
        <f t="shared" si="3694"/>
        <v/>
      </c>
      <c r="FR246" s="43" t="str">
        <f t="shared" si="3695"/>
        <v/>
      </c>
      <c r="FS246" s="43" t="str">
        <f t="shared" si="3696"/>
        <v/>
      </c>
    </row>
    <row r="247" spans="1:175">
      <c r="A247" s="7"/>
      <c r="B247" s="7" t="s">
        <v>664</v>
      </c>
      <c r="C247" s="5" t="s">
        <v>125</v>
      </c>
      <c r="T247" s="105"/>
      <c r="U247" s="55"/>
      <c r="CN247" s="12" t="str">
        <f t="shared" si="3550"/>
        <v>InitUnitState('IF26',,,,,,,,,,)</v>
      </c>
      <c r="CO247" s="12" t="str">
        <f t="shared" si="3551"/>
        <v>InitUnitNormal('IF26',,,,,,,,,,)</v>
      </c>
      <c r="CP247" s="12" t="str">
        <f t="shared" si="3552"/>
        <v>InitUnitMagic('IF26',,,,,,,,,,)</v>
      </c>
      <c r="CQ247" s="12" t="str">
        <f t="shared" si="3553"/>
        <v>InitUnitAdd('IF26',,,,,,,,,,)</v>
      </c>
      <c r="CR247" s="12" t="str">
        <f t="shared" si="3554"/>
        <v>InitEquipData('IF26',,"",,,,,'','','','','','',"")</v>
      </c>
      <c r="CU247" s="67" t="str">
        <f t="shared" si="3626"/>
        <v>|n</v>
      </c>
      <c r="CW247" s="6"/>
      <c r="CX247" s="6"/>
      <c r="CY247" s="6"/>
      <c r="CZ247" s="6"/>
      <c r="DA247" s="6"/>
      <c r="DB247" s="43" t="str">
        <f t="shared" si="3627"/>
        <v/>
      </c>
      <c r="DC247" s="43" t="str">
        <f t="shared" si="3628"/>
        <v/>
      </c>
      <c r="DD247" s="43" t="str">
        <f t="shared" si="3629"/>
        <v/>
      </c>
      <c r="DE247" s="43" t="str">
        <f t="shared" si="3630"/>
        <v/>
      </c>
      <c r="DF247" s="43" t="str">
        <f t="shared" si="3631"/>
        <v/>
      </c>
      <c r="DG247" s="43" t="str">
        <f t="shared" si="3632"/>
        <v/>
      </c>
      <c r="DH247" s="43" t="str">
        <f t="shared" si="3633"/>
        <v/>
      </c>
      <c r="DI247" s="43" t="str">
        <f t="shared" si="3634"/>
        <v/>
      </c>
      <c r="DJ247" s="43" t="str">
        <f t="shared" si="3635"/>
        <v/>
      </c>
      <c r="DK247" s="43" t="str">
        <f t="shared" si="3636"/>
        <v/>
      </c>
      <c r="DL247" s="43" t="str">
        <f t="shared" si="3637"/>
        <v/>
      </c>
      <c r="DM247" s="43" t="str">
        <f t="shared" si="3638"/>
        <v/>
      </c>
      <c r="DN247" s="43" t="str">
        <f t="shared" si="3639"/>
        <v/>
      </c>
      <c r="DO247" s="43" t="str">
        <f t="shared" si="3640"/>
        <v/>
      </c>
      <c r="DP247" s="43" t="str">
        <f t="shared" si="3641"/>
        <v/>
      </c>
      <c r="DQ247" s="43" t="str">
        <f t="shared" si="3642"/>
        <v/>
      </c>
      <c r="DR247" s="43" t="str">
        <f t="shared" si="3643"/>
        <v/>
      </c>
      <c r="DS247" s="43" t="str">
        <f t="shared" si="3644"/>
        <v/>
      </c>
      <c r="DT247" s="43" t="str">
        <f t="shared" si="3645"/>
        <v/>
      </c>
      <c r="DU247" s="43" t="str">
        <f t="shared" si="3646"/>
        <v/>
      </c>
      <c r="DV247" s="43" t="str">
        <f t="shared" si="3647"/>
        <v/>
      </c>
      <c r="DW247" s="43" t="str">
        <f t="shared" si="3648"/>
        <v/>
      </c>
      <c r="DX247" s="43" t="str">
        <f t="shared" si="3649"/>
        <v/>
      </c>
      <c r="DY247" s="43" t="str">
        <f t="shared" si="3650"/>
        <v/>
      </c>
      <c r="DZ247" s="43" t="str">
        <f t="shared" si="3651"/>
        <v/>
      </c>
      <c r="EA247" s="43" t="str">
        <f t="shared" si="3652"/>
        <v/>
      </c>
      <c r="EB247" s="43" t="str">
        <f t="shared" si="3653"/>
        <v/>
      </c>
      <c r="EC247" s="43" t="str">
        <f t="shared" si="3654"/>
        <v/>
      </c>
      <c r="ED247" s="43" t="str">
        <f t="shared" si="3655"/>
        <v/>
      </c>
      <c r="EE247" s="43" t="str">
        <f t="shared" si="3656"/>
        <v/>
      </c>
      <c r="EF247" s="43" t="str">
        <f t="shared" si="3657"/>
        <v/>
      </c>
      <c r="EG247" s="43" t="str">
        <f t="shared" si="3658"/>
        <v/>
      </c>
      <c r="EH247" s="43" t="str">
        <f t="shared" si="3659"/>
        <v/>
      </c>
      <c r="EI247" s="43" t="str">
        <f t="shared" si="3660"/>
        <v/>
      </c>
      <c r="EJ247" s="43" t="str">
        <f t="shared" si="3661"/>
        <v/>
      </c>
      <c r="EK247" s="43" t="str">
        <f t="shared" si="3662"/>
        <v/>
      </c>
      <c r="EL247" s="43" t="str">
        <f t="shared" si="3663"/>
        <v/>
      </c>
      <c r="EM247" s="43" t="str">
        <f t="shared" si="3664"/>
        <v/>
      </c>
      <c r="EN247" s="43" t="str">
        <f t="shared" si="3665"/>
        <v/>
      </c>
      <c r="EO247" s="43" t="str">
        <f t="shared" si="3666"/>
        <v/>
      </c>
      <c r="EP247" s="43" t="str">
        <f t="shared" si="3667"/>
        <v/>
      </c>
      <c r="EQ247" s="43" t="str">
        <f t="shared" si="3668"/>
        <v/>
      </c>
      <c r="ER247" s="43" t="str">
        <f t="shared" si="3669"/>
        <v/>
      </c>
      <c r="ES247" s="43" t="str">
        <f t="shared" si="3670"/>
        <v/>
      </c>
      <c r="ET247" s="43" t="str">
        <f t="shared" si="3671"/>
        <v/>
      </c>
      <c r="EU247" s="43" t="str">
        <f t="shared" si="3672"/>
        <v/>
      </c>
      <c r="EV247" s="43" t="str">
        <f t="shared" si="3673"/>
        <v/>
      </c>
      <c r="EW247" s="43" t="str">
        <f t="shared" si="3674"/>
        <v/>
      </c>
      <c r="EX247" s="43" t="str">
        <f t="shared" si="3675"/>
        <v/>
      </c>
      <c r="EY247" s="43" t="str">
        <f t="shared" si="3676"/>
        <v/>
      </c>
      <c r="EZ247" s="43" t="str">
        <f t="shared" si="3677"/>
        <v/>
      </c>
      <c r="FA247" s="43" t="str">
        <f t="shared" si="3678"/>
        <v/>
      </c>
      <c r="FB247" s="43" t="str">
        <f t="shared" si="3679"/>
        <v/>
      </c>
      <c r="FC247" s="43" t="str">
        <f t="shared" si="3680"/>
        <v/>
      </c>
      <c r="FD247" s="43" t="str">
        <f t="shared" si="3681"/>
        <v/>
      </c>
      <c r="FE247" s="43" t="str">
        <f t="shared" si="3682"/>
        <v/>
      </c>
      <c r="FF247" s="43" t="str">
        <f t="shared" si="3683"/>
        <v/>
      </c>
      <c r="FG247" s="43" t="str">
        <f t="shared" si="3684"/>
        <v/>
      </c>
      <c r="FH247" s="43" t="str">
        <f t="shared" si="3685"/>
        <v/>
      </c>
      <c r="FI247" s="43" t="str">
        <f t="shared" si="3686"/>
        <v/>
      </c>
      <c r="FJ247" s="43" t="str">
        <f t="shared" si="3687"/>
        <v/>
      </c>
      <c r="FK247" s="43" t="str">
        <f t="shared" si="3688"/>
        <v/>
      </c>
      <c r="FL247" s="43" t="str">
        <f t="shared" si="3689"/>
        <v/>
      </c>
      <c r="FM247" s="43" t="str">
        <f t="shared" si="3690"/>
        <v/>
      </c>
      <c r="FN247" s="43" t="str">
        <f t="shared" si="3691"/>
        <v/>
      </c>
      <c r="FO247" s="43" t="str">
        <f t="shared" si="3692"/>
        <v/>
      </c>
      <c r="FP247" s="43" t="str">
        <f t="shared" si="3693"/>
        <v/>
      </c>
      <c r="FQ247" s="43" t="str">
        <f t="shared" si="3694"/>
        <v/>
      </c>
      <c r="FR247" s="43" t="str">
        <f t="shared" si="3695"/>
        <v/>
      </c>
      <c r="FS247" s="43" t="str">
        <f t="shared" si="3696"/>
        <v/>
      </c>
    </row>
    <row r="248" spans="1:175">
      <c r="A248" s="7"/>
      <c r="B248" s="7" t="s">
        <v>665</v>
      </c>
      <c r="C248" s="5" t="s">
        <v>133</v>
      </c>
      <c r="T248" s="105"/>
      <c r="U248" s="55"/>
      <c r="CN248" s="12" t="str">
        <f t="shared" si="3550"/>
        <v>InitUnitState('IF27',,,,,,,,,,)</v>
      </c>
      <c r="CO248" s="12" t="str">
        <f t="shared" si="3551"/>
        <v>InitUnitNormal('IF27',,,,,,,,,,)</v>
      </c>
      <c r="CP248" s="12" t="str">
        <f t="shared" si="3552"/>
        <v>InitUnitMagic('IF27',,,,,,,,,,)</v>
      </c>
      <c r="CQ248" s="12" t="str">
        <f t="shared" si="3553"/>
        <v>InitUnitAdd('IF27',,,,,,,,,,)</v>
      </c>
      <c r="CR248" s="12" t="str">
        <f t="shared" si="3554"/>
        <v>InitEquipData('IF27',,"",,,,,'','','','','','',"")</v>
      </c>
      <c r="CU248" s="67" t="str">
        <f t="shared" si="3626"/>
        <v>|n</v>
      </c>
      <c r="CW248" s="6"/>
      <c r="CX248" s="6"/>
      <c r="CY248" s="6"/>
      <c r="CZ248" s="6"/>
      <c r="DA248" s="6"/>
      <c r="DB248" s="43" t="str">
        <f t="shared" si="3627"/>
        <v/>
      </c>
      <c r="DC248" s="43" t="str">
        <f t="shared" si="3628"/>
        <v/>
      </c>
      <c r="DD248" s="43" t="str">
        <f t="shared" si="3629"/>
        <v/>
      </c>
      <c r="DE248" s="43" t="str">
        <f t="shared" si="3630"/>
        <v/>
      </c>
      <c r="DF248" s="43" t="str">
        <f t="shared" si="3631"/>
        <v/>
      </c>
      <c r="DG248" s="43" t="str">
        <f t="shared" si="3632"/>
        <v/>
      </c>
      <c r="DH248" s="43" t="str">
        <f t="shared" si="3633"/>
        <v/>
      </c>
      <c r="DI248" s="43" t="str">
        <f t="shared" si="3634"/>
        <v/>
      </c>
      <c r="DJ248" s="43" t="str">
        <f t="shared" si="3635"/>
        <v/>
      </c>
      <c r="DK248" s="43" t="str">
        <f t="shared" si="3636"/>
        <v/>
      </c>
      <c r="DL248" s="43" t="str">
        <f t="shared" si="3637"/>
        <v/>
      </c>
      <c r="DM248" s="43" t="str">
        <f t="shared" si="3638"/>
        <v/>
      </c>
      <c r="DN248" s="43" t="str">
        <f t="shared" si="3639"/>
        <v/>
      </c>
      <c r="DO248" s="43" t="str">
        <f t="shared" si="3640"/>
        <v/>
      </c>
      <c r="DP248" s="43" t="str">
        <f t="shared" si="3641"/>
        <v/>
      </c>
      <c r="DQ248" s="43" t="str">
        <f t="shared" si="3642"/>
        <v/>
      </c>
      <c r="DR248" s="43" t="str">
        <f t="shared" si="3643"/>
        <v/>
      </c>
      <c r="DS248" s="43" t="str">
        <f t="shared" si="3644"/>
        <v/>
      </c>
      <c r="DT248" s="43" t="str">
        <f t="shared" si="3645"/>
        <v/>
      </c>
      <c r="DU248" s="43" t="str">
        <f t="shared" si="3646"/>
        <v/>
      </c>
      <c r="DV248" s="43" t="str">
        <f t="shared" si="3647"/>
        <v/>
      </c>
      <c r="DW248" s="43" t="str">
        <f t="shared" si="3648"/>
        <v/>
      </c>
      <c r="DX248" s="43" t="str">
        <f t="shared" si="3649"/>
        <v/>
      </c>
      <c r="DY248" s="43" t="str">
        <f t="shared" si="3650"/>
        <v/>
      </c>
      <c r="DZ248" s="43" t="str">
        <f t="shared" si="3651"/>
        <v/>
      </c>
      <c r="EA248" s="43" t="str">
        <f t="shared" si="3652"/>
        <v/>
      </c>
      <c r="EB248" s="43" t="str">
        <f t="shared" si="3653"/>
        <v/>
      </c>
      <c r="EC248" s="43" t="str">
        <f t="shared" si="3654"/>
        <v/>
      </c>
      <c r="ED248" s="43" t="str">
        <f t="shared" si="3655"/>
        <v/>
      </c>
      <c r="EE248" s="43" t="str">
        <f t="shared" si="3656"/>
        <v/>
      </c>
      <c r="EF248" s="43" t="str">
        <f t="shared" si="3657"/>
        <v/>
      </c>
      <c r="EG248" s="43" t="str">
        <f t="shared" si="3658"/>
        <v/>
      </c>
      <c r="EH248" s="43" t="str">
        <f t="shared" si="3659"/>
        <v/>
      </c>
      <c r="EI248" s="43" t="str">
        <f t="shared" si="3660"/>
        <v/>
      </c>
      <c r="EJ248" s="43" t="str">
        <f t="shared" si="3661"/>
        <v/>
      </c>
      <c r="EK248" s="43" t="str">
        <f t="shared" si="3662"/>
        <v/>
      </c>
      <c r="EL248" s="43" t="str">
        <f t="shared" si="3663"/>
        <v/>
      </c>
      <c r="EM248" s="43" t="str">
        <f t="shared" si="3664"/>
        <v/>
      </c>
      <c r="EN248" s="43" t="str">
        <f t="shared" si="3665"/>
        <v/>
      </c>
      <c r="EO248" s="43" t="str">
        <f t="shared" si="3666"/>
        <v/>
      </c>
      <c r="EP248" s="43" t="str">
        <f t="shared" si="3667"/>
        <v/>
      </c>
      <c r="EQ248" s="43" t="str">
        <f t="shared" si="3668"/>
        <v/>
      </c>
      <c r="ER248" s="43" t="str">
        <f t="shared" si="3669"/>
        <v/>
      </c>
      <c r="ES248" s="43" t="str">
        <f t="shared" si="3670"/>
        <v/>
      </c>
      <c r="ET248" s="43" t="str">
        <f t="shared" si="3671"/>
        <v/>
      </c>
      <c r="EU248" s="43" t="str">
        <f t="shared" si="3672"/>
        <v/>
      </c>
      <c r="EV248" s="43" t="str">
        <f t="shared" si="3673"/>
        <v/>
      </c>
      <c r="EW248" s="43" t="str">
        <f t="shared" si="3674"/>
        <v/>
      </c>
      <c r="EX248" s="43" t="str">
        <f t="shared" si="3675"/>
        <v/>
      </c>
      <c r="EY248" s="43" t="str">
        <f t="shared" si="3676"/>
        <v/>
      </c>
      <c r="EZ248" s="43" t="str">
        <f t="shared" si="3677"/>
        <v/>
      </c>
      <c r="FA248" s="43" t="str">
        <f t="shared" si="3678"/>
        <v/>
      </c>
      <c r="FB248" s="43" t="str">
        <f t="shared" si="3679"/>
        <v/>
      </c>
      <c r="FC248" s="43" t="str">
        <f t="shared" si="3680"/>
        <v/>
      </c>
      <c r="FD248" s="43" t="str">
        <f t="shared" si="3681"/>
        <v/>
      </c>
      <c r="FE248" s="43" t="str">
        <f t="shared" si="3682"/>
        <v/>
      </c>
      <c r="FF248" s="43" t="str">
        <f t="shared" si="3683"/>
        <v/>
      </c>
      <c r="FG248" s="43" t="str">
        <f t="shared" si="3684"/>
        <v/>
      </c>
      <c r="FH248" s="43" t="str">
        <f t="shared" si="3685"/>
        <v/>
      </c>
      <c r="FI248" s="43" t="str">
        <f t="shared" si="3686"/>
        <v/>
      </c>
      <c r="FJ248" s="43" t="str">
        <f t="shared" si="3687"/>
        <v/>
      </c>
      <c r="FK248" s="43" t="str">
        <f t="shared" si="3688"/>
        <v/>
      </c>
      <c r="FL248" s="43" t="str">
        <f t="shared" si="3689"/>
        <v/>
      </c>
      <c r="FM248" s="43" t="str">
        <f t="shared" si="3690"/>
        <v/>
      </c>
      <c r="FN248" s="43" t="str">
        <f t="shared" si="3691"/>
        <v/>
      </c>
      <c r="FO248" s="43" t="str">
        <f t="shared" si="3692"/>
        <v/>
      </c>
      <c r="FP248" s="43" t="str">
        <f t="shared" si="3693"/>
        <v/>
      </c>
      <c r="FQ248" s="43" t="str">
        <f t="shared" si="3694"/>
        <v/>
      </c>
      <c r="FR248" s="43" t="str">
        <f t="shared" si="3695"/>
        <v/>
      </c>
      <c r="FS248" s="43" t="str">
        <f t="shared" si="3696"/>
        <v/>
      </c>
    </row>
    <row r="249" spans="1:175">
      <c r="A249" s="7"/>
      <c r="B249" s="7"/>
      <c r="C249" s="7"/>
      <c r="T249" s="105"/>
      <c r="U249" s="55"/>
      <c r="CN249" s="12" t="str">
        <f t="shared" si="3550"/>
        <v>InitUnitState('',,,,,,,,,,)</v>
      </c>
      <c r="CO249" s="12" t="str">
        <f t="shared" si="3551"/>
        <v>InitUnitNormal('',,,,,,,,,,)</v>
      </c>
      <c r="CP249" s="12" t="str">
        <f t="shared" si="3552"/>
        <v>InitUnitMagic('',,,,,,,,,,)</v>
      </c>
      <c r="CQ249" s="12" t="str">
        <f t="shared" si="3553"/>
        <v>InitUnitAdd('',,,,,,,,,,)</v>
      </c>
      <c r="CR249" s="12" t="str">
        <f t="shared" si="3554"/>
        <v>InitEquipData('',,"",,,,,'','','','','','',"")</v>
      </c>
      <c r="CU249" s="67" t="str">
        <f t="shared" si="3626"/>
        <v>|n</v>
      </c>
      <c r="CW249" s="6"/>
      <c r="CX249" s="6"/>
      <c r="CY249" s="6"/>
      <c r="CZ249" s="6"/>
      <c r="DA249" s="6"/>
      <c r="DB249" s="43" t="str">
        <f t="shared" si="3627"/>
        <v/>
      </c>
      <c r="DC249" s="43" t="str">
        <f t="shared" si="3628"/>
        <v/>
      </c>
      <c r="DD249" s="43" t="str">
        <f t="shared" si="3629"/>
        <v/>
      </c>
      <c r="DE249" s="43" t="str">
        <f t="shared" si="3630"/>
        <v/>
      </c>
      <c r="DF249" s="43" t="str">
        <f t="shared" si="3631"/>
        <v/>
      </c>
      <c r="DG249" s="43" t="str">
        <f t="shared" si="3632"/>
        <v/>
      </c>
      <c r="DH249" s="43" t="str">
        <f t="shared" si="3633"/>
        <v/>
      </c>
      <c r="DI249" s="43" t="str">
        <f t="shared" si="3634"/>
        <v/>
      </c>
      <c r="DJ249" s="43" t="str">
        <f t="shared" si="3635"/>
        <v/>
      </c>
      <c r="DK249" s="43" t="str">
        <f t="shared" si="3636"/>
        <v/>
      </c>
      <c r="DL249" s="43" t="str">
        <f t="shared" si="3637"/>
        <v/>
      </c>
      <c r="DM249" s="43" t="str">
        <f t="shared" si="3638"/>
        <v/>
      </c>
      <c r="DN249" s="43" t="str">
        <f t="shared" si="3639"/>
        <v/>
      </c>
      <c r="DO249" s="43" t="str">
        <f t="shared" si="3640"/>
        <v/>
      </c>
      <c r="DP249" s="43" t="str">
        <f t="shared" si="3641"/>
        <v/>
      </c>
      <c r="DQ249" s="43" t="str">
        <f t="shared" si="3642"/>
        <v/>
      </c>
      <c r="DR249" s="43" t="str">
        <f t="shared" si="3643"/>
        <v/>
      </c>
      <c r="DS249" s="43" t="str">
        <f t="shared" si="3644"/>
        <v/>
      </c>
      <c r="DT249" s="43" t="str">
        <f t="shared" si="3645"/>
        <v/>
      </c>
      <c r="DU249" s="43" t="str">
        <f t="shared" si="3646"/>
        <v/>
      </c>
      <c r="DV249" s="43" t="str">
        <f t="shared" si="3647"/>
        <v/>
      </c>
      <c r="DW249" s="43" t="str">
        <f t="shared" si="3648"/>
        <v/>
      </c>
      <c r="DX249" s="43" t="str">
        <f t="shared" si="3649"/>
        <v/>
      </c>
      <c r="DY249" s="43" t="str">
        <f t="shared" si="3650"/>
        <v/>
      </c>
      <c r="DZ249" s="43" t="str">
        <f t="shared" si="3651"/>
        <v/>
      </c>
      <c r="EA249" s="43" t="str">
        <f t="shared" si="3652"/>
        <v/>
      </c>
      <c r="EB249" s="43" t="str">
        <f t="shared" si="3653"/>
        <v/>
      </c>
      <c r="EC249" s="43" t="str">
        <f t="shared" si="3654"/>
        <v/>
      </c>
      <c r="ED249" s="43" t="str">
        <f t="shared" si="3655"/>
        <v/>
      </c>
      <c r="EE249" s="43" t="str">
        <f t="shared" si="3656"/>
        <v/>
      </c>
      <c r="EF249" s="43" t="str">
        <f t="shared" si="3657"/>
        <v/>
      </c>
      <c r="EG249" s="43" t="str">
        <f t="shared" si="3658"/>
        <v/>
      </c>
      <c r="EH249" s="43" t="str">
        <f t="shared" si="3659"/>
        <v/>
      </c>
      <c r="EI249" s="43" t="str">
        <f t="shared" si="3660"/>
        <v/>
      </c>
      <c r="EJ249" s="43" t="str">
        <f t="shared" si="3661"/>
        <v/>
      </c>
      <c r="EK249" s="43" t="str">
        <f t="shared" si="3662"/>
        <v/>
      </c>
      <c r="EL249" s="43" t="str">
        <f t="shared" si="3663"/>
        <v/>
      </c>
      <c r="EM249" s="43" t="str">
        <f t="shared" si="3664"/>
        <v/>
      </c>
      <c r="EN249" s="43" t="str">
        <f t="shared" si="3665"/>
        <v/>
      </c>
      <c r="EO249" s="43" t="str">
        <f t="shared" si="3666"/>
        <v/>
      </c>
      <c r="EP249" s="43" t="str">
        <f t="shared" si="3667"/>
        <v/>
      </c>
      <c r="EQ249" s="43" t="str">
        <f t="shared" si="3668"/>
        <v/>
      </c>
      <c r="ER249" s="43" t="str">
        <f t="shared" si="3669"/>
        <v/>
      </c>
      <c r="ES249" s="43" t="str">
        <f t="shared" si="3670"/>
        <v/>
      </c>
      <c r="ET249" s="43" t="str">
        <f t="shared" si="3671"/>
        <v/>
      </c>
      <c r="EU249" s="43" t="str">
        <f t="shared" si="3672"/>
        <v/>
      </c>
      <c r="EV249" s="43" t="str">
        <f t="shared" si="3673"/>
        <v/>
      </c>
      <c r="EW249" s="43" t="str">
        <f t="shared" si="3674"/>
        <v/>
      </c>
      <c r="EX249" s="43" t="str">
        <f t="shared" si="3675"/>
        <v/>
      </c>
      <c r="EY249" s="43" t="str">
        <f t="shared" si="3676"/>
        <v/>
      </c>
      <c r="EZ249" s="43" t="str">
        <f t="shared" si="3677"/>
        <v/>
      </c>
      <c r="FA249" s="43" t="str">
        <f t="shared" si="3678"/>
        <v/>
      </c>
      <c r="FB249" s="43" t="str">
        <f t="shared" si="3679"/>
        <v/>
      </c>
      <c r="FC249" s="43" t="str">
        <f t="shared" si="3680"/>
        <v/>
      </c>
      <c r="FD249" s="43" t="str">
        <f t="shared" si="3681"/>
        <v/>
      </c>
      <c r="FE249" s="43" t="str">
        <f t="shared" si="3682"/>
        <v/>
      </c>
      <c r="FF249" s="43" t="str">
        <f t="shared" si="3683"/>
        <v/>
      </c>
      <c r="FG249" s="43" t="str">
        <f t="shared" si="3684"/>
        <v/>
      </c>
      <c r="FH249" s="43" t="str">
        <f t="shared" si="3685"/>
        <v/>
      </c>
      <c r="FI249" s="43" t="str">
        <f t="shared" si="3686"/>
        <v/>
      </c>
      <c r="FJ249" s="43" t="str">
        <f t="shared" si="3687"/>
        <v/>
      </c>
      <c r="FK249" s="43" t="str">
        <f t="shared" si="3688"/>
        <v/>
      </c>
      <c r="FL249" s="43" t="str">
        <f t="shared" si="3689"/>
        <v/>
      </c>
      <c r="FM249" s="43" t="str">
        <f t="shared" si="3690"/>
        <v/>
      </c>
      <c r="FN249" s="43" t="str">
        <f t="shared" si="3691"/>
        <v/>
      </c>
      <c r="FO249" s="43" t="str">
        <f t="shared" si="3692"/>
        <v/>
      </c>
      <c r="FP249" s="43" t="str">
        <f t="shared" si="3693"/>
        <v/>
      </c>
      <c r="FQ249" s="43" t="str">
        <f t="shared" si="3694"/>
        <v/>
      </c>
      <c r="FR249" s="43" t="str">
        <f t="shared" si="3695"/>
        <v/>
      </c>
      <c r="FS249" s="43" t="str">
        <f t="shared" si="3696"/>
        <v/>
      </c>
    </row>
    <row r="250" spans="1:175">
      <c r="A250" s="7"/>
      <c r="B250" s="7"/>
      <c r="C250" s="7"/>
      <c r="T250" s="105"/>
      <c r="U250" s="55"/>
      <c r="CN250" s="12" t="str">
        <f t="shared" ref="CN250:CN258" si="3697">"InitUnitState('"&amp;B250&amp;"',"&amp;V250&amp;","&amp;W250&amp;","&amp;X250&amp;","&amp;Y250&amp;","&amp;Z250&amp;","&amp;AA250&amp;","&amp;AB250&amp;","&amp;AC250&amp;","&amp;AD250&amp;","&amp;AE250&amp;")"</f>
        <v>InitUnitState('',,,,,,,,,,)</v>
      </c>
      <c r="CO250" s="12" t="str">
        <f t="shared" ref="CO250:CO258" si="3698">"InitUnitNormal('"&amp;B250&amp;"',"&amp;AF250&amp;","&amp;AG250&amp;","&amp;AH250&amp;","&amp;AI250&amp;","&amp;AJ250&amp;","&amp;AK250&amp;","&amp;AL250&amp;","&amp;AM250&amp;","&amp;AN250&amp;","&amp;AO250&amp;")"</f>
        <v>InitUnitNormal('',,,,,,,,,,)</v>
      </c>
      <c r="CP250" s="12" t="str">
        <f t="shared" ref="CP250:CP258" si="3699">"InitUnitMagic('"&amp;B250&amp;"',"&amp;AP250&amp;","&amp;AQ250&amp;","&amp;AR250&amp;","&amp;AS250&amp;","&amp;AT250&amp;","&amp;AU250&amp;","&amp;AV250&amp;","&amp;AW250&amp;","&amp;BI250&amp;","&amp;BJ250&amp;")"</f>
        <v>InitUnitMagic('',,,,,,,,,,)</v>
      </c>
      <c r="CQ250" s="12" t="str">
        <f t="shared" ref="CQ250:CQ258" si="3700">"InitUnitAdd('"&amp;B250&amp;"',"&amp;BK250&amp;","&amp;BL250&amp;","&amp;BM250&amp;","&amp;BN250&amp;","&amp;BO250&amp;","&amp;BP250&amp;","&amp;BQ250&amp;","&amp;BR250&amp;","&amp;BS250&amp;","&amp;BT250&amp;")"</f>
        <v>InitUnitAdd('',,,,,,,,,,)</v>
      </c>
      <c r="CR250" s="12" t="str">
        <f t="shared" si="3554"/>
        <v>InitEquipData('',,"",,,,,'','','','','','',"")</v>
      </c>
      <c r="CU250" s="67" t="str">
        <f t="shared" si="3626"/>
        <v>|n</v>
      </c>
      <c r="CW250" s="6"/>
      <c r="CX250" s="6"/>
      <c r="CY250" s="6"/>
      <c r="CZ250" s="6"/>
      <c r="DA250" s="6"/>
      <c r="DB250" s="43" t="str">
        <f t="shared" si="3627"/>
        <v/>
      </c>
      <c r="DC250" s="43" t="str">
        <f t="shared" si="3628"/>
        <v/>
      </c>
      <c r="DD250" s="43" t="str">
        <f t="shared" si="3629"/>
        <v/>
      </c>
      <c r="DE250" s="43" t="str">
        <f t="shared" si="3630"/>
        <v/>
      </c>
      <c r="DF250" s="43" t="str">
        <f t="shared" si="3631"/>
        <v/>
      </c>
      <c r="DG250" s="43" t="str">
        <f t="shared" si="3632"/>
        <v/>
      </c>
      <c r="DH250" s="43" t="str">
        <f t="shared" si="3633"/>
        <v/>
      </c>
      <c r="DI250" s="43" t="str">
        <f t="shared" si="3634"/>
        <v/>
      </c>
      <c r="DJ250" s="43" t="str">
        <f t="shared" si="3635"/>
        <v/>
      </c>
      <c r="DK250" s="43" t="str">
        <f t="shared" si="3636"/>
        <v/>
      </c>
      <c r="DL250" s="43" t="str">
        <f t="shared" si="3637"/>
        <v/>
      </c>
      <c r="DM250" s="43" t="str">
        <f t="shared" si="3638"/>
        <v/>
      </c>
      <c r="DN250" s="43" t="str">
        <f t="shared" si="3639"/>
        <v/>
      </c>
      <c r="DO250" s="43" t="str">
        <f t="shared" si="3640"/>
        <v/>
      </c>
      <c r="DP250" s="43" t="str">
        <f t="shared" si="3641"/>
        <v/>
      </c>
      <c r="DQ250" s="43" t="str">
        <f t="shared" si="3642"/>
        <v/>
      </c>
      <c r="DR250" s="43" t="str">
        <f t="shared" si="3643"/>
        <v/>
      </c>
      <c r="DS250" s="43" t="str">
        <f t="shared" si="3644"/>
        <v/>
      </c>
      <c r="DT250" s="43" t="str">
        <f t="shared" si="3645"/>
        <v/>
      </c>
      <c r="DU250" s="43" t="str">
        <f t="shared" si="3646"/>
        <v/>
      </c>
      <c r="DV250" s="43" t="str">
        <f t="shared" si="3647"/>
        <v/>
      </c>
      <c r="DW250" s="43" t="str">
        <f t="shared" si="3648"/>
        <v/>
      </c>
      <c r="DX250" s="43" t="str">
        <f t="shared" si="3649"/>
        <v/>
      </c>
      <c r="DY250" s="43" t="str">
        <f t="shared" si="3650"/>
        <v/>
      </c>
      <c r="DZ250" s="43" t="str">
        <f t="shared" si="3651"/>
        <v/>
      </c>
      <c r="EA250" s="43" t="str">
        <f t="shared" si="3652"/>
        <v/>
      </c>
      <c r="EB250" s="43" t="str">
        <f t="shared" si="3653"/>
        <v/>
      </c>
      <c r="EC250" s="43" t="str">
        <f t="shared" si="3654"/>
        <v/>
      </c>
      <c r="ED250" s="43" t="str">
        <f t="shared" si="3655"/>
        <v/>
      </c>
      <c r="EE250" s="43" t="str">
        <f t="shared" si="3656"/>
        <v/>
      </c>
      <c r="EF250" s="43" t="str">
        <f t="shared" si="3657"/>
        <v/>
      </c>
      <c r="EG250" s="43" t="str">
        <f t="shared" si="3658"/>
        <v/>
      </c>
      <c r="EH250" s="43" t="str">
        <f t="shared" si="3659"/>
        <v/>
      </c>
      <c r="EI250" s="43" t="str">
        <f t="shared" si="3660"/>
        <v/>
      </c>
      <c r="EJ250" s="43" t="str">
        <f t="shared" si="3661"/>
        <v/>
      </c>
      <c r="EK250" s="43" t="str">
        <f t="shared" si="3662"/>
        <v/>
      </c>
      <c r="EL250" s="43" t="str">
        <f t="shared" si="3663"/>
        <v/>
      </c>
      <c r="EM250" s="43" t="str">
        <f t="shared" si="3664"/>
        <v/>
      </c>
      <c r="EN250" s="43" t="str">
        <f t="shared" si="3665"/>
        <v/>
      </c>
      <c r="EO250" s="43" t="str">
        <f t="shared" si="3666"/>
        <v/>
      </c>
      <c r="EP250" s="43" t="str">
        <f t="shared" si="3667"/>
        <v/>
      </c>
      <c r="EQ250" s="43" t="str">
        <f t="shared" si="3668"/>
        <v/>
      </c>
      <c r="ER250" s="43" t="str">
        <f t="shared" si="3669"/>
        <v/>
      </c>
      <c r="ES250" s="43" t="str">
        <f t="shared" si="3670"/>
        <v/>
      </c>
      <c r="ET250" s="43" t="str">
        <f t="shared" si="3671"/>
        <v/>
      </c>
      <c r="EU250" s="43" t="str">
        <f t="shared" si="3672"/>
        <v/>
      </c>
      <c r="EV250" s="43" t="str">
        <f t="shared" si="3673"/>
        <v/>
      </c>
      <c r="EW250" s="43" t="str">
        <f t="shared" si="3674"/>
        <v/>
      </c>
      <c r="EX250" s="43" t="str">
        <f t="shared" si="3675"/>
        <v/>
      </c>
      <c r="EY250" s="43" t="str">
        <f t="shared" si="3676"/>
        <v/>
      </c>
      <c r="EZ250" s="43" t="str">
        <f t="shared" si="3677"/>
        <v/>
      </c>
      <c r="FA250" s="43" t="str">
        <f t="shared" si="3678"/>
        <v/>
      </c>
      <c r="FB250" s="43" t="str">
        <f t="shared" si="3679"/>
        <v/>
      </c>
      <c r="FC250" s="43" t="str">
        <f t="shared" si="3680"/>
        <v/>
      </c>
      <c r="FD250" s="43" t="str">
        <f t="shared" si="3681"/>
        <v/>
      </c>
      <c r="FE250" s="43" t="str">
        <f t="shared" si="3682"/>
        <v/>
      </c>
      <c r="FF250" s="43" t="str">
        <f t="shared" si="3683"/>
        <v/>
      </c>
      <c r="FG250" s="43" t="str">
        <f t="shared" si="3684"/>
        <v/>
      </c>
      <c r="FH250" s="43" t="str">
        <f t="shared" si="3685"/>
        <v/>
      </c>
      <c r="FI250" s="43" t="str">
        <f t="shared" si="3686"/>
        <v/>
      </c>
      <c r="FJ250" s="43" t="str">
        <f t="shared" si="3687"/>
        <v/>
      </c>
      <c r="FK250" s="43" t="str">
        <f t="shared" si="3688"/>
        <v/>
      </c>
      <c r="FL250" s="43" t="str">
        <f t="shared" si="3689"/>
        <v/>
      </c>
      <c r="FM250" s="43" t="str">
        <f t="shared" si="3690"/>
        <v/>
      </c>
      <c r="FN250" s="43" t="str">
        <f t="shared" si="3691"/>
        <v/>
      </c>
      <c r="FO250" s="43" t="str">
        <f t="shared" si="3692"/>
        <v/>
      </c>
      <c r="FP250" s="43" t="str">
        <f t="shared" si="3693"/>
        <v/>
      </c>
      <c r="FQ250" s="43" t="str">
        <f t="shared" si="3694"/>
        <v/>
      </c>
      <c r="FR250" s="43" t="str">
        <f t="shared" si="3695"/>
        <v/>
      </c>
      <c r="FS250" s="43" t="str">
        <f t="shared" si="3696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697"/>
        <v>InitUnitState('',,,,,,,,,,)</v>
      </c>
      <c r="CO251" s="65" t="str">
        <f t="shared" si="3698"/>
        <v>InitUnitNormal('',,,,,,,,,,)</v>
      </c>
      <c r="CP251" s="65" t="str">
        <f t="shared" si="3699"/>
        <v>InitUnitMagic('',,,,,,,,,,)</v>
      </c>
      <c r="CQ251" s="65" t="str">
        <f t="shared" si="3700"/>
        <v>InitUnitAdd('',,,,,,,,,,)</v>
      </c>
      <c r="CR251" s="65" t="str">
        <f t="shared" si="3554"/>
        <v>InitEquipData('',,"",,,,,'','','','','','',"")</v>
      </c>
      <c r="CS251" s="65"/>
      <c r="CT251" s="65"/>
      <c r="CU251" s="67" t="str">
        <f t="shared" si="3626"/>
        <v>|n</v>
      </c>
      <c r="CV251" s="5"/>
      <c r="DB251" s="43" t="str">
        <f t="shared" si="3627"/>
        <v/>
      </c>
      <c r="DC251" s="43" t="str">
        <f t="shared" si="3628"/>
        <v/>
      </c>
      <c r="DD251" s="43" t="str">
        <f t="shared" si="3629"/>
        <v/>
      </c>
      <c r="DE251" s="43" t="str">
        <f t="shared" si="3630"/>
        <v/>
      </c>
      <c r="DF251" s="43" t="str">
        <f t="shared" si="3631"/>
        <v/>
      </c>
      <c r="DG251" s="43" t="str">
        <f t="shared" si="3632"/>
        <v/>
      </c>
      <c r="DH251" s="43" t="str">
        <f t="shared" si="3633"/>
        <v/>
      </c>
      <c r="DI251" s="43" t="str">
        <f t="shared" si="3634"/>
        <v/>
      </c>
      <c r="DJ251" s="43" t="str">
        <f t="shared" si="3635"/>
        <v/>
      </c>
      <c r="DK251" s="43" t="str">
        <f t="shared" si="3636"/>
        <v/>
      </c>
      <c r="DL251" s="43" t="str">
        <f t="shared" si="3637"/>
        <v/>
      </c>
      <c r="DM251" s="43" t="str">
        <f t="shared" si="3638"/>
        <v/>
      </c>
      <c r="DN251" s="43" t="str">
        <f t="shared" si="3639"/>
        <v/>
      </c>
      <c r="DO251" s="43" t="str">
        <f t="shared" si="3640"/>
        <v/>
      </c>
      <c r="DP251" s="43" t="str">
        <f t="shared" si="3641"/>
        <v/>
      </c>
      <c r="DQ251" s="43" t="str">
        <f t="shared" si="3642"/>
        <v/>
      </c>
      <c r="DR251" s="43" t="str">
        <f t="shared" si="3643"/>
        <v/>
      </c>
      <c r="DS251" s="43" t="str">
        <f t="shared" si="3644"/>
        <v/>
      </c>
      <c r="DT251" s="43" t="str">
        <f t="shared" si="3645"/>
        <v/>
      </c>
      <c r="DU251" s="43" t="str">
        <f t="shared" si="3646"/>
        <v/>
      </c>
      <c r="DV251" s="43" t="str">
        <f t="shared" si="3647"/>
        <v/>
      </c>
      <c r="DW251" s="43" t="str">
        <f t="shared" si="3648"/>
        <v/>
      </c>
      <c r="DX251" s="43" t="str">
        <f t="shared" si="3649"/>
        <v/>
      </c>
      <c r="DY251" s="43" t="str">
        <f t="shared" si="3650"/>
        <v/>
      </c>
      <c r="DZ251" s="43" t="str">
        <f t="shared" si="3651"/>
        <v/>
      </c>
      <c r="EA251" s="43" t="str">
        <f t="shared" si="3652"/>
        <v/>
      </c>
      <c r="EB251" s="43" t="str">
        <f t="shared" si="3653"/>
        <v/>
      </c>
      <c r="EC251" s="43" t="str">
        <f t="shared" si="3654"/>
        <v/>
      </c>
      <c r="ED251" s="43" t="str">
        <f t="shared" si="3655"/>
        <v/>
      </c>
      <c r="EE251" s="43" t="str">
        <f t="shared" si="3656"/>
        <v/>
      </c>
      <c r="EF251" s="43" t="str">
        <f t="shared" si="3657"/>
        <v/>
      </c>
      <c r="EG251" s="43" t="str">
        <f t="shared" si="3658"/>
        <v/>
      </c>
      <c r="EH251" s="43" t="str">
        <f t="shared" si="3659"/>
        <v/>
      </c>
      <c r="EI251" s="43" t="str">
        <f t="shared" si="3660"/>
        <v/>
      </c>
      <c r="EJ251" s="43" t="str">
        <f t="shared" si="3661"/>
        <v/>
      </c>
      <c r="EK251" s="43" t="str">
        <f t="shared" si="3662"/>
        <v/>
      </c>
      <c r="EL251" s="43" t="str">
        <f t="shared" si="3663"/>
        <v/>
      </c>
      <c r="EM251" s="43" t="str">
        <f t="shared" si="3664"/>
        <v/>
      </c>
      <c r="EN251" s="43" t="str">
        <f t="shared" si="3665"/>
        <v/>
      </c>
      <c r="EO251" s="43" t="str">
        <f t="shared" si="3666"/>
        <v/>
      </c>
      <c r="EP251" s="43" t="str">
        <f t="shared" si="3667"/>
        <v/>
      </c>
      <c r="EQ251" s="43" t="str">
        <f t="shared" si="3668"/>
        <v/>
      </c>
      <c r="ER251" s="43" t="str">
        <f t="shared" si="3669"/>
        <v/>
      </c>
      <c r="ES251" s="43" t="str">
        <f t="shared" si="3670"/>
        <v/>
      </c>
      <c r="ET251" s="43" t="str">
        <f t="shared" si="3671"/>
        <v/>
      </c>
      <c r="EU251" s="43" t="str">
        <f t="shared" si="3672"/>
        <v/>
      </c>
      <c r="EV251" s="43" t="str">
        <f t="shared" si="3673"/>
        <v/>
      </c>
      <c r="EW251" s="43" t="str">
        <f t="shared" si="3674"/>
        <v/>
      </c>
      <c r="EX251" s="43" t="str">
        <f t="shared" si="3675"/>
        <v/>
      </c>
      <c r="EY251" s="43" t="str">
        <f t="shared" si="3676"/>
        <v/>
      </c>
      <c r="EZ251" s="43" t="str">
        <f t="shared" si="3677"/>
        <v/>
      </c>
      <c r="FA251" s="43" t="str">
        <f t="shared" si="3678"/>
        <v/>
      </c>
      <c r="FB251" s="43" t="str">
        <f t="shared" si="3679"/>
        <v/>
      </c>
      <c r="FC251" s="43" t="str">
        <f t="shared" si="3680"/>
        <v/>
      </c>
      <c r="FD251" s="43" t="str">
        <f t="shared" si="3681"/>
        <v/>
      </c>
      <c r="FE251" s="43" t="str">
        <f t="shared" si="3682"/>
        <v/>
      </c>
      <c r="FF251" s="43" t="str">
        <f t="shared" si="3683"/>
        <v/>
      </c>
      <c r="FG251" s="43" t="str">
        <f t="shared" si="3684"/>
        <v/>
      </c>
      <c r="FH251" s="43" t="str">
        <f t="shared" si="3685"/>
        <v/>
      </c>
      <c r="FI251" s="43" t="str">
        <f t="shared" si="3686"/>
        <v/>
      </c>
      <c r="FJ251" s="43" t="str">
        <f t="shared" si="3687"/>
        <v/>
      </c>
      <c r="FK251" s="43" t="str">
        <f t="shared" si="3688"/>
        <v/>
      </c>
      <c r="FL251" s="43" t="str">
        <f t="shared" si="3689"/>
        <v/>
      </c>
      <c r="FM251" s="43" t="str">
        <f t="shared" si="3690"/>
        <v/>
      </c>
      <c r="FN251" s="43" t="str">
        <f t="shared" si="3691"/>
        <v/>
      </c>
      <c r="FO251" s="43" t="str">
        <f t="shared" si="3692"/>
        <v/>
      </c>
      <c r="FP251" s="43" t="str">
        <f t="shared" si="3693"/>
        <v/>
      </c>
      <c r="FQ251" s="43" t="str">
        <f t="shared" si="3694"/>
        <v/>
      </c>
      <c r="FR251" s="43" t="str">
        <f t="shared" si="3695"/>
        <v/>
      </c>
      <c r="FS251" s="43" t="str">
        <f t="shared" si="3696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697"/>
        <v>InitUnitState('',,,,,,,,,,)</v>
      </c>
      <c r="CO252" s="65" t="str">
        <f t="shared" si="3698"/>
        <v>InitUnitNormal('',,,,,,,,,,)</v>
      </c>
      <c r="CP252" s="65" t="str">
        <f t="shared" si="3699"/>
        <v>InitUnitMagic('',,,,,,,,,,)</v>
      </c>
      <c r="CQ252" s="65" t="str">
        <f t="shared" si="3700"/>
        <v>InitUnitAdd('',,,,,,,,,,)</v>
      </c>
      <c r="CR252" s="65" t="str">
        <f t="shared" si="3554"/>
        <v>InitEquipData('',,"",,,,,'','','','','','',"")</v>
      </c>
      <c r="CS252" s="65"/>
      <c r="CT252" s="65"/>
      <c r="CU252" s="67" t="str">
        <f t="shared" si="3626"/>
        <v>|n</v>
      </c>
      <c r="CV252" s="5"/>
      <c r="DB252" s="43" t="str">
        <f t="shared" si="3627"/>
        <v/>
      </c>
      <c r="DC252" s="43" t="str">
        <f t="shared" si="3628"/>
        <v/>
      </c>
      <c r="DD252" s="43" t="str">
        <f t="shared" si="3629"/>
        <v/>
      </c>
      <c r="DE252" s="43" t="str">
        <f t="shared" si="3630"/>
        <v/>
      </c>
      <c r="DF252" s="43" t="str">
        <f t="shared" si="3631"/>
        <v/>
      </c>
      <c r="DG252" s="43" t="str">
        <f t="shared" si="3632"/>
        <v/>
      </c>
      <c r="DH252" s="43" t="str">
        <f t="shared" si="3633"/>
        <v/>
      </c>
      <c r="DI252" s="43" t="str">
        <f t="shared" si="3634"/>
        <v/>
      </c>
      <c r="DJ252" s="43" t="str">
        <f t="shared" si="3635"/>
        <v/>
      </c>
      <c r="DK252" s="43" t="str">
        <f t="shared" si="3636"/>
        <v/>
      </c>
      <c r="DL252" s="43" t="str">
        <f t="shared" si="3637"/>
        <v/>
      </c>
      <c r="DM252" s="43" t="str">
        <f t="shared" si="3638"/>
        <v/>
      </c>
      <c r="DN252" s="43" t="str">
        <f t="shared" si="3639"/>
        <v/>
      </c>
      <c r="DO252" s="43" t="str">
        <f t="shared" si="3640"/>
        <v/>
      </c>
      <c r="DP252" s="43" t="str">
        <f t="shared" si="3641"/>
        <v/>
      </c>
      <c r="DQ252" s="43" t="str">
        <f t="shared" si="3642"/>
        <v/>
      </c>
      <c r="DR252" s="43" t="str">
        <f t="shared" si="3643"/>
        <v/>
      </c>
      <c r="DS252" s="43" t="str">
        <f t="shared" si="3644"/>
        <v/>
      </c>
      <c r="DT252" s="43" t="str">
        <f t="shared" si="3645"/>
        <v/>
      </c>
      <c r="DU252" s="43" t="str">
        <f t="shared" si="3646"/>
        <v/>
      </c>
      <c r="DV252" s="43" t="str">
        <f t="shared" si="3647"/>
        <v/>
      </c>
      <c r="DW252" s="43" t="str">
        <f t="shared" si="3648"/>
        <v/>
      </c>
      <c r="DX252" s="43" t="str">
        <f t="shared" si="3649"/>
        <v/>
      </c>
      <c r="DY252" s="43" t="str">
        <f t="shared" si="3650"/>
        <v/>
      </c>
      <c r="DZ252" s="43" t="str">
        <f t="shared" si="3651"/>
        <v/>
      </c>
      <c r="EA252" s="43" t="str">
        <f t="shared" si="3652"/>
        <v/>
      </c>
      <c r="EB252" s="43" t="str">
        <f t="shared" si="3653"/>
        <v/>
      </c>
      <c r="EC252" s="43" t="str">
        <f t="shared" si="3654"/>
        <v/>
      </c>
      <c r="ED252" s="43" t="str">
        <f t="shared" si="3655"/>
        <v/>
      </c>
      <c r="EE252" s="43" t="str">
        <f t="shared" si="3656"/>
        <v/>
      </c>
      <c r="EF252" s="43" t="str">
        <f t="shared" si="3657"/>
        <v/>
      </c>
      <c r="EG252" s="43" t="str">
        <f t="shared" si="3658"/>
        <v/>
      </c>
      <c r="EH252" s="43" t="str">
        <f t="shared" si="3659"/>
        <v/>
      </c>
      <c r="EI252" s="43" t="str">
        <f t="shared" si="3660"/>
        <v/>
      </c>
      <c r="EJ252" s="43" t="str">
        <f t="shared" si="3661"/>
        <v/>
      </c>
      <c r="EK252" s="43" t="str">
        <f t="shared" si="3662"/>
        <v/>
      </c>
      <c r="EL252" s="43" t="str">
        <f t="shared" si="3663"/>
        <v/>
      </c>
      <c r="EM252" s="43" t="str">
        <f t="shared" si="3664"/>
        <v/>
      </c>
      <c r="EN252" s="43" t="str">
        <f t="shared" si="3665"/>
        <v/>
      </c>
      <c r="EO252" s="43" t="str">
        <f t="shared" si="3666"/>
        <v/>
      </c>
      <c r="EP252" s="43" t="str">
        <f t="shared" si="3667"/>
        <v/>
      </c>
      <c r="EQ252" s="43" t="str">
        <f t="shared" si="3668"/>
        <v/>
      </c>
      <c r="ER252" s="43" t="str">
        <f t="shared" si="3669"/>
        <v/>
      </c>
      <c r="ES252" s="43" t="str">
        <f t="shared" si="3670"/>
        <v/>
      </c>
      <c r="ET252" s="43" t="str">
        <f t="shared" si="3671"/>
        <v/>
      </c>
      <c r="EU252" s="43" t="str">
        <f t="shared" si="3672"/>
        <v/>
      </c>
      <c r="EV252" s="43" t="str">
        <f t="shared" si="3673"/>
        <v/>
      </c>
      <c r="EW252" s="43" t="str">
        <f t="shared" si="3674"/>
        <v/>
      </c>
      <c r="EX252" s="43" t="str">
        <f t="shared" si="3675"/>
        <v/>
      </c>
      <c r="EY252" s="43" t="str">
        <f t="shared" si="3676"/>
        <v/>
      </c>
      <c r="EZ252" s="43" t="str">
        <f t="shared" si="3677"/>
        <v/>
      </c>
      <c r="FA252" s="43" t="str">
        <f t="shared" si="3678"/>
        <v/>
      </c>
      <c r="FB252" s="43" t="str">
        <f t="shared" si="3679"/>
        <v/>
      </c>
      <c r="FC252" s="43" t="str">
        <f t="shared" si="3680"/>
        <v/>
      </c>
      <c r="FD252" s="43" t="str">
        <f t="shared" si="3681"/>
        <v/>
      </c>
      <c r="FE252" s="43" t="str">
        <f t="shared" si="3682"/>
        <v/>
      </c>
      <c r="FF252" s="43" t="str">
        <f t="shared" si="3683"/>
        <v/>
      </c>
      <c r="FG252" s="43" t="str">
        <f t="shared" si="3684"/>
        <v/>
      </c>
      <c r="FH252" s="43" t="str">
        <f t="shared" si="3685"/>
        <v/>
      </c>
      <c r="FI252" s="43" t="str">
        <f t="shared" si="3686"/>
        <v/>
      </c>
      <c r="FJ252" s="43" t="str">
        <f t="shared" si="3687"/>
        <v/>
      </c>
      <c r="FK252" s="43" t="str">
        <f t="shared" si="3688"/>
        <v/>
      </c>
      <c r="FL252" s="43" t="str">
        <f t="shared" si="3689"/>
        <v/>
      </c>
      <c r="FM252" s="43" t="str">
        <f t="shared" si="3690"/>
        <v/>
      </c>
      <c r="FN252" s="43" t="str">
        <f t="shared" si="3691"/>
        <v/>
      </c>
      <c r="FO252" s="43" t="str">
        <f t="shared" si="3692"/>
        <v/>
      </c>
      <c r="FP252" s="43" t="str">
        <f t="shared" si="3693"/>
        <v/>
      </c>
      <c r="FQ252" s="43" t="str">
        <f t="shared" si="3694"/>
        <v/>
      </c>
      <c r="FR252" s="43" t="str">
        <f t="shared" si="3695"/>
        <v/>
      </c>
      <c r="FS252" s="43" t="str">
        <f t="shared" si="3696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697"/>
        <v>InitUnitState('',,,,,,,,,,)</v>
      </c>
      <c r="CO253" s="65" t="str">
        <f t="shared" si="3698"/>
        <v>InitUnitNormal('',,,,,,,,,,)</v>
      </c>
      <c r="CP253" s="65" t="str">
        <f t="shared" si="3699"/>
        <v>InitUnitMagic('',,,,,,,,,,)</v>
      </c>
      <c r="CQ253" s="65" t="str">
        <f t="shared" si="3700"/>
        <v>InitUnitAdd('',,,,,,,,,,)</v>
      </c>
      <c r="CR253" s="65" t="str">
        <f t="shared" si="3554"/>
        <v>InitEquipData('',,"",,,,,'','','','','','',"")</v>
      </c>
      <c r="CS253" s="65"/>
      <c r="CT253" s="65"/>
      <c r="CU253" s="67" t="str">
        <f t="shared" si="3626"/>
        <v>|n</v>
      </c>
      <c r="CV253" s="5"/>
      <c r="DB253" s="43" t="str">
        <f t="shared" si="3627"/>
        <v/>
      </c>
      <c r="DC253" s="43" t="str">
        <f t="shared" si="3628"/>
        <v/>
      </c>
      <c r="DD253" s="43" t="str">
        <f t="shared" si="3629"/>
        <v/>
      </c>
      <c r="DE253" s="43" t="str">
        <f t="shared" si="3630"/>
        <v/>
      </c>
      <c r="DF253" s="43" t="str">
        <f t="shared" si="3631"/>
        <v/>
      </c>
      <c r="DG253" s="43" t="str">
        <f t="shared" si="3632"/>
        <v/>
      </c>
      <c r="DH253" s="43" t="str">
        <f t="shared" si="3633"/>
        <v/>
      </c>
      <c r="DI253" s="43" t="str">
        <f t="shared" si="3634"/>
        <v/>
      </c>
      <c r="DJ253" s="43" t="str">
        <f t="shared" si="3635"/>
        <v/>
      </c>
      <c r="DK253" s="43" t="str">
        <f t="shared" si="3636"/>
        <v/>
      </c>
      <c r="DL253" s="43" t="str">
        <f t="shared" si="3637"/>
        <v/>
      </c>
      <c r="DM253" s="43" t="str">
        <f t="shared" si="3638"/>
        <v/>
      </c>
      <c r="DN253" s="43" t="str">
        <f t="shared" si="3639"/>
        <v/>
      </c>
      <c r="DO253" s="43" t="str">
        <f t="shared" si="3640"/>
        <v/>
      </c>
      <c r="DP253" s="43" t="str">
        <f t="shared" si="3641"/>
        <v/>
      </c>
      <c r="DQ253" s="43" t="str">
        <f t="shared" si="3642"/>
        <v/>
      </c>
      <c r="DR253" s="43" t="str">
        <f t="shared" si="3643"/>
        <v/>
      </c>
      <c r="DS253" s="43" t="str">
        <f t="shared" si="3644"/>
        <v/>
      </c>
      <c r="DT253" s="43" t="str">
        <f t="shared" si="3645"/>
        <v/>
      </c>
      <c r="DU253" s="43" t="str">
        <f t="shared" si="3646"/>
        <v/>
      </c>
      <c r="DV253" s="43" t="str">
        <f t="shared" si="3647"/>
        <v/>
      </c>
      <c r="DW253" s="43" t="str">
        <f t="shared" si="3648"/>
        <v/>
      </c>
      <c r="DX253" s="43" t="str">
        <f t="shared" si="3649"/>
        <v/>
      </c>
      <c r="DY253" s="43" t="str">
        <f t="shared" si="3650"/>
        <v/>
      </c>
      <c r="DZ253" s="43" t="str">
        <f t="shared" si="3651"/>
        <v/>
      </c>
      <c r="EA253" s="43" t="str">
        <f t="shared" si="3652"/>
        <v/>
      </c>
      <c r="EB253" s="43" t="str">
        <f t="shared" si="3653"/>
        <v/>
      </c>
      <c r="EC253" s="43" t="str">
        <f t="shared" si="3654"/>
        <v/>
      </c>
      <c r="ED253" s="43" t="str">
        <f t="shared" si="3655"/>
        <v/>
      </c>
      <c r="EE253" s="43" t="str">
        <f t="shared" si="3656"/>
        <v/>
      </c>
      <c r="EF253" s="43" t="str">
        <f t="shared" si="3657"/>
        <v/>
      </c>
      <c r="EG253" s="43" t="str">
        <f t="shared" si="3658"/>
        <v/>
      </c>
      <c r="EH253" s="43" t="str">
        <f t="shared" si="3659"/>
        <v/>
      </c>
      <c r="EI253" s="43" t="str">
        <f t="shared" si="3660"/>
        <v/>
      </c>
      <c r="EJ253" s="43" t="str">
        <f t="shared" si="3661"/>
        <v/>
      </c>
      <c r="EK253" s="43" t="str">
        <f t="shared" si="3662"/>
        <v/>
      </c>
      <c r="EL253" s="43" t="str">
        <f t="shared" si="3663"/>
        <v/>
      </c>
      <c r="EM253" s="43" t="str">
        <f t="shared" si="3664"/>
        <v/>
      </c>
      <c r="EN253" s="43" t="str">
        <f t="shared" si="3665"/>
        <v/>
      </c>
      <c r="EO253" s="43" t="str">
        <f t="shared" si="3666"/>
        <v/>
      </c>
      <c r="EP253" s="43" t="str">
        <f t="shared" si="3667"/>
        <v/>
      </c>
      <c r="EQ253" s="43" t="str">
        <f t="shared" si="3668"/>
        <v/>
      </c>
      <c r="ER253" s="43" t="str">
        <f t="shared" si="3669"/>
        <v/>
      </c>
      <c r="ES253" s="43" t="str">
        <f t="shared" si="3670"/>
        <v/>
      </c>
      <c r="ET253" s="43" t="str">
        <f t="shared" si="3671"/>
        <v/>
      </c>
      <c r="EU253" s="43" t="str">
        <f t="shared" si="3672"/>
        <v/>
      </c>
      <c r="EV253" s="43" t="str">
        <f t="shared" si="3673"/>
        <v/>
      </c>
      <c r="EW253" s="43" t="str">
        <f t="shared" si="3674"/>
        <v/>
      </c>
      <c r="EX253" s="43" t="str">
        <f t="shared" si="3675"/>
        <v/>
      </c>
      <c r="EY253" s="43" t="str">
        <f t="shared" si="3676"/>
        <v/>
      </c>
      <c r="EZ253" s="43" t="str">
        <f t="shared" si="3677"/>
        <v/>
      </c>
      <c r="FA253" s="43" t="str">
        <f t="shared" si="3678"/>
        <v/>
      </c>
      <c r="FB253" s="43" t="str">
        <f t="shared" si="3679"/>
        <v/>
      </c>
      <c r="FC253" s="43" t="str">
        <f t="shared" si="3680"/>
        <v/>
      </c>
      <c r="FD253" s="43" t="str">
        <f t="shared" si="3681"/>
        <v/>
      </c>
      <c r="FE253" s="43" t="str">
        <f t="shared" si="3682"/>
        <v/>
      </c>
      <c r="FF253" s="43" t="str">
        <f t="shared" si="3683"/>
        <v/>
      </c>
      <c r="FG253" s="43" t="str">
        <f t="shared" si="3684"/>
        <v/>
      </c>
      <c r="FH253" s="43" t="str">
        <f t="shared" si="3685"/>
        <v/>
      </c>
      <c r="FI253" s="43" t="str">
        <f t="shared" si="3686"/>
        <v/>
      </c>
      <c r="FJ253" s="43" t="str">
        <f t="shared" si="3687"/>
        <v/>
      </c>
      <c r="FK253" s="43" t="str">
        <f t="shared" si="3688"/>
        <v/>
      </c>
      <c r="FL253" s="43" t="str">
        <f t="shared" si="3689"/>
        <v/>
      </c>
      <c r="FM253" s="43" t="str">
        <f t="shared" si="3690"/>
        <v/>
      </c>
      <c r="FN253" s="43" t="str">
        <f t="shared" si="3691"/>
        <v/>
      </c>
      <c r="FO253" s="43" t="str">
        <f t="shared" si="3692"/>
        <v/>
      </c>
      <c r="FP253" s="43" t="str">
        <f t="shared" si="3693"/>
        <v/>
      </c>
      <c r="FQ253" s="43" t="str">
        <f t="shared" si="3694"/>
        <v/>
      </c>
      <c r="FR253" s="43" t="str">
        <f t="shared" si="3695"/>
        <v/>
      </c>
      <c r="FS253" s="43" t="str">
        <f t="shared" si="3696"/>
        <v/>
      </c>
    </row>
    <row r="254" spans="1:175" s="6" customFormat="1" ht="16.5">
      <c r="A254" s="96"/>
      <c r="B254" s="44"/>
      <c r="C254" s="96"/>
      <c r="D254" s="45"/>
      <c r="E254" s="46"/>
      <c r="F254" s="97"/>
      <c r="G254" s="98"/>
      <c r="H254" s="98"/>
      <c r="I254" s="98"/>
      <c r="J254" s="98"/>
      <c r="K254" s="98"/>
      <c r="L254" s="98"/>
      <c r="M254" s="98"/>
      <c r="N254" s="98"/>
      <c r="O254" s="98"/>
      <c r="P254" s="51"/>
      <c r="Q254" s="51"/>
      <c r="R254" s="51"/>
      <c r="S254" s="51"/>
      <c r="T254" s="58"/>
      <c r="U254" s="55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62"/>
      <c r="AS254" s="62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65" t="str">
        <f t="shared" si="3697"/>
        <v>InitUnitState('',,,,,,,,,,)</v>
      </c>
      <c r="CO254" s="65" t="str">
        <f t="shared" si="3698"/>
        <v>InitUnitNormal('',,,,,,,,,,)</v>
      </c>
      <c r="CP254" s="65" t="str">
        <f t="shared" si="3699"/>
        <v>InitUnitMagic('',,,,,,,,,,)</v>
      </c>
      <c r="CQ254" s="65" t="str">
        <f t="shared" si="3700"/>
        <v>InitUnitAdd('',,,,,,,,,,)</v>
      </c>
      <c r="CR254" s="65" t="str">
        <f t="shared" si="3554"/>
        <v>InitEquipData('',,"",,,,,'','','','','','',"")</v>
      </c>
      <c r="CS254" s="65"/>
      <c r="CT254" s="65"/>
      <c r="CU254" s="67" t="str">
        <f t="shared" si="3626"/>
        <v>|n</v>
      </c>
      <c r="CV254" s="5"/>
      <c r="DB254" s="43" t="str">
        <f t="shared" si="3627"/>
        <v/>
      </c>
      <c r="DC254" s="43" t="str">
        <f t="shared" si="3628"/>
        <v/>
      </c>
      <c r="DD254" s="43" t="str">
        <f t="shared" si="3629"/>
        <v/>
      </c>
      <c r="DE254" s="43" t="str">
        <f t="shared" si="3630"/>
        <v/>
      </c>
      <c r="DF254" s="43" t="str">
        <f t="shared" si="3631"/>
        <v/>
      </c>
      <c r="DG254" s="43" t="str">
        <f t="shared" si="3632"/>
        <v/>
      </c>
      <c r="DH254" s="43" t="str">
        <f t="shared" si="3633"/>
        <v/>
      </c>
      <c r="DI254" s="43" t="str">
        <f t="shared" si="3634"/>
        <v/>
      </c>
      <c r="DJ254" s="43" t="str">
        <f t="shared" si="3635"/>
        <v/>
      </c>
      <c r="DK254" s="43" t="str">
        <f t="shared" si="3636"/>
        <v/>
      </c>
      <c r="DL254" s="43" t="str">
        <f t="shared" si="3637"/>
        <v/>
      </c>
      <c r="DM254" s="43" t="str">
        <f t="shared" si="3638"/>
        <v/>
      </c>
      <c r="DN254" s="43" t="str">
        <f t="shared" si="3639"/>
        <v/>
      </c>
      <c r="DO254" s="43" t="str">
        <f t="shared" si="3640"/>
        <v/>
      </c>
      <c r="DP254" s="43" t="str">
        <f t="shared" si="3641"/>
        <v/>
      </c>
      <c r="DQ254" s="43" t="str">
        <f t="shared" si="3642"/>
        <v/>
      </c>
      <c r="DR254" s="43" t="str">
        <f t="shared" si="3643"/>
        <v/>
      </c>
      <c r="DS254" s="43" t="str">
        <f t="shared" si="3644"/>
        <v/>
      </c>
      <c r="DT254" s="43" t="str">
        <f t="shared" si="3645"/>
        <v/>
      </c>
      <c r="DU254" s="43" t="str">
        <f t="shared" si="3646"/>
        <v/>
      </c>
      <c r="DV254" s="43" t="str">
        <f t="shared" si="3647"/>
        <v/>
      </c>
      <c r="DW254" s="43" t="str">
        <f t="shared" si="3648"/>
        <v/>
      </c>
      <c r="DX254" s="43" t="str">
        <f t="shared" si="3649"/>
        <v/>
      </c>
      <c r="DY254" s="43" t="str">
        <f t="shared" si="3650"/>
        <v/>
      </c>
      <c r="DZ254" s="43" t="str">
        <f t="shared" si="3651"/>
        <v/>
      </c>
      <c r="EA254" s="43" t="str">
        <f t="shared" si="3652"/>
        <v/>
      </c>
      <c r="EB254" s="43" t="str">
        <f t="shared" si="3653"/>
        <v/>
      </c>
      <c r="EC254" s="43" t="str">
        <f t="shared" si="3654"/>
        <v/>
      </c>
      <c r="ED254" s="43" t="str">
        <f t="shared" si="3655"/>
        <v/>
      </c>
      <c r="EE254" s="43" t="str">
        <f t="shared" si="3656"/>
        <v/>
      </c>
      <c r="EF254" s="43" t="str">
        <f t="shared" si="3657"/>
        <v/>
      </c>
      <c r="EG254" s="43" t="str">
        <f t="shared" si="3658"/>
        <v/>
      </c>
      <c r="EH254" s="43" t="str">
        <f t="shared" si="3659"/>
        <v/>
      </c>
      <c r="EI254" s="43" t="str">
        <f t="shared" si="3660"/>
        <v/>
      </c>
      <c r="EJ254" s="43" t="str">
        <f t="shared" si="3661"/>
        <v/>
      </c>
      <c r="EK254" s="43" t="str">
        <f t="shared" si="3662"/>
        <v/>
      </c>
      <c r="EL254" s="43" t="str">
        <f t="shared" si="3663"/>
        <v/>
      </c>
      <c r="EM254" s="43" t="str">
        <f t="shared" si="3664"/>
        <v/>
      </c>
      <c r="EN254" s="43" t="str">
        <f t="shared" si="3665"/>
        <v/>
      </c>
      <c r="EO254" s="43" t="str">
        <f t="shared" si="3666"/>
        <v/>
      </c>
      <c r="EP254" s="43" t="str">
        <f t="shared" si="3667"/>
        <v/>
      </c>
      <c r="EQ254" s="43" t="str">
        <f t="shared" si="3668"/>
        <v/>
      </c>
      <c r="ER254" s="43" t="str">
        <f t="shared" si="3669"/>
        <v/>
      </c>
      <c r="ES254" s="43" t="str">
        <f t="shared" si="3670"/>
        <v/>
      </c>
      <c r="ET254" s="43" t="str">
        <f t="shared" si="3671"/>
        <v/>
      </c>
      <c r="EU254" s="43" t="str">
        <f t="shared" si="3672"/>
        <v/>
      </c>
      <c r="EV254" s="43" t="str">
        <f t="shared" si="3673"/>
        <v/>
      </c>
      <c r="EW254" s="43" t="str">
        <f t="shared" si="3674"/>
        <v/>
      </c>
      <c r="EX254" s="43" t="str">
        <f t="shared" si="3675"/>
        <v/>
      </c>
      <c r="EY254" s="43" t="str">
        <f t="shared" si="3676"/>
        <v/>
      </c>
      <c r="EZ254" s="43" t="str">
        <f t="shared" si="3677"/>
        <v/>
      </c>
      <c r="FA254" s="43" t="str">
        <f t="shared" si="3678"/>
        <v/>
      </c>
      <c r="FB254" s="43" t="str">
        <f t="shared" si="3679"/>
        <v/>
      </c>
      <c r="FC254" s="43" t="str">
        <f t="shared" si="3680"/>
        <v/>
      </c>
      <c r="FD254" s="43" t="str">
        <f t="shared" si="3681"/>
        <v/>
      </c>
      <c r="FE254" s="43" t="str">
        <f t="shared" si="3682"/>
        <v/>
      </c>
      <c r="FF254" s="43" t="str">
        <f t="shared" si="3683"/>
        <v/>
      </c>
      <c r="FG254" s="43" t="str">
        <f t="shared" si="3684"/>
        <v/>
      </c>
      <c r="FH254" s="43" t="str">
        <f t="shared" si="3685"/>
        <v/>
      </c>
      <c r="FI254" s="43" t="str">
        <f t="shared" si="3686"/>
        <v/>
      </c>
      <c r="FJ254" s="43" t="str">
        <f t="shared" si="3687"/>
        <v/>
      </c>
      <c r="FK254" s="43" t="str">
        <f t="shared" si="3688"/>
        <v/>
      </c>
      <c r="FL254" s="43" t="str">
        <f t="shared" si="3689"/>
        <v/>
      </c>
      <c r="FM254" s="43" t="str">
        <f t="shared" si="3690"/>
        <v/>
      </c>
      <c r="FN254" s="43" t="str">
        <f t="shared" si="3691"/>
        <v/>
      </c>
      <c r="FO254" s="43" t="str">
        <f t="shared" si="3692"/>
        <v/>
      </c>
      <c r="FP254" s="43" t="str">
        <f t="shared" si="3693"/>
        <v/>
      </c>
      <c r="FQ254" s="43" t="str">
        <f t="shared" si="3694"/>
        <v/>
      </c>
      <c r="FR254" s="43" t="str">
        <f t="shared" si="3695"/>
        <v/>
      </c>
      <c r="FS254" s="43" t="str">
        <f t="shared" si="3696"/>
        <v/>
      </c>
    </row>
    <row r="255" spans="1:175" s="6" customFormat="1" ht="16.5">
      <c r="A255" s="96"/>
      <c r="B255" s="44"/>
      <c r="C255" s="96"/>
      <c r="D255" s="45"/>
      <c r="E255" s="46"/>
      <c r="F255" s="97"/>
      <c r="G255" s="98"/>
      <c r="H255" s="98"/>
      <c r="I255" s="98"/>
      <c r="J255" s="98"/>
      <c r="K255" s="98"/>
      <c r="L255" s="98"/>
      <c r="M255" s="98"/>
      <c r="N255" s="98"/>
      <c r="O255" s="98"/>
      <c r="P255" s="51"/>
      <c r="Q255" s="51"/>
      <c r="R255" s="51"/>
      <c r="S255" s="51"/>
      <c r="T255" s="58"/>
      <c r="U255" s="55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62"/>
      <c r="AS255" s="62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65" t="str">
        <f t="shared" si="3697"/>
        <v>InitUnitState('',,,,,,,,,,)</v>
      </c>
      <c r="CO255" s="65" t="str">
        <f t="shared" si="3698"/>
        <v>InitUnitNormal('',,,,,,,,,,)</v>
      </c>
      <c r="CP255" s="65" t="str">
        <f t="shared" si="3699"/>
        <v>InitUnitMagic('',,,,,,,,,,)</v>
      </c>
      <c r="CQ255" s="65" t="str">
        <f t="shared" si="3700"/>
        <v>InitUnitAdd('',,,,,,,,,,)</v>
      </c>
      <c r="CR255" s="65" t="str">
        <f t="shared" si="3554"/>
        <v>InitEquipData('',,"",,,,,'','','','','','',"")</v>
      </c>
      <c r="CS255" s="65"/>
      <c r="CT255" s="65"/>
      <c r="CU255" s="67" t="str">
        <f t="shared" si="3626"/>
        <v>|n</v>
      </c>
      <c r="CV255" s="5"/>
      <c r="DB255" s="43" t="str">
        <f t="shared" si="3627"/>
        <v/>
      </c>
      <c r="DC255" s="43" t="str">
        <f t="shared" si="3628"/>
        <v/>
      </c>
      <c r="DD255" s="43" t="str">
        <f t="shared" si="3629"/>
        <v/>
      </c>
      <c r="DE255" s="43" t="str">
        <f t="shared" si="3630"/>
        <v/>
      </c>
      <c r="DF255" s="43" t="str">
        <f t="shared" si="3631"/>
        <v/>
      </c>
      <c r="DG255" s="43" t="str">
        <f t="shared" si="3632"/>
        <v/>
      </c>
      <c r="DH255" s="43" t="str">
        <f t="shared" si="3633"/>
        <v/>
      </c>
      <c r="DI255" s="43" t="str">
        <f t="shared" si="3634"/>
        <v/>
      </c>
      <c r="DJ255" s="43" t="str">
        <f t="shared" si="3635"/>
        <v/>
      </c>
      <c r="DK255" s="43" t="str">
        <f t="shared" si="3636"/>
        <v/>
      </c>
      <c r="DL255" s="43" t="str">
        <f t="shared" si="3637"/>
        <v/>
      </c>
      <c r="DM255" s="43" t="str">
        <f t="shared" si="3638"/>
        <v/>
      </c>
      <c r="DN255" s="43" t="str">
        <f t="shared" si="3639"/>
        <v/>
      </c>
      <c r="DO255" s="43" t="str">
        <f t="shared" si="3640"/>
        <v/>
      </c>
      <c r="DP255" s="43" t="str">
        <f t="shared" si="3641"/>
        <v/>
      </c>
      <c r="DQ255" s="43" t="str">
        <f t="shared" si="3642"/>
        <v/>
      </c>
      <c r="DR255" s="43" t="str">
        <f t="shared" si="3643"/>
        <v/>
      </c>
      <c r="DS255" s="43" t="str">
        <f t="shared" si="3644"/>
        <v/>
      </c>
      <c r="DT255" s="43" t="str">
        <f t="shared" si="3645"/>
        <v/>
      </c>
      <c r="DU255" s="43" t="str">
        <f t="shared" si="3646"/>
        <v/>
      </c>
      <c r="DV255" s="43" t="str">
        <f t="shared" si="3647"/>
        <v/>
      </c>
      <c r="DW255" s="43" t="str">
        <f t="shared" si="3648"/>
        <v/>
      </c>
      <c r="DX255" s="43" t="str">
        <f t="shared" si="3649"/>
        <v/>
      </c>
      <c r="DY255" s="43" t="str">
        <f t="shared" si="3650"/>
        <v/>
      </c>
      <c r="DZ255" s="43" t="str">
        <f t="shared" si="3651"/>
        <v/>
      </c>
      <c r="EA255" s="43" t="str">
        <f t="shared" si="3652"/>
        <v/>
      </c>
      <c r="EB255" s="43" t="str">
        <f t="shared" si="3653"/>
        <v/>
      </c>
      <c r="EC255" s="43" t="str">
        <f t="shared" si="3654"/>
        <v/>
      </c>
      <c r="ED255" s="43" t="str">
        <f t="shared" si="3655"/>
        <v/>
      </c>
      <c r="EE255" s="43" t="str">
        <f t="shared" si="3656"/>
        <v/>
      </c>
      <c r="EF255" s="43" t="str">
        <f t="shared" si="3657"/>
        <v/>
      </c>
      <c r="EG255" s="43" t="str">
        <f t="shared" si="3658"/>
        <v/>
      </c>
      <c r="EH255" s="43" t="str">
        <f t="shared" si="3659"/>
        <v/>
      </c>
      <c r="EI255" s="43" t="str">
        <f t="shared" si="3660"/>
        <v/>
      </c>
      <c r="EJ255" s="43" t="str">
        <f t="shared" si="3661"/>
        <v/>
      </c>
      <c r="EK255" s="43" t="str">
        <f t="shared" si="3662"/>
        <v/>
      </c>
      <c r="EL255" s="43" t="str">
        <f t="shared" si="3663"/>
        <v/>
      </c>
      <c r="EM255" s="43" t="str">
        <f t="shared" si="3664"/>
        <v/>
      </c>
      <c r="EN255" s="43" t="str">
        <f t="shared" si="3665"/>
        <v/>
      </c>
      <c r="EO255" s="43" t="str">
        <f t="shared" si="3666"/>
        <v/>
      </c>
      <c r="EP255" s="43" t="str">
        <f t="shared" si="3667"/>
        <v/>
      </c>
      <c r="EQ255" s="43" t="str">
        <f t="shared" si="3668"/>
        <v/>
      </c>
      <c r="ER255" s="43" t="str">
        <f t="shared" si="3669"/>
        <v/>
      </c>
      <c r="ES255" s="43" t="str">
        <f t="shared" si="3670"/>
        <v/>
      </c>
      <c r="ET255" s="43" t="str">
        <f t="shared" si="3671"/>
        <v/>
      </c>
      <c r="EU255" s="43" t="str">
        <f t="shared" si="3672"/>
        <v/>
      </c>
      <c r="EV255" s="43" t="str">
        <f t="shared" si="3673"/>
        <v/>
      </c>
      <c r="EW255" s="43" t="str">
        <f t="shared" si="3674"/>
        <v/>
      </c>
      <c r="EX255" s="43" t="str">
        <f t="shared" si="3675"/>
        <v/>
      </c>
      <c r="EY255" s="43" t="str">
        <f t="shared" si="3676"/>
        <v/>
      </c>
      <c r="EZ255" s="43" t="str">
        <f t="shared" si="3677"/>
        <v/>
      </c>
      <c r="FA255" s="43" t="str">
        <f t="shared" si="3678"/>
        <v/>
      </c>
      <c r="FB255" s="43" t="str">
        <f t="shared" si="3679"/>
        <v/>
      </c>
      <c r="FC255" s="43" t="str">
        <f t="shared" si="3680"/>
        <v/>
      </c>
      <c r="FD255" s="43" t="str">
        <f t="shared" si="3681"/>
        <v/>
      </c>
      <c r="FE255" s="43" t="str">
        <f t="shared" si="3682"/>
        <v/>
      </c>
      <c r="FF255" s="43" t="str">
        <f t="shared" si="3683"/>
        <v/>
      </c>
      <c r="FG255" s="43" t="str">
        <f t="shared" si="3684"/>
        <v/>
      </c>
      <c r="FH255" s="43" t="str">
        <f t="shared" si="3685"/>
        <v/>
      </c>
      <c r="FI255" s="43" t="str">
        <f t="shared" si="3686"/>
        <v/>
      </c>
      <c r="FJ255" s="43" t="str">
        <f t="shared" si="3687"/>
        <v/>
      </c>
      <c r="FK255" s="43" t="str">
        <f t="shared" si="3688"/>
        <v/>
      </c>
      <c r="FL255" s="43" t="str">
        <f t="shared" si="3689"/>
        <v/>
      </c>
      <c r="FM255" s="43" t="str">
        <f t="shared" si="3690"/>
        <v/>
      </c>
      <c r="FN255" s="43" t="str">
        <f t="shared" si="3691"/>
        <v/>
      </c>
      <c r="FO255" s="43" t="str">
        <f t="shared" si="3692"/>
        <v/>
      </c>
      <c r="FP255" s="43" t="str">
        <f t="shared" si="3693"/>
        <v/>
      </c>
      <c r="FQ255" s="43" t="str">
        <f t="shared" si="3694"/>
        <v/>
      </c>
      <c r="FR255" s="43" t="str">
        <f t="shared" si="3695"/>
        <v/>
      </c>
      <c r="FS255" s="43" t="str">
        <f t="shared" si="3696"/>
        <v/>
      </c>
    </row>
    <row r="256" spans="1:175" s="6" customFormat="1" ht="16.5">
      <c r="A256" s="96"/>
      <c r="B256" s="44"/>
      <c r="C256" s="96"/>
      <c r="D256" s="45"/>
      <c r="E256" s="46"/>
      <c r="F256" s="97"/>
      <c r="G256" s="98"/>
      <c r="H256" s="98"/>
      <c r="I256" s="98"/>
      <c r="J256" s="98"/>
      <c r="K256" s="98"/>
      <c r="L256" s="98"/>
      <c r="M256" s="98"/>
      <c r="N256" s="98"/>
      <c r="O256" s="98"/>
      <c r="P256" s="51"/>
      <c r="Q256" s="51"/>
      <c r="R256" s="51"/>
      <c r="S256" s="51"/>
      <c r="T256" s="58"/>
      <c r="U256" s="55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62"/>
      <c r="AS256" s="62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65" t="str">
        <f t="shared" si="3697"/>
        <v>InitUnitState('',,,,,,,,,,)</v>
      </c>
      <c r="CO256" s="65" t="str">
        <f t="shared" si="3698"/>
        <v>InitUnitNormal('',,,,,,,,,,)</v>
      </c>
      <c r="CP256" s="65" t="str">
        <f t="shared" si="3699"/>
        <v>InitUnitMagic('',,,,,,,,,,)</v>
      </c>
      <c r="CQ256" s="65" t="str">
        <f t="shared" si="3700"/>
        <v>InitUnitAdd('',,,,,,,,,,)</v>
      </c>
      <c r="CR256" s="65" t="str">
        <f t="shared" si="3554"/>
        <v>InitEquipData('',,"",,,,,'','','','','','',"")</v>
      </c>
      <c r="CS256" s="65"/>
      <c r="CT256" s="65"/>
      <c r="CU256" s="67" t="str">
        <f t="shared" si="3626"/>
        <v>|n</v>
      </c>
      <c r="CV256" s="5"/>
      <c r="DB256" s="43" t="str">
        <f t="shared" si="3627"/>
        <v/>
      </c>
      <c r="DC256" s="43" t="str">
        <f t="shared" si="3628"/>
        <v/>
      </c>
      <c r="DD256" s="43" t="str">
        <f t="shared" si="3629"/>
        <v/>
      </c>
      <c r="DE256" s="43" t="str">
        <f t="shared" si="3630"/>
        <v/>
      </c>
      <c r="DF256" s="43" t="str">
        <f t="shared" si="3631"/>
        <v/>
      </c>
      <c r="DG256" s="43" t="str">
        <f t="shared" si="3632"/>
        <v/>
      </c>
      <c r="DH256" s="43" t="str">
        <f t="shared" si="3633"/>
        <v/>
      </c>
      <c r="DI256" s="43" t="str">
        <f t="shared" si="3634"/>
        <v/>
      </c>
      <c r="DJ256" s="43" t="str">
        <f t="shared" si="3635"/>
        <v/>
      </c>
      <c r="DK256" s="43" t="str">
        <f t="shared" si="3636"/>
        <v/>
      </c>
      <c r="DL256" s="43" t="str">
        <f t="shared" si="3637"/>
        <v/>
      </c>
      <c r="DM256" s="43" t="str">
        <f t="shared" si="3638"/>
        <v/>
      </c>
      <c r="DN256" s="43" t="str">
        <f t="shared" si="3639"/>
        <v/>
      </c>
      <c r="DO256" s="43" t="str">
        <f t="shared" si="3640"/>
        <v/>
      </c>
      <c r="DP256" s="43" t="str">
        <f t="shared" si="3641"/>
        <v/>
      </c>
      <c r="DQ256" s="43" t="str">
        <f t="shared" si="3642"/>
        <v/>
      </c>
      <c r="DR256" s="43" t="str">
        <f t="shared" si="3643"/>
        <v/>
      </c>
      <c r="DS256" s="43" t="str">
        <f t="shared" si="3644"/>
        <v/>
      </c>
      <c r="DT256" s="43" t="str">
        <f t="shared" si="3645"/>
        <v/>
      </c>
      <c r="DU256" s="43" t="str">
        <f t="shared" si="3646"/>
        <v/>
      </c>
      <c r="DV256" s="43" t="str">
        <f t="shared" si="3647"/>
        <v/>
      </c>
      <c r="DW256" s="43" t="str">
        <f t="shared" si="3648"/>
        <v/>
      </c>
      <c r="DX256" s="43" t="str">
        <f t="shared" si="3649"/>
        <v/>
      </c>
      <c r="DY256" s="43" t="str">
        <f t="shared" si="3650"/>
        <v/>
      </c>
      <c r="DZ256" s="43" t="str">
        <f t="shared" si="3651"/>
        <v/>
      </c>
      <c r="EA256" s="43" t="str">
        <f t="shared" si="3652"/>
        <v/>
      </c>
      <c r="EB256" s="43" t="str">
        <f t="shared" si="3653"/>
        <v/>
      </c>
      <c r="EC256" s="43" t="str">
        <f t="shared" si="3654"/>
        <v/>
      </c>
      <c r="ED256" s="43" t="str">
        <f t="shared" si="3655"/>
        <v/>
      </c>
      <c r="EE256" s="43" t="str">
        <f t="shared" si="3656"/>
        <v/>
      </c>
      <c r="EF256" s="43" t="str">
        <f t="shared" si="3657"/>
        <v/>
      </c>
      <c r="EG256" s="43" t="str">
        <f t="shared" si="3658"/>
        <v/>
      </c>
      <c r="EH256" s="43" t="str">
        <f t="shared" si="3659"/>
        <v/>
      </c>
      <c r="EI256" s="43" t="str">
        <f t="shared" si="3660"/>
        <v/>
      </c>
      <c r="EJ256" s="43" t="str">
        <f t="shared" si="3661"/>
        <v/>
      </c>
      <c r="EK256" s="43" t="str">
        <f t="shared" si="3662"/>
        <v/>
      </c>
      <c r="EL256" s="43" t="str">
        <f t="shared" si="3663"/>
        <v/>
      </c>
      <c r="EM256" s="43" t="str">
        <f t="shared" si="3664"/>
        <v/>
      </c>
      <c r="EN256" s="43" t="str">
        <f t="shared" si="3665"/>
        <v/>
      </c>
      <c r="EO256" s="43" t="str">
        <f t="shared" si="3666"/>
        <v/>
      </c>
      <c r="EP256" s="43" t="str">
        <f t="shared" si="3667"/>
        <v/>
      </c>
      <c r="EQ256" s="43" t="str">
        <f t="shared" si="3668"/>
        <v/>
      </c>
      <c r="ER256" s="43" t="str">
        <f t="shared" si="3669"/>
        <v/>
      </c>
      <c r="ES256" s="43" t="str">
        <f t="shared" si="3670"/>
        <v/>
      </c>
      <c r="ET256" s="43" t="str">
        <f t="shared" si="3671"/>
        <v/>
      </c>
      <c r="EU256" s="43" t="str">
        <f t="shared" si="3672"/>
        <v/>
      </c>
      <c r="EV256" s="43" t="str">
        <f t="shared" si="3673"/>
        <v/>
      </c>
      <c r="EW256" s="43" t="str">
        <f t="shared" si="3674"/>
        <v/>
      </c>
      <c r="EX256" s="43" t="str">
        <f t="shared" si="3675"/>
        <v/>
      </c>
      <c r="EY256" s="43" t="str">
        <f t="shared" si="3676"/>
        <v/>
      </c>
      <c r="EZ256" s="43" t="str">
        <f t="shared" si="3677"/>
        <v/>
      </c>
      <c r="FA256" s="43" t="str">
        <f t="shared" si="3678"/>
        <v/>
      </c>
      <c r="FB256" s="43" t="str">
        <f t="shared" si="3679"/>
        <v/>
      </c>
      <c r="FC256" s="43" t="str">
        <f t="shared" si="3680"/>
        <v/>
      </c>
      <c r="FD256" s="43" t="str">
        <f t="shared" si="3681"/>
        <v/>
      </c>
      <c r="FE256" s="43" t="str">
        <f t="shared" si="3682"/>
        <v/>
      </c>
      <c r="FF256" s="43" t="str">
        <f t="shared" si="3683"/>
        <v/>
      </c>
      <c r="FG256" s="43" t="str">
        <f t="shared" si="3684"/>
        <v/>
      </c>
      <c r="FH256" s="43" t="str">
        <f t="shared" si="3685"/>
        <v/>
      </c>
      <c r="FI256" s="43" t="str">
        <f t="shared" si="3686"/>
        <v/>
      </c>
      <c r="FJ256" s="43" t="str">
        <f t="shared" si="3687"/>
        <v/>
      </c>
      <c r="FK256" s="43" t="str">
        <f t="shared" si="3688"/>
        <v/>
      </c>
      <c r="FL256" s="43" t="str">
        <f t="shared" si="3689"/>
        <v/>
      </c>
      <c r="FM256" s="43" t="str">
        <f t="shared" si="3690"/>
        <v/>
      </c>
      <c r="FN256" s="43" t="str">
        <f t="shared" si="3691"/>
        <v/>
      </c>
      <c r="FO256" s="43" t="str">
        <f t="shared" si="3692"/>
        <v/>
      </c>
      <c r="FP256" s="43" t="str">
        <f t="shared" si="3693"/>
        <v/>
      </c>
      <c r="FQ256" s="43" t="str">
        <f t="shared" si="3694"/>
        <v/>
      </c>
      <c r="FR256" s="43" t="str">
        <f t="shared" si="3695"/>
        <v/>
      </c>
      <c r="FS256" s="43" t="str">
        <f t="shared" si="3696"/>
        <v/>
      </c>
    </row>
    <row r="257" spans="1:175" s="6" customFormat="1" ht="16.5">
      <c r="A257" s="96"/>
      <c r="B257" s="44"/>
      <c r="C257" s="96"/>
      <c r="D257" s="45"/>
      <c r="E257" s="46"/>
      <c r="F257" s="97"/>
      <c r="G257" s="98"/>
      <c r="H257" s="98"/>
      <c r="I257" s="98"/>
      <c r="J257" s="98"/>
      <c r="K257" s="98"/>
      <c r="L257" s="98"/>
      <c r="M257" s="98"/>
      <c r="N257" s="98"/>
      <c r="O257" s="98"/>
      <c r="P257" s="51"/>
      <c r="Q257" s="51"/>
      <c r="R257" s="51"/>
      <c r="S257" s="51"/>
      <c r="T257" s="58"/>
      <c r="U257" s="55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62"/>
      <c r="AS257" s="62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  <c r="CE257" s="56"/>
      <c r="CF257" s="56"/>
      <c r="CG257" s="56"/>
      <c r="CH257" s="56"/>
      <c r="CI257" s="56"/>
      <c r="CJ257" s="56"/>
      <c r="CK257" s="56"/>
      <c r="CL257" s="56"/>
      <c r="CM257" s="56"/>
      <c r="CN257" s="65" t="str">
        <f t="shared" si="3697"/>
        <v>InitUnitState('',,,,,,,,,,)</v>
      </c>
      <c r="CO257" s="65" t="str">
        <f t="shared" si="3698"/>
        <v>InitUnitNormal('',,,,,,,,,,)</v>
      </c>
      <c r="CP257" s="65" t="str">
        <f t="shared" si="3699"/>
        <v>InitUnitMagic('',,,,,,,,,,)</v>
      </c>
      <c r="CQ257" s="65" t="str">
        <f t="shared" si="3700"/>
        <v>InitUnitAdd('',,,,,,,,,,)</v>
      </c>
      <c r="CR257" s="65" t="str">
        <f t="shared" si="3554"/>
        <v>InitEquipData('',,"",,,,,'','','','','','',"")</v>
      </c>
      <c r="CS257" s="65"/>
      <c r="CT257" s="65"/>
      <c r="CU257" s="67" t="str">
        <f t="shared" si="3626"/>
        <v>|n</v>
      </c>
      <c r="CV257" s="5"/>
      <c r="DB257" s="43" t="str">
        <f t="shared" si="3627"/>
        <v/>
      </c>
      <c r="DC257" s="43" t="str">
        <f t="shared" si="3628"/>
        <v/>
      </c>
      <c r="DD257" s="43" t="str">
        <f t="shared" si="3629"/>
        <v/>
      </c>
      <c r="DE257" s="43" t="str">
        <f t="shared" si="3630"/>
        <v/>
      </c>
      <c r="DF257" s="43" t="str">
        <f t="shared" si="3631"/>
        <v/>
      </c>
      <c r="DG257" s="43" t="str">
        <f t="shared" si="3632"/>
        <v/>
      </c>
      <c r="DH257" s="43" t="str">
        <f t="shared" si="3633"/>
        <v/>
      </c>
      <c r="DI257" s="43" t="str">
        <f t="shared" si="3634"/>
        <v/>
      </c>
      <c r="DJ257" s="43" t="str">
        <f t="shared" si="3635"/>
        <v/>
      </c>
      <c r="DK257" s="43" t="str">
        <f t="shared" si="3636"/>
        <v/>
      </c>
      <c r="DL257" s="43" t="str">
        <f t="shared" si="3637"/>
        <v/>
      </c>
      <c r="DM257" s="43" t="str">
        <f t="shared" si="3638"/>
        <v/>
      </c>
      <c r="DN257" s="43" t="str">
        <f t="shared" si="3639"/>
        <v/>
      </c>
      <c r="DO257" s="43" t="str">
        <f t="shared" si="3640"/>
        <v/>
      </c>
      <c r="DP257" s="43" t="str">
        <f t="shared" si="3641"/>
        <v/>
      </c>
      <c r="DQ257" s="43" t="str">
        <f t="shared" si="3642"/>
        <v/>
      </c>
      <c r="DR257" s="43" t="str">
        <f t="shared" si="3643"/>
        <v/>
      </c>
      <c r="DS257" s="43" t="str">
        <f t="shared" si="3644"/>
        <v/>
      </c>
      <c r="DT257" s="43" t="str">
        <f t="shared" si="3645"/>
        <v/>
      </c>
      <c r="DU257" s="43" t="str">
        <f t="shared" si="3646"/>
        <v/>
      </c>
      <c r="DV257" s="43" t="str">
        <f t="shared" si="3647"/>
        <v/>
      </c>
      <c r="DW257" s="43" t="str">
        <f t="shared" si="3648"/>
        <v/>
      </c>
      <c r="DX257" s="43" t="str">
        <f t="shared" si="3649"/>
        <v/>
      </c>
      <c r="DY257" s="43" t="str">
        <f t="shared" si="3650"/>
        <v/>
      </c>
      <c r="DZ257" s="43" t="str">
        <f t="shared" si="3651"/>
        <v/>
      </c>
      <c r="EA257" s="43" t="str">
        <f t="shared" si="3652"/>
        <v/>
      </c>
      <c r="EB257" s="43" t="str">
        <f t="shared" si="3653"/>
        <v/>
      </c>
      <c r="EC257" s="43" t="str">
        <f t="shared" si="3654"/>
        <v/>
      </c>
      <c r="ED257" s="43" t="str">
        <f t="shared" si="3655"/>
        <v/>
      </c>
      <c r="EE257" s="43" t="str">
        <f t="shared" si="3656"/>
        <v/>
      </c>
      <c r="EF257" s="43" t="str">
        <f t="shared" si="3657"/>
        <v/>
      </c>
      <c r="EG257" s="43" t="str">
        <f t="shared" si="3658"/>
        <v/>
      </c>
      <c r="EH257" s="43" t="str">
        <f t="shared" si="3659"/>
        <v/>
      </c>
      <c r="EI257" s="43" t="str">
        <f t="shared" si="3660"/>
        <v/>
      </c>
      <c r="EJ257" s="43" t="str">
        <f t="shared" si="3661"/>
        <v/>
      </c>
      <c r="EK257" s="43" t="str">
        <f t="shared" si="3662"/>
        <v/>
      </c>
      <c r="EL257" s="43" t="str">
        <f t="shared" si="3663"/>
        <v/>
      </c>
      <c r="EM257" s="43" t="str">
        <f t="shared" si="3664"/>
        <v/>
      </c>
      <c r="EN257" s="43" t="str">
        <f t="shared" si="3665"/>
        <v/>
      </c>
      <c r="EO257" s="43" t="str">
        <f t="shared" si="3666"/>
        <v/>
      </c>
      <c r="EP257" s="43" t="str">
        <f t="shared" si="3667"/>
        <v/>
      </c>
      <c r="EQ257" s="43" t="str">
        <f t="shared" si="3668"/>
        <v/>
      </c>
      <c r="ER257" s="43" t="str">
        <f t="shared" si="3669"/>
        <v/>
      </c>
      <c r="ES257" s="43" t="str">
        <f t="shared" si="3670"/>
        <v/>
      </c>
      <c r="ET257" s="43" t="str">
        <f t="shared" si="3671"/>
        <v/>
      </c>
      <c r="EU257" s="43" t="str">
        <f t="shared" si="3672"/>
        <v/>
      </c>
      <c r="EV257" s="43" t="str">
        <f t="shared" si="3673"/>
        <v/>
      </c>
      <c r="EW257" s="43" t="str">
        <f t="shared" si="3674"/>
        <v/>
      </c>
      <c r="EX257" s="43" t="str">
        <f t="shared" si="3675"/>
        <v/>
      </c>
      <c r="EY257" s="43" t="str">
        <f t="shared" si="3676"/>
        <v/>
      </c>
      <c r="EZ257" s="43" t="str">
        <f t="shared" si="3677"/>
        <v/>
      </c>
      <c r="FA257" s="43" t="str">
        <f t="shared" si="3678"/>
        <v/>
      </c>
      <c r="FB257" s="43" t="str">
        <f t="shared" si="3679"/>
        <v/>
      </c>
      <c r="FC257" s="43" t="str">
        <f t="shared" si="3680"/>
        <v/>
      </c>
      <c r="FD257" s="43" t="str">
        <f t="shared" si="3681"/>
        <v/>
      </c>
      <c r="FE257" s="43" t="str">
        <f t="shared" si="3682"/>
        <v/>
      </c>
      <c r="FF257" s="43" t="str">
        <f t="shared" si="3683"/>
        <v/>
      </c>
      <c r="FG257" s="43" t="str">
        <f t="shared" si="3684"/>
        <v/>
      </c>
      <c r="FH257" s="43" t="str">
        <f t="shared" si="3685"/>
        <v/>
      </c>
      <c r="FI257" s="43" t="str">
        <f t="shared" si="3686"/>
        <v/>
      </c>
      <c r="FJ257" s="43" t="str">
        <f t="shared" si="3687"/>
        <v/>
      </c>
      <c r="FK257" s="43" t="str">
        <f t="shared" si="3688"/>
        <v/>
      </c>
      <c r="FL257" s="43" t="str">
        <f t="shared" si="3689"/>
        <v/>
      </c>
      <c r="FM257" s="43" t="str">
        <f t="shared" si="3690"/>
        <v/>
      </c>
      <c r="FN257" s="43" t="str">
        <f t="shared" si="3691"/>
        <v/>
      </c>
      <c r="FO257" s="43" t="str">
        <f t="shared" si="3692"/>
        <v/>
      </c>
      <c r="FP257" s="43" t="str">
        <f t="shared" si="3693"/>
        <v/>
      </c>
      <c r="FQ257" s="43" t="str">
        <f t="shared" si="3694"/>
        <v/>
      </c>
      <c r="FR257" s="43" t="str">
        <f t="shared" si="3695"/>
        <v/>
      </c>
      <c r="FS257" s="43" t="str">
        <f t="shared" si="3696"/>
        <v/>
      </c>
    </row>
    <row r="258" spans="1:175" s="6" customFormat="1" ht="16.5">
      <c r="A258" s="96"/>
      <c r="B258" s="44"/>
      <c r="C258" s="96"/>
      <c r="D258" s="45"/>
      <c r="E258" s="46"/>
      <c r="F258" s="97"/>
      <c r="G258" s="98"/>
      <c r="H258" s="98"/>
      <c r="I258" s="98"/>
      <c r="J258" s="98"/>
      <c r="K258" s="98"/>
      <c r="L258" s="98"/>
      <c r="M258" s="98"/>
      <c r="N258" s="98"/>
      <c r="O258" s="98"/>
      <c r="P258" s="51"/>
      <c r="Q258" s="51"/>
      <c r="R258" s="51"/>
      <c r="S258" s="51"/>
      <c r="T258" s="58"/>
      <c r="U258" s="55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62"/>
      <c r="AS258" s="62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I258" s="56"/>
      <c r="BJ258" s="56"/>
      <c r="BK258" s="56"/>
      <c r="BL258" s="56"/>
      <c r="BM258" s="56"/>
      <c r="BN258" s="56"/>
      <c r="BO258" s="56"/>
      <c r="BP258" s="56"/>
      <c r="BQ258" s="56"/>
      <c r="BR258" s="56"/>
      <c r="BS258" s="56"/>
      <c r="BT258" s="56"/>
      <c r="BU258" s="56"/>
      <c r="BV258" s="56"/>
      <c r="BW258" s="56"/>
      <c r="BX258" s="56"/>
      <c r="BY258" s="56"/>
      <c r="BZ258" s="56"/>
      <c r="CA258" s="56"/>
      <c r="CB258" s="56"/>
      <c r="CC258" s="56"/>
      <c r="CD258" s="56"/>
      <c r="CE258" s="56"/>
      <c r="CF258" s="56"/>
      <c r="CG258" s="56"/>
      <c r="CH258" s="56"/>
      <c r="CI258" s="56"/>
      <c r="CJ258" s="56"/>
      <c r="CK258" s="56"/>
      <c r="CL258" s="56"/>
      <c r="CM258" s="56"/>
      <c r="CN258" s="65" t="str">
        <f t="shared" si="3697"/>
        <v>InitUnitState('',,,,,,,,,,)</v>
      </c>
      <c r="CO258" s="65" t="str">
        <f t="shared" si="3698"/>
        <v>InitUnitNormal('',,,,,,,,,,)</v>
      </c>
      <c r="CP258" s="65" t="str">
        <f t="shared" si="3699"/>
        <v>InitUnitMagic('',,,,,,,,,,)</v>
      </c>
      <c r="CQ258" s="65" t="str">
        <f t="shared" si="3700"/>
        <v>InitUnitAdd('',,,,,,,,,,)</v>
      </c>
      <c r="CR258" s="65" t="str">
        <f t="shared" si="3554"/>
        <v>InitEquipData('',,"",,,,,'','','','','','',"")</v>
      </c>
      <c r="CS258" s="65"/>
      <c r="CT258" s="65"/>
      <c r="CU258" s="67" t="str">
        <f t="shared" si="3626"/>
        <v>|n</v>
      </c>
      <c r="CV258" s="5"/>
      <c r="DB258" s="43" t="str">
        <f t="shared" si="3627"/>
        <v/>
      </c>
      <c r="DC258" s="43" t="str">
        <f t="shared" si="3628"/>
        <v/>
      </c>
      <c r="DD258" s="43" t="str">
        <f t="shared" si="3629"/>
        <v/>
      </c>
      <c r="DE258" s="43" t="str">
        <f t="shared" si="3630"/>
        <v/>
      </c>
      <c r="DF258" s="43" t="str">
        <f t="shared" si="3631"/>
        <v/>
      </c>
      <c r="DG258" s="43" t="str">
        <f t="shared" si="3632"/>
        <v/>
      </c>
      <c r="DH258" s="43" t="str">
        <f t="shared" si="3633"/>
        <v/>
      </c>
      <c r="DI258" s="43" t="str">
        <f t="shared" si="3634"/>
        <v/>
      </c>
      <c r="DJ258" s="43" t="str">
        <f t="shared" si="3635"/>
        <v/>
      </c>
      <c r="DK258" s="43" t="str">
        <f t="shared" si="3636"/>
        <v/>
      </c>
      <c r="DL258" s="43" t="str">
        <f t="shared" si="3637"/>
        <v/>
      </c>
      <c r="DM258" s="43" t="str">
        <f t="shared" si="3638"/>
        <v/>
      </c>
      <c r="DN258" s="43" t="str">
        <f t="shared" si="3639"/>
        <v/>
      </c>
      <c r="DO258" s="43" t="str">
        <f t="shared" si="3640"/>
        <v/>
      </c>
      <c r="DP258" s="43" t="str">
        <f t="shared" si="3641"/>
        <v/>
      </c>
      <c r="DQ258" s="43" t="str">
        <f t="shared" si="3642"/>
        <v/>
      </c>
      <c r="DR258" s="43" t="str">
        <f t="shared" si="3643"/>
        <v/>
      </c>
      <c r="DS258" s="43" t="str">
        <f t="shared" si="3644"/>
        <v/>
      </c>
      <c r="DT258" s="43" t="str">
        <f t="shared" si="3645"/>
        <v/>
      </c>
      <c r="DU258" s="43" t="str">
        <f t="shared" si="3646"/>
        <v/>
      </c>
      <c r="DV258" s="43" t="str">
        <f t="shared" si="3647"/>
        <v/>
      </c>
      <c r="DW258" s="43" t="str">
        <f t="shared" si="3648"/>
        <v/>
      </c>
      <c r="DX258" s="43" t="str">
        <f t="shared" si="3649"/>
        <v/>
      </c>
      <c r="DY258" s="43" t="str">
        <f t="shared" si="3650"/>
        <v/>
      </c>
      <c r="DZ258" s="43" t="str">
        <f t="shared" si="3651"/>
        <v/>
      </c>
      <c r="EA258" s="43" t="str">
        <f t="shared" si="3652"/>
        <v/>
      </c>
      <c r="EB258" s="43" t="str">
        <f t="shared" si="3653"/>
        <v/>
      </c>
      <c r="EC258" s="43" t="str">
        <f t="shared" si="3654"/>
        <v/>
      </c>
      <c r="ED258" s="43" t="str">
        <f t="shared" si="3655"/>
        <v/>
      </c>
      <c r="EE258" s="43" t="str">
        <f t="shared" si="3656"/>
        <v/>
      </c>
      <c r="EF258" s="43" t="str">
        <f t="shared" si="3657"/>
        <v/>
      </c>
      <c r="EG258" s="43" t="str">
        <f t="shared" si="3658"/>
        <v/>
      </c>
      <c r="EH258" s="43" t="str">
        <f t="shared" si="3659"/>
        <v/>
      </c>
      <c r="EI258" s="43" t="str">
        <f t="shared" si="3660"/>
        <v/>
      </c>
      <c r="EJ258" s="43" t="str">
        <f t="shared" si="3661"/>
        <v/>
      </c>
      <c r="EK258" s="43" t="str">
        <f t="shared" si="3662"/>
        <v/>
      </c>
      <c r="EL258" s="43" t="str">
        <f t="shared" si="3663"/>
        <v/>
      </c>
      <c r="EM258" s="43" t="str">
        <f t="shared" si="3664"/>
        <v/>
      </c>
      <c r="EN258" s="43" t="str">
        <f t="shared" si="3665"/>
        <v/>
      </c>
      <c r="EO258" s="43" t="str">
        <f t="shared" si="3666"/>
        <v/>
      </c>
      <c r="EP258" s="43" t="str">
        <f t="shared" si="3667"/>
        <v/>
      </c>
      <c r="EQ258" s="43" t="str">
        <f t="shared" si="3668"/>
        <v/>
      </c>
      <c r="ER258" s="43" t="str">
        <f t="shared" si="3669"/>
        <v/>
      </c>
      <c r="ES258" s="43" t="str">
        <f t="shared" si="3670"/>
        <v/>
      </c>
      <c r="ET258" s="43" t="str">
        <f t="shared" si="3671"/>
        <v/>
      </c>
      <c r="EU258" s="43" t="str">
        <f t="shared" si="3672"/>
        <v/>
      </c>
      <c r="EV258" s="43" t="str">
        <f t="shared" si="3673"/>
        <v/>
      </c>
      <c r="EW258" s="43" t="str">
        <f t="shared" si="3674"/>
        <v/>
      </c>
      <c r="EX258" s="43" t="str">
        <f t="shared" si="3675"/>
        <v/>
      </c>
      <c r="EY258" s="43" t="str">
        <f t="shared" si="3676"/>
        <v/>
      </c>
      <c r="EZ258" s="43" t="str">
        <f t="shared" si="3677"/>
        <v/>
      </c>
      <c r="FA258" s="43" t="str">
        <f t="shared" si="3678"/>
        <v/>
      </c>
      <c r="FB258" s="43" t="str">
        <f t="shared" si="3679"/>
        <v/>
      </c>
      <c r="FC258" s="43" t="str">
        <f t="shared" si="3680"/>
        <v/>
      </c>
      <c r="FD258" s="43" t="str">
        <f t="shared" si="3681"/>
        <v/>
      </c>
      <c r="FE258" s="43" t="str">
        <f t="shared" si="3682"/>
        <v/>
      </c>
      <c r="FF258" s="43" t="str">
        <f t="shared" si="3683"/>
        <v/>
      </c>
      <c r="FG258" s="43" t="str">
        <f t="shared" si="3684"/>
        <v/>
      </c>
      <c r="FH258" s="43" t="str">
        <f t="shared" si="3685"/>
        <v/>
      </c>
      <c r="FI258" s="43" t="str">
        <f t="shared" si="3686"/>
        <v/>
      </c>
      <c r="FJ258" s="43" t="str">
        <f t="shared" si="3687"/>
        <v/>
      </c>
      <c r="FK258" s="43" t="str">
        <f t="shared" si="3688"/>
        <v/>
      </c>
      <c r="FL258" s="43" t="str">
        <f t="shared" si="3689"/>
        <v/>
      </c>
      <c r="FM258" s="43" t="str">
        <f t="shared" si="3690"/>
        <v/>
      </c>
      <c r="FN258" s="43" t="str">
        <f t="shared" si="3691"/>
        <v/>
      </c>
      <c r="FO258" s="43" t="str">
        <f t="shared" si="3692"/>
        <v/>
      </c>
      <c r="FP258" s="43" t="str">
        <f t="shared" si="3693"/>
        <v/>
      </c>
      <c r="FQ258" s="43" t="str">
        <f t="shared" si="3694"/>
        <v/>
      </c>
      <c r="FR258" s="43" t="str">
        <f t="shared" si="3695"/>
        <v/>
      </c>
      <c r="FS258" s="43" t="str">
        <f t="shared" si="3696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26"/>
        <v>|n</v>
      </c>
      <c r="CW259" s="6"/>
      <c r="CX259" s="6"/>
      <c r="CY259" s="6"/>
      <c r="CZ259" s="6"/>
      <c r="DA259" s="6"/>
      <c r="DB259" s="43" t="str">
        <f t="shared" si="3627"/>
        <v/>
      </c>
      <c r="DC259" s="43" t="str">
        <f t="shared" si="3628"/>
        <v/>
      </c>
      <c r="DD259" s="43" t="str">
        <f t="shared" si="3629"/>
        <v/>
      </c>
      <c r="DE259" s="43" t="str">
        <f t="shared" si="3630"/>
        <v/>
      </c>
      <c r="DF259" s="43" t="str">
        <f t="shared" si="3631"/>
        <v/>
      </c>
      <c r="DG259" s="43" t="str">
        <f t="shared" si="3632"/>
        <v/>
      </c>
      <c r="DH259" s="43" t="str">
        <f t="shared" si="3633"/>
        <v/>
      </c>
      <c r="DI259" s="43" t="str">
        <f t="shared" si="3634"/>
        <v/>
      </c>
      <c r="DJ259" s="43" t="str">
        <f t="shared" si="3635"/>
        <v/>
      </c>
      <c r="DK259" s="43" t="str">
        <f t="shared" si="3636"/>
        <v/>
      </c>
      <c r="DL259" s="43" t="str">
        <f t="shared" si="3637"/>
        <v/>
      </c>
      <c r="DM259" s="43" t="str">
        <f t="shared" si="3638"/>
        <v/>
      </c>
      <c r="DN259" s="43" t="str">
        <f t="shared" si="3639"/>
        <v/>
      </c>
      <c r="DO259" s="43" t="str">
        <f t="shared" si="3640"/>
        <v/>
      </c>
      <c r="DP259" s="43" t="str">
        <f t="shared" si="3641"/>
        <v/>
      </c>
      <c r="DQ259" s="43" t="str">
        <f t="shared" si="3642"/>
        <v/>
      </c>
      <c r="DR259" s="43" t="str">
        <f t="shared" si="3643"/>
        <v/>
      </c>
      <c r="DS259" s="43" t="str">
        <f t="shared" si="3644"/>
        <v/>
      </c>
      <c r="DT259" s="43" t="str">
        <f t="shared" si="3645"/>
        <v/>
      </c>
      <c r="DU259" s="43" t="str">
        <f t="shared" si="3646"/>
        <v/>
      </c>
      <c r="DV259" s="43" t="str">
        <f t="shared" si="3647"/>
        <v/>
      </c>
      <c r="DW259" s="43" t="str">
        <f t="shared" si="3648"/>
        <v/>
      </c>
      <c r="DX259" s="43" t="str">
        <f t="shared" si="3649"/>
        <v/>
      </c>
      <c r="DY259" s="43" t="str">
        <f t="shared" si="3650"/>
        <v/>
      </c>
      <c r="DZ259" s="43" t="str">
        <f t="shared" si="3651"/>
        <v/>
      </c>
      <c r="EA259" s="43" t="str">
        <f t="shared" si="3652"/>
        <v/>
      </c>
      <c r="EB259" s="43" t="str">
        <f t="shared" si="3653"/>
        <v/>
      </c>
      <c r="EC259" s="43" t="str">
        <f t="shared" si="3654"/>
        <v/>
      </c>
      <c r="ED259" s="43" t="str">
        <f t="shared" si="3655"/>
        <v/>
      </c>
      <c r="EE259" s="43" t="str">
        <f t="shared" si="3656"/>
        <v/>
      </c>
      <c r="EF259" s="43" t="str">
        <f t="shared" si="3657"/>
        <v/>
      </c>
      <c r="EG259" s="43" t="str">
        <f t="shared" si="3658"/>
        <v/>
      </c>
      <c r="EH259" s="43" t="str">
        <f t="shared" si="3659"/>
        <v/>
      </c>
      <c r="EI259" s="43" t="str">
        <f t="shared" si="3660"/>
        <v/>
      </c>
      <c r="EJ259" s="43" t="str">
        <f t="shared" si="3661"/>
        <v/>
      </c>
      <c r="EK259" s="43" t="str">
        <f t="shared" si="3662"/>
        <v/>
      </c>
      <c r="EL259" s="43" t="str">
        <f t="shared" si="3663"/>
        <v/>
      </c>
      <c r="EM259" s="43" t="str">
        <f t="shared" si="3664"/>
        <v/>
      </c>
      <c r="EN259" s="43" t="str">
        <f t="shared" si="3665"/>
        <v/>
      </c>
      <c r="EO259" s="43" t="str">
        <f t="shared" si="3666"/>
        <v/>
      </c>
      <c r="EP259" s="43" t="str">
        <f t="shared" si="3667"/>
        <v/>
      </c>
      <c r="EQ259" s="43" t="str">
        <f t="shared" si="3668"/>
        <v/>
      </c>
      <c r="ER259" s="43" t="str">
        <f t="shared" si="3669"/>
        <v/>
      </c>
      <c r="ES259" s="43" t="str">
        <f t="shared" si="3670"/>
        <v/>
      </c>
      <c r="ET259" s="43" t="str">
        <f t="shared" si="3671"/>
        <v/>
      </c>
      <c r="EU259" s="43" t="str">
        <f t="shared" si="3672"/>
        <v/>
      </c>
      <c r="EV259" s="43" t="str">
        <f t="shared" si="3673"/>
        <v/>
      </c>
      <c r="EW259" s="43" t="str">
        <f t="shared" si="3674"/>
        <v/>
      </c>
      <c r="EX259" s="43" t="str">
        <f t="shared" si="3675"/>
        <v/>
      </c>
      <c r="EY259" s="43" t="str">
        <f t="shared" si="3676"/>
        <v/>
      </c>
      <c r="EZ259" s="43" t="str">
        <f t="shared" si="3677"/>
        <v/>
      </c>
      <c r="FA259" s="43" t="str">
        <f t="shared" si="3678"/>
        <v/>
      </c>
      <c r="FB259" s="43" t="str">
        <f t="shared" si="3679"/>
        <v/>
      </c>
      <c r="FC259" s="43" t="str">
        <f t="shared" si="3680"/>
        <v/>
      </c>
      <c r="FD259" s="43" t="str">
        <f t="shared" si="3681"/>
        <v/>
      </c>
      <c r="FE259" s="43" t="str">
        <f t="shared" si="3682"/>
        <v/>
      </c>
      <c r="FF259" s="43" t="str">
        <f t="shared" si="3683"/>
        <v/>
      </c>
      <c r="FG259" s="43" t="str">
        <f t="shared" si="3684"/>
        <v/>
      </c>
      <c r="FH259" s="43" t="str">
        <f t="shared" si="3685"/>
        <v/>
      </c>
      <c r="FI259" s="43" t="str">
        <f t="shared" si="3686"/>
        <v/>
      </c>
      <c r="FJ259" s="43" t="str">
        <f t="shared" si="3687"/>
        <v/>
      </c>
      <c r="FK259" s="43" t="str">
        <f t="shared" si="3688"/>
        <v/>
      </c>
      <c r="FL259" s="43" t="str">
        <f t="shared" si="3689"/>
        <v/>
      </c>
      <c r="FM259" s="43" t="str">
        <f t="shared" si="3690"/>
        <v/>
      </c>
      <c r="FN259" s="43" t="str">
        <f t="shared" si="3691"/>
        <v/>
      </c>
      <c r="FO259" s="43" t="str">
        <f t="shared" si="3692"/>
        <v/>
      </c>
      <c r="FP259" s="43" t="str">
        <f t="shared" si="3693"/>
        <v/>
      </c>
      <c r="FQ259" s="43" t="str">
        <f t="shared" si="3694"/>
        <v/>
      </c>
      <c r="FR259" s="43" t="str">
        <f t="shared" si="3695"/>
        <v/>
      </c>
      <c r="FS259" s="43" t="str">
        <f t="shared" si="3696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26"/>
        <v>|n</v>
      </c>
      <c r="CW260" s="6"/>
      <c r="CX260" s="6"/>
      <c r="CY260" s="6"/>
      <c r="CZ260" s="6"/>
      <c r="DA260" s="6"/>
      <c r="DB260" s="43" t="str">
        <f t="shared" si="3627"/>
        <v/>
      </c>
      <c r="DC260" s="43" t="str">
        <f t="shared" si="3628"/>
        <v/>
      </c>
      <c r="DD260" s="43" t="str">
        <f t="shared" si="3629"/>
        <v/>
      </c>
      <c r="DE260" s="43" t="str">
        <f t="shared" si="3630"/>
        <v/>
      </c>
      <c r="DF260" s="43" t="str">
        <f t="shared" si="3631"/>
        <v/>
      </c>
      <c r="DG260" s="43" t="str">
        <f t="shared" si="3632"/>
        <v/>
      </c>
      <c r="DH260" s="43" t="str">
        <f t="shared" si="3633"/>
        <v/>
      </c>
      <c r="DI260" s="43" t="str">
        <f t="shared" si="3634"/>
        <v/>
      </c>
      <c r="DJ260" s="43" t="str">
        <f t="shared" si="3635"/>
        <v/>
      </c>
      <c r="DK260" s="43" t="str">
        <f t="shared" si="3636"/>
        <v/>
      </c>
      <c r="DL260" s="43" t="str">
        <f t="shared" si="3637"/>
        <v/>
      </c>
      <c r="DM260" s="43" t="str">
        <f t="shared" si="3638"/>
        <v/>
      </c>
      <c r="DN260" s="43" t="str">
        <f t="shared" si="3639"/>
        <v/>
      </c>
      <c r="DO260" s="43" t="str">
        <f t="shared" si="3640"/>
        <v/>
      </c>
      <c r="DP260" s="43" t="str">
        <f t="shared" si="3641"/>
        <v/>
      </c>
      <c r="DQ260" s="43" t="str">
        <f t="shared" si="3642"/>
        <v/>
      </c>
      <c r="DR260" s="43" t="str">
        <f t="shared" si="3643"/>
        <v/>
      </c>
      <c r="DS260" s="43" t="str">
        <f t="shared" si="3644"/>
        <v/>
      </c>
      <c r="DT260" s="43" t="str">
        <f t="shared" si="3645"/>
        <v/>
      </c>
      <c r="DU260" s="43" t="str">
        <f t="shared" si="3646"/>
        <v/>
      </c>
      <c r="DV260" s="43" t="str">
        <f t="shared" si="3647"/>
        <v/>
      </c>
      <c r="DW260" s="43" t="str">
        <f t="shared" si="3648"/>
        <v/>
      </c>
      <c r="DX260" s="43" t="str">
        <f t="shared" si="3649"/>
        <v/>
      </c>
      <c r="DY260" s="43" t="str">
        <f t="shared" si="3650"/>
        <v/>
      </c>
      <c r="DZ260" s="43" t="str">
        <f t="shared" si="3651"/>
        <v/>
      </c>
      <c r="EA260" s="43" t="str">
        <f t="shared" si="3652"/>
        <v/>
      </c>
      <c r="EB260" s="43" t="str">
        <f t="shared" si="3653"/>
        <v/>
      </c>
      <c r="EC260" s="43" t="str">
        <f t="shared" si="3654"/>
        <v/>
      </c>
      <c r="ED260" s="43" t="str">
        <f t="shared" si="3655"/>
        <v/>
      </c>
      <c r="EE260" s="43" t="str">
        <f t="shared" si="3656"/>
        <v/>
      </c>
      <c r="EF260" s="43" t="str">
        <f t="shared" si="3657"/>
        <v/>
      </c>
      <c r="EG260" s="43" t="str">
        <f t="shared" si="3658"/>
        <v/>
      </c>
      <c r="EH260" s="43" t="str">
        <f t="shared" si="3659"/>
        <v/>
      </c>
      <c r="EI260" s="43" t="str">
        <f t="shared" si="3660"/>
        <v/>
      </c>
      <c r="EJ260" s="43" t="str">
        <f t="shared" si="3661"/>
        <v/>
      </c>
      <c r="EK260" s="43" t="str">
        <f t="shared" si="3662"/>
        <v/>
      </c>
      <c r="EL260" s="43" t="str">
        <f t="shared" si="3663"/>
        <v/>
      </c>
      <c r="EM260" s="43" t="str">
        <f t="shared" si="3664"/>
        <v/>
      </c>
      <c r="EN260" s="43" t="str">
        <f t="shared" si="3665"/>
        <v/>
      </c>
      <c r="EO260" s="43" t="str">
        <f t="shared" si="3666"/>
        <v/>
      </c>
      <c r="EP260" s="43" t="str">
        <f t="shared" si="3667"/>
        <v/>
      </c>
      <c r="EQ260" s="43" t="str">
        <f t="shared" si="3668"/>
        <v/>
      </c>
      <c r="ER260" s="43" t="str">
        <f t="shared" si="3669"/>
        <v/>
      </c>
      <c r="ES260" s="43" t="str">
        <f t="shared" si="3670"/>
        <v/>
      </c>
      <c r="ET260" s="43" t="str">
        <f t="shared" si="3671"/>
        <v/>
      </c>
      <c r="EU260" s="43" t="str">
        <f t="shared" si="3672"/>
        <v/>
      </c>
      <c r="EV260" s="43" t="str">
        <f t="shared" si="3673"/>
        <v/>
      </c>
      <c r="EW260" s="43" t="str">
        <f t="shared" si="3674"/>
        <v/>
      </c>
      <c r="EX260" s="43" t="str">
        <f t="shared" si="3675"/>
        <v/>
      </c>
      <c r="EY260" s="43" t="str">
        <f t="shared" si="3676"/>
        <v/>
      </c>
      <c r="EZ260" s="43" t="str">
        <f t="shared" si="3677"/>
        <v/>
      </c>
      <c r="FA260" s="43" t="str">
        <f t="shared" si="3678"/>
        <v/>
      </c>
      <c r="FB260" s="43" t="str">
        <f t="shared" si="3679"/>
        <v/>
      </c>
      <c r="FC260" s="43" t="str">
        <f t="shared" si="3680"/>
        <v/>
      </c>
      <c r="FD260" s="43" t="str">
        <f t="shared" si="3681"/>
        <v/>
      </c>
      <c r="FE260" s="43" t="str">
        <f t="shared" si="3682"/>
        <v/>
      </c>
      <c r="FF260" s="43" t="str">
        <f t="shared" si="3683"/>
        <v/>
      </c>
      <c r="FG260" s="43" t="str">
        <f t="shared" si="3684"/>
        <v/>
      </c>
      <c r="FH260" s="43" t="str">
        <f t="shared" si="3685"/>
        <v/>
      </c>
      <c r="FI260" s="43" t="str">
        <f t="shared" si="3686"/>
        <v/>
      </c>
      <c r="FJ260" s="43" t="str">
        <f t="shared" si="3687"/>
        <v/>
      </c>
      <c r="FK260" s="43" t="str">
        <f t="shared" si="3688"/>
        <v/>
      </c>
      <c r="FL260" s="43" t="str">
        <f t="shared" si="3689"/>
        <v/>
      </c>
      <c r="FM260" s="43" t="str">
        <f t="shared" si="3690"/>
        <v/>
      </c>
      <c r="FN260" s="43" t="str">
        <f t="shared" si="3691"/>
        <v/>
      </c>
      <c r="FO260" s="43" t="str">
        <f t="shared" si="3692"/>
        <v/>
      </c>
      <c r="FP260" s="43" t="str">
        <f t="shared" si="3693"/>
        <v/>
      </c>
      <c r="FQ260" s="43" t="str">
        <f t="shared" si="3694"/>
        <v/>
      </c>
      <c r="FR260" s="43" t="str">
        <f t="shared" si="3695"/>
        <v/>
      </c>
      <c r="FS260" s="43" t="str">
        <f t="shared" si="3696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26"/>
        <v>|n</v>
      </c>
      <c r="CW261" s="6"/>
      <c r="CX261" s="6"/>
      <c r="CY261" s="6"/>
      <c r="CZ261" s="6"/>
      <c r="DA261" s="6"/>
      <c r="DB261" s="43" t="str">
        <f t="shared" si="3627"/>
        <v/>
      </c>
      <c r="DC261" s="43" t="str">
        <f t="shared" si="3628"/>
        <v/>
      </c>
      <c r="DD261" s="43" t="str">
        <f t="shared" si="3629"/>
        <v/>
      </c>
      <c r="DE261" s="43" t="str">
        <f t="shared" si="3630"/>
        <v/>
      </c>
      <c r="DF261" s="43" t="str">
        <f t="shared" si="3631"/>
        <v/>
      </c>
      <c r="DG261" s="43" t="str">
        <f t="shared" si="3632"/>
        <v/>
      </c>
      <c r="DH261" s="43" t="str">
        <f t="shared" si="3633"/>
        <v/>
      </c>
      <c r="DI261" s="43" t="str">
        <f t="shared" si="3634"/>
        <v/>
      </c>
      <c r="DJ261" s="43" t="str">
        <f t="shared" si="3635"/>
        <v/>
      </c>
      <c r="DK261" s="43" t="str">
        <f t="shared" si="3636"/>
        <v/>
      </c>
      <c r="DL261" s="43" t="str">
        <f t="shared" si="3637"/>
        <v/>
      </c>
      <c r="DM261" s="43" t="str">
        <f t="shared" si="3638"/>
        <v/>
      </c>
      <c r="DN261" s="43" t="str">
        <f t="shared" si="3639"/>
        <v/>
      </c>
      <c r="DO261" s="43" t="str">
        <f t="shared" si="3640"/>
        <v/>
      </c>
      <c r="DP261" s="43" t="str">
        <f t="shared" si="3641"/>
        <v/>
      </c>
      <c r="DQ261" s="43" t="str">
        <f t="shared" si="3642"/>
        <v/>
      </c>
      <c r="DR261" s="43" t="str">
        <f t="shared" si="3643"/>
        <v/>
      </c>
      <c r="DS261" s="43" t="str">
        <f t="shared" si="3644"/>
        <v/>
      </c>
      <c r="DT261" s="43" t="str">
        <f t="shared" si="3645"/>
        <v/>
      </c>
      <c r="DU261" s="43" t="str">
        <f t="shared" si="3646"/>
        <v/>
      </c>
      <c r="DV261" s="43" t="str">
        <f t="shared" si="3647"/>
        <v/>
      </c>
      <c r="DW261" s="43" t="str">
        <f t="shared" si="3648"/>
        <v/>
      </c>
      <c r="DX261" s="43" t="str">
        <f t="shared" si="3649"/>
        <v/>
      </c>
      <c r="DY261" s="43" t="str">
        <f t="shared" si="3650"/>
        <v/>
      </c>
      <c r="DZ261" s="43" t="str">
        <f t="shared" si="3651"/>
        <v/>
      </c>
      <c r="EA261" s="43" t="str">
        <f t="shared" si="3652"/>
        <v/>
      </c>
      <c r="EB261" s="43" t="str">
        <f t="shared" si="3653"/>
        <v/>
      </c>
      <c r="EC261" s="43" t="str">
        <f t="shared" si="3654"/>
        <v/>
      </c>
      <c r="ED261" s="43" t="str">
        <f t="shared" si="3655"/>
        <v/>
      </c>
      <c r="EE261" s="43" t="str">
        <f t="shared" si="3656"/>
        <v/>
      </c>
      <c r="EF261" s="43" t="str">
        <f t="shared" si="3657"/>
        <v/>
      </c>
      <c r="EG261" s="43" t="str">
        <f t="shared" si="3658"/>
        <v/>
      </c>
      <c r="EH261" s="43" t="str">
        <f t="shared" si="3659"/>
        <v/>
      </c>
      <c r="EI261" s="43" t="str">
        <f t="shared" si="3660"/>
        <v/>
      </c>
      <c r="EJ261" s="43" t="str">
        <f t="shared" si="3661"/>
        <v/>
      </c>
      <c r="EK261" s="43" t="str">
        <f t="shared" si="3662"/>
        <v/>
      </c>
      <c r="EL261" s="43" t="str">
        <f t="shared" si="3663"/>
        <v/>
      </c>
      <c r="EM261" s="43" t="str">
        <f t="shared" si="3664"/>
        <v/>
      </c>
      <c r="EN261" s="43" t="str">
        <f t="shared" si="3665"/>
        <v/>
      </c>
      <c r="EO261" s="43" t="str">
        <f t="shared" si="3666"/>
        <v/>
      </c>
      <c r="EP261" s="43" t="str">
        <f t="shared" si="3667"/>
        <v/>
      </c>
      <c r="EQ261" s="43" t="str">
        <f t="shared" si="3668"/>
        <v/>
      </c>
      <c r="ER261" s="43" t="str">
        <f t="shared" si="3669"/>
        <v/>
      </c>
      <c r="ES261" s="43" t="str">
        <f t="shared" si="3670"/>
        <v/>
      </c>
      <c r="ET261" s="43" t="str">
        <f t="shared" si="3671"/>
        <v/>
      </c>
      <c r="EU261" s="43" t="str">
        <f t="shared" si="3672"/>
        <v/>
      </c>
      <c r="EV261" s="43" t="str">
        <f t="shared" si="3673"/>
        <v/>
      </c>
      <c r="EW261" s="43" t="str">
        <f t="shared" si="3674"/>
        <v/>
      </c>
      <c r="EX261" s="43" t="str">
        <f t="shared" si="3675"/>
        <v/>
      </c>
      <c r="EY261" s="43" t="str">
        <f t="shared" si="3676"/>
        <v/>
      </c>
      <c r="EZ261" s="43" t="str">
        <f t="shared" si="3677"/>
        <v/>
      </c>
      <c r="FA261" s="43" t="str">
        <f t="shared" si="3678"/>
        <v/>
      </c>
      <c r="FB261" s="43" t="str">
        <f t="shared" si="3679"/>
        <v/>
      </c>
      <c r="FC261" s="43" t="str">
        <f t="shared" si="3680"/>
        <v/>
      </c>
      <c r="FD261" s="43" t="str">
        <f t="shared" si="3681"/>
        <v/>
      </c>
      <c r="FE261" s="43" t="str">
        <f t="shared" si="3682"/>
        <v/>
      </c>
      <c r="FF261" s="43" t="str">
        <f t="shared" si="3683"/>
        <v/>
      </c>
      <c r="FG261" s="43" t="str">
        <f t="shared" si="3684"/>
        <v/>
      </c>
      <c r="FH261" s="43" t="str">
        <f t="shared" si="3685"/>
        <v/>
      </c>
      <c r="FI261" s="43" t="str">
        <f t="shared" si="3686"/>
        <v/>
      </c>
      <c r="FJ261" s="43" t="str">
        <f t="shared" si="3687"/>
        <v/>
      </c>
      <c r="FK261" s="43" t="str">
        <f t="shared" si="3688"/>
        <v/>
      </c>
      <c r="FL261" s="43" t="str">
        <f t="shared" si="3689"/>
        <v/>
      </c>
      <c r="FM261" s="43" t="str">
        <f t="shared" si="3690"/>
        <v/>
      </c>
      <c r="FN261" s="43" t="str">
        <f t="shared" si="3691"/>
        <v/>
      </c>
      <c r="FO261" s="43" t="str">
        <f t="shared" si="3692"/>
        <v/>
      </c>
      <c r="FP261" s="43" t="str">
        <f t="shared" si="3693"/>
        <v/>
      </c>
      <c r="FQ261" s="43" t="str">
        <f t="shared" si="3694"/>
        <v/>
      </c>
      <c r="FR261" s="43" t="str">
        <f t="shared" si="3695"/>
        <v/>
      </c>
      <c r="FS261" s="43" t="str">
        <f t="shared" si="3696"/>
        <v/>
      </c>
    </row>
    <row r="262" spans="1:175" ht="16.5">
      <c r="A262" s="10"/>
      <c r="B262" s="44"/>
      <c r="C262" s="10"/>
      <c r="E262" s="99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74"/>
      <c r="Q262" s="74"/>
      <c r="R262" s="74"/>
      <c r="S262" s="74"/>
      <c r="T262" s="106"/>
      <c r="U262" s="55"/>
      <c r="CU262" s="67" t="str">
        <f t="shared" si="3626"/>
        <v>|n</v>
      </c>
      <c r="CW262" s="6"/>
      <c r="CX262" s="6"/>
      <c r="CY262" s="6"/>
      <c r="CZ262" s="6"/>
      <c r="DA262" s="6"/>
      <c r="DB262" s="43" t="str">
        <f t="shared" si="3627"/>
        <v/>
      </c>
      <c r="DC262" s="43" t="str">
        <f t="shared" si="3628"/>
        <v/>
      </c>
      <c r="DD262" s="43" t="str">
        <f t="shared" si="3629"/>
        <v/>
      </c>
      <c r="DE262" s="43" t="str">
        <f t="shared" si="3630"/>
        <v/>
      </c>
      <c r="DF262" s="43" t="str">
        <f t="shared" si="3631"/>
        <v/>
      </c>
      <c r="DG262" s="43" t="str">
        <f t="shared" si="3632"/>
        <v/>
      </c>
      <c r="DH262" s="43" t="str">
        <f t="shared" si="3633"/>
        <v/>
      </c>
      <c r="DI262" s="43" t="str">
        <f t="shared" si="3634"/>
        <v/>
      </c>
      <c r="DJ262" s="43" t="str">
        <f t="shared" si="3635"/>
        <v/>
      </c>
      <c r="DK262" s="43" t="str">
        <f t="shared" si="3636"/>
        <v/>
      </c>
      <c r="DL262" s="43" t="str">
        <f t="shared" si="3637"/>
        <v/>
      </c>
      <c r="DM262" s="43" t="str">
        <f t="shared" si="3638"/>
        <v/>
      </c>
      <c r="DN262" s="43" t="str">
        <f t="shared" si="3639"/>
        <v/>
      </c>
      <c r="DO262" s="43" t="str">
        <f t="shared" si="3640"/>
        <v/>
      </c>
      <c r="DP262" s="43" t="str">
        <f t="shared" si="3641"/>
        <v/>
      </c>
      <c r="DQ262" s="43" t="str">
        <f t="shared" si="3642"/>
        <v/>
      </c>
      <c r="DR262" s="43" t="str">
        <f t="shared" si="3643"/>
        <v/>
      </c>
      <c r="DS262" s="43" t="str">
        <f t="shared" si="3644"/>
        <v/>
      </c>
      <c r="DT262" s="43" t="str">
        <f t="shared" si="3645"/>
        <v/>
      </c>
      <c r="DU262" s="43" t="str">
        <f t="shared" si="3646"/>
        <v/>
      </c>
      <c r="DV262" s="43" t="str">
        <f t="shared" si="3647"/>
        <v/>
      </c>
      <c r="DW262" s="43" t="str">
        <f t="shared" si="3648"/>
        <v/>
      </c>
      <c r="DX262" s="43" t="str">
        <f t="shared" si="3649"/>
        <v/>
      </c>
      <c r="DY262" s="43" t="str">
        <f t="shared" si="3650"/>
        <v/>
      </c>
      <c r="DZ262" s="43" t="str">
        <f t="shared" si="3651"/>
        <v/>
      </c>
      <c r="EA262" s="43" t="str">
        <f t="shared" si="3652"/>
        <v/>
      </c>
      <c r="EB262" s="43" t="str">
        <f t="shared" si="3653"/>
        <v/>
      </c>
      <c r="EC262" s="43" t="str">
        <f t="shared" si="3654"/>
        <v/>
      </c>
      <c r="ED262" s="43" t="str">
        <f t="shared" si="3655"/>
        <v/>
      </c>
      <c r="EE262" s="43" t="str">
        <f t="shared" si="3656"/>
        <v/>
      </c>
      <c r="EF262" s="43" t="str">
        <f t="shared" si="3657"/>
        <v/>
      </c>
      <c r="EG262" s="43" t="str">
        <f t="shared" si="3658"/>
        <v/>
      </c>
      <c r="EH262" s="43" t="str">
        <f t="shared" si="3659"/>
        <v/>
      </c>
      <c r="EI262" s="43" t="str">
        <f t="shared" si="3660"/>
        <v/>
      </c>
      <c r="EJ262" s="43" t="str">
        <f t="shared" si="3661"/>
        <v/>
      </c>
      <c r="EK262" s="43" t="str">
        <f t="shared" si="3662"/>
        <v/>
      </c>
      <c r="EL262" s="43" t="str">
        <f t="shared" si="3663"/>
        <v/>
      </c>
      <c r="EM262" s="43" t="str">
        <f t="shared" si="3664"/>
        <v/>
      </c>
      <c r="EN262" s="43" t="str">
        <f t="shared" si="3665"/>
        <v/>
      </c>
      <c r="EO262" s="43" t="str">
        <f t="shared" si="3666"/>
        <v/>
      </c>
      <c r="EP262" s="43" t="str">
        <f t="shared" si="3667"/>
        <v/>
      </c>
      <c r="EQ262" s="43" t="str">
        <f t="shared" si="3668"/>
        <v/>
      </c>
      <c r="ER262" s="43" t="str">
        <f t="shared" si="3669"/>
        <v/>
      </c>
      <c r="ES262" s="43" t="str">
        <f t="shared" si="3670"/>
        <v/>
      </c>
      <c r="ET262" s="43" t="str">
        <f t="shared" si="3671"/>
        <v/>
      </c>
      <c r="EU262" s="43" t="str">
        <f t="shared" si="3672"/>
        <v/>
      </c>
      <c r="EV262" s="43" t="str">
        <f t="shared" si="3673"/>
        <v/>
      </c>
      <c r="EW262" s="43" t="str">
        <f t="shared" si="3674"/>
        <v/>
      </c>
      <c r="EX262" s="43" t="str">
        <f t="shared" si="3675"/>
        <v/>
      </c>
      <c r="EY262" s="43" t="str">
        <f t="shared" si="3676"/>
        <v/>
      </c>
      <c r="EZ262" s="43" t="str">
        <f t="shared" si="3677"/>
        <v/>
      </c>
      <c r="FA262" s="43" t="str">
        <f t="shared" si="3678"/>
        <v/>
      </c>
      <c r="FB262" s="43" t="str">
        <f t="shared" si="3679"/>
        <v/>
      </c>
      <c r="FC262" s="43" t="str">
        <f t="shared" si="3680"/>
        <v/>
      </c>
      <c r="FD262" s="43" t="str">
        <f t="shared" si="3681"/>
        <v/>
      </c>
      <c r="FE262" s="43" t="str">
        <f t="shared" si="3682"/>
        <v/>
      </c>
      <c r="FF262" s="43" t="str">
        <f t="shared" si="3683"/>
        <v/>
      </c>
      <c r="FG262" s="43" t="str">
        <f t="shared" si="3684"/>
        <v/>
      </c>
      <c r="FH262" s="43" t="str">
        <f t="shared" si="3685"/>
        <v/>
      </c>
      <c r="FI262" s="43" t="str">
        <f t="shared" si="3686"/>
        <v/>
      </c>
      <c r="FJ262" s="43" t="str">
        <f t="shared" si="3687"/>
        <v/>
      </c>
      <c r="FK262" s="43" t="str">
        <f t="shared" si="3688"/>
        <v/>
      </c>
      <c r="FL262" s="43" t="str">
        <f t="shared" si="3689"/>
        <v/>
      </c>
      <c r="FM262" s="43" t="str">
        <f t="shared" si="3690"/>
        <v/>
      </c>
      <c r="FN262" s="43" t="str">
        <f t="shared" si="3691"/>
        <v/>
      </c>
      <c r="FO262" s="43" t="str">
        <f t="shared" si="3692"/>
        <v/>
      </c>
      <c r="FP262" s="43" t="str">
        <f t="shared" si="3693"/>
        <v/>
      </c>
      <c r="FQ262" s="43" t="str">
        <f t="shared" si="3694"/>
        <v/>
      </c>
      <c r="FR262" s="43" t="str">
        <f t="shared" si="3695"/>
        <v/>
      </c>
      <c r="FS262" s="43" t="str">
        <f t="shared" si="3696"/>
        <v/>
      </c>
    </row>
    <row r="263" spans="1:175" ht="16.5">
      <c r="A263" s="10"/>
      <c r="B263" s="44"/>
      <c r="C263" s="10"/>
      <c r="E263" s="99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74"/>
      <c r="Q263" s="74"/>
      <c r="R263" s="74"/>
      <c r="S263" s="74"/>
      <c r="T263" s="106"/>
      <c r="U263" s="55"/>
      <c r="CU263" s="67" t="str">
        <f t="shared" si="3626"/>
        <v>|n</v>
      </c>
      <c r="CW263" s="6"/>
      <c r="CX263" s="6"/>
      <c r="CY263" s="6"/>
      <c r="CZ263" s="6"/>
      <c r="DA263" s="6"/>
      <c r="DB263" s="43" t="str">
        <f t="shared" si="3627"/>
        <v/>
      </c>
      <c r="DC263" s="43" t="str">
        <f t="shared" si="3628"/>
        <v/>
      </c>
      <c r="DD263" s="43" t="str">
        <f t="shared" si="3629"/>
        <v/>
      </c>
      <c r="DE263" s="43" t="str">
        <f t="shared" si="3630"/>
        <v/>
      </c>
      <c r="DF263" s="43" t="str">
        <f t="shared" si="3631"/>
        <v/>
      </c>
      <c r="DG263" s="43" t="str">
        <f t="shared" si="3632"/>
        <v/>
      </c>
      <c r="DH263" s="43" t="str">
        <f t="shared" si="3633"/>
        <v/>
      </c>
      <c r="DI263" s="43" t="str">
        <f t="shared" si="3634"/>
        <v/>
      </c>
      <c r="DJ263" s="43" t="str">
        <f t="shared" si="3635"/>
        <v/>
      </c>
      <c r="DK263" s="43" t="str">
        <f t="shared" si="3636"/>
        <v/>
      </c>
      <c r="DL263" s="43" t="str">
        <f t="shared" si="3637"/>
        <v/>
      </c>
      <c r="DM263" s="43" t="str">
        <f t="shared" si="3638"/>
        <v/>
      </c>
      <c r="DN263" s="43" t="str">
        <f t="shared" si="3639"/>
        <v/>
      </c>
      <c r="DO263" s="43" t="str">
        <f t="shared" si="3640"/>
        <v/>
      </c>
      <c r="DP263" s="43" t="str">
        <f t="shared" si="3641"/>
        <v/>
      </c>
      <c r="DQ263" s="43" t="str">
        <f t="shared" si="3642"/>
        <v/>
      </c>
      <c r="DR263" s="43" t="str">
        <f t="shared" si="3643"/>
        <v/>
      </c>
      <c r="DS263" s="43" t="str">
        <f t="shared" si="3644"/>
        <v/>
      </c>
      <c r="DT263" s="43" t="str">
        <f t="shared" si="3645"/>
        <v/>
      </c>
      <c r="DU263" s="43" t="str">
        <f t="shared" si="3646"/>
        <v/>
      </c>
      <c r="DV263" s="43" t="str">
        <f t="shared" si="3647"/>
        <v/>
      </c>
      <c r="DW263" s="43" t="str">
        <f t="shared" si="3648"/>
        <v/>
      </c>
      <c r="DX263" s="43" t="str">
        <f t="shared" si="3649"/>
        <v/>
      </c>
      <c r="DY263" s="43" t="str">
        <f t="shared" si="3650"/>
        <v/>
      </c>
      <c r="DZ263" s="43" t="str">
        <f t="shared" si="3651"/>
        <v/>
      </c>
      <c r="EA263" s="43" t="str">
        <f t="shared" si="3652"/>
        <v/>
      </c>
      <c r="EB263" s="43" t="str">
        <f t="shared" si="3653"/>
        <v/>
      </c>
      <c r="EC263" s="43" t="str">
        <f t="shared" si="3654"/>
        <v/>
      </c>
      <c r="ED263" s="43" t="str">
        <f t="shared" si="3655"/>
        <v/>
      </c>
      <c r="EE263" s="43" t="str">
        <f t="shared" si="3656"/>
        <v/>
      </c>
      <c r="EF263" s="43" t="str">
        <f t="shared" si="3657"/>
        <v/>
      </c>
      <c r="EG263" s="43" t="str">
        <f t="shared" si="3658"/>
        <v/>
      </c>
      <c r="EH263" s="43" t="str">
        <f t="shared" si="3659"/>
        <v/>
      </c>
      <c r="EI263" s="43" t="str">
        <f t="shared" si="3660"/>
        <v/>
      </c>
      <c r="EJ263" s="43" t="str">
        <f t="shared" si="3661"/>
        <v/>
      </c>
      <c r="EK263" s="43" t="str">
        <f t="shared" si="3662"/>
        <v/>
      </c>
      <c r="EL263" s="43" t="str">
        <f t="shared" si="3663"/>
        <v/>
      </c>
      <c r="EM263" s="43" t="str">
        <f t="shared" si="3664"/>
        <v/>
      </c>
      <c r="EN263" s="43" t="str">
        <f t="shared" si="3665"/>
        <v/>
      </c>
      <c r="EO263" s="43" t="str">
        <f t="shared" si="3666"/>
        <v/>
      </c>
      <c r="EP263" s="43" t="str">
        <f t="shared" si="3667"/>
        <v/>
      </c>
      <c r="EQ263" s="43" t="str">
        <f t="shared" si="3668"/>
        <v/>
      </c>
      <c r="ER263" s="43" t="str">
        <f t="shared" si="3669"/>
        <v/>
      </c>
      <c r="ES263" s="43" t="str">
        <f t="shared" si="3670"/>
        <v/>
      </c>
      <c r="ET263" s="43" t="str">
        <f t="shared" si="3671"/>
        <v/>
      </c>
      <c r="EU263" s="43" t="str">
        <f t="shared" si="3672"/>
        <v/>
      </c>
      <c r="EV263" s="43" t="str">
        <f t="shared" si="3673"/>
        <v/>
      </c>
      <c r="EW263" s="43" t="str">
        <f t="shared" si="3674"/>
        <v/>
      </c>
      <c r="EX263" s="43" t="str">
        <f t="shared" si="3675"/>
        <v/>
      </c>
      <c r="EY263" s="43" t="str">
        <f t="shared" si="3676"/>
        <v/>
      </c>
      <c r="EZ263" s="43" t="str">
        <f t="shared" si="3677"/>
        <v/>
      </c>
      <c r="FA263" s="43" t="str">
        <f t="shared" si="3678"/>
        <v/>
      </c>
      <c r="FB263" s="43" t="str">
        <f t="shared" si="3679"/>
        <v/>
      </c>
      <c r="FC263" s="43" t="str">
        <f t="shared" si="3680"/>
        <v/>
      </c>
      <c r="FD263" s="43" t="str">
        <f t="shared" si="3681"/>
        <v/>
      </c>
      <c r="FE263" s="43" t="str">
        <f t="shared" si="3682"/>
        <v/>
      </c>
      <c r="FF263" s="43" t="str">
        <f t="shared" si="3683"/>
        <v/>
      </c>
      <c r="FG263" s="43" t="str">
        <f t="shared" si="3684"/>
        <v/>
      </c>
      <c r="FH263" s="43" t="str">
        <f t="shared" si="3685"/>
        <v/>
      </c>
      <c r="FI263" s="43" t="str">
        <f t="shared" si="3686"/>
        <v/>
      </c>
      <c r="FJ263" s="43" t="str">
        <f t="shared" si="3687"/>
        <v/>
      </c>
      <c r="FK263" s="43" t="str">
        <f t="shared" si="3688"/>
        <v/>
      </c>
      <c r="FL263" s="43" t="str">
        <f t="shared" si="3689"/>
        <v/>
      </c>
      <c r="FM263" s="43" t="str">
        <f t="shared" si="3690"/>
        <v/>
      </c>
      <c r="FN263" s="43" t="str">
        <f t="shared" si="3691"/>
        <v/>
      </c>
      <c r="FO263" s="43" t="str">
        <f t="shared" si="3692"/>
        <v/>
      </c>
      <c r="FP263" s="43" t="str">
        <f t="shared" si="3693"/>
        <v/>
      </c>
      <c r="FQ263" s="43" t="str">
        <f t="shared" si="3694"/>
        <v/>
      </c>
      <c r="FR263" s="43" t="str">
        <f t="shared" si="3695"/>
        <v/>
      </c>
      <c r="FS263" s="43" t="str">
        <f t="shared" si="3696"/>
        <v/>
      </c>
    </row>
    <row r="264" spans="1:175" ht="16.5">
      <c r="A264" s="10"/>
      <c r="B264" s="44"/>
      <c r="C264" s="10"/>
      <c r="E264" s="99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74"/>
      <c r="Q264" s="74"/>
      <c r="R264" s="74"/>
      <c r="S264" s="74"/>
      <c r="T264" s="106"/>
      <c r="U264" s="55"/>
      <c r="CU264" s="67" t="str">
        <f t="shared" si="3626"/>
        <v>|n</v>
      </c>
      <c r="CW264" s="6"/>
      <c r="CX264" s="6"/>
      <c r="CY264" s="6"/>
      <c r="CZ264" s="6"/>
      <c r="DA264" s="6"/>
      <c r="DB264" s="43" t="str">
        <f t="shared" si="3627"/>
        <v/>
      </c>
      <c r="DC264" s="43" t="str">
        <f t="shared" si="3628"/>
        <v/>
      </c>
      <c r="DD264" s="43" t="str">
        <f t="shared" si="3629"/>
        <v/>
      </c>
      <c r="DE264" s="43" t="str">
        <f t="shared" si="3630"/>
        <v/>
      </c>
      <c r="DF264" s="43" t="str">
        <f t="shared" si="3631"/>
        <v/>
      </c>
      <c r="DG264" s="43" t="str">
        <f t="shared" si="3632"/>
        <v/>
      </c>
      <c r="DH264" s="43" t="str">
        <f t="shared" si="3633"/>
        <v/>
      </c>
      <c r="DI264" s="43" t="str">
        <f t="shared" si="3634"/>
        <v/>
      </c>
      <c r="DJ264" s="43" t="str">
        <f t="shared" si="3635"/>
        <v/>
      </c>
      <c r="DK264" s="43" t="str">
        <f t="shared" si="3636"/>
        <v/>
      </c>
      <c r="DL264" s="43" t="str">
        <f t="shared" si="3637"/>
        <v/>
      </c>
      <c r="DM264" s="43" t="str">
        <f t="shared" si="3638"/>
        <v/>
      </c>
      <c r="DN264" s="43" t="str">
        <f t="shared" si="3639"/>
        <v/>
      </c>
      <c r="DO264" s="43" t="str">
        <f t="shared" si="3640"/>
        <v/>
      </c>
      <c r="DP264" s="43" t="str">
        <f t="shared" si="3641"/>
        <v/>
      </c>
      <c r="DQ264" s="43" t="str">
        <f t="shared" si="3642"/>
        <v/>
      </c>
      <c r="DR264" s="43" t="str">
        <f t="shared" si="3643"/>
        <v/>
      </c>
      <c r="DS264" s="43" t="str">
        <f t="shared" si="3644"/>
        <v/>
      </c>
      <c r="DT264" s="43" t="str">
        <f t="shared" si="3645"/>
        <v/>
      </c>
      <c r="DU264" s="43" t="str">
        <f t="shared" si="3646"/>
        <v/>
      </c>
      <c r="DV264" s="43" t="str">
        <f t="shared" si="3647"/>
        <v/>
      </c>
      <c r="DW264" s="43" t="str">
        <f t="shared" si="3648"/>
        <v/>
      </c>
      <c r="DX264" s="43" t="str">
        <f t="shared" si="3649"/>
        <v/>
      </c>
      <c r="DY264" s="43" t="str">
        <f t="shared" si="3650"/>
        <v/>
      </c>
      <c r="DZ264" s="43" t="str">
        <f t="shared" si="3651"/>
        <v/>
      </c>
      <c r="EA264" s="43" t="str">
        <f t="shared" si="3652"/>
        <v/>
      </c>
      <c r="EB264" s="43" t="str">
        <f t="shared" si="3653"/>
        <v/>
      </c>
      <c r="EC264" s="43" t="str">
        <f t="shared" si="3654"/>
        <v/>
      </c>
      <c r="ED264" s="43" t="str">
        <f t="shared" si="3655"/>
        <v/>
      </c>
      <c r="EE264" s="43" t="str">
        <f t="shared" si="3656"/>
        <v/>
      </c>
      <c r="EF264" s="43" t="str">
        <f t="shared" si="3657"/>
        <v/>
      </c>
      <c r="EG264" s="43" t="str">
        <f t="shared" si="3658"/>
        <v/>
      </c>
      <c r="EH264" s="43" t="str">
        <f t="shared" si="3659"/>
        <v/>
      </c>
      <c r="EI264" s="43" t="str">
        <f t="shared" si="3660"/>
        <v/>
      </c>
      <c r="EJ264" s="43" t="str">
        <f t="shared" si="3661"/>
        <v/>
      </c>
      <c r="EK264" s="43" t="str">
        <f t="shared" si="3662"/>
        <v/>
      </c>
      <c r="EL264" s="43" t="str">
        <f t="shared" si="3663"/>
        <v/>
      </c>
      <c r="EM264" s="43" t="str">
        <f t="shared" si="3664"/>
        <v/>
      </c>
      <c r="EN264" s="43" t="str">
        <f t="shared" si="3665"/>
        <v/>
      </c>
      <c r="EO264" s="43" t="str">
        <f t="shared" si="3666"/>
        <v/>
      </c>
      <c r="EP264" s="43" t="str">
        <f t="shared" si="3667"/>
        <v/>
      </c>
      <c r="EQ264" s="43" t="str">
        <f t="shared" si="3668"/>
        <v/>
      </c>
      <c r="ER264" s="43" t="str">
        <f t="shared" si="3669"/>
        <v/>
      </c>
      <c r="ES264" s="43" t="str">
        <f t="shared" si="3670"/>
        <v/>
      </c>
      <c r="ET264" s="43" t="str">
        <f t="shared" si="3671"/>
        <v/>
      </c>
      <c r="EU264" s="43" t="str">
        <f t="shared" si="3672"/>
        <v/>
      </c>
      <c r="EV264" s="43" t="str">
        <f t="shared" si="3673"/>
        <v/>
      </c>
      <c r="EW264" s="43" t="str">
        <f t="shared" si="3674"/>
        <v/>
      </c>
      <c r="EX264" s="43" t="str">
        <f t="shared" si="3675"/>
        <v/>
      </c>
      <c r="EY264" s="43" t="str">
        <f t="shared" si="3676"/>
        <v/>
      </c>
      <c r="EZ264" s="43" t="str">
        <f t="shared" si="3677"/>
        <v/>
      </c>
      <c r="FA264" s="43" t="str">
        <f t="shared" si="3678"/>
        <v/>
      </c>
      <c r="FB264" s="43" t="str">
        <f t="shared" si="3679"/>
        <v/>
      </c>
      <c r="FC264" s="43" t="str">
        <f t="shared" si="3680"/>
        <v/>
      </c>
      <c r="FD264" s="43" t="str">
        <f t="shared" si="3681"/>
        <v/>
      </c>
      <c r="FE264" s="43" t="str">
        <f t="shared" si="3682"/>
        <v/>
      </c>
      <c r="FF264" s="43" t="str">
        <f t="shared" si="3683"/>
        <v/>
      </c>
      <c r="FG264" s="43" t="str">
        <f t="shared" si="3684"/>
        <v/>
      </c>
      <c r="FH264" s="43" t="str">
        <f t="shared" si="3685"/>
        <v/>
      </c>
      <c r="FI264" s="43" t="str">
        <f t="shared" si="3686"/>
        <v/>
      </c>
      <c r="FJ264" s="43" t="str">
        <f t="shared" si="3687"/>
        <v/>
      </c>
      <c r="FK264" s="43" t="str">
        <f t="shared" si="3688"/>
        <v/>
      </c>
      <c r="FL264" s="43" t="str">
        <f t="shared" si="3689"/>
        <v/>
      </c>
      <c r="FM264" s="43" t="str">
        <f t="shared" si="3690"/>
        <v/>
      </c>
      <c r="FN264" s="43" t="str">
        <f t="shared" si="3691"/>
        <v/>
      </c>
      <c r="FO264" s="43" t="str">
        <f t="shared" si="3692"/>
        <v/>
      </c>
      <c r="FP264" s="43" t="str">
        <f t="shared" si="3693"/>
        <v/>
      </c>
      <c r="FQ264" s="43" t="str">
        <f t="shared" si="3694"/>
        <v/>
      </c>
      <c r="FR264" s="43" t="str">
        <f t="shared" si="3695"/>
        <v/>
      </c>
      <c r="FS264" s="43" t="str">
        <f t="shared" si="3696"/>
        <v/>
      </c>
    </row>
    <row r="265" spans="1:175" ht="16.5">
      <c r="A265" s="10"/>
      <c r="B265" s="44"/>
      <c r="C265" s="10"/>
      <c r="E265" s="99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74"/>
      <c r="Q265" s="74"/>
      <c r="R265" s="74"/>
      <c r="S265" s="74"/>
      <c r="T265" s="106"/>
      <c r="U265" s="55"/>
      <c r="CU265" s="67" t="str">
        <f t="shared" si="3626"/>
        <v>|n</v>
      </c>
      <c r="CW265" s="6"/>
      <c r="CX265" s="6"/>
      <c r="CY265" s="6"/>
      <c r="CZ265" s="6"/>
      <c r="DA265" s="6"/>
      <c r="DB265" s="43" t="str">
        <f t="shared" si="3627"/>
        <v/>
      </c>
      <c r="DC265" s="43" t="str">
        <f t="shared" si="3628"/>
        <v/>
      </c>
      <c r="DD265" s="43" t="str">
        <f t="shared" si="3629"/>
        <v/>
      </c>
      <c r="DE265" s="43" t="str">
        <f t="shared" si="3630"/>
        <v/>
      </c>
      <c r="DF265" s="43" t="str">
        <f t="shared" si="3631"/>
        <v/>
      </c>
      <c r="DG265" s="43" t="str">
        <f t="shared" si="3632"/>
        <v/>
      </c>
      <c r="DH265" s="43" t="str">
        <f t="shared" si="3633"/>
        <v/>
      </c>
      <c r="DI265" s="43" t="str">
        <f t="shared" si="3634"/>
        <v/>
      </c>
      <c r="DJ265" s="43" t="str">
        <f t="shared" si="3635"/>
        <v/>
      </c>
      <c r="DK265" s="43" t="str">
        <f t="shared" si="3636"/>
        <v/>
      </c>
      <c r="DL265" s="43" t="str">
        <f t="shared" si="3637"/>
        <v/>
      </c>
      <c r="DM265" s="43" t="str">
        <f t="shared" si="3638"/>
        <v/>
      </c>
      <c r="DN265" s="43" t="str">
        <f t="shared" si="3639"/>
        <v/>
      </c>
      <c r="DO265" s="43" t="str">
        <f t="shared" si="3640"/>
        <v/>
      </c>
      <c r="DP265" s="43" t="str">
        <f t="shared" si="3641"/>
        <v/>
      </c>
      <c r="DQ265" s="43" t="str">
        <f t="shared" si="3642"/>
        <v/>
      </c>
      <c r="DR265" s="43" t="str">
        <f t="shared" si="3643"/>
        <v/>
      </c>
      <c r="DS265" s="43" t="str">
        <f t="shared" si="3644"/>
        <v/>
      </c>
      <c r="DT265" s="43" t="str">
        <f t="shared" si="3645"/>
        <v/>
      </c>
      <c r="DU265" s="43" t="str">
        <f t="shared" si="3646"/>
        <v/>
      </c>
      <c r="DV265" s="43" t="str">
        <f t="shared" si="3647"/>
        <v/>
      </c>
      <c r="DW265" s="43" t="str">
        <f t="shared" si="3648"/>
        <v/>
      </c>
      <c r="DX265" s="43" t="str">
        <f t="shared" si="3649"/>
        <v/>
      </c>
      <c r="DY265" s="43" t="str">
        <f t="shared" si="3650"/>
        <v/>
      </c>
      <c r="DZ265" s="43" t="str">
        <f t="shared" si="3651"/>
        <v/>
      </c>
      <c r="EA265" s="43" t="str">
        <f t="shared" si="3652"/>
        <v/>
      </c>
      <c r="EB265" s="43" t="str">
        <f t="shared" si="3653"/>
        <v/>
      </c>
      <c r="EC265" s="43" t="str">
        <f t="shared" si="3654"/>
        <v/>
      </c>
      <c r="ED265" s="43" t="str">
        <f t="shared" si="3655"/>
        <v/>
      </c>
      <c r="EE265" s="43" t="str">
        <f t="shared" si="3656"/>
        <v/>
      </c>
      <c r="EF265" s="43" t="str">
        <f t="shared" si="3657"/>
        <v/>
      </c>
      <c r="EG265" s="43" t="str">
        <f t="shared" si="3658"/>
        <v/>
      </c>
      <c r="EH265" s="43" t="str">
        <f t="shared" si="3659"/>
        <v/>
      </c>
      <c r="EI265" s="43" t="str">
        <f t="shared" si="3660"/>
        <v/>
      </c>
      <c r="EJ265" s="43" t="str">
        <f t="shared" si="3661"/>
        <v/>
      </c>
      <c r="EK265" s="43" t="str">
        <f t="shared" si="3662"/>
        <v/>
      </c>
      <c r="EL265" s="43" t="str">
        <f t="shared" si="3663"/>
        <v/>
      </c>
      <c r="EM265" s="43" t="str">
        <f t="shared" si="3664"/>
        <v/>
      </c>
      <c r="EN265" s="43" t="str">
        <f t="shared" si="3665"/>
        <v/>
      </c>
      <c r="EO265" s="43" t="str">
        <f t="shared" si="3666"/>
        <v/>
      </c>
      <c r="EP265" s="43" t="str">
        <f t="shared" si="3667"/>
        <v/>
      </c>
      <c r="EQ265" s="43" t="str">
        <f t="shared" si="3668"/>
        <v/>
      </c>
      <c r="ER265" s="43" t="str">
        <f t="shared" si="3669"/>
        <v/>
      </c>
      <c r="ES265" s="43" t="str">
        <f t="shared" si="3670"/>
        <v/>
      </c>
      <c r="ET265" s="43" t="str">
        <f t="shared" si="3671"/>
        <v/>
      </c>
      <c r="EU265" s="43" t="str">
        <f t="shared" si="3672"/>
        <v/>
      </c>
      <c r="EV265" s="43" t="str">
        <f t="shared" si="3673"/>
        <v/>
      </c>
      <c r="EW265" s="43" t="str">
        <f t="shared" si="3674"/>
        <v/>
      </c>
      <c r="EX265" s="43" t="str">
        <f t="shared" si="3675"/>
        <v/>
      </c>
      <c r="EY265" s="43" t="str">
        <f t="shared" si="3676"/>
        <v/>
      </c>
      <c r="EZ265" s="43" t="str">
        <f t="shared" si="3677"/>
        <v/>
      </c>
      <c r="FA265" s="43" t="str">
        <f t="shared" si="3678"/>
        <v/>
      </c>
      <c r="FB265" s="43" t="str">
        <f t="shared" si="3679"/>
        <v/>
      </c>
      <c r="FC265" s="43" t="str">
        <f t="shared" si="3680"/>
        <v/>
      </c>
      <c r="FD265" s="43" t="str">
        <f t="shared" si="3681"/>
        <v/>
      </c>
      <c r="FE265" s="43" t="str">
        <f t="shared" si="3682"/>
        <v/>
      </c>
      <c r="FF265" s="43" t="str">
        <f t="shared" si="3683"/>
        <v/>
      </c>
      <c r="FG265" s="43" t="str">
        <f t="shared" si="3684"/>
        <v/>
      </c>
      <c r="FH265" s="43" t="str">
        <f t="shared" si="3685"/>
        <v/>
      </c>
      <c r="FI265" s="43" t="str">
        <f t="shared" si="3686"/>
        <v/>
      </c>
      <c r="FJ265" s="43" t="str">
        <f t="shared" si="3687"/>
        <v/>
      </c>
      <c r="FK265" s="43" t="str">
        <f t="shared" si="3688"/>
        <v/>
      </c>
      <c r="FL265" s="43" t="str">
        <f t="shared" si="3689"/>
        <v/>
      </c>
      <c r="FM265" s="43" t="str">
        <f t="shared" si="3690"/>
        <v/>
      </c>
      <c r="FN265" s="43" t="str">
        <f t="shared" si="3691"/>
        <v/>
      </c>
      <c r="FO265" s="43" t="str">
        <f t="shared" si="3692"/>
        <v/>
      </c>
      <c r="FP265" s="43" t="str">
        <f t="shared" si="3693"/>
        <v/>
      </c>
      <c r="FQ265" s="43" t="str">
        <f t="shared" si="3694"/>
        <v/>
      </c>
      <c r="FR265" s="43" t="str">
        <f t="shared" si="3695"/>
        <v/>
      </c>
      <c r="FS265" s="43" t="str">
        <f t="shared" si="3696"/>
        <v/>
      </c>
    </row>
    <row r="266" spans="1:175" ht="16.5">
      <c r="A266" s="10"/>
      <c r="B266" s="44"/>
      <c r="C266" s="10"/>
      <c r="E266" s="99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74"/>
      <c r="Q266" s="74"/>
      <c r="R266" s="74"/>
      <c r="S266" s="74"/>
      <c r="T266" s="106"/>
      <c r="U266" s="55"/>
      <c r="CU266" s="67" t="str">
        <f t="shared" si="3626"/>
        <v>|n</v>
      </c>
      <c r="CW266" s="6"/>
      <c r="CX266" s="6"/>
      <c r="CY266" s="6"/>
      <c r="CZ266" s="6"/>
      <c r="DA266" s="6"/>
      <c r="DB266" s="43" t="str">
        <f t="shared" si="3627"/>
        <v/>
      </c>
      <c r="DC266" s="43" t="str">
        <f t="shared" si="3628"/>
        <v/>
      </c>
      <c r="DD266" s="43" t="str">
        <f t="shared" si="3629"/>
        <v/>
      </c>
      <c r="DE266" s="43" t="str">
        <f t="shared" si="3630"/>
        <v/>
      </c>
      <c r="DF266" s="43" t="str">
        <f t="shared" si="3631"/>
        <v/>
      </c>
      <c r="DG266" s="43" t="str">
        <f t="shared" si="3632"/>
        <v/>
      </c>
      <c r="DH266" s="43" t="str">
        <f t="shared" si="3633"/>
        <v/>
      </c>
      <c r="DI266" s="43" t="str">
        <f t="shared" si="3634"/>
        <v/>
      </c>
      <c r="DJ266" s="43" t="str">
        <f t="shared" si="3635"/>
        <v/>
      </c>
      <c r="DK266" s="43" t="str">
        <f t="shared" si="3636"/>
        <v/>
      </c>
      <c r="DL266" s="43" t="str">
        <f t="shared" si="3637"/>
        <v/>
      </c>
      <c r="DM266" s="43" t="str">
        <f t="shared" si="3638"/>
        <v/>
      </c>
      <c r="DN266" s="43" t="str">
        <f t="shared" si="3639"/>
        <v/>
      </c>
      <c r="DO266" s="43" t="str">
        <f t="shared" si="3640"/>
        <v/>
      </c>
      <c r="DP266" s="43" t="str">
        <f t="shared" si="3641"/>
        <v/>
      </c>
      <c r="DQ266" s="43" t="str">
        <f t="shared" si="3642"/>
        <v/>
      </c>
      <c r="DR266" s="43" t="str">
        <f t="shared" si="3643"/>
        <v/>
      </c>
      <c r="DS266" s="43" t="str">
        <f t="shared" si="3644"/>
        <v/>
      </c>
      <c r="DT266" s="43" t="str">
        <f t="shared" si="3645"/>
        <v/>
      </c>
      <c r="DU266" s="43" t="str">
        <f t="shared" si="3646"/>
        <v/>
      </c>
      <c r="DV266" s="43" t="str">
        <f t="shared" si="3647"/>
        <v/>
      </c>
      <c r="DW266" s="43" t="str">
        <f t="shared" si="3648"/>
        <v/>
      </c>
      <c r="DX266" s="43" t="str">
        <f t="shared" si="3649"/>
        <v/>
      </c>
      <c r="DY266" s="43" t="str">
        <f t="shared" si="3650"/>
        <v/>
      </c>
      <c r="DZ266" s="43" t="str">
        <f t="shared" si="3651"/>
        <v/>
      </c>
      <c r="EA266" s="43" t="str">
        <f t="shared" si="3652"/>
        <v/>
      </c>
      <c r="EB266" s="43" t="str">
        <f t="shared" si="3653"/>
        <v/>
      </c>
      <c r="EC266" s="43" t="str">
        <f t="shared" si="3654"/>
        <v/>
      </c>
      <c r="ED266" s="43" t="str">
        <f t="shared" si="3655"/>
        <v/>
      </c>
      <c r="EE266" s="43" t="str">
        <f t="shared" si="3656"/>
        <v/>
      </c>
      <c r="EF266" s="43" t="str">
        <f t="shared" si="3657"/>
        <v/>
      </c>
      <c r="EG266" s="43" t="str">
        <f t="shared" si="3658"/>
        <v/>
      </c>
      <c r="EH266" s="43" t="str">
        <f t="shared" si="3659"/>
        <v/>
      </c>
      <c r="EI266" s="43" t="str">
        <f t="shared" si="3660"/>
        <v/>
      </c>
      <c r="EJ266" s="43" t="str">
        <f t="shared" si="3661"/>
        <v/>
      </c>
      <c r="EK266" s="43" t="str">
        <f t="shared" si="3662"/>
        <v/>
      </c>
      <c r="EL266" s="43" t="str">
        <f t="shared" si="3663"/>
        <v/>
      </c>
      <c r="EM266" s="43" t="str">
        <f t="shared" si="3664"/>
        <v/>
      </c>
      <c r="EN266" s="43" t="str">
        <f t="shared" si="3665"/>
        <v/>
      </c>
      <c r="EO266" s="43" t="str">
        <f t="shared" si="3666"/>
        <v/>
      </c>
      <c r="EP266" s="43" t="str">
        <f t="shared" si="3667"/>
        <v/>
      </c>
      <c r="EQ266" s="43" t="str">
        <f t="shared" si="3668"/>
        <v/>
      </c>
      <c r="ER266" s="43" t="str">
        <f t="shared" si="3669"/>
        <v/>
      </c>
      <c r="ES266" s="43" t="str">
        <f t="shared" si="3670"/>
        <v/>
      </c>
      <c r="ET266" s="43" t="str">
        <f t="shared" si="3671"/>
        <v/>
      </c>
      <c r="EU266" s="43" t="str">
        <f t="shared" si="3672"/>
        <v/>
      </c>
      <c r="EV266" s="43" t="str">
        <f t="shared" si="3673"/>
        <v/>
      </c>
      <c r="EW266" s="43" t="str">
        <f t="shared" si="3674"/>
        <v/>
      </c>
      <c r="EX266" s="43" t="str">
        <f t="shared" si="3675"/>
        <v/>
      </c>
      <c r="EY266" s="43" t="str">
        <f t="shared" si="3676"/>
        <v/>
      </c>
      <c r="EZ266" s="43" t="str">
        <f t="shared" si="3677"/>
        <v/>
      </c>
      <c r="FA266" s="43" t="str">
        <f t="shared" si="3678"/>
        <v/>
      </c>
      <c r="FB266" s="43" t="str">
        <f t="shared" si="3679"/>
        <v/>
      </c>
      <c r="FC266" s="43" t="str">
        <f t="shared" si="3680"/>
        <v/>
      </c>
      <c r="FD266" s="43" t="str">
        <f t="shared" si="3681"/>
        <v/>
      </c>
      <c r="FE266" s="43" t="str">
        <f t="shared" si="3682"/>
        <v/>
      </c>
      <c r="FF266" s="43" t="str">
        <f t="shared" si="3683"/>
        <v/>
      </c>
      <c r="FG266" s="43" t="str">
        <f t="shared" si="3684"/>
        <v/>
      </c>
      <c r="FH266" s="43" t="str">
        <f t="shared" si="3685"/>
        <v/>
      </c>
      <c r="FI266" s="43" t="str">
        <f t="shared" si="3686"/>
        <v/>
      </c>
      <c r="FJ266" s="43" t="str">
        <f t="shared" si="3687"/>
        <v/>
      </c>
      <c r="FK266" s="43" t="str">
        <f t="shared" si="3688"/>
        <v/>
      </c>
      <c r="FL266" s="43" t="str">
        <f t="shared" si="3689"/>
        <v/>
      </c>
      <c r="FM266" s="43" t="str">
        <f t="shared" si="3690"/>
        <v/>
      </c>
      <c r="FN266" s="43" t="str">
        <f t="shared" si="3691"/>
        <v/>
      </c>
      <c r="FO266" s="43" t="str">
        <f t="shared" si="3692"/>
        <v/>
      </c>
      <c r="FP266" s="43" t="str">
        <f t="shared" si="3693"/>
        <v/>
      </c>
      <c r="FQ266" s="43" t="str">
        <f t="shared" si="3694"/>
        <v/>
      </c>
      <c r="FR266" s="43" t="str">
        <f t="shared" si="3695"/>
        <v/>
      </c>
      <c r="FS266" s="43" t="str">
        <f t="shared" si="3696"/>
        <v/>
      </c>
    </row>
    <row r="267" spans="1:175">
      <c r="A267" s="7"/>
      <c r="B267" s="7"/>
      <c r="C267" s="7"/>
      <c r="E267" s="100"/>
      <c r="T267" s="105"/>
      <c r="U267" s="55"/>
      <c r="CU267" s="67" t="str">
        <f t="shared" si="3626"/>
        <v>|n</v>
      </c>
      <c r="CW267" s="6"/>
      <c r="CX267" s="6"/>
      <c r="CY267" s="6"/>
      <c r="CZ267" s="6"/>
      <c r="DA267" s="6"/>
      <c r="DB267" s="43" t="str">
        <f t="shared" si="3627"/>
        <v/>
      </c>
      <c r="DC267" s="43" t="str">
        <f t="shared" si="3628"/>
        <v/>
      </c>
      <c r="DD267" s="43" t="str">
        <f t="shared" si="3629"/>
        <v/>
      </c>
      <c r="DE267" s="43" t="str">
        <f t="shared" si="3630"/>
        <v/>
      </c>
      <c r="DF267" s="43" t="str">
        <f t="shared" si="3631"/>
        <v/>
      </c>
      <c r="DG267" s="43" t="str">
        <f t="shared" si="3632"/>
        <v/>
      </c>
      <c r="DH267" s="43" t="str">
        <f t="shared" si="3633"/>
        <v/>
      </c>
      <c r="DI267" s="43" t="str">
        <f t="shared" si="3634"/>
        <v/>
      </c>
      <c r="DJ267" s="43" t="str">
        <f t="shared" si="3635"/>
        <v/>
      </c>
      <c r="DK267" s="43" t="str">
        <f t="shared" si="3636"/>
        <v/>
      </c>
      <c r="DL267" s="43" t="str">
        <f t="shared" si="3637"/>
        <v/>
      </c>
      <c r="DM267" s="43" t="str">
        <f t="shared" si="3638"/>
        <v/>
      </c>
      <c r="DN267" s="43" t="str">
        <f t="shared" si="3639"/>
        <v/>
      </c>
      <c r="DO267" s="43" t="str">
        <f t="shared" si="3640"/>
        <v/>
      </c>
      <c r="DP267" s="43" t="str">
        <f t="shared" si="3641"/>
        <v/>
      </c>
      <c r="DQ267" s="43" t="str">
        <f t="shared" si="3642"/>
        <v/>
      </c>
      <c r="DR267" s="43" t="str">
        <f t="shared" si="3643"/>
        <v/>
      </c>
      <c r="DS267" s="43" t="str">
        <f t="shared" si="3644"/>
        <v/>
      </c>
      <c r="DT267" s="43" t="str">
        <f t="shared" si="3645"/>
        <v/>
      </c>
      <c r="DU267" s="43" t="str">
        <f t="shared" si="3646"/>
        <v/>
      </c>
      <c r="DV267" s="43" t="str">
        <f t="shared" si="3647"/>
        <v/>
      </c>
      <c r="DW267" s="43" t="str">
        <f t="shared" si="3648"/>
        <v/>
      </c>
      <c r="DX267" s="43" t="str">
        <f t="shared" si="3649"/>
        <v/>
      </c>
      <c r="DY267" s="43" t="str">
        <f t="shared" si="3650"/>
        <v/>
      </c>
      <c r="DZ267" s="43" t="str">
        <f t="shared" si="3651"/>
        <v/>
      </c>
      <c r="EA267" s="43" t="str">
        <f t="shared" si="3652"/>
        <v/>
      </c>
      <c r="EB267" s="43" t="str">
        <f t="shared" si="3653"/>
        <v/>
      </c>
      <c r="EC267" s="43" t="str">
        <f t="shared" si="3654"/>
        <v/>
      </c>
      <c r="ED267" s="43" t="str">
        <f t="shared" si="3655"/>
        <v/>
      </c>
      <c r="EE267" s="43" t="str">
        <f t="shared" si="3656"/>
        <v/>
      </c>
      <c r="EF267" s="43" t="str">
        <f t="shared" si="3657"/>
        <v/>
      </c>
      <c r="EG267" s="43" t="str">
        <f t="shared" si="3658"/>
        <v/>
      </c>
      <c r="EH267" s="43" t="str">
        <f t="shared" si="3659"/>
        <v/>
      </c>
      <c r="EI267" s="43" t="str">
        <f t="shared" si="3660"/>
        <v/>
      </c>
      <c r="EJ267" s="43" t="str">
        <f t="shared" si="3661"/>
        <v/>
      </c>
      <c r="EK267" s="43" t="str">
        <f t="shared" si="3662"/>
        <v/>
      </c>
      <c r="EL267" s="43" t="str">
        <f t="shared" si="3663"/>
        <v/>
      </c>
      <c r="EM267" s="43" t="str">
        <f t="shared" si="3664"/>
        <v/>
      </c>
      <c r="EN267" s="43" t="str">
        <f t="shared" si="3665"/>
        <v/>
      </c>
      <c r="EO267" s="43" t="str">
        <f t="shared" si="3666"/>
        <v/>
      </c>
      <c r="EP267" s="43" t="str">
        <f t="shared" si="3667"/>
        <v/>
      </c>
      <c r="EQ267" s="43" t="str">
        <f t="shared" si="3668"/>
        <v/>
      </c>
      <c r="ER267" s="43" t="str">
        <f t="shared" si="3669"/>
        <v/>
      </c>
      <c r="ES267" s="43" t="str">
        <f t="shared" si="3670"/>
        <v/>
      </c>
      <c r="ET267" s="43" t="str">
        <f t="shared" si="3671"/>
        <v/>
      </c>
      <c r="EU267" s="43" t="str">
        <f t="shared" si="3672"/>
        <v/>
      </c>
      <c r="EV267" s="43" t="str">
        <f t="shared" si="3673"/>
        <v/>
      </c>
      <c r="EW267" s="43" t="str">
        <f t="shared" si="3674"/>
        <v/>
      </c>
      <c r="EX267" s="43" t="str">
        <f t="shared" si="3675"/>
        <v/>
      </c>
      <c r="EY267" s="43" t="str">
        <f t="shared" si="3676"/>
        <v/>
      </c>
      <c r="EZ267" s="43" t="str">
        <f t="shared" si="3677"/>
        <v/>
      </c>
      <c r="FA267" s="43" t="str">
        <f t="shared" si="3678"/>
        <v/>
      </c>
      <c r="FB267" s="43" t="str">
        <f t="shared" si="3679"/>
        <v/>
      </c>
      <c r="FC267" s="43" t="str">
        <f t="shared" si="3680"/>
        <v/>
      </c>
      <c r="FD267" s="43" t="str">
        <f t="shared" si="3681"/>
        <v/>
      </c>
      <c r="FE267" s="43" t="str">
        <f t="shared" si="3682"/>
        <v/>
      </c>
      <c r="FF267" s="43" t="str">
        <f t="shared" si="3683"/>
        <v/>
      </c>
      <c r="FG267" s="43" t="str">
        <f t="shared" si="3684"/>
        <v/>
      </c>
      <c r="FH267" s="43" t="str">
        <f t="shared" si="3685"/>
        <v/>
      </c>
      <c r="FI267" s="43" t="str">
        <f t="shared" si="3686"/>
        <v/>
      </c>
      <c r="FJ267" s="43" t="str">
        <f t="shared" si="3687"/>
        <v/>
      </c>
      <c r="FK267" s="43" t="str">
        <f t="shared" si="3688"/>
        <v/>
      </c>
      <c r="FL267" s="43" t="str">
        <f t="shared" si="3689"/>
        <v/>
      </c>
      <c r="FM267" s="43" t="str">
        <f t="shared" si="3690"/>
        <v/>
      </c>
      <c r="FN267" s="43" t="str">
        <f t="shared" si="3691"/>
        <v/>
      </c>
      <c r="FO267" s="43" t="str">
        <f t="shared" si="3692"/>
        <v/>
      </c>
      <c r="FP267" s="43" t="str">
        <f t="shared" si="3693"/>
        <v/>
      </c>
      <c r="FQ267" s="43" t="str">
        <f t="shared" si="3694"/>
        <v/>
      </c>
      <c r="FR267" s="43" t="str">
        <f t="shared" si="3695"/>
        <v/>
      </c>
      <c r="FS267" s="43" t="str">
        <f t="shared" si="3696"/>
        <v/>
      </c>
    </row>
    <row r="268" spans="1:175">
      <c r="A268" s="7"/>
      <c r="B268" s="7"/>
      <c r="C268" s="7"/>
      <c r="E268" s="100"/>
      <c r="T268" s="105"/>
      <c r="U268" s="55"/>
      <c r="CU268" s="67" t="str">
        <f t="shared" si="3626"/>
        <v>|n</v>
      </c>
      <c r="CW268" s="6"/>
      <c r="CX268" s="6"/>
      <c r="CY268" s="6"/>
      <c r="CZ268" s="6"/>
      <c r="DA268" s="6"/>
      <c r="DB268" s="43" t="str">
        <f t="shared" si="3627"/>
        <v/>
      </c>
      <c r="DC268" s="43" t="str">
        <f t="shared" si="3628"/>
        <v/>
      </c>
      <c r="DD268" s="43" t="str">
        <f t="shared" si="3629"/>
        <v/>
      </c>
      <c r="DE268" s="43" t="str">
        <f t="shared" si="3630"/>
        <v/>
      </c>
      <c r="DF268" s="43" t="str">
        <f t="shared" si="3631"/>
        <v/>
      </c>
      <c r="DG268" s="43" t="str">
        <f t="shared" si="3632"/>
        <v/>
      </c>
      <c r="DH268" s="43" t="str">
        <f t="shared" si="3633"/>
        <v/>
      </c>
      <c r="DI268" s="43" t="str">
        <f t="shared" si="3634"/>
        <v/>
      </c>
      <c r="DJ268" s="43" t="str">
        <f t="shared" si="3635"/>
        <v/>
      </c>
      <c r="DK268" s="43" t="str">
        <f t="shared" si="3636"/>
        <v/>
      </c>
      <c r="DL268" s="43" t="str">
        <f t="shared" si="3637"/>
        <v/>
      </c>
      <c r="DM268" s="43" t="str">
        <f t="shared" si="3638"/>
        <v/>
      </c>
      <c r="DN268" s="43" t="str">
        <f t="shared" si="3639"/>
        <v/>
      </c>
      <c r="DO268" s="43" t="str">
        <f t="shared" si="3640"/>
        <v/>
      </c>
      <c r="DP268" s="43" t="str">
        <f t="shared" si="3641"/>
        <v/>
      </c>
      <c r="DQ268" s="43" t="str">
        <f t="shared" si="3642"/>
        <v/>
      </c>
      <c r="DR268" s="43" t="str">
        <f t="shared" si="3643"/>
        <v/>
      </c>
      <c r="DS268" s="43" t="str">
        <f t="shared" si="3644"/>
        <v/>
      </c>
      <c r="DT268" s="43" t="str">
        <f t="shared" si="3645"/>
        <v/>
      </c>
      <c r="DU268" s="43" t="str">
        <f t="shared" si="3646"/>
        <v/>
      </c>
      <c r="DV268" s="43" t="str">
        <f t="shared" si="3647"/>
        <v/>
      </c>
      <c r="DW268" s="43" t="str">
        <f t="shared" si="3648"/>
        <v/>
      </c>
      <c r="DX268" s="43" t="str">
        <f t="shared" si="3649"/>
        <v/>
      </c>
      <c r="DY268" s="43" t="str">
        <f t="shared" si="3650"/>
        <v/>
      </c>
      <c r="DZ268" s="43" t="str">
        <f t="shared" si="3651"/>
        <v/>
      </c>
      <c r="EA268" s="43" t="str">
        <f t="shared" si="3652"/>
        <v/>
      </c>
      <c r="EB268" s="43" t="str">
        <f t="shared" si="3653"/>
        <v/>
      </c>
      <c r="EC268" s="43" t="str">
        <f t="shared" si="3654"/>
        <v/>
      </c>
      <c r="ED268" s="43" t="str">
        <f t="shared" si="3655"/>
        <v/>
      </c>
      <c r="EE268" s="43" t="str">
        <f t="shared" si="3656"/>
        <v/>
      </c>
      <c r="EF268" s="43" t="str">
        <f t="shared" si="3657"/>
        <v/>
      </c>
      <c r="EG268" s="43" t="str">
        <f t="shared" si="3658"/>
        <v/>
      </c>
      <c r="EH268" s="43" t="str">
        <f t="shared" si="3659"/>
        <v/>
      </c>
      <c r="EI268" s="43" t="str">
        <f t="shared" si="3660"/>
        <v/>
      </c>
      <c r="EJ268" s="43" t="str">
        <f t="shared" si="3661"/>
        <v/>
      </c>
      <c r="EK268" s="43" t="str">
        <f t="shared" si="3662"/>
        <v/>
      </c>
      <c r="EL268" s="43" t="str">
        <f t="shared" si="3663"/>
        <v/>
      </c>
      <c r="EM268" s="43" t="str">
        <f t="shared" si="3664"/>
        <v/>
      </c>
      <c r="EN268" s="43" t="str">
        <f t="shared" si="3665"/>
        <v/>
      </c>
      <c r="EO268" s="43" t="str">
        <f t="shared" si="3666"/>
        <v/>
      </c>
      <c r="EP268" s="43" t="str">
        <f t="shared" si="3667"/>
        <v/>
      </c>
      <c r="EQ268" s="43" t="str">
        <f t="shared" si="3668"/>
        <v/>
      </c>
      <c r="ER268" s="43" t="str">
        <f t="shared" si="3669"/>
        <v/>
      </c>
      <c r="ES268" s="43" t="str">
        <f t="shared" si="3670"/>
        <v/>
      </c>
      <c r="ET268" s="43" t="str">
        <f t="shared" si="3671"/>
        <v/>
      </c>
      <c r="EU268" s="43" t="str">
        <f t="shared" si="3672"/>
        <v/>
      </c>
      <c r="EV268" s="43" t="str">
        <f t="shared" si="3673"/>
        <v/>
      </c>
      <c r="EW268" s="43" t="str">
        <f t="shared" si="3674"/>
        <v/>
      </c>
      <c r="EX268" s="43" t="str">
        <f t="shared" si="3675"/>
        <v/>
      </c>
      <c r="EY268" s="43" t="str">
        <f t="shared" si="3676"/>
        <v/>
      </c>
      <c r="EZ268" s="43" t="str">
        <f t="shared" si="3677"/>
        <v/>
      </c>
      <c r="FA268" s="43" t="str">
        <f t="shared" si="3678"/>
        <v/>
      </c>
      <c r="FB268" s="43" t="str">
        <f t="shared" si="3679"/>
        <v/>
      </c>
      <c r="FC268" s="43" t="str">
        <f t="shared" si="3680"/>
        <v/>
      </c>
      <c r="FD268" s="43" t="str">
        <f t="shared" si="3681"/>
        <v/>
      </c>
      <c r="FE268" s="43" t="str">
        <f t="shared" si="3682"/>
        <v/>
      </c>
      <c r="FF268" s="43" t="str">
        <f t="shared" si="3683"/>
        <v/>
      </c>
      <c r="FG268" s="43" t="str">
        <f t="shared" si="3684"/>
        <v/>
      </c>
      <c r="FH268" s="43" t="str">
        <f t="shared" si="3685"/>
        <v/>
      </c>
      <c r="FI268" s="43" t="str">
        <f t="shared" si="3686"/>
        <v/>
      </c>
      <c r="FJ268" s="43" t="str">
        <f t="shared" si="3687"/>
        <v/>
      </c>
      <c r="FK268" s="43" t="str">
        <f t="shared" si="3688"/>
        <v/>
      </c>
      <c r="FL268" s="43" t="str">
        <f t="shared" si="3689"/>
        <v/>
      </c>
      <c r="FM268" s="43" t="str">
        <f t="shared" si="3690"/>
        <v/>
      </c>
      <c r="FN268" s="43" t="str">
        <f t="shared" si="3691"/>
        <v/>
      </c>
      <c r="FO268" s="43" t="str">
        <f t="shared" si="3692"/>
        <v/>
      </c>
      <c r="FP268" s="43" t="str">
        <f t="shared" si="3693"/>
        <v/>
      </c>
      <c r="FQ268" s="43" t="str">
        <f t="shared" si="3694"/>
        <v/>
      </c>
      <c r="FR268" s="43" t="str">
        <f t="shared" si="3695"/>
        <v/>
      </c>
      <c r="FS268" s="43" t="str">
        <f t="shared" si="3696"/>
        <v/>
      </c>
    </row>
    <row r="269" spans="1:175" s="6" customFormat="1" ht="16.5">
      <c r="A269" s="96"/>
      <c r="B269" s="44"/>
      <c r="C269" s="96"/>
      <c r="D269" s="45"/>
      <c r="E269" s="46"/>
      <c r="F269" s="97"/>
      <c r="G269" s="98"/>
      <c r="H269" s="98"/>
      <c r="I269" s="98"/>
      <c r="J269" s="98"/>
      <c r="K269" s="98"/>
      <c r="L269" s="98"/>
      <c r="M269" s="98"/>
      <c r="N269" s="98"/>
      <c r="O269" s="98"/>
      <c r="P269" s="51"/>
      <c r="Q269" s="51"/>
      <c r="R269" s="51"/>
      <c r="S269" s="51"/>
      <c r="T269" s="58"/>
      <c r="U269" s="55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62"/>
      <c r="AS269" s="62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65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65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65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65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65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S269" s="65"/>
      <c r="CT269" s="65"/>
      <c r="CU269" s="67" t="str">
        <f t="shared" si="3626"/>
        <v>|n</v>
      </c>
      <c r="CV269" s="5"/>
      <c r="DB269" s="43" t="str">
        <f t="shared" si="3627"/>
        <v/>
      </c>
      <c r="DC269" s="43" t="str">
        <f t="shared" si="3628"/>
        <v/>
      </c>
      <c r="DD269" s="43" t="str">
        <f t="shared" si="3629"/>
        <v/>
      </c>
      <c r="DE269" s="43" t="str">
        <f t="shared" si="3630"/>
        <v/>
      </c>
      <c r="DF269" s="43" t="str">
        <f t="shared" si="3631"/>
        <v/>
      </c>
      <c r="DG269" s="43" t="str">
        <f t="shared" si="3632"/>
        <v/>
      </c>
      <c r="DH269" s="43" t="str">
        <f t="shared" si="3633"/>
        <v/>
      </c>
      <c r="DI269" s="43" t="str">
        <f t="shared" si="3634"/>
        <v/>
      </c>
      <c r="DJ269" s="43" t="str">
        <f t="shared" si="3635"/>
        <v/>
      </c>
      <c r="DK269" s="43" t="str">
        <f t="shared" si="3636"/>
        <v/>
      </c>
      <c r="DL269" s="43" t="str">
        <f t="shared" si="3637"/>
        <v/>
      </c>
      <c r="DM269" s="43" t="str">
        <f t="shared" si="3638"/>
        <v/>
      </c>
      <c r="DN269" s="43" t="str">
        <f t="shared" si="3639"/>
        <v/>
      </c>
      <c r="DO269" s="43" t="str">
        <f t="shared" si="3640"/>
        <v/>
      </c>
      <c r="DP269" s="43" t="str">
        <f t="shared" si="3641"/>
        <v/>
      </c>
      <c r="DQ269" s="43" t="str">
        <f t="shared" si="3642"/>
        <v/>
      </c>
      <c r="DR269" s="43" t="str">
        <f t="shared" si="3643"/>
        <v/>
      </c>
      <c r="DS269" s="43" t="str">
        <f t="shared" si="3644"/>
        <v/>
      </c>
      <c r="DT269" s="43" t="str">
        <f t="shared" si="3645"/>
        <v/>
      </c>
      <c r="DU269" s="43" t="str">
        <f t="shared" si="3646"/>
        <v/>
      </c>
      <c r="DV269" s="43" t="str">
        <f t="shared" si="3647"/>
        <v/>
      </c>
      <c r="DW269" s="43" t="str">
        <f t="shared" si="3648"/>
        <v/>
      </c>
      <c r="DX269" s="43" t="str">
        <f t="shared" si="3649"/>
        <v/>
      </c>
      <c r="DY269" s="43" t="str">
        <f t="shared" si="3650"/>
        <v/>
      </c>
      <c r="DZ269" s="43" t="str">
        <f t="shared" si="3651"/>
        <v/>
      </c>
      <c r="EA269" s="43" t="str">
        <f t="shared" si="3652"/>
        <v/>
      </c>
      <c r="EB269" s="43" t="str">
        <f t="shared" si="3653"/>
        <v/>
      </c>
      <c r="EC269" s="43" t="str">
        <f t="shared" si="3654"/>
        <v/>
      </c>
      <c r="ED269" s="43" t="str">
        <f t="shared" si="3655"/>
        <v/>
      </c>
      <c r="EE269" s="43" t="str">
        <f t="shared" si="3656"/>
        <v/>
      </c>
      <c r="EF269" s="43" t="str">
        <f t="shared" si="3657"/>
        <v/>
      </c>
      <c r="EG269" s="43" t="str">
        <f t="shared" si="3658"/>
        <v/>
      </c>
      <c r="EH269" s="43" t="str">
        <f t="shared" si="3659"/>
        <v/>
      </c>
      <c r="EI269" s="43" t="str">
        <f t="shared" si="3660"/>
        <v/>
      </c>
      <c r="EJ269" s="43" t="str">
        <f t="shared" si="3661"/>
        <v/>
      </c>
      <c r="EK269" s="43" t="str">
        <f t="shared" si="3662"/>
        <v/>
      </c>
      <c r="EL269" s="43" t="str">
        <f t="shared" si="3663"/>
        <v/>
      </c>
      <c r="EM269" s="43" t="str">
        <f t="shared" si="3664"/>
        <v/>
      </c>
      <c r="EN269" s="43" t="str">
        <f t="shared" si="3665"/>
        <v/>
      </c>
      <c r="EO269" s="43" t="str">
        <f t="shared" si="3666"/>
        <v/>
      </c>
      <c r="EP269" s="43" t="str">
        <f t="shared" si="3667"/>
        <v/>
      </c>
      <c r="EQ269" s="43" t="str">
        <f t="shared" si="3668"/>
        <v/>
      </c>
      <c r="ER269" s="43" t="str">
        <f t="shared" si="3669"/>
        <v/>
      </c>
      <c r="ES269" s="43" t="str">
        <f t="shared" si="3670"/>
        <v/>
      </c>
      <c r="ET269" s="43" t="str">
        <f t="shared" si="3671"/>
        <v/>
      </c>
      <c r="EU269" s="43" t="str">
        <f t="shared" si="3672"/>
        <v/>
      </c>
      <c r="EV269" s="43" t="str">
        <f t="shared" si="3673"/>
        <v/>
      </c>
      <c r="EW269" s="43" t="str">
        <f t="shared" si="3674"/>
        <v/>
      </c>
      <c r="EX269" s="43" t="str">
        <f t="shared" si="3675"/>
        <v/>
      </c>
      <c r="EY269" s="43" t="str">
        <f t="shared" si="3676"/>
        <v/>
      </c>
      <c r="EZ269" s="43" t="str">
        <f t="shared" si="3677"/>
        <v/>
      </c>
      <c r="FA269" s="43" t="str">
        <f t="shared" si="3678"/>
        <v/>
      </c>
      <c r="FB269" s="43" t="str">
        <f t="shared" si="3679"/>
        <v/>
      </c>
      <c r="FC269" s="43" t="str">
        <f t="shared" si="3680"/>
        <v/>
      </c>
      <c r="FD269" s="43" t="str">
        <f t="shared" si="3681"/>
        <v/>
      </c>
      <c r="FE269" s="43" t="str">
        <f t="shared" si="3682"/>
        <v/>
      </c>
      <c r="FF269" s="43" t="str">
        <f t="shared" si="3683"/>
        <v/>
      </c>
      <c r="FG269" s="43" t="str">
        <f t="shared" si="3684"/>
        <v/>
      </c>
      <c r="FH269" s="43" t="str">
        <f t="shared" si="3685"/>
        <v/>
      </c>
      <c r="FI269" s="43" t="str">
        <f t="shared" si="3686"/>
        <v/>
      </c>
      <c r="FJ269" s="43" t="str">
        <f t="shared" si="3687"/>
        <v/>
      </c>
      <c r="FK269" s="43" t="str">
        <f t="shared" si="3688"/>
        <v/>
      </c>
      <c r="FL269" s="43" t="str">
        <f t="shared" si="3689"/>
        <v/>
      </c>
      <c r="FM269" s="43" t="str">
        <f t="shared" si="3690"/>
        <v/>
      </c>
      <c r="FN269" s="43" t="str">
        <f t="shared" si="3691"/>
        <v/>
      </c>
      <c r="FO269" s="43" t="str">
        <f t="shared" si="3692"/>
        <v/>
      </c>
      <c r="FP269" s="43" t="str">
        <f t="shared" si="3693"/>
        <v/>
      </c>
      <c r="FQ269" s="43" t="str">
        <f t="shared" si="3694"/>
        <v/>
      </c>
      <c r="FR269" s="43" t="str">
        <f t="shared" si="3695"/>
        <v/>
      </c>
      <c r="FS269" s="43" t="str">
        <f t="shared" si="3696"/>
        <v/>
      </c>
    </row>
    <row r="270" spans="1:175" s="6" customFormat="1" ht="16.5">
      <c r="A270" s="96"/>
      <c r="B270" s="44"/>
      <c r="C270" s="96"/>
      <c r="D270" s="45"/>
      <c r="E270" s="46"/>
      <c r="F270" s="97"/>
      <c r="G270" s="98"/>
      <c r="H270" s="98"/>
      <c r="I270" s="98"/>
      <c r="J270" s="98"/>
      <c r="K270" s="98"/>
      <c r="L270" s="98"/>
      <c r="M270" s="98"/>
      <c r="N270" s="98"/>
      <c r="O270" s="98"/>
      <c r="P270" s="51"/>
      <c r="Q270" s="51"/>
      <c r="R270" s="51"/>
      <c r="S270" s="51"/>
      <c r="T270" s="58"/>
      <c r="U270" s="55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62"/>
      <c r="AS270" s="62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65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65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65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65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65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InitEquipData('',,"",,,,,'','','','','','',"")</v>
      </c>
      <c r="CS270" s="65"/>
      <c r="CT270" s="65"/>
      <c r="CU270" s="67" t="str">
        <f t="shared" si="3626"/>
        <v>|n</v>
      </c>
      <c r="CV270" s="5"/>
      <c r="DB270" s="43" t="str">
        <f t="shared" si="3627"/>
        <v/>
      </c>
      <c r="DC270" s="43" t="str">
        <f t="shared" si="3628"/>
        <v/>
      </c>
      <c r="DD270" s="43" t="str">
        <f t="shared" si="3629"/>
        <v/>
      </c>
      <c r="DE270" s="43" t="str">
        <f t="shared" si="3630"/>
        <v/>
      </c>
      <c r="DF270" s="43" t="str">
        <f t="shared" si="3631"/>
        <v/>
      </c>
      <c r="DG270" s="43" t="str">
        <f t="shared" si="3632"/>
        <v/>
      </c>
      <c r="DH270" s="43" t="str">
        <f t="shared" si="3633"/>
        <v/>
      </c>
      <c r="DI270" s="43" t="str">
        <f t="shared" si="3634"/>
        <v/>
      </c>
      <c r="DJ270" s="43" t="str">
        <f t="shared" si="3635"/>
        <v/>
      </c>
      <c r="DK270" s="43" t="str">
        <f t="shared" si="3636"/>
        <v/>
      </c>
      <c r="DL270" s="43" t="str">
        <f t="shared" si="3637"/>
        <v/>
      </c>
      <c r="DM270" s="43" t="str">
        <f t="shared" si="3638"/>
        <v/>
      </c>
      <c r="DN270" s="43" t="str">
        <f t="shared" si="3639"/>
        <v/>
      </c>
      <c r="DO270" s="43" t="str">
        <f t="shared" si="3640"/>
        <v/>
      </c>
      <c r="DP270" s="43" t="str">
        <f t="shared" si="3641"/>
        <v/>
      </c>
      <c r="DQ270" s="43" t="str">
        <f t="shared" si="3642"/>
        <v/>
      </c>
      <c r="DR270" s="43" t="str">
        <f t="shared" si="3643"/>
        <v/>
      </c>
      <c r="DS270" s="43" t="str">
        <f t="shared" si="3644"/>
        <v/>
      </c>
      <c r="DT270" s="43" t="str">
        <f t="shared" si="3645"/>
        <v/>
      </c>
      <c r="DU270" s="43" t="str">
        <f t="shared" si="3646"/>
        <v/>
      </c>
      <c r="DV270" s="43" t="str">
        <f t="shared" si="3647"/>
        <v/>
      </c>
      <c r="DW270" s="43" t="str">
        <f t="shared" si="3648"/>
        <v/>
      </c>
      <c r="DX270" s="43" t="str">
        <f t="shared" si="3649"/>
        <v/>
      </c>
      <c r="DY270" s="43" t="str">
        <f t="shared" si="3650"/>
        <v/>
      </c>
      <c r="DZ270" s="43" t="str">
        <f t="shared" si="3651"/>
        <v/>
      </c>
      <c r="EA270" s="43" t="str">
        <f t="shared" si="3652"/>
        <v/>
      </c>
      <c r="EB270" s="43" t="str">
        <f t="shared" si="3653"/>
        <v/>
      </c>
      <c r="EC270" s="43" t="str">
        <f t="shared" si="3654"/>
        <v/>
      </c>
      <c r="ED270" s="43" t="str">
        <f t="shared" si="3655"/>
        <v/>
      </c>
      <c r="EE270" s="43" t="str">
        <f t="shared" si="3656"/>
        <v/>
      </c>
      <c r="EF270" s="43" t="str">
        <f t="shared" si="3657"/>
        <v/>
      </c>
      <c r="EG270" s="43" t="str">
        <f t="shared" si="3658"/>
        <v/>
      </c>
      <c r="EH270" s="43" t="str">
        <f t="shared" si="3659"/>
        <v/>
      </c>
      <c r="EI270" s="43" t="str">
        <f t="shared" si="3660"/>
        <v/>
      </c>
      <c r="EJ270" s="43" t="str">
        <f t="shared" si="3661"/>
        <v/>
      </c>
      <c r="EK270" s="43" t="str">
        <f t="shared" si="3662"/>
        <v/>
      </c>
      <c r="EL270" s="43" t="str">
        <f t="shared" si="3663"/>
        <v/>
      </c>
      <c r="EM270" s="43" t="str">
        <f t="shared" si="3664"/>
        <v/>
      </c>
      <c r="EN270" s="43" t="str">
        <f t="shared" si="3665"/>
        <v/>
      </c>
      <c r="EO270" s="43" t="str">
        <f t="shared" si="3666"/>
        <v/>
      </c>
      <c r="EP270" s="43" t="str">
        <f t="shared" si="3667"/>
        <v/>
      </c>
      <c r="EQ270" s="43" t="str">
        <f t="shared" si="3668"/>
        <v/>
      </c>
      <c r="ER270" s="43" t="str">
        <f t="shared" si="3669"/>
        <v/>
      </c>
      <c r="ES270" s="43" t="str">
        <f t="shared" si="3670"/>
        <v/>
      </c>
      <c r="ET270" s="43" t="str">
        <f t="shared" si="3671"/>
        <v/>
      </c>
      <c r="EU270" s="43" t="str">
        <f t="shared" si="3672"/>
        <v/>
      </c>
      <c r="EV270" s="43" t="str">
        <f t="shared" si="3673"/>
        <v/>
      </c>
      <c r="EW270" s="43" t="str">
        <f t="shared" si="3674"/>
        <v/>
      </c>
      <c r="EX270" s="43" t="str">
        <f t="shared" si="3675"/>
        <v/>
      </c>
      <c r="EY270" s="43" t="str">
        <f t="shared" si="3676"/>
        <v/>
      </c>
      <c r="EZ270" s="43" t="str">
        <f t="shared" si="3677"/>
        <v/>
      </c>
      <c r="FA270" s="43" t="str">
        <f t="shared" si="3678"/>
        <v/>
      </c>
      <c r="FB270" s="43" t="str">
        <f t="shared" si="3679"/>
        <v/>
      </c>
      <c r="FC270" s="43" t="str">
        <f t="shared" si="3680"/>
        <v/>
      </c>
      <c r="FD270" s="43" t="str">
        <f t="shared" si="3681"/>
        <v/>
      </c>
      <c r="FE270" s="43" t="str">
        <f t="shared" si="3682"/>
        <v/>
      </c>
      <c r="FF270" s="43" t="str">
        <f t="shared" si="3683"/>
        <v/>
      </c>
      <c r="FG270" s="43" t="str">
        <f t="shared" si="3684"/>
        <v/>
      </c>
      <c r="FH270" s="43" t="str">
        <f t="shared" si="3685"/>
        <v/>
      </c>
      <c r="FI270" s="43" t="str">
        <f t="shared" si="3686"/>
        <v/>
      </c>
      <c r="FJ270" s="43" t="str">
        <f t="shared" si="3687"/>
        <v/>
      </c>
      <c r="FK270" s="43" t="str">
        <f t="shared" si="3688"/>
        <v/>
      </c>
      <c r="FL270" s="43" t="str">
        <f t="shared" si="3689"/>
        <v/>
      </c>
      <c r="FM270" s="43" t="str">
        <f t="shared" si="3690"/>
        <v/>
      </c>
      <c r="FN270" s="43" t="str">
        <f t="shared" si="3691"/>
        <v/>
      </c>
      <c r="FO270" s="43" t="str">
        <f t="shared" si="3692"/>
        <v/>
      </c>
      <c r="FP270" s="43" t="str">
        <f t="shared" si="3693"/>
        <v/>
      </c>
      <c r="FQ270" s="43" t="str">
        <f t="shared" si="3694"/>
        <v/>
      </c>
      <c r="FR270" s="43" t="str">
        <f t="shared" si="3695"/>
        <v/>
      </c>
      <c r="FS270" s="43" t="str">
        <f t="shared" si="3696"/>
        <v/>
      </c>
    </row>
    <row r="271" spans="1:175" s="6" customFormat="1" ht="16.5">
      <c r="A271" s="96"/>
      <c r="B271" s="44"/>
      <c r="C271" s="96"/>
      <c r="D271" s="45"/>
      <c r="E271" s="46"/>
      <c r="F271" s="97"/>
      <c r="G271" s="98"/>
      <c r="H271" s="98"/>
      <c r="I271" s="98"/>
      <c r="J271" s="98"/>
      <c r="K271" s="98"/>
      <c r="L271" s="98"/>
      <c r="M271" s="98"/>
      <c r="N271" s="98"/>
      <c r="O271" s="98"/>
      <c r="P271" s="51"/>
      <c r="Q271" s="51"/>
      <c r="R271" s="51"/>
      <c r="S271" s="51"/>
      <c r="T271" s="58"/>
      <c r="U271" s="55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62"/>
      <c r="AS271" s="62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I271" s="56"/>
      <c r="BJ271" s="56"/>
      <c r="BK271" s="56"/>
      <c r="BL271" s="56"/>
      <c r="BM271" s="56"/>
      <c r="BN271" s="56"/>
      <c r="BO271" s="56"/>
      <c r="BP271" s="56"/>
      <c r="BQ271" s="56"/>
      <c r="BR271" s="56"/>
      <c r="BS271" s="56"/>
      <c r="BT271" s="56"/>
      <c r="BU271" s="56"/>
      <c r="BV271" s="56"/>
      <c r="BW271" s="56"/>
      <c r="BX271" s="56"/>
      <c r="BY271" s="56"/>
      <c r="BZ271" s="56"/>
      <c r="CA271" s="56"/>
      <c r="CB271" s="56"/>
      <c r="CC271" s="56"/>
      <c r="CD271" s="56"/>
      <c r="CE271" s="56"/>
      <c r="CF271" s="56"/>
      <c r="CG271" s="56"/>
      <c r="CH271" s="56"/>
      <c r="CI271" s="56"/>
      <c r="CJ271" s="56"/>
      <c r="CK271" s="56"/>
      <c r="CL271" s="56"/>
      <c r="CM271" s="56"/>
      <c r="CN271" s="65" t="str">
        <f>"InitUnitState('"&amp;B271&amp;"',"&amp;V271&amp;","&amp;W271&amp;","&amp;X271&amp;","&amp;Y271&amp;","&amp;Z271&amp;","&amp;AA271&amp;","&amp;AB271&amp;","&amp;AC271&amp;","&amp;AD271&amp;","&amp;AE271&amp;")"</f>
        <v>InitUnitState('',,,,,,,,,,)</v>
      </c>
      <c r="CO271" s="65" t="str">
        <f>"InitUnitNormal('"&amp;B271&amp;"',"&amp;AF271&amp;","&amp;AG271&amp;","&amp;AH271&amp;","&amp;AI271&amp;","&amp;AJ271&amp;","&amp;AK271&amp;","&amp;AL271&amp;","&amp;AM271&amp;","&amp;AN271&amp;","&amp;AO271&amp;")"</f>
        <v>InitUnitNormal('',,,,,,,,,,)</v>
      </c>
      <c r="CP271" s="65" t="str">
        <f>"InitUnitMagic('"&amp;B271&amp;"',"&amp;AP271&amp;","&amp;AQ271&amp;","&amp;AR271&amp;","&amp;AS271&amp;","&amp;AT271&amp;","&amp;AU271&amp;","&amp;AV271&amp;","&amp;AW271&amp;","&amp;BI271&amp;","&amp;BJ271&amp;")"</f>
        <v>InitUnitMagic('',,,,,,,,,,)</v>
      </c>
      <c r="CQ271" s="65" t="str">
        <f>"InitUnitAdd('"&amp;B271&amp;"',"&amp;BK271&amp;","&amp;BL271&amp;","&amp;BM271&amp;","&amp;BN271&amp;","&amp;BO271&amp;","&amp;BP271&amp;","&amp;BQ271&amp;","&amp;BR271&amp;","&amp;BS271&amp;","&amp;BT271&amp;")"</f>
        <v>InitUnitAdd('',,,,,,,,,,)</v>
      </c>
      <c r="CR271" s="65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273&amp;CR$1&amp;")"</f>
        <v>InitEquipData('',,"",,,,,'','','','','','',"")</v>
      </c>
      <c r="CS271" s="65"/>
      <c r="CT271" s="65"/>
      <c r="CU271" s="67" t="str">
        <f t="shared" si="3626"/>
        <v>|n</v>
      </c>
      <c r="CV271" s="5"/>
      <c r="DB271" s="43" t="str">
        <f t="shared" si="3627"/>
        <v/>
      </c>
      <c r="DC271" s="43" t="str">
        <f t="shared" si="3628"/>
        <v/>
      </c>
      <c r="DD271" s="43" t="str">
        <f t="shared" si="3629"/>
        <v/>
      </c>
      <c r="DE271" s="43" t="str">
        <f t="shared" si="3630"/>
        <v/>
      </c>
      <c r="DF271" s="43" t="str">
        <f t="shared" si="3631"/>
        <v/>
      </c>
      <c r="DG271" s="43" t="str">
        <f t="shared" si="3632"/>
        <v/>
      </c>
      <c r="DH271" s="43" t="str">
        <f t="shared" si="3633"/>
        <v/>
      </c>
      <c r="DI271" s="43" t="str">
        <f t="shared" si="3634"/>
        <v/>
      </c>
      <c r="DJ271" s="43" t="str">
        <f t="shared" si="3635"/>
        <v/>
      </c>
      <c r="DK271" s="43" t="str">
        <f t="shared" si="3636"/>
        <v/>
      </c>
      <c r="DL271" s="43" t="str">
        <f t="shared" si="3637"/>
        <v/>
      </c>
      <c r="DM271" s="43" t="str">
        <f t="shared" si="3638"/>
        <v/>
      </c>
      <c r="DN271" s="43" t="str">
        <f t="shared" si="3639"/>
        <v/>
      </c>
      <c r="DO271" s="43" t="str">
        <f t="shared" si="3640"/>
        <v/>
      </c>
      <c r="DP271" s="43" t="str">
        <f t="shared" si="3641"/>
        <v/>
      </c>
      <c r="DQ271" s="43" t="str">
        <f t="shared" si="3642"/>
        <v/>
      </c>
      <c r="DR271" s="43" t="str">
        <f t="shared" si="3643"/>
        <v/>
      </c>
      <c r="DS271" s="43" t="str">
        <f t="shared" si="3644"/>
        <v/>
      </c>
      <c r="DT271" s="43" t="str">
        <f t="shared" si="3645"/>
        <v/>
      </c>
      <c r="DU271" s="43" t="str">
        <f t="shared" si="3646"/>
        <v/>
      </c>
      <c r="DV271" s="43" t="str">
        <f t="shared" si="3647"/>
        <v/>
      </c>
      <c r="DW271" s="43" t="str">
        <f t="shared" si="3648"/>
        <v/>
      </c>
      <c r="DX271" s="43" t="str">
        <f t="shared" si="3649"/>
        <v/>
      </c>
      <c r="DY271" s="43" t="str">
        <f t="shared" si="3650"/>
        <v/>
      </c>
      <c r="DZ271" s="43" t="str">
        <f t="shared" si="3651"/>
        <v/>
      </c>
      <c r="EA271" s="43" t="str">
        <f t="shared" si="3652"/>
        <v/>
      </c>
      <c r="EB271" s="43" t="str">
        <f t="shared" si="3653"/>
        <v/>
      </c>
      <c r="EC271" s="43" t="str">
        <f t="shared" si="3654"/>
        <v/>
      </c>
      <c r="ED271" s="43" t="str">
        <f t="shared" si="3655"/>
        <v/>
      </c>
      <c r="EE271" s="43" t="str">
        <f t="shared" si="3656"/>
        <v/>
      </c>
      <c r="EF271" s="43" t="str">
        <f t="shared" si="3657"/>
        <v/>
      </c>
      <c r="EG271" s="43" t="str">
        <f t="shared" si="3658"/>
        <v/>
      </c>
      <c r="EH271" s="43" t="str">
        <f t="shared" si="3659"/>
        <v/>
      </c>
      <c r="EI271" s="43" t="str">
        <f t="shared" si="3660"/>
        <v/>
      </c>
      <c r="EJ271" s="43" t="str">
        <f t="shared" si="3661"/>
        <v/>
      </c>
      <c r="EK271" s="43" t="str">
        <f t="shared" si="3662"/>
        <v/>
      </c>
      <c r="EL271" s="43" t="str">
        <f t="shared" si="3663"/>
        <v/>
      </c>
      <c r="EM271" s="43" t="str">
        <f t="shared" si="3664"/>
        <v/>
      </c>
      <c r="EN271" s="43" t="str">
        <f t="shared" si="3665"/>
        <v/>
      </c>
      <c r="EO271" s="43" t="str">
        <f t="shared" si="3666"/>
        <v/>
      </c>
      <c r="EP271" s="43" t="str">
        <f t="shared" si="3667"/>
        <v/>
      </c>
      <c r="EQ271" s="43" t="str">
        <f t="shared" si="3668"/>
        <v/>
      </c>
      <c r="ER271" s="43" t="str">
        <f t="shared" si="3669"/>
        <v/>
      </c>
      <c r="ES271" s="43" t="str">
        <f t="shared" si="3670"/>
        <v/>
      </c>
      <c r="ET271" s="43" t="str">
        <f t="shared" si="3671"/>
        <v/>
      </c>
      <c r="EU271" s="43" t="str">
        <f t="shared" si="3672"/>
        <v/>
      </c>
      <c r="EV271" s="43" t="str">
        <f t="shared" si="3673"/>
        <v/>
      </c>
      <c r="EW271" s="43" t="str">
        <f t="shared" si="3674"/>
        <v/>
      </c>
      <c r="EX271" s="43" t="str">
        <f t="shared" si="3675"/>
        <v/>
      </c>
      <c r="EY271" s="43" t="str">
        <f t="shared" si="3676"/>
        <v/>
      </c>
      <c r="EZ271" s="43" t="str">
        <f t="shared" si="3677"/>
        <v/>
      </c>
      <c r="FA271" s="43" t="str">
        <f t="shared" si="3678"/>
        <v/>
      </c>
      <c r="FB271" s="43" t="str">
        <f t="shared" si="3679"/>
        <v/>
      </c>
      <c r="FC271" s="43" t="str">
        <f t="shared" si="3680"/>
        <v/>
      </c>
      <c r="FD271" s="43" t="str">
        <f t="shared" si="3681"/>
        <v/>
      </c>
      <c r="FE271" s="43" t="str">
        <f t="shared" si="3682"/>
        <v/>
      </c>
      <c r="FF271" s="43" t="str">
        <f t="shared" si="3683"/>
        <v/>
      </c>
      <c r="FG271" s="43" t="str">
        <f t="shared" si="3684"/>
        <v/>
      </c>
      <c r="FH271" s="43" t="str">
        <f t="shared" si="3685"/>
        <v/>
      </c>
      <c r="FI271" s="43" t="str">
        <f t="shared" si="3686"/>
        <v/>
      </c>
      <c r="FJ271" s="43" t="str">
        <f t="shared" si="3687"/>
        <v/>
      </c>
      <c r="FK271" s="43" t="str">
        <f t="shared" si="3688"/>
        <v/>
      </c>
      <c r="FL271" s="43" t="str">
        <f t="shared" si="3689"/>
        <v/>
      </c>
      <c r="FM271" s="43" t="str">
        <f t="shared" si="3690"/>
        <v/>
      </c>
      <c r="FN271" s="43" t="str">
        <f t="shared" si="3691"/>
        <v/>
      </c>
      <c r="FO271" s="43" t="str">
        <f t="shared" si="3692"/>
        <v/>
      </c>
      <c r="FP271" s="43" t="str">
        <f t="shared" si="3693"/>
        <v/>
      </c>
      <c r="FQ271" s="43" t="str">
        <f t="shared" si="3694"/>
        <v/>
      </c>
      <c r="FR271" s="43" t="str">
        <f t="shared" si="3695"/>
        <v/>
      </c>
      <c r="FS271" s="43" t="str">
        <f t="shared" si="3696"/>
        <v/>
      </c>
    </row>
    <row r="272" spans="1:175" s="6" customFormat="1" ht="16.5">
      <c r="A272" s="96"/>
      <c r="B272" s="44"/>
      <c r="C272" s="96"/>
      <c r="D272" s="45"/>
      <c r="E272" s="46"/>
      <c r="F272" s="97"/>
      <c r="G272" s="98"/>
      <c r="H272" s="98"/>
      <c r="I272" s="98"/>
      <c r="J272" s="98"/>
      <c r="K272" s="98"/>
      <c r="L272" s="98"/>
      <c r="M272" s="98"/>
      <c r="N272" s="98"/>
      <c r="O272" s="98"/>
      <c r="P272" s="51"/>
      <c r="Q272" s="51"/>
      <c r="R272" s="51"/>
      <c r="S272" s="51"/>
      <c r="T272" s="58"/>
      <c r="U272" s="55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62"/>
      <c r="AS272" s="62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I272" s="56"/>
      <c r="BJ272" s="56"/>
      <c r="BK272" s="56"/>
      <c r="BL272" s="56"/>
      <c r="BM272" s="56"/>
      <c r="BN272" s="56"/>
      <c r="BO272" s="56"/>
      <c r="BP272" s="56"/>
      <c r="BQ272" s="56"/>
      <c r="BR272" s="56"/>
      <c r="BS272" s="56"/>
      <c r="BT272" s="56"/>
      <c r="BU272" s="56"/>
      <c r="BV272" s="56"/>
      <c r="BW272" s="56"/>
      <c r="BX272" s="56"/>
      <c r="BY272" s="56"/>
      <c r="BZ272" s="56"/>
      <c r="CA272" s="56"/>
      <c r="CB272" s="56"/>
      <c r="CC272" s="56"/>
      <c r="CD272" s="56"/>
      <c r="CE272" s="56"/>
      <c r="CF272" s="56"/>
      <c r="CG272" s="56"/>
      <c r="CH272" s="56"/>
      <c r="CI272" s="56"/>
      <c r="CJ272" s="56"/>
      <c r="CK272" s="56"/>
      <c r="CL272" s="56"/>
      <c r="CM272" s="56"/>
      <c r="CN272" s="65" t="str">
        <f>"InitUnitState('"&amp;B272&amp;"',"&amp;V272&amp;","&amp;W272&amp;","&amp;X272&amp;","&amp;Y272&amp;","&amp;Z272&amp;","&amp;AA272&amp;","&amp;AB272&amp;","&amp;AC272&amp;","&amp;AD272&amp;","&amp;AE272&amp;")"</f>
        <v>InitUnitState('',,,,,,,,,,)</v>
      </c>
      <c r="CO272" s="65" t="str">
        <f>"InitUnitNormal('"&amp;B272&amp;"',"&amp;AF272&amp;","&amp;AG272&amp;","&amp;AH272&amp;","&amp;AI272&amp;","&amp;AJ272&amp;","&amp;AK272&amp;","&amp;AL272&amp;","&amp;AM272&amp;","&amp;AN272&amp;","&amp;AO272&amp;")"</f>
        <v>InitUnitNormal('',,,,,,,,,,)</v>
      </c>
      <c r="CP272" s="65" t="str">
        <f>"InitUnitMagic('"&amp;B272&amp;"',"&amp;AP272&amp;","&amp;AQ272&amp;","&amp;AR272&amp;","&amp;AS272&amp;","&amp;AT272&amp;","&amp;AU272&amp;","&amp;AV272&amp;","&amp;AW272&amp;","&amp;BI272&amp;","&amp;BJ272&amp;")"</f>
        <v>InitUnitMagic('',,,,,,,,,,)</v>
      </c>
      <c r="CQ272" s="65" t="str">
        <f>"InitUnitAdd('"&amp;B272&amp;"',"&amp;BK272&amp;","&amp;BL272&amp;","&amp;BM272&amp;","&amp;BN272&amp;","&amp;BO272&amp;","&amp;BP272&amp;","&amp;BQ272&amp;","&amp;BR272&amp;","&amp;BS272&amp;","&amp;BT272&amp;")"</f>
        <v>InitUnitAdd('',,,,,,,,,,)</v>
      </c>
      <c r="CR272" s="65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274&amp;CR$1&amp;")"</f>
        <v>InitEquipData('',,"",,,,,'','','','','','',"")</v>
      </c>
      <c r="CS272" s="65"/>
      <c r="CT272" s="65"/>
      <c r="CU272" s="67" t="str">
        <f t="shared" si="3626"/>
        <v>|n</v>
      </c>
      <c r="CV272" s="5"/>
      <c r="DB272" s="43" t="str">
        <f t="shared" si="3627"/>
        <v/>
      </c>
      <c r="DC272" s="43" t="str">
        <f t="shared" si="3628"/>
        <v/>
      </c>
      <c r="DD272" s="43" t="str">
        <f t="shared" si="3629"/>
        <v/>
      </c>
      <c r="DE272" s="43" t="str">
        <f t="shared" si="3630"/>
        <v/>
      </c>
      <c r="DF272" s="43" t="str">
        <f t="shared" si="3631"/>
        <v/>
      </c>
      <c r="DG272" s="43" t="str">
        <f t="shared" si="3632"/>
        <v/>
      </c>
      <c r="DH272" s="43" t="str">
        <f t="shared" si="3633"/>
        <v/>
      </c>
      <c r="DI272" s="43" t="str">
        <f t="shared" si="3634"/>
        <v/>
      </c>
      <c r="DJ272" s="43" t="str">
        <f t="shared" si="3635"/>
        <v/>
      </c>
      <c r="DK272" s="43" t="str">
        <f t="shared" si="3636"/>
        <v/>
      </c>
      <c r="DL272" s="43" t="str">
        <f t="shared" si="3637"/>
        <v/>
      </c>
      <c r="DM272" s="43" t="str">
        <f t="shared" si="3638"/>
        <v/>
      </c>
      <c r="DN272" s="43" t="str">
        <f t="shared" si="3639"/>
        <v/>
      </c>
      <c r="DO272" s="43" t="str">
        <f t="shared" si="3640"/>
        <v/>
      </c>
      <c r="DP272" s="43" t="str">
        <f t="shared" si="3641"/>
        <v/>
      </c>
      <c r="DQ272" s="43" t="str">
        <f t="shared" si="3642"/>
        <v/>
      </c>
      <c r="DR272" s="43" t="str">
        <f t="shared" si="3643"/>
        <v/>
      </c>
      <c r="DS272" s="43" t="str">
        <f t="shared" si="3644"/>
        <v/>
      </c>
      <c r="DT272" s="43" t="str">
        <f t="shared" si="3645"/>
        <v/>
      </c>
      <c r="DU272" s="43" t="str">
        <f t="shared" si="3646"/>
        <v/>
      </c>
      <c r="DV272" s="43" t="str">
        <f t="shared" si="3647"/>
        <v/>
      </c>
      <c r="DW272" s="43" t="str">
        <f t="shared" si="3648"/>
        <v/>
      </c>
      <c r="DX272" s="43" t="str">
        <f t="shared" si="3649"/>
        <v/>
      </c>
      <c r="DY272" s="43" t="str">
        <f t="shared" si="3650"/>
        <v/>
      </c>
      <c r="DZ272" s="43" t="str">
        <f t="shared" si="3651"/>
        <v/>
      </c>
      <c r="EA272" s="43" t="str">
        <f t="shared" si="3652"/>
        <v/>
      </c>
      <c r="EB272" s="43" t="str">
        <f t="shared" si="3653"/>
        <v/>
      </c>
      <c r="EC272" s="43" t="str">
        <f t="shared" si="3654"/>
        <v/>
      </c>
      <c r="ED272" s="43" t="str">
        <f t="shared" si="3655"/>
        <v/>
      </c>
      <c r="EE272" s="43" t="str">
        <f t="shared" si="3656"/>
        <v/>
      </c>
      <c r="EF272" s="43" t="str">
        <f t="shared" si="3657"/>
        <v/>
      </c>
      <c r="EG272" s="43" t="str">
        <f t="shared" si="3658"/>
        <v/>
      </c>
      <c r="EH272" s="43" t="str">
        <f t="shared" si="3659"/>
        <v/>
      </c>
      <c r="EI272" s="43" t="str">
        <f t="shared" si="3660"/>
        <v/>
      </c>
      <c r="EJ272" s="43" t="str">
        <f t="shared" si="3661"/>
        <v/>
      </c>
      <c r="EK272" s="43" t="str">
        <f t="shared" si="3662"/>
        <v/>
      </c>
      <c r="EL272" s="43" t="str">
        <f t="shared" si="3663"/>
        <v/>
      </c>
      <c r="EM272" s="43" t="str">
        <f t="shared" si="3664"/>
        <v/>
      </c>
      <c r="EN272" s="43" t="str">
        <f t="shared" si="3665"/>
        <v/>
      </c>
      <c r="EO272" s="43" t="str">
        <f t="shared" si="3666"/>
        <v/>
      </c>
      <c r="EP272" s="43" t="str">
        <f t="shared" si="3667"/>
        <v/>
      </c>
      <c r="EQ272" s="43" t="str">
        <f t="shared" si="3668"/>
        <v/>
      </c>
      <c r="ER272" s="43" t="str">
        <f t="shared" si="3669"/>
        <v/>
      </c>
      <c r="ES272" s="43" t="str">
        <f t="shared" si="3670"/>
        <v/>
      </c>
      <c r="ET272" s="43" t="str">
        <f t="shared" si="3671"/>
        <v/>
      </c>
      <c r="EU272" s="43" t="str">
        <f t="shared" si="3672"/>
        <v/>
      </c>
      <c r="EV272" s="43" t="str">
        <f t="shared" si="3673"/>
        <v/>
      </c>
      <c r="EW272" s="43" t="str">
        <f t="shared" si="3674"/>
        <v/>
      </c>
      <c r="EX272" s="43" t="str">
        <f t="shared" si="3675"/>
        <v/>
      </c>
      <c r="EY272" s="43" t="str">
        <f t="shared" si="3676"/>
        <v/>
      </c>
      <c r="EZ272" s="43" t="str">
        <f t="shared" si="3677"/>
        <v/>
      </c>
      <c r="FA272" s="43" t="str">
        <f t="shared" si="3678"/>
        <v/>
      </c>
      <c r="FB272" s="43" t="str">
        <f t="shared" si="3679"/>
        <v/>
      </c>
      <c r="FC272" s="43" t="str">
        <f t="shared" si="3680"/>
        <v/>
      </c>
      <c r="FD272" s="43" t="str">
        <f t="shared" si="3681"/>
        <v/>
      </c>
      <c r="FE272" s="43" t="str">
        <f t="shared" si="3682"/>
        <v/>
      </c>
      <c r="FF272" s="43" t="str">
        <f t="shared" si="3683"/>
        <v/>
      </c>
      <c r="FG272" s="43" t="str">
        <f t="shared" si="3684"/>
        <v/>
      </c>
      <c r="FH272" s="43" t="str">
        <f t="shared" si="3685"/>
        <v/>
      </c>
      <c r="FI272" s="43" t="str">
        <f t="shared" si="3686"/>
        <v/>
      </c>
      <c r="FJ272" s="43" t="str">
        <f t="shared" si="3687"/>
        <v/>
      </c>
      <c r="FK272" s="43" t="str">
        <f t="shared" si="3688"/>
        <v/>
      </c>
      <c r="FL272" s="43" t="str">
        <f t="shared" si="3689"/>
        <v/>
      </c>
      <c r="FM272" s="43" t="str">
        <f t="shared" si="3690"/>
        <v/>
      </c>
      <c r="FN272" s="43" t="str">
        <f t="shared" si="3691"/>
        <v/>
      </c>
      <c r="FO272" s="43" t="str">
        <f t="shared" si="3692"/>
        <v/>
      </c>
      <c r="FP272" s="43" t="str">
        <f t="shared" si="3693"/>
        <v/>
      </c>
      <c r="FQ272" s="43" t="str">
        <f t="shared" si="3694"/>
        <v/>
      </c>
      <c r="FR272" s="43" t="str">
        <f t="shared" si="3695"/>
        <v/>
      </c>
      <c r="FS272" s="43" t="str">
        <f t="shared" si="3696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26"/>
        <v>|n</v>
      </c>
      <c r="CW273" s="6"/>
      <c r="CX273" s="6"/>
      <c r="CY273" s="6"/>
      <c r="CZ273" s="6"/>
      <c r="DA273" s="6"/>
      <c r="DB273" s="43" t="str">
        <f t="shared" si="3627"/>
        <v/>
      </c>
      <c r="DC273" s="43" t="str">
        <f t="shared" si="3628"/>
        <v/>
      </c>
      <c r="DD273" s="43" t="str">
        <f t="shared" si="3629"/>
        <v/>
      </c>
      <c r="DE273" s="43" t="str">
        <f t="shared" si="3630"/>
        <v/>
      </c>
      <c r="DF273" s="43" t="str">
        <f t="shared" si="3631"/>
        <v/>
      </c>
      <c r="DG273" s="43" t="str">
        <f t="shared" si="3632"/>
        <v/>
      </c>
      <c r="DH273" s="43" t="str">
        <f t="shared" si="3633"/>
        <v/>
      </c>
      <c r="DI273" s="43" t="str">
        <f t="shared" si="3634"/>
        <v/>
      </c>
      <c r="DJ273" s="43" t="str">
        <f t="shared" si="3635"/>
        <v/>
      </c>
      <c r="DK273" s="43" t="str">
        <f t="shared" si="3636"/>
        <v/>
      </c>
      <c r="DL273" s="43" t="str">
        <f t="shared" si="3637"/>
        <v/>
      </c>
      <c r="DM273" s="43" t="str">
        <f t="shared" si="3638"/>
        <v/>
      </c>
      <c r="DN273" s="43" t="str">
        <f t="shared" si="3639"/>
        <v/>
      </c>
      <c r="DO273" s="43" t="str">
        <f t="shared" si="3640"/>
        <v/>
      </c>
      <c r="DP273" s="43" t="str">
        <f t="shared" si="3641"/>
        <v/>
      </c>
      <c r="DQ273" s="43" t="str">
        <f t="shared" si="3642"/>
        <v/>
      </c>
      <c r="DR273" s="43" t="str">
        <f t="shared" si="3643"/>
        <v/>
      </c>
      <c r="DS273" s="43" t="str">
        <f t="shared" si="3644"/>
        <v/>
      </c>
      <c r="DT273" s="43" t="str">
        <f t="shared" si="3645"/>
        <v/>
      </c>
      <c r="DU273" s="43" t="str">
        <f t="shared" si="3646"/>
        <v/>
      </c>
      <c r="DV273" s="43" t="str">
        <f t="shared" si="3647"/>
        <v/>
      </c>
      <c r="DW273" s="43" t="str">
        <f t="shared" si="3648"/>
        <v/>
      </c>
      <c r="DX273" s="43" t="str">
        <f t="shared" si="3649"/>
        <v/>
      </c>
      <c r="DY273" s="43" t="str">
        <f t="shared" si="3650"/>
        <v/>
      </c>
      <c r="DZ273" s="43" t="str">
        <f t="shared" si="3651"/>
        <v/>
      </c>
      <c r="EA273" s="43" t="str">
        <f t="shared" si="3652"/>
        <v/>
      </c>
      <c r="EB273" s="43" t="str">
        <f t="shared" si="3653"/>
        <v/>
      </c>
      <c r="EC273" s="43" t="str">
        <f t="shared" si="3654"/>
        <v/>
      </c>
      <c r="ED273" s="43" t="str">
        <f t="shared" si="3655"/>
        <v/>
      </c>
      <c r="EE273" s="43" t="str">
        <f t="shared" si="3656"/>
        <v/>
      </c>
      <c r="EF273" s="43" t="str">
        <f t="shared" si="3657"/>
        <v/>
      </c>
      <c r="EG273" s="43" t="str">
        <f t="shared" si="3658"/>
        <v/>
      </c>
      <c r="EH273" s="43" t="str">
        <f t="shared" si="3659"/>
        <v/>
      </c>
      <c r="EI273" s="43" t="str">
        <f t="shared" si="3660"/>
        <v/>
      </c>
      <c r="EJ273" s="43" t="str">
        <f t="shared" si="3661"/>
        <v/>
      </c>
      <c r="EK273" s="43" t="str">
        <f t="shared" si="3662"/>
        <v/>
      </c>
      <c r="EL273" s="43" t="str">
        <f t="shared" si="3663"/>
        <v/>
      </c>
      <c r="EM273" s="43" t="str">
        <f t="shared" si="3664"/>
        <v/>
      </c>
      <c r="EN273" s="43" t="str">
        <f t="shared" si="3665"/>
        <v/>
      </c>
      <c r="EO273" s="43" t="str">
        <f t="shared" si="3666"/>
        <v/>
      </c>
      <c r="EP273" s="43" t="str">
        <f t="shared" si="3667"/>
        <v/>
      </c>
      <c r="EQ273" s="43" t="str">
        <f t="shared" si="3668"/>
        <v/>
      </c>
      <c r="ER273" s="43" t="str">
        <f t="shared" si="3669"/>
        <v/>
      </c>
      <c r="ES273" s="43" t="str">
        <f t="shared" si="3670"/>
        <v/>
      </c>
      <c r="ET273" s="43" t="str">
        <f t="shared" si="3671"/>
        <v/>
      </c>
      <c r="EU273" s="43" t="str">
        <f t="shared" si="3672"/>
        <v/>
      </c>
      <c r="EV273" s="43" t="str">
        <f t="shared" si="3673"/>
        <v/>
      </c>
      <c r="EW273" s="43" t="str">
        <f t="shared" si="3674"/>
        <v/>
      </c>
      <c r="EX273" s="43" t="str">
        <f t="shared" si="3675"/>
        <v/>
      </c>
      <c r="EY273" s="43" t="str">
        <f t="shared" si="3676"/>
        <v/>
      </c>
      <c r="EZ273" s="43" t="str">
        <f t="shared" si="3677"/>
        <v/>
      </c>
      <c r="FA273" s="43" t="str">
        <f t="shared" si="3678"/>
        <v/>
      </c>
      <c r="FB273" s="43" t="str">
        <f t="shared" si="3679"/>
        <v/>
      </c>
      <c r="FC273" s="43" t="str">
        <f t="shared" si="3680"/>
        <v/>
      </c>
      <c r="FD273" s="43" t="str">
        <f t="shared" si="3681"/>
        <v/>
      </c>
      <c r="FE273" s="43" t="str">
        <f t="shared" si="3682"/>
        <v/>
      </c>
      <c r="FF273" s="43" t="str">
        <f t="shared" si="3683"/>
        <v/>
      </c>
      <c r="FG273" s="43" t="str">
        <f t="shared" si="3684"/>
        <v/>
      </c>
      <c r="FH273" s="43" t="str">
        <f t="shared" si="3685"/>
        <v/>
      </c>
      <c r="FI273" s="43" t="str">
        <f t="shared" si="3686"/>
        <v/>
      </c>
      <c r="FJ273" s="43" t="str">
        <f t="shared" si="3687"/>
        <v/>
      </c>
      <c r="FK273" s="43" t="str">
        <f t="shared" si="3688"/>
        <v/>
      </c>
      <c r="FL273" s="43" t="str">
        <f t="shared" si="3689"/>
        <v/>
      </c>
      <c r="FM273" s="43" t="str">
        <f t="shared" si="3690"/>
        <v/>
      </c>
      <c r="FN273" s="43" t="str">
        <f t="shared" si="3691"/>
        <v/>
      </c>
      <c r="FO273" s="43" t="str">
        <f t="shared" si="3692"/>
        <v/>
      </c>
      <c r="FP273" s="43" t="str">
        <f t="shared" si="3693"/>
        <v/>
      </c>
      <c r="FQ273" s="43" t="str">
        <f t="shared" si="3694"/>
        <v/>
      </c>
      <c r="FR273" s="43" t="str">
        <f t="shared" si="3695"/>
        <v/>
      </c>
      <c r="FS273" s="43" t="str">
        <f t="shared" si="3696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26"/>
        <v>|n</v>
      </c>
      <c r="CW274" s="6"/>
      <c r="CX274" s="6"/>
      <c r="CY274" s="6"/>
      <c r="CZ274" s="6"/>
      <c r="DA274" s="6"/>
      <c r="DB274" s="43" t="str">
        <f t="shared" si="3627"/>
        <v/>
      </c>
      <c r="DC274" s="43" t="str">
        <f t="shared" si="3628"/>
        <v/>
      </c>
      <c r="DD274" s="43" t="str">
        <f t="shared" si="3629"/>
        <v/>
      </c>
      <c r="DE274" s="43" t="str">
        <f t="shared" si="3630"/>
        <v/>
      </c>
      <c r="DF274" s="43" t="str">
        <f t="shared" si="3631"/>
        <v/>
      </c>
      <c r="DG274" s="43" t="str">
        <f t="shared" si="3632"/>
        <v/>
      </c>
      <c r="DH274" s="43" t="str">
        <f t="shared" si="3633"/>
        <v/>
      </c>
      <c r="DI274" s="43" t="str">
        <f t="shared" si="3634"/>
        <v/>
      </c>
      <c r="DJ274" s="43" t="str">
        <f t="shared" si="3635"/>
        <v/>
      </c>
      <c r="DK274" s="43" t="str">
        <f t="shared" si="3636"/>
        <v/>
      </c>
      <c r="DL274" s="43" t="str">
        <f t="shared" si="3637"/>
        <v/>
      </c>
      <c r="DM274" s="43" t="str">
        <f t="shared" si="3638"/>
        <v/>
      </c>
      <c r="DN274" s="43" t="str">
        <f t="shared" si="3639"/>
        <v/>
      </c>
      <c r="DO274" s="43" t="str">
        <f t="shared" si="3640"/>
        <v/>
      </c>
      <c r="DP274" s="43" t="str">
        <f t="shared" si="3641"/>
        <v/>
      </c>
      <c r="DQ274" s="43" t="str">
        <f t="shared" si="3642"/>
        <v/>
      </c>
      <c r="DR274" s="43" t="str">
        <f t="shared" si="3643"/>
        <v/>
      </c>
      <c r="DS274" s="43" t="str">
        <f t="shared" si="3644"/>
        <v/>
      </c>
      <c r="DT274" s="43" t="str">
        <f t="shared" si="3645"/>
        <v/>
      </c>
      <c r="DU274" s="43" t="str">
        <f t="shared" si="3646"/>
        <v/>
      </c>
      <c r="DV274" s="43" t="str">
        <f t="shared" si="3647"/>
        <v/>
      </c>
      <c r="DW274" s="43" t="str">
        <f t="shared" si="3648"/>
        <v/>
      </c>
      <c r="DX274" s="43" t="str">
        <f t="shared" si="3649"/>
        <v/>
      </c>
      <c r="DY274" s="43" t="str">
        <f t="shared" si="3650"/>
        <v/>
      </c>
      <c r="DZ274" s="43" t="str">
        <f t="shared" si="3651"/>
        <v/>
      </c>
      <c r="EA274" s="43" t="str">
        <f t="shared" si="3652"/>
        <v/>
      </c>
      <c r="EB274" s="43" t="str">
        <f t="shared" si="3653"/>
        <v/>
      </c>
      <c r="EC274" s="43" t="str">
        <f t="shared" si="3654"/>
        <v/>
      </c>
      <c r="ED274" s="43" t="str">
        <f t="shared" si="3655"/>
        <v/>
      </c>
      <c r="EE274" s="43" t="str">
        <f t="shared" si="3656"/>
        <v/>
      </c>
      <c r="EF274" s="43" t="str">
        <f t="shared" si="3657"/>
        <v/>
      </c>
      <c r="EG274" s="43" t="str">
        <f t="shared" si="3658"/>
        <v/>
      </c>
      <c r="EH274" s="43" t="str">
        <f t="shared" si="3659"/>
        <v/>
      </c>
      <c r="EI274" s="43" t="str">
        <f t="shared" si="3660"/>
        <v/>
      </c>
      <c r="EJ274" s="43" t="str">
        <f t="shared" si="3661"/>
        <v/>
      </c>
      <c r="EK274" s="43" t="str">
        <f t="shared" si="3662"/>
        <v/>
      </c>
      <c r="EL274" s="43" t="str">
        <f t="shared" si="3663"/>
        <v/>
      </c>
      <c r="EM274" s="43" t="str">
        <f t="shared" si="3664"/>
        <v/>
      </c>
      <c r="EN274" s="43" t="str">
        <f t="shared" si="3665"/>
        <v/>
      </c>
      <c r="EO274" s="43" t="str">
        <f t="shared" si="3666"/>
        <v/>
      </c>
      <c r="EP274" s="43" t="str">
        <f t="shared" si="3667"/>
        <v/>
      </c>
      <c r="EQ274" s="43" t="str">
        <f t="shared" si="3668"/>
        <v/>
      </c>
      <c r="ER274" s="43" t="str">
        <f t="shared" si="3669"/>
        <v/>
      </c>
      <c r="ES274" s="43" t="str">
        <f t="shared" si="3670"/>
        <v/>
      </c>
      <c r="ET274" s="43" t="str">
        <f t="shared" si="3671"/>
        <v/>
      </c>
      <c r="EU274" s="43" t="str">
        <f t="shared" si="3672"/>
        <v/>
      </c>
      <c r="EV274" s="43" t="str">
        <f t="shared" si="3673"/>
        <v/>
      </c>
      <c r="EW274" s="43" t="str">
        <f t="shared" si="3674"/>
        <v/>
      </c>
      <c r="EX274" s="43" t="str">
        <f t="shared" si="3675"/>
        <v/>
      </c>
      <c r="EY274" s="43" t="str">
        <f t="shared" si="3676"/>
        <v/>
      </c>
      <c r="EZ274" s="43" t="str">
        <f t="shared" si="3677"/>
        <v/>
      </c>
      <c r="FA274" s="43" t="str">
        <f t="shared" si="3678"/>
        <v/>
      </c>
      <c r="FB274" s="43" t="str">
        <f t="shared" si="3679"/>
        <v/>
      </c>
      <c r="FC274" s="43" t="str">
        <f t="shared" si="3680"/>
        <v/>
      </c>
      <c r="FD274" s="43" t="str">
        <f t="shared" si="3681"/>
        <v/>
      </c>
      <c r="FE274" s="43" t="str">
        <f t="shared" si="3682"/>
        <v/>
      </c>
      <c r="FF274" s="43" t="str">
        <f t="shared" si="3683"/>
        <v/>
      </c>
      <c r="FG274" s="43" t="str">
        <f t="shared" si="3684"/>
        <v/>
      </c>
      <c r="FH274" s="43" t="str">
        <f t="shared" si="3685"/>
        <v/>
      </c>
      <c r="FI274" s="43" t="str">
        <f t="shared" si="3686"/>
        <v/>
      </c>
      <c r="FJ274" s="43" t="str">
        <f t="shared" si="3687"/>
        <v/>
      </c>
      <c r="FK274" s="43" t="str">
        <f t="shared" si="3688"/>
        <v/>
      </c>
      <c r="FL274" s="43" t="str">
        <f t="shared" si="3689"/>
        <v/>
      </c>
      <c r="FM274" s="43" t="str">
        <f t="shared" si="3690"/>
        <v/>
      </c>
      <c r="FN274" s="43" t="str">
        <f t="shared" si="3691"/>
        <v/>
      </c>
      <c r="FO274" s="43" t="str">
        <f t="shared" si="3692"/>
        <v/>
      </c>
      <c r="FP274" s="43" t="str">
        <f t="shared" si="3693"/>
        <v/>
      </c>
      <c r="FQ274" s="43" t="str">
        <f t="shared" si="3694"/>
        <v/>
      </c>
      <c r="FR274" s="43" t="str">
        <f t="shared" si="3695"/>
        <v/>
      </c>
      <c r="FS274" s="43" t="str">
        <f t="shared" si="3696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26"/>
        <v>|n</v>
      </c>
      <c r="CW275" s="6"/>
      <c r="CX275" s="6"/>
      <c r="CY275" s="6"/>
      <c r="CZ275" s="6"/>
      <c r="DA275" s="6"/>
      <c r="DB275" s="43" t="str">
        <f t="shared" si="3627"/>
        <v/>
      </c>
      <c r="DC275" s="43" t="str">
        <f t="shared" si="3628"/>
        <v/>
      </c>
      <c r="DD275" s="43" t="str">
        <f t="shared" si="3629"/>
        <v/>
      </c>
      <c r="DE275" s="43" t="str">
        <f t="shared" si="3630"/>
        <v/>
      </c>
      <c r="DF275" s="43" t="str">
        <f t="shared" si="3631"/>
        <v/>
      </c>
      <c r="DG275" s="43" t="str">
        <f t="shared" si="3632"/>
        <v/>
      </c>
      <c r="DH275" s="43" t="str">
        <f t="shared" si="3633"/>
        <v/>
      </c>
      <c r="DI275" s="43" t="str">
        <f t="shared" si="3634"/>
        <v/>
      </c>
      <c r="DJ275" s="43" t="str">
        <f t="shared" si="3635"/>
        <v/>
      </c>
      <c r="DK275" s="43" t="str">
        <f t="shared" si="3636"/>
        <v/>
      </c>
      <c r="DL275" s="43" t="str">
        <f t="shared" si="3637"/>
        <v/>
      </c>
      <c r="DM275" s="43" t="str">
        <f t="shared" si="3638"/>
        <v/>
      </c>
      <c r="DN275" s="43" t="str">
        <f t="shared" si="3639"/>
        <v/>
      </c>
      <c r="DO275" s="43" t="str">
        <f t="shared" si="3640"/>
        <v/>
      </c>
      <c r="DP275" s="43" t="str">
        <f t="shared" si="3641"/>
        <v/>
      </c>
      <c r="DQ275" s="43" t="str">
        <f t="shared" si="3642"/>
        <v/>
      </c>
      <c r="DR275" s="43" t="str">
        <f t="shared" si="3643"/>
        <v/>
      </c>
      <c r="DS275" s="43" t="str">
        <f t="shared" si="3644"/>
        <v/>
      </c>
      <c r="DT275" s="43" t="str">
        <f t="shared" si="3645"/>
        <v/>
      </c>
      <c r="DU275" s="43" t="str">
        <f t="shared" si="3646"/>
        <v/>
      </c>
      <c r="DV275" s="43" t="str">
        <f t="shared" si="3647"/>
        <v/>
      </c>
      <c r="DW275" s="43" t="str">
        <f t="shared" si="3648"/>
        <v/>
      </c>
      <c r="DX275" s="43" t="str">
        <f t="shared" si="3649"/>
        <v/>
      </c>
      <c r="DY275" s="43" t="str">
        <f t="shared" si="3650"/>
        <v/>
      </c>
      <c r="DZ275" s="43" t="str">
        <f t="shared" si="3651"/>
        <v/>
      </c>
      <c r="EA275" s="43" t="str">
        <f t="shared" si="3652"/>
        <v/>
      </c>
      <c r="EB275" s="43" t="str">
        <f t="shared" si="3653"/>
        <v/>
      </c>
      <c r="EC275" s="43" t="str">
        <f t="shared" si="3654"/>
        <v/>
      </c>
      <c r="ED275" s="43" t="str">
        <f t="shared" si="3655"/>
        <v/>
      </c>
      <c r="EE275" s="43" t="str">
        <f t="shared" si="3656"/>
        <v/>
      </c>
      <c r="EF275" s="43" t="str">
        <f t="shared" si="3657"/>
        <v/>
      </c>
      <c r="EG275" s="43" t="str">
        <f t="shared" si="3658"/>
        <v/>
      </c>
      <c r="EH275" s="43" t="str">
        <f t="shared" si="3659"/>
        <v/>
      </c>
      <c r="EI275" s="43" t="str">
        <f t="shared" si="3660"/>
        <v/>
      </c>
      <c r="EJ275" s="43" t="str">
        <f t="shared" si="3661"/>
        <v/>
      </c>
      <c r="EK275" s="43" t="str">
        <f t="shared" si="3662"/>
        <v/>
      </c>
      <c r="EL275" s="43" t="str">
        <f t="shared" si="3663"/>
        <v/>
      </c>
      <c r="EM275" s="43" t="str">
        <f t="shared" si="3664"/>
        <v/>
      </c>
      <c r="EN275" s="43" t="str">
        <f t="shared" si="3665"/>
        <v/>
      </c>
      <c r="EO275" s="43" t="str">
        <f t="shared" si="3666"/>
        <v/>
      </c>
      <c r="EP275" s="43" t="str">
        <f t="shared" si="3667"/>
        <v/>
      </c>
      <c r="EQ275" s="43" t="str">
        <f t="shared" si="3668"/>
        <v/>
      </c>
      <c r="ER275" s="43" t="str">
        <f t="shared" si="3669"/>
        <v/>
      </c>
      <c r="ES275" s="43" t="str">
        <f t="shared" si="3670"/>
        <v/>
      </c>
      <c r="ET275" s="43" t="str">
        <f t="shared" si="3671"/>
        <v/>
      </c>
      <c r="EU275" s="43" t="str">
        <f t="shared" si="3672"/>
        <v/>
      </c>
      <c r="EV275" s="43" t="str">
        <f t="shared" si="3673"/>
        <v/>
      </c>
      <c r="EW275" s="43" t="str">
        <f t="shared" si="3674"/>
        <v/>
      </c>
      <c r="EX275" s="43" t="str">
        <f t="shared" si="3675"/>
        <v/>
      </c>
      <c r="EY275" s="43" t="str">
        <f t="shared" si="3676"/>
        <v/>
      </c>
      <c r="EZ275" s="43" t="str">
        <f t="shared" si="3677"/>
        <v/>
      </c>
      <c r="FA275" s="43" t="str">
        <f t="shared" si="3678"/>
        <v/>
      </c>
      <c r="FB275" s="43" t="str">
        <f t="shared" si="3679"/>
        <v/>
      </c>
      <c r="FC275" s="43" t="str">
        <f t="shared" si="3680"/>
        <v/>
      </c>
      <c r="FD275" s="43" t="str">
        <f t="shared" si="3681"/>
        <v/>
      </c>
      <c r="FE275" s="43" t="str">
        <f t="shared" si="3682"/>
        <v/>
      </c>
      <c r="FF275" s="43" t="str">
        <f t="shared" si="3683"/>
        <v/>
      </c>
      <c r="FG275" s="43" t="str">
        <f t="shared" si="3684"/>
        <v/>
      </c>
      <c r="FH275" s="43" t="str">
        <f t="shared" si="3685"/>
        <v/>
      </c>
      <c r="FI275" s="43" t="str">
        <f t="shared" si="3686"/>
        <v/>
      </c>
      <c r="FJ275" s="43" t="str">
        <f t="shared" si="3687"/>
        <v/>
      </c>
      <c r="FK275" s="43" t="str">
        <f t="shared" si="3688"/>
        <v/>
      </c>
      <c r="FL275" s="43" t="str">
        <f t="shared" si="3689"/>
        <v/>
      </c>
      <c r="FM275" s="43" t="str">
        <f t="shared" si="3690"/>
        <v/>
      </c>
      <c r="FN275" s="43" t="str">
        <f t="shared" si="3691"/>
        <v/>
      </c>
      <c r="FO275" s="43" t="str">
        <f t="shared" si="3692"/>
        <v/>
      </c>
      <c r="FP275" s="43" t="str">
        <f t="shared" si="3693"/>
        <v/>
      </c>
      <c r="FQ275" s="43" t="str">
        <f t="shared" si="3694"/>
        <v/>
      </c>
      <c r="FR275" s="43" t="str">
        <f t="shared" si="3695"/>
        <v/>
      </c>
      <c r="FS275" s="43" t="str">
        <f t="shared" si="3696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26"/>
        <v>|n</v>
      </c>
      <c r="CW276" s="6"/>
      <c r="CX276" s="6"/>
      <c r="CY276" s="6"/>
      <c r="CZ276" s="6"/>
      <c r="DA276" s="6"/>
      <c r="DB276" s="43" t="str">
        <f t="shared" si="3627"/>
        <v/>
      </c>
      <c r="DC276" s="43" t="str">
        <f t="shared" si="3628"/>
        <v/>
      </c>
      <c r="DD276" s="43" t="str">
        <f t="shared" si="3629"/>
        <v/>
      </c>
      <c r="DE276" s="43" t="str">
        <f t="shared" si="3630"/>
        <v/>
      </c>
      <c r="DF276" s="43" t="str">
        <f t="shared" si="3631"/>
        <v/>
      </c>
      <c r="DG276" s="43" t="str">
        <f t="shared" si="3632"/>
        <v/>
      </c>
      <c r="DH276" s="43" t="str">
        <f t="shared" si="3633"/>
        <v/>
      </c>
      <c r="DI276" s="43" t="str">
        <f t="shared" si="3634"/>
        <v/>
      </c>
      <c r="DJ276" s="43" t="str">
        <f t="shared" si="3635"/>
        <v/>
      </c>
      <c r="DK276" s="43" t="str">
        <f t="shared" si="3636"/>
        <v/>
      </c>
      <c r="DL276" s="43" t="str">
        <f t="shared" si="3637"/>
        <v/>
      </c>
      <c r="DM276" s="43" t="str">
        <f t="shared" si="3638"/>
        <v/>
      </c>
      <c r="DN276" s="43" t="str">
        <f t="shared" si="3639"/>
        <v/>
      </c>
      <c r="DO276" s="43" t="str">
        <f t="shared" si="3640"/>
        <v/>
      </c>
      <c r="DP276" s="43" t="str">
        <f t="shared" si="3641"/>
        <v/>
      </c>
      <c r="DQ276" s="43" t="str">
        <f t="shared" si="3642"/>
        <v/>
      </c>
      <c r="DR276" s="43" t="str">
        <f t="shared" si="3643"/>
        <v/>
      </c>
      <c r="DS276" s="43" t="str">
        <f t="shared" si="3644"/>
        <v/>
      </c>
      <c r="DT276" s="43" t="str">
        <f t="shared" si="3645"/>
        <v/>
      </c>
      <c r="DU276" s="43" t="str">
        <f t="shared" si="3646"/>
        <v/>
      </c>
      <c r="DV276" s="43" t="str">
        <f t="shared" si="3647"/>
        <v/>
      </c>
      <c r="DW276" s="43" t="str">
        <f t="shared" si="3648"/>
        <v/>
      </c>
      <c r="DX276" s="43" t="str">
        <f t="shared" si="3649"/>
        <v/>
      </c>
      <c r="DY276" s="43" t="str">
        <f t="shared" si="3650"/>
        <v/>
      </c>
      <c r="DZ276" s="43" t="str">
        <f t="shared" si="3651"/>
        <v/>
      </c>
      <c r="EA276" s="43" t="str">
        <f t="shared" si="3652"/>
        <v/>
      </c>
      <c r="EB276" s="43" t="str">
        <f t="shared" si="3653"/>
        <v/>
      </c>
      <c r="EC276" s="43" t="str">
        <f t="shared" si="3654"/>
        <v/>
      </c>
      <c r="ED276" s="43" t="str">
        <f t="shared" si="3655"/>
        <v/>
      </c>
      <c r="EE276" s="43" t="str">
        <f t="shared" si="3656"/>
        <v/>
      </c>
      <c r="EF276" s="43" t="str">
        <f t="shared" si="3657"/>
        <v/>
      </c>
      <c r="EG276" s="43" t="str">
        <f t="shared" si="3658"/>
        <v/>
      </c>
      <c r="EH276" s="43" t="str">
        <f t="shared" si="3659"/>
        <v/>
      </c>
      <c r="EI276" s="43" t="str">
        <f t="shared" si="3660"/>
        <v/>
      </c>
      <c r="EJ276" s="43" t="str">
        <f t="shared" si="3661"/>
        <v/>
      </c>
      <c r="EK276" s="43" t="str">
        <f t="shared" si="3662"/>
        <v/>
      </c>
      <c r="EL276" s="43" t="str">
        <f t="shared" si="3663"/>
        <v/>
      </c>
      <c r="EM276" s="43" t="str">
        <f t="shared" si="3664"/>
        <v/>
      </c>
      <c r="EN276" s="43" t="str">
        <f t="shared" si="3665"/>
        <v/>
      </c>
      <c r="EO276" s="43" t="str">
        <f t="shared" si="3666"/>
        <v/>
      </c>
      <c r="EP276" s="43" t="str">
        <f t="shared" si="3667"/>
        <v/>
      </c>
      <c r="EQ276" s="43" t="str">
        <f t="shared" si="3668"/>
        <v/>
      </c>
      <c r="ER276" s="43" t="str">
        <f t="shared" si="3669"/>
        <v/>
      </c>
      <c r="ES276" s="43" t="str">
        <f t="shared" si="3670"/>
        <v/>
      </c>
      <c r="ET276" s="43" t="str">
        <f t="shared" si="3671"/>
        <v/>
      </c>
      <c r="EU276" s="43" t="str">
        <f t="shared" si="3672"/>
        <v/>
      </c>
      <c r="EV276" s="43" t="str">
        <f t="shared" si="3673"/>
        <v/>
      </c>
      <c r="EW276" s="43" t="str">
        <f t="shared" si="3674"/>
        <v/>
      </c>
      <c r="EX276" s="43" t="str">
        <f t="shared" si="3675"/>
        <v/>
      </c>
      <c r="EY276" s="43" t="str">
        <f t="shared" si="3676"/>
        <v/>
      </c>
      <c r="EZ276" s="43" t="str">
        <f t="shared" si="3677"/>
        <v/>
      </c>
      <c r="FA276" s="43" t="str">
        <f t="shared" si="3678"/>
        <v/>
      </c>
      <c r="FB276" s="43" t="str">
        <f t="shared" si="3679"/>
        <v/>
      </c>
      <c r="FC276" s="43" t="str">
        <f t="shared" si="3680"/>
        <v/>
      </c>
      <c r="FD276" s="43" t="str">
        <f t="shared" si="3681"/>
        <v/>
      </c>
      <c r="FE276" s="43" t="str">
        <f t="shared" si="3682"/>
        <v/>
      </c>
      <c r="FF276" s="43" t="str">
        <f t="shared" si="3683"/>
        <v/>
      </c>
      <c r="FG276" s="43" t="str">
        <f t="shared" si="3684"/>
        <v/>
      </c>
      <c r="FH276" s="43" t="str">
        <f t="shared" si="3685"/>
        <v/>
      </c>
      <c r="FI276" s="43" t="str">
        <f t="shared" si="3686"/>
        <v/>
      </c>
      <c r="FJ276" s="43" t="str">
        <f t="shared" si="3687"/>
        <v/>
      </c>
      <c r="FK276" s="43" t="str">
        <f t="shared" si="3688"/>
        <v/>
      </c>
      <c r="FL276" s="43" t="str">
        <f t="shared" si="3689"/>
        <v/>
      </c>
      <c r="FM276" s="43" t="str">
        <f t="shared" si="3690"/>
        <v/>
      </c>
      <c r="FN276" s="43" t="str">
        <f t="shared" si="3691"/>
        <v/>
      </c>
      <c r="FO276" s="43" t="str">
        <f t="shared" si="3692"/>
        <v/>
      </c>
      <c r="FP276" s="43" t="str">
        <f t="shared" si="3693"/>
        <v/>
      </c>
      <c r="FQ276" s="43" t="str">
        <f t="shared" si="3694"/>
        <v/>
      </c>
      <c r="FR276" s="43" t="str">
        <f t="shared" si="3695"/>
        <v/>
      </c>
      <c r="FS276" s="43" t="str">
        <f t="shared" si="3696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26"/>
        <v>|n</v>
      </c>
      <c r="CW277" s="6"/>
      <c r="CX277" s="6"/>
      <c r="CY277" s="6"/>
      <c r="CZ277" s="6"/>
      <c r="DA277" s="6"/>
      <c r="DB277" s="43" t="str">
        <f t="shared" si="3627"/>
        <v/>
      </c>
      <c r="DC277" s="43" t="str">
        <f t="shared" si="3628"/>
        <v/>
      </c>
      <c r="DD277" s="43" t="str">
        <f t="shared" si="3629"/>
        <v/>
      </c>
      <c r="DE277" s="43" t="str">
        <f t="shared" si="3630"/>
        <v/>
      </c>
      <c r="DF277" s="43" t="str">
        <f t="shared" si="3631"/>
        <v/>
      </c>
      <c r="DG277" s="43" t="str">
        <f t="shared" si="3632"/>
        <v/>
      </c>
      <c r="DH277" s="43" t="str">
        <f t="shared" si="3633"/>
        <v/>
      </c>
      <c r="DI277" s="43" t="str">
        <f t="shared" si="3634"/>
        <v/>
      </c>
      <c r="DJ277" s="43" t="str">
        <f t="shared" si="3635"/>
        <v/>
      </c>
      <c r="DK277" s="43" t="str">
        <f t="shared" si="3636"/>
        <v/>
      </c>
      <c r="DL277" s="43" t="str">
        <f t="shared" si="3637"/>
        <v/>
      </c>
      <c r="DM277" s="43" t="str">
        <f t="shared" si="3638"/>
        <v/>
      </c>
      <c r="DN277" s="43" t="str">
        <f t="shared" si="3639"/>
        <v/>
      </c>
      <c r="DO277" s="43" t="str">
        <f t="shared" si="3640"/>
        <v/>
      </c>
      <c r="DP277" s="43" t="str">
        <f t="shared" si="3641"/>
        <v/>
      </c>
      <c r="DQ277" s="43" t="str">
        <f t="shared" si="3642"/>
        <v/>
      </c>
      <c r="DR277" s="43" t="str">
        <f t="shared" si="3643"/>
        <v/>
      </c>
      <c r="DS277" s="43" t="str">
        <f t="shared" si="3644"/>
        <v/>
      </c>
      <c r="DT277" s="43" t="str">
        <f t="shared" si="3645"/>
        <v/>
      </c>
      <c r="DU277" s="43" t="str">
        <f t="shared" si="3646"/>
        <v/>
      </c>
      <c r="DV277" s="43" t="str">
        <f t="shared" si="3647"/>
        <v/>
      </c>
      <c r="DW277" s="43" t="str">
        <f t="shared" si="3648"/>
        <v/>
      </c>
      <c r="DX277" s="43" t="str">
        <f t="shared" si="3649"/>
        <v/>
      </c>
      <c r="DY277" s="43" t="str">
        <f t="shared" si="3650"/>
        <v/>
      </c>
      <c r="DZ277" s="43" t="str">
        <f t="shared" si="3651"/>
        <v/>
      </c>
      <c r="EA277" s="43" t="str">
        <f t="shared" si="3652"/>
        <v/>
      </c>
      <c r="EB277" s="43" t="str">
        <f t="shared" si="3653"/>
        <v/>
      </c>
      <c r="EC277" s="43" t="str">
        <f t="shared" si="3654"/>
        <v/>
      </c>
      <c r="ED277" s="43" t="str">
        <f t="shared" si="3655"/>
        <v/>
      </c>
      <c r="EE277" s="43" t="str">
        <f t="shared" si="3656"/>
        <v/>
      </c>
      <c r="EF277" s="43" t="str">
        <f t="shared" si="3657"/>
        <v/>
      </c>
      <c r="EG277" s="43" t="str">
        <f t="shared" si="3658"/>
        <v/>
      </c>
      <c r="EH277" s="43" t="str">
        <f t="shared" si="3659"/>
        <v/>
      </c>
      <c r="EI277" s="43" t="str">
        <f t="shared" si="3660"/>
        <v/>
      </c>
      <c r="EJ277" s="43" t="str">
        <f t="shared" si="3661"/>
        <v/>
      </c>
      <c r="EK277" s="43" t="str">
        <f t="shared" si="3662"/>
        <v/>
      </c>
      <c r="EL277" s="43" t="str">
        <f t="shared" si="3663"/>
        <v/>
      </c>
      <c r="EM277" s="43" t="str">
        <f t="shared" si="3664"/>
        <v/>
      </c>
      <c r="EN277" s="43" t="str">
        <f t="shared" si="3665"/>
        <v/>
      </c>
      <c r="EO277" s="43" t="str">
        <f t="shared" si="3666"/>
        <v/>
      </c>
      <c r="EP277" s="43" t="str">
        <f t="shared" si="3667"/>
        <v/>
      </c>
      <c r="EQ277" s="43" t="str">
        <f t="shared" si="3668"/>
        <v/>
      </c>
      <c r="ER277" s="43" t="str">
        <f t="shared" si="3669"/>
        <v/>
      </c>
      <c r="ES277" s="43" t="str">
        <f t="shared" si="3670"/>
        <v/>
      </c>
      <c r="ET277" s="43" t="str">
        <f t="shared" si="3671"/>
        <v/>
      </c>
      <c r="EU277" s="43" t="str">
        <f t="shared" si="3672"/>
        <v/>
      </c>
      <c r="EV277" s="43" t="str">
        <f t="shared" si="3673"/>
        <v/>
      </c>
      <c r="EW277" s="43" t="str">
        <f t="shared" si="3674"/>
        <v/>
      </c>
      <c r="EX277" s="43" t="str">
        <f t="shared" si="3675"/>
        <v/>
      </c>
      <c r="EY277" s="43" t="str">
        <f t="shared" si="3676"/>
        <v/>
      </c>
      <c r="EZ277" s="43" t="str">
        <f t="shared" si="3677"/>
        <v/>
      </c>
      <c r="FA277" s="43" t="str">
        <f t="shared" si="3678"/>
        <v/>
      </c>
      <c r="FB277" s="43" t="str">
        <f t="shared" si="3679"/>
        <v/>
      </c>
      <c r="FC277" s="43" t="str">
        <f t="shared" si="3680"/>
        <v/>
      </c>
      <c r="FD277" s="43" t="str">
        <f t="shared" si="3681"/>
        <v/>
      </c>
      <c r="FE277" s="43" t="str">
        <f t="shared" si="3682"/>
        <v/>
      </c>
      <c r="FF277" s="43" t="str">
        <f t="shared" si="3683"/>
        <v/>
      </c>
      <c r="FG277" s="43" t="str">
        <f t="shared" si="3684"/>
        <v/>
      </c>
      <c r="FH277" s="43" t="str">
        <f t="shared" si="3685"/>
        <v/>
      </c>
      <c r="FI277" s="43" t="str">
        <f t="shared" si="3686"/>
        <v/>
      </c>
      <c r="FJ277" s="43" t="str">
        <f t="shared" si="3687"/>
        <v/>
      </c>
      <c r="FK277" s="43" t="str">
        <f t="shared" si="3688"/>
        <v/>
      </c>
      <c r="FL277" s="43" t="str">
        <f t="shared" si="3689"/>
        <v/>
      </c>
      <c r="FM277" s="43" t="str">
        <f t="shared" si="3690"/>
        <v/>
      </c>
      <c r="FN277" s="43" t="str">
        <f t="shared" si="3691"/>
        <v/>
      </c>
      <c r="FO277" s="43" t="str">
        <f t="shared" si="3692"/>
        <v/>
      </c>
      <c r="FP277" s="43" t="str">
        <f t="shared" si="3693"/>
        <v/>
      </c>
      <c r="FQ277" s="43" t="str">
        <f t="shared" si="3694"/>
        <v/>
      </c>
      <c r="FR277" s="43" t="str">
        <f t="shared" si="3695"/>
        <v/>
      </c>
      <c r="FS277" s="43" t="str">
        <f t="shared" si="3696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26"/>
        <v>|n</v>
      </c>
      <c r="CW278" s="6"/>
      <c r="CX278" s="6"/>
      <c r="CY278" s="6"/>
      <c r="CZ278" s="6"/>
      <c r="DA278" s="6"/>
      <c r="DB278" s="43" t="str">
        <f t="shared" si="3627"/>
        <v/>
      </c>
      <c r="DC278" s="43" t="str">
        <f t="shared" si="3628"/>
        <v/>
      </c>
      <c r="DD278" s="43" t="str">
        <f t="shared" si="3629"/>
        <v/>
      </c>
      <c r="DE278" s="43" t="str">
        <f t="shared" si="3630"/>
        <v/>
      </c>
      <c r="DF278" s="43" t="str">
        <f t="shared" si="3631"/>
        <v/>
      </c>
      <c r="DG278" s="43" t="str">
        <f t="shared" si="3632"/>
        <v/>
      </c>
      <c r="DH278" s="43" t="str">
        <f t="shared" si="3633"/>
        <v/>
      </c>
      <c r="DI278" s="43" t="str">
        <f t="shared" si="3634"/>
        <v/>
      </c>
      <c r="DJ278" s="43" t="str">
        <f t="shared" si="3635"/>
        <v/>
      </c>
      <c r="DK278" s="43" t="str">
        <f t="shared" si="3636"/>
        <v/>
      </c>
      <c r="DL278" s="43" t="str">
        <f t="shared" si="3637"/>
        <v/>
      </c>
      <c r="DM278" s="43" t="str">
        <f t="shared" si="3638"/>
        <v/>
      </c>
      <c r="DN278" s="43" t="str">
        <f t="shared" si="3639"/>
        <v/>
      </c>
      <c r="DO278" s="43" t="str">
        <f t="shared" si="3640"/>
        <v/>
      </c>
      <c r="DP278" s="43" t="str">
        <f t="shared" si="3641"/>
        <v/>
      </c>
      <c r="DQ278" s="43" t="str">
        <f t="shared" si="3642"/>
        <v/>
      </c>
      <c r="DR278" s="43" t="str">
        <f t="shared" si="3643"/>
        <v/>
      </c>
      <c r="DS278" s="43" t="str">
        <f t="shared" si="3644"/>
        <v/>
      </c>
      <c r="DT278" s="43" t="str">
        <f t="shared" si="3645"/>
        <v/>
      </c>
      <c r="DU278" s="43" t="str">
        <f t="shared" si="3646"/>
        <v/>
      </c>
      <c r="DV278" s="43" t="str">
        <f t="shared" si="3647"/>
        <v/>
      </c>
      <c r="DW278" s="43" t="str">
        <f t="shared" si="3648"/>
        <v/>
      </c>
      <c r="DX278" s="43" t="str">
        <f t="shared" si="3649"/>
        <v/>
      </c>
      <c r="DY278" s="43" t="str">
        <f t="shared" si="3650"/>
        <v/>
      </c>
      <c r="DZ278" s="43" t="str">
        <f t="shared" si="3651"/>
        <v/>
      </c>
      <c r="EA278" s="43" t="str">
        <f t="shared" si="3652"/>
        <v/>
      </c>
      <c r="EB278" s="43" t="str">
        <f t="shared" si="3653"/>
        <v/>
      </c>
      <c r="EC278" s="43" t="str">
        <f t="shared" si="3654"/>
        <v/>
      </c>
      <c r="ED278" s="43" t="str">
        <f t="shared" si="3655"/>
        <v/>
      </c>
      <c r="EE278" s="43" t="str">
        <f t="shared" si="3656"/>
        <v/>
      </c>
      <c r="EF278" s="43" t="str">
        <f t="shared" si="3657"/>
        <v/>
      </c>
      <c r="EG278" s="43" t="str">
        <f t="shared" si="3658"/>
        <v/>
      </c>
      <c r="EH278" s="43" t="str">
        <f t="shared" si="3659"/>
        <v/>
      </c>
      <c r="EI278" s="43" t="str">
        <f t="shared" si="3660"/>
        <v/>
      </c>
      <c r="EJ278" s="43" t="str">
        <f t="shared" si="3661"/>
        <v/>
      </c>
      <c r="EK278" s="43" t="str">
        <f t="shared" si="3662"/>
        <v/>
      </c>
      <c r="EL278" s="43" t="str">
        <f t="shared" si="3663"/>
        <v/>
      </c>
      <c r="EM278" s="43" t="str">
        <f t="shared" si="3664"/>
        <v/>
      </c>
      <c r="EN278" s="43" t="str">
        <f t="shared" si="3665"/>
        <v/>
      </c>
      <c r="EO278" s="43" t="str">
        <f t="shared" si="3666"/>
        <v/>
      </c>
      <c r="EP278" s="43" t="str">
        <f t="shared" si="3667"/>
        <v/>
      </c>
      <c r="EQ278" s="43" t="str">
        <f t="shared" si="3668"/>
        <v/>
      </c>
      <c r="ER278" s="43" t="str">
        <f t="shared" si="3669"/>
        <v/>
      </c>
      <c r="ES278" s="43" t="str">
        <f t="shared" si="3670"/>
        <v/>
      </c>
      <c r="ET278" s="43" t="str">
        <f t="shared" si="3671"/>
        <v/>
      </c>
      <c r="EU278" s="43" t="str">
        <f t="shared" si="3672"/>
        <v/>
      </c>
      <c r="EV278" s="43" t="str">
        <f t="shared" si="3673"/>
        <v/>
      </c>
      <c r="EW278" s="43" t="str">
        <f t="shared" si="3674"/>
        <v/>
      </c>
      <c r="EX278" s="43" t="str">
        <f t="shared" si="3675"/>
        <v/>
      </c>
      <c r="EY278" s="43" t="str">
        <f t="shared" si="3676"/>
        <v/>
      </c>
      <c r="EZ278" s="43" t="str">
        <f t="shared" si="3677"/>
        <v/>
      </c>
      <c r="FA278" s="43" t="str">
        <f t="shared" si="3678"/>
        <v/>
      </c>
      <c r="FB278" s="43" t="str">
        <f t="shared" si="3679"/>
        <v/>
      </c>
      <c r="FC278" s="43" t="str">
        <f t="shared" si="3680"/>
        <v/>
      </c>
      <c r="FD278" s="43" t="str">
        <f t="shared" si="3681"/>
        <v/>
      </c>
      <c r="FE278" s="43" t="str">
        <f t="shared" si="3682"/>
        <v/>
      </c>
      <c r="FF278" s="43" t="str">
        <f t="shared" si="3683"/>
        <v/>
      </c>
      <c r="FG278" s="43" t="str">
        <f t="shared" si="3684"/>
        <v/>
      </c>
      <c r="FH278" s="43" t="str">
        <f t="shared" si="3685"/>
        <v/>
      </c>
      <c r="FI278" s="43" t="str">
        <f t="shared" si="3686"/>
        <v/>
      </c>
      <c r="FJ278" s="43" t="str">
        <f t="shared" si="3687"/>
        <v/>
      </c>
      <c r="FK278" s="43" t="str">
        <f t="shared" si="3688"/>
        <v/>
      </c>
      <c r="FL278" s="43" t="str">
        <f t="shared" si="3689"/>
        <v/>
      </c>
      <c r="FM278" s="43" t="str">
        <f t="shared" si="3690"/>
        <v/>
      </c>
      <c r="FN278" s="43" t="str">
        <f t="shared" si="3691"/>
        <v/>
      </c>
      <c r="FO278" s="43" t="str">
        <f t="shared" si="3692"/>
        <v/>
      </c>
      <c r="FP278" s="43" t="str">
        <f t="shared" si="3693"/>
        <v/>
      </c>
      <c r="FQ278" s="43" t="str">
        <f t="shared" si="3694"/>
        <v/>
      </c>
      <c r="FR278" s="43" t="str">
        <f t="shared" si="3695"/>
        <v/>
      </c>
      <c r="FS278" s="43" t="str">
        <f t="shared" si="3696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26"/>
        <v>|n</v>
      </c>
      <c r="CW279" s="6"/>
      <c r="CX279" s="6"/>
      <c r="CY279" s="6"/>
      <c r="CZ279" s="6"/>
      <c r="DA279" s="6"/>
      <c r="DB279" s="43" t="str">
        <f t="shared" si="3627"/>
        <v/>
      </c>
      <c r="DC279" s="43" t="str">
        <f t="shared" si="3628"/>
        <v/>
      </c>
      <c r="DD279" s="43" t="str">
        <f t="shared" si="3629"/>
        <v/>
      </c>
      <c r="DE279" s="43" t="str">
        <f t="shared" si="3630"/>
        <v/>
      </c>
      <c r="DF279" s="43" t="str">
        <f t="shared" si="3631"/>
        <v/>
      </c>
      <c r="DG279" s="43" t="str">
        <f t="shared" si="3632"/>
        <v/>
      </c>
      <c r="DH279" s="43" t="str">
        <f t="shared" si="3633"/>
        <v/>
      </c>
      <c r="DI279" s="43" t="str">
        <f t="shared" si="3634"/>
        <v/>
      </c>
      <c r="DJ279" s="43" t="str">
        <f t="shared" si="3635"/>
        <v/>
      </c>
      <c r="DK279" s="43" t="str">
        <f t="shared" si="3636"/>
        <v/>
      </c>
      <c r="DL279" s="43" t="str">
        <f t="shared" si="3637"/>
        <v/>
      </c>
      <c r="DM279" s="43" t="str">
        <f t="shared" si="3638"/>
        <v/>
      </c>
      <c r="DN279" s="43" t="str">
        <f t="shared" si="3639"/>
        <v/>
      </c>
      <c r="DO279" s="43" t="str">
        <f t="shared" si="3640"/>
        <v/>
      </c>
      <c r="DP279" s="43" t="str">
        <f t="shared" si="3641"/>
        <v/>
      </c>
      <c r="DQ279" s="43" t="str">
        <f t="shared" si="3642"/>
        <v/>
      </c>
      <c r="DR279" s="43" t="str">
        <f t="shared" si="3643"/>
        <v/>
      </c>
      <c r="DS279" s="43" t="str">
        <f t="shared" si="3644"/>
        <v/>
      </c>
      <c r="DT279" s="43" t="str">
        <f t="shared" si="3645"/>
        <v/>
      </c>
      <c r="DU279" s="43" t="str">
        <f t="shared" si="3646"/>
        <v/>
      </c>
      <c r="DV279" s="43" t="str">
        <f t="shared" si="3647"/>
        <v/>
      </c>
      <c r="DW279" s="43" t="str">
        <f t="shared" si="3648"/>
        <v/>
      </c>
      <c r="DX279" s="43" t="str">
        <f t="shared" si="3649"/>
        <v/>
      </c>
      <c r="DY279" s="43" t="str">
        <f t="shared" si="3650"/>
        <v/>
      </c>
      <c r="DZ279" s="43" t="str">
        <f t="shared" si="3651"/>
        <v/>
      </c>
      <c r="EA279" s="43" t="str">
        <f t="shared" si="3652"/>
        <v/>
      </c>
      <c r="EB279" s="43" t="str">
        <f t="shared" si="3653"/>
        <v/>
      </c>
      <c r="EC279" s="43" t="str">
        <f t="shared" si="3654"/>
        <v/>
      </c>
      <c r="ED279" s="43" t="str">
        <f t="shared" si="3655"/>
        <v/>
      </c>
      <c r="EE279" s="43" t="str">
        <f t="shared" si="3656"/>
        <v/>
      </c>
      <c r="EF279" s="43" t="str">
        <f t="shared" si="3657"/>
        <v/>
      </c>
      <c r="EG279" s="43" t="str">
        <f t="shared" si="3658"/>
        <v/>
      </c>
      <c r="EH279" s="43" t="str">
        <f t="shared" si="3659"/>
        <v/>
      </c>
      <c r="EI279" s="43" t="str">
        <f t="shared" si="3660"/>
        <v/>
      </c>
      <c r="EJ279" s="43" t="str">
        <f t="shared" si="3661"/>
        <v/>
      </c>
      <c r="EK279" s="43" t="str">
        <f t="shared" si="3662"/>
        <v/>
      </c>
      <c r="EL279" s="43" t="str">
        <f t="shared" si="3663"/>
        <v/>
      </c>
      <c r="EM279" s="43" t="str">
        <f t="shared" si="3664"/>
        <v/>
      </c>
      <c r="EN279" s="43" t="str">
        <f t="shared" si="3665"/>
        <v/>
      </c>
      <c r="EO279" s="43" t="str">
        <f t="shared" si="3666"/>
        <v/>
      </c>
      <c r="EP279" s="43" t="str">
        <f t="shared" si="3667"/>
        <v/>
      </c>
      <c r="EQ279" s="43" t="str">
        <f t="shared" si="3668"/>
        <v/>
      </c>
      <c r="ER279" s="43" t="str">
        <f t="shared" si="3669"/>
        <v/>
      </c>
      <c r="ES279" s="43" t="str">
        <f t="shared" si="3670"/>
        <v/>
      </c>
      <c r="ET279" s="43" t="str">
        <f t="shared" si="3671"/>
        <v/>
      </c>
      <c r="EU279" s="43" t="str">
        <f t="shared" si="3672"/>
        <v/>
      </c>
      <c r="EV279" s="43" t="str">
        <f t="shared" si="3673"/>
        <v/>
      </c>
      <c r="EW279" s="43" t="str">
        <f t="shared" si="3674"/>
        <v/>
      </c>
      <c r="EX279" s="43" t="str">
        <f t="shared" si="3675"/>
        <v/>
      </c>
      <c r="EY279" s="43" t="str">
        <f t="shared" si="3676"/>
        <v/>
      </c>
      <c r="EZ279" s="43" t="str">
        <f t="shared" si="3677"/>
        <v/>
      </c>
      <c r="FA279" s="43" t="str">
        <f t="shared" si="3678"/>
        <v/>
      </c>
      <c r="FB279" s="43" t="str">
        <f t="shared" si="3679"/>
        <v/>
      </c>
      <c r="FC279" s="43" t="str">
        <f t="shared" si="3680"/>
        <v/>
      </c>
      <c r="FD279" s="43" t="str">
        <f t="shared" si="3681"/>
        <v/>
      </c>
      <c r="FE279" s="43" t="str">
        <f t="shared" si="3682"/>
        <v/>
      </c>
      <c r="FF279" s="43" t="str">
        <f t="shared" si="3683"/>
        <v/>
      </c>
      <c r="FG279" s="43" t="str">
        <f t="shared" si="3684"/>
        <v/>
      </c>
      <c r="FH279" s="43" t="str">
        <f t="shared" si="3685"/>
        <v/>
      </c>
      <c r="FI279" s="43" t="str">
        <f t="shared" si="3686"/>
        <v/>
      </c>
      <c r="FJ279" s="43" t="str">
        <f t="shared" si="3687"/>
        <v/>
      </c>
      <c r="FK279" s="43" t="str">
        <f t="shared" si="3688"/>
        <v/>
      </c>
      <c r="FL279" s="43" t="str">
        <f t="shared" si="3689"/>
        <v/>
      </c>
      <c r="FM279" s="43" t="str">
        <f t="shared" si="3690"/>
        <v/>
      </c>
      <c r="FN279" s="43" t="str">
        <f t="shared" si="3691"/>
        <v/>
      </c>
      <c r="FO279" s="43" t="str">
        <f t="shared" si="3692"/>
        <v/>
      </c>
      <c r="FP279" s="43" t="str">
        <f t="shared" si="3693"/>
        <v/>
      </c>
      <c r="FQ279" s="43" t="str">
        <f t="shared" si="3694"/>
        <v/>
      </c>
      <c r="FR279" s="43" t="str">
        <f t="shared" si="3695"/>
        <v/>
      </c>
      <c r="FS279" s="43" t="str">
        <f t="shared" si="3696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26"/>
        <v>|n</v>
      </c>
      <c r="CW280" s="6"/>
      <c r="CX280" s="6"/>
      <c r="CY280" s="6"/>
      <c r="CZ280" s="6"/>
      <c r="DA280" s="6"/>
      <c r="DB280" s="43" t="str">
        <f t="shared" si="3627"/>
        <v/>
      </c>
      <c r="DC280" s="43" t="str">
        <f t="shared" si="3628"/>
        <v/>
      </c>
      <c r="DD280" s="43" t="str">
        <f t="shared" si="3629"/>
        <v/>
      </c>
      <c r="DE280" s="43" t="str">
        <f t="shared" si="3630"/>
        <v/>
      </c>
      <c r="DF280" s="43" t="str">
        <f t="shared" si="3631"/>
        <v/>
      </c>
      <c r="DG280" s="43" t="str">
        <f t="shared" si="3632"/>
        <v/>
      </c>
      <c r="DH280" s="43" t="str">
        <f t="shared" si="3633"/>
        <v/>
      </c>
      <c r="DI280" s="43" t="str">
        <f t="shared" si="3634"/>
        <v/>
      </c>
      <c r="DJ280" s="43" t="str">
        <f t="shared" si="3635"/>
        <v/>
      </c>
      <c r="DK280" s="43" t="str">
        <f t="shared" si="3636"/>
        <v/>
      </c>
      <c r="DL280" s="43" t="str">
        <f t="shared" si="3637"/>
        <v/>
      </c>
      <c r="DM280" s="43" t="str">
        <f t="shared" si="3638"/>
        <v/>
      </c>
      <c r="DN280" s="43" t="str">
        <f t="shared" si="3639"/>
        <v/>
      </c>
      <c r="DO280" s="43" t="str">
        <f t="shared" si="3640"/>
        <v/>
      </c>
      <c r="DP280" s="43" t="str">
        <f t="shared" si="3641"/>
        <v/>
      </c>
      <c r="DQ280" s="43" t="str">
        <f t="shared" si="3642"/>
        <v/>
      </c>
      <c r="DR280" s="43" t="str">
        <f t="shared" si="3643"/>
        <v/>
      </c>
      <c r="DS280" s="43" t="str">
        <f t="shared" si="3644"/>
        <v/>
      </c>
      <c r="DT280" s="43" t="str">
        <f t="shared" si="3645"/>
        <v/>
      </c>
      <c r="DU280" s="43" t="str">
        <f t="shared" si="3646"/>
        <v/>
      </c>
      <c r="DV280" s="43" t="str">
        <f t="shared" si="3647"/>
        <v/>
      </c>
      <c r="DW280" s="43" t="str">
        <f t="shared" si="3648"/>
        <v/>
      </c>
      <c r="DX280" s="43" t="str">
        <f t="shared" si="3649"/>
        <v/>
      </c>
      <c r="DY280" s="43" t="str">
        <f t="shared" si="3650"/>
        <v/>
      </c>
      <c r="DZ280" s="43" t="str">
        <f t="shared" si="3651"/>
        <v/>
      </c>
      <c r="EA280" s="43" t="str">
        <f t="shared" si="3652"/>
        <v/>
      </c>
      <c r="EB280" s="43" t="str">
        <f t="shared" si="3653"/>
        <v/>
      </c>
      <c r="EC280" s="43" t="str">
        <f t="shared" si="3654"/>
        <v/>
      </c>
      <c r="ED280" s="43" t="str">
        <f t="shared" si="3655"/>
        <v/>
      </c>
      <c r="EE280" s="43" t="str">
        <f t="shared" si="3656"/>
        <v/>
      </c>
      <c r="EF280" s="43" t="str">
        <f t="shared" si="3657"/>
        <v/>
      </c>
      <c r="EG280" s="43" t="str">
        <f t="shared" si="3658"/>
        <v/>
      </c>
      <c r="EH280" s="43" t="str">
        <f t="shared" si="3659"/>
        <v/>
      </c>
      <c r="EI280" s="43" t="str">
        <f t="shared" si="3660"/>
        <v/>
      </c>
      <c r="EJ280" s="43" t="str">
        <f t="shared" si="3661"/>
        <v/>
      </c>
      <c r="EK280" s="43" t="str">
        <f t="shared" si="3662"/>
        <v/>
      </c>
      <c r="EL280" s="43" t="str">
        <f t="shared" si="3663"/>
        <v/>
      </c>
      <c r="EM280" s="43" t="str">
        <f t="shared" si="3664"/>
        <v/>
      </c>
      <c r="EN280" s="43" t="str">
        <f t="shared" si="3665"/>
        <v/>
      </c>
      <c r="EO280" s="43" t="str">
        <f t="shared" si="3666"/>
        <v/>
      </c>
      <c r="EP280" s="43" t="str">
        <f t="shared" si="3667"/>
        <v/>
      </c>
      <c r="EQ280" s="43" t="str">
        <f t="shared" si="3668"/>
        <v/>
      </c>
      <c r="ER280" s="43" t="str">
        <f t="shared" si="3669"/>
        <v/>
      </c>
      <c r="ES280" s="43" t="str">
        <f t="shared" si="3670"/>
        <v/>
      </c>
      <c r="ET280" s="43" t="str">
        <f t="shared" si="3671"/>
        <v/>
      </c>
      <c r="EU280" s="43" t="str">
        <f t="shared" si="3672"/>
        <v/>
      </c>
      <c r="EV280" s="43" t="str">
        <f t="shared" si="3673"/>
        <v/>
      </c>
      <c r="EW280" s="43" t="str">
        <f t="shared" si="3674"/>
        <v/>
      </c>
      <c r="EX280" s="43" t="str">
        <f t="shared" si="3675"/>
        <v/>
      </c>
      <c r="EY280" s="43" t="str">
        <f t="shared" si="3676"/>
        <v/>
      </c>
      <c r="EZ280" s="43" t="str">
        <f t="shared" si="3677"/>
        <v/>
      </c>
      <c r="FA280" s="43" t="str">
        <f t="shared" si="3678"/>
        <v/>
      </c>
      <c r="FB280" s="43" t="str">
        <f t="shared" si="3679"/>
        <v/>
      </c>
      <c r="FC280" s="43" t="str">
        <f t="shared" si="3680"/>
        <v/>
      </c>
      <c r="FD280" s="43" t="str">
        <f t="shared" si="3681"/>
        <v/>
      </c>
      <c r="FE280" s="43" t="str">
        <f t="shared" si="3682"/>
        <v/>
      </c>
      <c r="FF280" s="43" t="str">
        <f t="shared" si="3683"/>
        <v/>
      </c>
      <c r="FG280" s="43" t="str">
        <f t="shared" si="3684"/>
        <v/>
      </c>
      <c r="FH280" s="43" t="str">
        <f t="shared" si="3685"/>
        <v/>
      </c>
      <c r="FI280" s="43" t="str">
        <f t="shared" si="3686"/>
        <v/>
      </c>
      <c r="FJ280" s="43" t="str">
        <f t="shared" si="3687"/>
        <v/>
      </c>
      <c r="FK280" s="43" t="str">
        <f t="shared" si="3688"/>
        <v/>
      </c>
      <c r="FL280" s="43" t="str">
        <f t="shared" si="3689"/>
        <v/>
      </c>
      <c r="FM280" s="43" t="str">
        <f t="shared" si="3690"/>
        <v/>
      </c>
      <c r="FN280" s="43" t="str">
        <f t="shared" si="3691"/>
        <v/>
      </c>
      <c r="FO280" s="43" t="str">
        <f t="shared" si="3692"/>
        <v/>
      </c>
      <c r="FP280" s="43" t="str">
        <f t="shared" si="3693"/>
        <v/>
      </c>
      <c r="FQ280" s="43" t="str">
        <f t="shared" si="3694"/>
        <v/>
      </c>
      <c r="FR280" s="43" t="str">
        <f t="shared" si="3695"/>
        <v/>
      </c>
      <c r="FS280" s="43" t="str">
        <f t="shared" si="3696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26"/>
        <v>|n</v>
      </c>
      <c r="CW281" s="6"/>
      <c r="CX281" s="6"/>
      <c r="CY281" s="6"/>
      <c r="CZ281" s="6"/>
      <c r="DA281" s="6"/>
      <c r="DB281" s="43" t="str">
        <f t="shared" si="3627"/>
        <v/>
      </c>
      <c r="DC281" s="43" t="str">
        <f t="shared" si="3628"/>
        <v/>
      </c>
      <c r="DD281" s="43" t="str">
        <f t="shared" si="3629"/>
        <v/>
      </c>
      <c r="DE281" s="43" t="str">
        <f t="shared" si="3630"/>
        <v/>
      </c>
      <c r="DF281" s="43" t="str">
        <f t="shared" si="3631"/>
        <v/>
      </c>
      <c r="DG281" s="43" t="str">
        <f t="shared" si="3632"/>
        <v/>
      </c>
      <c r="DH281" s="43" t="str">
        <f t="shared" si="3633"/>
        <v/>
      </c>
      <c r="DI281" s="43" t="str">
        <f t="shared" si="3634"/>
        <v/>
      </c>
      <c r="DJ281" s="43" t="str">
        <f t="shared" si="3635"/>
        <v/>
      </c>
      <c r="DK281" s="43" t="str">
        <f t="shared" si="3636"/>
        <v/>
      </c>
      <c r="DL281" s="43" t="str">
        <f t="shared" si="3637"/>
        <v/>
      </c>
      <c r="DM281" s="43" t="str">
        <f t="shared" si="3638"/>
        <v/>
      </c>
      <c r="DN281" s="43" t="str">
        <f t="shared" si="3639"/>
        <v/>
      </c>
      <c r="DO281" s="43" t="str">
        <f t="shared" si="3640"/>
        <v/>
      </c>
      <c r="DP281" s="43" t="str">
        <f t="shared" si="3641"/>
        <v/>
      </c>
      <c r="DQ281" s="43" t="str">
        <f t="shared" si="3642"/>
        <v/>
      </c>
      <c r="DR281" s="43" t="str">
        <f t="shared" si="3643"/>
        <v/>
      </c>
      <c r="DS281" s="43" t="str">
        <f t="shared" si="3644"/>
        <v/>
      </c>
      <c r="DT281" s="43" t="str">
        <f t="shared" si="3645"/>
        <v/>
      </c>
      <c r="DU281" s="43" t="str">
        <f t="shared" si="3646"/>
        <v/>
      </c>
      <c r="DV281" s="43" t="str">
        <f t="shared" si="3647"/>
        <v/>
      </c>
      <c r="DW281" s="43" t="str">
        <f t="shared" si="3648"/>
        <v/>
      </c>
      <c r="DX281" s="43" t="str">
        <f t="shared" si="3649"/>
        <v/>
      </c>
      <c r="DY281" s="43" t="str">
        <f t="shared" si="3650"/>
        <v/>
      </c>
      <c r="DZ281" s="43" t="str">
        <f t="shared" si="3651"/>
        <v/>
      </c>
      <c r="EA281" s="43" t="str">
        <f t="shared" si="3652"/>
        <v/>
      </c>
      <c r="EB281" s="43" t="str">
        <f t="shared" si="3653"/>
        <v/>
      </c>
      <c r="EC281" s="43" t="str">
        <f t="shared" si="3654"/>
        <v/>
      </c>
      <c r="ED281" s="43" t="str">
        <f t="shared" si="3655"/>
        <v/>
      </c>
      <c r="EE281" s="43" t="str">
        <f t="shared" si="3656"/>
        <v/>
      </c>
      <c r="EF281" s="43" t="str">
        <f t="shared" si="3657"/>
        <v/>
      </c>
      <c r="EG281" s="43" t="str">
        <f t="shared" si="3658"/>
        <v/>
      </c>
      <c r="EH281" s="43" t="str">
        <f t="shared" si="3659"/>
        <v/>
      </c>
      <c r="EI281" s="43" t="str">
        <f t="shared" si="3660"/>
        <v/>
      </c>
      <c r="EJ281" s="43" t="str">
        <f t="shared" si="3661"/>
        <v/>
      </c>
      <c r="EK281" s="43" t="str">
        <f t="shared" si="3662"/>
        <v/>
      </c>
      <c r="EL281" s="43" t="str">
        <f t="shared" si="3663"/>
        <v/>
      </c>
      <c r="EM281" s="43" t="str">
        <f t="shared" si="3664"/>
        <v/>
      </c>
      <c r="EN281" s="43" t="str">
        <f t="shared" si="3665"/>
        <v/>
      </c>
      <c r="EO281" s="43" t="str">
        <f t="shared" si="3666"/>
        <v/>
      </c>
      <c r="EP281" s="43" t="str">
        <f t="shared" si="3667"/>
        <v/>
      </c>
      <c r="EQ281" s="43" t="str">
        <f t="shared" si="3668"/>
        <v/>
      </c>
      <c r="ER281" s="43" t="str">
        <f t="shared" si="3669"/>
        <v/>
      </c>
      <c r="ES281" s="43" t="str">
        <f t="shared" si="3670"/>
        <v/>
      </c>
      <c r="ET281" s="43" t="str">
        <f t="shared" si="3671"/>
        <v/>
      </c>
      <c r="EU281" s="43" t="str">
        <f t="shared" si="3672"/>
        <v/>
      </c>
      <c r="EV281" s="43" t="str">
        <f t="shared" si="3673"/>
        <v/>
      </c>
      <c r="EW281" s="43" t="str">
        <f t="shared" si="3674"/>
        <v/>
      </c>
      <c r="EX281" s="43" t="str">
        <f t="shared" si="3675"/>
        <v/>
      </c>
      <c r="EY281" s="43" t="str">
        <f t="shared" si="3676"/>
        <v/>
      </c>
      <c r="EZ281" s="43" t="str">
        <f t="shared" si="3677"/>
        <v/>
      </c>
      <c r="FA281" s="43" t="str">
        <f t="shared" si="3678"/>
        <v/>
      </c>
      <c r="FB281" s="43" t="str">
        <f t="shared" si="3679"/>
        <v/>
      </c>
      <c r="FC281" s="43" t="str">
        <f t="shared" si="3680"/>
        <v/>
      </c>
      <c r="FD281" s="43" t="str">
        <f t="shared" si="3681"/>
        <v/>
      </c>
      <c r="FE281" s="43" t="str">
        <f t="shared" si="3682"/>
        <v/>
      </c>
      <c r="FF281" s="43" t="str">
        <f t="shared" si="3683"/>
        <v/>
      </c>
      <c r="FG281" s="43" t="str">
        <f t="shared" si="3684"/>
        <v/>
      </c>
      <c r="FH281" s="43" t="str">
        <f t="shared" si="3685"/>
        <v/>
      </c>
      <c r="FI281" s="43" t="str">
        <f t="shared" si="3686"/>
        <v/>
      </c>
      <c r="FJ281" s="43" t="str">
        <f t="shared" si="3687"/>
        <v/>
      </c>
      <c r="FK281" s="43" t="str">
        <f t="shared" si="3688"/>
        <v/>
      </c>
      <c r="FL281" s="43" t="str">
        <f t="shared" si="3689"/>
        <v/>
      </c>
      <c r="FM281" s="43" t="str">
        <f t="shared" si="3690"/>
        <v/>
      </c>
      <c r="FN281" s="43" t="str">
        <f t="shared" si="3691"/>
        <v/>
      </c>
      <c r="FO281" s="43" t="str">
        <f t="shared" si="3692"/>
        <v/>
      </c>
      <c r="FP281" s="43" t="str">
        <f t="shared" si="3693"/>
        <v/>
      </c>
      <c r="FQ281" s="43" t="str">
        <f t="shared" si="3694"/>
        <v/>
      </c>
      <c r="FR281" s="43" t="str">
        <f t="shared" si="3695"/>
        <v/>
      </c>
      <c r="FS281" s="43" t="str">
        <f t="shared" si="3696"/>
        <v/>
      </c>
    </row>
    <row r="282" spans="1:175" ht="16.5">
      <c r="A282" s="10"/>
      <c r="B282" s="11"/>
      <c r="C282" s="10"/>
      <c r="E282" s="100"/>
      <c r="T282" s="107"/>
      <c r="U282" s="55"/>
      <c r="CU282" s="67" t="str">
        <f t="shared" si="3626"/>
        <v>|n</v>
      </c>
      <c r="CW282" s="6"/>
      <c r="CX282" s="6"/>
      <c r="CY282" s="6"/>
      <c r="CZ282" s="6"/>
      <c r="DA282" s="6"/>
      <c r="DB282" s="43" t="str">
        <f t="shared" si="3627"/>
        <v/>
      </c>
      <c r="DC282" s="43" t="str">
        <f t="shared" si="3628"/>
        <v/>
      </c>
      <c r="DD282" s="43" t="str">
        <f t="shared" si="3629"/>
        <v/>
      </c>
      <c r="DE282" s="43" t="str">
        <f t="shared" si="3630"/>
        <v/>
      </c>
      <c r="DF282" s="43" t="str">
        <f t="shared" si="3631"/>
        <v/>
      </c>
      <c r="DG282" s="43" t="str">
        <f t="shared" si="3632"/>
        <v/>
      </c>
      <c r="DH282" s="43" t="str">
        <f t="shared" si="3633"/>
        <v/>
      </c>
      <c r="DI282" s="43" t="str">
        <f t="shared" si="3634"/>
        <v/>
      </c>
      <c r="DJ282" s="43" t="str">
        <f t="shared" si="3635"/>
        <v/>
      </c>
      <c r="DK282" s="43" t="str">
        <f t="shared" si="3636"/>
        <v/>
      </c>
      <c r="DL282" s="43" t="str">
        <f t="shared" si="3637"/>
        <v/>
      </c>
      <c r="DM282" s="43" t="str">
        <f t="shared" si="3638"/>
        <v/>
      </c>
      <c r="DN282" s="43" t="str">
        <f t="shared" si="3639"/>
        <v/>
      </c>
      <c r="DO282" s="43" t="str">
        <f t="shared" si="3640"/>
        <v/>
      </c>
      <c r="DP282" s="43" t="str">
        <f t="shared" si="3641"/>
        <v/>
      </c>
      <c r="DQ282" s="43" t="str">
        <f t="shared" si="3642"/>
        <v/>
      </c>
      <c r="DR282" s="43" t="str">
        <f t="shared" si="3643"/>
        <v/>
      </c>
      <c r="DS282" s="43" t="str">
        <f t="shared" si="3644"/>
        <v/>
      </c>
      <c r="DT282" s="43" t="str">
        <f t="shared" si="3645"/>
        <v/>
      </c>
      <c r="DU282" s="43" t="str">
        <f t="shared" si="3646"/>
        <v/>
      </c>
      <c r="DV282" s="43" t="str">
        <f t="shared" si="3647"/>
        <v/>
      </c>
      <c r="DW282" s="43" t="str">
        <f t="shared" si="3648"/>
        <v/>
      </c>
      <c r="DX282" s="43" t="str">
        <f t="shared" si="3649"/>
        <v/>
      </c>
      <c r="DY282" s="43" t="str">
        <f t="shared" si="3650"/>
        <v/>
      </c>
      <c r="DZ282" s="43" t="str">
        <f t="shared" si="3651"/>
        <v/>
      </c>
      <c r="EA282" s="43" t="str">
        <f t="shared" si="3652"/>
        <v/>
      </c>
      <c r="EB282" s="43" t="str">
        <f t="shared" si="3653"/>
        <v/>
      </c>
      <c r="EC282" s="43" t="str">
        <f t="shared" si="3654"/>
        <v/>
      </c>
      <c r="ED282" s="43" t="str">
        <f t="shared" si="3655"/>
        <v/>
      </c>
      <c r="EE282" s="43" t="str">
        <f t="shared" si="3656"/>
        <v/>
      </c>
      <c r="EF282" s="43" t="str">
        <f t="shared" si="3657"/>
        <v/>
      </c>
      <c r="EG282" s="43" t="str">
        <f t="shared" si="3658"/>
        <v/>
      </c>
      <c r="EH282" s="43" t="str">
        <f t="shared" si="3659"/>
        <v/>
      </c>
      <c r="EI282" s="43" t="str">
        <f t="shared" si="3660"/>
        <v/>
      </c>
      <c r="EJ282" s="43" t="str">
        <f t="shared" si="3661"/>
        <v/>
      </c>
      <c r="EK282" s="43" t="str">
        <f t="shared" si="3662"/>
        <v/>
      </c>
      <c r="EL282" s="43" t="str">
        <f t="shared" si="3663"/>
        <v/>
      </c>
      <c r="EM282" s="43" t="str">
        <f t="shared" si="3664"/>
        <v/>
      </c>
      <c r="EN282" s="43" t="str">
        <f t="shared" si="3665"/>
        <v/>
      </c>
      <c r="EO282" s="43" t="str">
        <f t="shared" si="3666"/>
        <v/>
      </c>
      <c r="EP282" s="43" t="str">
        <f t="shared" si="3667"/>
        <v/>
      </c>
      <c r="EQ282" s="43" t="str">
        <f t="shared" si="3668"/>
        <v/>
      </c>
      <c r="ER282" s="43" t="str">
        <f t="shared" si="3669"/>
        <v/>
      </c>
      <c r="ES282" s="43" t="str">
        <f t="shared" si="3670"/>
        <v/>
      </c>
      <c r="ET282" s="43" t="str">
        <f t="shared" si="3671"/>
        <v/>
      </c>
      <c r="EU282" s="43" t="str">
        <f t="shared" si="3672"/>
        <v/>
      </c>
      <c r="EV282" s="43" t="str">
        <f t="shared" si="3673"/>
        <v/>
      </c>
      <c r="EW282" s="43" t="str">
        <f t="shared" si="3674"/>
        <v/>
      </c>
      <c r="EX282" s="43" t="str">
        <f t="shared" si="3675"/>
        <v/>
      </c>
      <c r="EY282" s="43" t="str">
        <f t="shared" si="3676"/>
        <v/>
      </c>
      <c r="EZ282" s="43" t="str">
        <f t="shared" si="3677"/>
        <v/>
      </c>
      <c r="FA282" s="43" t="str">
        <f t="shared" si="3678"/>
        <v/>
      </c>
      <c r="FB282" s="43" t="str">
        <f t="shared" si="3679"/>
        <v/>
      </c>
      <c r="FC282" s="43" t="str">
        <f t="shared" si="3680"/>
        <v/>
      </c>
      <c r="FD282" s="43" t="str">
        <f t="shared" si="3681"/>
        <v/>
      </c>
      <c r="FE282" s="43" t="str">
        <f t="shared" si="3682"/>
        <v/>
      </c>
      <c r="FF282" s="43" t="str">
        <f t="shared" si="3683"/>
        <v/>
      </c>
      <c r="FG282" s="43" t="str">
        <f t="shared" si="3684"/>
        <v/>
      </c>
      <c r="FH282" s="43" t="str">
        <f t="shared" si="3685"/>
        <v/>
      </c>
      <c r="FI282" s="43" t="str">
        <f t="shared" si="3686"/>
        <v/>
      </c>
      <c r="FJ282" s="43" t="str">
        <f t="shared" si="3687"/>
        <v/>
      </c>
      <c r="FK282" s="43" t="str">
        <f t="shared" si="3688"/>
        <v/>
      </c>
      <c r="FL282" s="43" t="str">
        <f t="shared" si="3689"/>
        <v/>
      </c>
      <c r="FM282" s="43" t="str">
        <f t="shared" si="3690"/>
        <v/>
      </c>
      <c r="FN282" s="43" t="str">
        <f t="shared" si="3691"/>
        <v/>
      </c>
      <c r="FO282" s="43" t="str">
        <f t="shared" si="3692"/>
        <v/>
      </c>
      <c r="FP282" s="43" t="str">
        <f t="shared" si="3693"/>
        <v/>
      </c>
      <c r="FQ282" s="43" t="str">
        <f t="shared" si="3694"/>
        <v/>
      </c>
      <c r="FR282" s="43" t="str">
        <f t="shared" si="3695"/>
        <v/>
      </c>
      <c r="FS282" s="43" t="str">
        <f t="shared" si="3696"/>
        <v/>
      </c>
    </row>
    <row r="283" spans="1:175" ht="16.5">
      <c r="A283" s="10"/>
      <c r="B283" s="11"/>
      <c r="C283" s="10"/>
      <c r="E283" s="100"/>
      <c r="T283" s="107"/>
      <c r="U283" s="55"/>
      <c r="CU283" s="67" t="str">
        <f t="shared" si="3626"/>
        <v>|n</v>
      </c>
      <c r="CW283" s="6"/>
      <c r="CX283" s="6"/>
      <c r="CY283" s="6"/>
      <c r="CZ283" s="6"/>
      <c r="DA283" s="6"/>
      <c r="DB283" s="43" t="str">
        <f t="shared" si="3627"/>
        <v/>
      </c>
      <c r="DC283" s="43" t="str">
        <f t="shared" si="3628"/>
        <v/>
      </c>
      <c r="DD283" s="43" t="str">
        <f t="shared" si="3629"/>
        <v/>
      </c>
      <c r="DE283" s="43" t="str">
        <f t="shared" si="3630"/>
        <v/>
      </c>
      <c r="DF283" s="43" t="str">
        <f t="shared" si="3631"/>
        <v/>
      </c>
      <c r="DG283" s="43" t="str">
        <f t="shared" si="3632"/>
        <v/>
      </c>
      <c r="DH283" s="43" t="str">
        <f t="shared" si="3633"/>
        <v/>
      </c>
      <c r="DI283" s="43" t="str">
        <f t="shared" si="3634"/>
        <v/>
      </c>
      <c r="DJ283" s="43" t="str">
        <f t="shared" si="3635"/>
        <v/>
      </c>
      <c r="DK283" s="43" t="str">
        <f t="shared" si="3636"/>
        <v/>
      </c>
      <c r="DL283" s="43" t="str">
        <f t="shared" si="3637"/>
        <v/>
      </c>
      <c r="DM283" s="43" t="str">
        <f t="shared" si="3638"/>
        <v/>
      </c>
      <c r="DN283" s="43" t="str">
        <f t="shared" si="3639"/>
        <v/>
      </c>
      <c r="DO283" s="43" t="str">
        <f t="shared" si="3640"/>
        <v/>
      </c>
      <c r="DP283" s="43" t="str">
        <f t="shared" si="3641"/>
        <v/>
      </c>
      <c r="DQ283" s="43" t="str">
        <f t="shared" si="3642"/>
        <v/>
      </c>
      <c r="DR283" s="43" t="str">
        <f t="shared" si="3643"/>
        <v/>
      </c>
      <c r="DS283" s="43" t="str">
        <f t="shared" si="3644"/>
        <v/>
      </c>
      <c r="DT283" s="43" t="str">
        <f t="shared" si="3645"/>
        <v/>
      </c>
      <c r="DU283" s="43" t="str">
        <f t="shared" si="3646"/>
        <v/>
      </c>
      <c r="DV283" s="43" t="str">
        <f t="shared" si="3647"/>
        <v/>
      </c>
      <c r="DW283" s="43" t="str">
        <f t="shared" si="3648"/>
        <v/>
      </c>
      <c r="DX283" s="43" t="str">
        <f t="shared" si="3649"/>
        <v/>
      </c>
      <c r="DY283" s="43" t="str">
        <f t="shared" si="3650"/>
        <v/>
      </c>
      <c r="DZ283" s="43" t="str">
        <f t="shared" si="3651"/>
        <v/>
      </c>
      <c r="EA283" s="43" t="str">
        <f t="shared" si="3652"/>
        <v/>
      </c>
      <c r="EB283" s="43" t="str">
        <f t="shared" si="3653"/>
        <v/>
      </c>
      <c r="EC283" s="43" t="str">
        <f t="shared" si="3654"/>
        <v/>
      </c>
      <c r="ED283" s="43" t="str">
        <f t="shared" si="3655"/>
        <v/>
      </c>
      <c r="EE283" s="43" t="str">
        <f t="shared" si="3656"/>
        <v/>
      </c>
      <c r="EF283" s="43" t="str">
        <f t="shared" si="3657"/>
        <v/>
      </c>
      <c r="EG283" s="43" t="str">
        <f t="shared" si="3658"/>
        <v/>
      </c>
      <c r="EH283" s="43" t="str">
        <f t="shared" si="3659"/>
        <v/>
      </c>
      <c r="EI283" s="43" t="str">
        <f t="shared" si="3660"/>
        <v/>
      </c>
      <c r="EJ283" s="43" t="str">
        <f t="shared" si="3661"/>
        <v/>
      </c>
      <c r="EK283" s="43" t="str">
        <f t="shared" si="3662"/>
        <v/>
      </c>
      <c r="EL283" s="43" t="str">
        <f t="shared" si="3663"/>
        <v/>
      </c>
      <c r="EM283" s="43" t="str">
        <f t="shared" si="3664"/>
        <v/>
      </c>
      <c r="EN283" s="43" t="str">
        <f t="shared" si="3665"/>
        <v/>
      </c>
      <c r="EO283" s="43" t="str">
        <f t="shared" si="3666"/>
        <v/>
      </c>
      <c r="EP283" s="43" t="str">
        <f t="shared" si="3667"/>
        <v/>
      </c>
      <c r="EQ283" s="43" t="str">
        <f t="shared" si="3668"/>
        <v/>
      </c>
      <c r="ER283" s="43" t="str">
        <f t="shared" si="3669"/>
        <v/>
      </c>
      <c r="ES283" s="43" t="str">
        <f t="shared" si="3670"/>
        <v/>
      </c>
      <c r="ET283" s="43" t="str">
        <f t="shared" si="3671"/>
        <v/>
      </c>
      <c r="EU283" s="43" t="str">
        <f t="shared" si="3672"/>
        <v/>
      </c>
      <c r="EV283" s="43" t="str">
        <f t="shared" si="3673"/>
        <v/>
      </c>
      <c r="EW283" s="43" t="str">
        <f t="shared" si="3674"/>
        <v/>
      </c>
      <c r="EX283" s="43" t="str">
        <f t="shared" si="3675"/>
        <v/>
      </c>
      <c r="EY283" s="43" t="str">
        <f t="shared" si="3676"/>
        <v/>
      </c>
      <c r="EZ283" s="43" t="str">
        <f t="shared" si="3677"/>
        <v/>
      </c>
      <c r="FA283" s="43" t="str">
        <f t="shared" si="3678"/>
        <v/>
      </c>
      <c r="FB283" s="43" t="str">
        <f t="shared" si="3679"/>
        <v/>
      </c>
      <c r="FC283" s="43" t="str">
        <f t="shared" si="3680"/>
        <v/>
      </c>
      <c r="FD283" s="43" t="str">
        <f t="shared" si="3681"/>
        <v/>
      </c>
      <c r="FE283" s="43" t="str">
        <f t="shared" si="3682"/>
        <v/>
      </c>
      <c r="FF283" s="43" t="str">
        <f t="shared" si="3683"/>
        <v/>
      </c>
      <c r="FG283" s="43" t="str">
        <f t="shared" si="3684"/>
        <v/>
      </c>
      <c r="FH283" s="43" t="str">
        <f t="shared" si="3685"/>
        <v/>
      </c>
      <c r="FI283" s="43" t="str">
        <f t="shared" si="3686"/>
        <v/>
      </c>
      <c r="FJ283" s="43" t="str">
        <f t="shared" si="3687"/>
        <v/>
      </c>
      <c r="FK283" s="43" t="str">
        <f t="shared" si="3688"/>
        <v/>
      </c>
      <c r="FL283" s="43" t="str">
        <f t="shared" si="3689"/>
        <v/>
      </c>
      <c r="FM283" s="43" t="str">
        <f t="shared" si="3690"/>
        <v/>
      </c>
      <c r="FN283" s="43" t="str">
        <f t="shared" si="3691"/>
        <v/>
      </c>
      <c r="FO283" s="43" t="str">
        <f t="shared" si="3692"/>
        <v/>
      </c>
      <c r="FP283" s="43" t="str">
        <f t="shared" si="3693"/>
        <v/>
      </c>
      <c r="FQ283" s="43" t="str">
        <f t="shared" si="3694"/>
        <v/>
      </c>
      <c r="FR283" s="43" t="str">
        <f t="shared" si="3695"/>
        <v/>
      </c>
      <c r="FS283" s="43" t="str">
        <f t="shared" si="3696"/>
        <v/>
      </c>
    </row>
    <row r="284" spans="1:175" ht="16.5">
      <c r="A284" s="10"/>
      <c r="B284" s="11"/>
      <c r="C284" s="10"/>
      <c r="E284" s="100"/>
      <c r="T284" s="107"/>
      <c r="U284" s="55"/>
      <c r="CU284" s="67" t="str">
        <f t="shared" si="3626"/>
        <v>|n</v>
      </c>
      <c r="CW284" s="6"/>
      <c r="CX284" s="6"/>
      <c r="CY284" s="6"/>
      <c r="CZ284" s="6"/>
      <c r="DA284" s="6"/>
      <c r="DB284" s="43" t="str">
        <f t="shared" si="3627"/>
        <v/>
      </c>
      <c r="DC284" s="43" t="str">
        <f t="shared" si="3628"/>
        <v/>
      </c>
      <c r="DD284" s="43" t="str">
        <f t="shared" si="3629"/>
        <v/>
      </c>
      <c r="DE284" s="43" t="str">
        <f t="shared" si="3630"/>
        <v/>
      </c>
      <c r="DF284" s="43" t="str">
        <f t="shared" si="3631"/>
        <v/>
      </c>
      <c r="DG284" s="43" t="str">
        <f t="shared" si="3632"/>
        <v/>
      </c>
      <c r="DH284" s="43" t="str">
        <f t="shared" si="3633"/>
        <v/>
      </c>
      <c r="DI284" s="43" t="str">
        <f t="shared" si="3634"/>
        <v/>
      </c>
      <c r="DJ284" s="43" t="str">
        <f t="shared" si="3635"/>
        <v/>
      </c>
      <c r="DK284" s="43" t="str">
        <f t="shared" si="3636"/>
        <v/>
      </c>
      <c r="DL284" s="43" t="str">
        <f t="shared" si="3637"/>
        <v/>
      </c>
      <c r="DM284" s="43" t="str">
        <f t="shared" si="3638"/>
        <v/>
      </c>
      <c r="DN284" s="43" t="str">
        <f t="shared" si="3639"/>
        <v/>
      </c>
      <c r="DO284" s="43" t="str">
        <f t="shared" si="3640"/>
        <v/>
      </c>
      <c r="DP284" s="43" t="str">
        <f t="shared" si="3641"/>
        <v/>
      </c>
      <c r="DQ284" s="43" t="str">
        <f t="shared" si="3642"/>
        <v/>
      </c>
      <c r="DR284" s="43" t="str">
        <f t="shared" si="3643"/>
        <v/>
      </c>
      <c r="DS284" s="43" t="str">
        <f t="shared" si="3644"/>
        <v/>
      </c>
      <c r="DT284" s="43" t="str">
        <f t="shared" si="3645"/>
        <v/>
      </c>
      <c r="DU284" s="43" t="str">
        <f t="shared" si="3646"/>
        <v/>
      </c>
      <c r="DV284" s="43" t="str">
        <f t="shared" si="3647"/>
        <v/>
      </c>
      <c r="DW284" s="43" t="str">
        <f t="shared" si="3648"/>
        <v/>
      </c>
      <c r="DX284" s="43" t="str">
        <f t="shared" si="3649"/>
        <v/>
      </c>
      <c r="DY284" s="43" t="str">
        <f t="shared" si="3650"/>
        <v/>
      </c>
      <c r="DZ284" s="43" t="str">
        <f t="shared" si="3651"/>
        <v/>
      </c>
      <c r="EA284" s="43" t="str">
        <f t="shared" si="3652"/>
        <v/>
      </c>
      <c r="EB284" s="43" t="str">
        <f t="shared" si="3653"/>
        <v/>
      </c>
      <c r="EC284" s="43" t="str">
        <f t="shared" si="3654"/>
        <v/>
      </c>
      <c r="ED284" s="43" t="str">
        <f t="shared" si="3655"/>
        <v/>
      </c>
      <c r="EE284" s="43" t="str">
        <f t="shared" si="3656"/>
        <v/>
      </c>
      <c r="EF284" s="43" t="str">
        <f t="shared" si="3657"/>
        <v/>
      </c>
      <c r="EG284" s="43" t="str">
        <f t="shared" si="3658"/>
        <v/>
      </c>
      <c r="EH284" s="43" t="str">
        <f t="shared" si="3659"/>
        <v/>
      </c>
      <c r="EI284" s="43" t="str">
        <f t="shared" si="3660"/>
        <v/>
      </c>
      <c r="EJ284" s="43" t="str">
        <f t="shared" si="3661"/>
        <v/>
      </c>
      <c r="EK284" s="43" t="str">
        <f t="shared" si="3662"/>
        <v/>
      </c>
      <c r="EL284" s="43" t="str">
        <f t="shared" si="3663"/>
        <v/>
      </c>
      <c r="EM284" s="43" t="str">
        <f t="shared" si="3664"/>
        <v/>
      </c>
      <c r="EN284" s="43" t="str">
        <f t="shared" si="3665"/>
        <v/>
      </c>
      <c r="EO284" s="43" t="str">
        <f t="shared" si="3666"/>
        <v/>
      </c>
      <c r="EP284" s="43" t="str">
        <f t="shared" si="3667"/>
        <v/>
      </c>
      <c r="EQ284" s="43" t="str">
        <f t="shared" si="3668"/>
        <v/>
      </c>
      <c r="ER284" s="43" t="str">
        <f t="shared" si="3669"/>
        <v/>
      </c>
      <c r="ES284" s="43" t="str">
        <f t="shared" si="3670"/>
        <v/>
      </c>
      <c r="ET284" s="43" t="str">
        <f t="shared" si="3671"/>
        <v/>
      </c>
      <c r="EU284" s="43" t="str">
        <f t="shared" si="3672"/>
        <v/>
      </c>
      <c r="EV284" s="43" t="str">
        <f t="shared" si="3673"/>
        <v/>
      </c>
      <c r="EW284" s="43" t="str">
        <f t="shared" si="3674"/>
        <v/>
      </c>
      <c r="EX284" s="43" t="str">
        <f t="shared" si="3675"/>
        <v/>
      </c>
      <c r="EY284" s="43" t="str">
        <f t="shared" si="3676"/>
        <v/>
      </c>
      <c r="EZ284" s="43" t="str">
        <f t="shared" si="3677"/>
        <v/>
      </c>
      <c r="FA284" s="43" t="str">
        <f t="shared" si="3678"/>
        <v/>
      </c>
      <c r="FB284" s="43" t="str">
        <f t="shared" si="3679"/>
        <v/>
      </c>
      <c r="FC284" s="43" t="str">
        <f t="shared" si="3680"/>
        <v/>
      </c>
      <c r="FD284" s="43" t="str">
        <f t="shared" si="3681"/>
        <v/>
      </c>
      <c r="FE284" s="43" t="str">
        <f t="shared" si="3682"/>
        <v/>
      </c>
      <c r="FF284" s="43" t="str">
        <f t="shared" si="3683"/>
        <v/>
      </c>
      <c r="FG284" s="43" t="str">
        <f t="shared" si="3684"/>
        <v/>
      </c>
      <c r="FH284" s="43" t="str">
        <f t="shared" si="3685"/>
        <v/>
      </c>
      <c r="FI284" s="43" t="str">
        <f t="shared" si="3686"/>
        <v/>
      </c>
      <c r="FJ284" s="43" t="str">
        <f t="shared" si="3687"/>
        <v/>
      </c>
      <c r="FK284" s="43" t="str">
        <f t="shared" si="3688"/>
        <v/>
      </c>
      <c r="FL284" s="43" t="str">
        <f t="shared" si="3689"/>
        <v/>
      </c>
      <c r="FM284" s="43" t="str">
        <f t="shared" si="3690"/>
        <v/>
      </c>
      <c r="FN284" s="43" t="str">
        <f t="shared" si="3691"/>
        <v/>
      </c>
      <c r="FO284" s="43" t="str">
        <f t="shared" si="3692"/>
        <v/>
      </c>
      <c r="FP284" s="43" t="str">
        <f t="shared" si="3693"/>
        <v/>
      </c>
      <c r="FQ284" s="43" t="str">
        <f t="shared" si="3694"/>
        <v/>
      </c>
      <c r="FR284" s="43" t="str">
        <f t="shared" si="3695"/>
        <v/>
      </c>
      <c r="FS284" s="43" t="str">
        <f t="shared" si="3696"/>
        <v/>
      </c>
    </row>
    <row r="285" spans="1:175" ht="16.5">
      <c r="A285" s="10"/>
      <c r="B285" s="11"/>
      <c r="C285" s="10"/>
      <c r="E285" s="100"/>
      <c r="T285" s="107"/>
      <c r="U285" s="55"/>
      <c r="CU285" s="67" t="str">
        <f t="shared" si="3626"/>
        <v>|n</v>
      </c>
      <c r="CW285" s="6"/>
      <c r="CX285" s="6"/>
      <c r="CY285" s="6"/>
      <c r="CZ285" s="6"/>
      <c r="DA285" s="6"/>
      <c r="DB285" s="43" t="str">
        <f t="shared" si="3627"/>
        <v/>
      </c>
      <c r="DC285" s="43" t="str">
        <f t="shared" si="3628"/>
        <v/>
      </c>
      <c r="DD285" s="43" t="str">
        <f t="shared" si="3629"/>
        <v/>
      </c>
      <c r="DE285" s="43" t="str">
        <f t="shared" si="3630"/>
        <v/>
      </c>
      <c r="DF285" s="43" t="str">
        <f t="shared" si="3631"/>
        <v/>
      </c>
      <c r="DG285" s="43" t="str">
        <f t="shared" si="3632"/>
        <v/>
      </c>
      <c r="DH285" s="43" t="str">
        <f t="shared" si="3633"/>
        <v/>
      </c>
      <c r="DI285" s="43" t="str">
        <f t="shared" si="3634"/>
        <v/>
      </c>
      <c r="DJ285" s="43" t="str">
        <f t="shared" si="3635"/>
        <v/>
      </c>
      <c r="DK285" s="43" t="str">
        <f t="shared" si="3636"/>
        <v/>
      </c>
      <c r="DL285" s="43" t="str">
        <f t="shared" si="3637"/>
        <v/>
      </c>
      <c r="DM285" s="43" t="str">
        <f t="shared" si="3638"/>
        <v/>
      </c>
      <c r="DN285" s="43" t="str">
        <f t="shared" si="3639"/>
        <v/>
      </c>
      <c r="DO285" s="43" t="str">
        <f t="shared" si="3640"/>
        <v/>
      </c>
      <c r="DP285" s="43" t="str">
        <f t="shared" si="3641"/>
        <v/>
      </c>
      <c r="DQ285" s="43" t="str">
        <f t="shared" si="3642"/>
        <v/>
      </c>
      <c r="DR285" s="43" t="str">
        <f t="shared" si="3643"/>
        <v/>
      </c>
      <c r="DS285" s="43" t="str">
        <f t="shared" si="3644"/>
        <v/>
      </c>
      <c r="DT285" s="43" t="str">
        <f t="shared" si="3645"/>
        <v/>
      </c>
      <c r="DU285" s="43" t="str">
        <f t="shared" si="3646"/>
        <v/>
      </c>
      <c r="DV285" s="43" t="str">
        <f t="shared" si="3647"/>
        <v/>
      </c>
      <c r="DW285" s="43" t="str">
        <f t="shared" si="3648"/>
        <v/>
      </c>
      <c r="DX285" s="43" t="str">
        <f t="shared" si="3649"/>
        <v/>
      </c>
      <c r="DY285" s="43" t="str">
        <f t="shared" si="3650"/>
        <v/>
      </c>
      <c r="DZ285" s="43" t="str">
        <f t="shared" si="3651"/>
        <v/>
      </c>
      <c r="EA285" s="43" t="str">
        <f t="shared" si="3652"/>
        <v/>
      </c>
      <c r="EB285" s="43" t="str">
        <f t="shared" si="3653"/>
        <v/>
      </c>
      <c r="EC285" s="43" t="str">
        <f t="shared" si="3654"/>
        <v/>
      </c>
      <c r="ED285" s="43" t="str">
        <f t="shared" si="3655"/>
        <v/>
      </c>
      <c r="EE285" s="43" t="str">
        <f t="shared" si="3656"/>
        <v/>
      </c>
      <c r="EF285" s="43" t="str">
        <f t="shared" si="3657"/>
        <v/>
      </c>
      <c r="EG285" s="43" t="str">
        <f t="shared" si="3658"/>
        <v/>
      </c>
      <c r="EH285" s="43" t="str">
        <f t="shared" si="3659"/>
        <v/>
      </c>
      <c r="EI285" s="43" t="str">
        <f t="shared" si="3660"/>
        <v/>
      </c>
      <c r="EJ285" s="43" t="str">
        <f t="shared" si="3661"/>
        <v/>
      </c>
      <c r="EK285" s="43" t="str">
        <f t="shared" si="3662"/>
        <v/>
      </c>
      <c r="EL285" s="43" t="str">
        <f t="shared" si="3663"/>
        <v/>
      </c>
      <c r="EM285" s="43" t="str">
        <f t="shared" si="3664"/>
        <v/>
      </c>
      <c r="EN285" s="43" t="str">
        <f t="shared" si="3665"/>
        <v/>
      </c>
      <c r="EO285" s="43" t="str">
        <f t="shared" si="3666"/>
        <v/>
      </c>
      <c r="EP285" s="43" t="str">
        <f t="shared" si="3667"/>
        <v/>
      </c>
      <c r="EQ285" s="43" t="str">
        <f t="shared" si="3668"/>
        <v/>
      </c>
      <c r="ER285" s="43" t="str">
        <f t="shared" si="3669"/>
        <v/>
      </c>
      <c r="ES285" s="43" t="str">
        <f t="shared" si="3670"/>
        <v/>
      </c>
      <c r="ET285" s="43" t="str">
        <f t="shared" si="3671"/>
        <v/>
      </c>
      <c r="EU285" s="43" t="str">
        <f t="shared" si="3672"/>
        <v/>
      </c>
      <c r="EV285" s="43" t="str">
        <f t="shared" si="3673"/>
        <v/>
      </c>
      <c r="EW285" s="43" t="str">
        <f t="shared" si="3674"/>
        <v/>
      </c>
      <c r="EX285" s="43" t="str">
        <f t="shared" si="3675"/>
        <v/>
      </c>
      <c r="EY285" s="43" t="str">
        <f t="shared" si="3676"/>
        <v/>
      </c>
      <c r="EZ285" s="43" t="str">
        <f t="shared" si="3677"/>
        <v/>
      </c>
      <c r="FA285" s="43" t="str">
        <f t="shared" si="3678"/>
        <v/>
      </c>
      <c r="FB285" s="43" t="str">
        <f t="shared" si="3679"/>
        <v/>
      </c>
      <c r="FC285" s="43" t="str">
        <f t="shared" si="3680"/>
        <v/>
      </c>
      <c r="FD285" s="43" t="str">
        <f t="shared" si="3681"/>
        <v/>
      </c>
      <c r="FE285" s="43" t="str">
        <f t="shared" si="3682"/>
        <v/>
      </c>
      <c r="FF285" s="43" t="str">
        <f t="shared" si="3683"/>
        <v/>
      </c>
      <c r="FG285" s="43" t="str">
        <f t="shared" si="3684"/>
        <v/>
      </c>
      <c r="FH285" s="43" t="str">
        <f t="shared" si="3685"/>
        <v/>
      </c>
      <c r="FI285" s="43" t="str">
        <f t="shared" si="3686"/>
        <v/>
      </c>
      <c r="FJ285" s="43" t="str">
        <f t="shared" si="3687"/>
        <v/>
      </c>
      <c r="FK285" s="43" t="str">
        <f t="shared" si="3688"/>
        <v/>
      </c>
      <c r="FL285" s="43" t="str">
        <f t="shared" si="3689"/>
        <v/>
      </c>
      <c r="FM285" s="43" t="str">
        <f t="shared" si="3690"/>
        <v/>
      </c>
      <c r="FN285" s="43" t="str">
        <f t="shared" si="3691"/>
        <v/>
      </c>
      <c r="FO285" s="43" t="str">
        <f t="shared" si="3692"/>
        <v/>
      </c>
      <c r="FP285" s="43" t="str">
        <f t="shared" si="3693"/>
        <v/>
      </c>
      <c r="FQ285" s="43" t="str">
        <f t="shared" si="3694"/>
        <v/>
      </c>
      <c r="FR285" s="43" t="str">
        <f t="shared" si="3695"/>
        <v/>
      </c>
      <c r="FS285" s="43" t="str">
        <f t="shared" si="3696"/>
        <v/>
      </c>
    </row>
    <row r="286" spans="1:175" ht="16.5">
      <c r="A286" s="10"/>
      <c r="B286" s="11"/>
      <c r="C286" s="10"/>
      <c r="E286" s="100"/>
      <c r="T286" s="107"/>
      <c r="U286" s="55"/>
      <c r="CU286" s="67" t="str">
        <f t="shared" si="3626"/>
        <v>|n</v>
      </c>
      <c r="CW286" s="6"/>
      <c r="CX286" s="6"/>
      <c r="CY286" s="6"/>
      <c r="CZ286" s="6"/>
      <c r="DA286" s="6"/>
      <c r="DB286" s="43" t="str">
        <f t="shared" si="3627"/>
        <v/>
      </c>
      <c r="DC286" s="43" t="str">
        <f t="shared" si="3628"/>
        <v/>
      </c>
      <c r="DD286" s="43" t="str">
        <f t="shared" si="3629"/>
        <v/>
      </c>
      <c r="DE286" s="43" t="str">
        <f t="shared" si="3630"/>
        <v/>
      </c>
      <c r="DF286" s="43" t="str">
        <f t="shared" si="3631"/>
        <v/>
      </c>
      <c r="DG286" s="43" t="str">
        <f t="shared" si="3632"/>
        <v/>
      </c>
      <c r="DH286" s="43" t="str">
        <f t="shared" si="3633"/>
        <v/>
      </c>
      <c r="DI286" s="43" t="str">
        <f t="shared" si="3634"/>
        <v/>
      </c>
      <c r="DJ286" s="43" t="str">
        <f t="shared" si="3635"/>
        <v/>
      </c>
      <c r="DK286" s="43" t="str">
        <f t="shared" si="3636"/>
        <v/>
      </c>
      <c r="DL286" s="43" t="str">
        <f t="shared" si="3637"/>
        <v/>
      </c>
      <c r="DM286" s="43" t="str">
        <f t="shared" si="3638"/>
        <v/>
      </c>
      <c r="DN286" s="43" t="str">
        <f t="shared" si="3639"/>
        <v/>
      </c>
      <c r="DO286" s="43" t="str">
        <f t="shared" si="3640"/>
        <v/>
      </c>
      <c r="DP286" s="43" t="str">
        <f t="shared" si="3641"/>
        <v/>
      </c>
      <c r="DQ286" s="43" t="str">
        <f t="shared" si="3642"/>
        <v/>
      </c>
      <c r="DR286" s="43" t="str">
        <f t="shared" si="3643"/>
        <v/>
      </c>
      <c r="DS286" s="43" t="str">
        <f t="shared" si="3644"/>
        <v/>
      </c>
      <c r="DT286" s="43" t="str">
        <f t="shared" si="3645"/>
        <v/>
      </c>
      <c r="DU286" s="43" t="str">
        <f t="shared" si="3646"/>
        <v/>
      </c>
      <c r="DV286" s="43" t="str">
        <f t="shared" si="3647"/>
        <v/>
      </c>
      <c r="DW286" s="43" t="str">
        <f t="shared" si="3648"/>
        <v/>
      </c>
      <c r="DX286" s="43" t="str">
        <f t="shared" si="3649"/>
        <v/>
      </c>
      <c r="DY286" s="43" t="str">
        <f t="shared" si="3650"/>
        <v/>
      </c>
      <c r="DZ286" s="43" t="str">
        <f t="shared" si="3651"/>
        <v/>
      </c>
      <c r="EA286" s="43" t="str">
        <f t="shared" si="3652"/>
        <v/>
      </c>
      <c r="EB286" s="43" t="str">
        <f t="shared" si="3653"/>
        <v/>
      </c>
      <c r="EC286" s="43" t="str">
        <f t="shared" si="3654"/>
        <v/>
      </c>
      <c r="ED286" s="43" t="str">
        <f t="shared" si="3655"/>
        <v/>
      </c>
      <c r="EE286" s="43" t="str">
        <f t="shared" si="3656"/>
        <v/>
      </c>
      <c r="EF286" s="43" t="str">
        <f t="shared" si="3657"/>
        <v/>
      </c>
      <c r="EG286" s="43" t="str">
        <f t="shared" si="3658"/>
        <v/>
      </c>
      <c r="EH286" s="43" t="str">
        <f t="shared" si="3659"/>
        <v/>
      </c>
      <c r="EI286" s="43" t="str">
        <f t="shared" si="3660"/>
        <v/>
      </c>
      <c r="EJ286" s="43" t="str">
        <f t="shared" si="3661"/>
        <v/>
      </c>
      <c r="EK286" s="43" t="str">
        <f t="shared" si="3662"/>
        <v/>
      </c>
      <c r="EL286" s="43" t="str">
        <f t="shared" si="3663"/>
        <v/>
      </c>
      <c r="EM286" s="43" t="str">
        <f t="shared" si="3664"/>
        <v/>
      </c>
      <c r="EN286" s="43" t="str">
        <f t="shared" si="3665"/>
        <v/>
      </c>
      <c r="EO286" s="43" t="str">
        <f t="shared" si="3666"/>
        <v/>
      </c>
      <c r="EP286" s="43" t="str">
        <f t="shared" si="3667"/>
        <v/>
      </c>
      <c r="EQ286" s="43" t="str">
        <f t="shared" si="3668"/>
        <v/>
      </c>
      <c r="ER286" s="43" t="str">
        <f t="shared" si="3669"/>
        <v/>
      </c>
      <c r="ES286" s="43" t="str">
        <f t="shared" si="3670"/>
        <v/>
      </c>
      <c r="ET286" s="43" t="str">
        <f t="shared" si="3671"/>
        <v/>
      </c>
      <c r="EU286" s="43" t="str">
        <f t="shared" si="3672"/>
        <v/>
      </c>
      <c r="EV286" s="43" t="str">
        <f t="shared" si="3673"/>
        <v/>
      </c>
      <c r="EW286" s="43" t="str">
        <f t="shared" si="3674"/>
        <v/>
      </c>
      <c r="EX286" s="43" t="str">
        <f t="shared" si="3675"/>
        <v/>
      </c>
      <c r="EY286" s="43" t="str">
        <f t="shared" si="3676"/>
        <v/>
      </c>
      <c r="EZ286" s="43" t="str">
        <f t="shared" si="3677"/>
        <v/>
      </c>
      <c r="FA286" s="43" t="str">
        <f t="shared" si="3678"/>
        <v/>
      </c>
      <c r="FB286" s="43" t="str">
        <f t="shared" si="3679"/>
        <v/>
      </c>
      <c r="FC286" s="43" t="str">
        <f t="shared" si="3680"/>
        <v/>
      </c>
      <c r="FD286" s="43" t="str">
        <f t="shared" si="3681"/>
        <v/>
      </c>
      <c r="FE286" s="43" t="str">
        <f t="shared" si="3682"/>
        <v/>
      </c>
      <c r="FF286" s="43" t="str">
        <f t="shared" si="3683"/>
        <v/>
      </c>
      <c r="FG286" s="43" t="str">
        <f t="shared" si="3684"/>
        <v/>
      </c>
      <c r="FH286" s="43" t="str">
        <f t="shared" si="3685"/>
        <v/>
      </c>
      <c r="FI286" s="43" t="str">
        <f t="shared" si="3686"/>
        <v/>
      </c>
      <c r="FJ286" s="43" t="str">
        <f t="shared" si="3687"/>
        <v/>
      </c>
      <c r="FK286" s="43" t="str">
        <f t="shared" si="3688"/>
        <v/>
      </c>
      <c r="FL286" s="43" t="str">
        <f t="shared" si="3689"/>
        <v/>
      </c>
      <c r="FM286" s="43" t="str">
        <f t="shared" si="3690"/>
        <v/>
      </c>
      <c r="FN286" s="43" t="str">
        <f t="shared" si="3691"/>
        <v/>
      </c>
      <c r="FO286" s="43" t="str">
        <f t="shared" si="3692"/>
        <v/>
      </c>
      <c r="FP286" s="43" t="str">
        <f t="shared" si="3693"/>
        <v/>
      </c>
      <c r="FQ286" s="43" t="str">
        <f t="shared" si="3694"/>
        <v/>
      </c>
      <c r="FR286" s="43" t="str">
        <f t="shared" si="3695"/>
        <v/>
      </c>
      <c r="FS286" s="43" t="str">
        <f t="shared" si="3696"/>
        <v/>
      </c>
    </row>
    <row r="287" spans="1:175">
      <c r="CN287" s="12" t="str">
        <f t="shared" ref="CN287:CN318" si="3701">"InitUnitState('"&amp;B287&amp;"',"&amp;V287&amp;","&amp;W287&amp;","&amp;X287&amp;","&amp;Y287&amp;","&amp;Z287&amp;","&amp;AA287&amp;","&amp;AB287&amp;","&amp;AC287&amp;","&amp;AD287&amp;","&amp;AE287&amp;")"</f>
        <v>InitUnitState('',,,,,,,,,,)</v>
      </c>
      <c r="CO287" s="12" t="str">
        <f t="shared" ref="CO287:CO318" si="3702">"InitUnitNormal('"&amp;B287&amp;"',"&amp;AF287&amp;","&amp;AG287&amp;","&amp;AH287&amp;","&amp;AI287&amp;","&amp;AJ287&amp;","&amp;AK287&amp;","&amp;AL287&amp;","&amp;AM287&amp;","&amp;AN287&amp;","&amp;AO287&amp;")"</f>
        <v>InitUnitNormal('',,,,,,,,,,)</v>
      </c>
      <c r="CP287" s="12" t="str">
        <f t="shared" ref="CP287:CP318" si="3703">"InitUnitMagic('"&amp;B287&amp;"',"&amp;AP287&amp;","&amp;AQ287&amp;","&amp;AR287&amp;","&amp;AS287&amp;","&amp;AT287&amp;","&amp;AU287&amp;","&amp;AV287&amp;","&amp;AW287&amp;","&amp;BI287&amp;","&amp;BJ287&amp;")"</f>
        <v>InitUnitMagic('',,,,,,,,,,)</v>
      </c>
      <c r="CQ287" s="12" t="str">
        <f t="shared" ref="CQ287:CQ318" si="3704">"InitUnitAdd('"&amp;B287&amp;"',"&amp;BK287&amp;","&amp;BL287&amp;","&amp;BM287&amp;","&amp;BN287&amp;","&amp;BO287&amp;","&amp;BP287&amp;","&amp;BQ287&amp;","&amp;BR287&amp;","&amp;BS287&amp;","&amp;BT287&amp;")"</f>
        <v>InitUnitAdd('',,,,,,,,,,)</v>
      </c>
      <c r="CR287" s="12" t="str">
        <f t="shared" ref="CR287:CR318" si="3705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InitEquipData('',,"",,,,,'','','','','','',"")</v>
      </c>
      <c r="CU287" s="5" t="str">
        <f t="shared" ref="CU287:CU299" si="3706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6"/>
      <c r="CX287" s="6"/>
      <c r="CY287" s="6"/>
      <c r="CZ287" s="6"/>
      <c r="DA287" s="6"/>
      <c r="DB287" s="43" t="str">
        <f t="shared" ref="DB287:DB307" si="3707">IF(V287="","","|n"&amp;DB$2&amp;"+"&amp;V287&amp;DB$1)</f>
        <v/>
      </c>
      <c r="DC287" s="43" t="str">
        <f t="shared" ref="DC287:DC307" si="3708">IF(W287="","","|n"&amp;DC$2&amp;"+"&amp;W287&amp;DC$1)</f>
        <v/>
      </c>
      <c r="DD287" s="43" t="str">
        <f t="shared" ref="DD287:DD307" si="3709">IF(X287="","","|n"&amp;DD$2&amp;"+"&amp;X287&amp;DD$1)</f>
        <v/>
      </c>
      <c r="DE287" s="43" t="str">
        <f t="shared" ref="DE287:DE307" si="3710">IF(Y287="","","|n"&amp;DE$2&amp;"+"&amp;Y287&amp;DE$1)</f>
        <v/>
      </c>
      <c r="DF287" s="43" t="str">
        <f t="shared" ref="DF287:DF307" si="3711">IF(Z287="","","|n"&amp;DF$2&amp;"+"&amp;Z287&amp;DF$1)</f>
        <v/>
      </c>
      <c r="DG287" s="43" t="str">
        <f t="shared" ref="DG287:DG307" si="3712">IF(AA287="","","|n"&amp;DG$2&amp;"+"&amp;AA287&amp;DG$1)</f>
        <v/>
      </c>
      <c r="DH287" s="43" t="str">
        <f t="shared" ref="DH287:DH307" si="3713">IF(AB287="","","|n"&amp;DH$2&amp;"+"&amp;AB287&amp;DH$1)</f>
        <v/>
      </c>
      <c r="DI287" s="43" t="str">
        <f t="shared" ref="DI287:DI307" si="3714">IF(AC287="","","|n"&amp;DI$2&amp;"+"&amp;AC287&amp;DI$1)</f>
        <v/>
      </c>
      <c r="DJ287" s="43" t="str">
        <f t="shared" ref="DJ287:DJ307" si="3715">IF(AD287="","","|n"&amp;DJ$2&amp;"+"&amp;AD287&amp;DJ$1)</f>
        <v/>
      </c>
      <c r="DK287" s="43" t="str">
        <f t="shared" ref="DK287:DK307" si="3716">IF(AE287="","","|n"&amp;DK$2&amp;"+"&amp;AE287&amp;DK$1)</f>
        <v/>
      </c>
      <c r="DL287" s="43" t="str">
        <f t="shared" ref="DL287:DL307" si="3717">IF(AF287="","","|n"&amp;DL$2&amp;"+"&amp;AF287&amp;DL$1)</f>
        <v/>
      </c>
      <c r="DM287" s="43" t="str">
        <f t="shared" ref="DM287:DM307" si="3718">IF(AG287="","","|n"&amp;DM$2&amp;"+"&amp;AG287&amp;DM$1)</f>
        <v/>
      </c>
      <c r="DN287" s="43" t="str">
        <f t="shared" ref="DN287:DN307" si="3719">IF(AH287="","","|n"&amp;DN$2&amp;"+"&amp;AH287&amp;DN$1)</f>
        <v/>
      </c>
      <c r="DO287" s="43" t="str">
        <f t="shared" ref="DO287:DO307" si="3720">IF(AI287="","","|n"&amp;DO$2&amp;"+"&amp;AI287&amp;DO$1)</f>
        <v/>
      </c>
      <c r="DP287" s="43" t="str">
        <f t="shared" ref="DP287:DP307" si="3721">IF(AJ287="","","|n"&amp;DP$2&amp;"+"&amp;AJ287&amp;DP$1)</f>
        <v/>
      </c>
      <c r="DQ287" s="43" t="str">
        <f t="shared" ref="DQ287:DQ307" si="3722">IF(AK287="","","|n"&amp;DQ$2&amp;"+"&amp;AK287&amp;DQ$1)</f>
        <v/>
      </c>
      <c r="DR287" s="43" t="str">
        <f t="shared" ref="DR287:DR307" si="3723">IF(AL287="","","|n"&amp;DR$2&amp;"+"&amp;AL287&amp;DR$1)</f>
        <v/>
      </c>
      <c r="DS287" s="43" t="str">
        <f t="shared" ref="DS287:DS307" si="3724">IF(AM287="","","|n"&amp;DS$2&amp;"+"&amp;AM287&amp;DS$1)</f>
        <v/>
      </c>
      <c r="DT287" s="43" t="str">
        <f t="shared" ref="DT287:DT307" si="3725">IF(AN287="","","|n"&amp;DT$2&amp;"+"&amp;AN287&amp;DT$1)</f>
        <v/>
      </c>
      <c r="DU287" s="43" t="str">
        <f t="shared" ref="DU287:DU307" si="3726">IF(AO287="","","|n"&amp;DU$2&amp;"+"&amp;AO287&amp;DU$1)</f>
        <v/>
      </c>
      <c r="DV287" s="43" t="str">
        <f t="shared" ref="DV287:DV307" si="3727">IF(AP287="","","|n"&amp;DV$2&amp;"+"&amp;AP287&amp;DV$1)</f>
        <v/>
      </c>
      <c r="DW287" s="43" t="str">
        <f t="shared" ref="DW287:DW307" si="3728">IF(AQ287="","","|n"&amp;DW$2&amp;"+"&amp;AQ287&amp;DW$1)</f>
        <v/>
      </c>
      <c r="DX287" s="43" t="str">
        <f t="shared" ref="DX287:DX307" si="3729">IF(AR287="","","|n"&amp;DX$2&amp;"+"&amp;AR287&amp;DX$1)</f>
        <v/>
      </c>
      <c r="DY287" s="43" t="str">
        <f t="shared" ref="DY287:DY307" si="3730">IF(AS287="","","|n"&amp;DY$2&amp;"+"&amp;AS287&amp;DY$1)</f>
        <v/>
      </c>
      <c r="DZ287" s="43" t="str">
        <f t="shared" ref="DZ287:DZ307" si="3731">IF(AT287="","","|n"&amp;DZ$2&amp;"+"&amp;AT287&amp;DZ$1)</f>
        <v/>
      </c>
      <c r="EA287" s="43" t="str">
        <f t="shared" ref="EA287:EA307" si="3732">IF(AU287="","","|n"&amp;EA$2&amp;"+"&amp;AU287&amp;EA$1)</f>
        <v/>
      </c>
      <c r="EB287" s="43" t="str">
        <f t="shared" ref="EB287:EB307" si="3733">IF(AV287="","","|n"&amp;EB$2&amp;"+"&amp;AV287&amp;EB$1)</f>
        <v/>
      </c>
      <c r="EC287" s="43" t="str">
        <f t="shared" ref="EC287:EC307" si="3734">IF(AW287="","","|n"&amp;EC$2&amp;"+"&amp;AW287&amp;EC$1)</f>
        <v/>
      </c>
      <c r="ED287" s="43" t="str">
        <f t="shared" ref="ED287:ED307" si="3735">IF(AX287="","","|n"&amp;ED$2&amp;"+"&amp;AX287&amp;ED$1)</f>
        <v/>
      </c>
      <c r="EE287" s="43" t="str">
        <f t="shared" ref="EE287:EE307" si="3736">IF(AY287="","","|n"&amp;EE$2&amp;"+"&amp;AY287&amp;EE$1)</f>
        <v/>
      </c>
      <c r="EF287" s="43" t="str">
        <f t="shared" ref="EF287:EF307" si="3737">IF(AZ287="","","|n"&amp;EF$2&amp;"+"&amp;AZ287&amp;EF$1)</f>
        <v/>
      </c>
      <c r="EG287" s="43" t="str">
        <f t="shared" ref="EG287:EG307" si="3738">IF(BA287="","","|n"&amp;EG$2&amp;"+"&amp;BA287&amp;EG$1)</f>
        <v/>
      </c>
      <c r="EH287" s="43" t="str">
        <f t="shared" ref="EH287:EH307" si="3739">IF(BB287="","","|n"&amp;EH$2&amp;"+"&amp;BB287&amp;EH$1)</f>
        <v/>
      </c>
      <c r="EI287" s="43" t="str">
        <f t="shared" ref="EI287:EI307" si="3740">IF(BC287="","","|n"&amp;EI$2&amp;"+"&amp;BC287&amp;EI$1)</f>
        <v/>
      </c>
      <c r="EJ287" s="43" t="str">
        <f t="shared" ref="EJ287:EJ307" si="3741">IF(BD287="","","|n"&amp;EJ$2&amp;"+"&amp;BD287&amp;EJ$1)</f>
        <v/>
      </c>
      <c r="EK287" s="43" t="str">
        <f t="shared" ref="EK287:EK307" si="3742">IF(BE287="","","|n"&amp;EK$2&amp;"+"&amp;BE287&amp;EK$1)</f>
        <v/>
      </c>
      <c r="EL287" s="43" t="str">
        <f t="shared" ref="EL287:EL307" si="3743">IF(BF287="","","|n"&amp;EL$2&amp;"+"&amp;BF287&amp;EL$1)</f>
        <v/>
      </c>
      <c r="EM287" s="43" t="str">
        <f t="shared" ref="EM287:EM307" si="3744">IF(BG287="","","|n"&amp;EM$2&amp;"+"&amp;BG287&amp;EM$1)</f>
        <v/>
      </c>
      <c r="EN287" s="43" t="str">
        <f t="shared" ref="EN287:EN307" si="3745">IF(BH287="","","|n"&amp;EN$2&amp;"+"&amp;BH287&amp;EN$1)</f>
        <v/>
      </c>
      <c r="EO287" s="43" t="str">
        <f t="shared" ref="EO287:EO307" si="3746">IF(BI287="","","|n"&amp;EO$2&amp;"+"&amp;BI287&amp;EO$1)</f>
        <v/>
      </c>
      <c r="EP287" s="43" t="str">
        <f t="shared" ref="EP287:EP307" si="3747">IF(BJ287="","","|n"&amp;EP$2&amp;"+"&amp;BJ287&amp;EP$1)</f>
        <v/>
      </c>
      <c r="EQ287" s="43" t="str">
        <f t="shared" ref="EQ287:EQ307" si="3748">IF(BK287="","","|n"&amp;EQ$2&amp;"+"&amp;BK287&amp;EQ$1)</f>
        <v/>
      </c>
      <c r="ER287" s="43" t="str">
        <f t="shared" ref="ER287:ER307" si="3749">IF(BL287="","","|n"&amp;ER$2&amp;"+"&amp;BL287&amp;ER$1)</f>
        <v/>
      </c>
      <c r="ES287" s="43" t="str">
        <f t="shared" ref="ES287:ES307" si="3750">IF(BM287="","","|n"&amp;ES$2&amp;"+"&amp;BM287&amp;ES$1)</f>
        <v/>
      </c>
      <c r="ET287" s="43" t="str">
        <f t="shared" ref="ET287:ET307" si="3751">IF(BN287="","","|n"&amp;ET$2&amp;"+"&amp;BN287&amp;ET$1)</f>
        <v/>
      </c>
      <c r="EU287" s="43" t="str">
        <f t="shared" ref="EU287:EU307" si="3752">IF(BO287="","","|n"&amp;EU$2&amp;"+"&amp;BO287&amp;EU$1)</f>
        <v/>
      </c>
      <c r="EV287" s="43" t="str">
        <f t="shared" ref="EV287:EV307" si="3753">IF(BP287="","","|n"&amp;EV$2&amp;"+"&amp;BP287&amp;EV$1)</f>
        <v/>
      </c>
      <c r="EW287" s="43" t="str">
        <f t="shared" ref="EW287:EW307" si="3754">IF(BQ287="","","|n"&amp;EW$2&amp;"+"&amp;BQ287&amp;EW$1)</f>
        <v/>
      </c>
      <c r="EX287" s="43" t="str">
        <f t="shared" ref="EX287:EX307" si="3755">IF(BR287="","","|n"&amp;EX$2&amp;"+"&amp;BR287&amp;EX$1)</f>
        <v/>
      </c>
      <c r="EY287" s="43" t="str">
        <f t="shared" ref="EY287:EY307" si="3756">IF(BS287="","","|n"&amp;EY$2&amp;"+"&amp;BS287&amp;EY$1)</f>
        <v/>
      </c>
      <c r="EZ287" s="43" t="str">
        <f t="shared" ref="EZ287:EZ307" si="3757">IF(BT287="","","|n"&amp;EZ$2&amp;"+"&amp;BT287&amp;EZ$1)</f>
        <v/>
      </c>
      <c r="FA287" s="43" t="str">
        <f t="shared" ref="FA287:FA307" si="3758">IF(BU287="","","|n"&amp;FA$2&amp;"+"&amp;BU287&amp;FA$1)</f>
        <v/>
      </c>
      <c r="FB287" s="43" t="str">
        <f t="shared" ref="FB287:FB307" si="3759">IF(BV287="","","|n"&amp;FB$2&amp;"+"&amp;BV287&amp;FB$1)</f>
        <v/>
      </c>
      <c r="FC287" s="43" t="str">
        <f t="shared" ref="FC287:FC307" si="3760">IF(BW287="","","|n"&amp;FC$2&amp;"+"&amp;BW287&amp;FC$1)</f>
        <v/>
      </c>
      <c r="FD287" s="43" t="str">
        <f t="shared" ref="FD287:FD307" si="3761">IF(BX287="","","|n"&amp;FD$2&amp;"+"&amp;BX287&amp;FD$1)</f>
        <v/>
      </c>
      <c r="FE287" s="43" t="str">
        <f t="shared" ref="FE287:FE307" si="3762">IF(BY287="","","|n"&amp;FE$2&amp;"+"&amp;BY287&amp;FE$1)</f>
        <v/>
      </c>
      <c r="FF287" s="43" t="str">
        <f t="shared" ref="FF287:FF307" si="3763">IF(BZ287="","","|n"&amp;FF$2&amp;"+"&amp;BZ287&amp;FF$1)</f>
        <v/>
      </c>
      <c r="FG287" s="43" t="str">
        <f t="shared" ref="FG287:FG307" si="3764">IF(CA287="","","|n"&amp;FG$2&amp;"+"&amp;CA287&amp;FG$1)</f>
        <v/>
      </c>
      <c r="FH287" s="43" t="str">
        <f t="shared" ref="FH287:FH307" si="3765">IF(CB287="","","|n"&amp;FH$2&amp;"+"&amp;CB287&amp;FH$1)</f>
        <v/>
      </c>
      <c r="FI287" s="43" t="str">
        <f t="shared" ref="FI287:FI307" si="3766">IF(CC287="","","|n"&amp;FI$2&amp;"+"&amp;CC287&amp;FI$1)</f>
        <v/>
      </c>
      <c r="FJ287" s="43" t="str">
        <f t="shared" ref="FJ287:FJ307" si="3767">IF(CD287="","","|n"&amp;FJ$2&amp;"+"&amp;CD287&amp;FJ$1)</f>
        <v/>
      </c>
      <c r="FK287" s="43" t="str">
        <f t="shared" ref="FK287:FK307" si="3768">IF(CE287="","","|n"&amp;FK$2&amp;"+"&amp;CE287&amp;FK$1)</f>
        <v/>
      </c>
      <c r="FL287" s="43" t="str">
        <f t="shared" ref="FL287:FL307" si="3769">IF(CF287="","","|n"&amp;FL$2&amp;"+"&amp;CF287&amp;FL$1)</f>
        <v/>
      </c>
      <c r="FM287" s="43" t="str">
        <f t="shared" ref="FM287:FM307" si="3770">IF(CG287="","","|n"&amp;FM$2&amp;"+"&amp;CG287&amp;FM$1)</f>
        <v/>
      </c>
      <c r="FN287" s="43" t="str">
        <f t="shared" ref="FN287:FN307" si="3771">IF(CH287="","","|n"&amp;FN$2&amp;"+"&amp;CH287&amp;FN$1)</f>
        <v/>
      </c>
      <c r="FO287" s="43" t="str">
        <f t="shared" ref="FO287:FO307" si="3772">IF(CI287="","","|n"&amp;FO$2&amp;"+"&amp;CI287&amp;FO$1)</f>
        <v/>
      </c>
      <c r="FP287" s="43" t="str">
        <f t="shared" ref="FP287:FP307" si="3773">IF(CJ287="","","|n"&amp;FP$2&amp;"+"&amp;CJ287&amp;FP$1)</f>
        <v/>
      </c>
      <c r="FQ287" s="43" t="str">
        <f t="shared" ref="FQ287:FQ307" si="3774">IF(CK287="","","|n"&amp;FQ$2&amp;"+"&amp;CK287&amp;FQ$1)</f>
        <v/>
      </c>
      <c r="FR287" s="43" t="str">
        <f t="shared" ref="FR287:FR307" si="3775">IF(CL287="","","|n"&amp;FR$2&amp;"+"&amp;CL287&amp;FR$1)</f>
        <v/>
      </c>
      <c r="FS287" s="43" t="str">
        <f t="shared" ref="FS287:FS307" si="3776">IF(CM287="","","|n"&amp;FS$2&amp;"+"&amp;CM287&amp;FS$1)</f>
        <v/>
      </c>
    </row>
    <row r="288" spans="1:175">
      <c r="CN288" s="12" t="str">
        <f t="shared" si="3701"/>
        <v>InitUnitState('',,,,,,,,,,)</v>
      </c>
      <c r="CO288" s="12" t="str">
        <f t="shared" si="3702"/>
        <v>InitUnitNormal('',,,,,,,,,,)</v>
      </c>
      <c r="CP288" s="12" t="str">
        <f t="shared" si="3703"/>
        <v>InitUnitMagic('',,,,,,,,,,)</v>
      </c>
      <c r="CQ288" s="12" t="str">
        <f t="shared" si="3704"/>
        <v>InitUnitAdd('',,,,,,,,,,)</v>
      </c>
      <c r="CR288" s="12" t="str">
        <f t="shared" si="3705"/>
        <v>InitEquipData('',,"",,,,,'','','','','','',"")</v>
      </c>
      <c r="CU288" s="5" t="str">
        <f t="shared" si="3706"/>
        <v>|n</v>
      </c>
      <c r="CW288" s="6"/>
      <c r="CX288" s="6"/>
      <c r="CY288" s="6"/>
      <c r="CZ288" s="6"/>
      <c r="DA288" s="6"/>
      <c r="DB288" s="43" t="str">
        <f t="shared" si="3707"/>
        <v/>
      </c>
      <c r="DC288" s="43" t="str">
        <f t="shared" si="3708"/>
        <v/>
      </c>
      <c r="DD288" s="43" t="str">
        <f t="shared" si="3709"/>
        <v/>
      </c>
      <c r="DE288" s="43" t="str">
        <f t="shared" si="3710"/>
        <v/>
      </c>
      <c r="DF288" s="43" t="str">
        <f t="shared" si="3711"/>
        <v/>
      </c>
      <c r="DG288" s="43" t="str">
        <f t="shared" si="3712"/>
        <v/>
      </c>
      <c r="DH288" s="43" t="str">
        <f t="shared" si="3713"/>
        <v/>
      </c>
      <c r="DI288" s="43" t="str">
        <f t="shared" si="3714"/>
        <v/>
      </c>
      <c r="DJ288" s="43" t="str">
        <f t="shared" si="3715"/>
        <v/>
      </c>
      <c r="DK288" s="43" t="str">
        <f t="shared" si="3716"/>
        <v/>
      </c>
      <c r="DL288" s="43" t="str">
        <f t="shared" si="3717"/>
        <v/>
      </c>
      <c r="DM288" s="43" t="str">
        <f t="shared" si="3718"/>
        <v/>
      </c>
      <c r="DN288" s="43" t="str">
        <f t="shared" si="3719"/>
        <v/>
      </c>
      <c r="DO288" s="43" t="str">
        <f t="shared" si="3720"/>
        <v/>
      </c>
      <c r="DP288" s="43" t="str">
        <f t="shared" si="3721"/>
        <v/>
      </c>
      <c r="DQ288" s="43" t="str">
        <f t="shared" si="3722"/>
        <v/>
      </c>
      <c r="DR288" s="43" t="str">
        <f t="shared" si="3723"/>
        <v/>
      </c>
      <c r="DS288" s="43" t="str">
        <f t="shared" si="3724"/>
        <v/>
      </c>
      <c r="DT288" s="43" t="str">
        <f t="shared" si="3725"/>
        <v/>
      </c>
      <c r="DU288" s="43" t="str">
        <f t="shared" si="3726"/>
        <v/>
      </c>
      <c r="DV288" s="43" t="str">
        <f t="shared" si="3727"/>
        <v/>
      </c>
      <c r="DW288" s="43" t="str">
        <f t="shared" si="3728"/>
        <v/>
      </c>
      <c r="DX288" s="43" t="str">
        <f t="shared" si="3729"/>
        <v/>
      </c>
      <c r="DY288" s="43" t="str">
        <f t="shared" si="3730"/>
        <v/>
      </c>
      <c r="DZ288" s="43" t="str">
        <f t="shared" si="3731"/>
        <v/>
      </c>
      <c r="EA288" s="43" t="str">
        <f t="shared" si="3732"/>
        <v/>
      </c>
      <c r="EB288" s="43" t="str">
        <f t="shared" si="3733"/>
        <v/>
      </c>
      <c r="EC288" s="43" t="str">
        <f t="shared" si="3734"/>
        <v/>
      </c>
      <c r="ED288" s="43" t="str">
        <f t="shared" si="3735"/>
        <v/>
      </c>
      <c r="EE288" s="43" t="str">
        <f t="shared" si="3736"/>
        <v/>
      </c>
      <c r="EF288" s="43" t="str">
        <f t="shared" si="3737"/>
        <v/>
      </c>
      <c r="EG288" s="43" t="str">
        <f t="shared" si="3738"/>
        <v/>
      </c>
      <c r="EH288" s="43" t="str">
        <f t="shared" si="3739"/>
        <v/>
      </c>
      <c r="EI288" s="43" t="str">
        <f t="shared" si="3740"/>
        <v/>
      </c>
      <c r="EJ288" s="43" t="str">
        <f t="shared" si="3741"/>
        <v/>
      </c>
      <c r="EK288" s="43" t="str">
        <f t="shared" si="3742"/>
        <v/>
      </c>
      <c r="EL288" s="43" t="str">
        <f t="shared" si="3743"/>
        <v/>
      </c>
      <c r="EM288" s="43" t="str">
        <f t="shared" si="3744"/>
        <v/>
      </c>
      <c r="EN288" s="43" t="str">
        <f t="shared" si="3745"/>
        <v/>
      </c>
      <c r="EO288" s="43" t="str">
        <f t="shared" si="3746"/>
        <v/>
      </c>
      <c r="EP288" s="43" t="str">
        <f t="shared" si="3747"/>
        <v/>
      </c>
      <c r="EQ288" s="43" t="str">
        <f t="shared" si="3748"/>
        <v/>
      </c>
      <c r="ER288" s="43" t="str">
        <f t="shared" si="3749"/>
        <v/>
      </c>
      <c r="ES288" s="43" t="str">
        <f t="shared" si="3750"/>
        <v/>
      </c>
      <c r="ET288" s="43" t="str">
        <f t="shared" si="3751"/>
        <v/>
      </c>
      <c r="EU288" s="43" t="str">
        <f t="shared" si="3752"/>
        <v/>
      </c>
      <c r="EV288" s="43" t="str">
        <f t="shared" si="3753"/>
        <v/>
      </c>
      <c r="EW288" s="43" t="str">
        <f t="shared" si="3754"/>
        <v/>
      </c>
      <c r="EX288" s="43" t="str">
        <f t="shared" si="3755"/>
        <v/>
      </c>
      <c r="EY288" s="43" t="str">
        <f t="shared" si="3756"/>
        <v/>
      </c>
      <c r="EZ288" s="43" t="str">
        <f t="shared" si="3757"/>
        <v/>
      </c>
      <c r="FA288" s="43" t="str">
        <f t="shared" si="3758"/>
        <v/>
      </c>
      <c r="FB288" s="43" t="str">
        <f t="shared" si="3759"/>
        <v/>
      </c>
      <c r="FC288" s="43" t="str">
        <f t="shared" si="3760"/>
        <v/>
      </c>
      <c r="FD288" s="43" t="str">
        <f t="shared" si="3761"/>
        <v/>
      </c>
      <c r="FE288" s="43" t="str">
        <f t="shared" si="3762"/>
        <v/>
      </c>
      <c r="FF288" s="43" t="str">
        <f t="shared" si="3763"/>
        <v/>
      </c>
      <c r="FG288" s="43" t="str">
        <f t="shared" si="3764"/>
        <v/>
      </c>
      <c r="FH288" s="43" t="str">
        <f t="shared" si="3765"/>
        <v/>
      </c>
      <c r="FI288" s="43" t="str">
        <f t="shared" si="3766"/>
        <v/>
      </c>
      <c r="FJ288" s="43" t="str">
        <f t="shared" si="3767"/>
        <v/>
      </c>
      <c r="FK288" s="43" t="str">
        <f t="shared" si="3768"/>
        <v/>
      </c>
      <c r="FL288" s="43" t="str">
        <f t="shared" si="3769"/>
        <v/>
      </c>
      <c r="FM288" s="43" t="str">
        <f t="shared" si="3770"/>
        <v/>
      </c>
      <c r="FN288" s="43" t="str">
        <f t="shared" si="3771"/>
        <v/>
      </c>
      <c r="FO288" s="43" t="str">
        <f t="shared" si="3772"/>
        <v/>
      </c>
      <c r="FP288" s="43" t="str">
        <f t="shared" si="3773"/>
        <v/>
      </c>
      <c r="FQ288" s="43" t="str">
        <f t="shared" si="3774"/>
        <v/>
      </c>
      <c r="FR288" s="43" t="str">
        <f t="shared" si="3775"/>
        <v/>
      </c>
      <c r="FS288" s="43" t="str">
        <f t="shared" si="3776"/>
        <v/>
      </c>
    </row>
    <row r="289" spans="92:175">
      <c r="CN289" s="12" t="str">
        <f t="shared" si="3701"/>
        <v>InitUnitState('',,,,,,,,,,)</v>
      </c>
      <c r="CO289" s="12" t="str">
        <f t="shared" si="3702"/>
        <v>InitUnitNormal('',,,,,,,,,,)</v>
      </c>
      <c r="CP289" s="12" t="str">
        <f t="shared" si="3703"/>
        <v>InitUnitMagic('',,,,,,,,,,)</v>
      </c>
      <c r="CQ289" s="12" t="str">
        <f t="shared" si="3704"/>
        <v>InitUnitAdd('',,,,,,,,,,)</v>
      </c>
      <c r="CR289" s="12" t="str">
        <f t="shared" si="3705"/>
        <v>InitEquipData('',,"",,,,,'','','','','','',"")</v>
      </c>
      <c r="CU289" s="5" t="str">
        <f t="shared" si="3706"/>
        <v>|n</v>
      </c>
      <c r="CW289" s="6"/>
      <c r="CX289" s="6"/>
      <c r="CY289" s="6"/>
      <c r="CZ289" s="6"/>
      <c r="DA289" s="6"/>
      <c r="DB289" s="43" t="str">
        <f t="shared" si="3707"/>
        <v/>
      </c>
      <c r="DC289" s="43" t="str">
        <f t="shared" si="3708"/>
        <v/>
      </c>
      <c r="DD289" s="43" t="str">
        <f t="shared" si="3709"/>
        <v/>
      </c>
      <c r="DE289" s="43" t="str">
        <f t="shared" si="3710"/>
        <v/>
      </c>
      <c r="DF289" s="43" t="str">
        <f t="shared" si="3711"/>
        <v/>
      </c>
      <c r="DG289" s="43" t="str">
        <f t="shared" si="3712"/>
        <v/>
      </c>
      <c r="DH289" s="43" t="str">
        <f t="shared" si="3713"/>
        <v/>
      </c>
      <c r="DI289" s="43" t="str">
        <f t="shared" si="3714"/>
        <v/>
      </c>
      <c r="DJ289" s="43" t="str">
        <f t="shared" si="3715"/>
        <v/>
      </c>
      <c r="DK289" s="43" t="str">
        <f t="shared" si="3716"/>
        <v/>
      </c>
      <c r="DL289" s="43" t="str">
        <f t="shared" si="3717"/>
        <v/>
      </c>
      <c r="DM289" s="43" t="str">
        <f t="shared" si="3718"/>
        <v/>
      </c>
      <c r="DN289" s="43" t="str">
        <f t="shared" si="3719"/>
        <v/>
      </c>
      <c r="DO289" s="43" t="str">
        <f t="shared" si="3720"/>
        <v/>
      </c>
      <c r="DP289" s="43" t="str">
        <f t="shared" si="3721"/>
        <v/>
      </c>
      <c r="DQ289" s="43" t="str">
        <f t="shared" si="3722"/>
        <v/>
      </c>
      <c r="DR289" s="43" t="str">
        <f t="shared" si="3723"/>
        <v/>
      </c>
      <c r="DS289" s="43" t="str">
        <f t="shared" si="3724"/>
        <v/>
      </c>
      <c r="DT289" s="43" t="str">
        <f t="shared" si="3725"/>
        <v/>
      </c>
      <c r="DU289" s="43" t="str">
        <f t="shared" si="3726"/>
        <v/>
      </c>
      <c r="DV289" s="43" t="str">
        <f t="shared" si="3727"/>
        <v/>
      </c>
      <c r="DW289" s="43" t="str">
        <f t="shared" si="3728"/>
        <v/>
      </c>
      <c r="DX289" s="43" t="str">
        <f t="shared" si="3729"/>
        <v/>
      </c>
      <c r="DY289" s="43" t="str">
        <f t="shared" si="3730"/>
        <v/>
      </c>
      <c r="DZ289" s="43" t="str">
        <f t="shared" si="3731"/>
        <v/>
      </c>
      <c r="EA289" s="43" t="str">
        <f t="shared" si="3732"/>
        <v/>
      </c>
      <c r="EB289" s="43" t="str">
        <f t="shared" si="3733"/>
        <v/>
      </c>
      <c r="EC289" s="43" t="str">
        <f t="shared" si="3734"/>
        <v/>
      </c>
      <c r="ED289" s="43" t="str">
        <f t="shared" si="3735"/>
        <v/>
      </c>
      <c r="EE289" s="43" t="str">
        <f t="shared" si="3736"/>
        <v/>
      </c>
      <c r="EF289" s="43" t="str">
        <f t="shared" si="3737"/>
        <v/>
      </c>
      <c r="EG289" s="43" t="str">
        <f t="shared" si="3738"/>
        <v/>
      </c>
      <c r="EH289" s="43" t="str">
        <f t="shared" si="3739"/>
        <v/>
      </c>
      <c r="EI289" s="43" t="str">
        <f t="shared" si="3740"/>
        <v/>
      </c>
      <c r="EJ289" s="43" t="str">
        <f t="shared" si="3741"/>
        <v/>
      </c>
      <c r="EK289" s="43" t="str">
        <f t="shared" si="3742"/>
        <v/>
      </c>
      <c r="EL289" s="43" t="str">
        <f t="shared" si="3743"/>
        <v/>
      </c>
      <c r="EM289" s="43" t="str">
        <f t="shared" si="3744"/>
        <v/>
      </c>
      <c r="EN289" s="43" t="str">
        <f t="shared" si="3745"/>
        <v/>
      </c>
      <c r="EO289" s="43" t="str">
        <f t="shared" si="3746"/>
        <v/>
      </c>
      <c r="EP289" s="43" t="str">
        <f t="shared" si="3747"/>
        <v/>
      </c>
      <c r="EQ289" s="43" t="str">
        <f t="shared" si="3748"/>
        <v/>
      </c>
      <c r="ER289" s="43" t="str">
        <f t="shared" si="3749"/>
        <v/>
      </c>
      <c r="ES289" s="43" t="str">
        <f t="shared" si="3750"/>
        <v/>
      </c>
      <c r="ET289" s="43" t="str">
        <f t="shared" si="3751"/>
        <v/>
      </c>
      <c r="EU289" s="43" t="str">
        <f t="shared" si="3752"/>
        <v/>
      </c>
      <c r="EV289" s="43" t="str">
        <f t="shared" si="3753"/>
        <v/>
      </c>
      <c r="EW289" s="43" t="str">
        <f t="shared" si="3754"/>
        <v/>
      </c>
      <c r="EX289" s="43" t="str">
        <f t="shared" si="3755"/>
        <v/>
      </c>
      <c r="EY289" s="43" t="str">
        <f t="shared" si="3756"/>
        <v/>
      </c>
      <c r="EZ289" s="43" t="str">
        <f t="shared" si="3757"/>
        <v/>
      </c>
      <c r="FA289" s="43" t="str">
        <f t="shared" si="3758"/>
        <v/>
      </c>
      <c r="FB289" s="43" t="str">
        <f t="shared" si="3759"/>
        <v/>
      </c>
      <c r="FC289" s="43" t="str">
        <f t="shared" si="3760"/>
        <v/>
      </c>
      <c r="FD289" s="43" t="str">
        <f t="shared" si="3761"/>
        <v/>
      </c>
      <c r="FE289" s="43" t="str">
        <f t="shared" si="3762"/>
        <v/>
      </c>
      <c r="FF289" s="43" t="str">
        <f t="shared" si="3763"/>
        <v/>
      </c>
      <c r="FG289" s="43" t="str">
        <f t="shared" si="3764"/>
        <v/>
      </c>
      <c r="FH289" s="43" t="str">
        <f t="shared" si="3765"/>
        <v/>
      </c>
      <c r="FI289" s="43" t="str">
        <f t="shared" si="3766"/>
        <v/>
      </c>
      <c r="FJ289" s="43" t="str">
        <f t="shared" si="3767"/>
        <v/>
      </c>
      <c r="FK289" s="43" t="str">
        <f t="shared" si="3768"/>
        <v/>
      </c>
      <c r="FL289" s="43" t="str">
        <f t="shared" si="3769"/>
        <v/>
      </c>
      <c r="FM289" s="43" t="str">
        <f t="shared" si="3770"/>
        <v/>
      </c>
      <c r="FN289" s="43" t="str">
        <f t="shared" si="3771"/>
        <v/>
      </c>
      <c r="FO289" s="43" t="str">
        <f t="shared" si="3772"/>
        <v/>
      </c>
      <c r="FP289" s="43" t="str">
        <f t="shared" si="3773"/>
        <v/>
      </c>
      <c r="FQ289" s="43" t="str">
        <f t="shared" si="3774"/>
        <v/>
      </c>
      <c r="FR289" s="43" t="str">
        <f t="shared" si="3775"/>
        <v/>
      </c>
      <c r="FS289" s="43" t="str">
        <f t="shared" si="3776"/>
        <v/>
      </c>
    </row>
    <row r="290" spans="92:175">
      <c r="CN290" s="12" t="str">
        <f t="shared" si="3701"/>
        <v>InitUnitState('',,,,,,,,,,)</v>
      </c>
      <c r="CO290" s="12" t="str">
        <f t="shared" si="3702"/>
        <v>InitUnitNormal('',,,,,,,,,,)</v>
      </c>
      <c r="CP290" s="12" t="str">
        <f t="shared" si="3703"/>
        <v>InitUnitMagic('',,,,,,,,,,)</v>
      </c>
      <c r="CQ290" s="12" t="str">
        <f t="shared" si="3704"/>
        <v>InitUnitAdd('',,,,,,,,,,)</v>
      </c>
      <c r="CR290" s="12" t="str">
        <f t="shared" si="3705"/>
        <v>InitEquipData('',,"",,,,,'','','','','','',"")</v>
      </c>
      <c r="CU290" s="5" t="str">
        <f t="shared" si="3706"/>
        <v>|n</v>
      </c>
      <c r="CW290" s="6"/>
      <c r="CX290" s="6"/>
      <c r="CY290" s="6"/>
      <c r="CZ290" s="6"/>
      <c r="DA290" s="6"/>
      <c r="DB290" s="43" t="str">
        <f t="shared" si="3707"/>
        <v/>
      </c>
      <c r="DC290" s="43" t="str">
        <f t="shared" si="3708"/>
        <v/>
      </c>
      <c r="DD290" s="43" t="str">
        <f t="shared" si="3709"/>
        <v/>
      </c>
      <c r="DE290" s="43" t="str">
        <f t="shared" si="3710"/>
        <v/>
      </c>
      <c r="DF290" s="43" t="str">
        <f t="shared" si="3711"/>
        <v/>
      </c>
      <c r="DG290" s="43" t="str">
        <f t="shared" si="3712"/>
        <v/>
      </c>
      <c r="DH290" s="43" t="str">
        <f t="shared" si="3713"/>
        <v/>
      </c>
      <c r="DI290" s="43" t="str">
        <f t="shared" si="3714"/>
        <v/>
      </c>
      <c r="DJ290" s="43" t="str">
        <f t="shared" si="3715"/>
        <v/>
      </c>
      <c r="DK290" s="43" t="str">
        <f t="shared" si="3716"/>
        <v/>
      </c>
      <c r="DL290" s="43" t="str">
        <f t="shared" si="3717"/>
        <v/>
      </c>
      <c r="DM290" s="43" t="str">
        <f t="shared" si="3718"/>
        <v/>
      </c>
      <c r="DN290" s="43" t="str">
        <f t="shared" si="3719"/>
        <v/>
      </c>
      <c r="DO290" s="43" t="str">
        <f t="shared" si="3720"/>
        <v/>
      </c>
      <c r="DP290" s="43" t="str">
        <f t="shared" si="3721"/>
        <v/>
      </c>
      <c r="DQ290" s="43" t="str">
        <f t="shared" si="3722"/>
        <v/>
      </c>
      <c r="DR290" s="43" t="str">
        <f t="shared" si="3723"/>
        <v/>
      </c>
      <c r="DS290" s="43" t="str">
        <f t="shared" si="3724"/>
        <v/>
      </c>
      <c r="DT290" s="43" t="str">
        <f t="shared" si="3725"/>
        <v/>
      </c>
      <c r="DU290" s="43" t="str">
        <f t="shared" si="3726"/>
        <v/>
      </c>
      <c r="DV290" s="43" t="str">
        <f t="shared" si="3727"/>
        <v/>
      </c>
      <c r="DW290" s="43" t="str">
        <f t="shared" si="3728"/>
        <v/>
      </c>
      <c r="DX290" s="43" t="str">
        <f t="shared" si="3729"/>
        <v/>
      </c>
      <c r="DY290" s="43" t="str">
        <f t="shared" si="3730"/>
        <v/>
      </c>
      <c r="DZ290" s="43" t="str">
        <f t="shared" si="3731"/>
        <v/>
      </c>
      <c r="EA290" s="43" t="str">
        <f t="shared" si="3732"/>
        <v/>
      </c>
      <c r="EB290" s="43" t="str">
        <f t="shared" si="3733"/>
        <v/>
      </c>
      <c r="EC290" s="43" t="str">
        <f t="shared" si="3734"/>
        <v/>
      </c>
      <c r="ED290" s="43" t="str">
        <f t="shared" si="3735"/>
        <v/>
      </c>
      <c r="EE290" s="43" t="str">
        <f t="shared" si="3736"/>
        <v/>
      </c>
      <c r="EF290" s="43" t="str">
        <f t="shared" si="3737"/>
        <v/>
      </c>
      <c r="EG290" s="43" t="str">
        <f t="shared" si="3738"/>
        <v/>
      </c>
      <c r="EH290" s="43" t="str">
        <f t="shared" si="3739"/>
        <v/>
      </c>
      <c r="EI290" s="43" t="str">
        <f t="shared" si="3740"/>
        <v/>
      </c>
      <c r="EJ290" s="43" t="str">
        <f t="shared" si="3741"/>
        <v/>
      </c>
      <c r="EK290" s="43" t="str">
        <f t="shared" si="3742"/>
        <v/>
      </c>
      <c r="EL290" s="43" t="str">
        <f t="shared" si="3743"/>
        <v/>
      </c>
      <c r="EM290" s="43" t="str">
        <f t="shared" si="3744"/>
        <v/>
      </c>
      <c r="EN290" s="43" t="str">
        <f t="shared" si="3745"/>
        <v/>
      </c>
      <c r="EO290" s="43" t="str">
        <f t="shared" si="3746"/>
        <v/>
      </c>
      <c r="EP290" s="43" t="str">
        <f t="shared" si="3747"/>
        <v/>
      </c>
      <c r="EQ290" s="43" t="str">
        <f t="shared" si="3748"/>
        <v/>
      </c>
      <c r="ER290" s="43" t="str">
        <f t="shared" si="3749"/>
        <v/>
      </c>
      <c r="ES290" s="43" t="str">
        <f t="shared" si="3750"/>
        <v/>
      </c>
      <c r="ET290" s="43" t="str">
        <f t="shared" si="3751"/>
        <v/>
      </c>
      <c r="EU290" s="43" t="str">
        <f t="shared" si="3752"/>
        <v/>
      </c>
      <c r="EV290" s="43" t="str">
        <f t="shared" si="3753"/>
        <v/>
      </c>
      <c r="EW290" s="43" t="str">
        <f t="shared" si="3754"/>
        <v/>
      </c>
      <c r="EX290" s="43" t="str">
        <f t="shared" si="3755"/>
        <v/>
      </c>
      <c r="EY290" s="43" t="str">
        <f t="shared" si="3756"/>
        <v/>
      </c>
      <c r="EZ290" s="43" t="str">
        <f t="shared" si="3757"/>
        <v/>
      </c>
      <c r="FA290" s="43" t="str">
        <f t="shared" si="3758"/>
        <v/>
      </c>
      <c r="FB290" s="43" t="str">
        <f t="shared" si="3759"/>
        <v/>
      </c>
      <c r="FC290" s="43" t="str">
        <f t="shared" si="3760"/>
        <v/>
      </c>
      <c r="FD290" s="43" t="str">
        <f t="shared" si="3761"/>
        <v/>
      </c>
      <c r="FE290" s="43" t="str">
        <f t="shared" si="3762"/>
        <v/>
      </c>
      <c r="FF290" s="43" t="str">
        <f t="shared" si="3763"/>
        <v/>
      </c>
      <c r="FG290" s="43" t="str">
        <f t="shared" si="3764"/>
        <v/>
      </c>
      <c r="FH290" s="43" t="str">
        <f t="shared" si="3765"/>
        <v/>
      </c>
      <c r="FI290" s="43" t="str">
        <f t="shared" si="3766"/>
        <v/>
      </c>
      <c r="FJ290" s="43" t="str">
        <f t="shared" si="3767"/>
        <v/>
      </c>
      <c r="FK290" s="43" t="str">
        <f t="shared" si="3768"/>
        <v/>
      </c>
      <c r="FL290" s="43" t="str">
        <f t="shared" si="3769"/>
        <v/>
      </c>
      <c r="FM290" s="43" t="str">
        <f t="shared" si="3770"/>
        <v/>
      </c>
      <c r="FN290" s="43" t="str">
        <f t="shared" si="3771"/>
        <v/>
      </c>
      <c r="FO290" s="43" t="str">
        <f t="shared" si="3772"/>
        <v/>
      </c>
      <c r="FP290" s="43" t="str">
        <f t="shared" si="3773"/>
        <v/>
      </c>
      <c r="FQ290" s="43" t="str">
        <f t="shared" si="3774"/>
        <v/>
      </c>
      <c r="FR290" s="43" t="str">
        <f t="shared" si="3775"/>
        <v/>
      </c>
      <c r="FS290" s="43" t="str">
        <f t="shared" si="3776"/>
        <v/>
      </c>
    </row>
    <row r="291" spans="92:175">
      <c r="CN291" s="12" t="str">
        <f t="shared" si="3701"/>
        <v>InitUnitState('',,,,,,,,,,)</v>
      </c>
      <c r="CO291" s="12" t="str">
        <f t="shared" si="3702"/>
        <v>InitUnitNormal('',,,,,,,,,,)</v>
      </c>
      <c r="CP291" s="12" t="str">
        <f t="shared" si="3703"/>
        <v>InitUnitMagic('',,,,,,,,,,)</v>
      </c>
      <c r="CQ291" s="12" t="str">
        <f t="shared" si="3704"/>
        <v>InitUnitAdd('',,,,,,,,,,)</v>
      </c>
      <c r="CR291" s="12" t="str">
        <f t="shared" si="3705"/>
        <v>InitEquipData('',,"",,,,,'','','','','','',"")</v>
      </c>
      <c r="CU291" s="5" t="str">
        <f t="shared" si="3706"/>
        <v>|n</v>
      </c>
      <c r="CW291" s="6"/>
      <c r="CX291" s="6"/>
      <c r="CY291" s="6"/>
      <c r="CZ291" s="6"/>
      <c r="DA291" s="6"/>
      <c r="DB291" s="43" t="str">
        <f t="shared" si="3707"/>
        <v/>
      </c>
      <c r="DC291" s="43" t="str">
        <f t="shared" si="3708"/>
        <v/>
      </c>
      <c r="DD291" s="43" t="str">
        <f t="shared" si="3709"/>
        <v/>
      </c>
      <c r="DE291" s="43" t="str">
        <f t="shared" si="3710"/>
        <v/>
      </c>
      <c r="DF291" s="43" t="str">
        <f t="shared" si="3711"/>
        <v/>
      </c>
      <c r="DG291" s="43" t="str">
        <f t="shared" si="3712"/>
        <v/>
      </c>
      <c r="DH291" s="43" t="str">
        <f t="shared" si="3713"/>
        <v/>
      </c>
      <c r="DI291" s="43" t="str">
        <f t="shared" si="3714"/>
        <v/>
      </c>
      <c r="DJ291" s="43" t="str">
        <f t="shared" si="3715"/>
        <v/>
      </c>
      <c r="DK291" s="43" t="str">
        <f t="shared" si="3716"/>
        <v/>
      </c>
      <c r="DL291" s="43" t="str">
        <f t="shared" si="3717"/>
        <v/>
      </c>
      <c r="DM291" s="43" t="str">
        <f t="shared" si="3718"/>
        <v/>
      </c>
      <c r="DN291" s="43" t="str">
        <f t="shared" si="3719"/>
        <v/>
      </c>
      <c r="DO291" s="43" t="str">
        <f t="shared" si="3720"/>
        <v/>
      </c>
      <c r="DP291" s="43" t="str">
        <f t="shared" si="3721"/>
        <v/>
      </c>
      <c r="DQ291" s="43" t="str">
        <f t="shared" si="3722"/>
        <v/>
      </c>
      <c r="DR291" s="43" t="str">
        <f t="shared" si="3723"/>
        <v/>
      </c>
      <c r="DS291" s="43" t="str">
        <f t="shared" si="3724"/>
        <v/>
      </c>
      <c r="DT291" s="43" t="str">
        <f t="shared" si="3725"/>
        <v/>
      </c>
      <c r="DU291" s="43" t="str">
        <f t="shared" si="3726"/>
        <v/>
      </c>
      <c r="DV291" s="43" t="str">
        <f t="shared" si="3727"/>
        <v/>
      </c>
      <c r="DW291" s="43" t="str">
        <f t="shared" si="3728"/>
        <v/>
      </c>
      <c r="DX291" s="43" t="str">
        <f t="shared" si="3729"/>
        <v/>
      </c>
      <c r="DY291" s="43" t="str">
        <f t="shared" si="3730"/>
        <v/>
      </c>
      <c r="DZ291" s="43" t="str">
        <f t="shared" si="3731"/>
        <v/>
      </c>
      <c r="EA291" s="43" t="str">
        <f t="shared" si="3732"/>
        <v/>
      </c>
      <c r="EB291" s="43" t="str">
        <f t="shared" si="3733"/>
        <v/>
      </c>
      <c r="EC291" s="43" t="str">
        <f t="shared" si="3734"/>
        <v/>
      </c>
      <c r="ED291" s="43" t="str">
        <f t="shared" si="3735"/>
        <v/>
      </c>
      <c r="EE291" s="43" t="str">
        <f t="shared" si="3736"/>
        <v/>
      </c>
      <c r="EF291" s="43" t="str">
        <f t="shared" si="3737"/>
        <v/>
      </c>
      <c r="EG291" s="43" t="str">
        <f t="shared" si="3738"/>
        <v/>
      </c>
      <c r="EH291" s="43" t="str">
        <f t="shared" si="3739"/>
        <v/>
      </c>
      <c r="EI291" s="43" t="str">
        <f t="shared" si="3740"/>
        <v/>
      </c>
      <c r="EJ291" s="43" t="str">
        <f t="shared" si="3741"/>
        <v/>
      </c>
      <c r="EK291" s="43" t="str">
        <f t="shared" si="3742"/>
        <v/>
      </c>
      <c r="EL291" s="43" t="str">
        <f t="shared" si="3743"/>
        <v/>
      </c>
      <c r="EM291" s="43" t="str">
        <f t="shared" si="3744"/>
        <v/>
      </c>
      <c r="EN291" s="43" t="str">
        <f t="shared" si="3745"/>
        <v/>
      </c>
      <c r="EO291" s="43" t="str">
        <f t="shared" si="3746"/>
        <v/>
      </c>
      <c r="EP291" s="43" t="str">
        <f t="shared" si="3747"/>
        <v/>
      </c>
      <c r="EQ291" s="43" t="str">
        <f t="shared" si="3748"/>
        <v/>
      </c>
      <c r="ER291" s="43" t="str">
        <f t="shared" si="3749"/>
        <v/>
      </c>
      <c r="ES291" s="43" t="str">
        <f t="shared" si="3750"/>
        <v/>
      </c>
      <c r="ET291" s="43" t="str">
        <f t="shared" si="3751"/>
        <v/>
      </c>
      <c r="EU291" s="43" t="str">
        <f t="shared" si="3752"/>
        <v/>
      </c>
      <c r="EV291" s="43" t="str">
        <f t="shared" si="3753"/>
        <v/>
      </c>
      <c r="EW291" s="43" t="str">
        <f t="shared" si="3754"/>
        <v/>
      </c>
      <c r="EX291" s="43" t="str">
        <f t="shared" si="3755"/>
        <v/>
      </c>
      <c r="EY291" s="43" t="str">
        <f t="shared" si="3756"/>
        <v/>
      </c>
      <c r="EZ291" s="43" t="str">
        <f t="shared" si="3757"/>
        <v/>
      </c>
      <c r="FA291" s="43" t="str">
        <f t="shared" si="3758"/>
        <v/>
      </c>
      <c r="FB291" s="43" t="str">
        <f t="shared" si="3759"/>
        <v/>
      </c>
      <c r="FC291" s="43" t="str">
        <f t="shared" si="3760"/>
        <v/>
      </c>
      <c r="FD291" s="43" t="str">
        <f t="shared" si="3761"/>
        <v/>
      </c>
      <c r="FE291" s="43" t="str">
        <f t="shared" si="3762"/>
        <v/>
      </c>
      <c r="FF291" s="43" t="str">
        <f t="shared" si="3763"/>
        <v/>
      </c>
      <c r="FG291" s="43" t="str">
        <f t="shared" si="3764"/>
        <v/>
      </c>
      <c r="FH291" s="43" t="str">
        <f t="shared" si="3765"/>
        <v/>
      </c>
      <c r="FI291" s="43" t="str">
        <f t="shared" si="3766"/>
        <v/>
      </c>
      <c r="FJ291" s="43" t="str">
        <f t="shared" si="3767"/>
        <v/>
      </c>
      <c r="FK291" s="43" t="str">
        <f t="shared" si="3768"/>
        <v/>
      </c>
      <c r="FL291" s="43" t="str">
        <f t="shared" si="3769"/>
        <v/>
      </c>
      <c r="FM291" s="43" t="str">
        <f t="shared" si="3770"/>
        <v/>
      </c>
      <c r="FN291" s="43" t="str">
        <f t="shared" si="3771"/>
        <v/>
      </c>
      <c r="FO291" s="43" t="str">
        <f t="shared" si="3772"/>
        <v/>
      </c>
      <c r="FP291" s="43" t="str">
        <f t="shared" si="3773"/>
        <v/>
      </c>
      <c r="FQ291" s="43" t="str">
        <f t="shared" si="3774"/>
        <v/>
      </c>
      <c r="FR291" s="43" t="str">
        <f t="shared" si="3775"/>
        <v/>
      </c>
      <c r="FS291" s="43" t="str">
        <f t="shared" si="3776"/>
        <v/>
      </c>
    </row>
    <row r="292" spans="92:175">
      <c r="CN292" s="12" t="str">
        <f t="shared" si="3701"/>
        <v>InitUnitState('',,,,,,,,,,)</v>
      </c>
      <c r="CO292" s="12" t="str">
        <f t="shared" si="3702"/>
        <v>InitUnitNormal('',,,,,,,,,,)</v>
      </c>
      <c r="CP292" s="12" t="str">
        <f t="shared" si="3703"/>
        <v>InitUnitMagic('',,,,,,,,,,)</v>
      </c>
      <c r="CQ292" s="12" t="str">
        <f t="shared" si="3704"/>
        <v>InitUnitAdd('',,,,,,,,,,)</v>
      </c>
      <c r="CR292" s="12" t="str">
        <f t="shared" si="3705"/>
        <v>InitEquipData('',,"",,,,,'','','','','','',"")</v>
      </c>
      <c r="CU292" s="5" t="str">
        <f t="shared" si="3706"/>
        <v>|n</v>
      </c>
      <c r="CW292" s="6"/>
      <c r="CX292" s="6"/>
      <c r="CY292" s="6"/>
      <c r="CZ292" s="6"/>
      <c r="DA292" s="6"/>
      <c r="DB292" s="43" t="str">
        <f t="shared" si="3707"/>
        <v/>
      </c>
      <c r="DC292" s="43" t="str">
        <f t="shared" si="3708"/>
        <v/>
      </c>
      <c r="DD292" s="43" t="str">
        <f t="shared" si="3709"/>
        <v/>
      </c>
      <c r="DE292" s="43" t="str">
        <f t="shared" si="3710"/>
        <v/>
      </c>
      <c r="DF292" s="43" t="str">
        <f t="shared" si="3711"/>
        <v/>
      </c>
      <c r="DG292" s="43" t="str">
        <f t="shared" si="3712"/>
        <v/>
      </c>
      <c r="DH292" s="43" t="str">
        <f t="shared" si="3713"/>
        <v/>
      </c>
      <c r="DI292" s="43" t="str">
        <f t="shared" si="3714"/>
        <v/>
      </c>
      <c r="DJ292" s="43" t="str">
        <f t="shared" si="3715"/>
        <v/>
      </c>
      <c r="DK292" s="43" t="str">
        <f t="shared" si="3716"/>
        <v/>
      </c>
      <c r="DL292" s="43" t="str">
        <f t="shared" si="3717"/>
        <v/>
      </c>
      <c r="DM292" s="43" t="str">
        <f t="shared" si="3718"/>
        <v/>
      </c>
      <c r="DN292" s="43" t="str">
        <f t="shared" si="3719"/>
        <v/>
      </c>
      <c r="DO292" s="43" t="str">
        <f t="shared" si="3720"/>
        <v/>
      </c>
      <c r="DP292" s="43" t="str">
        <f t="shared" si="3721"/>
        <v/>
      </c>
      <c r="DQ292" s="43" t="str">
        <f t="shared" si="3722"/>
        <v/>
      </c>
      <c r="DR292" s="43" t="str">
        <f t="shared" si="3723"/>
        <v/>
      </c>
      <c r="DS292" s="43" t="str">
        <f t="shared" si="3724"/>
        <v/>
      </c>
      <c r="DT292" s="43" t="str">
        <f t="shared" si="3725"/>
        <v/>
      </c>
      <c r="DU292" s="43" t="str">
        <f t="shared" si="3726"/>
        <v/>
      </c>
      <c r="DV292" s="43" t="str">
        <f t="shared" si="3727"/>
        <v/>
      </c>
      <c r="DW292" s="43" t="str">
        <f t="shared" si="3728"/>
        <v/>
      </c>
      <c r="DX292" s="43" t="str">
        <f t="shared" si="3729"/>
        <v/>
      </c>
      <c r="DY292" s="43" t="str">
        <f t="shared" si="3730"/>
        <v/>
      </c>
      <c r="DZ292" s="43" t="str">
        <f t="shared" si="3731"/>
        <v/>
      </c>
      <c r="EA292" s="43" t="str">
        <f t="shared" si="3732"/>
        <v/>
      </c>
      <c r="EB292" s="43" t="str">
        <f t="shared" si="3733"/>
        <v/>
      </c>
      <c r="EC292" s="43" t="str">
        <f t="shared" si="3734"/>
        <v/>
      </c>
      <c r="ED292" s="43" t="str">
        <f t="shared" si="3735"/>
        <v/>
      </c>
      <c r="EE292" s="43" t="str">
        <f t="shared" si="3736"/>
        <v/>
      </c>
      <c r="EF292" s="43" t="str">
        <f t="shared" si="3737"/>
        <v/>
      </c>
      <c r="EG292" s="43" t="str">
        <f t="shared" si="3738"/>
        <v/>
      </c>
      <c r="EH292" s="43" t="str">
        <f t="shared" si="3739"/>
        <v/>
      </c>
      <c r="EI292" s="43" t="str">
        <f t="shared" si="3740"/>
        <v/>
      </c>
      <c r="EJ292" s="43" t="str">
        <f t="shared" si="3741"/>
        <v/>
      </c>
      <c r="EK292" s="43" t="str">
        <f t="shared" si="3742"/>
        <v/>
      </c>
      <c r="EL292" s="43" t="str">
        <f t="shared" si="3743"/>
        <v/>
      </c>
      <c r="EM292" s="43" t="str">
        <f t="shared" si="3744"/>
        <v/>
      </c>
      <c r="EN292" s="43" t="str">
        <f t="shared" si="3745"/>
        <v/>
      </c>
      <c r="EO292" s="43" t="str">
        <f t="shared" si="3746"/>
        <v/>
      </c>
      <c r="EP292" s="43" t="str">
        <f t="shared" si="3747"/>
        <v/>
      </c>
      <c r="EQ292" s="43" t="str">
        <f t="shared" si="3748"/>
        <v/>
      </c>
      <c r="ER292" s="43" t="str">
        <f t="shared" si="3749"/>
        <v/>
      </c>
      <c r="ES292" s="43" t="str">
        <f t="shared" si="3750"/>
        <v/>
      </c>
      <c r="ET292" s="43" t="str">
        <f t="shared" si="3751"/>
        <v/>
      </c>
      <c r="EU292" s="43" t="str">
        <f t="shared" si="3752"/>
        <v/>
      </c>
      <c r="EV292" s="43" t="str">
        <f t="shared" si="3753"/>
        <v/>
      </c>
      <c r="EW292" s="43" t="str">
        <f t="shared" si="3754"/>
        <v/>
      </c>
      <c r="EX292" s="43" t="str">
        <f t="shared" si="3755"/>
        <v/>
      </c>
      <c r="EY292" s="43" t="str">
        <f t="shared" si="3756"/>
        <v/>
      </c>
      <c r="EZ292" s="43" t="str">
        <f t="shared" si="3757"/>
        <v/>
      </c>
      <c r="FA292" s="43" t="str">
        <f t="shared" si="3758"/>
        <v/>
      </c>
      <c r="FB292" s="43" t="str">
        <f t="shared" si="3759"/>
        <v/>
      </c>
      <c r="FC292" s="43" t="str">
        <f t="shared" si="3760"/>
        <v/>
      </c>
      <c r="FD292" s="43" t="str">
        <f t="shared" si="3761"/>
        <v/>
      </c>
      <c r="FE292" s="43" t="str">
        <f t="shared" si="3762"/>
        <v/>
      </c>
      <c r="FF292" s="43" t="str">
        <f t="shared" si="3763"/>
        <v/>
      </c>
      <c r="FG292" s="43" t="str">
        <f t="shared" si="3764"/>
        <v/>
      </c>
      <c r="FH292" s="43" t="str">
        <f t="shared" si="3765"/>
        <v/>
      </c>
      <c r="FI292" s="43" t="str">
        <f t="shared" si="3766"/>
        <v/>
      </c>
      <c r="FJ292" s="43" t="str">
        <f t="shared" si="3767"/>
        <v/>
      </c>
      <c r="FK292" s="43" t="str">
        <f t="shared" si="3768"/>
        <v/>
      </c>
      <c r="FL292" s="43" t="str">
        <f t="shared" si="3769"/>
        <v/>
      </c>
      <c r="FM292" s="43" t="str">
        <f t="shared" si="3770"/>
        <v/>
      </c>
      <c r="FN292" s="43" t="str">
        <f t="shared" si="3771"/>
        <v/>
      </c>
      <c r="FO292" s="43" t="str">
        <f t="shared" si="3772"/>
        <v/>
      </c>
      <c r="FP292" s="43" t="str">
        <f t="shared" si="3773"/>
        <v/>
      </c>
      <c r="FQ292" s="43" t="str">
        <f t="shared" si="3774"/>
        <v/>
      </c>
      <c r="FR292" s="43" t="str">
        <f t="shared" si="3775"/>
        <v/>
      </c>
      <c r="FS292" s="43" t="str">
        <f t="shared" si="3776"/>
        <v/>
      </c>
    </row>
    <row r="293" spans="92:175">
      <c r="CN293" s="12" t="str">
        <f t="shared" si="3701"/>
        <v>InitUnitState('',,,,,,,,,,)</v>
      </c>
      <c r="CO293" s="12" t="str">
        <f t="shared" si="3702"/>
        <v>InitUnitNormal('',,,,,,,,,,)</v>
      </c>
      <c r="CP293" s="12" t="str">
        <f t="shared" si="3703"/>
        <v>InitUnitMagic('',,,,,,,,,,)</v>
      </c>
      <c r="CQ293" s="12" t="str">
        <f t="shared" si="3704"/>
        <v>InitUnitAdd('',,,,,,,,,,)</v>
      </c>
      <c r="CR293" s="12" t="str">
        <f t="shared" si="3705"/>
        <v>InitEquipData('',,"",,,,,'','','','','','',"")</v>
      </c>
      <c r="CU293" s="5" t="str">
        <f t="shared" si="3706"/>
        <v>|n</v>
      </c>
      <c r="CW293" s="6"/>
      <c r="CX293" s="6"/>
      <c r="CY293" s="6"/>
      <c r="CZ293" s="6"/>
      <c r="DA293" s="6"/>
      <c r="DB293" s="43" t="str">
        <f t="shared" si="3707"/>
        <v/>
      </c>
      <c r="DC293" s="43" t="str">
        <f t="shared" si="3708"/>
        <v/>
      </c>
      <c r="DD293" s="43" t="str">
        <f t="shared" si="3709"/>
        <v/>
      </c>
      <c r="DE293" s="43" t="str">
        <f t="shared" si="3710"/>
        <v/>
      </c>
      <c r="DF293" s="43" t="str">
        <f t="shared" si="3711"/>
        <v/>
      </c>
      <c r="DG293" s="43" t="str">
        <f t="shared" si="3712"/>
        <v/>
      </c>
      <c r="DH293" s="43" t="str">
        <f t="shared" si="3713"/>
        <v/>
      </c>
      <c r="DI293" s="43" t="str">
        <f t="shared" si="3714"/>
        <v/>
      </c>
      <c r="DJ293" s="43" t="str">
        <f t="shared" si="3715"/>
        <v/>
      </c>
      <c r="DK293" s="43" t="str">
        <f t="shared" si="3716"/>
        <v/>
      </c>
      <c r="DL293" s="43" t="str">
        <f t="shared" si="3717"/>
        <v/>
      </c>
      <c r="DM293" s="43" t="str">
        <f t="shared" si="3718"/>
        <v/>
      </c>
      <c r="DN293" s="43" t="str">
        <f t="shared" si="3719"/>
        <v/>
      </c>
      <c r="DO293" s="43" t="str">
        <f t="shared" si="3720"/>
        <v/>
      </c>
      <c r="DP293" s="43" t="str">
        <f t="shared" si="3721"/>
        <v/>
      </c>
      <c r="DQ293" s="43" t="str">
        <f t="shared" si="3722"/>
        <v/>
      </c>
      <c r="DR293" s="43" t="str">
        <f t="shared" si="3723"/>
        <v/>
      </c>
      <c r="DS293" s="43" t="str">
        <f t="shared" si="3724"/>
        <v/>
      </c>
      <c r="DT293" s="43" t="str">
        <f t="shared" si="3725"/>
        <v/>
      </c>
      <c r="DU293" s="43" t="str">
        <f t="shared" si="3726"/>
        <v/>
      </c>
      <c r="DV293" s="43" t="str">
        <f t="shared" si="3727"/>
        <v/>
      </c>
      <c r="DW293" s="43" t="str">
        <f t="shared" si="3728"/>
        <v/>
      </c>
      <c r="DX293" s="43" t="str">
        <f t="shared" si="3729"/>
        <v/>
      </c>
      <c r="DY293" s="43" t="str">
        <f t="shared" si="3730"/>
        <v/>
      </c>
      <c r="DZ293" s="43" t="str">
        <f t="shared" si="3731"/>
        <v/>
      </c>
      <c r="EA293" s="43" t="str">
        <f t="shared" si="3732"/>
        <v/>
      </c>
      <c r="EB293" s="43" t="str">
        <f t="shared" si="3733"/>
        <v/>
      </c>
      <c r="EC293" s="43" t="str">
        <f t="shared" si="3734"/>
        <v/>
      </c>
      <c r="ED293" s="43" t="str">
        <f t="shared" si="3735"/>
        <v/>
      </c>
      <c r="EE293" s="43" t="str">
        <f t="shared" si="3736"/>
        <v/>
      </c>
      <c r="EF293" s="43" t="str">
        <f t="shared" si="3737"/>
        <v/>
      </c>
      <c r="EG293" s="43" t="str">
        <f t="shared" si="3738"/>
        <v/>
      </c>
      <c r="EH293" s="43" t="str">
        <f t="shared" si="3739"/>
        <v/>
      </c>
      <c r="EI293" s="43" t="str">
        <f t="shared" si="3740"/>
        <v/>
      </c>
      <c r="EJ293" s="43" t="str">
        <f t="shared" si="3741"/>
        <v/>
      </c>
      <c r="EK293" s="43" t="str">
        <f t="shared" si="3742"/>
        <v/>
      </c>
      <c r="EL293" s="43" t="str">
        <f t="shared" si="3743"/>
        <v/>
      </c>
      <c r="EM293" s="43" t="str">
        <f t="shared" si="3744"/>
        <v/>
      </c>
      <c r="EN293" s="43" t="str">
        <f t="shared" si="3745"/>
        <v/>
      </c>
      <c r="EO293" s="43" t="str">
        <f t="shared" si="3746"/>
        <v/>
      </c>
      <c r="EP293" s="43" t="str">
        <f t="shared" si="3747"/>
        <v/>
      </c>
      <c r="EQ293" s="43" t="str">
        <f t="shared" si="3748"/>
        <v/>
      </c>
      <c r="ER293" s="43" t="str">
        <f t="shared" si="3749"/>
        <v/>
      </c>
      <c r="ES293" s="43" t="str">
        <f t="shared" si="3750"/>
        <v/>
      </c>
      <c r="ET293" s="43" t="str">
        <f t="shared" si="3751"/>
        <v/>
      </c>
      <c r="EU293" s="43" t="str">
        <f t="shared" si="3752"/>
        <v/>
      </c>
      <c r="EV293" s="43" t="str">
        <f t="shared" si="3753"/>
        <v/>
      </c>
      <c r="EW293" s="43" t="str">
        <f t="shared" si="3754"/>
        <v/>
      </c>
      <c r="EX293" s="43" t="str">
        <f t="shared" si="3755"/>
        <v/>
      </c>
      <c r="EY293" s="43" t="str">
        <f t="shared" si="3756"/>
        <v/>
      </c>
      <c r="EZ293" s="43" t="str">
        <f t="shared" si="3757"/>
        <v/>
      </c>
      <c r="FA293" s="43" t="str">
        <f t="shared" si="3758"/>
        <v/>
      </c>
      <c r="FB293" s="43" t="str">
        <f t="shared" si="3759"/>
        <v/>
      </c>
      <c r="FC293" s="43" t="str">
        <f t="shared" si="3760"/>
        <v/>
      </c>
      <c r="FD293" s="43" t="str">
        <f t="shared" si="3761"/>
        <v/>
      </c>
      <c r="FE293" s="43" t="str">
        <f t="shared" si="3762"/>
        <v/>
      </c>
      <c r="FF293" s="43" t="str">
        <f t="shared" si="3763"/>
        <v/>
      </c>
      <c r="FG293" s="43" t="str">
        <f t="shared" si="3764"/>
        <v/>
      </c>
      <c r="FH293" s="43" t="str">
        <f t="shared" si="3765"/>
        <v/>
      </c>
      <c r="FI293" s="43" t="str">
        <f t="shared" si="3766"/>
        <v/>
      </c>
      <c r="FJ293" s="43" t="str">
        <f t="shared" si="3767"/>
        <v/>
      </c>
      <c r="FK293" s="43" t="str">
        <f t="shared" si="3768"/>
        <v/>
      </c>
      <c r="FL293" s="43" t="str">
        <f t="shared" si="3769"/>
        <v/>
      </c>
      <c r="FM293" s="43" t="str">
        <f t="shared" si="3770"/>
        <v/>
      </c>
      <c r="FN293" s="43" t="str">
        <f t="shared" si="3771"/>
        <v/>
      </c>
      <c r="FO293" s="43" t="str">
        <f t="shared" si="3772"/>
        <v/>
      </c>
      <c r="FP293" s="43" t="str">
        <f t="shared" si="3773"/>
        <v/>
      </c>
      <c r="FQ293" s="43" t="str">
        <f t="shared" si="3774"/>
        <v/>
      </c>
      <c r="FR293" s="43" t="str">
        <f t="shared" si="3775"/>
        <v/>
      </c>
      <c r="FS293" s="43" t="str">
        <f t="shared" si="3776"/>
        <v/>
      </c>
    </row>
    <row r="294" spans="92:175">
      <c r="CN294" s="12" t="str">
        <f t="shared" si="3701"/>
        <v>InitUnitState('',,,,,,,,,,)</v>
      </c>
      <c r="CO294" s="12" t="str">
        <f t="shared" si="3702"/>
        <v>InitUnitNormal('',,,,,,,,,,)</v>
      </c>
      <c r="CP294" s="12" t="str">
        <f t="shared" si="3703"/>
        <v>InitUnitMagic('',,,,,,,,,,)</v>
      </c>
      <c r="CQ294" s="12" t="str">
        <f t="shared" si="3704"/>
        <v>InitUnitAdd('',,,,,,,,,,)</v>
      </c>
      <c r="CR294" s="12" t="str">
        <f t="shared" si="3705"/>
        <v>InitEquipData('',,"",,,,,'','','','','','',"")</v>
      </c>
      <c r="CU294" s="5" t="str">
        <f t="shared" si="3706"/>
        <v>|n</v>
      </c>
      <c r="CW294" s="6"/>
      <c r="CX294" s="6"/>
      <c r="CY294" s="6"/>
      <c r="CZ294" s="6"/>
      <c r="DA294" s="6"/>
      <c r="DB294" s="43" t="str">
        <f t="shared" si="3707"/>
        <v/>
      </c>
      <c r="DC294" s="43" t="str">
        <f t="shared" si="3708"/>
        <v/>
      </c>
      <c r="DD294" s="43" t="str">
        <f t="shared" si="3709"/>
        <v/>
      </c>
      <c r="DE294" s="43" t="str">
        <f t="shared" si="3710"/>
        <v/>
      </c>
      <c r="DF294" s="43" t="str">
        <f t="shared" si="3711"/>
        <v/>
      </c>
      <c r="DG294" s="43" t="str">
        <f t="shared" si="3712"/>
        <v/>
      </c>
      <c r="DH294" s="43" t="str">
        <f t="shared" si="3713"/>
        <v/>
      </c>
      <c r="DI294" s="43" t="str">
        <f t="shared" si="3714"/>
        <v/>
      </c>
      <c r="DJ294" s="43" t="str">
        <f t="shared" si="3715"/>
        <v/>
      </c>
      <c r="DK294" s="43" t="str">
        <f t="shared" si="3716"/>
        <v/>
      </c>
      <c r="DL294" s="43" t="str">
        <f t="shared" si="3717"/>
        <v/>
      </c>
      <c r="DM294" s="43" t="str">
        <f t="shared" si="3718"/>
        <v/>
      </c>
      <c r="DN294" s="43" t="str">
        <f t="shared" si="3719"/>
        <v/>
      </c>
      <c r="DO294" s="43" t="str">
        <f t="shared" si="3720"/>
        <v/>
      </c>
      <c r="DP294" s="43" t="str">
        <f t="shared" si="3721"/>
        <v/>
      </c>
      <c r="DQ294" s="43" t="str">
        <f t="shared" si="3722"/>
        <v/>
      </c>
      <c r="DR294" s="43" t="str">
        <f t="shared" si="3723"/>
        <v/>
      </c>
      <c r="DS294" s="43" t="str">
        <f t="shared" si="3724"/>
        <v/>
      </c>
      <c r="DT294" s="43" t="str">
        <f t="shared" si="3725"/>
        <v/>
      </c>
      <c r="DU294" s="43" t="str">
        <f t="shared" si="3726"/>
        <v/>
      </c>
      <c r="DV294" s="43" t="str">
        <f t="shared" si="3727"/>
        <v/>
      </c>
      <c r="DW294" s="43" t="str">
        <f t="shared" si="3728"/>
        <v/>
      </c>
      <c r="DX294" s="43" t="str">
        <f t="shared" si="3729"/>
        <v/>
      </c>
      <c r="DY294" s="43" t="str">
        <f t="shared" si="3730"/>
        <v/>
      </c>
      <c r="DZ294" s="43" t="str">
        <f t="shared" si="3731"/>
        <v/>
      </c>
      <c r="EA294" s="43" t="str">
        <f t="shared" si="3732"/>
        <v/>
      </c>
      <c r="EB294" s="43" t="str">
        <f t="shared" si="3733"/>
        <v/>
      </c>
      <c r="EC294" s="43" t="str">
        <f t="shared" si="3734"/>
        <v/>
      </c>
      <c r="ED294" s="43" t="str">
        <f t="shared" si="3735"/>
        <v/>
      </c>
      <c r="EE294" s="43" t="str">
        <f t="shared" si="3736"/>
        <v/>
      </c>
      <c r="EF294" s="43" t="str">
        <f t="shared" si="3737"/>
        <v/>
      </c>
      <c r="EG294" s="43" t="str">
        <f t="shared" si="3738"/>
        <v/>
      </c>
      <c r="EH294" s="43" t="str">
        <f t="shared" si="3739"/>
        <v/>
      </c>
      <c r="EI294" s="43" t="str">
        <f t="shared" si="3740"/>
        <v/>
      </c>
      <c r="EJ294" s="43" t="str">
        <f t="shared" si="3741"/>
        <v/>
      </c>
      <c r="EK294" s="43" t="str">
        <f t="shared" si="3742"/>
        <v/>
      </c>
      <c r="EL294" s="43" t="str">
        <f t="shared" si="3743"/>
        <v/>
      </c>
      <c r="EM294" s="43" t="str">
        <f t="shared" si="3744"/>
        <v/>
      </c>
      <c r="EN294" s="43" t="str">
        <f t="shared" si="3745"/>
        <v/>
      </c>
      <c r="EO294" s="43" t="str">
        <f t="shared" si="3746"/>
        <v/>
      </c>
      <c r="EP294" s="43" t="str">
        <f t="shared" si="3747"/>
        <v/>
      </c>
      <c r="EQ294" s="43" t="str">
        <f t="shared" si="3748"/>
        <v/>
      </c>
      <c r="ER294" s="43" t="str">
        <f t="shared" si="3749"/>
        <v/>
      </c>
      <c r="ES294" s="43" t="str">
        <f t="shared" si="3750"/>
        <v/>
      </c>
      <c r="ET294" s="43" t="str">
        <f t="shared" si="3751"/>
        <v/>
      </c>
      <c r="EU294" s="43" t="str">
        <f t="shared" si="3752"/>
        <v/>
      </c>
      <c r="EV294" s="43" t="str">
        <f t="shared" si="3753"/>
        <v/>
      </c>
      <c r="EW294" s="43" t="str">
        <f t="shared" si="3754"/>
        <v/>
      </c>
      <c r="EX294" s="43" t="str">
        <f t="shared" si="3755"/>
        <v/>
      </c>
      <c r="EY294" s="43" t="str">
        <f t="shared" si="3756"/>
        <v/>
      </c>
      <c r="EZ294" s="43" t="str">
        <f t="shared" si="3757"/>
        <v/>
      </c>
      <c r="FA294" s="43" t="str">
        <f t="shared" si="3758"/>
        <v/>
      </c>
      <c r="FB294" s="43" t="str">
        <f t="shared" si="3759"/>
        <v/>
      </c>
      <c r="FC294" s="43" t="str">
        <f t="shared" si="3760"/>
        <v/>
      </c>
      <c r="FD294" s="43" t="str">
        <f t="shared" si="3761"/>
        <v/>
      </c>
      <c r="FE294" s="43" t="str">
        <f t="shared" si="3762"/>
        <v/>
      </c>
      <c r="FF294" s="43" t="str">
        <f t="shared" si="3763"/>
        <v/>
      </c>
      <c r="FG294" s="43" t="str">
        <f t="shared" si="3764"/>
        <v/>
      </c>
      <c r="FH294" s="43" t="str">
        <f t="shared" si="3765"/>
        <v/>
      </c>
      <c r="FI294" s="43" t="str">
        <f t="shared" si="3766"/>
        <v/>
      </c>
      <c r="FJ294" s="43" t="str">
        <f t="shared" si="3767"/>
        <v/>
      </c>
      <c r="FK294" s="43" t="str">
        <f t="shared" si="3768"/>
        <v/>
      </c>
      <c r="FL294" s="43" t="str">
        <f t="shared" si="3769"/>
        <v/>
      </c>
      <c r="FM294" s="43" t="str">
        <f t="shared" si="3770"/>
        <v/>
      </c>
      <c r="FN294" s="43" t="str">
        <f t="shared" si="3771"/>
        <v/>
      </c>
      <c r="FO294" s="43" t="str">
        <f t="shared" si="3772"/>
        <v/>
      </c>
      <c r="FP294" s="43" t="str">
        <f t="shared" si="3773"/>
        <v/>
      </c>
      <c r="FQ294" s="43" t="str">
        <f t="shared" si="3774"/>
        <v/>
      </c>
      <c r="FR294" s="43" t="str">
        <f t="shared" si="3775"/>
        <v/>
      </c>
      <c r="FS294" s="43" t="str">
        <f t="shared" si="3776"/>
        <v/>
      </c>
    </row>
    <row r="295" spans="92:175">
      <c r="CN295" s="12" t="str">
        <f t="shared" si="3701"/>
        <v>InitUnitState('',,,,,,,,,,)</v>
      </c>
      <c r="CO295" s="12" t="str">
        <f t="shared" si="3702"/>
        <v>InitUnitNormal('',,,,,,,,,,)</v>
      </c>
      <c r="CP295" s="12" t="str">
        <f t="shared" si="3703"/>
        <v>InitUnitMagic('',,,,,,,,,,)</v>
      </c>
      <c r="CQ295" s="12" t="str">
        <f t="shared" si="3704"/>
        <v>InitUnitAdd('',,,,,,,,,,)</v>
      </c>
      <c r="CR295" s="12" t="str">
        <f t="shared" si="3705"/>
        <v>InitEquipData('',,"",,,,,'','','','','','',"")</v>
      </c>
      <c r="CU295" s="5" t="str">
        <f t="shared" si="3706"/>
        <v>|n</v>
      </c>
      <c r="CW295" s="6"/>
      <c r="CX295" s="6"/>
      <c r="CY295" s="6"/>
      <c r="CZ295" s="6"/>
      <c r="DA295" s="6"/>
      <c r="DB295" s="43" t="str">
        <f t="shared" si="3707"/>
        <v/>
      </c>
      <c r="DC295" s="43" t="str">
        <f t="shared" si="3708"/>
        <v/>
      </c>
      <c r="DD295" s="43" t="str">
        <f t="shared" si="3709"/>
        <v/>
      </c>
      <c r="DE295" s="43" t="str">
        <f t="shared" si="3710"/>
        <v/>
      </c>
      <c r="DF295" s="43" t="str">
        <f t="shared" si="3711"/>
        <v/>
      </c>
      <c r="DG295" s="43" t="str">
        <f t="shared" si="3712"/>
        <v/>
      </c>
      <c r="DH295" s="43" t="str">
        <f t="shared" si="3713"/>
        <v/>
      </c>
      <c r="DI295" s="43" t="str">
        <f t="shared" si="3714"/>
        <v/>
      </c>
      <c r="DJ295" s="43" t="str">
        <f t="shared" si="3715"/>
        <v/>
      </c>
      <c r="DK295" s="43" t="str">
        <f t="shared" si="3716"/>
        <v/>
      </c>
      <c r="DL295" s="43" t="str">
        <f t="shared" si="3717"/>
        <v/>
      </c>
      <c r="DM295" s="43" t="str">
        <f t="shared" si="3718"/>
        <v/>
      </c>
      <c r="DN295" s="43" t="str">
        <f t="shared" si="3719"/>
        <v/>
      </c>
      <c r="DO295" s="43" t="str">
        <f t="shared" si="3720"/>
        <v/>
      </c>
      <c r="DP295" s="43" t="str">
        <f t="shared" si="3721"/>
        <v/>
      </c>
      <c r="DQ295" s="43" t="str">
        <f t="shared" si="3722"/>
        <v/>
      </c>
      <c r="DR295" s="43" t="str">
        <f t="shared" si="3723"/>
        <v/>
      </c>
      <c r="DS295" s="43" t="str">
        <f t="shared" si="3724"/>
        <v/>
      </c>
      <c r="DT295" s="43" t="str">
        <f t="shared" si="3725"/>
        <v/>
      </c>
      <c r="DU295" s="43" t="str">
        <f t="shared" si="3726"/>
        <v/>
      </c>
      <c r="DV295" s="43" t="str">
        <f t="shared" si="3727"/>
        <v/>
      </c>
      <c r="DW295" s="43" t="str">
        <f t="shared" si="3728"/>
        <v/>
      </c>
      <c r="DX295" s="43" t="str">
        <f t="shared" si="3729"/>
        <v/>
      </c>
      <c r="DY295" s="43" t="str">
        <f t="shared" si="3730"/>
        <v/>
      </c>
      <c r="DZ295" s="43" t="str">
        <f t="shared" si="3731"/>
        <v/>
      </c>
      <c r="EA295" s="43" t="str">
        <f t="shared" si="3732"/>
        <v/>
      </c>
      <c r="EB295" s="43" t="str">
        <f t="shared" si="3733"/>
        <v/>
      </c>
      <c r="EC295" s="43" t="str">
        <f t="shared" si="3734"/>
        <v/>
      </c>
      <c r="ED295" s="43" t="str">
        <f t="shared" si="3735"/>
        <v/>
      </c>
      <c r="EE295" s="43" t="str">
        <f t="shared" si="3736"/>
        <v/>
      </c>
      <c r="EF295" s="43" t="str">
        <f t="shared" si="3737"/>
        <v/>
      </c>
      <c r="EG295" s="43" t="str">
        <f t="shared" si="3738"/>
        <v/>
      </c>
      <c r="EH295" s="43" t="str">
        <f t="shared" si="3739"/>
        <v/>
      </c>
      <c r="EI295" s="43" t="str">
        <f t="shared" si="3740"/>
        <v/>
      </c>
      <c r="EJ295" s="43" t="str">
        <f t="shared" si="3741"/>
        <v/>
      </c>
      <c r="EK295" s="43" t="str">
        <f t="shared" si="3742"/>
        <v/>
      </c>
      <c r="EL295" s="43" t="str">
        <f t="shared" si="3743"/>
        <v/>
      </c>
      <c r="EM295" s="43" t="str">
        <f t="shared" si="3744"/>
        <v/>
      </c>
      <c r="EN295" s="43" t="str">
        <f t="shared" si="3745"/>
        <v/>
      </c>
      <c r="EO295" s="43" t="str">
        <f t="shared" si="3746"/>
        <v/>
      </c>
      <c r="EP295" s="43" t="str">
        <f t="shared" si="3747"/>
        <v/>
      </c>
      <c r="EQ295" s="43" t="str">
        <f t="shared" si="3748"/>
        <v/>
      </c>
      <c r="ER295" s="43" t="str">
        <f t="shared" si="3749"/>
        <v/>
      </c>
      <c r="ES295" s="43" t="str">
        <f t="shared" si="3750"/>
        <v/>
      </c>
      <c r="ET295" s="43" t="str">
        <f t="shared" si="3751"/>
        <v/>
      </c>
      <c r="EU295" s="43" t="str">
        <f t="shared" si="3752"/>
        <v/>
      </c>
      <c r="EV295" s="43" t="str">
        <f t="shared" si="3753"/>
        <v/>
      </c>
      <c r="EW295" s="43" t="str">
        <f t="shared" si="3754"/>
        <v/>
      </c>
      <c r="EX295" s="43" t="str">
        <f t="shared" si="3755"/>
        <v/>
      </c>
      <c r="EY295" s="43" t="str">
        <f t="shared" si="3756"/>
        <v/>
      </c>
      <c r="EZ295" s="43" t="str">
        <f t="shared" si="3757"/>
        <v/>
      </c>
      <c r="FA295" s="43" t="str">
        <f t="shared" si="3758"/>
        <v/>
      </c>
      <c r="FB295" s="43" t="str">
        <f t="shared" si="3759"/>
        <v/>
      </c>
      <c r="FC295" s="43" t="str">
        <f t="shared" si="3760"/>
        <v/>
      </c>
      <c r="FD295" s="43" t="str">
        <f t="shared" si="3761"/>
        <v/>
      </c>
      <c r="FE295" s="43" t="str">
        <f t="shared" si="3762"/>
        <v/>
      </c>
      <c r="FF295" s="43" t="str">
        <f t="shared" si="3763"/>
        <v/>
      </c>
      <c r="FG295" s="43" t="str">
        <f t="shared" si="3764"/>
        <v/>
      </c>
      <c r="FH295" s="43" t="str">
        <f t="shared" si="3765"/>
        <v/>
      </c>
      <c r="FI295" s="43" t="str">
        <f t="shared" si="3766"/>
        <v/>
      </c>
      <c r="FJ295" s="43" t="str">
        <f t="shared" si="3767"/>
        <v/>
      </c>
      <c r="FK295" s="43" t="str">
        <f t="shared" si="3768"/>
        <v/>
      </c>
      <c r="FL295" s="43" t="str">
        <f t="shared" si="3769"/>
        <v/>
      </c>
      <c r="FM295" s="43" t="str">
        <f t="shared" si="3770"/>
        <v/>
      </c>
      <c r="FN295" s="43" t="str">
        <f t="shared" si="3771"/>
        <v/>
      </c>
      <c r="FO295" s="43" t="str">
        <f t="shared" si="3772"/>
        <v/>
      </c>
      <c r="FP295" s="43" t="str">
        <f t="shared" si="3773"/>
        <v/>
      </c>
      <c r="FQ295" s="43" t="str">
        <f t="shared" si="3774"/>
        <v/>
      </c>
      <c r="FR295" s="43" t="str">
        <f t="shared" si="3775"/>
        <v/>
      </c>
      <c r="FS295" s="43" t="str">
        <f t="shared" si="3776"/>
        <v/>
      </c>
    </row>
    <row r="296" spans="92:175">
      <c r="CN296" s="12" t="str">
        <f t="shared" si="3701"/>
        <v>InitUnitState('',,,,,,,,,,)</v>
      </c>
      <c r="CO296" s="12" t="str">
        <f t="shared" si="3702"/>
        <v>InitUnitNormal('',,,,,,,,,,)</v>
      </c>
      <c r="CP296" s="12" t="str">
        <f t="shared" si="3703"/>
        <v>InitUnitMagic('',,,,,,,,,,)</v>
      </c>
      <c r="CQ296" s="12" t="str">
        <f t="shared" si="3704"/>
        <v>InitUnitAdd('',,,,,,,,,,)</v>
      </c>
      <c r="CR296" s="12" t="str">
        <f t="shared" si="3705"/>
        <v>InitEquipData('',,"",,,,,'','','','','','',"")</v>
      </c>
      <c r="CU296" s="5" t="str">
        <f t="shared" si="3706"/>
        <v>|n</v>
      </c>
      <c r="CW296" s="6"/>
      <c r="CX296" s="6"/>
      <c r="CY296" s="6"/>
      <c r="CZ296" s="6"/>
      <c r="DA296" s="6"/>
      <c r="DB296" s="43" t="str">
        <f t="shared" si="3707"/>
        <v/>
      </c>
      <c r="DC296" s="43" t="str">
        <f t="shared" si="3708"/>
        <v/>
      </c>
      <c r="DD296" s="43" t="str">
        <f t="shared" si="3709"/>
        <v/>
      </c>
      <c r="DE296" s="43" t="str">
        <f t="shared" si="3710"/>
        <v/>
      </c>
      <c r="DF296" s="43" t="str">
        <f t="shared" si="3711"/>
        <v/>
      </c>
      <c r="DG296" s="43" t="str">
        <f t="shared" si="3712"/>
        <v/>
      </c>
      <c r="DH296" s="43" t="str">
        <f t="shared" si="3713"/>
        <v/>
      </c>
      <c r="DI296" s="43" t="str">
        <f t="shared" si="3714"/>
        <v/>
      </c>
      <c r="DJ296" s="43" t="str">
        <f t="shared" si="3715"/>
        <v/>
      </c>
      <c r="DK296" s="43" t="str">
        <f t="shared" si="3716"/>
        <v/>
      </c>
      <c r="DL296" s="43" t="str">
        <f t="shared" si="3717"/>
        <v/>
      </c>
      <c r="DM296" s="43" t="str">
        <f t="shared" si="3718"/>
        <v/>
      </c>
      <c r="DN296" s="43" t="str">
        <f t="shared" si="3719"/>
        <v/>
      </c>
      <c r="DO296" s="43" t="str">
        <f t="shared" si="3720"/>
        <v/>
      </c>
      <c r="DP296" s="43" t="str">
        <f t="shared" si="3721"/>
        <v/>
      </c>
      <c r="DQ296" s="43" t="str">
        <f t="shared" si="3722"/>
        <v/>
      </c>
      <c r="DR296" s="43" t="str">
        <f t="shared" si="3723"/>
        <v/>
      </c>
      <c r="DS296" s="43" t="str">
        <f t="shared" si="3724"/>
        <v/>
      </c>
      <c r="DT296" s="43" t="str">
        <f t="shared" si="3725"/>
        <v/>
      </c>
      <c r="DU296" s="43" t="str">
        <f t="shared" si="3726"/>
        <v/>
      </c>
      <c r="DV296" s="43" t="str">
        <f t="shared" si="3727"/>
        <v/>
      </c>
      <c r="DW296" s="43" t="str">
        <f t="shared" si="3728"/>
        <v/>
      </c>
      <c r="DX296" s="43" t="str">
        <f t="shared" si="3729"/>
        <v/>
      </c>
      <c r="DY296" s="43" t="str">
        <f t="shared" si="3730"/>
        <v/>
      </c>
      <c r="DZ296" s="43" t="str">
        <f t="shared" si="3731"/>
        <v/>
      </c>
      <c r="EA296" s="43" t="str">
        <f t="shared" si="3732"/>
        <v/>
      </c>
      <c r="EB296" s="43" t="str">
        <f t="shared" si="3733"/>
        <v/>
      </c>
      <c r="EC296" s="43" t="str">
        <f t="shared" si="3734"/>
        <v/>
      </c>
      <c r="ED296" s="43" t="str">
        <f t="shared" si="3735"/>
        <v/>
      </c>
      <c r="EE296" s="43" t="str">
        <f t="shared" si="3736"/>
        <v/>
      </c>
      <c r="EF296" s="43" t="str">
        <f t="shared" si="3737"/>
        <v/>
      </c>
      <c r="EG296" s="43" t="str">
        <f t="shared" si="3738"/>
        <v/>
      </c>
      <c r="EH296" s="43" t="str">
        <f t="shared" si="3739"/>
        <v/>
      </c>
      <c r="EI296" s="43" t="str">
        <f t="shared" si="3740"/>
        <v/>
      </c>
      <c r="EJ296" s="43" t="str">
        <f t="shared" si="3741"/>
        <v/>
      </c>
      <c r="EK296" s="43" t="str">
        <f t="shared" si="3742"/>
        <v/>
      </c>
      <c r="EL296" s="43" t="str">
        <f t="shared" si="3743"/>
        <v/>
      </c>
      <c r="EM296" s="43" t="str">
        <f t="shared" si="3744"/>
        <v/>
      </c>
      <c r="EN296" s="43" t="str">
        <f t="shared" si="3745"/>
        <v/>
      </c>
      <c r="EO296" s="43" t="str">
        <f t="shared" si="3746"/>
        <v/>
      </c>
      <c r="EP296" s="43" t="str">
        <f t="shared" si="3747"/>
        <v/>
      </c>
      <c r="EQ296" s="43" t="str">
        <f t="shared" si="3748"/>
        <v/>
      </c>
      <c r="ER296" s="43" t="str">
        <f t="shared" si="3749"/>
        <v/>
      </c>
      <c r="ES296" s="43" t="str">
        <f t="shared" si="3750"/>
        <v/>
      </c>
      <c r="ET296" s="43" t="str">
        <f t="shared" si="3751"/>
        <v/>
      </c>
      <c r="EU296" s="43" t="str">
        <f t="shared" si="3752"/>
        <v/>
      </c>
      <c r="EV296" s="43" t="str">
        <f t="shared" si="3753"/>
        <v/>
      </c>
      <c r="EW296" s="43" t="str">
        <f t="shared" si="3754"/>
        <v/>
      </c>
      <c r="EX296" s="43" t="str">
        <f t="shared" si="3755"/>
        <v/>
      </c>
      <c r="EY296" s="43" t="str">
        <f t="shared" si="3756"/>
        <v/>
      </c>
      <c r="EZ296" s="43" t="str">
        <f t="shared" si="3757"/>
        <v/>
      </c>
      <c r="FA296" s="43" t="str">
        <f t="shared" si="3758"/>
        <v/>
      </c>
      <c r="FB296" s="43" t="str">
        <f t="shared" si="3759"/>
        <v/>
      </c>
      <c r="FC296" s="43" t="str">
        <f t="shared" si="3760"/>
        <v/>
      </c>
      <c r="FD296" s="43" t="str">
        <f t="shared" si="3761"/>
        <v/>
      </c>
      <c r="FE296" s="43" t="str">
        <f t="shared" si="3762"/>
        <v/>
      </c>
      <c r="FF296" s="43" t="str">
        <f t="shared" si="3763"/>
        <v/>
      </c>
      <c r="FG296" s="43" t="str">
        <f t="shared" si="3764"/>
        <v/>
      </c>
      <c r="FH296" s="43" t="str">
        <f t="shared" si="3765"/>
        <v/>
      </c>
      <c r="FI296" s="43" t="str">
        <f t="shared" si="3766"/>
        <v/>
      </c>
      <c r="FJ296" s="43" t="str">
        <f t="shared" si="3767"/>
        <v/>
      </c>
      <c r="FK296" s="43" t="str">
        <f t="shared" si="3768"/>
        <v/>
      </c>
      <c r="FL296" s="43" t="str">
        <f t="shared" si="3769"/>
        <v/>
      </c>
      <c r="FM296" s="43" t="str">
        <f t="shared" si="3770"/>
        <v/>
      </c>
      <c r="FN296" s="43" t="str">
        <f t="shared" si="3771"/>
        <v/>
      </c>
      <c r="FO296" s="43" t="str">
        <f t="shared" si="3772"/>
        <v/>
      </c>
      <c r="FP296" s="43" t="str">
        <f t="shared" si="3773"/>
        <v/>
      </c>
      <c r="FQ296" s="43" t="str">
        <f t="shared" si="3774"/>
        <v/>
      </c>
      <c r="FR296" s="43" t="str">
        <f t="shared" si="3775"/>
        <v/>
      </c>
      <c r="FS296" s="43" t="str">
        <f t="shared" si="3776"/>
        <v/>
      </c>
    </row>
    <row r="297" spans="92:175">
      <c r="CN297" s="12" t="str">
        <f t="shared" si="3701"/>
        <v>InitUnitState('',,,,,,,,,,)</v>
      </c>
      <c r="CO297" s="12" t="str">
        <f t="shared" si="3702"/>
        <v>InitUnitNormal('',,,,,,,,,,)</v>
      </c>
      <c r="CP297" s="12" t="str">
        <f t="shared" si="3703"/>
        <v>InitUnitMagic('',,,,,,,,,,)</v>
      </c>
      <c r="CQ297" s="12" t="str">
        <f t="shared" si="3704"/>
        <v>InitUnitAdd('',,,,,,,,,,)</v>
      </c>
      <c r="CR297" s="12" t="str">
        <f t="shared" si="3705"/>
        <v>InitEquipData('',,"",,,,,'','','','','','',"")</v>
      </c>
      <c r="CU297" s="5" t="str">
        <f t="shared" si="3706"/>
        <v>|n</v>
      </c>
      <c r="CW297" s="6"/>
      <c r="CX297" s="6"/>
      <c r="CY297" s="6"/>
      <c r="CZ297" s="6"/>
      <c r="DA297" s="6"/>
      <c r="DB297" s="43" t="str">
        <f t="shared" si="3707"/>
        <v/>
      </c>
      <c r="DC297" s="43" t="str">
        <f t="shared" si="3708"/>
        <v/>
      </c>
      <c r="DD297" s="43" t="str">
        <f t="shared" si="3709"/>
        <v/>
      </c>
      <c r="DE297" s="43" t="str">
        <f t="shared" si="3710"/>
        <v/>
      </c>
      <c r="DF297" s="43" t="str">
        <f t="shared" si="3711"/>
        <v/>
      </c>
      <c r="DG297" s="43" t="str">
        <f t="shared" si="3712"/>
        <v/>
      </c>
      <c r="DH297" s="43" t="str">
        <f t="shared" si="3713"/>
        <v/>
      </c>
      <c r="DI297" s="43" t="str">
        <f t="shared" si="3714"/>
        <v/>
      </c>
      <c r="DJ297" s="43" t="str">
        <f t="shared" si="3715"/>
        <v/>
      </c>
      <c r="DK297" s="43" t="str">
        <f t="shared" si="3716"/>
        <v/>
      </c>
      <c r="DL297" s="43" t="str">
        <f t="shared" si="3717"/>
        <v/>
      </c>
      <c r="DM297" s="43" t="str">
        <f t="shared" si="3718"/>
        <v/>
      </c>
      <c r="DN297" s="43" t="str">
        <f t="shared" si="3719"/>
        <v/>
      </c>
      <c r="DO297" s="43" t="str">
        <f t="shared" si="3720"/>
        <v/>
      </c>
      <c r="DP297" s="43" t="str">
        <f t="shared" si="3721"/>
        <v/>
      </c>
      <c r="DQ297" s="43" t="str">
        <f t="shared" si="3722"/>
        <v/>
      </c>
      <c r="DR297" s="43" t="str">
        <f t="shared" si="3723"/>
        <v/>
      </c>
      <c r="DS297" s="43" t="str">
        <f t="shared" si="3724"/>
        <v/>
      </c>
      <c r="DT297" s="43" t="str">
        <f t="shared" si="3725"/>
        <v/>
      </c>
      <c r="DU297" s="43" t="str">
        <f t="shared" si="3726"/>
        <v/>
      </c>
      <c r="DV297" s="43" t="str">
        <f t="shared" si="3727"/>
        <v/>
      </c>
      <c r="DW297" s="43" t="str">
        <f t="shared" si="3728"/>
        <v/>
      </c>
      <c r="DX297" s="43" t="str">
        <f t="shared" si="3729"/>
        <v/>
      </c>
      <c r="DY297" s="43" t="str">
        <f t="shared" si="3730"/>
        <v/>
      </c>
      <c r="DZ297" s="43" t="str">
        <f t="shared" si="3731"/>
        <v/>
      </c>
      <c r="EA297" s="43" t="str">
        <f t="shared" si="3732"/>
        <v/>
      </c>
      <c r="EB297" s="43" t="str">
        <f t="shared" si="3733"/>
        <v/>
      </c>
      <c r="EC297" s="43" t="str">
        <f t="shared" si="3734"/>
        <v/>
      </c>
      <c r="ED297" s="43" t="str">
        <f t="shared" si="3735"/>
        <v/>
      </c>
      <c r="EE297" s="43" t="str">
        <f t="shared" si="3736"/>
        <v/>
      </c>
      <c r="EF297" s="43" t="str">
        <f t="shared" si="3737"/>
        <v/>
      </c>
      <c r="EG297" s="43" t="str">
        <f t="shared" si="3738"/>
        <v/>
      </c>
      <c r="EH297" s="43" t="str">
        <f t="shared" si="3739"/>
        <v/>
      </c>
      <c r="EI297" s="43" t="str">
        <f t="shared" si="3740"/>
        <v/>
      </c>
      <c r="EJ297" s="43" t="str">
        <f t="shared" si="3741"/>
        <v/>
      </c>
      <c r="EK297" s="43" t="str">
        <f t="shared" si="3742"/>
        <v/>
      </c>
      <c r="EL297" s="43" t="str">
        <f t="shared" si="3743"/>
        <v/>
      </c>
      <c r="EM297" s="43" t="str">
        <f t="shared" si="3744"/>
        <v/>
      </c>
      <c r="EN297" s="43" t="str">
        <f t="shared" si="3745"/>
        <v/>
      </c>
      <c r="EO297" s="43" t="str">
        <f t="shared" si="3746"/>
        <v/>
      </c>
      <c r="EP297" s="43" t="str">
        <f t="shared" si="3747"/>
        <v/>
      </c>
      <c r="EQ297" s="43" t="str">
        <f t="shared" si="3748"/>
        <v/>
      </c>
      <c r="ER297" s="43" t="str">
        <f t="shared" si="3749"/>
        <v/>
      </c>
      <c r="ES297" s="43" t="str">
        <f t="shared" si="3750"/>
        <v/>
      </c>
      <c r="ET297" s="43" t="str">
        <f t="shared" si="3751"/>
        <v/>
      </c>
      <c r="EU297" s="43" t="str">
        <f t="shared" si="3752"/>
        <v/>
      </c>
      <c r="EV297" s="43" t="str">
        <f t="shared" si="3753"/>
        <v/>
      </c>
      <c r="EW297" s="43" t="str">
        <f t="shared" si="3754"/>
        <v/>
      </c>
      <c r="EX297" s="43" t="str">
        <f t="shared" si="3755"/>
        <v/>
      </c>
      <c r="EY297" s="43" t="str">
        <f t="shared" si="3756"/>
        <v/>
      </c>
      <c r="EZ297" s="43" t="str">
        <f t="shared" si="3757"/>
        <v/>
      </c>
      <c r="FA297" s="43" t="str">
        <f t="shared" si="3758"/>
        <v/>
      </c>
      <c r="FB297" s="43" t="str">
        <f t="shared" si="3759"/>
        <v/>
      </c>
      <c r="FC297" s="43" t="str">
        <f t="shared" si="3760"/>
        <v/>
      </c>
      <c r="FD297" s="43" t="str">
        <f t="shared" si="3761"/>
        <v/>
      </c>
      <c r="FE297" s="43" t="str">
        <f t="shared" si="3762"/>
        <v/>
      </c>
      <c r="FF297" s="43" t="str">
        <f t="shared" si="3763"/>
        <v/>
      </c>
      <c r="FG297" s="43" t="str">
        <f t="shared" si="3764"/>
        <v/>
      </c>
      <c r="FH297" s="43" t="str">
        <f t="shared" si="3765"/>
        <v/>
      </c>
      <c r="FI297" s="43" t="str">
        <f t="shared" si="3766"/>
        <v/>
      </c>
      <c r="FJ297" s="43" t="str">
        <f t="shared" si="3767"/>
        <v/>
      </c>
      <c r="FK297" s="43" t="str">
        <f t="shared" si="3768"/>
        <v/>
      </c>
      <c r="FL297" s="43" t="str">
        <f t="shared" si="3769"/>
        <v/>
      </c>
      <c r="FM297" s="43" t="str">
        <f t="shared" si="3770"/>
        <v/>
      </c>
      <c r="FN297" s="43" t="str">
        <f t="shared" si="3771"/>
        <v/>
      </c>
      <c r="FO297" s="43" t="str">
        <f t="shared" si="3772"/>
        <v/>
      </c>
      <c r="FP297" s="43" t="str">
        <f t="shared" si="3773"/>
        <v/>
      </c>
      <c r="FQ297" s="43" t="str">
        <f t="shared" si="3774"/>
        <v/>
      </c>
      <c r="FR297" s="43" t="str">
        <f t="shared" si="3775"/>
        <v/>
      </c>
      <c r="FS297" s="43" t="str">
        <f t="shared" si="3776"/>
        <v/>
      </c>
    </row>
    <row r="298" spans="92:175">
      <c r="CN298" s="12" t="str">
        <f t="shared" si="3701"/>
        <v>InitUnitState('',,,,,,,,,,)</v>
      </c>
      <c r="CO298" s="12" t="str">
        <f t="shared" si="3702"/>
        <v>InitUnitNormal('',,,,,,,,,,)</v>
      </c>
      <c r="CP298" s="12" t="str">
        <f t="shared" si="3703"/>
        <v>InitUnitMagic('',,,,,,,,,,)</v>
      </c>
      <c r="CQ298" s="12" t="str">
        <f t="shared" si="3704"/>
        <v>InitUnitAdd('',,,,,,,,,,)</v>
      </c>
      <c r="CR298" s="12" t="str">
        <f t="shared" si="3705"/>
        <v>InitEquipData('',,"",,,,,'','','','','','',"")</v>
      </c>
      <c r="CU298" s="5" t="str">
        <f t="shared" si="3706"/>
        <v>|n</v>
      </c>
      <c r="CW298" s="6"/>
      <c r="CX298" s="6"/>
      <c r="CY298" s="6"/>
      <c r="CZ298" s="6"/>
      <c r="DA298" s="6"/>
      <c r="DB298" s="43" t="str">
        <f t="shared" si="3707"/>
        <v/>
      </c>
      <c r="DC298" s="43" t="str">
        <f t="shared" si="3708"/>
        <v/>
      </c>
      <c r="DD298" s="43" t="str">
        <f t="shared" si="3709"/>
        <v/>
      </c>
      <c r="DE298" s="43" t="str">
        <f t="shared" si="3710"/>
        <v/>
      </c>
      <c r="DF298" s="43" t="str">
        <f t="shared" si="3711"/>
        <v/>
      </c>
      <c r="DG298" s="43" t="str">
        <f t="shared" si="3712"/>
        <v/>
      </c>
      <c r="DH298" s="43" t="str">
        <f t="shared" si="3713"/>
        <v/>
      </c>
      <c r="DI298" s="43" t="str">
        <f t="shared" si="3714"/>
        <v/>
      </c>
      <c r="DJ298" s="43" t="str">
        <f t="shared" si="3715"/>
        <v/>
      </c>
      <c r="DK298" s="43" t="str">
        <f t="shared" si="3716"/>
        <v/>
      </c>
      <c r="DL298" s="43" t="str">
        <f t="shared" si="3717"/>
        <v/>
      </c>
      <c r="DM298" s="43" t="str">
        <f t="shared" si="3718"/>
        <v/>
      </c>
      <c r="DN298" s="43" t="str">
        <f t="shared" si="3719"/>
        <v/>
      </c>
      <c r="DO298" s="43" t="str">
        <f t="shared" si="3720"/>
        <v/>
      </c>
      <c r="DP298" s="43" t="str">
        <f t="shared" si="3721"/>
        <v/>
      </c>
      <c r="DQ298" s="43" t="str">
        <f t="shared" si="3722"/>
        <v/>
      </c>
      <c r="DR298" s="43" t="str">
        <f t="shared" si="3723"/>
        <v/>
      </c>
      <c r="DS298" s="43" t="str">
        <f t="shared" si="3724"/>
        <v/>
      </c>
      <c r="DT298" s="43" t="str">
        <f t="shared" si="3725"/>
        <v/>
      </c>
      <c r="DU298" s="43" t="str">
        <f t="shared" si="3726"/>
        <v/>
      </c>
      <c r="DV298" s="43" t="str">
        <f t="shared" si="3727"/>
        <v/>
      </c>
      <c r="DW298" s="43" t="str">
        <f t="shared" si="3728"/>
        <v/>
      </c>
      <c r="DX298" s="43" t="str">
        <f t="shared" si="3729"/>
        <v/>
      </c>
      <c r="DY298" s="43" t="str">
        <f t="shared" si="3730"/>
        <v/>
      </c>
      <c r="DZ298" s="43" t="str">
        <f t="shared" si="3731"/>
        <v/>
      </c>
      <c r="EA298" s="43" t="str">
        <f t="shared" si="3732"/>
        <v/>
      </c>
      <c r="EB298" s="43" t="str">
        <f t="shared" si="3733"/>
        <v/>
      </c>
      <c r="EC298" s="43" t="str">
        <f t="shared" si="3734"/>
        <v/>
      </c>
      <c r="ED298" s="43" t="str">
        <f t="shared" si="3735"/>
        <v/>
      </c>
      <c r="EE298" s="43" t="str">
        <f t="shared" si="3736"/>
        <v/>
      </c>
      <c r="EF298" s="43" t="str">
        <f t="shared" si="3737"/>
        <v/>
      </c>
      <c r="EG298" s="43" t="str">
        <f t="shared" si="3738"/>
        <v/>
      </c>
      <c r="EH298" s="43" t="str">
        <f t="shared" si="3739"/>
        <v/>
      </c>
      <c r="EI298" s="43" t="str">
        <f t="shared" si="3740"/>
        <v/>
      </c>
      <c r="EJ298" s="43" t="str">
        <f t="shared" si="3741"/>
        <v/>
      </c>
      <c r="EK298" s="43" t="str">
        <f t="shared" si="3742"/>
        <v/>
      </c>
      <c r="EL298" s="43" t="str">
        <f t="shared" si="3743"/>
        <v/>
      </c>
      <c r="EM298" s="43" t="str">
        <f t="shared" si="3744"/>
        <v/>
      </c>
      <c r="EN298" s="43" t="str">
        <f t="shared" si="3745"/>
        <v/>
      </c>
      <c r="EO298" s="43" t="str">
        <f t="shared" si="3746"/>
        <v/>
      </c>
      <c r="EP298" s="43" t="str">
        <f t="shared" si="3747"/>
        <v/>
      </c>
      <c r="EQ298" s="43" t="str">
        <f t="shared" si="3748"/>
        <v/>
      </c>
      <c r="ER298" s="43" t="str">
        <f t="shared" si="3749"/>
        <v/>
      </c>
      <c r="ES298" s="43" t="str">
        <f t="shared" si="3750"/>
        <v/>
      </c>
      <c r="ET298" s="43" t="str">
        <f t="shared" si="3751"/>
        <v/>
      </c>
      <c r="EU298" s="43" t="str">
        <f t="shared" si="3752"/>
        <v/>
      </c>
      <c r="EV298" s="43" t="str">
        <f t="shared" si="3753"/>
        <v/>
      </c>
      <c r="EW298" s="43" t="str">
        <f t="shared" si="3754"/>
        <v/>
      </c>
      <c r="EX298" s="43" t="str">
        <f t="shared" si="3755"/>
        <v/>
      </c>
      <c r="EY298" s="43" t="str">
        <f t="shared" si="3756"/>
        <v/>
      </c>
      <c r="EZ298" s="43" t="str">
        <f t="shared" si="3757"/>
        <v/>
      </c>
      <c r="FA298" s="43" t="str">
        <f t="shared" si="3758"/>
        <v/>
      </c>
      <c r="FB298" s="43" t="str">
        <f t="shared" si="3759"/>
        <v/>
      </c>
      <c r="FC298" s="43" t="str">
        <f t="shared" si="3760"/>
        <v/>
      </c>
      <c r="FD298" s="43" t="str">
        <f t="shared" si="3761"/>
        <v/>
      </c>
      <c r="FE298" s="43" t="str">
        <f t="shared" si="3762"/>
        <v/>
      </c>
      <c r="FF298" s="43" t="str">
        <f t="shared" si="3763"/>
        <v/>
      </c>
      <c r="FG298" s="43" t="str">
        <f t="shared" si="3764"/>
        <v/>
      </c>
      <c r="FH298" s="43" t="str">
        <f t="shared" si="3765"/>
        <v/>
      </c>
      <c r="FI298" s="43" t="str">
        <f t="shared" si="3766"/>
        <v/>
      </c>
      <c r="FJ298" s="43" t="str">
        <f t="shared" si="3767"/>
        <v/>
      </c>
      <c r="FK298" s="43" t="str">
        <f t="shared" si="3768"/>
        <v/>
      </c>
      <c r="FL298" s="43" t="str">
        <f t="shared" si="3769"/>
        <v/>
      </c>
      <c r="FM298" s="43" t="str">
        <f t="shared" si="3770"/>
        <v/>
      </c>
      <c r="FN298" s="43" t="str">
        <f t="shared" si="3771"/>
        <v/>
      </c>
      <c r="FO298" s="43" t="str">
        <f t="shared" si="3772"/>
        <v/>
      </c>
      <c r="FP298" s="43" t="str">
        <f t="shared" si="3773"/>
        <v/>
      </c>
      <c r="FQ298" s="43" t="str">
        <f t="shared" si="3774"/>
        <v/>
      </c>
      <c r="FR298" s="43" t="str">
        <f t="shared" si="3775"/>
        <v/>
      </c>
      <c r="FS298" s="43" t="str">
        <f t="shared" si="3776"/>
        <v/>
      </c>
    </row>
    <row r="299" spans="92:175">
      <c r="CN299" s="12" t="str">
        <f t="shared" si="3701"/>
        <v>InitUnitState('',,,,,,,,,,)</v>
      </c>
      <c r="CO299" s="12" t="str">
        <f t="shared" si="3702"/>
        <v>InitUnitNormal('',,,,,,,,,,)</v>
      </c>
      <c r="CP299" s="12" t="str">
        <f t="shared" si="3703"/>
        <v>InitUnitMagic('',,,,,,,,,,)</v>
      </c>
      <c r="CQ299" s="12" t="str">
        <f t="shared" si="3704"/>
        <v>InitUnitAdd('',,,,,,,,,,)</v>
      </c>
      <c r="CR299" s="12" t="str">
        <f t="shared" si="3705"/>
        <v>InitEquipData('',,"",,,,,'','','','','','',"")</v>
      </c>
      <c r="CU299" s="5" t="str">
        <f t="shared" si="3706"/>
        <v>|n</v>
      </c>
      <c r="CW299" s="6"/>
      <c r="CX299" s="6"/>
      <c r="CY299" s="6"/>
      <c r="CZ299" s="6"/>
      <c r="DA299" s="6"/>
      <c r="DB299" s="43" t="str">
        <f t="shared" si="3707"/>
        <v/>
      </c>
      <c r="DC299" s="43" t="str">
        <f t="shared" si="3708"/>
        <v/>
      </c>
      <c r="DD299" s="43" t="str">
        <f t="shared" si="3709"/>
        <v/>
      </c>
      <c r="DE299" s="43" t="str">
        <f t="shared" si="3710"/>
        <v/>
      </c>
      <c r="DF299" s="43" t="str">
        <f t="shared" si="3711"/>
        <v/>
      </c>
      <c r="DG299" s="43" t="str">
        <f t="shared" si="3712"/>
        <v/>
      </c>
      <c r="DH299" s="43" t="str">
        <f t="shared" si="3713"/>
        <v/>
      </c>
      <c r="DI299" s="43" t="str">
        <f t="shared" si="3714"/>
        <v/>
      </c>
      <c r="DJ299" s="43" t="str">
        <f t="shared" si="3715"/>
        <v/>
      </c>
      <c r="DK299" s="43" t="str">
        <f t="shared" si="3716"/>
        <v/>
      </c>
      <c r="DL299" s="43" t="str">
        <f t="shared" si="3717"/>
        <v/>
      </c>
      <c r="DM299" s="43" t="str">
        <f t="shared" si="3718"/>
        <v/>
      </c>
      <c r="DN299" s="43" t="str">
        <f t="shared" si="3719"/>
        <v/>
      </c>
      <c r="DO299" s="43" t="str">
        <f t="shared" si="3720"/>
        <v/>
      </c>
      <c r="DP299" s="43" t="str">
        <f t="shared" si="3721"/>
        <v/>
      </c>
      <c r="DQ299" s="43" t="str">
        <f t="shared" si="3722"/>
        <v/>
      </c>
      <c r="DR299" s="43" t="str">
        <f t="shared" si="3723"/>
        <v/>
      </c>
      <c r="DS299" s="43" t="str">
        <f t="shared" si="3724"/>
        <v/>
      </c>
      <c r="DT299" s="43" t="str">
        <f t="shared" si="3725"/>
        <v/>
      </c>
      <c r="DU299" s="43" t="str">
        <f t="shared" si="3726"/>
        <v/>
      </c>
      <c r="DV299" s="43" t="str">
        <f t="shared" si="3727"/>
        <v/>
      </c>
      <c r="DW299" s="43" t="str">
        <f t="shared" si="3728"/>
        <v/>
      </c>
      <c r="DX299" s="43" t="str">
        <f t="shared" si="3729"/>
        <v/>
      </c>
      <c r="DY299" s="43" t="str">
        <f t="shared" si="3730"/>
        <v/>
      </c>
      <c r="DZ299" s="43" t="str">
        <f t="shared" si="3731"/>
        <v/>
      </c>
      <c r="EA299" s="43" t="str">
        <f t="shared" si="3732"/>
        <v/>
      </c>
      <c r="EB299" s="43" t="str">
        <f t="shared" si="3733"/>
        <v/>
      </c>
      <c r="EC299" s="43" t="str">
        <f t="shared" si="3734"/>
        <v/>
      </c>
      <c r="ED299" s="43" t="str">
        <f t="shared" si="3735"/>
        <v/>
      </c>
      <c r="EE299" s="43" t="str">
        <f t="shared" si="3736"/>
        <v/>
      </c>
      <c r="EF299" s="43" t="str">
        <f t="shared" si="3737"/>
        <v/>
      </c>
      <c r="EG299" s="43" t="str">
        <f t="shared" si="3738"/>
        <v/>
      </c>
      <c r="EH299" s="43" t="str">
        <f t="shared" si="3739"/>
        <v/>
      </c>
      <c r="EI299" s="43" t="str">
        <f t="shared" si="3740"/>
        <v/>
      </c>
      <c r="EJ299" s="43" t="str">
        <f t="shared" si="3741"/>
        <v/>
      </c>
      <c r="EK299" s="43" t="str">
        <f t="shared" si="3742"/>
        <v/>
      </c>
      <c r="EL299" s="43" t="str">
        <f t="shared" si="3743"/>
        <v/>
      </c>
      <c r="EM299" s="43" t="str">
        <f t="shared" si="3744"/>
        <v/>
      </c>
      <c r="EN299" s="43" t="str">
        <f t="shared" si="3745"/>
        <v/>
      </c>
      <c r="EO299" s="43" t="str">
        <f t="shared" si="3746"/>
        <v/>
      </c>
      <c r="EP299" s="43" t="str">
        <f t="shared" si="3747"/>
        <v/>
      </c>
      <c r="EQ299" s="43" t="str">
        <f t="shared" si="3748"/>
        <v/>
      </c>
      <c r="ER299" s="43" t="str">
        <f t="shared" si="3749"/>
        <v/>
      </c>
      <c r="ES299" s="43" t="str">
        <f t="shared" si="3750"/>
        <v/>
      </c>
      <c r="ET299" s="43" t="str">
        <f t="shared" si="3751"/>
        <v/>
      </c>
      <c r="EU299" s="43" t="str">
        <f t="shared" si="3752"/>
        <v/>
      </c>
      <c r="EV299" s="43" t="str">
        <f t="shared" si="3753"/>
        <v/>
      </c>
      <c r="EW299" s="43" t="str">
        <f t="shared" si="3754"/>
        <v/>
      </c>
      <c r="EX299" s="43" t="str">
        <f t="shared" si="3755"/>
        <v/>
      </c>
      <c r="EY299" s="43" t="str">
        <f t="shared" si="3756"/>
        <v/>
      </c>
      <c r="EZ299" s="43" t="str">
        <f t="shared" si="3757"/>
        <v/>
      </c>
      <c r="FA299" s="43" t="str">
        <f t="shared" si="3758"/>
        <v/>
      </c>
      <c r="FB299" s="43" t="str">
        <f t="shared" si="3759"/>
        <v/>
      </c>
      <c r="FC299" s="43" t="str">
        <f t="shared" si="3760"/>
        <v/>
      </c>
      <c r="FD299" s="43" t="str">
        <f t="shared" si="3761"/>
        <v/>
      </c>
      <c r="FE299" s="43" t="str">
        <f t="shared" si="3762"/>
        <v/>
      </c>
      <c r="FF299" s="43" t="str">
        <f t="shared" si="3763"/>
        <v/>
      </c>
      <c r="FG299" s="43" t="str">
        <f t="shared" si="3764"/>
        <v/>
      </c>
      <c r="FH299" s="43" t="str">
        <f t="shared" si="3765"/>
        <v/>
      </c>
      <c r="FI299" s="43" t="str">
        <f t="shared" si="3766"/>
        <v/>
      </c>
      <c r="FJ299" s="43" t="str">
        <f t="shared" si="3767"/>
        <v/>
      </c>
      <c r="FK299" s="43" t="str">
        <f t="shared" si="3768"/>
        <v/>
      </c>
      <c r="FL299" s="43" t="str">
        <f t="shared" si="3769"/>
        <v/>
      </c>
      <c r="FM299" s="43" t="str">
        <f t="shared" si="3770"/>
        <v/>
      </c>
      <c r="FN299" s="43" t="str">
        <f t="shared" si="3771"/>
        <v/>
      </c>
      <c r="FO299" s="43" t="str">
        <f t="shared" si="3772"/>
        <v/>
      </c>
      <c r="FP299" s="43" t="str">
        <f t="shared" si="3773"/>
        <v/>
      </c>
      <c r="FQ299" s="43" t="str">
        <f t="shared" si="3774"/>
        <v/>
      </c>
      <c r="FR299" s="43" t="str">
        <f t="shared" si="3775"/>
        <v/>
      </c>
      <c r="FS299" s="43" t="str">
        <f t="shared" si="3776"/>
        <v/>
      </c>
    </row>
    <row r="300" spans="92:175">
      <c r="CN300" s="12" t="str">
        <f t="shared" si="3701"/>
        <v>InitUnitState('',,,,,,,,,,)</v>
      </c>
      <c r="CO300" s="12" t="str">
        <f t="shared" si="3702"/>
        <v>InitUnitNormal('',,,,,,,,,,)</v>
      </c>
      <c r="CP300" s="12" t="str">
        <f t="shared" si="3703"/>
        <v>InitUnitMagic('',,,,,,,,,,)</v>
      </c>
      <c r="CQ300" s="12" t="str">
        <f t="shared" si="3704"/>
        <v>InitUnitAdd('',,,,,,,,,,)</v>
      </c>
      <c r="CR300" s="12" t="str">
        <f t="shared" si="3705"/>
        <v>InitEquipData('',,"",,,,,'','','','','','',"")</v>
      </c>
      <c r="CU300" s="5" t="str">
        <f t="shared" ref="CU300:CU338" si="3777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6"/>
      <c r="CX300" s="6"/>
      <c r="CY300" s="6"/>
      <c r="CZ300" s="6"/>
      <c r="DA300" s="6"/>
      <c r="DB300" s="43" t="str">
        <f t="shared" si="3707"/>
        <v/>
      </c>
      <c r="DC300" s="43" t="str">
        <f t="shared" si="3708"/>
        <v/>
      </c>
      <c r="DD300" s="43" t="str">
        <f t="shared" si="3709"/>
        <v/>
      </c>
      <c r="DE300" s="43" t="str">
        <f t="shared" si="3710"/>
        <v/>
      </c>
      <c r="DF300" s="43" t="str">
        <f t="shared" si="3711"/>
        <v/>
      </c>
      <c r="DG300" s="43" t="str">
        <f t="shared" si="3712"/>
        <v/>
      </c>
      <c r="DH300" s="43" t="str">
        <f t="shared" si="3713"/>
        <v/>
      </c>
      <c r="DI300" s="43" t="str">
        <f t="shared" si="3714"/>
        <v/>
      </c>
      <c r="DJ300" s="43" t="str">
        <f t="shared" si="3715"/>
        <v/>
      </c>
      <c r="DK300" s="43" t="str">
        <f t="shared" si="3716"/>
        <v/>
      </c>
      <c r="DL300" s="43" t="str">
        <f t="shared" si="3717"/>
        <v/>
      </c>
      <c r="DM300" s="43" t="str">
        <f t="shared" si="3718"/>
        <v/>
      </c>
      <c r="DN300" s="43" t="str">
        <f t="shared" si="3719"/>
        <v/>
      </c>
      <c r="DO300" s="43" t="str">
        <f t="shared" si="3720"/>
        <v/>
      </c>
      <c r="DP300" s="43" t="str">
        <f t="shared" si="3721"/>
        <v/>
      </c>
      <c r="DQ300" s="43" t="str">
        <f t="shared" si="3722"/>
        <v/>
      </c>
      <c r="DR300" s="43" t="str">
        <f t="shared" si="3723"/>
        <v/>
      </c>
      <c r="DS300" s="43" t="str">
        <f t="shared" si="3724"/>
        <v/>
      </c>
      <c r="DT300" s="43" t="str">
        <f t="shared" si="3725"/>
        <v/>
      </c>
      <c r="DU300" s="43" t="str">
        <f t="shared" si="3726"/>
        <v/>
      </c>
      <c r="DV300" s="43" t="str">
        <f t="shared" si="3727"/>
        <v/>
      </c>
      <c r="DW300" s="43" t="str">
        <f t="shared" si="3728"/>
        <v/>
      </c>
      <c r="DX300" s="43" t="str">
        <f t="shared" si="3729"/>
        <v/>
      </c>
      <c r="DY300" s="43" t="str">
        <f t="shared" si="3730"/>
        <v/>
      </c>
      <c r="DZ300" s="43" t="str">
        <f t="shared" si="3731"/>
        <v/>
      </c>
      <c r="EA300" s="43" t="str">
        <f t="shared" si="3732"/>
        <v/>
      </c>
      <c r="EB300" s="43" t="str">
        <f t="shared" si="3733"/>
        <v/>
      </c>
      <c r="EC300" s="43" t="str">
        <f t="shared" si="3734"/>
        <v/>
      </c>
      <c r="ED300" s="43" t="str">
        <f t="shared" si="3735"/>
        <v/>
      </c>
      <c r="EE300" s="43" t="str">
        <f t="shared" si="3736"/>
        <v/>
      </c>
      <c r="EF300" s="43" t="str">
        <f t="shared" si="3737"/>
        <v/>
      </c>
      <c r="EG300" s="43" t="str">
        <f t="shared" si="3738"/>
        <v/>
      </c>
      <c r="EH300" s="43" t="str">
        <f t="shared" si="3739"/>
        <v/>
      </c>
      <c r="EI300" s="43" t="str">
        <f t="shared" si="3740"/>
        <v/>
      </c>
      <c r="EJ300" s="43" t="str">
        <f t="shared" si="3741"/>
        <v/>
      </c>
      <c r="EK300" s="43" t="str">
        <f t="shared" si="3742"/>
        <v/>
      </c>
      <c r="EL300" s="43" t="str">
        <f t="shared" si="3743"/>
        <v/>
      </c>
      <c r="EM300" s="43" t="str">
        <f t="shared" si="3744"/>
        <v/>
      </c>
      <c r="EN300" s="43" t="str">
        <f t="shared" si="3745"/>
        <v/>
      </c>
      <c r="EO300" s="43" t="str">
        <f t="shared" si="3746"/>
        <v/>
      </c>
      <c r="EP300" s="43" t="str">
        <f t="shared" si="3747"/>
        <v/>
      </c>
      <c r="EQ300" s="43" t="str">
        <f t="shared" si="3748"/>
        <v/>
      </c>
      <c r="ER300" s="43" t="str">
        <f t="shared" si="3749"/>
        <v/>
      </c>
      <c r="ES300" s="43" t="str">
        <f t="shared" si="3750"/>
        <v/>
      </c>
      <c r="ET300" s="43" t="str">
        <f t="shared" si="3751"/>
        <v/>
      </c>
      <c r="EU300" s="43" t="str">
        <f t="shared" si="3752"/>
        <v/>
      </c>
      <c r="EV300" s="43" t="str">
        <f t="shared" si="3753"/>
        <v/>
      </c>
      <c r="EW300" s="43" t="str">
        <f t="shared" si="3754"/>
        <v/>
      </c>
      <c r="EX300" s="43" t="str">
        <f t="shared" si="3755"/>
        <v/>
      </c>
      <c r="EY300" s="43" t="str">
        <f t="shared" si="3756"/>
        <v/>
      </c>
      <c r="EZ300" s="43" t="str">
        <f t="shared" si="3757"/>
        <v/>
      </c>
      <c r="FA300" s="43" t="str">
        <f t="shared" si="3758"/>
        <v/>
      </c>
      <c r="FB300" s="43" t="str">
        <f t="shared" si="3759"/>
        <v/>
      </c>
      <c r="FC300" s="43" t="str">
        <f t="shared" si="3760"/>
        <v/>
      </c>
      <c r="FD300" s="43" t="str">
        <f t="shared" si="3761"/>
        <v/>
      </c>
      <c r="FE300" s="43" t="str">
        <f t="shared" si="3762"/>
        <v/>
      </c>
      <c r="FF300" s="43" t="str">
        <f t="shared" si="3763"/>
        <v/>
      </c>
      <c r="FG300" s="43" t="str">
        <f t="shared" si="3764"/>
        <v/>
      </c>
      <c r="FH300" s="43" t="str">
        <f t="shared" si="3765"/>
        <v/>
      </c>
      <c r="FI300" s="43" t="str">
        <f t="shared" si="3766"/>
        <v/>
      </c>
      <c r="FJ300" s="43" t="str">
        <f t="shared" si="3767"/>
        <v/>
      </c>
      <c r="FK300" s="43" t="str">
        <f t="shared" si="3768"/>
        <v/>
      </c>
      <c r="FL300" s="43" t="str">
        <f t="shared" si="3769"/>
        <v/>
      </c>
      <c r="FM300" s="43" t="str">
        <f t="shared" si="3770"/>
        <v/>
      </c>
      <c r="FN300" s="43" t="str">
        <f t="shared" si="3771"/>
        <v/>
      </c>
      <c r="FO300" s="43" t="str">
        <f t="shared" si="3772"/>
        <v/>
      </c>
      <c r="FP300" s="43" t="str">
        <f t="shared" si="3773"/>
        <v/>
      </c>
      <c r="FQ300" s="43" t="str">
        <f t="shared" si="3774"/>
        <v/>
      </c>
      <c r="FR300" s="43" t="str">
        <f t="shared" si="3775"/>
        <v/>
      </c>
      <c r="FS300" s="43" t="str">
        <f t="shared" si="3776"/>
        <v/>
      </c>
    </row>
    <row r="301" spans="92:175">
      <c r="CN301" s="12" t="str">
        <f t="shared" si="3701"/>
        <v>InitUnitState('',,,,,,,,,,)</v>
      </c>
      <c r="CO301" s="12" t="str">
        <f t="shared" si="3702"/>
        <v>InitUnitNormal('',,,,,,,,,,)</v>
      </c>
      <c r="CP301" s="12" t="str">
        <f t="shared" si="3703"/>
        <v>InitUnitMagic('',,,,,,,,,,)</v>
      </c>
      <c r="CQ301" s="12" t="str">
        <f t="shared" si="3704"/>
        <v>InitUnitAdd('',,,,,,,,,,)</v>
      </c>
      <c r="CR301" s="12" t="str">
        <f t="shared" si="3705"/>
        <v>InitEquipData('',,"",,,,,'','','','','','',"")</v>
      </c>
      <c r="CU301" s="5" t="str">
        <f t="shared" si="3777"/>
        <v>|n</v>
      </c>
      <c r="CW301" s="6"/>
      <c r="CX301" s="6"/>
      <c r="CY301" s="6"/>
      <c r="CZ301" s="6"/>
      <c r="DA301" s="6"/>
      <c r="DB301" s="43" t="str">
        <f t="shared" si="3707"/>
        <v/>
      </c>
      <c r="DC301" s="43" t="str">
        <f t="shared" si="3708"/>
        <v/>
      </c>
      <c r="DD301" s="43" t="str">
        <f t="shared" si="3709"/>
        <v/>
      </c>
      <c r="DE301" s="43" t="str">
        <f t="shared" si="3710"/>
        <v/>
      </c>
      <c r="DF301" s="43" t="str">
        <f t="shared" si="3711"/>
        <v/>
      </c>
      <c r="DG301" s="43" t="str">
        <f t="shared" si="3712"/>
        <v/>
      </c>
      <c r="DH301" s="43" t="str">
        <f t="shared" si="3713"/>
        <v/>
      </c>
      <c r="DI301" s="43" t="str">
        <f t="shared" si="3714"/>
        <v/>
      </c>
      <c r="DJ301" s="43" t="str">
        <f t="shared" si="3715"/>
        <v/>
      </c>
      <c r="DK301" s="43" t="str">
        <f t="shared" si="3716"/>
        <v/>
      </c>
      <c r="DL301" s="43" t="str">
        <f t="shared" si="3717"/>
        <v/>
      </c>
      <c r="DM301" s="43" t="str">
        <f t="shared" si="3718"/>
        <v/>
      </c>
      <c r="DN301" s="43" t="str">
        <f t="shared" si="3719"/>
        <v/>
      </c>
      <c r="DO301" s="43" t="str">
        <f t="shared" si="3720"/>
        <v/>
      </c>
      <c r="DP301" s="43" t="str">
        <f t="shared" si="3721"/>
        <v/>
      </c>
      <c r="DQ301" s="43" t="str">
        <f t="shared" si="3722"/>
        <v/>
      </c>
      <c r="DR301" s="43" t="str">
        <f t="shared" si="3723"/>
        <v/>
      </c>
      <c r="DS301" s="43" t="str">
        <f t="shared" si="3724"/>
        <v/>
      </c>
      <c r="DT301" s="43" t="str">
        <f t="shared" si="3725"/>
        <v/>
      </c>
      <c r="DU301" s="43" t="str">
        <f t="shared" si="3726"/>
        <v/>
      </c>
      <c r="DV301" s="43" t="str">
        <f t="shared" si="3727"/>
        <v/>
      </c>
      <c r="DW301" s="43" t="str">
        <f t="shared" si="3728"/>
        <v/>
      </c>
      <c r="DX301" s="43" t="str">
        <f t="shared" si="3729"/>
        <v/>
      </c>
      <c r="DY301" s="43" t="str">
        <f t="shared" si="3730"/>
        <v/>
      </c>
      <c r="DZ301" s="43" t="str">
        <f t="shared" si="3731"/>
        <v/>
      </c>
      <c r="EA301" s="43" t="str">
        <f t="shared" si="3732"/>
        <v/>
      </c>
      <c r="EB301" s="43" t="str">
        <f t="shared" si="3733"/>
        <v/>
      </c>
      <c r="EC301" s="43" t="str">
        <f t="shared" si="3734"/>
        <v/>
      </c>
      <c r="ED301" s="43" t="str">
        <f t="shared" si="3735"/>
        <v/>
      </c>
      <c r="EE301" s="43" t="str">
        <f t="shared" si="3736"/>
        <v/>
      </c>
      <c r="EF301" s="43" t="str">
        <f t="shared" si="3737"/>
        <v/>
      </c>
      <c r="EG301" s="43" t="str">
        <f t="shared" si="3738"/>
        <v/>
      </c>
      <c r="EH301" s="43" t="str">
        <f t="shared" si="3739"/>
        <v/>
      </c>
      <c r="EI301" s="43" t="str">
        <f t="shared" si="3740"/>
        <v/>
      </c>
      <c r="EJ301" s="43" t="str">
        <f t="shared" si="3741"/>
        <v/>
      </c>
      <c r="EK301" s="43" t="str">
        <f t="shared" si="3742"/>
        <v/>
      </c>
      <c r="EL301" s="43" t="str">
        <f t="shared" si="3743"/>
        <v/>
      </c>
      <c r="EM301" s="43" t="str">
        <f t="shared" si="3744"/>
        <v/>
      </c>
      <c r="EN301" s="43" t="str">
        <f t="shared" si="3745"/>
        <v/>
      </c>
      <c r="EO301" s="43" t="str">
        <f t="shared" si="3746"/>
        <v/>
      </c>
      <c r="EP301" s="43" t="str">
        <f t="shared" si="3747"/>
        <v/>
      </c>
      <c r="EQ301" s="43" t="str">
        <f t="shared" si="3748"/>
        <v/>
      </c>
      <c r="ER301" s="43" t="str">
        <f t="shared" si="3749"/>
        <v/>
      </c>
      <c r="ES301" s="43" t="str">
        <f t="shared" si="3750"/>
        <v/>
      </c>
      <c r="ET301" s="43" t="str">
        <f t="shared" si="3751"/>
        <v/>
      </c>
      <c r="EU301" s="43" t="str">
        <f t="shared" si="3752"/>
        <v/>
      </c>
      <c r="EV301" s="43" t="str">
        <f t="shared" si="3753"/>
        <v/>
      </c>
      <c r="EW301" s="43" t="str">
        <f t="shared" si="3754"/>
        <v/>
      </c>
      <c r="EX301" s="43" t="str">
        <f t="shared" si="3755"/>
        <v/>
      </c>
      <c r="EY301" s="43" t="str">
        <f t="shared" si="3756"/>
        <v/>
      </c>
      <c r="EZ301" s="43" t="str">
        <f t="shared" si="3757"/>
        <v/>
      </c>
      <c r="FA301" s="43" t="str">
        <f t="shared" si="3758"/>
        <v/>
      </c>
      <c r="FB301" s="43" t="str">
        <f t="shared" si="3759"/>
        <v/>
      </c>
      <c r="FC301" s="43" t="str">
        <f t="shared" si="3760"/>
        <v/>
      </c>
      <c r="FD301" s="43" t="str">
        <f t="shared" si="3761"/>
        <v/>
      </c>
      <c r="FE301" s="43" t="str">
        <f t="shared" si="3762"/>
        <v/>
      </c>
      <c r="FF301" s="43" t="str">
        <f t="shared" si="3763"/>
        <v/>
      </c>
      <c r="FG301" s="43" t="str">
        <f t="shared" si="3764"/>
        <v/>
      </c>
      <c r="FH301" s="43" t="str">
        <f t="shared" si="3765"/>
        <v/>
      </c>
      <c r="FI301" s="43" t="str">
        <f t="shared" si="3766"/>
        <v/>
      </c>
      <c r="FJ301" s="43" t="str">
        <f t="shared" si="3767"/>
        <v/>
      </c>
      <c r="FK301" s="43" t="str">
        <f t="shared" si="3768"/>
        <v/>
      </c>
      <c r="FL301" s="43" t="str">
        <f t="shared" si="3769"/>
        <v/>
      </c>
      <c r="FM301" s="43" t="str">
        <f t="shared" si="3770"/>
        <v/>
      </c>
      <c r="FN301" s="43" t="str">
        <f t="shared" si="3771"/>
        <v/>
      </c>
      <c r="FO301" s="43" t="str">
        <f t="shared" si="3772"/>
        <v/>
      </c>
      <c r="FP301" s="43" t="str">
        <f t="shared" si="3773"/>
        <v/>
      </c>
      <c r="FQ301" s="43" t="str">
        <f t="shared" si="3774"/>
        <v/>
      </c>
      <c r="FR301" s="43" t="str">
        <f t="shared" si="3775"/>
        <v/>
      </c>
      <c r="FS301" s="43" t="str">
        <f t="shared" si="3776"/>
        <v/>
      </c>
    </row>
    <row r="302" spans="92:175">
      <c r="CN302" s="12" t="str">
        <f t="shared" si="3701"/>
        <v>InitUnitState('',,,,,,,,,,)</v>
      </c>
      <c r="CO302" s="12" t="str">
        <f t="shared" si="3702"/>
        <v>InitUnitNormal('',,,,,,,,,,)</v>
      </c>
      <c r="CP302" s="12" t="str">
        <f t="shared" si="3703"/>
        <v>InitUnitMagic('',,,,,,,,,,)</v>
      </c>
      <c r="CQ302" s="12" t="str">
        <f t="shared" si="3704"/>
        <v>InitUnitAdd('',,,,,,,,,,)</v>
      </c>
      <c r="CR302" s="12" t="str">
        <f t="shared" si="3705"/>
        <v>InitEquipData('',,"",,,,,'','','','','','',"")</v>
      </c>
      <c r="CU302" s="5" t="str">
        <f t="shared" si="3777"/>
        <v>|n</v>
      </c>
      <c r="CW302" s="6"/>
      <c r="CX302" s="6"/>
      <c r="CY302" s="6"/>
      <c r="CZ302" s="6"/>
      <c r="DA302" s="6"/>
      <c r="DB302" s="43" t="str">
        <f t="shared" si="3707"/>
        <v/>
      </c>
      <c r="DC302" s="43" t="str">
        <f t="shared" si="3708"/>
        <v/>
      </c>
      <c r="DD302" s="43" t="str">
        <f t="shared" si="3709"/>
        <v/>
      </c>
      <c r="DE302" s="43" t="str">
        <f t="shared" si="3710"/>
        <v/>
      </c>
      <c r="DF302" s="43" t="str">
        <f t="shared" si="3711"/>
        <v/>
      </c>
      <c r="DG302" s="43" t="str">
        <f t="shared" si="3712"/>
        <v/>
      </c>
      <c r="DH302" s="43" t="str">
        <f t="shared" si="3713"/>
        <v/>
      </c>
      <c r="DI302" s="43" t="str">
        <f t="shared" si="3714"/>
        <v/>
      </c>
      <c r="DJ302" s="43" t="str">
        <f t="shared" si="3715"/>
        <v/>
      </c>
      <c r="DK302" s="43" t="str">
        <f t="shared" si="3716"/>
        <v/>
      </c>
      <c r="DL302" s="43" t="str">
        <f t="shared" si="3717"/>
        <v/>
      </c>
      <c r="DM302" s="43" t="str">
        <f t="shared" si="3718"/>
        <v/>
      </c>
      <c r="DN302" s="43" t="str">
        <f t="shared" si="3719"/>
        <v/>
      </c>
      <c r="DO302" s="43" t="str">
        <f t="shared" si="3720"/>
        <v/>
      </c>
      <c r="DP302" s="43" t="str">
        <f t="shared" si="3721"/>
        <v/>
      </c>
      <c r="DQ302" s="43" t="str">
        <f t="shared" si="3722"/>
        <v/>
      </c>
      <c r="DR302" s="43" t="str">
        <f t="shared" si="3723"/>
        <v/>
      </c>
      <c r="DS302" s="43" t="str">
        <f t="shared" si="3724"/>
        <v/>
      </c>
      <c r="DT302" s="43" t="str">
        <f t="shared" si="3725"/>
        <v/>
      </c>
      <c r="DU302" s="43" t="str">
        <f t="shared" si="3726"/>
        <v/>
      </c>
      <c r="DV302" s="43" t="str">
        <f t="shared" si="3727"/>
        <v/>
      </c>
      <c r="DW302" s="43" t="str">
        <f t="shared" si="3728"/>
        <v/>
      </c>
      <c r="DX302" s="43" t="str">
        <f t="shared" si="3729"/>
        <v/>
      </c>
      <c r="DY302" s="43" t="str">
        <f t="shared" si="3730"/>
        <v/>
      </c>
      <c r="DZ302" s="43" t="str">
        <f t="shared" si="3731"/>
        <v/>
      </c>
      <c r="EA302" s="43" t="str">
        <f t="shared" si="3732"/>
        <v/>
      </c>
      <c r="EB302" s="43" t="str">
        <f t="shared" si="3733"/>
        <v/>
      </c>
      <c r="EC302" s="43" t="str">
        <f t="shared" si="3734"/>
        <v/>
      </c>
      <c r="ED302" s="43" t="str">
        <f t="shared" si="3735"/>
        <v/>
      </c>
      <c r="EE302" s="43" t="str">
        <f t="shared" si="3736"/>
        <v/>
      </c>
      <c r="EF302" s="43" t="str">
        <f t="shared" si="3737"/>
        <v/>
      </c>
      <c r="EG302" s="43" t="str">
        <f t="shared" si="3738"/>
        <v/>
      </c>
      <c r="EH302" s="43" t="str">
        <f t="shared" si="3739"/>
        <v/>
      </c>
      <c r="EI302" s="43" t="str">
        <f t="shared" si="3740"/>
        <v/>
      </c>
      <c r="EJ302" s="43" t="str">
        <f t="shared" si="3741"/>
        <v/>
      </c>
      <c r="EK302" s="43" t="str">
        <f t="shared" si="3742"/>
        <v/>
      </c>
      <c r="EL302" s="43" t="str">
        <f t="shared" si="3743"/>
        <v/>
      </c>
      <c r="EM302" s="43" t="str">
        <f t="shared" si="3744"/>
        <v/>
      </c>
      <c r="EN302" s="43" t="str">
        <f t="shared" si="3745"/>
        <v/>
      </c>
      <c r="EO302" s="43" t="str">
        <f t="shared" si="3746"/>
        <v/>
      </c>
      <c r="EP302" s="43" t="str">
        <f t="shared" si="3747"/>
        <v/>
      </c>
      <c r="EQ302" s="43" t="str">
        <f t="shared" si="3748"/>
        <v/>
      </c>
      <c r="ER302" s="43" t="str">
        <f t="shared" si="3749"/>
        <v/>
      </c>
      <c r="ES302" s="43" t="str">
        <f t="shared" si="3750"/>
        <v/>
      </c>
      <c r="ET302" s="43" t="str">
        <f t="shared" si="3751"/>
        <v/>
      </c>
      <c r="EU302" s="43" t="str">
        <f t="shared" si="3752"/>
        <v/>
      </c>
      <c r="EV302" s="43" t="str">
        <f t="shared" si="3753"/>
        <v/>
      </c>
      <c r="EW302" s="43" t="str">
        <f t="shared" si="3754"/>
        <v/>
      </c>
      <c r="EX302" s="43" t="str">
        <f t="shared" si="3755"/>
        <v/>
      </c>
      <c r="EY302" s="43" t="str">
        <f t="shared" si="3756"/>
        <v/>
      </c>
      <c r="EZ302" s="43" t="str">
        <f t="shared" si="3757"/>
        <v/>
      </c>
      <c r="FA302" s="43" t="str">
        <f t="shared" si="3758"/>
        <v/>
      </c>
      <c r="FB302" s="43" t="str">
        <f t="shared" si="3759"/>
        <v/>
      </c>
      <c r="FC302" s="43" t="str">
        <f t="shared" si="3760"/>
        <v/>
      </c>
      <c r="FD302" s="43" t="str">
        <f t="shared" si="3761"/>
        <v/>
      </c>
      <c r="FE302" s="43" t="str">
        <f t="shared" si="3762"/>
        <v/>
      </c>
      <c r="FF302" s="43" t="str">
        <f t="shared" si="3763"/>
        <v/>
      </c>
      <c r="FG302" s="43" t="str">
        <f t="shared" si="3764"/>
        <v/>
      </c>
      <c r="FH302" s="43" t="str">
        <f t="shared" si="3765"/>
        <v/>
      </c>
      <c r="FI302" s="43" t="str">
        <f t="shared" si="3766"/>
        <v/>
      </c>
      <c r="FJ302" s="43" t="str">
        <f t="shared" si="3767"/>
        <v/>
      </c>
      <c r="FK302" s="43" t="str">
        <f t="shared" si="3768"/>
        <v/>
      </c>
      <c r="FL302" s="43" t="str">
        <f t="shared" si="3769"/>
        <v/>
      </c>
      <c r="FM302" s="43" t="str">
        <f t="shared" si="3770"/>
        <v/>
      </c>
      <c r="FN302" s="43" t="str">
        <f t="shared" si="3771"/>
        <v/>
      </c>
      <c r="FO302" s="43" t="str">
        <f t="shared" si="3772"/>
        <v/>
      </c>
      <c r="FP302" s="43" t="str">
        <f t="shared" si="3773"/>
        <v/>
      </c>
      <c r="FQ302" s="43" t="str">
        <f t="shared" si="3774"/>
        <v/>
      </c>
      <c r="FR302" s="43" t="str">
        <f t="shared" si="3775"/>
        <v/>
      </c>
      <c r="FS302" s="43" t="str">
        <f t="shared" si="3776"/>
        <v/>
      </c>
    </row>
    <row r="303" spans="92:175">
      <c r="CN303" s="12" t="str">
        <f t="shared" si="3701"/>
        <v>InitUnitState('',,,,,,,,,,)</v>
      </c>
      <c r="CO303" s="12" t="str">
        <f t="shared" si="3702"/>
        <v>InitUnitNormal('',,,,,,,,,,)</v>
      </c>
      <c r="CP303" s="12" t="str">
        <f t="shared" si="3703"/>
        <v>InitUnitMagic('',,,,,,,,,,)</v>
      </c>
      <c r="CQ303" s="12" t="str">
        <f t="shared" si="3704"/>
        <v>InitUnitAdd('',,,,,,,,,,)</v>
      </c>
      <c r="CR303" s="12" t="str">
        <f t="shared" si="3705"/>
        <v>InitEquipData('',,"",,,,,'','','','','','',"")</v>
      </c>
      <c r="CU303" s="5" t="str">
        <f t="shared" si="3777"/>
        <v>|n</v>
      </c>
      <c r="CW303" s="6"/>
      <c r="CX303" s="6"/>
      <c r="CY303" s="6"/>
      <c r="CZ303" s="6"/>
      <c r="DA303" s="6"/>
      <c r="DB303" s="43" t="str">
        <f t="shared" si="3707"/>
        <v/>
      </c>
      <c r="DC303" s="43" t="str">
        <f t="shared" si="3708"/>
        <v/>
      </c>
      <c r="DD303" s="43" t="str">
        <f t="shared" si="3709"/>
        <v/>
      </c>
      <c r="DE303" s="43" t="str">
        <f t="shared" si="3710"/>
        <v/>
      </c>
      <c r="DF303" s="43" t="str">
        <f t="shared" si="3711"/>
        <v/>
      </c>
      <c r="DG303" s="43" t="str">
        <f t="shared" si="3712"/>
        <v/>
      </c>
      <c r="DH303" s="43" t="str">
        <f t="shared" si="3713"/>
        <v/>
      </c>
      <c r="DI303" s="43" t="str">
        <f t="shared" si="3714"/>
        <v/>
      </c>
      <c r="DJ303" s="43" t="str">
        <f t="shared" si="3715"/>
        <v/>
      </c>
      <c r="DK303" s="43" t="str">
        <f t="shared" si="3716"/>
        <v/>
      </c>
      <c r="DL303" s="43" t="str">
        <f t="shared" si="3717"/>
        <v/>
      </c>
      <c r="DM303" s="43" t="str">
        <f t="shared" si="3718"/>
        <v/>
      </c>
      <c r="DN303" s="43" t="str">
        <f t="shared" si="3719"/>
        <v/>
      </c>
      <c r="DO303" s="43" t="str">
        <f t="shared" si="3720"/>
        <v/>
      </c>
      <c r="DP303" s="43" t="str">
        <f t="shared" si="3721"/>
        <v/>
      </c>
      <c r="DQ303" s="43" t="str">
        <f t="shared" si="3722"/>
        <v/>
      </c>
      <c r="DR303" s="43" t="str">
        <f t="shared" si="3723"/>
        <v/>
      </c>
      <c r="DS303" s="43" t="str">
        <f t="shared" si="3724"/>
        <v/>
      </c>
      <c r="DT303" s="43" t="str">
        <f t="shared" si="3725"/>
        <v/>
      </c>
      <c r="DU303" s="43" t="str">
        <f t="shared" si="3726"/>
        <v/>
      </c>
      <c r="DV303" s="43" t="str">
        <f t="shared" si="3727"/>
        <v/>
      </c>
      <c r="DW303" s="43" t="str">
        <f t="shared" si="3728"/>
        <v/>
      </c>
      <c r="DX303" s="43" t="str">
        <f t="shared" si="3729"/>
        <v/>
      </c>
      <c r="DY303" s="43" t="str">
        <f t="shared" si="3730"/>
        <v/>
      </c>
      <c r="DZ303" s="43" t="str">
        <f t="shared" si="3731"/>
        <v/>
      </c>
      <c r="EA303" s="43" t="str">
        <f t="shared" si="3732"/>
        <v/>
      </c>
      <c r="EB303" s="43" t="str">
        <f t="shared" si="3733"/>
        <v/>
      </c>
      <c r="EC303" s="43" t="str">
        <f t="shared" si="3734"/>
        <v/>
      </c>
      <c r="ED303" s="43" t="str">
        <f t="shared" si="3735"/>
        <v/>
      </c>
      <c r="EE303" s="43" t="str">
        <f t="shared" si="3736"/>
        <v/>
      </c>
      <c r="EF303" s="43" t="str">
        <f t="shared" si="3737"/>
        <v/>
      </c>
      <c r="EG303" s="43" t="str">
        <f t="shared" si="3738"/>
        <v/>
      </c>
      <c r="EH303" s="43" t="str">
        <f t="shared" si="3739"/>
        <v/>
      </c>
      <c r="EI303" s="43" t="str">
        <f t="shared" si="3740"/>
        <v/>
      </c>
      <c r="EJ303" s="43" t="str">
        <f t="shared" si="3741"/>
        <v/>
      </c>
      <c r="EK303" s="43" t="str">
        <f t="shared" si="3742"/>
        <v/>
      </c>
      <c r="EL303" s="43" t="str">
        <f t="shared" si="3743"/>
        <v/>
      </c>
      <c r="EM303" s="43" t="str">
        <f t="shared" si="3744"/>
        <v/>
      </c>
      <c r="EN303" s="43" t="str">
        <f t="shared" si="3745"/>
        <v/>
      </c>
      <c r="EO303" s="43" t="str">
        <f t="shared" si="3746"/>
        <v/>
      </c>
      <c r="EP303" s="43" t="str">
        <f t="shared" si="3747"/>
        <v/>
      </c>
      <c r="EQ303" s="43" t="str">
        <f t="shared" si="3748"/>
        <v/>
      </c>
      <c r="ER303" s="43" t="str">
        <f t="shared" si="3749"/>
        <v/>
      </c>
      <c r="ES303" s="43" t="str">
        <f t="shared" si="3750"/>
        <v/>
      </c>
      <c r="ET303" s="43" t="str">
        <f t="shared" si="3751"/>
        <v/>
      </c>
      <c r="EU303" s="43" t="str">
        <f t="shared" si="3752"/>
        <v/>
      </c>
      <c r="EV303" s="43" t="str">
        <f t="shared" si="3753"/>
        <v/>
      </c>
      <c r="EW303" s="43" t="str">
        <f t="shared" si="3754"/>
        <v/>
      </c>
      <c r="EX303" s="43" t="str">
        <f t="shared" si="3755"/>
        <v/>
      </c>
      <c r="EY303" s="43" t="str">
        <f t="shared" si="3756"/>
        <v/>
      </c>
      <c r="EZ303" s="43" t="str">
        <f t="shared" si="3757"/>
        <v/>
      </c>
      <c r="FA303" s="43" t="str">
        <f t="shared" si="3758"/>
        <v/>
      </c>
      <c r="FB303" s="43" t="str">
        <f t="shared" si="3759"/>
        <v/>
      </c>
      <c r="FC303" s="43" t="str">
        <f t="shared" si="3760"/>
        <v/>
      </c>
      <c r="FD303" s="43" t="str">
        <f t="shared" si="3761"/>
        <v/>
      </c>
      <c r="FE303" s="43" t="str">
        <f t="shared" si="3762"/>
        <v/>
      </c>
      <c r="FF303" s="43" t="str">
        <f t="shared" si="3763"/>
        <v/>
      </c>
      <c r="FG303" s="43" t="str">
        <f t="shared" si="3764"/>
        <v/>
      </c>
      <c r="FH303" s="43" t="str">
        <f t="shared" si="3765"/>
        <v/>
      </c>
      <c r="FI303" s="43" t="str">
        <f t="shared" si="3766"/>
        <v/>
      </c>
      <c r="FJ303" s="43" t="str">
        <f t="shared" si="3767"/>
        <v/>
      </c>
      <c r="FK303" s="43" t="str">
        <f t="shared" si="3768"/>
        <v/>
      </c>
      <c r="FL303" s="43" t="str">
        <f t="shared" si="3769"/>
        <v/>
      </c>
      <c r="FM303" s="43" t="str">
        <f t="shared" si="3770"/>
        <v/>
      </c>
      <c r="FN303" s="43" t="str">
        <f t="shared" si="3771"/>
        <v/>
      </c>
      <c r="FO303" s="43" t="str">
        <f t="shared" si="3772"/>
        <v/>
      </c>
      <c r="FP303" s="43" t="str">
        <f t="shared" si="3773"/>
        <v/>
      </c>
      <c r="FQ303" s="43" t="str">
        <f t="shared" si="3774"/>
        <v/>
      </c>
      <c r="FR303" s="43" t="str">
        <f t="shared" si="3775"/>
        <v/>
      </c>
      <c r="FS303" s="43" t="str">
        <f t="shared" si="3776"/>
        <v/>
      </c>
    </row>
    <row r="304" spans="92:175">
      <c r="CN304" s="12" t="str">
        <f t="shared" si="3701"/>
        <v>InitUnitState('',,,,,,,,,,)</v>
      </c>
      <c r="CO304" s="12" t="str">
        <f t="shared" si="3702"/>
        <v>InitUnitNormal('',,,,,,,,,,)</v>
      </c>
      <c r="CP304" s="12" t="str">
        <f t="shared" si="3703"/>
        <v>InitUnitMagic('',,,,,,,,,,)</v>
      </c>
      <c r="CQ304" s="12" t="str">
        <f t="shared" si="3704"/>
        <v>InitUnitAdd('',,,,,,,,,,)</v>
      </c>
      <c r="CR304" s="12" t="str">
        <f t="shared" si="3705"/>
        <v>InitEquipData('',,"",,,,,'','','','','','',"")</v>
      </c>
      <c r="CU304" s="5" t="str">
        <f t="shared" si="3777"/>
        <v>|n</v>
      </c>
      <c r="CW304" s="6"/>
      <c r="CX304" s="6"/>
      <c r="CY304" s="6"/>
      <c r="CZ304" s="6"/>
      <c r="DA304" s="6"/>
      <c r="DB304" s="43" t="str">
        <f t="shared" si="3707"/>
        <v/>
      </c>
      <c r="DC304" s="43" t="str">
        <f t="shared" si="3708"/>
        <v/>
      </c>
      <c r="DD304" s="43" t="str">
        <f t="shared" si="3709"/>
        <v/>
      </c>
      <c r="DE304" s="43" t="str">
        <f t="shared" si="3710"/>
        <v/>
      </c>
      <c r="DF304" s="43" t="str">
        <f t="shared" si="3711"/>
        <v/>
      </c>
      <c r="DG304" s="43" t="str">
        <f t="shared" si="3712"/>
        <v/>
      </c>
      <c r="DH304" s="43" t="str">
        <f t="shared" si="3713"/>
        <v/>
      </c>
      <c r="DI304" s="43" t="str">
        <f t="shared" si="3714"/>
        <v/>
      </c>
      <c r="DJ304" s="43" t="str">
        <f t="shared" si="3715"/>
        <v/>
      </c>
      <c r="DK304" s="43" t="str">
        <f t="shared" si="3716"/>
        <v/>
      </c>
      <c r="DL304" s="43" t="str">
        <f t="shared" si="3717"/>
        <v/>
      </c>
      <c r="DM304" s="43" t="str">
        <f t="shared" si="3718"/>
        <v/>
      </c>
      <c r="DN304" s="43" t="str">
        <f t="shared" si="3719"/>
        <v/>
      </c>
      <c r="DO304" s="43" t="str">
        <f t="shared" si="3720"/>
        <v/>
      </c>
      <c r="DP304" s="43" t="str">
        <f t="shared" si="3721"/>
        <v/>
      </c>
      <c r="DQ304" s="43" t="str">
        <f t="shared" si="3722"/>
        <v/>
      </c>
      <c r="DR304" s="43" t="str">
        <f t="shared" si="3723"/>
        <v/>
      </c>
      <c r="DS304" s="43" t="str">
        <f t="shared" si="3724"/>
        <v/>
      </c>
      <c r="DT304" s="43" t="str">
        <f t="shared" si="3725"/>
        <v/>
      </c>
      <c r="DU304" s="43" t="str">
        <f t="shared" si="3726"/>
        <v/>
      </c>
      <c r="DV304" s="43" t="str">
        <f t="shared" si="3727"/>
        <v/>
      </c>
      <c r="DW304" s="43" t="str">
        <f t="shared" si="3728"/>
        <v/>
      </c>
      <c r="DX304" s="43" t="str">
        <f t="shared" si="3729"/>
        <v/>
      </c>
      <c r="DY304" s="43" t="str">
        <f t="shared" si="3730"/>
        <v/>
      </c>
      <c r="DZ304" s="43" t="str">
        <f t="shared" si="3731"/>
        <v/>
      </c>
      <c r="EA304" s="43" t="str">
        <f t="shared" si="3732"/>
        <v/>
      </c>
      <c r="EB304" s="43" t="str">
        <f t="shared" si="3733"/>
        <v/>
      </c>
      <c r="EC304" s="43" t="str">
        <f t="shared" si="3734"/>
        <v/>
      </c>
      <c r="ED304" s="43" t="str">
        <f t="shared" si="3735"/>
        <v/>
      </c>
      <c r="EE304" s="43" t="str">
        <f t="shared" si="3736"/>
        <v/>
      </c>
      <c r="EF304" s="43" t="str">
        <f t="shared" si="3737"/>
        <v/>
      </c>
      <c r="EG304" s="43" t="str">
        <f t="shared" si="3738"/>
        <v/>
      </c>
      <c r="EH304" s="43" t="str">
        <f t="shared" si="3739"/>
        <v/>
      </c>
      <c r="EI304" s="43" t="str">
        <f t="shared" si="3740"/>
        <v/>
      </c>
      <c r="EJ304" s="43" t="str">
        <f t="shared" si="3741"/>
        <v/>
      </c>
      <c r="EK304" s="43" t="str">
        <f t="shared" si="3742"/>
        <v/>
      </c>
      <c r="EL304" s="43" t="str">
        <f t="shared" si="3743"/>
        <v/>
      </c>
      <c r="EM304" s="43" t="str">
        <f t="shared" si="3744"/>
        <v/>
      </c>
      <c r="EN304" s="43" t="str">
        <f t="shared" si="3745"/>
        <v/>
      </c>
      <c r="EO304" s="43" t="str">
        <f t="shared" si="3746"/>
        <v/>
      </c>
      <c r="EP304" s="43" t="str">
        <f t="shared" si="3747"/>
        <v/>
      </c>
      <c r="EQ304" s="43" t="str">
        <f t="shared" si="3748"/>
        <v/>
      </c>
      <c r="ER304" s="43" t="str">
        <f t="shared" si="3749"/>
        <v/>
      </c>
      <c r="ES304" s="43" t="str">
        <f t="shared" si="3750"/>
        <v/>
      </c>
      <c r="ET304" s="43" t="str">
        <f t="shared" si="3751"/>
        <v/>
      </c>
      <c r="EU304" s="43" t="str">
        <f t="shared" si="3752"/>
        <v/>
      </c>
      <c r="EV304" s="43" t="str">
        <f t="shared" si="3753"/>
        <v/>
      </c>
      <c r="EW304" s="43" t="str">
        <f t="shared" si="3754"/>
        <v/>
      </c>
      <c r="EX304" s="43" t="str">
        <f t="shared" si="3755"/>
        <v/>
      </c>
      <c r="EY304" s="43" t="str">
        <f t="shared" si="3756"/>
        <v/>
      </c>
      <c r="EZ304" s="43" t="str">
        <f t="shared" si="3757"/>
        <v/>
      </c>
      <c r="FA304" s="43" t="str">
        <f t="shared" si="3758"/>
        <v/>
      </c>
      <c r="FB304" s="43" t="str">
        <f t="shared" si="3759"/>
        <v/>
      </c>
      <c r="FC304" s="43" t="str">
        <f t="shared" si="3760"/>
        <v/>
      </c>
      <c r="FD304" s="43" t="str">
        <f t="shared" si="3761"/>
        <v/>
      </c>
      <c r="FE304" s="43" t="str">
        <f t="shared" si="3762"/>
        <v/>
      </c>
      <c r="FF304" s="43" t="str">
        <f t="shared" si="3763"/>
        <v/>
      </c>
      <c r="FG304" s="43" t="str">
        <f t="shared" si="3764"/>
        <v/>
      </c>
      <c r="FH304" s="43" t="str">
        <f t="shared" si="3765"/>
        <v/>
      </c>
      <c r="FI304" s="43" t="str">
        <f t="shared" si="3766"/>
        <v/>
      </c>
      <c r="FJ304" s="43" t="str">
        <f t="shared" si="3767"/>
        <v/>
      </c>
      <c r="FK304" s="43" t="str">
        <f t="shared" si="3768"/>
        <v/>
      </c>
      <c r="FL304" s="43" t="str">
        <f t="shared" si="3769"/>
        <v/>
      </c>
      <c r="FM304" s="43" t="str">
        <f t="shared" si="3770"/>
        <v/>
      </c>
      <c r="FN304" s="43" t="str">
        <f t="shared" si="3771"/>
        <v/>
      </c>
      <c r="FO304" s="43" t="str">
        <f t="shared" si="3772"/>
        <v/>
      </c>
      <c r="FP304" s="43" t="str">
        <f t="shared" si="3773"/>
        <v/>
      </c>
      <c r="FQ304" s="43" t="str">
        <f t="shared" si="3774"/>
        <v/>
      </c>
      <c r="FR304" s="43" t="str">
        <f t="shared" si="3775"/>
        <v/>
      </c>
      <c r="FS304" s="43" t="str">
        <f t="shared" si="3776"/>
        <v/>
      </c>
    </row>
    <row r="305" spans="92:175">
      <c r="CN305" s="12" t="str">
        <f t="shared" si="3701"/>
        <v>InitUnitState('',,,,,,,,,,)</v>
      </c>
      <c r="CO305" s="12" t="str">
        <f t="shared" si="3702"/>
        <v>InitUnitNormal('',,,,,,,,,,)</v>
      </c>
      <c r="CP305" s="12" t="str">
        <f t="shared" si="3703"/>
        <v>InitUnitMagic('',,,,,,,,,,)</v>
      </c>
      <c r="CQ305" s="12" t="str">
        <f t="shared" si="3704"/>
        <v>InitUnitAdd('',,,,,,,,,,)</v>
      </c>
      <c r="CR305" s="12" t="str">
        <f t="shared" si="3705"/>
        <v>InitEquipData('',,"",,,,,'','','','','','',"")</v>
      </c>
      <c r="CU305" s="5" t="str">
        <f t="shared" si="3777"/>
        <v>|n</v>
      </c>
      <c r="CW305" s="6"/>
      <c r="CX305" s="6"/>
      <c r="CY305" s="6"/>
      <c r="CZ305" s="6"/>
      <c r="DA305" s="6"/>
      <c r="DB305" s="43" t="str">
        <f t="shared" si="3707"/>
        <v/>
      </c>
      <c r="DC305" s="43" t="str">
        <f t="shared" si="3708"/>
        <v/>
      </c>
      <c r="DD305" s="43" t="str">
        <f t="shared" si="3709"/>
        <v/>
      </c>
      <c r="DE305" s="43" t="str">
        <f t="shared" si="3710"/>
        <v/>
      </c>
      <c r="DF305" s="43" t="str">
        <f t="shared" si="3711"/>
        <v/>
      </c>
      <c r="DG305" s="43" t="str">
        <f t="shared" si="3712"/>
        <v/>
      </c>
      <c r="DH305" s="43" t="str">
        <f t="shared" si="3713"/>
        <v/>
      </c>
      <c r="DI305" s="43" t="str">
        <f t="shared" si="3714"/>
        <v/>
      </c>
      <c r="DJ305" s="43" t="str">
        <f t="shared" si="3715"/>
        <v/>
      </c>
      <c r="DK305" s="43" t="str">
        <f t="shared" si="3716"/>
        <v/>
      </c>
      <c r="DL305" s="43" t="str">
        <f t="shared" si="3717"/>
        <v/>
      </c>
      <c r="DM305" s="43" t="str">
        <f t="shared" si="3718"/>
        <v/>
      </c>
      <c r="DN305" s="43" t="str">
        <f t="shared" si="3719"/>
        <v/>
      </c>
      <c r="DO305" s="43" t="str">
        <f t="shared" si="3720"/>
        <v/>
      </c>
      <c r="DP305" s="43" t="str">
        <f t="shared" si="3721"/>
        <v/>
      </c>
      <c r="DQ305" s="43" t="str">
        <f t="shared" si="3722"/>
        <v/>
      </c>
      <c r="DR305" s="43" t="str">
        <f t="shared" si="3723"/>
        <v/>
      </c>
      <c r="DS305" s="43" t="str">
        <f t="shared" si="3724"/>
        <v/>
      </c>
      <c r="DT305" s="43" t="str">
        <f t="shared" si="3725"/>
        <v/>
      </c>
      <c r="DU305" s="43" t="str">
        <f t="shared" si="3726"/>
        <v/>
      </c>
      <c r="DV305" s="43" t="str">
        <f t="shared" si="3727"/>
        <v/>
      </c>
      <c r="DW305" s="43" t="str">
        <f t="shared" si="3728"/>
        <v/>
      </c>
      <c r="DX305" s="43" t="str">
        <f t="shared" si="3729"/>
        <v/>
      </c>
      <c r="DY305" s="43" t="str">
        <f t="shared" si="3730"/>
        <v/>
      </c>
      <c r="DZ305" s="43" t="str">
        <f t="shared" si="3731"/>
        <v/>
      </c>
      <c r="EA305" s="43" t="str">
        <f t="shared" si="3732"/>
        <v/>
      </c>
      <c r="EB305" s="43" t="str">
        <f t="shared" si="3733"/>
        <v/>
      </c>
      <c r="EC305" s="43" t="str">
        <f t="shared" si="3734"/>
        <v/>
      </c>
      <c r="ED305" s="43" t="str">
        <f t="shared" si="3735"/>
        <v/>
      </c>
      <c r="EE305" s="43" t="str">
        <f t="shared" si="3736"/>
        <v/>
      </c>
      <c r="EF305" s="43" t="str">
        <f t="shared" si="3737"/>
        <v/>
      </c>
      <c r="EG305" s="43" t="str">
        <f t="shared" si="3738"/>
        <v/>
      </c>
      <c r="EH305" s="43" t="str">
        <f t="shared" si="3739"/>
        <v/>
      </c>
      <c r="EI305" s="43" t="str">
        <f t="shared" si="3740"/>
        <v/>
      </c>
      <c r="EJ305" s="43" t="str">
        <f t="shared" si="3741"/>
        <v/>
      </c>
      <c r="EK305" s="43" t="str">
        <f t="shared" si="3742"/>
        <v/>
      </c>
      <c r="EL305" s="43" t="str">
        <f t="shared" si="3743"/>
        <v/>
      </c>
      <c r="EM305" s="43" t="str">
        <f t="shared" si="3744"/>
        <v/>
      </c>
      <c r="EN305" s="43" t="str">
        <f t="shared" si="3745"/>
        <v/>
      </c>
      <c r="EO305" s="43" t="str">
        <f t="shared" si="3746"/>
        <v/>
      </c>
      <c r="EP305" s="43" t="str">
        <f t="shared" si="3747"/>
        <v/>
      </c>
      <c r="EQ305" s="43" t="str">
        <f t="shared" si="3748"/>
        <v/>
      </c>
      <c r="ER305" s="43" t="str">
        <f t="shared" si="3749"/>
        <v/>
      </c>
      <c r="ES305" s="43" t="str">
        <f t="shared" si="3750"/>
        <v/>
      </c>
      <c r="ET305" s="43" t="str">
        <f t="shared" si="3751"/>
        <v/>
      </c>
      <c r="EU305" s="43" t="str">
        <f t="shared" si="3752"/>
        <v/>
      </c>
      <c r="EV305" s="43" t="str">
        <f t="shared" si="3753"/>
        <v/>
      </c>
      <c r="EW305" s="43" t="str">
        <f t="shared" si="3754"/>
        <v/>
      </c>
      <c r="EX305" s="43" t="str">
        <f t="shared" si="3755"/>
        <v/>
      </c>
      <c r="EY305" s="43" t="str">
        <f t="shared" si="3756"/>
        <v/>
      </c>
      <c r="EZ305" s="43" t="str">
        <f t="shared" si="3757"/>
        <v/>
      </c>
      <c r="FA305" s="43" t="str">
        <f t="shared" si="3758"/>
        <v/>
      </c>
      <c r="FB305" s="43" t="str">
        <f t="shared" si="3759"/>
        <v/>
      </c>
      <c r="FC305" s="43" t="str">
        <f t="shared" si="3760"/>
        <v/>
      </c>
      <c r="FD305" s="43" t="str">
        <f t="shared" si="3761"/>
        <v/>
      </c>
      <c r="FE305" s="43" t="str">
        <f t="shared" si="3762"/>
        <v/>
      </c>
      <c r="FF305" s="43" t="str">
        <f t="shared" si="3763"/>
        <v/>
      </c>
      <c r="FG305" s="43" t="str">
        <f t="shared" si="3764"/>
        <v/>
      </c>
      <c r="FH305" s="43" t="str">
        <f t="shared" si="3765"/>
        <v/>
      </c>
      <c r="FI305" s="43" t="str">
        <f t="shared" si="3766"/>
        <v/>
      </c>
      <c r="FJ305" s="43" t="str">
        <f t="shared" si="3767"/>
        <v/>
      </c>
      <c r="FK305" s="43" t="str">
        <f t="shared" si="3768"/>
        <v/>
      </c>
      <c r="FL305" s="43" t="str">
        <f t="shared" si="3769"/>
        <v/>
      </c>
      <c r="FM305" s="43" t="str">
        <f t="shared" si="3770"/>
        <v/>
      </c>
      <c r="FN305" s="43" t="str">
        <f t="shared" si="3771"/>
        <v/>
      </c>
      <c r="FO305" s="43" t="str">
        <f t="shared" si="3772"/>
        <v/>
      </c>
      <c r="FP305" s="43" t="str">
        <f t="shared" si="3773"/>
        <v/>
      </c>
      <c r="FQ305" s="43" t="str">
        <f t="shared" si="3774"/>
        <v/>
      </c>
      <c r="FR305" s="43" t="str">
        <f t="shared" si="3775"/>
        <v/>
      </c>
      <c r="FS305" s="43" t="str">
        <f t="shared" si="3776"/>
        <v/>
      </c>
    </row>
    <row r="306" spans="92:175">
      <c r="CN306" s="12" t="str">
        <f t="shared" si="3701"/>
        <v>InitUnitState('',,,,,,,,,,)</v>
      </c>
      <c r="CO306" s="12" t="str">
        <f t="shared" si="3702"/>
        <v>InitUnitNormal('',,,,,,,,,,)</v>
      </c>
      <c r="CP306" s="12" t="str">
        <f t="shared" si="3703"/>
        <v>InitUnitMagic('',,,,,,,,,,)</v>
      </c>
      <c r="CQ306" s="12" t="str">
        <f t="shared" si="3704"/>
        <v>InitUnitAdd('',,,,,,,,,,)</v>
      </c>
      <c r="CR306" s="12" t="str">
        <f t="shared" si="3705"/>
        <v>InitEquipData('',,"",,,,,'','','','','','',"")</v>
      </c>
      <c r="CU306" s="5" t="str">
        <f t="shared" si="3777"/>
        <v>|n</v>
      </c>
      <c r="CW306" s="6"/>
      <c r="CX306" s="6"/>
      <c r="CY306" s="6"/>
      <c r="CZ306" s="6"/>
      <c r="DA306" s="6"/>
      <c r="DB306" s="43" t="str">
        <f t="shared" si="3707"/>
        <v/>
      </c>
      <c r="DC306" s="43" t="str">
        <f t="shared" si="3708"/>
        <v/>
      </c>
      <c r="DD306" s="43" t="str">
        <f t="shared" si="3709"/>
        <v/>
      </c>
      <c r="DE306" s="43" t="str">
        <f t="shared" si="3710"/>
        <v/>
      </c>
      <c r="DF306" s="43" t="str">
        <f t="shared" si="3711"/>
        <v/>
      </c>
      <c r="DG306" s="43" t="str">
        <f t="shared" si="3712"/>
        <v/>
      </c>
      <c r="DH306" s="43" t="str">
        <f t="shared" si="3713"/>
        <v/>
      </c>
      <c r="DI306" s="43" t="str">
        <f t="shared" si="3714"/>
        <v/>
      </c>
      <c r="DJ306" s="43" t="str">
        <f t="shared" si="3715"/>
        <v/>
      </c>
      <c r="DK306" s="43" t="str">
        <f t="shared" si="3716"/>
        <v/>
      </c>
      <c r="DL306" s="43" t="str">
        <f t="shared" si="3717"/>
        <v/>
      </c>
      <c r="DM306" s="43" t="str">
        <f t="shared" si="3718"/>
        <v/>
      </c>
      <c r="DN306" s="43" t="str">
        <f t="shared" si="3719"/>
        <v/>
      </c>
      <c r="DO306" s="43" t="str">
        <f t="shared" si="3720"/>
        <v/>
      </c>
      <c r="DP306" s="43" t="str">
        <f t="shared" si="3721"/>
        <v/>
      </c>
      <c r="DQ306" s="43" t="str">
        <f t="shared" si="3722"/>
        <v/>
      </c>
      <c r="DR306" s="43" t="str">
        <f t="shared" si="3723"/>
        <v/>
      </c>
      <c r="DS306" s="43" t="str">
        <f t="shared" si="3724"/>
        <v/>
      </c>
      <c r="DT306" s="43" t="str">
        <f t="shared" si="3725"/>
        <v/>
      </c>
      <c r="DU306" s="43" t="str">
        <f t="shared" si="3726"/>
        <v/>
      </c>
      <c r="DV306" s="43" t="str">
        <f t="shared" si="3727"/>
        <v/>
      </c>
      <c r="DW306" s="43" t="str">
        <f t="shared" si="3728"/>
        <v/>
      </c>
      <c r="DX306" s="43" t="str">
        <f t="shared" si="3729"/>
        <v/>
      </c>
      <c r="DY306" s="43" t="str">
        <f t="shared" si="3730"/>
        <v/>
      </c>
      <c r="DZ306" s="43" t="str">
        <f t="shared" si="3731"/>
        <v/>
      </c>
      <c r="EA306" s="43" t="str">
        <f t="shared" si="3732"/>
        <v/>
      </c>
      <c r="EB306" s="43" t="str">
        <f t="shared" si="3733"/>
        <v/>
      </c>
      <c r="EC306" s="43" t="str">
        <f t="shared" si="3734"/>
        <v/>
      </c>
      <c r="ED306" s="43" t="str">
        <f t="shared" si="3735"/>
        <v/>
      </c>
      <c r="EE306" s="43" t="str">
        <f t="shared" si="3736"/>
        <v/>
      </c>
      <c r="EF306" s="43" t="str">
        <f t="shared" si="3737"/>
        <v/>
      </c>
      <c r="EG306" s="43" t="str">
        <f t="shared" si="3738"/>
        <v/>
      </c>
      <c r="EH306" s="43" t="str">
        <f t="shared" si="3739"/>
        <v/>
      </c>
      <c r="EI306" s="43" t="str">
        <f t="shared" si="3740"/>
        <v/>
      </c>
      <c r="EJ306" s="43" t="str">
        <f t="shared" si="3741"/>
        <v/>
      </c>
      <c r="EK306" s="43" t="str">
        <f t="shared" si="3742"/>
        <v/>
      </c>
      <c r="EL306" s="43" t="str">
        <f t="shared" si="3743"/>
        <v/>
      </c>
      <c r="EM306" s="43" t="str">
        <f t="shared" si="3744"/>
        <v/>
      </c>
      <c r="EN306" s="43" t="str">
        <f t="shared" si="3745"/>
        <v/>
      </c>
      <c r="EO306" s="43" t="str">
        <f t="shared" si="3746"/>
        <v/>
      </c>
      <c r="EP306" s="43" t="str">
        <f t="shared" si="3747"/>
        <v/>
      </c>
      <c r="EQ306" s="43" t="str">
        <f t="shared" si="3748"/>
        <v/>
      </c>
      <c r="ER306" s="43" t="str">
        <f t="shared" si="3749"/>
        <v/>
      </c>
      <c r="ES306" s="43" t="str">
        <f t="shared" si="3750"/>
        <v/>
      </c>
      <c r="ET306" s="43" t="str">
        <f t="shared" si="3751"/>
        <v/>
      </c>
      <c r="EU306" s="43" t="str">
        <f t="shared" si="3752"/>
        <v/>
      </c>
      <c r="EV306" s="43" t="str">
        <f t="shared" si="3753"/>
        <v/>
      </c>
      <c r="EW306" s="43" t="str">
        <f t="shared" si="3754"/>
        <v/>
      </c>
      <c r="EX306" s="43" t="str">
        <f t="shared" si="3755"/>
        <v/>
      </c>
      <c r="EY306" s="43" t="str">
        <f t="shared" si="3756"/>
        <v/>
      </c>
      <c r="EZ306" s="43" t="str">
        <f t="shared" si="3757"/>
        <v/>
      </c>
      <c r="FA306" s="43" t="str">
        <f t="shared" si="3758"/>
        <v/>
      </c>
      <c r="FB306" s="43" t="str">
        <f t="shared" si="3759"/>
        <v/>
      </c>
      <c r="FC306" s="43" t="str">
        <f t="shared" si="3760"/>
        <v/>
      </c>
      <c r="FD306" s="43" t="str">
        <f t="shared" si="3761"/>
        <v/>
      </c>
      <c r="FE306" s="43" t="str">
        <f t="shared" si="3762"/>
        <v/>
      </c>
      <c r="FF306" s="43" t="str">
        <f t="shared" si="3763"/>
        <v/>
      </c>
      <c r="FG306" s="43" t="str">
        <f t="shared" si="3764"/>
        <v/>
      </c>
      <c r="FH306" s="43" t="str">
        <f t="shared" si="3765"/>
        <v/>
      </c>
      <c r="FI306" s="43" t="str">
        <f t="shared" si="3766"/>
        <v/>
      </c>
      <c r="FJ306" s="43" t="str">
        <f t="shared" si="3767"/>
        <v/>
      </c>
      <c r="FK306" s="43" t="str">
        <f t="shared" si="3768"/>
        <v/>
      </c>
      <c r="FL306" s="43" t="str">
        <f t="shared" si="3769"/>
        <v/>
      </c>
      <c r="FM306" s="43" t="str">
        <f t="shared" si="3770"/>
        <v/>
      </c>
      <c r="FN306" s="43" t="str">
        <f t="shared" si="3771"/>
        <v/>
      </c>
      <c r="FO306" s="43" t="str">
        <f t="shared" si="3772"/>
        <v/>
      </c>
      <c r="FP306" s="43" t="str">
        <f t="shared" si="3773"/>
        <v/>
      </c>
      <c r="FQ306" s="43" t="str">
        <f t="shared" si="3774"/>
        <v/>
      </c>
      <c r="FR306" s="43" t="str">
        <f t="shared" si="3775"/>
        <v/>
      </c>
      <c r="FS306" s="43" t="str">
        <f t="shared" si="3776"/>
        <v/>
      </c>
    </row>
    <row r="307" spans="92:175">
      <c r="CN307" s="12" t="str">
        <f t="shared" si="3701"/>
        <v>InitUnitState('',,,,,,,,,,)</v>
      </c>
      <c r="CO307" s="12" t="str">
        <f t="shared" si="3702"/>
        <v>InitUnitNormal('',,,,,,,,,,)</v>
      </c>
      <c r="CP307" s="12" t="str">
        <f t="shared" si="3703"/>
        <v>InitUnitMagic('',,,,,,,,,,)</v>
      </c>
      <c r="CQ307" s="12" t="str">
        <f t="shared" si="3704"/>
        <v>InitUnitAdd('',,,,,,,,,,)</v>
      </c>
      <c r="CR307" s="12" t="str">
        <f t="shared" si="3705"/>
        <v>InitEquipData('',,"",,,,,'','','','','','',"")</v>
      </c>
      <c r="CU307" s="5" t="str">
        <f t="shared" si="3777"/>
        <v>|n</v>
      </c>
      <c r="CW307" s="6"/>
      <c r="CX307" s="6"/>
      <c r="CY307" s="6"/>
      <c r="CZ307" s="6"/>
      <c r="DA307" s="6"/>
      <c r="DB307" s="43" t="str">
        <f t="shared" si="3707"/>
        <v/>
      </c>
      <c r="DC307" s="43" t="str">
        <f t="shared" si="3708"/>
        <v/>
      </c>
      <c r="DD307" s="43" t="str">
        <f t="shared" si="3709"/>
        <v/>
      </c>
      <c r="DE307" s="43" t="str">
        <f t="shared" si="3710"/>
        <v/>
      </c>
      <c r="DF307" s="43" t="str">
        <f t="shared" si="3711"/>
        <v/>
      </c>
      <c r="DG307" s="43" t="str">
        <f t="shared" si="3712"/>
        <v/>
      </c>
      <c r="DH307" s="43" t="str">
        <f t="shared" si="3713"/>
        <v/>
      </c>
      <c r="DI307" s="43" t="str">
        <f t="shared" si="3714"/>
        <v/>
      </c>
      <c r="DJ307" s="43" t="str">
        <f t="shared" si="3715"/>
        <v/>
      </c>
      <c r="DK307" s="43" t="str">
        <f t="shared" si="3716"/>
        <v/>
      </c>
      <c r="DL307" s="43" t="str">
        <f t="shared" si="3717"/>
        <v/>
      </c>
      <c r="DM307" s="43" t="str">
        <f t="shared" si="3718"/>
        <v/>
      </c>
      <c r="DN307" s="43" t="str">
        <f t="shared" si="3719"/>
        <v/>
      </c>
      <c r="DO307" s="43" t="str">
        <f t="shared" si="3720"/>
        <v/>
      </c>
      <c r="DP307" s="43" t="str">
        <f t="shared" si="3721"/>
        <v/>
      </c>
      <c r="DQ307" s="43" t="str">
        <f t="shared" si="3722"/>
        <v/>
      </c>
      <c r="DR307" s="43" t="str">
        <f t="shared" si="3723"/>
        <v/>
      </c>
      <c r="DS307" s="43" t="str">
        <f t="shared" si="3724"/>
        <v/>
      </c>
      <c r="DT307" s="43" t="str">
        <f t="shared" si="3725"/>
        <v/>
      </c>
      <c r="DU307" s="43" t="str">
        <f t="shared" si="3726"/>
        <v/>
      </c>
      <c r="DV307" s="43" t="str">
        <f t="shared" si="3727"/>
        <v/>
      </c>
      <c r="DW307" s="43" t="str">
        <f t="shared" si="3728"/>
        <v/>
      </c>
      <c r="DX307" s="43" t="str">
        <f t="shared" si="3729"/>
        <v/>
      </c>
      <c r="DY307" s="43" t="str">
        <f t="shared" si="3730"/>
        <v/>
      </c>
      <c r="DZ307" s="43" t="str">
        <f t="shared" si="3731"/>
        <v/>
      </c>
      <c r="EA307" s="43" t="str">
        <f t="shared" si="3732"/>
        <v/>
      </c>
      <c r="EB307" s="43" t="str">
        <f t="shared" si="3733"/>
        <v/>
      </c>
      <c r="EC307" s="43" t="str">
        <f t="shared" si="3734"/>
        <v/>
      </c>
      <c r="ED307" s="43" t="str">
        <f t="shared" si="3735"/>
        <v/>
      </c>
      <c r="EE307" s="43" t="str">
        <f t="shared" si="3736"/>
        <v/>
      </c>
      <c r="EF307" s="43" t="str">
        <f t="shared" si="3737"/>
        <v/>
      </c>
      <c r="EG307" s="43" t="str">
        <f t="shared" si="3738"/>
        <v/>
      </c>
      <c r="EH307" s="43" t="str">
        <f t="shared" si="3739"/>
        <v/>
      </c>
      <c r="EI307" s="43" t="str">
        <f t="shared" si="3740"/>
        <v/>
      </c>
      <c r="EJ307" s="43" t="str">
        <f t="shared" si="3741"/>
        <v/>
      </c>
      <c r="EK307" s="43" t="str">
        <f t="shared" si="3742"/>
        <v/>
      </c>
      <c r="EL307" s="43" t="str">
        <f t="shared" si="3743"/>
        <v/>
      </c>
      <c r="EM307" s="43" t="str">
        <f t="shared" si="3744"/>
        <v/>
      </c>
      <c r="EN307" s="43" t="str">
        <f t="shared" si="3745"/>
        <v/>
      </c>
      <c r="EO307" s="43" t="str">
        <f t="shared" si="3746"/>
        <v/>
      </c>
      <c r="EP307" s="43" t="str">
        <f t="shared" si="3747"/>
        <v/>
      </c>
      <c r="EQ307" s="43" t="str">
        <f t="shared" si="3748"/>
        <v/>
      </c>
      <c r="ER307" s="43" t="str">
        <f t="shared" si="3749"/>
        <v/>
      </c>
      <c r="ES307" s="43" t="str">
        <f t="shared" si="3750"/>
        <v/>
      </c>
      <c r="ET307" s="43" t="str">
        <f t="shared" si="3751"/>
        <v/>
      </c>
      <c r="EU307" s="43" t="str">
        <f t="shared" si="3752"/>
        <v/>
      </c>
      <c r="EV307" s="43" t="str">
        <f t="shared" si="3753"/>
        <v/>
      </c>
      <c r="EW307" s="43" t="str">
        <f t="shared" si="3754"/>
        <v/>
      </c>
      <c r="EX307" s="43" t="str">
        <f t="shared" si="3755"/>
        <v/>
      </c>
      <c r="EY307" s="43" t="str">
        <f t="shared" si="3756"/>
        <v/>
      </c>
      <c r="EZ307" s="43" t="str">
        <f t="shared" si="3757"/>
        <v/>
      </c>
      <c r="FA307" s="43" t="str">
        <f t="shared" si="3758"/>
        <v/>
      </c>
      <c r="FB307" s="43" t="str">
        <f t="shared" si="3759"/>
        <v/>
      </c>
      <c r="FC307" s="43" t="str">
        <f t="shared" si="3760"/>
        <v/>
      </c>
      <c r="FD307" s="43" t="str">
        <f t="shared" si="3761"/>
        <v/>
      </c>
      <c r="FE307" s="43" t="str">
        <f t="shared" si="3762"/>
        <v/>
      </c>
      <c r="FF307" s="43" t="str">
        <f t="shared" si="3763"/>
        <v/>
      </c>
      <c r="FG307" s="43" t="str">
        <f t="shared" si="3764"/>
        <v/>
      </c>
      <c r="FH307" s="43" t="str">
        <f t="shared" si="3765"/>
        <v/>
      </c>
      <c r="FI307" s="43" t="str">
        <f t="shared" si="3766"/>
        <v/>
      </c>
      <c r="FJ307" s="43" t="str">
        <f t="shared" si="3767"/>
        <v/>
      </c>
      <c r="FK307" s="43" t="str">
        <f t="shared" si="3768"/>
        <v/>
      </c>
      <c r="FL307" s="43" t="str">
        <f t="shared" si="3769"/>
        <v/>
      </c>
      <c r="FM307" s="43" t="str">
        <f t="shared" si="3770"/>
        <v/>
      </c>
      <c r="FN307" s="43" t="str">
        <f t="shared" si="3771"/>
        <v/>
      </c>
      <c r="FO307" s="43" t="str">
        <f t="shared" si="3772"/>
        <v/>
      </c>
      <c r="FP307" s="43" t="str">
        <f t="shared" si="3773"/>
        <v/>
      </c>
      <c r="FQ307" s="43" t="str">
        <f t="shared" si="3774"/>
        <v/>
      </c>
      <c r="FR307" s="43" t="str">
        <f t="shared" si="3775"/>
        <v/>
      </c>
      <c r="FS307" s="43" t="str">
        <f t="shared" si="3776"/>
        <v/>
      </c>
    </row>
    <row r="308" spans="92:175">
      <c r="CN308" s="12" t="str">
        <f t="shared" si="3701"/>
        <v>InitUnitState('',,,,,,,,,,)</v>
      </c>
      <c r="CO308" s="12" t="str">
        <f t="shared" si="3702"/>
        <v>InitUnitNormal('',,,,,,,,,,)</v>
      </c>
      <c r="CP308" s="12" t="str">
        <f t="shared" si="3703"/>
        <v>InitUnitMagic('',,,,,,,,,,)</v>
      </c>
      <c r="CQ308" s="12" t="str">
        <f t="shared" si="3704"/>
        <v>InitUnitAdd('',,,,,,,,,,)</v>
      </c>
      <c r="CR308" s="12" t="str">
        <f t="shared" si="3705"/>
        <v>InitEquipData('',,"",,,,,'','','','','','',"")</v>
      </c>
      <c r="CU308" s="5" t="str">
        <f t="shared" si="3777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75">
      <c r="CN309" s="12" t="str">
        <f t="shared" si="3701"/>
        <v>InitUnitState('',,,,,,,,,,)</v>
      </c>
      <c r="CO309" s="12" t="str">
        <f t="shared" si="3702"/>
        <v>InitUnitNormal('',,,,,,,,,,)</v>
      </c>
      <c r="CP309" s="12" t="str">
        <f t="shared" si="3703"/>
        <v>InitUnitMagic('',,,,,,,,,,)</v>
      </c>
      <c r="CQ309" s="12" t="str">
        <f t="shared" si="3704"/>
        <v>InitUnitAdd('',,,,,,,,,,)</v>
      </c>
      <c r="CR309" s="12" t="str">
        <f t="shared" si="3705"/>
        <v>InitEquipData('',,"",,,,,'','','','','','',"")</v>
      </c>
      <c r="CU309" s="5" t="str">
        <f t="shared" si="3777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75">
      <c r="CN310" s="12" t="str">
        <f t="shared" si="3701"/>
        <v>InitUnitState('',,,,,,,,,,)</v>
      </c>
      <c r="CO310" s="12" t="str">
        <f t="shared" si="3702"/>
        <v>InitUnitNormal('',,,,,,,,,,)</v>
      </c>
      <c r="CP310" s="12" t="str">
        <f t="shared" si="3703"/>
        <v>InitUnitMagic('',,,,,,,,,,)</v>
      </c>
      <c r="CQ310" s="12" t="str">
        <f t="shared" si="3704"/>
        <v>InitUnitAdd('',,,,,,,,,,)</v>
      </c>
      <c r="CR310" s="12" t="str">
        <f t="shared" si="3705"/>
        <v>InitEquipData('',,"",,,,,'','','','','','',"")</v>
      </c>
      <c r="CU310" s="5" t="str">
        <f t="shared" si="3777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75">
      <c r="CN311" s="12" t="str">
        <f t="shared" si="3701"/>
        <v>InitUnitState('',,,,,,,,,,)</v>
      </c>
      <c r="CO311" s="12" t="str">
        <f t="shared" si="3702"/>
        <v>InitUnitNormal('',,,,,,,,,,)</v>
      </c>
      <c r="CP311" s="12" t="str">
        <f t="shared" si="3703"/>
        <v>InitUnitMagic('',,,,,,,,,,)</v>
      </c>
      <c r="CQ311" s="12" t="str">
        <f t="shared" si="3704"/>
        <v>InitUnitAdd('',,,,,,,,,,)</v>
      </c>
      <c r="CR311" s="12" t="str">
        <f t="shared" si="3705"/>
        <v>InitEquipData('',,"",,,,,'','','','','','',"")</v>
      </c>
      <c r="CU311" s="5" t="str">
        <f t="shared" si="3777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75">
      <c r="CN312" s="12" t="str">
        <f t="shared" si="3701"/>
        <v>InitUnitState('',,,,,,,,,,)</v>
      </c>
      <c r="CO312" s="12" t="str">
        <f t="shared" si="3702"/>
        <v>InitUnitNormal('',,,,,,,,,,)</v>
      </c>
      <c r="CP312" s="12" t="str">
        <f t="shared" si="3703"/>
        <v>InitUnitMagic('',,,,,,,,,,)</v>
      </c>
      <c r="CQ312" s="12" t="str">
        <f t="shared" si="3704"/>
        <v>InitUnitAdd('',,,,,,,,,,)</v>
      </c>
      <c r="CR312" s="12" t="str">
        <f t="shared" si="3705"/>
        <v>InitEquipData('',,"",,,,,'','','','','','',"")</v>
      </c>
      <c r="CU312" s="5" t="str">
        <f t="shared" si="3777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75">
      <c r="CN313" s="12" t="str">
        <f t="shared" si="3701"/>
        <v>InitUnitState('',,,,,,,,,,)</v>
      </c>
      <c r="CO313" s="12" t="str">
        <f t="shared" si="3702"/>
        <v>InitUnitNormal('',,,,,,,,,,)</v>
      </c>
      <c r="CP313" s="12" t="str">
        <f t="shared" si="3703"/>
        <v>InitUnitMagic('',,,,,,,,,,)</v>
      </c>
      <c r="CQ313" s="12" t="str">
        <f t="shared" si="3704"/>
        <v>InitUnitAdd('',,,,,,,,,,)</v>
      </c>
      <c r="CR313" s="12" t="str">
        <f t="shared" si="3705"/>
        <v>InitEquipData('',,"",,,,,'','','','','','',"")</v>
      </c>
      <c r="CU313" s="5" t="str">
        <f t="shared" si="3777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75">
      <c r="CN314" s="12" t="str">
        <f t="shared" si="3701"/>
        <v>InitUnitState('',,,,,,,,,,)</v>
      </c>
      <c r="CO314" s="12" t="str">
        <f t="shared" si="3702"/>
        <v>InitUnitNormal('',,,,,,,,,,)</v>
      </c>
      <c r="CP314" s="12" t="str">
        <f t="shared" si="3703"/>
        <v>InitUnitMagic('',,,,,,,,,,)</v>
      </c>
      <c r="CQ314" s="12" t="str">
        <f t="shared" si="3704"/>
        <v>InitUnitAdd('',,,,,,,,,,)</v>
      </c>
      <c r="CR314" s="12" t="str">
        <f t="shared" si="3705"/>
        <v>InitEquipData('',,"",,,,,'','','','','','',"")</v>
      </c>
      <c r="CU314" s="5" t="str">
        <f t="shared" si="3777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75">
      <c r="CN315" s="12" t="str">
        <f t="shared" si="3701"/>
        <v>InitUnitState('',,,,,,,,,,)</v>
      </c>
      <c r="CO315" s="12" t="str">
        <f t="shared" si="3702"/>
        <v>InitUnitNormal('',,,,,,,,,,)</v>
      </c>
      <c r="CP315" s="12" t="str">
        <f t="shared" si="3703"/>
        <v>InitUnitMagic('',,,,,,,,,,)</v>
      </c>
      <c r="CQ315" s="12" t="str">
        <f t="shared" si="3704"/>
        <v>InitUnitAdd('',,,,,,,,,,)</v>
      </c>
      <c r="CR315" s="12" t="str">
        <f t="shared" si="3705"/>
        <v>InitEquipData('',,"",,,,,'','','','','','',"")</v>
      </c>
      <c r="CU315" s="5" t="str">
        <f t="shared" si="3777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75">
      <c r="CN316" s="12" t="str">
        <f t="shared" si="3701"/>
        <v>InitUnitState('',,,,,,,,,,)</v>
      </c>
      <c r="CO316" s="12" t="str">
        <f t="shared" si="3702"/>
        <v>InitUnitNormal('',,,,,,,,,,)</v>
      </c>
      <c r="CP316" s="12" t="str">
        <f t="shared" si="3703"/>
        <v>InitUnitMagic('',,,,,,,,,,)</v>
      </c>
      <c r="CQ316" s="12" t="str">
        <f t="shared" si="3704"/>
        <v>InitUnitAdd('',,,,,,,,,,)</v>
      </c>
      <c r="CR316" s="12" t="str">
        <f t="shared" si="3705"/>
        <v>InitEquipData('',,"",,,,,'','','','','','',"")</v>
      </c>
      <c r="CU316" s="5" t="str">
        <f t="shared" si="3777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75">
      <c r="CN317" s="12" t="str">
        <f t="shared" si="3701"/>
        <v>InitUnitState('',,,,,,,,,,)</v>
      </c>
      <c r="CO317" s="12" t="str">
        <f t="shared" si="3702"/>
        <v>InitUnitNormal('',,,,,,,,,,)</v>
      </c>
      <c r="CP317" s="12" t="str">
        <f t="shared" si="3703"/>
        <v>InitUnitMagic('',,,,,,,,,,)</v>
      </c>
      <c r="CQ317" s="12" t="str">
        <f t="shared" si="3704"/>
        <v>InitUnitAdd('',,,,,,,,,,)</v>
      </c>
      <c r="CR317" s="12" t="str">
        <f t="shared" si="3705"/>
        <v>InitEquipData('',,"",,,,,'','','','','','',"")</v>
      </c>
      <c r="CU317" s="5" t="str">
        <f t="shared" si="3777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75">
      <c r="CN318" s="12" t="str">
        <f t="shared" si="3701"/>
        <v>InitUnitState('',,,,,,,,,,)</v>
      </c>
      <c r="CO318" s="12" t="str">
        <f t="shared" si="3702"/>
        <v>InitUnitNormal('',,,,,,,,,,)</v>
      </c>
      <c r="CP318" s="12" t="str">
        <f t="shared" si="3703"/>
        <v>InitUnitMagic('',,,,,,,,,,)</v>
      </c>
      <c r="CQ318" s="12" t="str">
        <f t="shared" si="3704"/>
        <v>InitUnitAdd('',,,,,,,,,,)</v>
      </c>
      <c r="CR318" s="12" t="str">
        <f t="shared" si="3705"/>
        <v>InitEquipData('',,"",,,,,'','','','','','',"")</v>
      </c>
      <c r="CU318" s="5" t="str">
        <f t="shared" si="3777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75">
      <c r="CN319" s="12" t="str">
        <f t="shared" ref="CN319:CN338" si="3778">"InitUnitState('"&amp;B319&amp;"',"&amp;V319&amp;","&amp;W319&amp;","&amp;X319&amp;","&amp;Y319&amp;","&amp;Z319&amp;","&amp;AA319&amp;","&amp;AB319&amp;","&amp;AC319&amp;","&amp;AD319&amp;","&amp;AE319&amp;")"</f>
        <v>InitUnitState('',,,,,,,,,,)</v>
      </c>
      <c r="CO319" s="12" t="str">
        <f t="shared" ref="CO319:CO338" si="3779">"InitUnitNormal('"&amp;B319&amp;"',"&amp;AF319&amp;","&amp;AG319&amp;","&amp;AH319&amp;","&amp;AI319&amp;","&amp;AJ319&amp;","&amp;AK319&amp;","&amp;AL319&amp;","&amp;AM319&amp;","&amp;AN319&amp;","&amp;AO319&amp;")"</f>
        <v>InitUnitNormal('',,,,,,,,,,)</v>
      </c>
      <c r="CP319" s="12" t="str">
        <f t="shared" ref="CP319:CP338" si="3780">"InitUnitMagic('"&amp;B319&amp;"',"&amp;AP319&amp;","&amp;AQ319&amp;","&amp;AR319&amp;","&amp;AS319&amp;","&amp;AT319&amp;","&amp;AU319&amp;","&amp;AV319&amp;","&amp;AW319&amp;","&amp;BI319&amp;","&amp;BJ319&amp;")"</f>
        <v>InitUnitMagic('',,,,,,,,,,)</v>
      </c>
      <c r="CQ319" s="12" t="str">
        <f t="shared" ref="CQ319:CQ338" si="3781">"InitUnitAdd('"&amp;B319&amp;"',"&amp;BK319&amp;","&amp;BL319&amp;","&amp;BM319&amp;","&amp;BN319&amp;","&amp;BO319&amp;","&amp;BP319&amp;","&amp;BQ319&amp;","&amp;BR319&amp;","&amp;BS319&amp;","&amp;BT319&amp;")"</f>
        <v>InitUnitAdd('',,,,,,,,,,)</v>
      </c>
      <c r="CR319" s="12" t="str">
        <f t="shared" ref="CR319:CR338" si="3782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InitEquipData('',,"",,,,,'','','','','','',"")</v>
      </c>
      <c r="CU319" s="5" t="str">
        <f t="shared" si="3777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75">
      <c r="CN320" s="12" t="str">
        <f t="shared" si="3778"/>
        <v>InitUnitState('',,,,,,,,,,)</v>
      </c>
      <c r="CO320" s="12" t="str">
        <f t="shared" si="3779"/>
        <v>InitUnitNormal('',,,,,,,,,,)</v>
      </c>
      <c r="CP320" s="12" t="str">
        <f t="shared" si="3780"/>
        <v>InitUnitMagic('',,,,,,,,,,)</v>
      </c>
      <c r="CQ320" s="12" t="str">
        <f t="shared" si="3781"/>
        <v>InitUnitAdd('',,,,,,,,,,)</v>
      </c>
      <c r="CR320" s="12" t="str">
        <f t="shared" si="3782"/>
        <v>InitEquipData('',,"",,,,,'','','','','','',"")</v>
      </c>
      <c r="CU320" s="5" t="str">
        <f t="shared" si="3777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78"/>
        <v>InitUnitState('',,,,,,,,,,)</v>
      </c>
      <c r="CO321" s="12" t="str">
        <f t="shared" si="3779"/>
        <v>InitUnitNormal('',,,,,,,,,,)</v>
      </c>
      <c r="CP321" s="12" t="str">
        <f t="shared" si="3780"/>
        <v>InitUnitMagic('',,,,,,,,,,)</v>
      </c>
      <c r="CQ321" s="12" t="str">
        <f t="shared" si="3781"/>
        <v>InitUnitAdd('',,,,,,,,,,)</v>
      </c>
      <c r="CR321" s="12" t="str">
        <f t="shared" si="3782"/>
        <v>InitEquipData('',,"",,,,,'','','','','','',"")</v>
      </c>
      <c r="CU321" s="5" t="str">
        <f t="shared" si="3777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78"/>
        <v>InitUnitState('',,,,,,,,,,)</v>
      </c>
      <c r="CO322" s="12" t="str">
        <f t="shared" si="3779"/>
        <v>InitUnitNormal('',,,,,,,,,,)</v>
      </c>
      <c r="CP322" s="12" t="str">
        <f t="shared" si="3780"/>
        <v>InitUnitMagic('',,,,,,,,,,)</v>
      </c>
      <c r="CQ322" s="12" t="str">
        <f t="shared" si="3781"/>
        <v>InitUnitAdd('',,,,,,,,,,)</v>
      </c>
      <c r="CR322" s="12" t="str">
        <f t="shared" si="3782"/>
        <v>InitEquipData('',,"",,,,,'','','','','','',"")</v>
      </c>
      <c r="CU322" s="5" t="str">
        <f t="shared" si="3777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78"/>
        <v>InitUnitState('',,,,,,,,,,)</v>
      </c>
      <c r="CO323" s="12" t="str">
        <f t="shared" si="3779"/>
        <v>InitUnitNormal('',,,,,,,,,,)</v>
      </c>
      <c r="CP323" s="12" t="str">
        <f t="shared" si="3780"/>
        <v>InitUnitMagic('',,,,,,,,,,)</v>
      </c>
      <c r="CQ323" s="12" t="str">
        <f t="shared" si="3781"/>
        <v>InitUnitAdd('',,,,,,,,,,)</v>
      </c>
      <c r="CR323" s="12" t="str">
        <f t="shared" si="3782"/>
        <v>InitEquipData('',,"",,,,,'','','','','','',"")</v>
      </c>
      <c r="CU323" s="5" t="str">
        <f t="shared" si="3777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78"/>
        <v>InitUnitState('',,,,,,,,,,)</v>
      </c>
      <c r="CO324" s="12" t="str">
        <f t="shared" si="3779"/>
        <v>InitUnitNormal('',,,,,,,,,,)</v>
      </c>
      <c r="CP324" s="12" t="str">
        <f t="shared" si="3780"/>
        <v>InitUnitMagic('',,,,,,,,,,)</v>
      </c>
      <c r="CQ324" s="12" t="str">
        <f t="shared" si="3781"/>
        <v>InitUnitAdd('',,,,,,,,,,)</v>
      </c>
      <c r="CR324" s="12" t="str">
        <f t="shared" si="3782"/>
        <v>InitEquipData('',,"",,,,,'','','','','','',"")</v>
      </c>
      <c r="CU324" s="5" t="str">
        <f t="shared" si="3777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78"/>
        <v>InitUnitState('',,,,,,,,,,)</v>
      </c>
      <c r="CO325" s="12" t="str">
        <f t="shared" si="3779"/>
        <v>InitUnitNormal('',,,,,,,,,,)</v>
      </c>
      <c r="CP325" s="12" t="str">
        <f t="shared" si="3780"/>
        <v>InitUnitMagic('',,,,,,,,,,)</v>
      </c>
      <c r="CQ325" s="12" t="str">
        <f t="shared" si="3781"/>
        <v>InitUnitAdd('',,,,,,,,,,)</v>
      </c>
      <c r="CR325" s="12" t="str">
        <f t="shared" si="3782"/>
        <v>InitEquipData('',,"",,,,,'','','','','','',"")</v>
      </c>
      <c r="CU325" s="5" t="str">
        <f t="shared" si="3777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78"/>
        <v>InitUnitState('',,,,,,,,,,)</v>
      </c>
      <c r="CO326" s="12" t="str">
        <f t="shared" si="3779"/>
        <v>InitUnitNormal('',,,,,,,,,,)</v>
      </c>
      <c r="CP326" s="12" t="str">
        <f t="shared" si="3780"/>
        <v>InitUnitMagic('',,,,,,,,,,)</v>
      </c>
      <c r="CQ326" s="12" t="str">
        <f t="shared" si="3781"/>
        <v>InitUnitAdd('',,,,,,,,,,)</v>
      </c>
      <c r="CR326" s="12" t="str">
        <f t="shared" si="3782"/>
        <v>InitEquipData('',,"",,,,,'','','','','','',"")</v>
      </c>
      <c r="CU326" s="5" t="str">
        <f t="shared" si="3777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78"/>
        <v>InitUnitState('',,,,,,,,,,)</v>
      </c>
      <c r="CO327" s="12" t="str">
        <f t="shared" si="3779"/>
        <v>InitUnitNormal('',,,,,,,,,,)</v>
      </c>
      <c r="CP327" s="12" t="str">
        <f t="shared" si="3780"/>
        <v>InitUnitMagic('',,,,,,,,,,)</v>
      </c>
      <c r="CQ327" s="12" t="str">
        <f t="shared" si="3781"/>
        <v>InitUnitAdd('',,,,,,,,,,)</v>
      </c>
      <c r="CR327" s="12" t="str">
        <f t="shared" si="3782"/>
        <v>InitEquipData('',,"",,,,,'','','','','','',"")</v>
      </c>
      <c r="CU327" s="5" t="str">
        <f t="shared" si="3777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78"/>
        <v>InitUnitState('',,,,,,,,,,)</v>
      </c>
      <c r="CO328" s="12" t="str">
        <f t="shared" si="3779"/>
        <v>InitUnitNormal('',,,,,,,,,,)</v>
      </c>
      <c r="CP328" s="12" t="str">
        <f t="shared" si="3780"/>
        <v>InitUnitMagic('',,,,,,,,,,)</v>
      </c>
      <c r="CQ328" s="12" t="str">
        <f t="shared" si="3781"/>
        <v>InitUnitAdd('',,,,,,,,,,)</v>
      </c>
      <c r="CR328" s="12" t="str">
        <f t="shared" si="3782"/>
        <v>InitEquipData('',,"",,,,,'','','','','','',"")</v>
      </c>
      <c r="CU328" s="5" t="str">
        <f t="shared" si="3777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78"/>
        <v>InitUnitState('',,,,,,,,,,)</v>
      </c>
      <c r="CO329" s="12" t="str">
        <f t="shared" si="3779"/>
        <v>InitUnitNormal('',,,,,,,,,,)</v>
      </c>
      <c r="CP329" s="12" t="str">
        <f t="shared" si="3780"/>
        <v>InitUnitMagic('',,,,,,,,,,)</v>
      </c>
      <c r="CQ329" s="12" t="str">
        <f t="shared" si="3781"/>
        <v>InitUnitAdd('',,,,,,,,,,)</v>
      </c>
      <c r="CR329" s="12" t="str">
        <f t="shared" si="3782"/>
        <v>InitEquipData('',,"",,,,,'','','','','','',"")</v>
      </c>
      <c r="CU329" s="5" t="str">
        <f t="shared" si="3777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78"/>
        <v>InitUnitState('',,,,,,,,,,)</v>
      </c>
      <c r="CO330" s="12" t="str">
        <f t="shared" si="3779"/>
        <v>InitUnitNormal('',,,,,,,,,,)</v>
      </c>
      <c r="CP330" s="12" t="str">
        <f t="shared" si="3780"/>
        <v>InitUnitMagic('',,,,,,,,,,)</v>
      </c>
      <c r="CQ330" s="12" t="str">
        <f t="shared" si="3781"/>
        <v>InitUnitAdd('',,,,,,,,,,)</v>
      </c>
      <c r="CR330" s="12" t="str">
        <f t="shared" si="3782"/>
        <v>InitEquipData('',,"",,,,,'','','','','','',"")</v>
      </c>
      <c r="CU330" s="5" t="str">
        <f t="shared" si="3777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78"/>
        <v>InitUnitState('',,,,,,,,,,)</v>
      </c>
      <c r="CO331" s="12" t="str">
        <f t="shared" si="3779"/>
        <v>InitUnitNormal('',,,,,,,,,,)</v>
      </c>
      <c r="CP331" s="12" t="str">
        <f t="shared" si="3780"/>
        <v>InitUnitMagic('',,,,,,,,,,)</v>
      </c>
      <c r="CQ331" s="12" t="str">
        <f t="shared" si="3781"/>
        <v>InitUnitAdd('',,,,,,,,,,)</v>
      </c>
      <c r="CR331" s="12" t="str">
        <f t="shared" si="3782"/>
        <v>InitEquipData('',,"",,,,,'','','','','','',"")</v>
      </c>
      <c r="CU331" s="5" t="str">
        <f t="shared" si="3777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78"/>
        <v>InitUnitState('',,,,,,,,,,)</v>
      </c>
      <c r="CO332" s="12" t="str">
        <f t="shared" si="3779"/>
        <v>InitUnitNormal('',,,,,,,,,,)</v>
      </c>
      <c r="CP332" s="12" t="str">
        <f t="shared" si="3780"/>
        <v>InitUnitMagic('',,,,,,,,,,)</v>
      </c>
      <c r="CQ332" s="12" t="str">
        <f t="shared" si="3781"/>
        <v>InitUnitAdd('',,,,,,,,,,)</v>
      </c>
      <c r="CR332" s="12" t="str">
        <f t="shared" si="3782"/>
        <v>InitEquipData('',,"",,,,,'','','','','','',"")</v>
      </c>
      <c r="CU332" s="5" t="str">
        <f t="shared" si="3777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78"/>
        <v>InitUnitState('',,,,,,,,,,)</v>
      </c>
      <c r="CO333" s="12" t="str">
        <f t="shared" si="3779"/>
        <v>InitUnitNormal('',,,,,,,,,,)</v>
      </c>
      <c r="CP333" s="12" t="str">
        <f t="shared" si="3780"/>
        <v>InitUnitMagic('',,,,,,,,,,)</v>
      </c>
      <c r="CQ333" s="12" t="str">
        <f t="shared" si="3781"/>
        <v>InitUnitAdd('',,,,,,,,,,)</v>
      </c>
      <c r="CR333" s="12" t="str">
        <f t="shared" si="3782"/>
        <v>InitEquipData('',,"",,,,,'','','','','','',"")</v>
      </c>
      <c r="CU333" s="5" t="str">
        <f t="shared" si="3777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  <row r="334" spans="92:120">
      <c r="CN334" s="12" t="str">
        <f t="shared" si="3778"/>
        <v>InitUnitState('',,,,,,,,,,)</v>
      </c>
      <c r="CO334" s="12" t="str">
        <f t="shared" si="3779"/>
        <v>InitUnitNormal('',,,,,,,,,,)</v>
      </c>
      <c r="CP334" s="12" t="str">
        <f t="shared" si="3780"/>
        <v>InitUnitMagic('',,,,,,,,,,)</v>
      </c>
      <c r="CQ334" s="12" t="str">
        <f t="shared" si="3781"/>
        <v>InitUnitAdd('',,,,,,,,,,)</v>
      </c>
      <c r="CR334" s="12" t="str">
        <f t="shared" si="3782"/>
        <v>InitEquipData('',,"",,,,,'','','','','','',"")</v>
      </c>
      <c r="CU334" s="5" t="str">
        <f t="shared" si="3777"/>
        <v>|n</v>
      </c>
      <c r="DB334" s="43" t="str">
        <f>IF(V334="","","|n"&amp;#REF!&amp;"+"&amp;V334)</f>
        <v/>
      </c>
      <c r="DC334" s="43" t="str">
        <f>IF(W334="","","|n"&amp;#REF!&amp;"+"&amp;W334)</f>
        <v/>
      </c>
      <c r="DD334" s="43" t="str">
        <f>IF(X334="","","|n"&amp;#REF!&amp;"+"&amp;X334)</f>
        <v/>
      </c>
      <c r="DE334" s="43" t="str">
        <f>IF(Y334="","","|n"&amp;#REF!&amp;"+"&amp;Y334)</f>
        <v/>
      </c>
      <c r="DF334" s="43" t="str">
        <f>IF(Z334="","","|n"&amp;#REF!&amp;"+"&amp;Z334)</f>
        <v/>
      </c>
      <c r="DG334" s="43" t="str">
        <f>IF(AA334="","","|n"&amp;#REF!&amp;"+"&amp;AA334)</f>
        <v/>
      </c>
      <c r="DH334" s="43" t="str">
        <f>IF(AB334="","","|n"&amp;#REF!&amp;"+"&amp;AB334)</f>
        <v/>
      </c>
      <c r="DI334" s="43" t="str">
        <f>IF(AC334="","","|n"&amp;#REF!&amp;"+"&amp;AC334&amp;"%")</f>
        <v/>
      </c>
      <c r="DJ334" s="43" t="str">
        <f>IF(AD334="","","|n"&amp;#REF!&amp;"+"&amp;AD334)</f>
        <v/>
      </c>
      <c r="DK334" s="43" t="str">
        <f>IF(AE334="","","|n"&amp;#REF!&amp;"+"&amp;AE334)</f>
        <v/>
      </c>
      <c r="DL334" s="43" t="str">
        <f>IF(AF334="","","|n"&amp;#REF!&amp;"+"&amp;AF334)</f>
        <v/>
      </c>
      <c r="DM334" s="43" t="str">
        <f>IF(AG334="","","|n"&amp;#REF!&amp;"+"&amp;AG334&amp;"%")</f>
        <v/>
      </c>
      <c r="DN334" s="43" t="str">
        <f>IF(AH334="","","|n"&amp;#REF!&amp;"+"&amp;AH334)</f>
        <v/>
      </c>
      <c r="DO334" s="43" t="str">
        <f>IF(AI334="","","|n"&amp;#REF!&amp;"+"&amp;AI334)</f>
        <v/>
      </c>
      <c r="DP334" s="43" t="str">
        <f>IF(AJ334="","","|n"&amp;#REF!&amp;"+"&amp;AJ334)</f>
        <v/>
      </c>
    </row>
    <row r="335" spans="92:120">
      <c r="CN335" s="12" t="str">
        <f t="shared" si="3778"/>
        <v>InitUnitState('',,,,,,,,,,)</v>
      </c>
      <c r="CO335" s="12" t="str">
        <f t="shared" si="3779"/>
        <v>InitUnitNormal('',,,,,,,,,,)</v>
      </c>
      <c r="CP335" s="12" t="str">
        <f t="shared" si="3780"/>
        <v>InitUnitMagic('',,,,,,,,,,)</v>
      </c>
      <c r="CQ335" s="12" t="str">
        <f t="shared" si="3781"/>
        <v>InitUnitAdd('',,,,,,,,,,)</v>
      </c>
      <c r="CR335" s="12" t="str">
        <f t="shared" si="3782"/>
        <v>InitEquipData('',,"",,,,,'','','','','','',"")</v>
      </c>
      <c r="CU335" s="5" t="str">
        <f t="shared" si="3777"/>
        <v>|n</v>
      </c>
      <c r="DB335" s="43" t="str">
        <f>IF(V335="","","|n"&amp;#REF!&amp;"+"&amp;V335)</f>
        <v/>
      </c>
      <c r="DC335" s="43" t="str">
        <f>IF(W335="","","|n"&amp;#REF!&amp;"+"&amp;W335)</f>
        <v/>
      </c>
      <c r="DD335" s="43" t="str">
        <f>IF(X335="","","|n"&amp;#REF!&amp;"+"&amp;X335)</f>
        <v/>
      </c>
      <c r="DE335" s="43" t="str">
        <f>IF(Y335="","","|n"&amp;#REF!&amp;"+"&amp;Y335)</f>
        <v/>
      </c>
      <c r="DF335" s="43" t="str">
        <f>IF(Z335="","","|n"&amp;#REF!&amp;"+"&amp;Z335)</f>
        <v/>
      </c>
      <c r="DG335" s="43" t="str">
        <f>IF(AA335="","","|n"&amp;#REF!&amp;"+"&amp;AA335)</f>
        <v/>
      </c>
      <c r="DH335" s="43" t="str">
        <f>IF(AB335="","","|n"&amp;#REF!&amp;"+"&amp;AB335)</f>
        <v/>
      </c>
      <c r="DI335" s="43" t="str">
        <f>IF(AC335="","","|n"&amp;#REF!&amp;"+"&amp;AC335&amp;"%")</f>
        <v/>
      </c>
      <c r="DJ335" s="43" t="str">
        <f>IF(AD335="","","|n"&amp;#REF!&amp;"+"&amp;AD335)</f>
        <v/>
      </c>
      <c r="DK335" s="43" t="str">
        <f>IF(AE335="","","|n"&amp;#REF!&amp;"+"&amp;AE335)</f>
        <v/>
      </c>
      <c r="DL335" s="43" t="str">
        <f>IF(AF335="","","|n"&amp;#REF!&amp;"+"&amp;AF335)</f>
        <v/>
      </c>
      <c r="DM335" s="43" t="str">
        <f>IF(AG335="","","|n"&amp;#REF!&amp;"+"&amp;AG335&amp;"%")</f>
        <v/>
      </c>
      <c r="DN335" s="43" t="str">
        <f>IF(AH335="","","|n"&amp;#REF!&amp;"+"&amp;AH335)</f>
        <v/>
      </c>
      <c r="DO335" s="43" t="str">
        <f>IF(AI335="","","|n"&amp;#REF!&amp;"+"&amp;AI335)</f>
        <v/>
      </c>
      <c r="DP335" s="43" t="str">
        <f>IF(AJ335="","","|n"&amp;#REF!&amp;"+"&amp;AJ335)</f>
        <v/>
      </c>
    </row>
    <row r="336" spans="92:120">
      <c r="CN336" s="12" t="str">
        <f t="shared" si="3778"/>
        <v>InitUnitState('',,,,,,,,,,)</v>
      </c>
      <c r="CO336" s="12" t="str">
        <f t="shared" si="3779"/>
        <v>InitUnitNormal('',,,,,,,,,,)</v>
      </c>
      <c r="CP336" s="12" t="str">
        <f t="shared" si="3780"/>
        <v>InitUnitMagic('',,,,,,,,,,)</v>
      </c>
      <c r="CQ336" s="12" t="str">
        <f t="shared" si="3781"/>
        <v>InitUnitAdd('',,,,,,,,,,)</v>
      </c>
      <c r="CR336" s="12" t="str">
        <f t="shared" si="3782"/>
        <v>InitEquipData('',,"",,,,,'','','','','','',"")</v>
      </c>
      <c r="CU336" s="5" t="str">
        <f t="shared" si="3777"/>
        <v>|n</v>
      </c>
      <c r="DB336" s="43" t="str">
        <f>IF(V336="","","|n"&amp;#REF!&amp;"+"&amp;V336)</f>
        <v/>
      </c>
      <c r="DC336" s="43" t="str">
        <f>IF(W336="","","|n"&amp;#REF!&amp;"+"&amp;W336)</f>
        <v/>
      </c>
      <c r="DD336" s="43" t="str">
        <f>IF(X336="","","|n"&amp;#REF!&amp;"+"&amp;X336)</f>
        <v/>
      </c>
      <c r="DE336" s="43" t="str">
        <f>IF(Y336="","","|n"&amp;#REF!&amp;"+"&amp;Y336)</f>
        <v/>
      </c>
      <c r="DF336" s="43" t="str">
        <f>IF(Z336="","","|n"&amp;#REF!&amp;"+"&amp;Z336)</f>
        <v/>
      </c>
      <c r="DG336" s="43" t="str">
        <f>IF(AA336="","","|n"&amp;#REF!&amp;"+"&amp;AA336)</f>
        <v/>
      </c>
      <c r="DH336" s="43" t="str">
        <f>IF(AB336="","","|n"&amp;#REF!&amp;"+"&amp;AB336)</f>
        <v/>
      </c>
      <c r="DI336" s="43" t="str">
        <f>IF(AC336="","","|n"&amp;#REF!&amp;"+"&amp;AC336&amp;"%")</f>
        <v/>
      </c>
      <c r="DJ336" s="43" t="str">
        <f>IF(AD336="","","|n"&amp;#REF!&amp;"+"&amp;AD336)</f>
        <v/>
      </c>
      <c r="DK336" s="43" t="str">
        <f>IF(AE336="","","|n"&amp;#REF!&amp;"+"&amp;AE336)</f>
        <v/>
      </c>
      <c r="DL336" s="43" t="str">
        <f>IF(AF336="","","|n"&amp;#REF!&amp;"+"&amp;AF336)</f>
        <v/>
      </c>
      <c r="DM336" s="43" t="str">
        <f>IF(AG336="","","|n"&amp;#REF!&amp;"+"&amp;AG336&amp;"%")</f>
        <v/>
      </c>
      <c r="DN336" s="43" t="str">
        <f>IF(AH336="","","|n"&amp;#REF!&amp;"+"&amp;AH336)</f>
        <v/>
      </c>
      <c r="DO336" s="43" t="str">
        <f>IF(AI336="","","|n"&amp;#REF!&amp;"+"&amp;AI336)</f>
        <v/>
      </c>
      <c r="DP336" s="43" t="str">
        <f>IF(AJ336="","","|n"&amp;#REF!&amp;"+"&amp;AJ336)</f>
        <v/>
      </c>
    </row>
    <row r="337" spans="92:120">
      <c r="CN337" s="12" t="str">
        <f t="shared" si="3778"/>
        <v>InitUnitState('',,,,,,,,,,)</v>
      </c>
      <c r="CO337" s="12" t="str">
        <f t="shared" si="3779"/>
        <v>InitUnitNormal('',,,,,,,,,,)</v>
      </c>
      <c r="CP337" s="12" t="str">
        <f t="shared" si="3780"/>
        <v>InitUnitMagic('',,,,,,,,,,)</v>
      </c>
      <c r="CQ337" s="12" t="str">
        <f t="shared" si="3781"/>
        <v>InitUnitAdd('',,,,,,,,,,)</v>
      </c>
      <c r="CR337" s="12" t="str">
        <f t="shared" si="3782"/>
        <v>InitEquipData('',,"",,,,,'','','','','','',"")</v>
      </c>
      <c r="CU337" s="5" t="str">
        <f t="shared" si="3777"/>
        <v>|n</v>
      </c>
      <c r="DB337" s="43" t="str">
        <f>IF(V337="","","|n"&amp;#REF!&amp;"+"&amp;V337)</f>
        <v/>
      </c>
      <c r="DC337" s="43" t="str">
        <f>IF(W337="","","|n"&amp;#REF!&amp;"+"&amp;W337)</f>
        <v/>
      </c>
      <c r="DD337" s="43" t="str">
        <f>IF(X337="","","|n"&amp;#REF!&amp;"+"&amp;X337)</f>
        <v/>
      </c>
      <c r="DE337" s="43" t="str">
        <f>IF(Y337="","","|n"&amp;#REF!&amp;"+"&amp;Y337)</f>
        <v/>
      </c>
      <c r="DF337" s="43" t="str">
        <f>IF(Z337="","","|n"&amp;#REF!&amp;"+"&amp;Z337)</f>
        <v/>
      </c>
      <c r="DG337" s="43" t="str">
        <f>IF(AA337="","","|n"&amp;#REF!&amp;"+"&amp;AA337)</f>
        <v/>
      </c>
      <c r="DH337" s="43" t="str">
        <f>IF(AB337="","","|n"&amp;#REF!&amp;"+"&amp;AB337)</f>
        <v/>
      </c>
      <c r="DI337" s="43" t="str">
        <f>IF(AC337="","","|n"&amp;#REF!&amp;"+"&amp;AC337&amp;"%")</f>
        <v/>
      </c>
      <c r="DJ337" s="43" t="str">
        <f>IF(AD337="","","|n"&amp;#REF!&amp;"+"&amp;AD337)</f>
        <v/>
      </c>
      <c r="DK337" s="43" t="str">
        <f>IF(AE337="","","|n"&amp;#REF!&amp;"+"&amp;AE337)</f>
        <v/>
      </c>
      <c r="DL337" s="43" t="str">
        <f>IF(AF337="","","|n"&amp;#REF!&amp;"+"&amp;AF337)</f>
        <v/>
      </c>
      <c r="DM337" s="43" t="str">
        <f>IF(AG337="","","|n"&amp;#REF!&amp;"+"&amp;AG337&amp;"%")</f>
        <v/>
      </c>
      <c r="DN337" s="43" t="str">
        <f>IF(AH337="","","|n"&amp;#REF!&amp;"+"&amp;AH337)</f>
        <v/>
      </c>
      <c r="DO337" s="43" t="str">
        <f>IF(AI337="","","|n"&amp;#REF!&amp;"+"&amp;AI337)</f>
        <v/>
      </c>
      <c r="DP337" s="43" t="str">
        <f>IF(AJ337="","","|n"&amp;#REF!&amp;"+"&amp;AJ337)</f>
        <v/>
      </c>
    </row>
    <row r="338" spans="92:120">
      <c r="CN338" s="12" t="str">
        <f t="shared" si="3778"/>
        <v>InitUnitState('',,,,,,,,,,)</v>
      </c>
      <c r="CO338" s="12" t="str">
        <f t="shared" si="3779"/>
        <v>InitUnitNormal('',,,,,,,,,,)</v>
      </c>
      <c r="CP338" s="12" t="str">
        <f t="shared" si="3780"/>
        <v>InitUnitMagic('',,,,,,,,,,)</v>
      </c>
      <c r="CQ338" s="12" t="str">
        <f t="shared" si="3781"/>
        <v>InitUnitAdd('',,,,,,,,,,)</v>
      </c>
      <c r="CR338" s="12" t="str">
        <f t="shared" si="3782"/>
        <v>InitEquipData('',,"",,,,,'','','','','','',"")</v>
      </c>
      <c r="CU338" s="5" t="str">
        <f t="shared" si="3777"/>
        <v>|n</v>
      </c>
      <c r="DB338" s="43" t="str">
        <f>IF(V338="","","|n"&amp;#REF!&amp;"+"&amp;V338)</f>
        <v/>
      </c>
      <c r="DC338" s="43" t="str">
        <f>IF(W338="","","|n"&amp;#REF!&amp;"+"&amp;W338)</f>
        <v/>
      </c>
      <c r="DD338" s="43" t="str">
        <f>IF(X338="","","|n"&amp;#REF!&amp;"+"&amp;X338)</f>
        <v/>
      </c>
      <c r="DE338" s="43" t="str">
        <f>IF(Y338="","","|n"&amp;#REF!&amp;"+"&amp;Y338)</f>
        <v/>
      </c>
      <c r="DF338" s="43" t="str">
        <f>IF(Z338="","","|n"&amp;#REF!&amp;"+"&amp;Z338)</f>
        <v/>
      </c>
      <c r="DG338" s="43" t="str">
        <f>IF(AA338="","","|n"&amp;#REF!&amp;"+"&amp;AA338)</f>
        <v/>
      </c>
      <c r="DH338" s="43" t="str">
        <f>IF(AB338="","","|n"&amp;#REF!&amp;"+"&amp;AB338)</f>
        <v/>
      </c>
      <c r="DI338" s="43" t="str">
        <f>IF(AC338="","","|n"&amp;#REF!&amp;"+"&amp;AC338&amp;"%")</f>
        <v/>
      </c>
      <c r="DJ338" s="43" t="str">
        <f>IF(AD338="","","|n"&amp;#REF!&amp;"+"&amp;AD338)</f>
        <v/>
      </c>
      <c r="DK338" s="43" t="str">
        <f>IF(AE338="","","|n"&amp;#REF!&amp;"+"&amp;AE338)</f>
        <v/>
      </c>
      <c r="DL338" s="43" t="str">
        <f>IF(AF338="","","|n"&amp;#REF!&amp;"+"&amp;AF338)</f>
        <v/>
      </c>
      <c r="DM338" s="43" t="str">
        <f>IF(AG338="","","|n"&amp;#REF!&amp;"+"&amp;AG338&amp;"%")</f>
        <v/>
      </c>
      <c r="DN338" s="43" t="str">
        <f>IF(AH338="","","|n"&amp;#REF!&amp;"+"&amp;AH338)</f>
        <v/>
      </c>
      <c r="DO338" s="43" t="str">
        <f>IF(AI338="","","|n"&amp;#REF!&amp;"+"&amp;AI338)</f>
        <v/>
      </c>
      <c r="DP338" s="43" t="str">
        <f>IF(AJ338="","","|n"&amp;#REF!&amp;"+"&amp;AJ338)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666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667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装备!A167</f>
        <v>0</v>
      </c>
      <c r="B173" s="31" t="str">
        <f>"'"&amp;装备!B167&amp;"'"</f>
        <v>'IP01'</v>
      </c>
      <c r="C173" s="31">
        <f>装备!J167</f>
        <v>0</v>
      </c>
      <c r="D173" s="31">
        <f>装备!K167</f>
        <v>0</v>
      </c>
      <c r="E173" s="31">
        <f>装备!L167</f>
        <v>0</v>
      </c>
      <c r="F173" s="31">
        <f>装备!M167</f>
        <v>0</v>
      </c>
      <c r="G173" s="31">
        <f>装备!N167</f>
        <v>0</v>
      </c>
      <c r="H173" s="31">
        <f>装备!O167</f>
        <v>0</v>
      </c>
      <c r="I173" s="31">
        <f>IF(装备!J167=0,0,"'"&amp;装备!J167&amp;"'")</f>
        <v>0</v>
      </c>
      <c r="J173" s="31">
        <f>IF(装备!K167=0,0,"'"&amp;装备!K167&amp;"'")</f>
        <v>0</v>
      </c>
      <c r="K173" s="31">
        <f>IF(装备!L167=0,0,"'"&amp;装备!L167&amp;"'")</f>
        <v>0</v>
      </c>
      <c r="L173" s="31">
        <f>IF(装备!M167=0,0,"'"&amp;装备!M167&amp;"'")</f>
        <v>0</v>
      </c>
      <c r="M173" s="31">
        <f>IF(装备!N167=0,0,"'"&amp;装备!N167&amp;"'")</f>
        <v>0</v>
      </c>
      <c r="N173" s="31">
        <f>IF(装备!O167=0,0,"'"&amp;装备!O167&amp;"'")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装备!A168</f>
        <v>0</v>
      </c>
      <c r="B174" s="31" t="str">
        <f>"'"&amp;装备!B168&amp;"'"</f>
        <v>'IP02'</v>
      </c>
      <c r="C174" s="31">
        <f>装备!J168</f>
        <v>0</v>
      </c>
      <c r="D174" s="31">
        <f>装备!K168</f>
        <v>0</v>
      </c>
      <c r="E174" s="31">
        <f>装备!L168</f>
        <v>0</v>
      </c>
      <c r="F174" s="31">
        <f>装备!M168</f>
        <v>0</v>
      </c>
      <c r="G174" s="31">
        <f>装备!N168</f>
        <v>0</v>
      </c>
      <c r="H174" s="31">
        <f>装备!O168</f>
        <v>0</v>
      </c>
      <c r="I174" s="31">
        <f>IF(装备!J168=0,0,"'"&amp;装备!J168&amp;"'")</f>
        <v>0</v>
      </c>
      <c r="J174" s="31">
        <f>IF(装备!K168=0,0,"'"&amp;装备!K168&amp;"'")</f>
        <v>0</v>
      </c>
      <c r="K174" s="31">
        <f>IF(装备!L168=0,0,"'"&amp;装备!L168&amp;"'")</f>
        <v>0</v>
      </c>
      <c r="L174" s="31">
        <f>IF(装备!M168=0,0,"'"&amp;装备!M168&amp;"'")</f>
        <v>0</v>
      </c>
      <c r="M174" s="31">
        <f>IF(装备!N168=0,0,"'"&amp;装备!N168&amp;"'")</f>
        <v>0</v>
      </c>
      <c r="N174" s="31">
        <f>IF(装备!O168=0,0,"'"&amp;装备!O168&amp;"'")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装备!A169</f>
        <v>0</v>
      </c>
      <c r="B175" s="31" t="str">
        <f>"'"&amp;装备!B169&amp;"'"</f>
        <v>'IP03'</v>
      </c>
      <c r="C175" s="31">
        <f>装备!J169</f>
        <v>0</v>
      </c>
      <c r="D175" s="31">
        <f>装备!K169</f>
        <v>0</v>
      </c>
      <c r="E175" s="31">
        <f>装备!L169</f>
        <v>0</v>
      </c>
      <c r="F175" s="31">
        <f>装备!M169</f>
        <v>0</v>
      </c>
      <c r="G175" s="31">
        <f>装备!N169</f>
        <v>0</v>
      </c>
      <c r="H175" s="31">
        <f>装备!O169</f>
        <v>0</v>
      </c>
      <c r="I175" s="31">
        <f>IF(装备!J169=0,0,"'"&amp;装备!J169&amp;"'")</f>
        <v>0</v>
      </c>
      <c r="J175" s="31">
        <f>IF(装备!K169=0,0,"'"&amp;装备!K169&amp;"'")</f>
        <v>0</v>
      </c>
      <c r="K175" s="31">
        <f>IF(装备!L169=0,0,"'"&amp;装备!L169&amp;"'")</f>
        <v>0</v>
      </c>
      <c r="L175" s="31">
        <f>IF(装备!M169=0,0,"'"&amp;装备!M169&amp;"'")</f>
        <v>0</v>
      </c>
      <c r="M175" s="31">
        <f>IF(装备!N169=0,0,"'"&amp;装备!N169&amp;"'")</f>
        <v>0</v>
      </c>
      <c r="N175" s="31">
        <f>IF(装备!O169=0,0,"'"&amp;装备!O169&amp;"'")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装备!A172</f>
        <v>0</v>
      </c>
      <c r="B176" s="31" t="str">
        <f>"'"&amp;装备!B172&amp;"'"</f>
        <v>'IT01'</v>
      </c>
      <c r="C176" s="31">
        <f>装备!J172</f>
        <v>0</v>
      </c>
      <c r="D176" s="31">
        <f>装备!K172</f>
        <v>0</v>
      </c>
      <c r="E176" s="31">
        <f>装备!L172</f>
        <v>0</v>
      </c>
      <c r="F176" s="31">
        <f>装备!M172</f>
        <v>0</v>
      </c>
      <c r="G176" s="31">
        <f>装备!N172</f>
        <v>0</v>
      </c>
      <c r="H176" s="31">
        <f>装备!O172</f>
        <v>0</v>
      </c>
      <c r="I176" s="31">
        <f>IF(装备!J172=0,0,"'"&amp;装备!J172&amp;"'")</f>
        <v>0</v>
      </c>
      <c r="J176" s="31">
        <f>IF(装备!K172=0,0,"'"&amp;装备!K172&amp;"'")</f>
        <v>0</v>
      </c>
      <c r="K176" s="31">
        <f>IF(装备!L172=0,0,"'"&amp;装备!L172&amp;"'")</f>
        <v>0</v>
      </c>
      <c r="L176" s="31">
        <f>IF(装备!M172=0,0,"'"&amp;装备!M172&amp;"'")</f>
        <v>0</v>
      </c>
      <c r="M176" s="31">
        <f>IF(装备!N172=0,0,"'"&amp;装备!N172&amp;"'")</f>
        <v>0</v>
      </c>
      <c r="N176" s="31">
        <f>IF(装备!O172=0,0,"'"&amp;装备!O172&amp;"'")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装备!A173</f>
        <v>0</v>
      </c>
      <c r="B177" s="31" t="str">
        <f>"'"&amp;装备!B173&amp;"'"</f>
        <v>'IT02'</v>
      </c>
      <c r="C177" s="31">
        <f>装备!J173</f>
        <v>0</v>
      </c>
      <c r="D177" s="31">
        <f>装备!K173</f>
        <v>0</v>
      </c>
      <c r="E177" s="31">
        <f>装备!L173</f>
        <v>0</v>
      </c>
      <c r="F177" s="31">
        <f>装备!M173</f>
        <v>0</v>
      </c>
      <c r="G177" s="31">
        <f>装备!N173</f>
        <v>0</v>
      </c>
      <c r="H177" s="31">
        <f>装备!O173</f>
        <v>0</v>
      </c>
      <c r="I177" s="31">
        <f>IF(装备!J173=0,0,"'"&amp;装备!J173&amp;"'")</f>
        <v>0</v>
      </c>
      <c r="J177" s="31">
        <f>IF(装备!K173=0,0,"'"&amp;装备!K173&amp;"'")</f>
        <v>0</v>
      </c>
      <c r="K177" s="31">
        <f>IF(装备!L173=0,0,"'"&amp;装备!L173&amp;"'")</f>
        <v>0</v>
      </c>
      <c r="L177" s="31">
        <f>IF(装备!M173=0,0,"'"&amp;装备!M173&amp;"'")</f>
        <v>0</v>
      </c>
      <c r="M177" s="31">
        <f>IF(装备!N173=0,0,"'"&amp;装备!N173&amp;"'")</f>
        <v>0</v>
      </c>
      <c r="N177" s="31">
        <f>IF(装备!O173=0,0,"'"&amp;装备!O173&amp;"'")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装备!A174</f>
        <v>0</v>
      </c>
      <c r="B178" s="31" t="str">
        <f>"'"&amp;装备!B174&amp;"'"</f>
        <v>'IT03'</v>
      </c>
      <c r="C178" s="31">
        <f>装备!J174</f>
        <v>0</v>
      </c>
      <c r="D178" s="31">
        <f>装备!K174</f>
        <v>0</v>
      </c>
      <c r="E178" s="31">
        <f>装备!L174</f>
        <v>0</v>
      </c>
      <c r="F178" s="31">
        <f>装备!M174</f>
        <v>0</v>
      </c>
      <c r="G178" s="31">
        <f>装备!N174</f>
        <v>0</v>
      </c>
      <c r="H178" s="31">
        <f>装备!O174</f>
        <v>0</v>
      </c>
      <c r="I178" s="31">
        <f>IF(装备!J174=0,0,"'"&amp;装备!J174&amp;"'")</f>
        <v>0</v>
      </c>
      <c r="J178" s="31">
        <f>IF(装备!K174=0,0,"'"&amp;装备!K174&amp;"'")</f>
        <v>0</v>
      </c>
      <c r="K178" s="31">
        <f>IF(装备!L174=0,0,"'"&amp;装备!L174&amp;"'")</f>
        <v>0</v>
      </c>
      <c r="L178" s="31">
        <f>IF(装备!M174=0,0,"'"&amp;装备!M174&amp;"'")</f>
        <v>0</v>
      </c>
      <c r="M178" s="31">
        <f>IF(装备!N174=0,0,"'"&amp;装备!N174&amp;"'")</f>
        <v>0</v>
      </c>
      <c r="N178" s="31">
        <f>IF(装备!O174=0,0,"'"&amp;装备!O174&amp;"'")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装备!A175</f>
        <v>0</v>
      </c>
      <c r="B179" s="31" t="str">
        <f>"'"&amp;装备!B175&amp;"'"</f>
        <v>'IT04'</v>
      </c>
      <c r="C179" s="31">
        <f>装备!J175</f>
        <v>0</v>
      </c>
      <c r="D179" s="31">
        <f>装备!K175</f>
        <v>0</v>
      </c>
      <c r="E179" s="31">
        <f>装备!L175</f>
        <v>0</v>
      </c>
      <c r="F179" s="31">
        <f>装备!M175</f>
        <v>0</v>
      </c>
      <c r="G179" s="31">
        <f>装备!N175</f>
        <v>0</v>
      </c>
      <c r="H179" s="31">
        <f>装备!O175</f>
        <v>0</v>
      </c>
      <c r="I179" s="31">
        <f>IF(装备!J175=0,0,"'"&amp;装备!J175&amp;"'")</f>
        <v>0</v>
      </c>
      <c r="J179" s="31">
        <f>IF(装备!K175=0,0,"'"&amp;装备!K175&amp;"'")</f>
        <v>0</v>
      </c>
      <c r="K179" s="31">
        <f>IF(装备!L175=0,0,"'"&amp;装备!L175&amp;"'")</f>
        <v>0</v>
      </c>
      <c r="L179" s="31">
        <f>IF(装备!M175=0,0,"'"&amp;装备!M175&amp;"'")</f>
        <v>0</v>
      </c>
      <c r="M179" s="31">
        <f>IF(装备!N175=0,0,"'"&amp;装备!N175&amp;"'")</f>
        <v>0</v>
      </c>
      <c r="N179" s="31">
        <f>IF(装备!O175=0,0,"'"&amp;装备!O175&amp;"'")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装备!A176</f>
        <v>0</v>
      </c>
      <c r="B180" s="31" t="str">
        <f>"'"&amp;装备!B176&amp;"'"</f>
        <v>'IT05'</v>
      </c>
      <c r="C180" s="31">
        <f>装备!J176</f>
        <v>0</v>
      </c>
      <c r="D180" s="31">
        <f>装备!K176</f>
        <v>0</v>
      </c>
      <c r="E180" s="31">
        <f>装备!L176</f>
        <v>0</v>
      </c>
      <c r="F180" s="31">
        <f>装备!M176</f>
        <v>0</v>
      </c>
      <c r="G180" s="31">
        <f>装备!N176</f>
        <v>0</v>
      </c>
      <c r="H180" s="31">
        <f>装备!O176</f>
        <v>0</v>
      </c>
      <c r="I180" s="31">
        <f>IF(装备!J176=0,0,"'"&amp;装备!J176&amp;"'")</f>
        <v>0</v>
      </c>
      <c r="J180" s="31">
        <f>IF(装备!K176=0,0,"'"&amp;装备!K176&amp;"'")</f>
        <v>0</v>
      </c>
      <c r="K180" s="31">
        <f>IF(装备!L176=0,0,"'"&amp;装备!L176&amp;"'")</f>
        <v>0</v>
      </c>
      <c r="L180" s="31">
        <f>IF(装备!M176=0,0,"'"&amp;装备!M176&amp;"'")</f>
        <v>0</v>
      </c>
      <c r="M180" s="31">
        <f>IF(装备!N176=0,0,"'"&amp;装备!N176&amp;"'")</f>
        <v>0</v>
      </c>
      <c r="N180" s="31">
        <f>IF(装备!O176=0,0,"'"&amp;装备!O176&amp;"'")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装备!A177</f>
        <v>0</v>
      </c>
      <c r="B181" s="31" t="str">
        <f>"'"&amp;装备!B177&amp;"'"</f>
        <v>'IT06'</v>
      </c>
      <c r="C181" s="31">
        <f>装备!J177</f>
        <v>0</v>
      </c>
      <c r="D181" s="31">
        <f>装备!K177</f>
        <v>0</v>
      </c>
      <c r="E181" s="31">
        <f>装备!L177</f>
        <v>0</v>
      </c>
      <c r="F181" s="31">
        <f>装备!M177</f>
        <v>0</v>
      </c>
      <c r="G181" s="31">
        <f>装备!N177</f>
        <v>0</v>
      </c>
      <c r="H181" s="31">
        <f>装备!O177</f>
        <v>0</v>
      </c>
      <c r="I181" s="31">
        <f>IF(装备!J177=0,0,"'"&amp;装备!J177&amp;"'")</f>
        <v>0</v>
      </c>
      <c r="J181" s="31">
        <f>IF(装备!K177=0,0,"'"&amp;装备!K177&amp;"'")</f>
        <v>0</v>
      </c>
      <c r="K181" s="31">
        <f>IF(装备!L177=0,0,"'"&amp;装备!L177&amp;"'")</f>
        <v>0</v>
      </c>
      <c r="L181" s="31">
        <f>IF(装备!M177=0,0,"'"&amp;装备!M177&amp;"'")</f>
        <v>0</v>
      </c>
      <c r="M181" s="31">
        <f>IF(装备!N177=0,0,"'"&amp;装备!N177&amp;"'")</f>
        <v>0</v>
      </c>
      <c r="N181" s="31">
        <f>IF(装备!O177=0,0,"'"&amp;装备!O177&amp;"'")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装备!A178</f>
        <v>0</v>
      </c>
      <c r="B182" s="31" t="str">
        <f>"'"&amp;装备!B178&amp;"'"</f>
        <v>'IT07'</v>
      </c>
      <c r="C182" s="31">
        <f>装备!J178</f>
        <v>0</v>
      </c>
      <c r="D182" s="31">
        <f>装备!K178</f>
        <v>0</v>
      </c>
      <c r="E182" s="31">
        <f>装备!L178</f>
        <v>0</v>
      </c>
      <c r="F182" s="31">
        <f>装备!M178</f>
        <v>0</v>
      </c>
      <c r="G182" s="31">
        <f>装备!N178</f>
        <v>0</v>
      </c>
      <c r="H182" s="31">
        <f>装备!O178</f>
        <v>0</v>
      </c>
      <c r="I182" s="31">
        <f>IF(装备!J178=0,0,"'"&amp;装备!J178&amp;"'")</f>
        <v>0</v>
      </c>
      <c r="J182" s="31">
        <f>IF(装备!K178=0,0,"'"&amp;装备!K178&amp;"'")</f>
        <v>0</v>
      </c>
      <c r="K182" s="31">
        <f>IF(装备!L178=0,0,"'"&amp;装备!L178&amp;"'")</f>
        <v>0</v>
      </c>
      <c r="L182" s="31">
        <f>IF(装备!M178=0,0,"'"&amp;装备!M178&amp;"'")</f>
        <v>0</v>
      </c>
      <c r="M182" s="31">
        <f>IF(装备!N178=0,0,"'"&amp;装备!N178&amp;"'")</f>
        <v>0</v>
      </c>
      <c r="N182" s="31">
        <f>IF(装备!O178=0,0,"'"&amp;装备!O178&amp;"'")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装备!A179</f>
        <v>.</v>
      </c>
      <c r="B183" s="31" t="str">
        <f>"'"&amp;装备!B179&amp;"'"</f>
        <v>'IT08'</v>
      </c>
      <c r="C183" s="31">
        <f>装备!J179</f>
        <v>0</v>
      </c>
      <c r="D183" s="31">
        <f>装备!K179</f>
        <v>0</v>
      </c>
      <c r="E183" s="31">
        <f>装备!L179</f>
        <v>0</v>
      </c>
      <c r="F183" s="31">
        <f>装备!M179</f>
        <v>0</v>
      </c>
      <c r="G183" s="31">
        <f>装备!N179</f>
        <v>0</v>
      </c>
      <c r="H183" s="31">
        <f>装备!O179</f>
        <v>0</v>
      </c>
      <c r="I183" s="31">
        <f>IF(装备!J179=0,0,"'"&amp;装备!J179&amp;"'")</f>
        <v>0</v>
      </c>
      <c r="J183" s="31">
        <f>IF(装备!K179=0,0,"'"&amp;装备!K179&amp;"'")</f>
        <v>0</v>
      </c>
      <c r="K183" s="31">
        <f>IF(装备!L179=0,0,"'"&amp;装备!L179&amp;"'")</f>
        <v>0</v>
      </c>
      <c r="L183" s="31">
        <f>IF(装备!M179=0,0,"'"&amp;装备!M179&amp;"'")</f>
        <v>0</v>
      </c>
      <c r="M183" s="31">
        <f>IF(装备!N179=0,0,"'"&amp;装备!N179&amp;"'")</f>
        <v>0</v>
      </c>
      <c r="N183" s="31">
        <f>IF(装备!O179=0,0,"'"&amp;装备!O179&amp;"'")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装备!A180</f>
        <v>0</v>
      </c>
      <c r="B184" s="31" t="str">
        <f>"'"&amp;装备!B180&amp;"'"</f>
        <v>'IT09'</v>
      </c>
      <c r="C184" s="31">
        <f>装备!J180</f>
        <v>0</v>
      </c>
      <c r="D184" s="31">
        <f>装备!K180</f>
        <v>0</v>
      </c>
      <c r="E184" s="31">
        <f>装备!L180</f>
        <v>0</v>
      </c>
      <c r="F184" s="31">
        <f>装备!M180</f>
        <v>0</v>
      </c>
      <c r="G184" s="31">
        <f>装备!N180</f>
        <v>0</v>
      </c>
      <c r="H184" s="31">
        <f>装备!O180</f>
        <v>0</v>
      </c>
      <c r="I184" s="31">
        <f>IF(装备!J180=0,0,"'"&amp;装备!J180&amp;"'")</f>
        <v>0</v>
      </c>
      <c r="J184" s="31">
        <f>IF(装备!K180=0,0,"'"&amp;装备!K180&amp;"'")</f>
        <v>0</v>
      </c>
      <c r="K184" s="31">
        <f>IF(装备!L180=0,0,"'"&amp;装备!L180&amp;"'")</f>
        <v>0</v>
      </c>
      <c r="L184" s="31">
        <f>IF(装备!M180=0,0,"'"&amp;装备!M180&amp;"'")</f>
        <v>0</v>
      </c>
      <c r="M184" s="31">
        <f>IF(装备!N180=0,0,"'"&amp;装备!N180&amp;"'")</f>
        <v>0</v>
      </c>
      <c r="N184" s="31">
        <f>IF(装备!O180=0,0,"'"&amp;装备!O180&amp;"'")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装备!A181</f>
        <v>0</v>
      </c>
      <c r="B185" s="31" t="str">
        <f>"'"&amp;装备!B181&amp;"'"</f>
        <v>'IT10'</v>
      </c>
      <c r="C185" s="31">
        <f>装备!J181</f>
        <v>0</v>
      </c>
      <c r="D185" s="31">
        <f>装备!K181</f>
        <v>0</v>
      </c>
      <c r="E185" s="31">
        <f>装备!L181</f>
        <v>0</v>
      </c>
      <c r="F185" s="31">
        <f>装备!M181</f>
        <v>0</v>
      </c>
      <c r="G185" s="31">
        <f>装备!N181</f>
        <v>0</v>
      </c>
      <c r="H185" s="31">
        <f>装备!O181</f>
        <v>0</v>
      </c>
      <c r="I185" s="31">
        <f>IF(装备!J181=0,0,"'"&amp;装备!J181&amp;"'")</f>
        <v>0</v>
      </c>
      <c r="J185" s="31">
        <f>IF(装备!K181=0,0,"'"&amp;装备!K181&amp;"'")</f>
        <v>0</v>
      </c>
      <c r="K185" s="31">
        <f>IF(装备!L181=0,0,"'"&amp;装备!L181&amp;"'")</f>
        <v>0</v>
      </c>
      <c r="L185" s="31">
        <f>IF(装备!M181=0,0,"'"&amp;装备!M181&amp;"'")</f>
        <v>0</v>
      </c>
      <c r="M185" s="31">
        <f>IF(装备!N181=0,0,"'"&amp;装备!N181&amp;"'")</f>
        <v>0</v>
      </c>
      <c r="N185" s="31">
        <f>IF(装备!O181=0,0,"'"&amp;装备!O181&amp;"'")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装备!A189</f>
        <v>0</v>
      </c>
      <c r="B186" s="31" t="str">
        <f>"'"&amp;装备!B189&amp;"'"</f>
        <v>'IS02'</v>
      </c>
      <c r="C186" s="31">
        <f>装备!J189</f>
        <v>0</v>
      </c>
      <c r="D186" s="31">
        <f>装备!K189</f>
        <v>0</v>
      </c>
      <c r="E186" s="31">
        <f>装备!L189</f>
        <v>0</v>
      </c>
      <c r="F186" s="31">
        <f>装备!M189</f>
        <v>0</v>
      </c>
      <c r="G186" s="31">
        <f>装备!N189</f>
        <v>0</v>
      </c>
      <c r="H186" s="31">
        <f>装备!O189</f>
        <v>0</v>
      </c>
      <c r="I186" s="31">
        <f>IF(装备!J189=0,0,"'"&amp;装备!J189&amp;"'")</f>
        <v>0</v>
      </c>
      <c r="J186" s="31">
        <f>IF(装备!K189=0,0,"'"&amp;装备!K189&amp;"'")</f>
        <v>0</v>
      </c>
      <c r="K186" s="31">
        <f>IF(装备!L189=0,0,"'"&amp;装备!L189&amp;"'")</f>
        <v>0</v>
      </c>
      <c r="L186" s="31">
        <f>IF(装备!M189=0,0,"'"&amp;装备!M189&amp;"'")</f>
        <v>0</v>
      </c>
      <c r="M186" s="31">
        <f>IF(装备!N189=0,0,"'"&amp;装备!N189&amp;"'")</f>
        <v>0</v>
      </c>
      <c r="N186" s="31">
        <f>IF(装备!O189=0,0,"'"&amp;装备!O189&amp;"'")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装备!A190</f>
        <v>0</v>
      </c>
      <c r="B187" s="31" t="str">
        <f>"'"&amp;装备!B190&amp;"'"</f>
        <v>'IS03'</v>
      </c>
      <c r="C187" s="31">
        <f>装备!J190</f>
        <v>0</v>
      </c>
      <c r="D187" s="31">
        <f>装备!K190</f>
        <v>0</v>
      </c>
      <c r="E187" s="31">
        <f>装备!L190</f>
        <v>0</v>
      </c>
      <c r="F187" s="31">
        <f>装备!M190</f>
        <v>0</v>
      </c>
      <c r="G187" s="31">
        <f>装备!N190</f>
        <v>0</v>
      </c>
      <c r="H187" s="31">
        <f>装备!O190</f>
        <v>0</v>
      </c>
      <c r="I187" s="31">
        <f>IF(装备!J190=0,0,"'"&amp;装备!J190&amp;"'")</f>
        <v>0</v>
      </c>
      <c r="J187" s="31">
        <f>IF(装备!K190=0,0,"'"&amp;装备!K190&amp;"'")</f>
        <v>0</v>
      </c>
      <c r="K187" s="31">
        <f>IF(装备!L190=0,0,"'"&amp;装备!L190&amp;"'")</f>
        <v>0</v>
      </c>
      <c r="L187" s="31">
        <f>IF(装备!M190=0,0,"'"&amp;装备!M190&amp;"'")</f>
        <v>0</v>
      </c>
      <c r="M187" s="31">
        <f>IF(装备!N190=0,0,"'"&amp;装备!N190&amp;"'")</f>
        <v>0</v>
      </c>
      <c r="N187" s="31">
        <f>IF(装备!O190=0,0,"'"&amp;装备!O190&amp;"'")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装备!A195</f>
        <v>0</v>
      </c>
      <c r="B190" s="31" t="str">
        <f>"'"&amp;装备!B195&amp;"'"</f>
        <v>'IH00'</v>
      </c>
      <c r="C190" s="31">
        <f>装备!J195</f>
        <v>0</v>
      </c>
      <c r="D190" s="31">
        <f>装备!K195</f>
        <v>0</v>
      </c>
      <c r="E190" s="31">
        <f>装备!L195</f>
        <v>0</v>
      </c>
      <c r="F190" s="31">
        <f>装备!M195</f>
        <v>0</v>
      </c>
      <c r="G190" s="31">
        <f>装备!N195</f>
        <v>0</v>
      </c>
      <c r="H190" s="31">
        <f>装备!O195</f>
        <v>0</v>
      </c>
      <c r="I190" s="31">
        <f>IF(装备!J195=0,0,"'"&amp;装备!J195&amp;"'")</f>
        <v>0</v>
      </c>
      <c r="J190" s="31">
        <f>IF(装备!K195=0,0,"'"&amp;装备!K195&amp;"'")</f>
        <v>0</v>
      </c>
      <c r="K190" s="31">
        <f>IF(装备!L195=0,0,"'"&amp;装备!L195&amp;"'")</f>
        <v>0</v>
      </c>
      <c r="L190" s="31">
        <f>IF(装备!M195=0,0,"'"&amp;装备!M195&amp;"'")</f>
        <v>0</v>
      </c>
      <c r="M190" s="31">
        <f>IF(装备!N195=0,0,"'"&amp;装备!N195&amp;"'")</f>
        <v>0</v>
      </c>
      <c r="N190" s="31">
        <f>IF(装备!O195=0,0,"'"&amp;装备!O195&amp;"'")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装备!A196</f>
        <v>0</v>
      </c>
      <c r="B191" s="31" t="str">
        <f>"'"&amp;装备!B196&amp;"'"</f>
        <v>'IH01'</v>
      </c>
      <c r="C191" s="31">
        <f>装备!J196</f>
        <v>0</v>
      </c>
      <c r="D191" s="31">
        <f>装备!K196</f>
        <v>0</v>
      </c>
      <c r="E191" s="31">
        <f>装备!L196</f>
        <v>0</v>
      </c>
      <c r="F191" s="31">
        <f>装备!M196</f>
        <v>0</v>
      </c>
      <c r="G191" s="31">
        <f>装备!N196</f>
        <v>0</v>
      </c>
      <c r="H191" s="31">
        <f>装备!O196</f>
        <v>0</v>
      </c>
      <c r="I191" s="31">
        <f>IF(装备!J196=0,0,"'"&amp;装备!J196&amp;"'")</f>
        <v>0</v>
      </c>
      <c r="J191" s="31">
        <f>IF(装备!K196=0,0,"'"&amp;装备!K196&amp;"'")</f>
        <v>0</v>
      </c>
      <c r="K191" s="31">
        <f>IF(装备!L196=0,0,"'"&amp;装备!L196&amp;"'")</f>
        <v>0</v>
      </c>
      <c r="L191" s="31">
        <f>IF(装备!M196=0,0,"'"&amp;装备!M196&amp;"'")</f>
        <v>0</v>
      </c>
      <c r="M191" s="31">
        <f>IF(装备!N196=0,0,"'"&amp;装备!N196&amp;"'")</f>
        <v>0</v>
      </c>
      <c r="N191" s="31">
        <f>IF(装备!O196=0,0,"'"&amp;装备!O196&amp;"'")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装备!A197</f>
        <v>0</v>
      </c>
      <c r="B192" s="31" t="str">
        <f>"'"&amp;装备!B197&amp;"'"</f>
        <v>'IH02'</v>
      </c>
      <c r="C192" s="31">
        <f>装备!J197</f>
        <v>0</v>
      </c>
      <c r="D192" s="31">
        <f>装备!K197</f>
        <v>0</v>
      </c>
      <c r="E192" s="31">
        <f>装备!L197</f>
        <v>0</v>
      </c>
      <c r="F192" s="31">
        <f>装备!M197</f>
        <v>0</v>
      </c>
      <c r="G192" s="31">
        <f>装备!N197</f>
        <v>0</v>
      </c>
      <c r="H192" s="31">
        <f>装备!O197</f>
        <v>0</v>
      </c>
      <c r="I192" s="31">
        <f>IF(装备!J197=0,0,"'"&amp;装备!J197&amp;"'")</f>
        <v>0</v>
      </c>
      <c r="J192" s="31">
        <f>IF(装备!K197=0,0,"'"&amp;装备!K197&amp;"'")</f>
        <v>0</v>
      </c>
      <c r="K192" s="31">
        <f>IF(装备!L197=0,0,"'"&amp;装备!L197&amp;"'")</f>
        <v>0</v>
      </c>
      <c r="L192" s="31">
        <f>IF(装备!M197=0,0,"'"&amp;装备!M197&amp;"'")</f>
        <v>0</v>
      </c>
      <c r="M192" s="31">
        <f>IF(装备!N197=0,0,"'"&amp;装备!N197&amp;"'")</f>
        <v>0</v>
      </c>
      <c r="N192" s="31">
        <f>IF(装备!O197=0,0,"'"&amp;装备!O197&amp;"'")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装备!A198</f>
        <v>0</v>
      </c>
      <c r="B193" s="31" t="str">
        <f>"'"&amp;装备!B198&amp;"'"</f>
        <v>'IH03'</v>
      </c>
      <c r="C193" s="31">
        <f>装备!J198</f>
        <v>0</v>
      </c>
      <c r="D193" s="31">
        <f>装备!K198</f>
        <v>0</v>
      </c>
      <c r="E193" s="31">
        <f>装备!L198</f>
        <v>0</v>
      </c>
      <c r="F193" s="31">
        <f>装备!M198</f>
        <v>0</v>
      </c>
      <c r="G193" s="31">
        <f>装备!N198</f>
        <v>0</v>
      </c>
      <c r="H193" s="31">
        <f>装备!O198</f>
        <v>0</v>
      </c>
      <c r="I193" s="31">
        <f>IF(装备!J198=0,0,"'"&amp;装备!J198&amp;"'")</f>
        <v>0</v>
      </c>
      <c r="J193" s="31">
        <f>IF(装备!K198=0,0,"'"&amp;装备!K198&amp;"'")</f>
        <v>0</v>
      </c>
      <c r="K193" s="31">
        <f>IF(装备!L198=0,0,"'"&amp;装备!L198&amp;"'")</f>
        <v>0</v>
      </c>
      <c r="L193" s="31">
        <f>IF(装备!M198=0,0,"'"&amp;装备!M198&amp;"'")</f>
        <v>0</v>
      </c>
      <c r="M193" s="31">
        <f>IF(装备!N198=0,0,"'"&amp;装备!N198&amp;"'")</f>
        <v>0</v>
      </c>
      <c r="N193" s="31">
        <f>IF(装备!O198=0,0,"'"&amp;装备!O198&amp;"'")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装备!A199</f>
        <v>0</v>
      </c>
      <c r="B194" s="31" t="str">
        <f>"'"&amp;装备!B199&amp;"'"</f>
        <v>'IH04'</v>
      </c>
      <c r="C194" s="31">
        <f>装备!J199</f>
        <v>0</v>
      </c>
      <c r="D194" s="31">
        <f>装备!K199</f>
        <v>0</v>
      </c>
      <c r="E194" s="31">
        <f>装备!L199</f>
        <v>0</v>
      </c>
      <c r="F194" s="31">
        <f>装备!M199</f>
        <v>0</v>
      </c>
      <c r="G194" s="31">
        <f>装备!N199</f>
        <v>0</v>
      </c>
      <c r="H194" s="31">
        <f>装备!O199</f>
        <v>0</v>
      </c>
      <c r="I194" s="31">
        <f>IF(装备!J199=0,0,"'"&amp;装备!J199&amp;"'")</f>
        <v>0</v>
      </c>
      <c r="J194" s="31">
        <f>IF(装备!K199=0,0,"'"&amp;装备!K199&amp;"'")</f>
        <v>0</v>
      </c>
      <c r="K194" s="31">
        <f>IF(装备!L199=0,0,"'"&amp;装备!L199&amp;"'")</f>
        <v>0</v>
      </c>
      <c r="L194" s="31">
        <f>IF(装备!M199=0,0,"'"&amp;装备!M199&amp;"'")</f>
        <v>0</v>
      </c>
      <c r="M194" s="31">
        <f>IF(装备!N199=0,0,"'"&amp;装备!N199&amp;"'")</f>
        <v>0</v>
      </c>
      <c r="N194" s="31">
        <f>IF(装备!O199=0,0,"'"&amp;装备!O199&amp;"'")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装备!A200</f>
        <v>0</v>
      </c>
      <c r="B195" s="31" t="str">
        <f>"'"&amp;装备!B200&amp;"'"</f>
        <v>'IH05'</v>
      </c>
      <c r="C195" s="31">
        <f>装备!J200</f>
        <v>0</v>
      </c>
      <c r="D195" s="31">
        <f>装备!K200</f>
        <v>0</v>
      </c>
      <c r="E195" s="31">
        <f>装备!L200</f>
        <v>0</v>
      </c>
      <c r="F195" s="31">
        <f>装备!M200</f>
        <v>0</v>
      </c>
      <c r="G195" s="31">
        <f>装备!N200</f>
        <v>0</v>
      </c>
      <c r="H195" s="31">
        <f>装备!O200</f>
        <v>0</v>
      </c>
      <c r="I195" s="31">
        <f>IF(装备!J200=0,0,"'"&amp;装备!J200&amp;"'")</f>
        <v>0</v>
      </c>
      <c r="J195" s="31">
        <f>IF(装备!K200=0,0,"'"&amp;装备!K200&amp;"'")</f>
        <v>0</v>
      </c>
      <c r="K195" s="31">
        <f>IF(装备!L200=0,0,"'"&amp;装备!L200&amp;"'")</f>
        <v>0</v>
      </c>
      <c r="L195" s="31">
        <f>IF(装备!M200=0,0,"'"&amp;装备!M200&amp;"'")</f>
        <v>0</v>
      </c>
      <c r="M195" s="31">
        <f>IF(装备!N200=0,0,"'"&amp;装备!N200&amp;"'")</f>
        <v>0</v>
      </c>
      <c r="N195" s="31">
        <f>IF(装备!O200=0,0,"'"&amp;装备!O200&amp;"'")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装备!A201</f>
        <v>0</v>
      </c>
      <c r="B196" s="31" t="str">
        <f>"'"&amp;装备!B201&amp;"'"</f>
        <v>'IH06'</v>
      </c>
      <c r="C196" s="31">
        <f>装备!J201</f>
        <v>0</v>
      </c>
      <c r="D196" s="31">
        <f>装备!K201</f>
        <v>0</v>
      </c>
      <c r="E196" s="31">
        <f>装备!L201</f>
        <v>0</v>
      </c>
      <c r="F196" s="31">
        <f>装备!M201</f>
        <v>0</v>
      </c>
      <c r="G196" s="31">
        <f>装备!N201</f>
        <v>0</v>
      </c>
      <c r="H196" s="31">
        <f>装备!O201</f>
        <v>0</v>
      </c>
      <c r="I196" s="31">
        <f>IF(装备!J201=0,0,"'"&amp;装备!J201&amp;"'")</f>
        <v>0</v>
      </c>
      <c r="J196" s="31">
        <f>IF(装备!K201=0,0,"'"&amp;装备!K201&amp;"'")</f>
        <v>0</v>
      </c>
      <c r="K196" s="31">
        <f>IF(装备!L201=0,0,"'"&amp;装备!L201&amp;"'")</f>
        <v>0</v>
      </c>
      <c r="L196" s="31">
        <f>IF(装备!M201=0,0,"'"&amp;装备!M201&amp;"'")</f>
        <v>0</v>
      </c>
      <c r="M196" s="31">
        <f>IF(装备!N201=0,0,"'"&amp;装备!N201&amp;"'")</f>
        <v>0</v>
      </c>
      <c r="N196" s="31">
        <f>IF(装备!O201=0,0,"'"&amp;装备!O201&amp;"'")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装备!A202</f>
        <v>0</v>
      </c>
      <c r="B197" s="31" t="str">
        <f>"'"&amp;装备!B202&amp;"'"</f>
        <v>'IH07'</v>
      </c>
      <c r="C197" s="31">
        <f>装备!J202</f>
        <v>0</v>
      </c>
      <c r="D197" s="31">
        <f>装备!K202</f>
        <v>0</v>
      </c>
      <c r="E197" s="31">
        <f>装备!L202</f>
        <v>0</v>
      </c>
      <c r="F197" s="31">
        <f>装备!M202</f>
        <v>0</v>
      </c>
      <c r="G197" s="31">
        <f>装备!N202</f>
        <v>0</v>
      </c>
      <c r="H197" s="31">
        <f>装备!O202</f>
        <v>0</v>
      </c>
      <c r="I197" s="31">
        <f>IF(装备!J202=0,0,"'"&amp;装备!J202&amp;"'")</f>
        <v>0</v>
      </c>
      <c r="J197" s="31">
        <f>IF(装备!K202=0,0,"'"&amp;装备!K202&amp;"'")</f>
        <v>0</v>
      </c>
      <c r="K197" s="31">
        <f>IF(装备!L202=0,0,"'"&amp;装备!L202&amp;"'")</f>
        <v>0</v>
      </c>
      <c r="L197" s="31">
        <f>IF(装备!M202=0,0,"'"&amp;装备!M202&amp;"'")</f>
        <v>0</v>
      </c>
      <c r="M197" s="31">
        <f>IF(装备!N202=0,0,"'"&amp;装备!N202&amp;"'")</f>
        <v>0</v>
      </c>
      <c r="N197" s="31">
        <f>IF(装备!O202=0,0,"'"&amp;装备!O202&amp;"'")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装备!A203</f>
        <v>0</v>
      </c>
      <c r="B198" s="31" t="str">
        <f>"'"&amp;装备!B203&amp;"'"</f>
        <v>'IH08'</v>
      </c>
      <c r="C198" s="31">
        <f>装备!J203</f>
        <v>0</v>
      </c>
      <c r="D198" s="31">
        <f>装备!K203</f>
        <v>0</v>
      </c>
      <c r="E198" s="31">
        <f>装备!L203</f>
        <v>0</v>
      </c>
      <c r="F198" s="31">
        <f>装备!M203</f>
        <v>0</v>
      </c>
      <c r="G198" s="31">
        <f>装备!N203</f>
        <v>0</v>
      </c>
      <c r="H198" s="31">
        <f>装备!O203</f>
        <v>0</v>
      </c>
      <c r="I198" s="31">
        <f>IF(装备!J203=0,0,"'"&amp;装备!J203&amp;"'")</f>
        <v>0</v>
      </c>
      <c r="J198" s="31">
        <f>IF(装备!K203=0,0,"'"&amp;装备!K203&amp;"'")</f>
        <v>0</v>
      </c>
      <c r="K198" s="31">
        <f>IF(装备!L203=0,0,"'"&amp;装备!L203&amp;"'")</f>
        <v>0</v>
      </c>
      <c r="L198" s="31">
        <f>IF(装备!M203=0,0,"'"&amp;装备!M203&amp;"'")</f>
        <v>0</v>
      </c>
      <c r="M198" s="31">
        <f>IF(装备!N203=0,0,"'"&amp;装备!N203&amp;"'")</f>
        <v>0</v>
      </c>
      <c r="N198" s="31">
        <f>IF(装备!O203=0,0,"'"&amp;装备!O203&amp;"'")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装备!A222</f>
        <v>0</v>
      </c>
      <c r="B199" s="31" t="str">
        <f>"'"&amp;装备!B222&amp;"'"</f>
        <v>'IF01'</v>
      </c>
      <c r="C199" s="31">
        <f>装备!J222</f>
        <v>0</v>
      </c>
      <c r="D199" s="31">
        <f>装备!K222</f>
        <v>0</v>
      </c>
      <c r="E199" s="31">
        <f>装备!L222</f>
        <v>0</v>
      </c>
      <c r="F199" s="31">
        <f>装备!M222</f>
        <v>0</v>
      </c>
      <c r="G199" s="31">
        <f>装备!N222</f>
        <v>0</v>
      </c>
      <c r="H199" s="31">
        <f>装备!O222</f>
        <v>0</v>
      </c>
      <c r="I199" s="31">
        <f>IF(装备!J222=0,0,"'"&amp;装备!J222&amp;"'")</f>
        <v>0</v>
      </c>
      <c r="J199" s="31">
        <f>IF(装备!K222=0,0,"'"&amp;装备!K222&amp;"'")</f>
        <v>0</v>
      </c>
      <c r="K199" s="31">
        <f>IF(装备!L222=0,0,"'"&amp;装备!L222&amp;"'")</f>
        <v>0</v>
      </c>
      <c r="L199" s="31">
        <f>IF(装备!M222=0,0,"'"&amp;装备!M222&amp;"'")</f>
        <v>0</v>
      </c>
      <c r="M199" s="31">
        <f>IF(装备!N222=0,0,"'"&amp;装备!N222&amp;"'")</f>
        <v>0</v>
      </c>
      <c r="N199" s="31">
        <f>IF(装备!O222=0,0,"'"&amp;装备!O222&amp;"'")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装备!A223</f>
        <v>0</v>
      </c>
      <c r="B200" s="31" t="str">
        <f>"'"&amp;装备!B223&amp;"'"</f>
        <v>'IF02'</v>
      </c>
      <c r="C200" s="31">
        <f>装备!J223</f>
        <v>0</v>
      </c>
      <c r="D200" s="31">
        <f>装备!K223</f>
        <v>0</v>
      </c>
      <c r="E200" s="31">
        <f>装备!L223</f>
        <v>0</v>
      </c>
      <c r="F200" s="31">
        <f>装备!M223</f>
        <v>0</v>
      </c>
      <c r="G200" s="31">
        <f>装备!N223</f>
        <v>0</v>
      </c>
      <c r="H200" s="31">
        <f>装备!O223</f>
        <v>0</v>
      </c>
      <c r="I200" s="31">
        <f>IF(装备!J223=0,0,"'"&amp;装备!J223&amp;"'")</f>
        <v>0</v>
      </c>
      <c r="J200" s="31">
        <f>IF(装备!K223=0,0,"'"&amp;装备!K223&amp;"'")</f>
        <v>0</v>
      </c>
      <c r="K200" s="31">
        <f>IF(装备!L223=0,0,"'"&amp;装备!L223&amp;"'")</f>
        <v>0</v>
      </c>
      <c r="L200" s="31">
        <f>IF(装备!M223=0,0,"'"&amp;装备!M223&amp;"'")</f>
        <v>0</v>
      </c>
      <c r="M200" s="31">
        <f>IF(装备!N223=0,0,"'"&amp;装备!N223&amp;"'")</f>
        <v>0</v>
      </c>
      <c r="N200" s="31">
        <f>IF(装备!O223=0,0,"'"&amp;装备!O223&amp;"'")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装备!A224</f>
        <v>0</v>
      </c>
      <c r="B201" s="31" t="str">
        <f>"'"&amp;装备!B224&amp;"'"</f>
        <v>'IF03'</v>
      </c>
      <c r="C201" s="31">
        <f>装备!J224</f>
        <v>0</v>
      </c>
      <c r="D201" s="31">
        <f>装备!K224</f>
        <v>0</v>
      </c>
      <c r="E201" s="31">
        <f>装备!L224</f>
        <v>0</v>
      </c>
      <c r="F201" s="31">
        <f>装备!M224</f>
        <v>0</v>
      </c>
      <c r="G201" s="31">
        <f>装备!N224</f>
        <v>0</v>
      </c>
      <c r="H201" s="31">
        <f>装备!O224</f>
        <v>0</v>
      </c>
      <c r="I201" s="31">
        <f>IF(装备!J224=0,0,"'"&amp;装备!J224&amp;"'")</f>
        <v>0</v>
      </c>
      <c r="J201" s="31">
        <f>IF(装备!K224=0,0,"'"&amp;装备!K224&amp;"'")</f>
        <v>0</v>
      </c>
      <c r="K201" s="31">
        <f>IF(装备!L224=0,0,"'"&amp;装备!L224&amp;"'")</f>
        <v>0</v>
      </c>
      <c r="L201" s="31">
        <f>IF(装备!M224=0,0,"'"&amp;装备!M224&amp;"'")</f>
        <v>0</v>
      </c>
      <c r="M201" s="31">
        <f>IF(装备!N224=0,0,"'"&amp;装备!N224&amp;"'")</f>
        <v>0</v>
      </c>
      <c r="N201" s="31">
        <f>IF(装备!O224=0,0,"'"&amp;装备!O224&amp;"'")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装备!A225</f>
        <v>0</v>
      </c>
      <c r="B202" s="31" t="str">
        <f>"'"&amp;装备!B225&amp;"'"</f>
        <v>'IF04'</v>
      </c>
      <c r="C202" s="31">
        <f>装备!J225</f>
        <v>0</v>
      </c>
      <c r="D202" s="31">
        <f>装备!K225</f>
        <v>0</v>
      </c>
      <c r="E202" s="31">
        <f>装备!L225</f>
        <v>0</v>
      </c>
      <c r="F202" s="31">
        <f>装备!M225</f>
        <v>0</v>
      </c>
      <c r="G202" s="31">
        <f>装备!N225</f>
        <v>0</v>
      </c>
      <c r="H202" s="31">
        <f>装备!O225</f>
        <v>0</v>
      </c>
      <c r="I202" s="31">
        <f>IF(装备!J225=0,0,"'"&amp;装备!J225&amp;"'")</f>
        <v>0</v>
      </c>
      <c r="J202" s="31">
        <f>IF(装备!K225=0,0,"'"&amp;装备!K225&amp;"'")</f>
        <v>0</v>
      </c>
      <c r="K202" s="31">
        <f>IF(装备!L225=0,0,"'"&amp;装备!L225&amp;"'")</f>
        <v>0</v>
      </c>
      <c r="L202" s="31">
        <f>IF(装备!M225=0,0,"'"&amp;装备!M225&amp;"'")</f>
        <v>0</v>
      </c>
      <c r="M202" s="31">
        <f>IF(装备!N225=0,0,"'"&amp;装备!N225&amp;"'")</f>
        <v>0</v>
      </c>
      <c r="N202" s="31">
        <f>IF(装备!O225=0,0,"'"&amp;装备!O225&amp;"'")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装备!A226</f>
        <v>0</v>
      </c>
      <c r="B203" s="31" t="str">
        <f>"'"&amp;装备!B226&amp;"'"</f>
        <v>'IF05'</v>
      </c>
      <c r="C203" s="31">
        <f>装备!J226</f>
        <v>0</v>
      </c>
      <c r="D203" s="31">
        <f>装备!K226</f>
        <v>0</v>
      </c>
      <c r="E203" s="31">
        <f>装备!L226</f>
        <v>0</v>
      </c>
      <c r="F203" s="31">
        <f>装备!M226</f>
        <v>0</v>
      </c>
      <c r="G203" s="31">
        <f>装备!N226</f>
        <v>0</v>
      </c>
      <c r="H203" s="31">
        <f>装备!O226</f>
        <v>0</v>
      </c>
      <c r="I203" s="31">
        <f>IF(装备!J226=0,0,"'"&amp;装备!J226&amp;"'")</f>
        <v>0</v>
      </c>
      <c r="J203" s="31">
        <f>IF(装备!K226=0,0,"'"&amp;装备!K226&amp;"'")</f>
        <v>0</v>
      </c>
      <c r="K203" s="31">
        <f>IF(装备!L226=0,0,"'"&amp;装备!L226&amp;"'")</f>
        <v>0</v>
      </c>
      <c r="L203" s="31">
        <f>IF(装备!M226=0,0,"'"&amp;装备!M226&amp;"'")</f>
        <v>0</v>
      </c>
      <c r="M203" s="31">
        <f>IF(装备!N226=0,0,"'"&amp;装备!N226&amp;"'")</f>
        <v>0</v>
      </c>
      <c r="N203" s="31">
        <f>IF(装备!O226=0,0,"'"&amp;装备!O226&amp;"'")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装备!A227</f>
        <v>0</v>
      </c>
      <c r="B204" s="31" t="str">
        <f>"'"&amp;装备!B227&amp;"'"</f>
        <v>'IF06'</v>
      </c>
      <c r="C204" s="31">
        <f>装备!J227</f>
        <v>0</v>
      </c>
      <c r="D204" s="31">
        <f>装备!K227</f>
        <v>0</v>
      </c>
      <c r="E204" s="31">
        <f>装备!L227</f>
        <v>0</v>
      </c>
      <c r="F204" s="31">
        <f>装备!M227</f>
        <v>0</v>
      </c>
      <c r="G204" s="31">
        <f>装备!N227</f>
        <v>0</v>
      </c>
      <c r="H204" s="31">
        <f>装备!O227</f>
        <v>0</v>
      </c>
      <c r="I204" s="31">
        <f>IF(装备!J227=0,0,"'"&amp;装备!J227&amp;"'")</f>
        <v>0</v>
      </c>
      <c r="J204" s="31">
        <f>IF(装备!K227=0,0,"'"&amp;装备!K227&amp;"'")</f>
        <v>0</v>
      </c>
      <c r="K204" s="31">
        <f>IF(装备!L227=0,0,"'"&amp;装备!L227&amp;"'")</f>
        <v>0</v>
      </c>
      <c r="L204" s="31">
        <f>IF(装备!M227=0,0,"'"&amp;装备!M227&amp;"'")</f>
        <v>0</v>
      </c>
      <c r="M204" s="31">
        <f>IF(装备!N227=0,0,"'"&amp;装备!N227&amp;"'")</f>
        <v>0</v>
      </c>
      <c r="N204" s="31">
        <f>IF(装备!O227=0,0,"'"&amp;装备!O227&amp;"'")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装备!A228</f>
        <v>0</v>
      </c>
      <c r="B205" s="31" t="str">
        <f>"'"&amp;装备!B228&amp;"'"</f>
        <v>'IF07'</v>
      </c>
      <c r="C205" s="31">
        <f>装备!J228</f>
        <v>0</v>
      </c>
      <c r="D205" s="31">
        <f>装备!K228</f>
        <v>0</v>
      </c>
      <c r="E205" s="31">
        <f>装备!L228</f>
        <v>0</v>
      </c>
      <c r="F205" s="31">
        <f>装备!M228</f>
        <v>0</v>
      </c>
      <c r="G205" s="31">
        <f>装备!N228</f>
        <v>0</v>
      </c>
      <c r="H205" s="31">
        <f>装备!O228</f>
        <v>0</v>
      </c>
      <c r="I205" s="31">
        <f>IF(装备!J228=0,0,"'"&amp;装备!J228&amp;"'")</f>
        <v>0</v>
      </c>
      <c r="J205" s="31">
        <f>IF(装备!K228=0,0,"'"&amp;装备!K228&amp;"'")</f>
        <v>0</v>
      </c>
      <c r="K205" s="31">
        <f>IF(装备!L228=0,0,"'"&amp;装备!L228&amp;"'")</f>
        <v>0</v>
      </c>
      <c r="L205" s="31">
        <f>IF(装备!M228=0,0,"'"&amp;装备!M228&amp;"'")</f>
        <v>0</v>
      </c>
      <c r="M205" s="31">
        <f>IF(装备!N228=0,0,"'"&amp;装备!N228&amp;"'")</f>
        <v>0</v>
      </c>
      <c r="N205" s="31">
        <f>IF(装备!O228=0,0,"'"&amp;装备!O228&amp;"'")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装备!A229</f>
        <v>0</v>
      </c>
      <c r="B206" s="31" t="str">
        <f>"'"&amp;装备!B229&amp;"'"</f>
        <v>'IF08'</v>
      </c>
      <c r="C206" s="31">
        <f>装备!J229</f>
        <v>0</v>
      </c>
      <c r="D206" s="31">
        <f>装备!K229</f>
        <v>0</v>
      </c>
      <c r="E206" s="31">
        <f>装备!L229</f>
        <v>0</v>
      </c>
      <c r="F206" s="31">
        <f>装备!M229</f>
        <v>0</v>
      </c>
      <c r="G206" s="31">
        <f>装备!N229</f>
        <v>0</v>
      </c>
      <c r="H206" s="31">
        <f>装备!O229</f>
        <v>0</v>
      </c>
      <c r="I206" s="31">
        <f>IF(装备!J229=0,0,"'"&amp;装备!J229&amp;"'")</f>
        <v>0</v>
      </c>
      <c r="J206" s="31">
        <f>IF(装备!K229=0,0,"'"&amp;装备!K229&amp;"'")</f>
        <v>0</v>
      </c>
      <c r="K206" s="31">
        <f>IF(装备!L229=0,0,"'"&amp;装备!L229&amp;"'")</f>
        <v>0</v>
      </c>
      <c r="L206" s="31">
        <f>IF(装备!M229=0,0,"'"&amp;装备!M229&amp;"'")</f>
        <v>0</v>
      </c>
      <c r="M206" s="31">
        <f>IF(装备!N229=0,0,"'"&amp;装备!N229&amp;"'")</f>
        <v>0</v>
      </c>
      <c r="N206" s="31">
        <f>IF(装备!O229=0,0,"'"&amp;装备!O229&amp;"'")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装备!A230</f>
        <v>0</v>
      </c>
      <c r="B207" s="31" t="str">
        <f>"'"&amp;装备!B230&amp;"'"</f>
        <v>'IF09'</v>
      </c>
      <c r="C207" s="31">
        <f>装备!J230</f>
        <v>0</v>
      </c>
      <c r="D207" s="31">
        <f>装备!K230</f>
        <v>0</v>
      </c>
      <c r="E207" s="31">
        <f>装备!L230</f>
        <v>0</v>
      </c>
      <c r="F207" s="31">
        <f>装备!M230</f>
        <v>0</v>
      </c>
      <c r="G207" s="31">
        <f>装备!N230</f>
        <v>0</v>
      </c>
      <c r="H207" s="31">
        <f>装备!O230</f>
        <v>0</v>
      </c>
      <c r="I207" s="31">
        <f>IF(装备!J230=0,0,"'"&amp;装备!J230&amp;"'")</f>
        <v>0</v>
      </c>
      <c r="J207" s="31">
        <f>IF(装备!K230=0,0,"'"&amp;装备!K230&amp;"'")</f>
        <v>0</v>
      </c>
      <c r="K207" s="31">
        <f>IF(装备!L230=0,0,"'"&amp;装备!L230&amp;"'")</f>
        <v>0</v>
      </c>
      <c r="L207" s="31">
        <f>IF(装备!M230=0,0,"'"&amp;装备!M230&amp;"'")</f>
        <v>0</v>
      </c>
      <c r="M207" s="31">
        <f>IF(装备!N230=0,0,"'"&amp;装备!N230&amp;"'")</f>
        <v>0</v>
      </c>
      <c r="N207" s="31">
        <f>IF(装备!O230=0,0,"'"&amp;装备!O230&amp;"'")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装备!A231</f>
        <v>0</v>
      </c>
      <c r="B208" s="31" t="str">
        <f>"'"&amp;装备!B231&amp;"'"</f>
        <v>'IF10'</v>
      </c>
      <c r="C208" s="31">
        <f>装备!J231</f>
        <v>0</v>
      </c>
      <c r="D208" s="31">
        <f>装备!K231</f>
        <v>0</v>
      </c>
      <c r="E208" s="31">
        <f>装备!L231</f>
        <v>0</v>
      </c>
      <c r="F208" s="31">
        <f>装备!M231</f>
        <v>0</v>
      </c>
      <c r="G208" s="31">
        <f>装备!N231</f>
        <v>0</v>
      </c>
      <c r="H208" s="31">
        <f>装备!O231</f>
        <v>0</v>
      </c>
      <c r="I208" s="31">
        <f>IF(装备!J231=0,0,"'"&amp;装备!J231&amp;"'")</f>
        <v>0</v>
      </c>
      <c r="J208" s="31">
        <f>IF(装备!K231=0,0,"'"&amp;装备!K231&amp;"'")</f>
        <v>0</v>
      </c>
      <c r="K208" s="31">
        <f>IF(装备!L231=0,0,"'"&amp;装备!L231&amp;"'")</f>
        <v>0</v>
      </c>
      <c r="L208" s="31">
        <f>IF(装备!M231=0,0,"'"&amp;装备!M231&amp;"'")</f>
        <v>0</v>
      </c>
      <c r="M208" s="31">
        <f>IF(装备!N231=0,0,"'"&amp;装备!N231&amp;"'")</f>
        <v>0</v>
      </c>
      <c r="N208" s="31">
        <f>IF(装备!O231=0,0,"'"&amp;装备!O231&amp;"'")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装备!A232</f>
        <v>0</v>
      </c>
      <c r="B209" s="31" t="str">
        <f>"'"&amp;装备!B232&amp;"'"</f>
        <v>'IF11'</v>
      </c>
      <c r="C209" s="31">
        <f>装备!J232</f>
        <v>0</v>
      </c>
      <c r="D209" s="31">
        <f>装备!K232</f>
        <v>0</v>
      </c>
      <c r="E209" s="31">
        <f>装备!L232</f>
        <v>0</v>
      </c>
      <c r="F209" s="31">
        <f>装备!M232</f>
        <v>0</v>
      </c>
      <c r="G209" s="31">
        <f>装备!N232</f>
        <v>0</v>
      </c>
      <c r="H209" s="31">
        <f>装备!O232</f>
        <v>0</v>
      </c>
      <c r="I209" s="31">
        <f>IF(装备!J232=0,0,"'"&amp;装备!J232&amp;"'")</f>
        <v>0</v>
      </c>
      <c r="J209" s="31">
        <f>IF(装备!K232=0,0,"'"&amp;装备!K232&amp;"'")</f>
        <v>0</v>
      </c>
      <c r="K209" s="31">
        <f>IF(装备!L232=0,0,"'"&amp;装备!L232&amp;"'")</f>
        <v>0</v>
      </c>
      <c r="L209" s="31">
        <f>IF(装备!M232=0,0,"'"&amp;装备!M232&amp;"'")</f>
        <v>0</v>
      </c>
      <c r="M209" s="31">
        <f>IF(装备!N232=0,0,"'"&amp;装备!N232&amp;"'")</f>
        <v>0</v>
      </c>
      <c r="N209" s="31">
        <f>IF(装备!O232=0,0,"'"&amp;装备!O232&amp;"'")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装备!A233</f>
        <v>0</v>
      </c>
      <c r="B210" s="31" t="str">
        <f>"'"&amp;装备!B233&amp;"'"</f>
        <v>'IF12'</v>
      </c>
      <c r="C210" s="31">
        <f>装备!J233</f>
        <v>0</v>
      </c>
      <c r="D210" s="31">
        <f>装备!K233</f>
        <v>0</v>
      </c>
      <c r="E210" s="31">
        <f>装备!L233</f>
        <v>0</v>
      </c>
      <c r="F210" s="31">
        <f>装备!M233</f>
        <v>0</v>
      </c>
      <c r="G210" s="31">
        <f>装备!N233</f>
        <v>0</v>
      </c>
      <c r="H210" s="31">
        <f>装备!O233</f>
        <v>0</v>
      </c>
      <c r="I210" s="31">
        <f>IF(装备!J233=0,0,"'"&amp;装备!J233&amp;"'")</f>
        <v>0</v>
      </c>
      <c r="J210" s="31">
        <f>IF(装备!K233=0,0,"'"&amp;装备!K233&amp;"'")</f>
        <v>0</v>
      </c>
      <c r="K210" s="31">
        <f>IF(装备!L233=0,0,"'"&amp;装备!L233&amp;"'")</f>
        <v>0</v>
      </c>
      <c r="L210" s="31">
        <f>IF(装备!M233=0,0,"'"&amp;装备!M233&amp;"'")</f>
        <v>0</v>
      </c>
      <c r="M210" s="31">
        <f>IF(装备!N233=0,0,"'"&amp;装备!N233&amp;"'")</f>
        <v>0</v>
      </c>
      <c r="N210" s="31">
        <f>IF(装备!O233=0,0,"'"&amp;装备!O233&amp;"'")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装备!A234</f>
        <v>0</v>
      </c>
      <c r="B211" s="31" t="str">
        <f>"'"&amp;装备!B234&amp;"'"</f>
        <v>'IF13'</v>
      </c>
      <c r="C211" s="31">
        <f>装备!J234</f>
        <v>0</v>
      </c>
      <c r="D211" s="31">
        <f>装备!K234</f>
        <v>0</v>
      </c>
      <c r="E211" s="31">
        <f>装备!L234</f>
        <v>0</v>
      </c>
      <c r="F211" s="31">
        <f>装备!M234</f>
        <v>0</v>
      </c>
      <c r="G211" s="31">
        <f>装备!N234</f>
        <v>0</v>
      </c>
      <c r="H211" s="31">
        <f>装备!O234</f>
        <v>0</v>
      </c>
      <c r="I211" s="31">
        <f>IF(装备!J234=0,0,"'"&amp;装备!J234&amp;"'")</f>
        <v>0</v>
      </c>
      <c r="J211" s="31">
        <f>IF(装备!K234=0,0,"'"&amp;装备!K234&amp;"'")</f>
        <v>0</v>
      </c>
      <c r="K211" s="31">
        <f>IF(装备!L234=0,0,"'"&amp;装备!L234&amp;"'")</f>
        <v>0</v>
      </c>
      <c r="L211" s="31">
        <f>IF(装备!M234=0,0,"'"&amp;装备!M234&amp;"'")</f>
        <v>0</v>
      </c>
      <c r="M211" s="31">
        <f>IF(装备!N234=0,0,"'"&amp;装备!N234&amp;"'")</f>
        <v>0</v>
      </c>
      <c r="N211" s="31">
        <f>IF(装备!O234=0,0,"'"&amp;装备!O234&amp;"'")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装备!A235</f>
        <v>0</v>
      </c>
      <c r="B212" s="31" t="str">
        <f>"'"&amp;装备!B235&amp;"'"</f>
        <v>'IF14'</v>
      </c>
      <c r="C212" s="31">
        <f>装备!J235</f>
        <v>0</v>
      </c>
      <c r="D212" s="31">
        <f>装备!K235</f>
        <v>0</v>
      </c>
      <c r="E212" s="31">
        <f>装备!L235</f>
        <v>0</v>
      </c>
      <c r="F212" s="31">
        <f>装备!M235</f>
        <v>0</v>
      </c>
      <c r="G212" s="31">
        <f>装备!N235</f>
        <v>0</v>
      </c>
      <c r="H212" s="31">
        <f>装备!O235</f>
        <v>0</v>
      </c>
      <c r="I212" s="31">
        <f>IF(装备!J235=0,0,"'"&amp;装备!J235&amp;"'")</f>
        <v>0</v>
      </c>
      <c r="J212" s="31">
        <f>IF(装备!K235=0,0,"'"&amp;装备!K235&amp;"'")</f>
        <v>0</v>
      </c>
      <c r="K212" s="31">
        <f>IF(装备!L235=0,0,"'"&amp;装备!L235&amp;"'")</f>
        <v>0</v>
      </c>
      <c r="L212" s="31">
        <f>IF(装备!M235=0,0,"'"&amp;装备!M235&amp;"'")</f>
        <v>0</v>
      </c>
      <c r="M212" s="31">
        <f>IF(装备!N235=0,0,"'"&amp;装备!N235&amp;"'")</f>
        <v>0</v>
      </c>
      <c r="N212" s="31">
        <f>IF(装备!O235=0,0,"'"&amp;装备!O235&amp;"'")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装备!A236</f>
        <v>0</v>
      </c>
      <c r="B213" s="31" t="str">
        <f>"'"&amp;装备!B236&amp;"'"</f>
        <v>'IF15'</v>
      </c>
      <c r="C213" s="31">
        <f>装备!J236</f>
        <v>0</v>
      </c>
      <c r="D213" s="31">
        <f>装备!K236</f>
        <v>0</v>
      </c>
      <c r="E213" s="31">
        <f>装备!L236</f>
        <v>0</v>
      </c>
      <c r="F213" s="31">
        <f>装备!M236</f>
        <v>0</v>
      </c>
      <c r="G213" s="31">
        <f>装备!N236</f>
        <v>0</v>
      </c>
      <c r="H213" s="31">
        <f>装备!O236</f>
        <v>0</v>
      </c>
      <c r="I213" s="31">
        <f>IF(装备!J236=0,0,"'"&amp;装备!J236&amp;"'")</f>
        <v>0</v>
      </c>
      <c r="J213" s="31">
        <f>IF(装备!K236=0,0,"'"&amp;装备!K236&amp;"'")</f>
        <v>0</v>
      </c>
      <c r="K213" s="31">
        <f>IF(装备!L236=0,0,"'"&amp;装备!L236&amp;"'")</f>
        <v>0</v>
      </c>
      <c r="L213" s="31">
        <f>IF(装备!M236=0,0,"'"&amp;装备!M236&amp;"'")</f>
        <v>0</v>
      </c>
      <c r="M213" s="31">
        <f>IF(装备!N236=0,0,"'"&amp;装备!N236&amp;"'")</f>
        <v>0</v>
      </c>
      <c r="N213" s="31">
        <f>IF(装备!O236=0,0,"'"&amp;装备!O236&amp;"'")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装备!A237</f>
        <v>0</v>
      </c>
      <c r="B214" s="31" t="str">
        <f>"'"&amp;装备!B237&amp;"'"</f>
        <v>'IF16'</v>
      </c>
      <c r="C214" s="31">
        <f>装备!J237</f>
        <v>0</v>
      </c>
      <c r="D214" s="31">
        <f>装备!K237</f>
        <v>0</v>
      </c>
      <c r="E214" s="31">
        <f>装备!L237</f>
        <v>0</v>
      </c>
      <c r="F214" s="31">
        <f>装备!M237</f>
        <v>0</v>
      </c>
      <c r="G214" s="31">
        <f>装备!N237</f>
        <v>0</v>
      </c>
      <c r="H214" s="31">
        <f>装备!O237</f>
        <v>0</v>
      </c>
      <c r="I214" s="31">
        <f>IF(装备!J237=0,0,"'"&amp;装备!J237&amp;"'")</f>
        <v>0</v>
      </c>
      <c r="J214" s="31">
        <f>IF(装备!K237=0,0,"'"&amp;装备!K237&amp;"'")</f>
        <v>0</v>
      </c>
      <c r="K214" s="31">
        <f>IF(装备!L237=0,0,"'"&amp;装备!L237&amp;"'")</f>
        <v>0</v>
      </c>
      <c r="L214" s="31">
        <f>IF(装备!M237=0,0,"'"&amp;装备!M237&amp;"'")</f>
        <v>0</v>
      </c>
      <c r="M214" s="31">
        <f>IF(装备!N237=0,0,"'"&amp;装备!N237&amp;"'")</f>
        <v>0</v>
      </c>
      <c r="N214" s="31">
        <f>IF(装备!O237=0,0,"'"&amp;装备!O237&amp;"'")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装备!A238</f>
        <v>0</v>
      </c>
      <c r="B215" s="31" t="str">
        <f>"'"&amp;装备!B238&amp;"'"</f>
        <v>'IF17'</v>
      </c>
      <c r="C215" s="31">
        <f>装备!J238</f>
        <v>0</v>
      </c>
      <c r="D215" s="31">
        <f>装备!K238</f>
        <v>0</v>
      </c>
      <c r="E215" s="31">
        <f>装备!L238</f>
        <v>0</v>
      </c>
      <c r="F215" s="31">
        <f>装备!M238</f>
        <v>0</v>
      </c>
      <c r="G215" s="31">
        <f>装备!N238</f>
        <v>0</v>
      </c>
      <c r="H215" s="31">
        <f>装备!O238</f>
        <v>0</v>
      </c>
      <c r="I215" s="31">
        <f>IF(装备!J238=0,0,"'"&amp;装备!J238&amp;"'")</f>
        <v>0</v>
      </c>
      <c r="J215" s="31">
        <f>IF(装备!K238=0,0,"'"&amp;装备!K238&amp;"'")</f>
        <v>0</v>
      </c>
      <c r="K215" s="31">
        <f>IF(装备!L238=0,0,"'"&amp;装备!L238&amp;"'")</f>
        <v>0</v>
      </c>
      <c r="L215" s="31">
        <f>IF(装备!M238=0,0,"'"&amp;装备!M238&amp;"'")</f>
        <v>0</v>
      </c>
      <c r="M215" s="31">
        <f>IF(装备!N238=0,0,"'"&amp;装备!N238&amp;"'")</f>
        <v>0</v>
      </c>
      <c r="N215" s="31">
        <f>IF(装备!O238=0,0,"'"&amp;装备!O238&amp;"'")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装备!A239</f>
        <v>0</v>
      </c>
      <c r="B216" s="31" t="str">
        <f>"'"&amp;装备!B239&amp;"'"</f>
        <v>'IF18'</v>
      </c>
      <c r="C216" s="31">
        <f>装备!J239</f>
        <v>0</v>
      </c>
      <c r="D216" s="31">
        <f>装备!K239</f>
        <v>0</v>
      </c>
      <c r="E216" s="31">
        <f>装备!L239</f>
        <v>0</v>
      </c>
      <c r="F216" s="31">
        <f>装备!M239</f>
        <v>0</v>
      </c>
      <c r="G216" s="31">
        <f>装备!N239</f>
        <v>0</v>
      </c>
      <c r="H216" s="31">
        <f>装备!O239</f>
        <v>0</v>
      </c>
      <c r="I216" s="31">
        <f>IF(装备!J239=0,0,"'"&amp;装备!J239&amp;"'")</f>
        <v>0</v>
      </c>
      <c r="J216" s="31">
        <f>IF(装备!K239=0,0,"'"&amp;装备!K239&amp;"'")</f>
        <v>0</v>
      </c>
      <c r="K216" s="31">
        <f>IF(装备!L239=0,0,"'"&amp;装备!L239&amp;"'")</f>
        <v>0</v>
      </c>
      <c r="L216" s="31">
        <f>IF(装备!M239=0,0,"'"&amp;装备!M239&amp;"'")</f>
        <v>0</v>
      </c>
      <c r="M216" s="31">
        <f>IF(装备!N239=0,0,"'"&amp;装备!N239&amp;"'")</f>
        <v>0</v>
      </c>
      <c r="N216" s="31">
        <f>IF(装备!O239=0,0,"'"&amp;装备!O239&amp;"'")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装备!A240</f>
        <v>0</v>
      </c>
      <c r="B217" s="31" t="str">
        <f>"'"&amp;装备!B240&amp;"'"</f>
        <v>'IF19'</v>
      </c>
      <c r="C217" s="31">
        <f>装备!J240</f>
        <v>0</v>
      </c>
      <c r="D217" s="31">
        <f>装备!K240</f>
        <v>0</v>
      </c>
      <c r="E217" s="31">
        <f>装备!L240</f>
        <v>0</v>
      </c>
      <c r="F217" s="31">
        <f>装备!M240</f>
        <v>0</v>
      </c>
      <c r="G217" s="31">
        <f>装备!N240</f>
        <v>0</v>
      </c>
      <c r="H217" s="31">
        <f>装备!O240</f>
        <v>0</v>
      </c>
      <c r="I217" s="31">
        <f>IF(装备!J240=0,0,"'"&amp;装备!J240&amp;"'")</f>
        <v>0</v>
      </c>
      <c r="J217" s="31">
        <f>IF(装备!K240=0,0,"'"&amp;装备!K240&amp;"'")</f>
        <v>0</v>
      </c>
      <c r="K217" s="31">
        <f>IF(装备!L240=0,0,"'"&amp;装备!L240&amp;"'")</f>
        <v>0</v>
      </c>
      <c r="L217" s="31">
        <f>IF(装备!M240=0,0,"'"&amp;装备!M240&amp;"'")</f>
        <v>0</v>
      </c>
      <c r="M217" s="31">
        <f>IF(装备!N240=0,0,"'"&amp;装备!N240&amp;"'")</f>
        <v>0</v>
      </c>
      <c r="N217" s="31">
        <f>IF(装备!O240=0,0,"'"&amp;装备!O240&amp;"'")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装备!A241</f>
        <v>0</v>
      </c>
      <c r="B218" s="31" t="str">
        <f>"'"&amp;装备!B241&amp;"'"</f>
        <v>'IF20'</v>
      </c>
      <c r="C218" s="31">
        <f>装备!J241</f>
        <v>0</v>
      </c>
      <c r="D218" s="31">
        <f>装备!K241</f>
        <v>0</v>
      </c>
      <c r="E218" s="31">
        <f>装备!L241</f>
        <v>0</v>
      </c>
      <c r="F218" s="31">
        <f>装备!M241</f>
        <v>0</v>
      </c>
      <c r="G218" s="31">
        <f>装备!N241</f>
        <v>0</v>
      </c>
      <c r="H218" s="31">
        <f>装备!O241</f>
        <v>0</v>
      </c>
      <c r="I218" s="31">
        <f>IF(装备!J241=0,0,"'"&amp;装备!J241&amp;"'")</f>
        <v>0</v>
      </c>
      <c r="J218" s="31">
        <f>IF(装备!K241=0,0,"'"&amp;装备!K241&amp;"'")</f>
        <v>0</v>
      </c>
      <c r="K218" s="31">
        <f>IF(装备!L241=0,0,"'"&amp;装备!L241&amp;"'")</f>
        <v>0</v>
      </c>
      <c r="L218" s="31">
        <f>IF(装备!M241=0,0,"'"&amp;装备!M241&amp;"'")</f>
        <v>0</v>
      </c>
      <c r="M218" s="31">
        <f>IF(装备!N241=0,0,"'"&amp;装备!N241&amp;"'")</f>
        <v>0</v>
      </c>
      <c r="N218" s="31">
        <f>IF(装备!O241=0,0,"'"&amp;装备!O241&amp;"'")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装备!A242</f>
        <v>0</v>
      </c>
      <c r="B219" s="31" t="str">
        <f>"'"&amp;装备!B242&amp;"'"</f>
        <v>'IF21'</v>
      </c>
      <c r="C219" s="31">
        <f>装备!J242</f>
        <v>0</v>
      </c>
      <c r="D219" s="31">
        <f>装备!K242</f>
        <v>0</v>
      </c>
      <c r="E219" s="31">
        <f>装备!L242</f>
        <v>0</v>
      </c>
      <c r="F219" s="31">
        <f>装备!M242</f>
        <v>0</v>
      </c>
      <c r="G219" s="31">
        <f>装备!N242</f>
        <v>0</v>
      </c>
      <c r="H219" s="31">
        <f>装备!O242</f>
        <v>0</v>
      </c>
      <c r="I219" s="31">
        <f>IF(装备!J242=0,0,"'"&amp;装备!J242&amp;"'")</f>
        <v>0</v>
      </c>
      <c r="J219" s="31">
        <f>IF(装备!K242=0,0,"'"&amp;装备!K242&amp;"'")</f>
        <v>0</v>
      </c>
      <c r="K219" s="31">
        <f>IF(装备!L242=0,0,"'"&amp;装备!L242&amp;"'")</f>
        <v>0</v>
      </c>
      <c r="L219" s="31">
        <f>IF(装备!M242=0,0,"'"&amp;装备!M242&amp;"'")</f>
        <v>0</v>
      </c>
      <c r="M219" s="31">
        <f>IF(装备!N242=0,0,"'"&amp;装备!N242&amp;"'")</f>
        <v>0</v>
      </c>
      <c r="N219" s="31">
        <f>IF(装备!O242=0,0,"'"&amp;装备!O242&amp;"'")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装备!A243</f>
        <v>0</v>
      </c>
      <c r="B220" s="31" t="str">
        <f>"'"&amp;装备!B243&amp;"'"</f>
        <v>'IF22'</v>
      </c>
      <c r="C220" s="31">
        <f>装备!J243</f>
        <v>0</v>
      </c>
      <c r="D220" s="31">
        <f>装备!K243</f>
        <v>0</v>
      </c>
      <c r="E220" s="31">
        <f>装备!L243</f>
        <v>0</v>
      </c>
      <c r="F220" s="31">
        <f>装备!M243</f>
        <v>0</v>
      </c>
      <c r="G220" s="31">
        <f>装备!N243</f>
        <v>0</v>
      </c>
      <c r="H220" s="31">
        <f>装备!O243</f>
        <v>0</v>
      </c>
      <c r="I220" s="31">
        <f>IF(装备!J243=0,0,"'"&amp;装备!J243&amp;"'")</f>
        <v>0</v>
      </c>
      <c r="J220" s="31">
        <f>IF(装备!K243=0,0,"'"&amp;装备!K243&amp;"'")</f>
        <v>0</v>
      </c>
      <c r="K220" s="31">
        <f>IF(装备!L243=0,0,"'"&amp;装备!L243&amp;"'")</f>
        <v>0</v>
      </c>
      <c r="L220" s="31">
        <f>IF(装备!M243=0,0,"'"&amp;装备!M243&amp;"'")</f>
        <v>0</v>
      </c>
      <c r="M220" s="31">
        <f>IF(装备!N243=0,0,"'"&amp;装备!N243&amp;"'")</f>
        <v>0</v>
      </c>
      <c r="N220" s="31">
        <f>IF(装备!O243=0,0,"'"&amp;装备!O243&amp;"'")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装备!A244</f>
        <v>0</v>
      </c>
      <c r="B221" s="31" t="str">
        <f>"'"&amp;装备!B244&amp;"'"</f>
        <v>'IF23'</v>
      </c>
      <c r="C221" s="31">
        <f>装备!J244</f>
        <v>0</v>
      </c>
      <c r="D221" s="31">
        <f>装备!K244</f>
        <v>0</v>
      </c>
      <c r="E221" s="31">
        <f>装备!L244</f>
        <v>0</v>
      </c>
      <c r="F221" s="31">
        <f>装备!M244</f>
        <v>0</v>
      </c>
      <c r="G221" s="31">
        <f>装备!N244</f>
        <v>0</v>
      </c>
      <c r="H221" s="31">
        <f>装备!O244</f>
        <v>0</v>
      </c>
      <c r="I221" s="31">
        <f>IF(装备!J244=0,0,"'"&amp;装备!J244&amp;"'")</f>
        <v>0</v>
      </c>
      <c r="J221" s="31">
        <f>IF(装备!K244=0,0,"'"&amp;装备!K244&amp;"'")</f>
        <v>0</v>
      </c>
      <c r="K221" s="31">
        <f>IF(装备!L244=0,0,"'"&amp;装备!L244&amp;"'")</f>
        <v>0</v>
      </c>
      <c r="L221" s="31">
        <f>IF(装备!M244=0,0,"'"&amp;装备!M244&amp;"'")</f>
        <v>0</v>
      </c>
      <c r="M221" s="31">
        <f>IF(装备!N244=0,0,"'"&amp;装备!N244&amp;"'")</f>
        <v>0</v>
      </c>
      <c r="N221" s="31">
        <f>IF(装备!O244=0,0,"'"&amp;装备!O244&amp;"'")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装备!A245</f>
        <v>0</v>
      </c>
      <c r="B222" s="31" t="str">
        <f>"'"&amp;装备!B245&amp;"'"</f>
        <v>'IF24'</v>
      </c>
      <c r="C222" s="31">
        <f>装备!J245</f>
        <v>0</v>
      </c>
      <c r="D222" s="31">
        <f>装备!K245</f>
        <v>0</v>
      </c>
      <c r="E222" s="31">
        <f>装备!L245</f>
        <v>0</v>
      </c>
      <c r="F222" s="31">
        <f>装备!M245</f>
        <v>0</v>
      </c>
      <c r="G222" s="31">
        <f>装备!N245</f>
        <v>0</v>
      </c>
      <c r="H222" s="31">
        <f>装备!O245</f>
        <v>0</v>
      </c>
      <c r="I222" s="31">
        <f>IF(装备!J245=0,0,"'"&amp;装备!J245&amp;"'")</f>
        <v>0</v>
      </c>
      <c r="J222" s="31">
        <f>IF(装备!K245=0,0,"'"&amp;装备!K245&amp;"'")</f>
        <v>0</v>
      </c>
      <c r="K222" s="31">
        <f>IF(装备!L245=0,0,"'"&amp;装备!L245&amp;"'")</f>
        <v>0</v>
      </c>
      <c r="L222" s="31">
        <f>IF(装备!M245=0,0,"'"&amp;装备!M245&amp;"'")</f>
        <v>0</v>
      </c>
      <c r="M222" s="31">
        <f>IF(装备!N245=0,0,"'"&amp;装备!N245&amp;"'")</f>
        <v>0</v>
      </c>
      <c r="N222" s="31">
        <f>IF(装备!O245=0,0,"'"&amp;装备!O245&amp;"'")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装备!A246</f>
        <v>0</v>
      </c>
      <c r="B223" s="31" t="str">
        <f>"'"&amp;装备!B246&amp;"'"</f>
        <v>'IF25'</v>
      </c>
      <c r="C223" s="31">
        <f>装备!J246</f>
        <v>0</v>
      </c>
      <c r="D223" s="31">
        <f>装备!K246</f>
        <v>0</v>
      </c>
      <c r="E223" s="31">
        <f>装备!L246</f>
        <v>0</v>
      </c>
      <c r="F223" s="31">
        <f>装备!M246</f>
        <v>0</v>
      </c>
      <c r="G223" s="31">
        <f>装备!N246</f>
        <v>0</v>
      </c>
      <c r="H223" s="31">
        <f>装备!O246</f>
        <v>0</v>
      </c>
      <c r="I223" s="31">
        <f>IF(装备!J246=0,0,"'"&amp;装备!J246&amp;"'")</f>
        <v>0</v>
      </c>
      <c r="J223" s="31">
        <f>IF(装备!K246=0,0,"'"&amp;装备!K246&amp;"'")</f>
        <v>0</v>
      </c>
      <c r="K223" s="31">
        <f>IF(装备!L246=0,0,"'"&amp;装备!L246&amp;"'")</f>
        <v>0</v>
      </c>
      <c r="L223" s="31">
        <f>IF(装备!M246=0,0,"'"&amp;装备!M246&amp;"'")</f>
        <v>0</v>
      </c>
      <c r="M223" s="31">
        <f>IF(装备!N246=0,0,"'"&amp;装备!N246&amp;"'")</f>
        <v>0</v>
      </c>
      <c r="N223" s="31">
        <f>IF(装备!O246=0,0,"'"&amp;装备!O246&amp;"'")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装备!A247</f>
        <v>0</v>
      </c>
      <c r="B224" s="31" t="str">
        <f>"'"&amp;装备!B247&amp;"'"</f>
        <v>'IF26'</v>
      </c>
      <c r="C224" s="31">
        <f>装备!J247</f>
        <v>0</v>
      </c>
      <c r="D224" s="31">
        <f>装备!K247</f>
        <v>0</v>
      </c>
      <c r="E224" s="31">
        <f>装备!L247</f>
        <v>0</v>
      </c>
      <c r="F224" s="31">
        <f>装备!M247</f>
        <v>0</v>
      </c>
      <c r="G224" s="31">
        <f>装备!N247</f>
        <v>0</v>
      </c>
      <c r="H224" s="31">
        <f>装备!O247</f>
        <v>0</v>
      </c>
      <c r="I224" s="31">
        <f>IF(装备!J247=0,0,"'"&amp;装备!J247&amp;"'")</f>
        <v>0</v>
      </c>
      <c r="J224" s="31">
        <f>IF(装备!K247=0,0,"'"&amp;装备!K247&amp;"'")</f>
        <v>0</v>
      </c>
      <c r="K224" s="31">
        <f>IF(装备!L247=0,0,"'"&amp;装备!L247&amp;"'")</f>
        <v>0</v>
      </c>
      <c r="L224" s="31">
        <f>IF(装备!M247=0,0,"'"&amp;装备!M247&amp;"'")</f>
        <v>0</v>
      </c>
      <c r="M224" s="31">
        <f>IF(装备!N247=0,0,"'"&amp;装备!N247&amp;"'")</f>
        <v>0</v>
      </c>
      <c r="N224" s="31">
        <f>IF(装备!O247=0,0,"'"&amp;装备!O247&amp;"'")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装备!A248</f>
        <v>0</v>
      </c>
      <c r="B225" s="31" t="str">
        <f>"'"&amp;装备!B248&amp;"'"</f>
        <v>'IF27'</v>
      </c>
      <c r="C225" s="31">
        <f>装备!J248</f>
        <v>0</v>
      </c>
      <c r="D225" s="31">
        <f>装备!K248</f>
        <v>0</v>
      </c>
      <c r="E225" s="31">
        <f>装备!L248</f>
        <v>0</v>
      </c>
      <c r="F225" s="31">
        <f>装备!M248</f>
        <v>0</v>
      </c>
      <c r="G225" s="31">
        <f>装备!N248</f>
        <v>0</v>
      </c>
      <c r="H225" s="31">
        <f>装备!O248</f>
        <v>0</v>
      </c>
      <c r="I225" s="31">
        <f>IF(装备!J248=0,0,"'"&amp;装备!J248&amp;"'")</f>
        <v>0</v>
      </c>
      <c r="J225" s="31">
        <f>IF(装备!K248=0,0,"'"&amp;装备!K248&amp;"'")</f>
        <v>0</v>
      </c>
      <c r="K225" s="31">
        <f>IF(装备!L248=0,0,"'"&amp;装备!L248&amp;"'")</f>
        <v>0</v>
      </c>
      <c r="L225" s="31">
        <f>IF(装备!M248=0,0,"'"&amp;装备!M248&amp;"'")</f>
        <v>0</v>
      </c>
      <c r="M225" s="31">
        <f>IF(装备!N248=0,0,"'"&amp;装备!N248&amp;"'")</f>
        <v>0</v>
      </c>
      <c r="N225" s="31">
        <f>IF(装备!O248=0,0,"'"&amp;装备!O248&amp;"'")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装备!A249</f>
        <v>0</v>
      </c>
      <c r="B226" s="31" t="str">
        <f>"'"&amp;装备!B249&amp;"'"</f>
        <v>''</v>
      </c>
      <c r="C226" s="31">
        <f>装备!J249</f>
        <v>0</v>
      </c>
      <c r="D226" s="31">
        <f>装备!K249</f>
        <v>0</v>
      </c>
      <c r="E226" s="31">
        <f>装备!L249</f>
        <v>0</v>
      </c>
      <c r="F226" s="31">
        <f>装备!M249</f>
        <v>0</v>
      </c>
      <c r="G226" s="31">
        <f>装备!N249</f>
        <v>0</v>
      </c>
      <c r="H226" s="31">
        <f>装备!O249</f>
        <v>0</v>
      </c>
      <c r="I226" s="31">
        <f>IF(装备!J249=0,0,"'"&amp;装备!J249&amp;"'")</f>
        <v>0</v>
      </c>
      <c r="J226" s="31">
        <f>IF(装备!K249=0,0,"'"&amp;装备!K249&amp;"'")</f>
        <v>0</v>
      </c>
      <c r="K226" s="31">
        <f>IF(装备!L249=0,0,"'"&amp;装备!L249&amp;"'")</f>
        <v>0</v>
      </c>
      <c r="L226" s="31">
        <f>IF(装备!M249=0,0,"'"&amp;装备!M249&amp;"'")</f>
        <v>0</v>
      </c>
      <c r="M226" s="31">
        <f>IF(装备!N249=0,0,"'"&amp;装备!N249&amp;"'")</f>
        <v>0</v>
      </c>
      <c r="N226" s="31">
        <f>IF(装备!O249=0,0,"'"&amp;装备!O249&amp;"'")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装备!A250</f>
        <v>0</v>
      </c>
      <c r="B227" s="31" t="str">
        <f>"'"&amp;装备!B250&amp;"'"</f>
        <v>''</v>
      </c>
      <c r="C227" s="31">
        <f>装备!J250</f>
        <v>0</v>
      </c>
      <c r="D227" s="31">
        <f>装备!K250</f>
        <v>0</v>
      </c>
      <c r="E227" s="31">
        <f>装备!L250</f>
        <v>0</v>
      </c>
      <c r="F227" s="31">
        <f>装备!M250</f>
        <v>0</v>
      </c>
      <c r="G227" s="31">
        <f>装备!N250</f>
        <v>0</v>
      </c>
      <c r="H227" s="31">
        <f>装备!O250</f>
        <v>0</v>
      </c>
      <c r="I227" s="31">
        <f>IF(装备!J250=0,0,"'"&amp;装备!J250&amp;"'")</f>
        <v>0</v>
      </c>
      <c r="J227" s="31">
        <f>IF(装备!K250=0,0,"'"&amp;装备!K250&amp;"'")</f>
        <v>0</v>
      </c>
      <c r="K227" s="31">
        <f>IF(装备!L250=0,0,"'"&amp;装备!L250&amp;"'")</f>
        <v>0</v>
      </c>
      <c r="L227" s="31">
        <f>IF(装备!M250=0,0,"'"&amp;装备!M250&amp;"'")</f>
        <v>0</v>
      </c>
      <c r="M227" s="31">
        <f>IF(装备!N250=0,0,"'"&amp;装备!N250&amp;"'")</f>
        <v>0</v>
      </c>
      <c r="N227" s="31">
        <f>IF(装备!O250=0,0,"'"&amp;装备!O250&amp;"'")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装备!A251</f>
        <v>0</v>
      </c>
      <c r="B228" s="31" t="str">
        <f>"'"&amp;装备!B251&amp;"'"</f>
        <v>''</v>
      </c>
      <c r="C228" s="31">
        <f>装备!J251</f>
        <v>0</v>
      </c>
      <c r="D228" s="31">
        <f>装备!K251</f>
        <v>0</v>
      </c>
      <c r="E228" s="31">
        <f>装备!L251</f>
        <v>0</v>
      </c>
      <c r="F228" s="31">
        <f>装备!M251</f>
        <v>0</v>
      </c>
      <c r="G228" s="31">
        <f>装备!N251</f>
        <v>0</v>
      </c>
      <c r="H228" s="31">
        <f>装备!O251</f>
        <v>0</v>
      </c>
      <c r="I228" s="31">
        <f>IF(装备!J251=0,0,"'"&amp;装备!J251&amp;"'")</f>
        <v>0</v>
      </c>
      <c r="J228" s="31">
        <f>IF(装备!K251=0,0,"'"&amp;装备!K251&amp;"'")</f>
        <v>0</v>
      </c>
      <c r="K228" s="31">
        <f>IF(装备!L251=0,0,"'"&amp;装备!L251&amp;"'")</f>
        <v>0</v>
      </c>
      <c r="L228" s="31">
        <f>IF(装备!M251=0,0,"'"&amp;装备!M251&amp;"'")</f>
        <v>0</v>
      </c>
      <c r="M228" s="31">
        <f>IF(装备!N251=0,0,"'"&amp;装备!N251&amp;"'")</f>
        <v>0</v>
      </c>
      <c r="N228" s="31">
        <f>IF(装备!O251=0,0,"'"&amp;装备!O251&amp;"'")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装备!A252</f>
        <v>0</v>
      </c>
      <c r="B229" s="31" t="str">
        <f>"'"&amp;装备!B252&amp;"'"</f>
        <v>''</v>
      </c>
      <c r="C229" s="31">
        <f>装备!J252</f>
        <v>0</v>
      </c>
      <c r="D229" s="31">
        <f>装备!K252</f>
        <v>0</v>
      </c>
      <c r="E229" s="31">
        <f>装备!L252</f>
        <v>0</v>
      </c>
      <c r="F229" s="31">
        <f>装备!M252</f>
        <v>0</v>
      </c>
      <c r="G229" s="31">
        <f>装备!N252</f>
        <v>0</v>
      </c>
      <c r="H229" s="31">
        <f>装备!O252</f>
        <v>0</v>
      </c>
      <c r="I229" s="31">
        <f>IF(装备!J252=0,0,"'"&amp;装备!J252&amp;"'")</f>
        <v>0</v>
      </c>
      <c r="J229" s="31">
        <f>IF(装备!K252=0,0,"'"&amp;装备!K252&amp;"'")</f>
        <v>0</v>
      </c>
      <c r="K229" s="31">
        <f>IF(装备!L252=0,0,"'"&amp;装备!L252&amp;"'")</f>
        <v>0</v>
      </c>
      <c r="L229" s="31">
        <f>IF(装备!M252=0,0,"'"&amp;装备!M252&amp;"'")</f>
        <v>0</v>
      </c>
      <c r="M229" s="31">
        <f>IF(装备!N252=0,0,"'"&amp;装备!N252&amp;"'")</f>
        <v>0</v>
      </c>
      <c r="N229" s="31">
        <f>IF(装备!O252=0,0,"'"&amp;装备!O252&amp;"'")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装备!A253</f>
        <v>0</v>
      </c>
      <c r="B230" s="31" t="str">
        <f>"'"&amp;装备!B253&amp;"'"</f>
        <v>''</v>
      </c>
      <c r="C230" s="31">
        <f>装备!J253</f>
        <v>0</v>
      </c>
      <c r="D230" s="31">
        <f>装备!K253</f>
        <v>0</v>
      </c>
      <c r="E230" s="31">
        <f>装备!L253</f>
        <v>0</v>
      </c>
      <c r="F230" s="31">
        <f>装备!M253</f>
        <v>0</v>
      </c>
      <c r="G230" s="31">
        <f>装备!N253</f>
        <v>0</v>
      </c>
      <c r="H230" s="31">
        <f>装备!O253</f>
        <v>0</v>
      </c>
      <c r="I230" s="31">
        <f>IF(装备!J253=0,0,"'"&amp;装备!J253&amp;"'")</f>
        <v>0</v>
      </c>
      <c r="J230" s="31">
        <f>IF(装备!K253=0,0,"'"&amp;装备!K253&amp;"'")</f>
        <v>0</v>
      </c>
      <c r="K230" s="31">
        <f>IF(装备!L253=0,0,"'"&amp;装备!L253&amp;"'")</f>
        <v>0</v>
      </c>
      <c r="L230" s="31">
        <f>IF(装备!M253=0,0,"'"&amp;装备!M253&amp;"'")</f>
        <v>0</v>
      </c>
      <c r="M230" s="31">
        <f>IF(装备!N253=0,0,"'"&amp;装备!N253&amp;"'")</f>
        <v>0</v>
      </c>
      <c r="N230" s="31">
        <f>IF(装备!O253=0,0,"'"&amp;装备!O253&amp;"'")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装备!A254</f>
        <v>0</v>
      </c>
      <c r="B231" s="31" t="str">
        <f>"'"&amp;装备!B254&amp;"'"</f>
        <v>''</v>
      </c>
      <c r="C231" s="31">
        <f>装备!J254</f>
        <v>0</v>
      </c>
      <c r="D231" s="31">
        <f>装备!K254</f>
        <v>0</v>
      </c>
      <c r="E231" s="31">
        <f>装备!L254</f>
        <v>0</v>
      </c>
      <c r="F231" s="31">
        <f>装备!M254</f>
        <v>0</v>
      </c>
      <c r="G231" s="31">
        <f>装备!N254</f>
        <v>0</v>
      </c>
      <c r="H231" s="31">
        <f>装备!O254</f>
        <v>0</v>
      </c>
      <c r="I231" s="31">
        <f>IF(装备!J254=0,0,"'"&amp;装备!J254&amp;"'")</f>
        <v>0</v>
      </c>
      <c r="J231" s="31">
        <f>IF(装备!K254=0,0,"'"&amp;装备!K254&amp;"'")</f>
        <v>0</v>
      </c>
      <c r="K231" s="31">
        <f>IF(装备!L254=0,0,"'"&amp;装备!L254&amp;"'")</f>
        <v>0</v>
      </c>
      <c r="L231" s="31">
        <f>IF(装备!M254=0,0,"'"&amp;装备!M254&amp;"'")</f>
        <v>0</v>
      </c>
      <c r="M231" s="31">
        <f>IF(装备!N254=0,0,"'"&amp;装备!N254&amp;"'")</f>
        <v>0</v>
      </c>
      <c r="N231" s="31">
        <f>IF(装备!O254=0,0,"'"&amp;装备!O254&amp;"'")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装备!A255</f>
        <v>0</v>
      </c>
      <c r="B232" s="31" t="str">
        <f>"'"&amp;装备!B255&amp;"'"</f>
        <v>''</v>
      </c>
      <c r="C232" s="31">
        <f>装备!J255</f>
        <v>0</v>
      </c>
      <c r="D232" s="31">
        <f>装备!K255</f>
        <v>0</v>
      </c>
      <c r="E232" s="31">
        <f>装备!L255</f>
        <v>0</v>
      </c>
      <c r="F232" s="31">
        <f>装备!M255</f>
        <v>0</v>
      </c>
      <c r="G232" s="31">
        <f>装备!N255</f>
        <v>0</v>
      </c>
      <c r="H232" s="31">
        <f>装备!O255</f>
        <v>0</v>
      </c>
      <c r="I232" s="31">
        <f>IF(装备!J255=0,0,"'"&amp;装备!J255&amp;"'")</f>
        <v>0</v>
      </c>
      <c r="J232" s="31">
        <f>IF(装备!K255=0,0,"'"&amp;装备!K255&amp;"'")</f>
        <v>0</v>
      </c>
      <c r="K232" s="31">
        <f>IF(装备!L255=0,0,"'"&amp;装备!L255&amp;"'")</f>
        <v>0</v>
      </c>
      <c r="L232" s="31">
        <f>IF(装备!M255=0,0,"'"&amp;装备!M255&amp;"'")</f>
        <v>0</v>
      </c>
      <c r="M232" s="31">
        <f>IF(装备!N255=0,0,"'"&amp;装备!N255&amp;"'")</f>
        <v>0</v>
      </c>
      <c r="N232" s="31">
        <f>IF(装备!O255=0,0,"'"&amp;装备!O255&amp;"'")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装备!A256</f>
        <v>0</v>
      </c>
      <c r="B233" s="31" t="str">
        <f>"'"&amp;装备!B256&amp;"'"</f>
        <v>''</v>
      </c>
      <c r="C233" s="31">
        <f>装备!J256</f>
        <v>0</v>
      </c>
      <c r="D233" s="31">
        <f>装备!K256</f>
        <v>0</v>
      </c>
      <c r="E233" s="31">
        <f>装备!L256</f>
        <v>0</v>
      </c>
      <c r="F233" s="31">
        <f>装备!M256</f>
        <v>0</v>
      </c>
      <c r="G233" s="31">
        <f>装备!N256</f>
        <v>0</v>
      </c>
      <c r="H233" s="31">
        <f>装备!O256</f>
        <v>0</v>
      </c>
      <c r="I233" s="31">
        <f>IF(装备!J256=0,0,"'"&amp;装备!J256&amp;"'")</f>
        <v>0</v>
      </c>
      <c r="J233" s="31">
        <f>IF(装备!K256=0,0,"'"&amp;装备!K256&amp;"'")</f>
        <v>0</v>
      </c>
      <c r="K233" s="31">
        <f>IF(装备!L256=0,0,"'"&amp;装备!L256&amp;"'")</f>
        <v>0</v>
      </c>
      <c r="L233" s="31">
        <f>IF(装备!M256=0,0,"'"&amp;装备!M256&amp;"'")</f>
        <v>0</v>
      </c>
      <c r="M233" s="31">
        <f>IF(装备!N256=0,0,"'"&amp;装备!N256&amp;"'")</f>
        <v>0</v>
      </c>
      <c r="N233" s="31">
        <f>IF(装备!O256=0,0,"'"&amp;装备!O256&amp;"'")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装备!A257</f>
        <v>0</v>
      </c>
      <c r="B234" s="31" t="str">
        <f>"'"&amp;装备!B257&amp;"'"</f>
        <v>''</v>
      </c>
      <c r="C234" s="31">
        <f>装备!J257</f>
        <v>0</v>
      </c>
      <c r="D234" s="31">
        <f>装备!K257</f>
        <v>0</v>
      </c>
      <c r="E234" s="31">
        <f>装备!L257</f>
        <v>0</v>
      </c>
      <c r="F234" s="31">
        <f>装备!M257</f>
        <v>0</v>
      </c>
      <c r="G234" s="31">
        <f>装备!N257</f>
        <v>0</v>
      </c>
      <c r="H234" s="31">
        <f>装备!O257</f>
        <v>0</v>
      </c>
      <c r="I234" s="31">
        <f>IF(装备!J257=0,0,"'"&amp;装备!J257&amp;"'")</f>
        <v>0</v>
      </c>
      <c r="J234" s="31">
        <f>IF(装备!K257=0,0,"'"&amp;装备!K257&amp;"'")</f>
        <v>0</v>
      </c>
      <c r="K234" s="31">
        <f>IF(装备!L257=0,0,"'"&amp;装备!L257&amp;"'")</f>
        <v>0</v>
      </c>
      <c r="L234" s="31">
        <f>IF(装备!M257=0,0,"'"&amp;装备!M257&amp;"'")</f>
        <v>0</v>
      </c>
      <c r="M234" s="31">
        <f>IF(装备!N257=0,0,"'"&amp;装备!N257&amp;"'")</f>
        <v>0</v>
      </c>
      <c r="N234" s="31">
        <f>IF(装备!O257=0,0,"'"&amp;装备!O257&amp;"'")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装备!A258</f>
        <v>0</v>
      </c>
      <c r="B235" s="31" t="str">
        <f>"'"&amp;装备!B258&amp;"'"</f>
        <v>''</v>
      </c>
      <c r="C235" s="31">
        <f>装备!J258</f>
        <v>0</v>
      </c>
      <c r="D235" s="31">
        <f>装备!K258</f>
        <v>0</v>
      </c>
      <c r="E235" s="31">
        <f>装备!L258</f>
        <v>0</v>
      </c>
      <c r="F235" s="31">
        <f>装备!M258</f>
        <v>0</v>
      </c>
      <c r="G235" s="31">
        <f>装备!N258</f>
        <v>0</v>
      </c>
      <c r="H235" s="31">
        <f>装备!O258</f>
        <v>0</v>
      </c>
      <c r="I235" s="31">
        <f>IF(装备!J258=0,0,"'"&amp;装备!J258&amp;"'")</f>
        <v>0</v>
      </c>
      <c r="J235" s="31">
        <f>IF(装备!K258=0,0,"'"&amp;装备!K258&amp;"'")</f>
        <v>0</v>
      </c>
      <c r="K235" s="31">
        <f>IF(装备!L258=0,0,"'"&amp;装备!L258&amp;"'")</f>
        <v>0</v>
      </c>
      <c r="L235" s="31">
        <f>IF(装备!M258=0,0,"'"&amp;装备!M258&amp;"'")</f>
        <v>0</v>
      </c>
      <c r="M235" s="31">
        <f>IF(装备!N258=0,0,"'"&amp;装备!N258&amp;"'")</f>
        <v>0</v>
      </c>
      <c r="N235" s="31">
        <f>IF(装备!O258=0,0,"'"&amp;装备!O258&amp;"'")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装备!A259</f>
        <v>0</v>
      </c>
      <c r="B236" s="31" t="str">
        <f>"'"&amp;装备!B259&amp;"'"</f>
        <v>''</v>
      </c>
      <c r="C236" s="31">
        <f>装备!J259</f>
        <v>0</v>
      </c>
      <c r="D236" s="31">
        <f>装备!K259</f>
        <v>0</v>
      </c>
      <c r="E236" s="31">
        <f>装备!L259</f>
        <v>0</v>
      </c>
      <c r="F236" s="31">
        <f>装备!M259</f>
        <v>0</v>
      </c>
      <c r="G236" s="31">
        <f>装备!N259</f>
        <v>0</v>
      </c>
      <c r="H236" s="31">
        <f>装备!O259</f>
        <v>0</v>
      </c>
      <c r="I236" s="31">
        <f>IF(装备!J259=0,0,"'"&amp;装备!J259&amp;"'")</f>
        <v>0</v>
      </c>
      <c r="J236" s="31">
        <f>IF(装备!K259=0,0,"'"&amp;装备!K259&amp;"'")</f>
        <v>0</v>
      </c>
      <c r="K236" s="31">
        <f>IF(装备!L259=0,0,"'"&amp;装备!L259&amp;"'")</f>
        <v>0</v>
      </c>
      <c r="L236" s="31">
        <f>IF(装备!M259=0,0,"'"&amp;装备!M259&amp;"'")</f>
        <v>0</v>
      </c>
      <c r="M236" s="31">
        <f>IF(装备!N259=0,0,"'"&amp;装备!N259&amp;"'")</f>
        <v>0</v>
      </c>
      <c r="N236" s="31">
        <f>IF(装备!O259=0,0,"'"&amp;装备!O259&amp;"'")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装备!A260</f>
        <v>0</v>
      </c>
      <c r="B237" s="31" t="str">
        <f>"'"&amp;装备!B260&amp;"'"</f>
        <v>''</v>
      </c>
      <c r="C237" s="31">
        <f>装备!J260</f>
        <v>0</v>
      </c>
      <c r="D237" s="31">
        <f>装备!K260</f>
        <v>0</v>
      </c>
      <c r="E237" s="31">
        <f>装备!L260</f>
        <v>0</v>
      </c>
      <c r="F237" s="31">
        <f>装备!M260</f>
        <v>0</v>
      </c>
      <c r="G237" s="31">
        <f>装备!N260</f>
        <v>0</v>
      </c>
      <c r="H237" s="31">
        <f>装备!O260</f>
        <v>0</v>
      </c>
      <c r="I237" s="31">
        <f>IF(装备!J260=0,0,"'"&amp;装备!J260&amp;"'")</f>
        <v>0</v>
      </c>
      <c r="J237" s="31">
        <f>IF(装备!K260=0,0,"'"&amp;装备!K260&amp;"'")</f>
        <v>0</v>
      </c>
      <c r="K237" s="31">
        <f>IF(装备!L260=0,0,"'"&amp;装备!L260&amp;"'")</f>
        <v>0</v>
      </c>
      <c r="L237" s="31">
        <f>IF(装备!M260=0,0,"'"&amp;装备!M260&amp;"'")</f>
        <v>0</v>
      </c>
      <c r="M237" s="31">
        <f>IF(装备!N260=0,0,"'"&amp;装备!N260&amp;"'")</f>
        <v>0</v>
      </c>
      <c r="N237" s="31">
        <f>IF(装备!O260=0,0,"'"&amp;装备!O260&amp;"'")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装备!A261</f>
        <v>0</v>
      </c>
      <c r="B238" s="31" t="str">
        <f>"'"&amp;装备!B261&amp;"'"</f>
        <v>''</v>
      </c>
      <c r="C238" s="31">
        <f>装备!J261</f>
        <v>0</v>
      </c>
      <c r="D238" s="31">
        <f>装备!K261</f>
        <v>0</v>
      </c>
      <c r="E238" s="31">
        <f>装备!L261</f>
        <v>0</v>
      </c>
      <c r="F238" s="31">
        <f>装备!M261</f>
        <v>0</v>
      </c>
      <c r="G238" s="31">
        <f>装备!N261</f>
        <v>0</v>
      </c>
      <c r="H238" s="31">
        <f>装备!O261</f>
        <v>0</v>
      </c>
      <c r="I238" s="31">
        <f>IF(装备!J261=0,0,"'"&amp;装备!J261&amp;"'")</f>
        <v>0</v>
      </c>
      <c r="J238" s="31">
        <f>IF(装备!K261=0,0,"'"&amp;装备!K261&amp;"'")</f>
        <v>0</v>
      </c>
      <c r="K238" s="31">
        <f>IF(装备!L261=0,0,"'"&amp;装备!L261&amp;"'")</f>
        <v>0</v>
      </c>
      <c r="L238" s="31">
        <f>IF(装备!M261=0,0,"'"&amp;装备!M261&amp;"'")</f>
        <v>0</v>
      </c>
      <c r="M238" s="31">
        <f>IF(装备!N261=0,0,"'"&amp;装备!N261&amp;"'")</f>
        <v>0</v>
      </c>
      <c r="N238" s="31">
        <f>IF(装备!O261=0,0,"'"&amp;装备!O261&amp;"'")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装备!A262</f>
        <v>0</v>
      </c>
      <c r="B239" s="31" t="str">
        <f>"'"&amp;装备!B262&amp;"'"</f>
        <v>''</v>
      </c>
      <c r="C239" s="31">
        <f>装备!J262</f>
        <v>0</v>
      </c>
      <c r="D239" s="31">
        <f>装备!K262</f>
        <v>0</v>
      </c>
      <c r="E239" s="31">
        <f>装备!L262</f>
        <v>0</v>
      </c>
      <c r="F239" s="31">
        <f>装备!M262</f>
        <v>0</v>
      </c>
      <c r="G239" s="31">
        <f>装备!N262</f>
        <v>0</v>
      </c>
      <c r="H239" s="31">
        <f>装备!O262</f>
        <v>0</v>
      </c>
      <c r="I239" s="31">
        <f>IF(装备!J262=0,0,"'"&amp;装备!J262&amp;"'")</f>
        <v>0</v>
      </c>
      <c r="J239" s="31">
        <f>IF(装备!K262=0,0,"'"&amp;装备!K262&amp;"'")</f>
        <v>0</v>
      </c>
      <c r="K239" s="31">
        <f>IF(装备!L262=0,0,"'"&amp;装备!L262&amp;"'")</f>
        <v>0</v>
      </c>
      <c r="L239" s="31">
        <f>IF(装备!M262=0,0,"'"&amp;装备!M262&amp;"'")</f>
        <v>0</v>
      </c>
      <c r="M239" s="31">
        <f>IF(装备!N262=0,0,"'"&amp;装备!N262&amp;"'")</f>
        <v>0</v>
      </c>
      <c r="N239" s="31">
        <f>IF(装备!O262=0,0,"'"&amp;装备!O262&amp;"'")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装备!A263</f>
        <v>0</v>
      </c>
      <c r="B240" s="31" t="str">
        <f>"'"&amp;装备!B263&amp;"'"</f>
        <v>''</v>
      </c>
      <c r="C240" s="31">
        <f>装备!J263</f>
        <v>0</v>
      </c>
      <c r="D240" s="31">
        <f>装备!K263</f>
        <v>0</v>
      </c>
      <c r="E240" s="31">
        <f>装备!L263</f>
        <v>0</v>
      </c>
      <c r="F240" s="31">
        <f>装备!M263</f>
        <v>0</v>
      </c>
      <c r="G240" s="31">
        <f>装备!N263</f>
        <v>0</v>
      </c>
      <c r="H240" s="31">
        <f>装备!O263</f>
        <v>0</v>
      </c>
      <c r="I240" s="31">
        <f>IF(装备!J263=0,0,"'"&amp;装备!J263&amp;"'")</f>
        <v>0</v>
      </c>
      <c r="J240" s="31">
        <f>IF(装备!K263=0,0,"'"&amp;装备!K263&amp;"'")</f>
        <v>0</v>
      </c>
      <c r="K240" s="31">
        <f>IF(装备!L263=0,0,"'"&amp;装备!L263&amp;"'")</f>
        <v>0</v>
      </c>
      <c r="L240" s="31">
        <f>IF(装备!M263=0,0,"'"&amp;装备!M263&amp;"'")</f>
        <v>0</v>
      </c>
      <c r="M240" s="31">
        <f>IF(装备!N263=0,0,"'"&amp;装备!N263&amp;"'")</f>
        <v>0</v>
      </c>
      <c r="N240" s="31">
        <f>IF(装备!O263=0,0,"'"&amp;装备!O263&amp;"'")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装备!A264</f>
        <v>0</v>
      </c>
      <c r="B241" s="31" t="str">
        <f>"'"&amp;装备!B264&amp;"'"</f>
        <v>''</v>
      </c>
      <c r="C241" s="31">
        <f>装备!J264</f>
        <v>0</v>
      </c>
      <c r="D241" s="31">
        <f>装备!K264</f>
        <v>0</v>
      </c>
      <c r="E241" s="31">
        <f>装备!L264</f>
        <v>0</v>
      </c>
      <c r="F241" s="31">
        <f>装备!M264</f>
        <v>0</v>
      </c>
      <c r="G241" s="31">
        <f>装备!N264</f>
        <v>0</v>
      </c>
      <c r="H241" s="31">
        <f>装备!O264</f>
        <v>0</v>
      </c>
      <c r="I241" s="31">
        <f>IF(装备!J264=0,0,"'"&amp;装备!J264&amp;"'")</f>
        <v>0</v>
      </c>
      <c r="J241" s="31">
        <f>IF(装备!K264=0,0,"'"&amp;装备!K264&amp;"'")</f>
        <v>0</v>
      </c>
      <c r="K241" s="31">
        <f>IF(装备!L264=0,0,"'"&amp;装备!L264&amp;"'")</f>
        <v>0</v>
      </c>
      <c r="L241" s="31">
        <f>IF(装备!M264=0,0,"'"&amp;装备!M264&amp;"'")</f>
        <v>0</v>
      </c>
      <c r="M241" s="31">
        <f>IF(装备!N264=0,0,"'"&amp;装备!N264&amp;"'")</f>
        <v>0</v>
      </c>
      <c r="N241" s="31">
        <f>IF(装备!O264=0,0,"'"&amp;装备!O264&amp;"'")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装备!A265</f>
        <v>0</v>
      </c>
      <c r="B242" s="31" t="str">
        <f>"'"&amp;装备!B265&amp;"'"</f>
        <v>''</v>
      </c>
      <c r="C242" s="31">
        <f>装备!J265</f>
        <v>0</v>
      </c>
      <c r="D242" s="31">
        <f>装备!K265</f>
        <v>0</v>
      </c>
      <c r="E242" s="31">
        <f>装备!L265</f>
        <v>0</v>
      </c>
      <c r="F242" s="31">
        <f>装备!M265</f>
        <v>0</v>
      </c>
      <c r="G242" s="31">
        <f>装备!N265</f>
        <v>0</v>
      </c>
      <c r="H242" s="31">
        <f>装备!O265</f>
        <v>0</v>
      </c>
      <c r="I242" s="31">
        <f>IF(装备!J265=0,0,"'"&amp;装备!J265&amp;"'")</f>
        <v>0</v>
      </c>
      <c r="J242" s="31">
        <f>IF(装备!K265=0,0,"'"&amp;装备!K265&amp;"'")</f>
        <v>0</v>
      </c>
      <c r="K242" s="31">
        <f>IF(装备!L265=0,0,"'"&amp;装备!L265&amp;"'")</f>
        <v>0</v>
      </c>
      <c r="L242" s="31">
        <f>IF(装备!M265=0,0,"'"&amp;装备!M265&amp;"'")</f>
        <v>0</v>
      </c>
      <c r="M242" s="31">
        <f>IF(装备!N265=0,0,"'"&amp;装备!N265&amp;"'")</f>
        <v>0</v>
      </c>
      <c r="N242" s="31">
        <f>IF(装备!O265=0,0,"'"&amp;装备!O265&amp;"'")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装备!A266</f>
        <v>0</v>
      </c>
      <c r="B243" s="31" t="str">
        <f>"'"&amp;装备!B266&amp;"'"</f>
        <v>''</v>
      </c>
      <c r="C243" s="31">
        <f>装备!J266</f>
        <v>0</v>
      </c>
      <c r="D243" s="31">
        <f>装备!K266</f>
        <v>0</v>
      </c>
      <c r="E243" s="31">
        <f>装备!L266</f>
        <v>0</v>
      </c>
      <c r="F243" s="31">
        <f>装备!M266</f>
        <v>0</v>
      </c>
      <c r="G243" s="31">
        <f>装备!N266</f>
        <v>0</v>
      </c>
      <c r="H243" s="31">
        <f>装备!O266</f>
        <v>0</v>
      </c>
      <c r="I243" s="31">
        <f>IF(装备!J266=0,0,"'"&amp;装备!J266&amp;"'")</f>
        <v>0</v>
      </c>
      <c r="J243" s="31">
        <f>IF(装备!K266=0,0,"'"&amp;装备!K266&amp;"'")</f>
        <v>0</v>
      </c>
      <c r="K243" s="31">
        <f>IF(装备!L266=0,0,"'"&amp;装备!L266&amp;"'")</f>
        <v>0</v>
      </c>
      <c r="L243" s="31">
        <f>IF(装备!M266=0,0,"'"&amp;装备!M266&amp;"'")</f>
        <v>0</v>
      </c>
      <c r="M243" s="31">
        <f>IF(装备!N266=0,0,"'"&amp;装备!N266&amp;"'")</f>
        <v>0</v>
      </c>
      <c r="N243" s="31">
        <f>IF(装备!O266=0,0,"'"&amp;装备!O266&amp;"'")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装备!A267</f>
        <v>0</v>
      </c>
      <c r="B244" s="31" t="str">
        <f>"'"&amp;装备!B267&amp;"'"</f>
        <v>''</v>
      </c>
      <c r="C244" s="31">
        <f>装备!J267</f>
        <v>0</v>
      </c>
      <c r="D244" s="31">
        <f>装备!K267</f>
        <v>0</v>
      </c>
      <c r="E244" s="31">
        <f>装备!L267</f>
        <v>0</v>
      </c>
      <c r="F244" s="31">
        <f>装备!M267</f>
        <v>0</v>
      </c>
      <c r="G244" s="31">
        <f>装备!N267</f>
        <v>0</v>
      </c>
      <c r="H244" s="31">
        <f>装备!O267</f>
        <v>0</v>
      </c>
      <c r="I244" s="31">
        <f>IF(装备!J267=0,0,"'"&amp;装备!J267&amp;"'")</f>
        <v>0</v>
      </c>
      <c r="J244" s="31">
        <f>IF(装备!K267=0,0,"'"&amp;装备!K267&amp;"'")</f>
        <v>0</v>
      </c>
      <c r="K244" s="31">
        <f>IF(装备!L267=0,0,"'"&amp;装备!L267&amp;"'")</f>
        <v>0</v>
      </c>
      <c r="L244" s="31">
        <f>IF(装备!M267=0,0,"'"&amp;装备!M267&amp;"'")</f>
        <v>0</v>
      </c>
      <c r="M244" s="31">
        <f>IF(装备!N267=0,0,"'"&amp;装备!N267&amp;"'")</f>
        <v>0</v>
      </c>
      <c r="N244" s="31">
        <f>IF(装备!O267=0,0,"'"&amp;装备!O267&amp;"'")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装备!A268</f>
        <v>0</v>
      </c>
      <c r="B245" s="31" t="str">
        <f>"'"&amp;装备!B268&amp;"'"</f>
        <v>''</v>
      </c>
      <c r="C245" s="31">
        <f>装备!J268</f>
        <v>0</v>
      </c>
      <c r="D245" s="31">
        <f>装备!K268</f>
        <v>0</v>
      </c>
      <c r="E245" s="31">
        <f>装备!L268</f>
        <v>0</v>
      </c>
      <c r="F245" s="31">
        <f>装备!M268</f>
        <v>0</v>
      </c>
      <c r="G245" s="31">
        <f>装备!N268</f>
        <v>0</v>
      </c>
      <c r="H245" s="31">
        <f>装备!O268</f>
        <v>0</v>
      </c>
      <c r="I245" s="31">
        <f>IF(装备!J268=0,0,"'"&amp;装备!J268&amp;"'")</f>
        <v>0</v>
      </c>
      <c r="J245" s="31">
        <f>IF(装备!K268=0,0,"'"&amp;装备!K268&amp;"'")</f>
        <v>0</v>
      </c>
      <c r="K245" s="31">
        <f>IF(装备!L268=0,0,"'"&amp;装备!L268&amp;"'")</f>
        <v>0</v>
      </c>
      <c r="L245" s="31">
        <f>IF(装备!M268=0,0,"'"&amp;装备!M268&amp;"'")</f>
        <v>0</v>
      </c>
      <c r="M245" s="31">
        <f>IF(装备!N268=0,0,"'"&amp;装备!N268&amp;"'")</f>
        <v>0</v>
      </c>
      <c r="N245" s="31">
        <f>IF(装备!O268=0,0,"'"&amp;装备!O268&amp;"'")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装备!A269</f>
        <v>0</v>
      </c>
      <c r="B246" s="31" t="str">
        <f>"'"&amp;装备!B269&amp;"'"</f>
        <v>''</v>
      </c>
      <c r="C246" s="31">
        <f>装备!J269</f>
        <v>0</v>
      </c>
      <c r="D246" s="31">
        <f>装备!K269</f>
        <v>0</v>
      </c>
      <c r="E246" s="31">
        <f>装备!L269</f>
        <v>0</v>
      </c>
      <c r="F246" s="31">
        <f>装备!M269</f>
        <v>0</v>
      </c>
      <c r="G246" s="31">
        <f>装备!N269</f>
        <v>0</v>
      </c>
      <c r="H246" s="31">
        <f>装备!O269</f>
        <v>0</v>
      </c>
      <c r="I246" s="31">
        <f>IF(装备!J269=0,0,"'"&amp;装备!J269&amp;"'")</f>
        <v>0</v>
      </c>
      <c r="J246" s="31">
        <f>IF(装备!K269=0,0,"'"&amp;装备!K269&amp;"'")</f>
        <v>0</v>
      </c>
      <c r="K246" s="31">
        <f>IF(装备!L269=0,0,"'"&amp;装备!L269&amp;"'")</f>
        <v>0</v>
      </c>
      <c r="L246" s="31">
        <f>IF(装备!M269=0,0,"'"&amp;装备!M269&amp;"'")</f>
        <v>0</v>
      </c>
      <c r="M246" s="31">
        <f>IF(装备!N269=0,0,"'"&amp;装备!N269&amp;"'")</f>
        <v>0</v>
      </c>
      <c r="N246" s="31">
        <f>IF(装备!O269=0,0,"'"&amp;装备!O269&amp;"'")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装备!A270</f>
        <v>0</v>
      </c>
      <c r="B247" s="31" t="str">
        <f>"'"&amp;装备!B270&amp;"'"</f>
        <v>''</v>
      </c>
      <c r="C247" s="31">
        <f>装备!J270</f>
        <v>0</v>
      </c>
      <c r="D247" s="31">
        <f>装备!K270</f>
        <v>0</v>
      </c>
      <c r="E247" s="31">
        <f>装备!L270</f>
        <v>0</v>
      </c>
      <c r="F247" s="31">
        <f>装备!M270</f>
        <v>0</v>
      </c>
      <c r="G247" s="31">
        <f>装备!N270</f>
        <v>0</v>
      </c>
      <c r="H247" s="31">
        <f>装备!O270</f>
        <v>0</v>
      </c>
      <c r="I247" s="31">
        <f>IF(装备!J270=0,0,"'"&amp;装备!J270&amp;"'")</f>
        <v>0</v>
      </c>
      <c r="J247" s="31">
        <f>IF(装备!K270=0,0,"'"&amp;装备!K270&amp;"'")</f>
        <v>0</v>
      </c>
      <c r="K247" s="31">
        <f>IF(装备!L270=0,0,"'"&amp;装备!L270&amp;"'")</f>
        <v>0</v>
      </c>
      <c r="L247" s="31">
        <f>IF(装备!M270=0,0,"'"&amp;装备!M270&amp;"'")</f>
        <v>0</v>
      </c>
      <c r="M247" s="31">
        <f>IF(装备!N270=0,0,"'"&amp;装备!N270&amp;"'")</f>
        <v>0</v>
      </c>
      <c r="N247" s="31">
        <f>IF(装备!O270=0,0,"'"&amp;装备!O270&amp;"'")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装备!A271</f>
        <v>0</v>
      </c>
      <c r="B248" s="31" t="str">
        <f>"'"&amp;装备!B271&amp;"'"</f>
        <v>''</v>
      </c>
      <c r="C248" s="31">
        <f>装备!J271</f>
        <v>0</v>
      </c>
      <c r="D248" s="31">
        <f>装备!K271</f>
        <v>0</v>
      </c>
      <c r="E248" s="31">
        <f>装备!L271</f>
        <v>0</v>
      </c>
      <c r="F248" s="31">
        <f>装备!M271</f>
        <v>0</v>
      </c>
      <c r="G248" s="31">
        <f>装备!N271</f>
        <v>0</v>
      </c>
      <c r="H248" s="31">
        <f>装备!O271</f>
        <v>0</v>
      </c>
      <c r="I248" s="31">
        <f>IF(装备!J271=0,0,"'"&amp;装备!J271&amp;"'")</f>
        <v>0</v>
      </c>
      <c r="J248" s="31">
        <f>IF(装备!K271=0,0,"'"&amp;装备!K271&amp;"'")</f>
        <v>0</v>
      </c>
      <c r="K248" s="31">
        <f>IF(装备!L271=0,0,"'"&amp;装备!L271&amp;"'")</f>
        <v>0</v>
      </c>
      <c r="L248" s="31">
        <f>IF(装备!M271=0,0,"'"&amp;装备!M271&amp;"'")</f>
        <v>0</v>
      </c>
      <c r="M248" s="31">
        <f>IF(装备!N271=0,0,"'"&amp;装备!N271&amp;"'")</f>
        <v>0</v>
      </c>
      <c r="N248" s="31">
        <f>IF(装备!O271=0,0,"'"&amp;装备!O271&amp;"'")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装备!A272</f>
        <v>0</v>
      </c>
      <c r="B249" s="31" t="str">
        <f>"'"&amp;装备!B272&amp;"'"</f>
        <v>''</v>
      </c>
      <c r="C249" s="31">
        <f>装备!J272</f>
        <v>0</v>
      </c>
      <c r="D249" s="31">
        <f>装备!K272</f>
        <v>0</v>
      </c>
      <c r="E249" s="31">
        <f>装备!L272</f>
        <v>0</v>
      </c>
      <c r="F249" s="31">
        <f>装备!M272</f>
        <v>0</v>
      </c>
      <c r="G249" s="31">
        <f>装备!N272</f>
        <v>0</v>
      </c>
      <c r="H249" s="31">
        <f>装备!O272</f>
        <v>0</v>
      </c>
      <c r="I249" s="31">
        <f>IF(装备!J272=0,0,"'"&amp;装备!J272&amp;"'")</f>
        <v>0</v>
      </c>
      <c r="J249" s="31">
        <f>IF(装备!K272=0,0,"'"&amp;装备!K272&amp;"'")</f>
        <v>0</v>
      </c>
      <c r="K249" s="31">
        <f>IF(装备!L272=0,0,"'"&amp;装备!L272&amp;"'")</f>
        <v>0</v>
      </c>
      <c r="L249" s="31">
        <f>IF(装备!M272=0,0,"'"&amp;装备!M272&amp;"'")</f>
        <v>0</v>
      </c>
      <c r="M249" s="31">
        <f>IF(装备!N272=0,0,"'"&amp;装备!N272&amp;"'")</f>
        <v>0</v>
      </c>
      <c r="N249" s="31">
        <f>IF(装备!O272=0,0,"'"&amp;装备!O272&amp;"'")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装备!A273</f>
        <v>0</v>
      </c>
      <c r="B250" s="31" t="str">
        <f>"'"&amp;装备!B273&amp;"'"</f>
        <v>''</v>
      </c>
      <c r="C250" s="31">
        <f>装备!J273</f>
        <v>0</v>
      </c>
      <c r="D250" s="31">
        <f>装备!K273</f>
        <v>0</v>
      </c>
      <c r="E250" s="31">
        <f>装备!L273</f>
        <v>0</v>
      </c>
      <c r="F250" s="31">
        <f>装备!M273</f>
        <v>0</v>
      </c>
      <c r="G250" s="31">
        <f>装备!N273</f>
        <v>0</v>
      </c>
      <c r="H250" s="31">
        <f>装备!O273</f>
        <v>0</v>
      </c>
      <c r="I250" s="31">
        <f>IF(装备!J273=0,0,"'"&amp;装备!J273&amp;"'")</f>
        <v>0</v>
      </c>
      <c r="J250" s="31">
        <f>IF(装备!K273=0,0,"'"&amp;装备!K273&amp;"'")</f>
        <v>0</v>
      </c>
      <c r="K250" s="31">
        <f>IF(装备!L273=0,0,"'"&amp;装备!L273&amp;"'")</f>
        <v>0</v>
      </c>
      <c r="L250" s="31">
        <f>IF(装备!M273=0,0,"'"&amp;装备!M273&amp;"'")</f>
        <v>0</v>
      </c>
      <c r="M250" s="31">
        <f>IF(装备!N273=0,0,"'"&amp;装备!N273&amp;"'")</f>
        <v>0</v>
      </c>
      <c r="N250" s="31">
        <f>IF(装备!O273=0,0,"'"&amp;装备!O273&amp;"'")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装备!A274</f>
        <v>0</v>
      </c>
      <c r="B251" s="31" t="str">
        <f>"'"&amp;装备!B274&amp;"'"</f>
        <v>''</v>
      </c>
      <c r="C251" s="31">
        <f>装备!J274</f>
        <v>0</v>
      </c>
      <c r="D251" s="31">
        <f>装备!K274</f>
        <v>0</v>
      </c>
      <c r="E251" s="31">
        <f>装备!L274</f>
        <v>0</v>
      </c>
      <c r="F251" s="31">
        <f>装备!M274</f>
        <v>0</v>
      </c>
      <c r="G251" s="31">
        <f>装备!N274</f>
        <v>0</v>
      </c>
      <c r="H251" s="31">
        <f>装备!O274</f>
        <v>0</v>
      </c>
      <c r="I251" s="31">
        <f>IF(装备!J274=0,0,"'"&amp;装备!J274&amp;"'")</f>
        <v>0</v>
      </c>
      <c r="J251" s="31">
        <f>IF(装备!K274=0,0,"'"&amp;装备!K274&amp;"'")</f>
        <v>0</v>
      </c>
      <c r="K251" s="31">
        <f>IF(装备!L274=0,0,"'"&amp;装备!L274&amp;"'")</f>
        <v>0</v>
      </c>
      <c r="L251" s="31">
        <f>IF(装备!M274=0,0,"'"&amp;装备!M274&amp;"'")</f>
        <v>0</v>
      </c>
      <c r="M251" s="31">
        <f>IF(装备!N274=0,0,"'"&amp;装备!N274&amp;"'")</f>
        <v>0</v>
      </c>
      <c r="N251" s="31">
        <f>IF(装备!O274=0,0,"'"&amp;装备!O274&amp;"'")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装备!A275</f>
        <v>0</v>
      </c>
      <c r="B252" s="31" t="str">
        <f>"'"&amp;装备!B275&amp;"'"</f>
        <v>''</v>
      </c>
      <c r="C252" s="31">
        <f>装备!J275</f>
        <v>0</v>
      </c>
      <c r="D252" s="31">
        <f>装备!K275</f>
        <v>0</v>
      </c>
      <c r="E252" s="31">
        <f>装备!L275</f>
        <v>0</v>
      </c>
      <c r="F252" s="31">
        <f>装备!M275</f>
        <v>0</v>
      </c>
      <c r="G252" s="31">
        <f>装备!N275</f>
        <v>0</v>
      </c>
      <c r="H252" s="31">
        <f>装备!O275</f>
        <v>0</v>
      </c>
      <c r="I252" s="31">
        <f>IF(装备!J275=0,0,"'"&amp;装备!J275&amp;"'")</f>
        <v>0</v>
      </c>
      <c r="J252" s="31">
        <f>IF(装备!K275=0,0,"'"&amp;装备!K275&amp;"'")</f>
        <v>0</v>
      </c>
      <c r="K252" s="31">
        <f>IF(装备!L275=0,0,"'"&amp;装备!L275&amp;"'")</f>
        <v>0</v>
      </c>
      <c r="L252" s="31">
        <f>IF(装备!M275=0,0,"'"&amp;装备!M275&amp;"'")</f>
        <v>0</v>
      </c>
      <c r="M252" s="31">
        <f>IF(装备!N275=0,0,"'"&amp;装备!N275&amp;"'")</f>
        <v>0</v>
      </c>
      <c r="N252" s="31">
        <f>IF(装备!O275=0,0,"'"&amp;装备!O275&amp;"'")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装备!A276</f>
        <v>0</v>
      </c>
      <c r="B253" s="31" t="str">
        <f>"'"&amp;装备!B276&amp;"'"</f>
        <v>''</v>
      </c>
      <c r="C253" s="31">
        <f>装备!J276</f>
        <v>0</v>
      </c>
      <c r="D253" s="31">
        <f>装备!K276</f>
        <v>0</v>
      </c>
      <c r="E253" s="31">
        <f>装备!L276</f>
        <v>0</v>
      </c>
      <c r="F253" s="31">
        <f>装备!M276</f>
        <v>0</v>
      </c>
      <c r="G253" s="31">
        <f>装备!N276</f>
        <v>0</v>
      </c>
      <c r="H253" s="31">
        <f>装备!O276</f>
        <v>0</v>
      </c>
      <c r="I253" s="31">
        <f>IF(装备!J276=0,0,"'"&amp;装备!J276&amp;"'")</f>
        <v>0</v>
      </c>
      <c r="J253" s="31">
        <f>IF(装备!K276=0,0,"'"&amp;装备!K276&amp;"'")</f>
        <v>0</v>
      </c>
      <c r="K253" s="31">
        <f>IF(装备!L276=0,0,"'"&amp;装备!L276&amp;"'")</f>
        <v>0</v>
      </c>
      <c r="L253" s="31">
        <f>IF(装备!M276=0,0,"'"&amp;装备!M276&amp;"'")</f>
        <v>0</v>
      </c>
      <c r="M253" s="31">
        <f>IF(装备!N276=0,0,"'"&amp;装备!N276&amp;"'")</f>
        <v>0</v>
      </c>
      <c r="N253" s="31">
        <f>IF(装备!O276=0,0,"'"&amp;装备!O276&amp;"'")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装备!A277</f>
        <v>0</v>
      </c>
      <c r="B254" s="31" t="str">
        <f>"'"&amp;装备!B277&amp;"'"</f>
        <v>''</v>
      </c>
      <c r="C254" s="31">
        <f>装备!J277</f>
        <v>0</v>
      </c>
      <c r="D254" s="31">
        <f>装备!K277</f>
        <v>0</v>
      </c>
      <c r="E254" s="31">
        <f>装备!L277</f>
        <v>0</v>
      </c>
      <c r="F254" s="31">
        <f>装备!M277</f>
        <v>0</v>
      </c>
      <c r="G254" s="31">
        <f>装备!N277</f>
        <v>0</v>
      </c>
      <c r="H254" s="31">
        <f>装备!O277</f>
        <v>0</v>
      </c>
      <c r="I254" s="31">
        <f>IF(装备!J277=0,0,"'"&amp;装备!J277&amp;"'")</f>
        <v>0</v>
      </c>
      <c r="J254" s="31">
        <f>IF(装备!K277=0,0,"'"&amp;装备!K277&amp;"'")</f>
        <v>0</v>
      </c>
      <c r="K254" s="31">
        <f>IF(装备!L277=0,0,"'"&amp;装备!L277&amp;"'")</f>
        <v>0</v>
      </c>
      <c r="L254" s="31">
        <f>IF(装备!M277=0,0,"'"&amp;装备!M277&amp;"'")</f>
        <v>0</v>
      </c>
      <c r="M254" s="31">
        <f>IF(装备!N277=0,0,"'"&amp;装备!N277&amp;"'")</f>
        <v>0</v>
      </c>
      <c r="N254" s="31">
        <f>IF(装备!O277=0,0,"'"&amp;装备!O277&amp;"'")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装备!A278</f>
        <v>0</v>
      </c>
      <c r="B255" s="31" t="str">
        <f>"'"&amp;装备!B278&amp;"'"</f>
        <v>''</v>
      </c>
      <c r="C255" s="31">
        <f>装备!J278</f>
        <v>0</v>
      </c>
      <c r="D255" s="31">
        <f>装备!K278</f>
        <v>0</v>
      </c>
      <c r="E255" s="31">
        <f>装备!L278</f>
        <v>0</v>
      </c>
      <c r="F255" s="31">
        <f>装备!M278</f>
        <v>0</v>
      </c>
      <c r="G255" s="31">
        <f>装备!N278</f>
        <v>0</v>
      </c>
      <c r="H255" s="31">
        <f>装备!O278</f>
        <v>0</v>
      </c>
      <c r="I255" s="31">
        <f>IF(装备!J278=0,0,"'"&amp;装备!J278&amp;"'")</f>
        <v>0</v>
      </c>
      <c r="J255" s="31">
        <f>IF(装备!K278=0,0,"'"&amp;装备!K278&amp;"'")</f>
        <v>0</v>
      </c>
      <c r="K255" s="31">
        <f>IF(装备!L278=0,0,"'"&amp;装备!L278&amp;"'")</f>
        <v>0</v>
      </c>
      <c r="L255" s="31">
        <f>IF(装备!M278=0,0,"'"&amp;装备!M278&amp;"'")</f>
        <v>0</v>
      </c>
      <c r="M255" s="31">
        <f>IF(装备!N278=0,0,"'"&amp;装备!N278&amp;"'")</f>
        <v>0</v>
      </c>
      <c r="N255" s="31">
        <f>IF(装备!O278=0,0,"'"&amp;装备!O278&amp;"'")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装备!A279</f>
        <v>0</v>
      </c>
      <c r="B256" s="31" t="str">
        <f>"'"&amp;装备!B279&amp;"'"</f>
        <v>''</v>
      </c>
      <c r="C256" s="31">
        <f>装备!J279</f>
        <v>0</v>
      </c>
      <c r="D256" s="31">
        <f>装备!K279</f>
        <v>0</v>
      </c>
      <c r="E256" s="31">
        <f>装备!L279</f>
        <v>0</v>
      </c>
      <c r="F256" s="31">
        <f>装备!M279</f>
        <v>0</v>
      </c>
      <c r="G256" s="31">
        <f>装备!N279</f>
        <v>0</v>
      </c>
      <c r="H256" s="31">
        <f>装备!O279</f>
        <v>0</v>
      </c>
      <c r="I256" s="31">
        <f>IF(装备!J279=0,0,"'"&amp;装备!J279&amp;"'")</f>
        <v>0</v>
      </c>
      <c r="J256" s="31">
        <f>IF(装备!K279=0,0,"'"&amp;装备!K279&amp;"'")</f>
        <v>0</v>
      </c>
      <c r="K256" s="31">
        <f>IF(装备!L279=0,0,"'"&amp;装备!L279&amp;"'")</f>
        <v>0</v>
      </c>
      <c r="L256" s="31">
        <f>IF(装备!M279=0,0,"'"&amp;装备!M279&amp;"'")</f>
        <v>0</v>
      </c>
      <c r="M256" s="31">
        <f>IF(装备!N279=0,0,"'"&amp;装备!N279&amp;"'")</f>
        <v>0</v>
      </c>
      <c r="N256" s="31">
        <f>IF(装备!O279=0,0,"'"&amp;装备!O279&amp;"'")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装备!A280</f>
        <v>0</v>
      </c>
      <c r="B257" s="31" t="str">
        <f>"'"&amp;装备!B280&amp;"'"</f>
        <v>''</v>
      </c>
      <c r="C257" s="31">
        <f>装备!J280</f>
        <v>0</v>
      </c>
      <c r="D257" s="31">
        <f>装备!K280</f>
        <v>0</v>
      </c>
      <c r="E257" s="31">
        <f>装备!L280</f>
        <v>0</v>
      </c>
      <c r="F257" s="31">
        <f>装备!M280</f>
        <v>0</v>
      </c>
      <c r="G257" s="31">
        <f>装备!N280</f>
        <v>0</v>
      </c>
      <c r="H257" s="31">
        <f>装备!O280</f>
        <v>0</v>
      </c>
      <c r="I257" s="31">
        <f>IF(装备!J280=0,0,"'"&amp;装备!J280&amp;"'")</f>
        <v>0</v>
      </c>
      <c r="J257" s="31">
        <f>IF(装备!K280=0,0,"'"&amp;装备!K280&amp;"'")</f>
        <v>0</v>
      </c>
      <c r="K257" s="31">
        <f>IF(装备!L280=0,0,"'"&amp;装备!L280&amp;"'")</f>
        <v>0</v>
      </c>
      <c r="L257" s="31">
        <f>IF(装备!M280=0,0,"'"&amp;装备!M280&amp;"'")</f>
        <v>0</v>
      </c>
      <c r="M257" s="31">
        <f>IF(装备!N280=0,0,"'"&amp;装备!N280&amp;"'")</f>
        <v>0</v>
      </c>
      <c r="N257" s="31">
        <f>IF(装备!O280=0,0,"'"&amp;装备!O280&amp;"'")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装备!A281</f>
        <v>0</v>
      </c>
      <c r="B258" s="31" t="str">
        <f>"'"&amp;装备!B281&amp;"'"</f>
        <v>''</v>
      </c>
      <c r="C258" s="31">
        <f>装备!J281</f>
        <v>0</v>
      </c>
      <c r="D258" s="31">
        <f>装备!K281</f>
        <v>0</v>
      </c>
      <c r="E258" s="31">
        <f>装备!L281</f>
        <v>0</v>
      </c>
      <c r="F258" s="31">
        <f>装备!M281</f>
        <v>0</v>
      </c>
      <c r="G258" s="31">
        <f>装备!N281</f>
        <v>0</v>
      </c>
      <c r="H258" s="31">
        <f>装备!O281</f>
        <v>0</v>
      </c>
      <c r="I258" s="31">
        <f>IF(装备!J281=0,0,"'"&amp;装备!J281&amp;"'")</f>
        <v>0</v>
      </c>
      <c r="J258" s="31">
        <f>IF(装备!K281=0,0,"'"&amp;装备!K281&amp;"'")</f>
        <v>0</v>
      </c>
      <c r="K258" s="31">
        <f>IF(装备!L281=0,0,"'"&amp;装备!L281&amp;"'")</f>
        <v>0</v>
      </c>
      <c r="L258" s="31">
        <f>IF(装备!M281=0,0,"'"&amp;装备!M281&amp;"'")</f>
        <v>0</v>
      </c>
      <c r="M258" s="31">
        <f>IF(装备!N281=0,0,"'"&amp;装备!N281&amp;"'")</f>
        <v>0</v>
      </c>
      <c r="N258" s="31">
        <f>IF(装备!O281=0,0,"'"&amp;装备!O281&amp;"'")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装备!A282</f>
        <v>0</v>
      </c>
      <c r="B259" s="31" t="str">
        <f>"'"&amp;装备!B282&amp;"'"</f>
        <v>''</v>
      </c>
      <c r="C259" s="31">
        <f>装备!J282</f>
        <v>0</v>
      </c>
      <c r="D259" s="31">
        <f>装备!K282</f>
        <v>0</v>
      </c>
      <c r="E259" s="31">
        <f>装备!L282</f>
        <v>0</v>
      </c>
      <c r="F259" s="31">
        <f>装备!M282</f>
        <v>0</v>
      </c>
      <c r="G259" s="31">
        <f>装备!N282</f>
        <v>0</v>
      </c>
      <c r="H259" s="31">
        <f>装备!O282</f>
        <v>0</v>
      </c>
      <c r="I259" s="31">
        <f>IF(装备!J282=0,0,"'"&amp;装备!J282&amp;"'")</f>
        <v>0</v>
      </c>
      <c r="J259" s="31">
        <f>IF(装备!K282=0,0,"'"&amp;装备!K282&amp;"'")</f>
        <v>0</v>
      </c>
      <c r="K259" s="31">
        <f>IF(装备!L282=0,0,"'"&amp;装备!L282&amp;"'")</f>
        <v>0</v>
      </c>
      <c r="L259" s="31">
        <f>IF(装备!M282=0,0,"'"&amp;装备!M282&amp;"'")</f>
        <v>0</v>
      </c>
      <c r="M259" s="31">
        <f>IF(装备!N282=0,0,"'"&amp;装备!N282&amp;"'")</f>
        <v>0</v>
      </c>
      <c r="N259" s="31">
        <f>IF(装备!O282=0,0,"'"&amp;装备!O282&amp;"'")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装备!A283</f>
        <v>0</v>
      </c>
      <c r="B260" s="31" t="str">
        <f>"'"&amp;装备!B283&amp;"'"</f>
        <v>''</v>
      </c>
      <c r="C260" s="31">
        <f>装备!J283</f>
        <v>0</v>
      </c>
      <c r="D260" s="31">
        <f>装备!K283</f>
        <v>0</v>
      </c>
      <c r="E260" s="31">
        <f>装备!L283</f>
        <v>0</v>
      </c>
      <c r="F260" s="31">
        <f>装备!M283</f>
        <v>0</v>
      </c>
      <c r="G260" s="31">
        <f>装备!N283</f>
        <v>0</v>
      </c>
      <c r="H260" s="31">
        <f>装备!O283</f>
        <v>0</v>
      </c>
      <c r="I260" s="31">
        <f>IF(装备!J283=0,0,"'"&amp;装备!J283&amp;"'")</f>
        <v>0</v>
      </c>
      <c r="J260" s="31">
        <f>IF(装备!K283=0,0,"'"&amp;装备!K283&amp;"'")</f>
        <v>0</v>
      </c>
      <c r="K260" s="31">
        <f>IF(装备!L283=0,0,"'"&amp;装备!L283&amp;"'")</f>
        <v>0</v>
      </c>
      <c r="L260" s="31">
        <f>IF(装备!M283=0,0,"'"&amp;装备!M283&amp;"'")</f>
        <v>0</v>
      </c>
      <c r="M260" s="31">
        <f>IF(装备!N283=0,0,"'"&amp;装备!N283&amp;"'")</f>
        <v>0</v>
      </c>
      <c r="N260" s="31">
        <f>IF(装备!O283=0,0,"'"&amp;装备!O283&amp;"'")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装备!A284</f>
        <v>0</v>
      </c>
      <c r="B261" s="31" t="str">
        <f>"'"&amp;装备!B284&amp;"'"</f>
        <v>''</v>
      </c>
      <c r="C261" s="31">
        <f>装备!J284</f>
        <v>0</v>
      </c>
      <c r="D261" s="31">
        <f>装备!K284</f>
        <v>0</v>
      </c>
      <c r="E261" s="31">
        <f>装备!L284</f>
        <v>0</v>
      </c>
      <c r="F261" s="31">
        <f>装备!M284</f>
        <v>0</v>
      </c>
      <c r="G261" s="31">
        <f>装备!N284</f>
        <v>0</v>
      </c>
      <c r="H261" s="31">
        <f>装备!O284</f>
        <v>0</v>
      </c>
      <c r="I261" s="31">
        <f>IF(装备!J284=0,0,"'"&amp;装备!J284&amp;"'")</f>
        <v>0</v>
      </c>
      <c r="J261" s="31">
        <f>IF(装备!K284=0,0,"'"&amp;装备!K284&amp;"'")</f>
        <v>0</v>
      </c>
      <c r="K261" s="31">
        <f>IF(装备!L284=0,0,"'"&amp;装备!L284&amp;"'")</f>
        <v>0</v>
      </c>
      <c r="L261" s="31">
        <f>IF(装备!M284=0,0,"'"&amp;装备!M284&amp;"'")</f>
        <v>0</v>
      </c>
      <c r="M261" s="31">
        <f>IF(装备!N284=0,0,"'"&amp;装备!N284&amp;"'")</f>
        <v>0</v>
      </c>
      <c r="N261" s="31">
        <f>IF(装备!O284=0,0,"'"&amp;装备!O284&amp;"'")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装备!A285</f>
        <v>0</v>
      </c>
      <c r="B262" s="31" t="str">
        <f>"'"&amp;装备!B285&amp;"'"</f>
        <v>''</v>
      </c>
      <c r="C262" s="31">
        <f>装备!J285</f>
        <v>0</v>
      </c>
      <c r="D262" s="31">
        <f>装备!K285</f>
        <v>0</v>
      </c>
      <c r="E262" s="31">
        <f>装备!L285</f>
        <v>0</v>
      </c>
      <c r="F262" s="31">
        <f>装备!M285</f>
        <v>0</v>
      </c>
      <c r="G262" s="31">
        <f>装备!N285</f>
        <v>0</v>
      </c>
      <c r="H262" s="31">
        <f>装备!O285</f>
        <v>0</v>
      </c>
      <c r="I262" s="31">
        <f>IF(装备!J285=0,0,"'"&amp;装备!J285&amp;"'")</f>
        <v>0</v>
      </c>
      <c r="J262" s="31">
        <f>IF(装备!K285=0,0,"'"&amp;装备!K285&amp;"'")</f>
        <v>0</v>
      </c>
      <c r="K262" s="31">
        <f>IF(装备!L285=0,0,"'"&amp;装备!L285&amp;"'")</f>
        <v>0</v>
      </c>
      <c r="L262" s="31">
        <f>IF(装备!M285=0,0,"'"&amp;装备!M285&amp;"'")</f>
        <v>0</v>
      </c>
      <c r="M262" s="31">
        <f>IF(装备!N285=0,0,"'"&amp;装备!N285&amp;"'")</f>
        <v>0</v>
      </c>
      <c r="N262" s="31">
        <f>IF(装备!O285=0,0,"'"&amp;装备!O285&amp;"'")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装备!A286</f>
        <v>0</v>
      </c>
      <c r="B263" s="31" t="str">
        <f>"'"&amp;装备!B286&amp;"'"</f>
        <v>''</v>
      </c>
      <c r="C263" s="31">
        <f>装备!J286</f>
        <v>0</v>
      </c>
      <c r="D263" s="31">
        <f>装备!K286</f>
        <v>0</v>
      </c>
      <c r="E263" s="31">
        <f>装备!L286</f>
        <v>0</v>
      </c>
      <c r="F263" s="31">
        <f>装备!M286</f>
        <v>0</v>
      </c>
      <c r="G263" s="31">
        <f>装备!N286</f>
        <v>0</v>
      </c>
      <c r="H263" s="31">
        <f>装备!O286</f>
        <v>0</v>
      </c>
      <c r="I263" s="31">
        <f>IF(装备!J286=0,0,"'"&amp;装备!J286&amp;"'")</f>
        <v>0</v>
      </c>
      <c r="J263" s="31">
        <f>IF(装备!K286=0,0,"'"&amp;装备!K286&amp;"'")</f>
        <v>0</v>
      </c>
      <c r="K263" s="31">
        <f>IF(装备!L286=0,0,"'"&amp;装备!L286&amp;"'")</f>
        <v>0</v>
      </c>
      <c r="L263" s="31">
        <f>IF(装备!M286=0,0,"'"&amp;装备!M286&amp;"'")</f>
        <v>0</v>
      </c>
      <c r="M263" s="31">
        <f>IF(装备!N286=0,0,"'"&amp;装备!N286&amp;"'")</f>
        <v>0</v>
      </c>
      <c r="N263" s="31">
        <f>IF(装备!O286=0,0,"'"&amp;装备!O286&amp;"'")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668</v>
      </c>
      <c r="H1" s="15" t="s">
        <v>669</v>
      </c>
      <c r="I1" s="19" t="s">
        <v>670</v>
      </c>
      <c r="J1" s="20" t="s">
        <v>666</v>
      </c>
      <c r="K1" s="21" t="s">
        <v>115</v>
      </c>
      <c r="L1" s="22" t="s">
        <v>116</v>
      </c>
      <c r="M1" s="23" t="s">
        <v>671</v>
      </c>
      <c r="N1" s="24" t="s">
        <v>672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800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"|n攻击10%概率附加|cffff4646业力*1|r魔法伤害|n"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800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"|n攻击10%概率附加|cffff4646业力*1|r魔法伤害|n"</v>
      </c>
      <c r="L4" t="str">
        <f>IF(装备!U4="",0,""""&amp;装备!U4&amp;"""")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"|n攻击10%概率附加|cffff4646业力*1|r魔法伤害|n"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800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"|n攻击10%概率附加|cffff4646业力*1|r魔法伤害|n"</v>
      </c>
      <c r="L6" t="str">
        <f>IF(装备!U6="",0,""""&amp;装备!U6&amp;"""")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2500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"|n攻击10%概率附加|cffff4646业力*1|r魔法伤害|n"</v>
      </c>
      <c r="L7" t="str">
        <f>IF(装备!U7="",0,""""&amp;装备!U7&amp;"""")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2500</v>
      </c>
      <c r="E8">
        <f>IF(ISTEXT(装备!G8)=TRUE,"'"&amp;装备!G8&amp;"'",装备!G8)</f>
        <v>85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"|n攻击10%概率附加|cffff4646业力*1|r魔法伤害|n"</v>
      </c>
      <c r="L8" t="str">
        <f>IF(装备!U8="",0,""""&amp;装备!U8&amp;"""")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2500</v>
      </c>
      <c r="E9">
        <f>IF(ISTEXT(装备!G9)=TRUE,"'"&amp;装备!G9&amp;"'",装备!G9)</f>
        <v>85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"|n攻击10%概率附加|cffff4646业力*1|r魔法伤害|n"</v>
      </c>
      <c r="L9" t="str">
        <f>IF(装备!U9="",0,""""&amp;装备!U9&amp;"""")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2500</v>
      </c>
      <c r="E10">
        <f>IF(ISTEXT(装备!G10)=TRUE,"'"&amp;装备!G10&amp;"'",装备!G10)</f>
        <v>85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"|n攻击10%概率附加|cffff4646业力*1|r魔法伤害|n"</v>
      </c>
      <c r="L10" t="str">
        <f>IF(装备!U10="",0,""""&amp;装备!U10&amp;"""")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2500</v>
      </c>
      <c r="E11">
        <f>IF(ISTEXT(装备!G11)=TRUE,"'"&amp;装备!G11&amp;"'",装备!G11)</f>
        <v>85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"|n攻击10%概率附加|cffff4646业力*1|r魔法伤害|n"</v>
      </c>
      <c r="L11" t="str">
        <f>IF(装备!U11="",0,""""&amp;装备!U11&amp;"""")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10000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"|n攻击10%概率附加|cffff4646业力*1|r魔法伤害|n"</v>
      </c>
      <c r="L12" t="str">
        <f>IF(装备!U12="",0,""""&amp;装备!U12&amp;"""")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8000</v>
      </c>
      <c r="E13">
        <f>IF(ISTEXT(装备!G13)=TRUE,"'"&amp;装备!G13&amp;"'",装备!G13)</f>
        <v>70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"|n攻击10%概率附加|cffff4646业力*1|r魔法伤害|n"</v>
      </c>
      <c r="L13" t="str">
        <f>IF(装备!U13="",0,""""&amp;装备!U13&amp;"""")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8000</v>
      </c>
      <c r="E14">
        <f>IF(ISTEXT(装备!G14)=TRUE,"'"&amp;装备!G14&amp;"'",装备!G14)</f>
        <v>70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"|n攻击10%概率附加|cffff4646业力*1|r魔法伤害|n"</v>
      </c>
      <c r="L14" t="str">
        <f>IF(装备!U14="",0,""""&amp;装备!U14&amp;"""")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8000</v>
      </c>
      <c r="E15">
        <f>IF(ISTEXT(装备!G15)=TRUE,"'"&amp;装备!G15&amp;"'",装备!G15)</f>
        <v>70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"|n攻击10%概率附加|cffff4646业力*1|r魔法伤害|n"</v>
      </c>
      <c r="L15" t="str">
        <f>IF(装备!U15="",0,""""&amp;装备!U15&amp;"""")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8000</v>
      </c>
      <c r="E16">
        <f>IF(ISTEXT(装备!G16)=TRUE,"'"&amp;装备!G16&amp;"'",装备!G16)</f>
        <v>70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"|n攻击10%概率附加|cffff4646业力*1|r魔法伤害|n"</v>
      </c>
      <c r="L16" t="str">
        <f>IF(装备!U16="",0,""""&amp;装备!U16&amp;"""")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"|n攻击10%概率附加|cffff4646业力*1|r魔法伤害|n"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60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"|n攻击10%概率附加|cffff4646业力*1|r魔法伤害|n"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60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"|n攻击10%概率附加|cffff4646业力*1|r魔法伤害|n"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60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"|n攻击10%概率附加|cffff4646业力*1|r魔法伤害|n"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60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"|n攻击10%概率附加|cffff4646业力*1|r魔法伤害|n"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"|n攻击10%概率附加|cffff4646业力*1|r魔法伤害|n"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35000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"|n攻击10%概率附加|cffff4646业力*1|r魔法伤害|n"</v>
      </c>
      <c r="L23" t="str">
        <f>IF(装备!U23="",0,""""&amp;装备!U23&amp;"""")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35000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"|n攻击10%概率附加|cffff4646业力*1|r魔法伤害|n"</v>
      </c>
      <c r="L24" t="str">
        <f>IF(装备!U24="",0,""""&amp;装备!U24&amp;"""")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35000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"|n攻击10%概率附加|cffff4646业力*1|r魔法伤害|n"</v>
      </c>
      <c r="L25" t="str">
        <f>IF(装备!U25="",0,""""&amp;装备!U25&amp;"""")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35000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"|n攻击10%概率附加|cffff4646业力*1|r魔法伤害|n"</v>
      </c>
      <c r="L26" t="str">
        <f>IF(装备!U26="",0,""""&amp;装备!U26&amp;"""")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"|n攻击10%概率附加|cffff4646业力*1|r魔法伤害|n|n|Cff999999装备进化：未开放|r"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800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800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800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800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2500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2500</v>
      </c>
      <c r="E58">
        <f>IF(ISTEXT(装备!G58)=TRUE,"'"&amp;装备!G58&amp;"'",装备!G58)</f>
        <v>85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2500</v>
      </c>
      <c r="E59">
        <f>IF(ISTEXT(装备!G59)=TRUE,"'"&amp;装备!G59&amp;"'",装备!G59)</f>
        <v>85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2500</v>
      </c>
      <c r="E60">
        <f>IF(ISTEXT(装备!G60)=TRUE,"'"&amp;装备!G60&amp;"'",装备!G60)</f>
        <v>85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2500</v>
      </c>
      <c r="E61">
        <f>IF(ISTEXT(装备!G61)=TRUE,"'"&amp;装备!G61&amp;"'",装备!G61)</f>
        <v>85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10000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8000</v>
      </c>
      <c r="E63">
        <f>IF(ISTEXT(装备!G63)=TRUE,"'"&amp;装备!G63&amp;"'",装备!G63)</f>
        <v>70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8000</v>
      </c>
      <c r="E64">
        <f>IF(ISTEXT(装备!G64)=TRUE,"'"&amp;装备!G64&amp;"'",装备!G64)</f>
        <v>70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8000</v>
      </c>
      <c r="E65">
        <f>IF(ISTEXT(装备!G65)=TRUE,"'"&amp;装备!G65&amp;"'",装备!G65)</f>
        <v>70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8000</v>
      </c>
      <c r="E66">
        <f>IF(ISTEXT(装备!G66)=TRUE,"'"&amp;装备!G66&amp;"'",装备!G66)</f>
        <v>70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60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60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60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60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35000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35000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35000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35000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IF(装备!B113="",0,"'"&amp;装备!B113&amp;"'")</f>
        <v>'CF01'</v>
      </c>
      <c r="B92" t="e">
        <f>装备!#REF!</f>
        <v>#REF!</v>
      </c>
      <c r="C92">
        <f>装备!E113</f>
        <v>0</v>
      </c>
      <c r="D92">
        <f>装备!F113</f>
        <v>0</v>
      </c>
      <c r="E92">
        <f>IF(ISTEXT(装备!G113)=TRUE,"'"&amp;装备!G113&amp;"'",装备!G113)</f>
        <v>0</v>
      </c>
      <c r="F92">
        <f>IF(ISTEXT(装备!H113)=TRUE,"'"&amp;装备!H113&amp;"'",装备!H113)</f>
        <v>0</v>
      </c>
      <c r="G92">
        <f>IF(装备!I113="",0,"'"&amp;装备!I113&amp;"'")</f>
        <v>0</v>
      </c>
      <c r="H92">
        <f>IF(装备!R113="",0,装备!R113)</f>
        <v>0</v>
      </c>
      <c r="I92">
        <f>IF(装备!S113="",0,装备!S113)</f>
        <v>0</v>
      </c>
      <c r="J92" t="str">
        <f>IF(装备!C113="",0,""""&amp;装备!C113&amp;"""")</f>
        <v>"随机法宝"</v>
      </c>
      <c r="K92" t="str">
        <f>IF(装备!T113="","""""",""""&amp;装备!T113&amp;"""")</f>
        <v>"获得一个随机品质的法宝。|n|n|Cff00ff7f副本难度影响法宝品质稀有度。|r"</v>
      </c>
      <c r="L92" t="str">
        <f>IF(装备!U113="",0,""""&amp;装备!U113&amp;"""")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IF(装备!B167="",0,"'"&amp;装备!B167&amp;"'")</f>
        <v>'IP01'</v>
      </c>
      <c r="B93" t="e">
        <f>装备!#REF!</f>
        <v>#REF!</v>
      </c>
      <c r="C93">
        <f>装备!E167</f>
        <v>0</v>
      </c>
      <c r="D93">
        <f>装备!F167</f>
        <v>0</v>
      </c>
      <c r="E93">
        <f>IF(ISTEXT(装备!G167)=TRUE,"'"&amp;装备!G167&amp;"'",装备!G167)</f>
        <v>0</v>
      </c>
      <c r="F93">
        <f>IF(ISTEXT(装备!H167)=TRUE,"'"&amp;装备!H167&amp;"'",装备!H167)</f>
        <v>0</v>
      </c>
      <c r="G93">
        <f>IF(装备!I167="",0,"'"&amp;装备!I167&amp;"'")</f>
        <v>0</v>
      </c>
      <c r="H93">
        <f>IF(装备!R167="",0,装备!R167)</f>
        <v>0</v>
      </c>
      <c r="I93">
        <f>IF(装备!S167="",0,装备!S167)</f>
        <v>0</v>
      </c>
      <c r="J93" t="str">
        <f>IF(装备!C167="",0,""""&amp;装备!C167&amp;"""")</f>
        <v>"时渊碎片"</v>
      </c>
      <c r="K93" t="str">
        <f>IF(装备!T167="","""""",""""&amp;装备!T167&amp;"""")</f>
        <v>"进入时渊副本消耗时渊碎片"</v>
      </c>
      <c r="L93" t="str">
        <f>IF(装备!U167="",0,""""&amp;装备!U167&amp;"""")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IF(装备!B168="",0,"'"&amp;装备!B168&amp;"'")</f>
        <v>'IP02'</v>
      </c>
      <c r="B94">
        <f>装备!D113</f>
        <v>0</v>
      </c>
      <c r="C94">
        <f>装备!E168</f>
        <v>0</v>
      </c>
      <c r="D94">
        <f>装备!F168</f>
        <v>0</v>
      </c>
      <c r="E94">
        <f>IF(ISTEXT(装备!G168)=TRUE,"'"&amp;装备!G168&amp;"'",装备!G168)</f>
        <v>0</v>
      </c>
      <c r="F94">
        <f>IF(ISTEXT(装备!H168)=TRUE,"'"&amp;装备!H168&amp;"'",装备!H168)</f>
        <v>0</v>
      </c>
      <c r="G94">
        <f>IF(装备!I168="",0,"'"&amp;装备!I168&amp;"'")</f>
        <v>0</v>
      </c>
      <c r="H94">
        <f>IF(装备!R168="",0,装备!R168)</f>
        <v>0</v>
      </c>
      <c r="I94">
        <f>IF(装备!S168="",0,装备!S168)</f>
        <v>0</v>
      </c>
      <c r="J94" t="str">
        <f>IF(装备!C168="",0,""""&amp;装备!C168&amp;"""")</f>
        <v>"补天石"</v>
      </c>
      <c r="K94" t="str">
        <f>IF(装备!T168="","""""",""""&amp;装备!T168&amp;"""")</f>
        <v>"点击|Cffffc926选中指定法宝|r后，再点击|Cffffc926重铸|r，可|Cffffc926重置|r指定法宝，|Cffffc926品质不变|r。|n|n|Cff00ff7f每次重铸消耗1个补天石|r"</v>
      </c>
      <c r="L94" t="str">
        <f>IF(装备!U168="",0,""""&amp;装备!U168&amp;"""")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IF(装备!B169="",0,"'"&amp;装备!B169&amp;"'")</f>
        <v>'IP03'</v>
      </c>
      <c r="B95">
        <f>装备!D114</f>
        <v>0</v>
      </c>
      <c r="C95">
        <f>装备!E169</f>
        <v>0</v>
      </c>
      <c r="D95">
        <f>装备!F169</f>
        <v>0</v>
      </c>
      <c r="E95">
        <f>IF(ISTEXT(装备!G169)=TRUE,"'"&amp;装备!G169&amp;"'",装备!G169)</f>
        <v>0</v>
      </c>
      <c r="F95">
        <f>IF(ISTEXT(装备!H169)=TRUE,"'"&amp;装备!H169&amp;"'",装备!H169)</f>
        <v>0</v>
      </c>
      <c r="G95">
        <f>IF(装备!I169="",0,"'"&amp;装备!I169&amp;"'")</f>
        <v>0</v>
      </c>
      <c r="H95">
        <f>IF(装备!R169="",0,装备!R169)</f>
        <v>0</v>
      </c>
      <c r="I95">
        <f>IF(装备!S169="",0,装备!S169)</f>
        <v>0</v>
      </c>
      <c r="J95" t="str">
        <f>IF(装备!C169="",0,""""&amp;装备!C169&amp;"""")</f>
        <v>"鸿蒙结晶"</v>
      </c>
      <c r="K95" t="str">
        <f>IF(装备!T169="","""""",""""&amp;装备!T169&amp;"""")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IF(装备!U169="",0,""""&amp;装备!U169&amp;"""")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IF(装备!B172="",0,"'"&amp;装备!B172&amp;"'")</f>
        <v>'IT01'</v>
      </c>
      <c r="B96">
        <f>装备!D115</f>
        <v>0</v>
      </c>
      <c r="C96">
        <f>装备!E172</f>
        <v>0</v>
      </c>
      <c r="D96">
        <f>装备!F172</f>
        <v>0</v>
      </c>
      <c r="E96">
        <f>IF(ISTEXT(装备!G172)=TRUE,"'"&amp;装备!G172&amp;"'",装备!G172)</f>
        <v>0</v>
      </c>
      <c r="F96">
        <f>IF(ISTEXT(装备!H172)=TRUE,"'"&amp;装备!H172&amp;"'",装备!H172)</f>
        <v>0</v>
      </c>
      <c r="G96">
        <f>IF(装备!I172="",0,"'"&amp;装备!I172&amp;"'")</f>
        <v>0</v>
      </c>
      <c r="H96">
        <f>IF(装备!R172="",0,装备!R172)</f>
        <v>-8086</v>
      </c>
      <c r="I96">
        <f>IF(装备!S172="",0,装备!S172)</f>
        <v>-3245</v>
      </c>
      <c r="J96" t="str">
        <f>IF(装备!C172="",0,""""&amp;装备!C172&amp;"""")</f>
        <v>"噬心劫"</v>
      </c>
      <c r="K96" t="str">
        <f>IF(装备!T172="","""""",""""&amp;装备!T172&amp;"""")</f>
        <v>"渡过该劫后可结成低级道果。|n|n|Cfff0f0f0低级道果：|r|n攻击+1000|n法强+1000|n生命值+2000|n|Cffffd24d元神力+2|r|n|n|Cff00ff7f战力推荐：|r|n"</v>
      </c>
      <c r="L96" t="str">
        <f>IF(装备!U172="",0,""""&amp;装备!U172&amp;"""")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IF(装备!B173="",0,"'"&amp;装备!B173&amp;"'")</f>
        <v>'IT02'</v>
      </c>
      <c r="B97">
        <f>装备!D116</f>
        <v>0</v>
      </c>
      <c r="C97">
        <f>装备!E173</f>
        <v>0</v>
      </c>
      <c r="D97">
        <f>装备!F173</f>
        <v>0</v>
      </c>
      <c r="E97">
        <f>IF(ISTEXT(装备!G173)=TRUE,"'"&amp;装备!G173&amp;"'",装备!G173)</f>
        <v>0</v>
      </c>
      <c r="F97">
        <f>IF(ISTEXT(装备!H173)=TRUE,"'"&amp;装备!H173&amp;"'",装备!H173)</f>
        <v>0</v>
      </c>
      <c r="G97">
        <f>IF(装备!I173="",0,"'"&amp;装备!I173&amp;"'")</f>
        <v>0</v>
      </c>
      <c r="H97">
        <f>IF(装备!R173="",0,装备!R173)</f>
        <v>-7991</v>
      </c>
      <c r="I97">
        <f>IF(装备!S173="",0,装备!S173)</f>
        <v>-2312</v>
      </c>
      <c r="J97" t="str">
        <f>IF(装备!C173="",0,""""&amp;装备!C173&amp;"""")</f>
        <v>"三重轰雷劫"</v>
      </c>
      <c r="K97" t="str">
        <f>IF(装备!T173="","""""",""""&amp;装备!T173&amp;"""")</f>
        <v>"渡过该劫后可结成中级道果。|n|n|Cfff0f0f0中级道果：|r|n攻击+1500|n法强+1500|n生命值+3000 |n|Cffffd24d元神力+4|r|n|n|Cff00ff7f战力推荐：|r|n"</v>
      </c>
      <c r="L97" t="str">
        <f>IF(装备!U173="",0,""""&amp;装备!U173&amp;"""")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IF(装备!B174="",0,"'"&amp;装备!B174&amp;"'")</f>
        <v>'IT03'</v>
      </c>
      <c r="B98">
        <f>装备!D117</f>
        <v>0</v>
      </c>
      <c r="C98">
        <f>装备!E174</f>
        <v>0</v>
      </c>
      <c r="D98">
        <f>装备!F174</f>
        <v>0</v>
      </c>
      <c r="E98">
        <f>IF(ISTEXT(装备!G174)=TRUE,"'"&amp;装备!G174&amp;"'",装备!G174)</f>
        <v>0</v>
      </c>
      <c r="F98">
        <f>IF(ISTEXT(装备!H174)=TRUE,"'"&amp;装备!H174&amp;"'",装备!H174)</f>
        <v>0</v>
      </c>
      <c r="G98">
        <f>IF(装备!I174="",0,"'"&amp;装备!I174&amp;"'")</f>
        <v>0</v>
      </c>
      <c r="H98">
        <f>IF(装备!R174="",0,装备!R174)</f>
        <v>-8089</v>
      </c>
      <c r="I98">
        <f>IF(装备!S174="",0,装备!S174)</f>
        <v>-1230</v>
      </c>
      <c r="J98" t="str">
        <f>IF(装备!C174="",0,""""&amp;装备!C174&amp;"""")</f>
        <v>"六重天雷劫"</v>
      </c>
      <c r="K98" t="str">
        <f>IF(装备!T174="","""""",""""&amp;装备!T174&amp;"""")</f>
        <v>"渡过该劫后可结成|Cff00ff7f高级道果|r。|n|n|Cff00ff7f高级道果：|r|n攻击+2000|n法强+2000|n生命值+4000 |n|Cffffd24d元神力+5|r|n|n|Cff00ff7f战力推荐：|r|n"</v>
      </c>
      <c r="L98" t="str">
        <f>IF(装备!U174="",0,""""&amp;装备!U174&amp;"""")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IF(装备!B175="",0,"'"&amp;装备!B175&amp;"'")</f>
        <v>'IT04'</v>
      </c>
      <c r="B99">
        <f>装备!D118</f>
        <v>0</v>
      </c>
      <c r="C99">
        <f>装备!E175</f>
        <v>0</v>
      </c>
      <c r="D99">
        <f>装备!F175</f>
        <v>0</v>
      </c>
      <c r="E99">
        <f>IF(ISTEXT(装备!G175)=TRUE,"'"&amp;装备!G175&amp;"'",装备!G175)</f>
        <v>0</v>
      </c>
      <c r="F99">
        <f>IF(ISTEXT(装备!H175)=TRUE,"'"&amp;装备!H175&amp;"'",装备!H175)</f>
        <v>0</v>
      </c>
      <c r="G99">
        <f>IF(装备!I175="",0,"'"&amp;装备!I175&amp;"'")</f>
        <v>0</v>
      </c>
      <c r="H99">
        <f>IF(装备!R175="",0,装备!R175)</f>
        <v>-7794</v>
      </c>
      <c r="I99">
        <f>IF(装备!S175="",0,装备!S175)</f>
        <v>195</v>
      </c>
      <c r="J99" t="str">
        <f>IF(装备!C175="",0,""""&amp;装备!C175&amp;"""")</f>
        <v>"九重煅神劫"</v>
      </c>
      <c r="K99" t="str">
        <f>IF(装备!T175="","""""",""""&amp;装备!T175&amp;"""")</f>
        <v>"渡过该劫后可结成|Cff00ff7f黄级道果|r。|n|n|Cff00ff7f黄级道果：|r|n攻击+2500|n法强+2500|n生命值+5000|n|Cffffd24d元神力+6|r|n|n|Cff00ff7f战力推荐：|r|n"</v>
      </c>
      <c r="L99" t="str">
        <f>IF(装备!U175="",0,""""&amp;装备!U175&amp;"""")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IF(装备!B176="",0,"'"&amp;装备!B176&amp;"'")</f>
        <v>'IT05'</v>
      </c>
      <c r="B100">
        <f>装备!D119</f>
        <v>0</v>
      </c>
      <c r="C100">
        <f>装备!E176</f>
        <v>0</v>
      </c>
      <c r="D100">
        <f>装备!F176</f>
        <v>0</v>
      </c>
      <c r="E100">
        <f>IF(ISTEXT(装备!G176)=TRUE,"'"&amp;装备!G176&amp;"'",装备!G176)</f>
        <v>0</v>
      </c>
      <c r="F100">
        <f>IF(ISTEXT(装备!H176)=TRUE,"'"&amp;装备!H176&amp;"'",装备!H176)</f>
        <v>0</v>
      </c>
      <c r="G100">
        <f>IF(装备!I176="",0,"'"&amp;装备!I176&amp;"'")</f>
        <v>0</v>
      </c>
      <c r="H100">
        <f>IF(装备!R176="",0,装备!R176)</f>
        <v>-8110</v>
      </c>
      <c r="I100">
        <f>IF(装备!S176="",0,装备!S176)</f>
        <v>1810</v>
      </c>
      <c r="J100" t="str">
        <f>IF(装备!C176="",0,""""&amp;装备!C176&amp;"""")</f>
        <v>"灭魄血煞劫"</v>
      </c>
      <c r="K100" t="str">
        <f>IF(装备!T176="","""""",""""&amp;装备!T176&amp;"""")</f>
        <v>"渡过该劫后可结成|Cff00bfff玄级道果|r。|n|n|Cff00bfff玄级道果：|r|n攻击+3000|n法强+3000|n生命值+6000|n|Cffffd24d元神力+7|r|n|n|Cff00ff7f战力推荐：|r|n"</v>
      </c>
      <c r="L100" t="str">
        <f>IF(装备!U176="",0,""""&amp;装备!U176&amp;"""")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IF(装备!B177="",0,"'"&amp;装备!B177&amp;"'")</f>
        <v>'IT06'</v>
      </c>
      <c r="B101">
        <f>装备!D120</f>
        <v>0</v>
      </c>
      <c r="C101">
        <f>装备!E177</f>
        <v>0</v>
      </c>
      <c r="D101">
        <f>装备!F177</f>
        <v>0</v>
      </c>
      <c r="E101">
        <f>IF(ISTEXT(装备!G177)=TRUE,"'"&amp;装备!G177&amp;"'",装备!G177)</f>
        <v>0</v>
      </c>
      <c r="F101">
        <f>IF(ISTEXT(装备!H177)=TRUE,"'"&amp;装备!H177&amp;"'",装备!H177)</f>
        <v>0</v>
      </c>
      <c r="G101">
        <f>IF(装备!I177="",0,"'"&amp;装备!I177&amp;"'")</f>
        <v>0</v>
      </c>
      <c r="H101">
        <f>IF(装备!R177="",0,装备!R177)</f>
        <v>-7896</v>
      </c>
      <c r="I101">
        <f>IF(装备!S177="",0,装备!S177)</f>
        <v>3839</v>
      </c>
      <c r="J101" t="str">
        <f>IF(装备!C177="",0,""""&amp;装备!C177&amp;"""")</f>
        <v>"入微洞虚劫"</v>
      </c>
      <c r="K101" t="str">
        <f>IF(装备!T177="","""""",""""&amp;装备!T177&amp;"""")</f>
        <v>"渡过该劫后可结成|Cff00bfff地级道果|r。|n|n|Cff00bfff地级道果：|r|n攻击+4000|n法强+4000|n生命值+8000|n|Cffffd24d元神力+9|r|n|n|n|Cff00ff7f战力推荐：|r|n"</v>
      </c>
      <c r="L101" t="str">
        <f>IF(装备!U177="",0,""""&amp;装备!U177&amp;"""")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IF(装备!B178="",0,"'"&amp;装备!B178&amp;"'")</f>
        <v>'IT07'</v>
      </c>
      <c r="B102">
        <f>装备!D121</f>
        <v>0</v>
      </c>
      <c r="C102">
        <f>装备!E178</f>
        <v>0</v>
      </c>
      <c r="D102">
        <f>装备!F178</f>
        <v>0</v>
      </c>
      <c r="E102">
        <f>IF(ISTEXT(装备!G178)=TRUE,"'"&amp;装备!G178&amp;"'",装备!G178)</f>
        <v>0</v>
      </c>
      <c r="F102">
        <f>IF(ISTEXT(装备!H178)=TRUE,"'"&amp;装备!H178&amp;"'",装备!H178)</f>
        <v>0</v>
      </c>
      <c r="G102">
        <f>IF(装备!I178="",0,"'"&amp;装备!I178&amp;"'")</f>
        <v>0</v>
      </c>
      <c r="H102">
        <f>IF(装备!R178="",0,装备!R178)</f>
        <v>-7896</v>
      </c>
      <c r="I102">
        <f>IF(装备!S178="",0,装备!S178)</f>
        <v>5906</v>
      </c>
      <c r="J102" t="str">
        <f>IF(装备!C178="",0,""""&amp;装备!C178&amp;"""")</f>
        <v>"因果厄难劫"</v>
      </c>
      <c r="K102" t="str">
        <f>IF(装备!T178="","""""",""""&amp;装备!T178&amp;"""")</f>
        <v>"渡过该劫后可结成|Cffffc926天级道果|r。|n|n|Cffffc926天级道果：|r|n攻击+5000|n法强+5000|n生命值+10000|n|Cffffd24d元神力+11|r|n|n|Cff00ff7f战力推荐：|r|n"</v>
      </c>
      <c r="L102" t="str">
        <f>IF(装备!U178="",0,""""&amp;装备!U178&amp;"""")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IF(装备!B179="",0,"'"&amp;装备!B179&amp;"'")</f>
        <v>'IT08'</v>
      </c>
      <c r="B103">
        <f>装备!D122</f>
        <v>0</v>
      </c>
      <c r="C103">
        <f>装备!E179</f>
        <v>0</v>
      </c>
      <c r="D103">
        <f>装备!F179</f>
        <v>0</v>
      </c>
      <c r="E103">
        <f>IF(ISTEXT(装备!G179)=TRUE,"'"&amp;装备!G179&amp;"'",装备!G179)</f>
        <v>0</v>
      </c>
      <c r="F103">
        <f>IF(ISTEXT(装备!H179)=TRUE,"'"&amp;装备!H179&amp;"'",装备!H179)</f>
        <v>0</v>
      </c>
      <c r="G103">
        <f>IF(装备!I179="",0,"'"&amp;装备!I179&amp;"'")</f>
        <v>0</v>
      </c>
      <c r="H103">
        <f>IF(装备!R179="",0,装备!R179)</f>
        <v>-7970</v>
      </c>
      <c r="I103">
        <f>IF(装备!S179="",0,装备!S179)</f>
        <v>7965</v>
      </c>
      <c r="J103" t="str">
        <f>IF(装备!C179="",0,""""&amp;装备!C179&amp;"""")</f>
        <v>"迷魂幻世劫"</v>
      </c>
      <c r="K103" t="str">
        <f>IF(装备!T179="","""""",""""&amp;装备!T179&amp;"""")</f>
        <v>"渡过该劫后可结成|Cffffc926仙品道果|r。|n|n|Cffffc926仙品道果：|r|n攻击+6500|n法强+6500|n生命值+13000|n|Cffffd24d元神力+13|r|n|n|Cff00ff7f战力推荐：|r"</v>
      </c>
      <c r="L103" t="str">
        <f>IF(装备!U179="",0,""""&amp;装备!U179&amp;"""")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IF(装备!B180="",0,"'"&amp;装备!B180&amp;"'")</f>
        <v>'IT09'</v>
      </c>
      <c r="B104">
        <f>装备!D123</f>
        <v>0</v>
      </c>
      <c r="C104">
        <f>装备!E180</f>
        <v>0</v>
      </c>
      <c r="D104">
        <f>装备!F180</f>
        <v>0</v>
      </c>
      <c r="E104">
        <f>IF(ISTEXT(装备!G180)=TRUE,"'"&amp;装备!G180&amp;"'",装备!G180)</f>
        <v>0</v>
      </c>
      <c r="F104">
        <f>IF(ISTEXT(装备!H180)=TRUE,"'"&amp;装备!H180&amp;"'",装备!H180)</f>
        <v>0</v>
      </c>
      <c r="G104">
        <f>IF(装备!I180="",0,"'"&amp;装备!I180&amp;"'")</f>
        <v>0</v>
      </c>
      <c r="H104">
        <f>IF(装备!R180="",0,装备!R180)</f>
        <v>2100</v>
      </c>
      <c r="I104">
        <f>IF(装备!S180="",0,装备!S180)</f>
        <v>-5120</v>
      </c>
      <c r="J104" t="str">
        <f>IF(装备!C180="",0,""""&amp;装备!C180&amp;"""")</f>
        <v>"天人五衰劫"</v>
      </c>
      <c r="K104" t="str">
        <f>IF(装备!T180="","""""",""""&amp;装备!T180&amp;"""")</f>
        <v>"渡过该劫后可结成|Cffff0000至圣道果|r。|n|n|Cffff0000至圣道果：|r|n攻击+8000|n法强+8000|n生命值+16000|n|Cffffd24d元神力+16|r|n|n|Cff00ff7f战力推荐：|r"</v>
      </c>
      <c r="L104" t="str">
        <f>IF(装备!U180="",0,""""&amp;装备!U180&amp;"""")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IF(装备!B181="",0,"'"&amp;装备!B181&amp;"'")</f>
        <v>'IT10'</v>
      </c>
      <c r="B105">
        <f>装备!D124</f>
        <v>0</v>
      </c>
      <c r="C105">
        <f>装备!E181</f>
        <v>0</v>
      </c>
      <c r="D105">
        <f>装备!F181</f>
        <v>0</v>
      </c>
      <c r="E105">
        <f>IF(ISTEXT(装备!G181)=TRUE,"'"&amp;装备!G181&amp;"'",装备!G181)</f>
        <v>0</v>
      </c>
      <c r="F105">
        <f>IF(ISTEXT(装备!H181)=TRUE,"'"&amp;装备!H181&amp;"'",装备!H181)</f>
        <v>0</v>
      </c>
      <c r="G105">
        <f>IF(装备!I181="",0,"'"&amp;装备!I181&amp;"'")</f>
        <v>0</v>
      </c>
      <c r="H105">
        <f>IF(装备!R181="",0,装备!R181)</f>
        <v>2268</v>
      </c>
      <c r="I105">
        <f>IF(装备!S181="",0,装备!S181)</f>
        <v>-8065</v>
      </c>
      <c r="J105" t="str">
        <f>IF(装备!C181="",0,""""&amp;装备!C181&amp;"""")</f>
        <v>"|CffFF0000混元灭世劫|r"</v>
      </c>
      <c r="K105" t="str">
        <f>IF(装备!T181="","""""",""""&amp;装备!T181&amp;"""")</f>
        <v>"渡过该劫后可结成|Cffff0000混沌道果|r。|n|n|Cffff0000混沌道果：|r|n攻击+10000|n法强+10000|n生命值+20000|n|Cffffd24d元神力+20|r|n|n|Cff00ff7f战力推荐：|r"</v>
      </c>
      <c r="L105" t="str">
        <f>IF(装备!U181="",0,""""&amp;装备!U181&amp;"""")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IF(装备!B182="",0,"'"&amp;装备!B182&amp;"'")</f>
        <v>'IT11'</v>
      </c>
      <c r="B106">
        <f>装备!D125</f>
        <v>0</v>
      </c>
      <c r="C106">
        <f>装备!E182</f>
        <v>0</v>
      </c>
      <c r="D106">
        <f>装备!F182</f>
        <v>0</v>
      </c>
      <c r="E106">
        <f>IF(ISTEXT(装备!G182)=TRUE,"'"&amp;装备!G182&amp;"'",装备!G182)</f>
        <v>0</v>
      </c>
      <c r="F106">
        <f>IF(ISTEXT(装备!H182)=TRUE,"'"&amp;装备!H182&amp;"'",装备!H182)</f>
        <v>0</v>
      </c>
      <c r="G106">
        <f>IF(装备!I182="",0,"'"&amp;装备!I182&amp;"'")</f>
        <v>0</v>
      </c>
      <c r="H106">
        <f>IF(装备!R182="",0,装备!R182)</f>
        <v>0</v>
      </c>
      <c r="I106">
        <f>IF(装备!S182="",0,装备!S182)</f>
        <v>0</v>
      </c>
      <c r="J106" t="str">
        <f>IF(装备!C182="",0,""""&amp;装备!C182&amp;"""")</f>
        <v>"斩三尸"</v>
      </c>
      <c r="K106" t="str">
        <f>IF(装备!T182="","""""",""""&amp;装备!T182&amp;"""")</f>
        <v>"境界挑战11"</v>
      </c>
      <c r="L106" t="str">
        <f>IF(装备!U182="",0,""""&amp;装备!U182&amp;"""")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IF(装备!B183="",0,"'"&amp;装备!B183&amp;"'")</f>
        <v>'IT12'</v>
      </c>
      <c r="B107">
        <f>装备!D126</f>
        <v>0</v>
      </c>
      <c r="C107">
        <f>装备!E183</f>
        <v>0</v>
      </c>
      <c r="D107">
        <f>装备!F183</f>
        <v>0</v>
      </c>
      <c r="E107">
        <f>IF(ISTEXT(装备!G183)=TRUE,"'"&amp;装备!G183&amp;"'",装备!G183)</f>
        <v>0</v>
      </c>
      <c r="F107">
        <f>IF(ISTEXT(装备!H183)=TRUE,"'"&amp;装备!H183&amp;"'",装备!H183)</f>
        <v>0</v>
      </c>
      <c r="G107">
        <f>IF(装备!I183="",0,"'"&amp;装备!I183&amp;"'")</f>
        <v>0</v>
      </c>
      <c r="H107">
        <f>IF(装备!R183="",0,装备!R183)</f>
        <v>0</v>
      </c>
      <c r="I107">
        <f>IF(装备!S183="",0,装备!S183)</f>
        <v>0</v>
      </c>
      <c r="J107" t="str">
        <f>IF(装备!C183="",0,""""&amp;装备!C183&amp;"""")</f>
        <v>"无量量劫"</v>
      </c>
      <c r="K107" t="str">
        <f>IF(装备!T183="","""""",""""&amp;装备!T183&amp;"""")</f>
        <v>"境界挑战12"</v>
      </c>
      <c r="L107" t="str">
        <f>IF(装备!U183="",0,""""&amp;装备!U183&amp;"""")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IF(装备!B184="",0,"'"&amp;装备!B184&amp;"'")</f>
        <v>'IT13'</v>
      </c>
      <c r="B108">
        <f>装备!D127</f>
        <v>0</v>
      </c>
      <c r="C108">
        <f>装备!E184</f>
        <v>0</v>
      </c>
      <c r="D108">
        <f>装备!F184</f>
        <v>0</v>
      </c>
      <c r="E108">
        <f>IF(ISTEXT(装备!G184)=TRUE,"'"&amp;装备!G184&amp;"'",装备!G184)</f>
        <v>0</v>
      </c>
      <c r="F108">
        <f>IF(ISTEXT(装备!H184)=TRUE,"'"&amp;装备!H184&amp;"'",装备!H184)</f>
        <v>0</v>
      </c>
      <c r="G108">
        <f>IF(装备!I184="",0,"'"&amp;装备!I184&amp;"'")</f>
        <v>0</v>
      </c>
      <c r="H108">
        <f>IF(装备!R184="",0,装备!R184)</f>
        <v>0</v>
      </c>
      <c r="I108">
        <f>IF(装备!S184="",0,装备!S184)</f>
        <v>0</v>
      </c>
      <c r="J108" t="str">
        <f>IF(装备!C184="",0,""""&amp;装备!C184&amp;"""")</f>
        <v>"鸿钧对练"</v>
      </c>
      <c r="K108" t="str">
        <f>IF(装备!T184="","""""",""""&amp;装备!T184&amp;"""")</f>
        <v>"境界挑战13"</v>
      </c>
      <c r="L108" t="str">
        <f>IF(装备!U184="",0,""""&amp;装备!U184&amp;"""")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IF(装备!B185="",0,"'"&amp;装备!B185&amp;"'")</f>
        <v>'IT14'</v>
      </c>
      <c r="B109">
        <f>装备!D128</f>
        <v>0</v>
      </c>
      <c r="C109">
        <f>装备!E185</f>
        <v>0</v>
      </c>
      <c r="D109">
        <f>装备!F185</f>
        <v>0</v>
      </c>
      <c r="E109">
        <f>IF(ISTEXT(装备!G185)=TRUE,"'"&amp;装备!G185&amp;"'",装备!G185)</f>
        <v>0</v>
      </c>
      <c r="F109">
        <f>IF(ISTEXT(装备!H185)=TRUE,"'"&amp;装备!H185&amp;"'",装备!H185)</f>
        <v>0</v>
      </c>
      <c r="G109">
        <f>IF(装备!I185="",0,"'"&amp;装备!I185&amp;"'")</f>
        <v>0</v>
      </c>
      <c r="H109">
        <f>IF(装备!R185="",0,装备!R185)</f>
        <v>0</v>
      </c>
      <c r="I109">
        <f>IF(装备!S185="",0,装备!S185)</f>
        <v>0</v>
      </c>
      <c r="J109" t="str">
        <f>IF(装备!C185="",0,""""&amp;装备!C185&amp;"""")</f>
        <v>"境界挑战14"</v>
      </c>
      <c r="K109" t="str">
        <f>IF(装备!T185="","""""",""""&amp;装备!T185&amp;"""")</f>
        <v>"境界挑战14"</v>
      </c>
      <c r="L109" t="str">
        <f>IF(装备!U185="",0,""""&amp;装备!U185&amp;"""")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IF(装备!B189="",0,"'"&amp;装备!B189&amp;"'")</f>
        <v>'IS02'</v>
      </c>
      <c r="B110">
        <f>装备!D129</f>
        <v>0</v>
      </c>
      <c r="C110">
        <f>装备!E189</f>
        <v>0</v>
      </c>
      <c r="D110">
        <f>装备!F189</f>
        <v>0</v>
      </c>
      <c r="E110">
        <f>IF(ISTEXT(装备!G189)=TRUE,"'"&amp;装备!G189&amp;"'",装备!G189)</f>
        <v>0</v>
      </c>
      <c r="F110">
        <f>IF(ISTEXT(装备!H189)=TRUE,"'"&amp;装备!H189&amp;"'",装备!H189)</f>
        <v>0</v>
      </c>
      <c r="G110">
        <f>IF(装备!I189="",0,"'"&amp;装备!I189&amp;"'")</f>
        <v>0</v>
      </c>
      <c r="H110">
        <f>IF(装备!R189="",0,装备!R189)</f>
        <v>0</v>
      </c>
      <c r="I110">
        <f>IF(装备!S189="",0,装备!S189)</f>
        <v>0</v>
      </c>
      <c r="J110" t="str">
        <f>IF(装备!C189="",0,""""&amp;装备!C189&amp;"""")</f>
        <v>"抽技能W"</v>
      </c>
      <c r="K110" t="str">
        <f>IF(装备!T189="","""""",""""&amp;装备!T189&amp;"""")</f>
        <v>"抽技能W"</v>
      </c>
      <c r="L110" t="str">
        <f>IF(装备!U189="",0,""""&amp;装备!U189&amp;"""")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IF(装备!B190="",0,"'"&amp;装备!B190&amp;"'")</f>
        <v>'IS03'</v>
      </c>
      <c r="B111">
        <f>装备!D130</f>
        <v>0</v>
      </c>
      <c r="C111">
        <f>装备!E190</f>
        <v>0</v>
      </c>
      <c r="D111">
        <f>装备!F190</f>
        <v>0</v>
      </c>
      <c r="E111">
        <f>IF(ISTEXT(装备!G190)=TRUE,"'"&amp;装备!G190&amp;"'",装备!G190)</f>
        <v>0</v>
      </c>
      <c r="F111">
        <f>IF(ISTEXT(装备!H190)=TRUE,"'"&amp;装备!H190&amp;"'",装备!H190)</f>
        <v>0</v>
      </c>
      <c r="G111">
        <f>IF(装备!I190="",0,"'"&amp;装备!I190&amp;"'")</f>
        <v>0</v>
      </c>
      <c r="H111">
        <f>IF(装备!R190="",0,装备!R190)</f>
        <v>0</v>
      </c>
      <c r="I111">
        <f>IF(装备!S190="",0,装备!S190)</f>
        <v>0</v>
      </c>
      <c r="J111" t="str">
        <f>IF(装备!C190="",0,""""&amp;装备!C190&amp;"""")</f>
        <v>"抽技能E"</v>
      </c>
      <c r="K111" t="str">
        <f>IF(装备!T190="","""""",""""&amp;装备!T190&amp;"""")</f>
        <v>"抽技能E"</v>
      </c>
      <c r="L111" t="str">
        <f>IF(装备!U190="",0,""""&amp;装备!U190&amp;"""")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装备!D131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装备!D132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IF(装备!B195="",0,"'"&amp;装备!B195&amp;"'")</f>
        <v>'IH00'</v>
      </c>
      <c r="B114">
        <f>装备!D133</f>
        <v>0</v>
      </c>
      <c r="C114">
        <f>装备!E195</f>
        <v>0</v>
      </c>
      <c r="D114">
        <f>装备!F195</f>
        <v>0</v>
      </c>
      <c r="E114">
        <f>IF(ISTEXT(装备!G195)=TRUE,"'"&amp;装备!G195&amp;"'",装备!G195)</f>
        <v>0</v>
      </c>
      <c r="F114">
        <f>IF(ISTEXT(装备!H195)=TRUE,"'"&amp;装备!H195&amp;"'",装备!H195)</f>
        <v>0</v>
      </c>
      <c r="G114">
        <f>IF(装备!I195="",0,"'"&amp;装备!I195&amp;"'")</f>
        <v>0</v>
      </c>
      <c r="H114">
        <f>IF(装备!R195="",0,装备!R195)</f>
        <v>0</v>
      </c>
      <c r="I114">
        <f>IF(装备!S195="",0,装备!S195)</f>
        <v>0</v>
      </c>
      <c r="J114" t="str">
        <f>IF(装备!C195="",0,""""&amp;装备!C195&amp;"""")</f>
        <v>"觉醒兽魂"</v>
      </c>
      <c r="K114" t="str">
        <f>IF(装备!T195="","""""",""""&amp;装备!T195&amp;"""")</f>
        <v>"抽中所有兽魂后觉醒|Cffff0000神兽神通（R）|r。|n|n|Cff00ff7f觉醒时将根据你抽中的兽魂，随机领悟对应的神兽神通。|r"</v>
      </c>
      <c r="L114" t="str">
        <f>IF(装备!U195="",0,""""&amp;装备!U195&amp;"""")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IF(装备!B196="",0,"'"&amp;装备!B196&amp;"'")</f>
        <v>'IH01'</v>
      </c>
      <c r="B115">
        <f>装备!D134</f>
        <v>0</v>
      </c>
      <c r="C115">
        <f>装备!E196</f>
        <v>0</v>
      </c>
      <c r="D115">
        <f>装备!F196</f>
        <v>0</v>
      </c>
      <c r="E115">
        <f>IF(ISTEXT(装备!G196)=TRUE,"'"&amp;装备!G196&amp;"'",装备!G196)</f>
        <v>0</v>
      </c>
      <c r="F115">
        <f>IF(ISTEXT(装备!H196)=TRUE,"'"&amp;装备!H196&amp;"'",装备!H196)</f>
        <v>0</v>
      </c>
      <c r="G115">
        <f>IF(装备!I196="",0,"'"&amp;装备!I196&amp;"'")</f>
        <v>0</v>
      </c>
      <c r="H115">
        <f>IF(装备!R196="",0,装备!R196)</f>
        <v>0</v>
      </c>
      <c r="I115">
        <f>IF(装备!S196="",0,装备!S196)</f>
        <v>0</v>
      </c>
      <c r="J115" t="str">
        <f>IF(装备!C196="",0,""""&amp;装备!C196&amp;"""")</f>
        <v>"|CffFF0000陛犴之魂|r"</v>
      </c>
      <c r="K115" t="str">
        <f>IF(装备!T196="","""""",""""&amp;装备!T196&amp;"""")</f>
        <v>"|Cff999999基础属性：|n|r攻击+20%|n|n|Cff999999神通传承：|n|r|Cffff0000血之裂痕|r"</v>
      </c>
      <c r="L115" t="str">
        <f>IF(装备!U196="",0,""""&amp;装备!U196&amp;"""")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IF(装备!B197="",0,"'"&amp;装备!B197&amp;"'")</f>
        <v>'IH02'</v>
      </c>
      <c r="B116">
        <f>装备!D135</f>
        <v>0</v>
      </c>
      <c r="C116">
        <f>装备!E197</f>
        <v>0</v>
      </c>
      <c r="D116">
        <f>装备!F197</f>
        <v>0</v>
      </c>
      <c r="E116">
        <f>IF(ISTEXT(装备!G197)=TRUE,"'"&amp;装备!G197&amp;"'",装备!G197)</f>
        <v>0</v>
      </c>
      <c r="F116">
        <f>IF(ISTEXT(装备!H197)=TRUE,"'"&amp;装备!H197&amp;"'",装备!H197)</f>
        <v>0</v>
      </c>
      <c r="G116">
        <f>IF(装备!I197="",0,"'"&amp;装备!I197&amp;"'")</f>
        <v>0</v>
      </c>
      <c r="H116">
        <f>IF(装备!R197="",0,装备!R197)</f>
        <v>0</v>
      </c>
      <c r="I116">
        <f>IF(装备!S197="",0,装备!S197)</f>
        <v>0</v>
      </c>
      <c r="J116" t="str">
        <f>IF(装备!C197="",0,""""&amp;装备!C197&amp;"""")</f>
        <v>"|CffFF0000奎牛之魂|r"</v>
      </c>
      <c r="K116" t="str">
        <f>IF(装备!T197="","""""",""""&amp;装备!T197&amp;"""")</f>
        <v>"|Cff999999基础属性：|n|r法强+20%|n|n|Cff999999神通传承：|n|r|Cffff0000十绝阵|r"</v>
      </c>
      <c r="L116" t="str">
        <f>IF(装备!U197="",0,""""&amp;装备!U197&amp;"""")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IF(装备!B198="",0,"'"&amp;装备!B198&amp;"'")</f>
        <v>'IH03'</v>
      </c>
      <c r="B117">
        <f>装备!D136</f>
        <v>0</v>
      </c>
      <c r="C117">
        <f>装备!E198</f>
        <v>0</v>
      </c>
      <c r="D117">
        <f>装备!F198</f>
        <v>0</v>
      </c>
      <c r="E117">
        <f>IF(ISTEXT(装备!G198)=TRUE,"'"&amp;装备!G198&amp;"'",装备!G198)</f>
        <v>0</v>
      </c>
      <c r="F117">
        <f>IF(ISTEXT(装备!H198)=TRUE,"'"&amp;装备!H198&amp;"'",装备!H198)</f>
        <v>0</v>
      </c>
      <c r="G117">
        <f>IF(装备!I198="",0,"'"&amp;装备!I198&amp;"'")</f>
        <v>0</v>
      </c>
      <c r="H117">
        <f>IF(装备!R198="",0,装备!R198)</f>
        <v>0</v>
      </c>
      <c r="I117">
        <f>IF(装备!S198="",0,装备!S198)</f>
        <v>0</v>
      </c>
      <c r="J117" t="str">
        <f>IF(装备!C198="",0,""""&amp;装备!C198&amp;"""")</f>
        <v>"|CffFF0000墨麒麟之魂|r"</v>
      </c>
      <c r="K117" t="str">
        <f>IF(装备!T198="","""""",""""&amp;装备!T198&amp;"""")</f>
        <v>"|Cff999999基础属性：|n|r生命+40%|n|n|Cff999999神通传承：|n|r|Cffff0000八荒斗神|r"</v>
      </c>
      <c r="L117" t="str">
        <f>IF(装备!U198="",0,""""&amp;装备!U198&amp;"""")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IF(装备!B199="",0,"'"&amp;装备!B199&amp;"'")</f>
        <v>'IH04'</v>
      </c>
      <c r="B118">
        <f>装备!D137</f>
        <v>0</v>
      </c>
      <c r="C118">
        <f>装备!E199</f>
        <v>0</v>
      </c>
      <c r="D118">
        <f>装备!F199</f>
        <v>0</v>
      </c>
      <c r="E118">
        <f>IF(ISTEXT(装备!G199)=TRUE,"'"&amp;装备!G199&amp;"'",装备!G199)</f>
        <v>0</v>
      </c>
      <c r="F118">
        <f>IF(ISTEXT(装备!H199)=TRUE,"'"&amp;装备!H199&amp;"'",装备!H199)</f>
        <v>0</v>
      </c>
      <c r="G118">
        <f>IF(装备!I199="",0,"'"&amp;装备!I199&amp;"'")</f>
        <v>0</v>
      </c>
      <c r="H118">
        <f>IF(装备!R199="",0,装备!R199)</f>
        <v>0</v>
      </c>
      <c r="I118">
        <f>IF(装备!S199="",0,装备!S199)</f>
        <v>0</v>
      </c>
      <c r="J118" t="str">
        <f>IF(装备!C199="",0,""""&amp;装备!C199&amp;"""")</f>
        <v>"|CffFF0000狻猊之魂|r"</v>
      </c>
      <c r="K118" t="str">
        <f>IF(装备!T199="","""""",""""&amp;装备!T199&amp;"""")</f>
        <v>"|Cff999999基础属性：|n|r物穿+10%|n|n|Cff999999神通传承：|n|r|Cffff0000冰封之域|r"</v>
      </c>
      <c r="L118" t="str">
        <f>IF(装备!U199="",0,""""&amp;装备!U199&amp;"""")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IF(装备!B200="",0,"'"&amp;装备!B200&amp;"'")</f>
        <v>'IH05'</v>
      </c>
      <c r="B119">
        <f>装备!D138</f>
        <v>0</v>
      </c>
      <c r="C119">
        <f>装备!E200</f>
        <v>0</v>
      </c>
      <c r="D119">
        <f>装备!F200</f>
        <v>0</v>
      </c>
      <c r="E119">
        <f>IF(ISTEXT(装备!G200)=TRUE,"'"&amp;装备!G200&amp;"'",装备!G200)</f>
        <v>0</v>
      </c>
      <c r="F119">
        <f>IF(ISTEXT(装备!H200)=TRUE,"'"&amp;装备!H200&amp;"'",装备!H200)</f>
        <v>0</v>
      </c>
      <c r="G119">
        <f>IF(装备!I200="",0,"'"&amp;装备!I200&amp;"'")</f>
        <v>0</v>
      </c>
      <c r="H119">
        <f>IF(装备!R200="",0,装备!R200)</f>
        <v>0</v>
      </c>
      <c r="I119">
        <f>IF(装备!S200="",0,装备!S200)</f>
        <v>0</v>
      </c>
      <c r="J119" t="str">
        <f>IF(装备!C200="",0,""""&amp;装备!C200&amp;"""")</f>
        <v>"|CffFF0000青鸾之魂|r"</v>
      </c>
      <c r="K119" t="str">
        <f>IF(装备!T200="","""""",""""&amp;装备!T200&amp;"""")</f>
        <v>"|Cff999999基础属性：|n|r法穿+10%|n|n|Cff999999神通传承：|n|r|Cffff0000离魂秘术|r"</v>
      </c>
      <c r="L119" t="str">
        <f>IF(装备!U200="",0,""""&amp;装备!U200&amp;"""")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IF(装备!B201="",0,"'"&amp;装备!B201&amp;"'")</f>
        <v>'IH06'</v>
      </c>
      <c r="B120">
        <f>装备!D139</f>
        <v>0</v>
      </c>
      <c r="C120">
        <f>装备!E201</f>
        <v>0</v>
      </c>
      <c r="D120">
        <f>装备!F201</f>
        <v>0</v>
      </c>
      <c r="E120">
        <f>IF(ISTEXT(装备!G201)=TRUE,"'"&amp;装备!G201&amp;"'",装备!G201)</f>
        <v>0</v>
      </c>
      <c r="F120">
        <f>IF(ISTEXT(装备!H201)=TRUE,"'"&amp;装备!H201&amp;"'",装备!H201)</f>
        <v>0</v>
      </c>
      <c r="G120">
        <f>IF(装备!I201="",0,"'"&amp;装备!I201&amp;"'")</f>
        <v>0</v>
      </c>
      <c r="H120">
        <f>IF(装备!R201="",0,装备!R201)</f>
        <v>0</v>
      </c>
      <c r="I120">
        <f>IF(装备!S201="",0,装备!S201)</f>
        <v>0</v>
      </c>
      <c r="J120" t="str">
        <f>IF(装备!C201="",0,""""&amp;装备!C201&amp;"""")</f>
        <v>"|CffFF0000狰狞之魂|r"</v>
      </c>
      <c r="K120" t="str">
        <f>IF(装备!T201="","""""",""""&amp;装备!T201&amp;"""")</f>
        <v>"|Cff999999基础属性：|n|r暴击+5%，爆伤+50%|n|n|Cff999999神通传承：|n|r|Cffff0000修罗之怒|r"</v>
      </c>
      <c r="L120" t="str">
        <f>IF(装备!U201="",0,""""&amp;装备!U201&amp;"""")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IF(装备!B202="",0,"'"&amp;装备!B202&amp;"'")</f>
        <v>'IH07'</v>
      </c>
      <c r="B121">
        <f>装备!D140</f>
        <v>0</v>
      </c>
      <c r="C121">
        <f>装备!E202</f>
        <v>0</v>
      </c>
      <c r="D121">
        <f>装备!F202</f>
        <v>0</v>
      </c>
      <c r="E121">
        <f>IF(ISTEXT(装备!G202)=TRUE,"'"&amp;装备!G202&amp;"'",装备!G202)</f>
        <v>0</v>
      </c>
      <c r="F121">
        <f>IF(ISTEXT(装备!H202)=TRUE,"'"&amp;装备!H202&amp;"'",装备!H202)</f>
        <v>0</v>
      </c>
      <c r="G121">
        <f>IF(装备!I202="",0,"'"&amp;装备!I202&amp;"'")</f>
        <v>0</v>
      </c>
      <c r="H121">
        <f>IF(装备!R202="",0,装备!R202)</f>
        <v>0</v>
      </c>
      <c r="I121">
        <f>IF(装备!S202="",0,装备!S202)</f>
        <v>0</v>
      </c>
      <c r="J121" t="str">
        <f>IF(装备!C202="",0,""""&amp;装备!C202&amp;"""")</f>
        <v>"|CffFF0000神威黑虎之魂|r"</v>
      </c>
      <c r="K121" t="str">
        <f>IF(装备!T202="","""""",""""&amp;装备!T202&amp;"""")</f>
        <v>"|Cff999999基础属性：|n|r攻速+50%|n|n|Cff999999神通传承：|n|r|Cffff0000神威一击|r"</v>
      </c>
      <c r="L121" t="str">
        <f>IF(装备!U202="",0,""""&amp;装备!U202&amp;"""")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IF(装备!B203="",0,"'"&amp;装备!B203&amp;"'")</f>
        <v>'IH08'</v>
      </c>
      <c r="B122">
        <f>装备!D141</f>
        <v>0</v>
      </c>
      <c r="C122">
        <f>装备!E203</f>
        <v>0</v>
      </c>
      <c r="D122">
        <f>装备!F203</f>
        <v>0</v>
      </c>
      <c r="E122">
        <f>IF(ISTEXT(装备!G203)=TRUE,"'"&amp;装备!G203&amp;"'",装备!G203)</f>
        <v>0</v>
      </c>
      <c r="F122">
        <f>IF(ISTEXT(装备!H203)=TRUE,"'"&amp;装备!H203&amp;"'",装备!H203)</f>
        <v>0</v>
      </c>
      <c r="G122">
        <f>IF(装备!I203="",0,"'"&amp;装备!I203&amp;"'")</f>
        <v>0</v>
      </c>
      <c r="H122">
        <f>IF(装备!R203="",0,装备!R203)</f>
        <v>0</v>
      </c>
      <c r="I122">
        <f>IF(装备!S203="",0,装备!S203)</f>
        <v>0</v>
      </c>
      <c r="J122" t="str">
        <f>IF(装备!C203="",0,""""&amp;装备!C203&amp;"""")</f>
        <v>"|CffFF0000孔雀之魂|r"</v>
      </c>
      <c r="K122" t="str">
        <f>IF(装备!T203="","""""",""""&amp;装备!T203&amp;"""")</f>
        <v>"|Cff999999基础属性：|n|r冷却+10%|n|n|Cff999999神通传承：|n|r|Cffff0000道法自然|r"</v>
      </c>
      <c r="L122" t="str">
        <f>IF(装备!U203="",0,""""&amp;装备!U203&amp;"""")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IF(装备!B204="",0,"'"&amp;装备!B204&amp;"'")</f>
        <v>'IB01'</v>
      </c>
      <c r="B123">
        <f>装备!D142</f>
        <v>0</v>
      </c>
      <c r="C123">
        <f>装备!E204</f>
        <v>0</v>
      </c>
      <c r="D123">
        <f>装备!F204</f>
        <v>0</v>
      </c>
      <c r="E123">
        <f>IF(ISTEXT(装备!G204)=TRUE,"'"&amp;装备!G204&amp;"'",装备!G204)</f>
        <v>0</v>
      </c>
      <c r="F123">
        <f>IF(ISTEXT(装备!H204)=TRUE,"'"&amp;装备!H204&amp;"'",装备!H204)</f>
        <v>0</v>
      </c>
      <c r="G123">
        <f>IF(装备!I204="",0,"'"&amp;装备!I204&amp;"'")</f>
        <v>0</v>
      </c>
      <c r="H123">
        <f>IF(装备!R204="",0,装备!R204)</f>
        <v>0</v>
      </c>
      <c r="I123">
        <f>IF(装备!S204="",0,装备!S204)</f>
        <v>0</v>
      </c>
      <c r="J123" t="str">
        <f>IF(装备!C204="",0,""""&amp;装备!C204&amp;"""")</f>
        <v>"公众号礼包"</v>
      </c>
      <c r="K123" t="str">
        <f>IF(装备!T204="","""""",""""&amp;装备!T204&amp;"""")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IF(装备!U204="",0,""""&amp;装备!U204&amp;"""")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IF(装备!B205="",0,"'"&amp;装备!B205&amp;"'")</f>
        <v>'IB02'</v>
      </c>
      <c r="B124">
        <f>装备!D143</f>
        <v>0</v>
      </c>
      <c r="C124">
        <f>装备!E205</f>
        <v>0</v>
      </c>
      <c r="D124">
        <f>装备!F205</f>
        <v>0</v>
      </c>
      <c r="E124">
        <f>IF(ISTEXT(装备!G205)=TRUE,"'"&amp;装备!G205&amp;"'",装备!G205)</f>
        <v>0</v>
      </c>
      <c r="F124">
        <f>IF(ISTEXT(装备!H205)=TRUE,"'"&amp;装备!H205&amp;"'",装备!H205)</f>
        <v>0</v>
      </c>
      <c r="G124">
        <f>IF(装备!I205="",0,"'"&amp;装备!I205&amp;"'")</f>
        <v>0</v>
      </c>
      <c r="H124">
        <f>IF(装备!R205="",0,装备!R205)</f>
        <v>0</v>
      </c>
      <c r="I124">
        <f>IF(装备!S205="",0,装备!S205)</f>
        <v>0</v>
      </c>
      <c r="J124" t="str">
        <f>IF(装备!C205="",0,""""&amp;装备!C205&amp;"""")</f>
        <v>"入群礼包"</v>
      </c>
      <c r="K124" t="str">
        <f>IF(装备!T205="","""""",""""&amp;装备!T205&amp;"""")</f>
        <v>"加入《|cff00ffcc全民封神|r》官方QQ群，即可获得入群礼包码！|n|n输入礼包码即可获得：|n|cffffcc33金币+2000|n每秒攻击+2|n每秒业力+1|r"</v>
      </c>
      <c r="L124" t="str">
        <f>IF(装备!U205="",0,""""&amp;装备!U205&amp;"""")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IF(装备!B206="",0,"'"&amp;装备!B206&amp;"'")</f>
        <v>'IB03'</v>
      </c>
      <c r="B125">
        <f>装备!D144</f>
        <v>0</v>
      </c>
      <c r="C125">
        <f>装备!E206</f>
        <v>0</v>
      </c>
      <c r="D125">
        <f>装备!F206</f>
        <v>0</v>
      </c>
      <c r="E125">
        <f>IF(ISTEXT(装备!G206)=TRUE,"'"&amp;装备!G206&amp;"'",装备!G206)</f>
        <v>0</v>
      </c>
      <c r="F125">
        <f>IF(ISTEXT(装备!H206)=TRUE,"'"&amp;装备!H206&amp;"'",装备!H206)</f>
        <v>0</v>
      </c>
      <c r="G125">
        <f>IF(装备!I206="",0,"'"&amp;装备!I206&amp;"'")</f>
        <v>0</v>
      </c>
      <c r="H125">
        <f>IF(装备!R206="",0,装备!R206)</f>
        <v>0</v>
      </c>
      <c r="I125">
        <f>IF(装备!S206="",0,装备!S206)</f>
        <v>0</v>
      </c>
      <c r="J125" t="str">
        <f>IF(装备!C206="",0,""""&amp;装备!C206&amp;"""")</f>
        <v>"拜年礼包"</v>
      </c>
      <c r="K125" t="str">
        <f>IF(装备!T206="","""""",""""&amp;装备!T206&amp;"""")</f>
        <v>"|cff99ccff给与地图有效评论建议|r即可领取：|n|cffffff00杀敌生命+5|n杀敌业力+1|n|r|cffffcc33每级通行证永久增加3点杀敌生命奖励！|n|n|r|cff808080地图等级达到3级可领取|r"</v>
      </c>
      <c r="L125" t="str">
        <f>IF(装备!U206="",0,""""&amp;装备!U206&amp;"""")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|n杀敌业力+1|n|r|cffffcc33每级通行证永久增加3点杀敌生命奖励！|n|n|r|cff808080地图等级达到3级可领取|r")</v>
      </c>
    </row>
    <row r="126" spans="1:14">
      <c r="A126" t="str">
        <f>IF(装备!B207="",0,"'"&amp;装备!B207&amp;"'")</f>
        <v>'IB04'</v>
      </c>
      <c r="B126">
        <f>装备!D145</f>
        <v>0</v>
      </c>
      <c r="C126">
        <f>装备!E207</f>
        <v>0</v>
      </c>
      <c r="D126">
        <f>装备!F207</f>
        <v>0</v>
      </c>
      <c r="E126">
        <f>IF(ISTEXT(装备!G207)=TRUE,"'"&amp;装备!G207&amp;"'",装备!G207)</f>
        <v>0</v>
      </c>
      <c r="F126">
        <f>IF(ISTEXT(装备!H207)=TRUE,"'"&amp;装备!H207&amp;"'",装备!H207)</f>
        <v>0</v>
      </c>
      <c r="G126">
        <f>IF(装备!I207="",0,"'"&amp;装备!I207&amp;"'")</f>
        <v>0</v>
      </c>
      <c r="H126">
        <f>IF(装备!R207="",0,装备!R207)</f>
        <v>0</v>
      </c>
      <c r="I126">
        <f>IF(装备!S207="",0,装备!S207)</f>
        <v>0</v>
      </c>
      <c r="J126" t="str">
        <f>IF(装备!C207="",0,""""&amp;装备!C207&amp;"""")</f>
        <v>"收藏礼包"</v>
      </c>
      <c r="K126" t="str">
        <f>IF(装备!T207="","""""",""""&amp;装备!T207&amp;"""")</f>
        <v>"|cff99ccff房间大厅界面点击右上角《|r|cffcc99ff收藏|r|cff99ccff》后可领取该礼包。|n|n|r属性：|n|cffffcc33物理伤害+5%|n法术伤害+5%|r"</v>
      </c>
      <c r="L126" t="str">
        <f>IF(装备!U207="",0,""""&amp;装备!U207&amp;"""")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IF(装备!B208="",0,"'"&amp;装备!B208&amp;"'")</f>
        <v>'IB05'</v>
      </c>
      <c r="B127">
        <f>装备!D146</f>
        <v>0</v>
      </c>
      <c r="C127">
        <f>装备!E208</f>
        <v>0</v>
      </c>
      <c r="D127">
        <f>装备!F208</f>
        <v>0</v>
      </c>
      <c r="E127">
        <f>IF(ISTEXT(装备!G208)=TRUE,"'"&amp;装备!G208&amp;"'",装备!G208)</f>
        <v>0</v>
      </c>
      <c r="F127">
        <f>IF(ISTEXT(装备!H208)=TRUE,"'"&amp;装备!H208&amp;"'",装备!H208)</f>
        <v>0</v>
      </c>
      <c r="G127">
        <f>IF(装备!I208="",0,"'"&amp;装备!I208&amp;"'")</f>
        <v>0</v>
      </c>
      <c r="H127">
        <f>IF(装备!R208="",0,装备!R208)</f>
        <v>0</v>
      </c>
      <c r="I127">
        <f>IF(装备!S208="",0,装备!S208)</f>
        <v>0</v>
      </c>
      <c r="J127" t="str">
        <f>IF(装备!C208="",0,""""&amp;装备!C208&amp;"""")</f>
        <v>"重置版礼包"</v>
      </c>
      <c r="K127" t="str">
        <f>IF(装备!T208="","""""",""""&amp;装备!T208&amp;"""")</f>
        <v>"|cff33ff00购买魔兽重制版可领取该礼包！|n|n|r属性：|n|cffffcc33高级聚宝盆|r"</v>
      </c>
      <c r="L127" t="str">
        <f>IF(装备!U208="",0,""""&amp;装备!U208&amp;"""")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IF(装备!B222="",0,"'"&amp;装备!B222&amp;"'")</f>
        <v>'IF01'</v>
      </c>
      <c r="B128">
        <f>装备!D147</f>
        <v>0</v>
      </c>
      <c r="C128">
        <f>装备!E222</f>
        <v>0</v>
      </c>
      <c r="D128">
        <f>装备!F222</f>
        <v>0</v>
      </c>
      <c r="E128">
        <f>IF(ISTEXT(装备!G222)=TRUE,"'"&amp;装备!G222&amp;"'",装备!G222)</f>
        <v>0</v>
      </c>
      <c r="F128">
        <f>IF(ISTEXT(装备!H222)=TRUE,"'"&amp;装备!H222&amp;"'",装备!H222)</f>
        <v>0</v>
      </c>
      <c r="G128">
        <f>IF(装备!I222="",0,"'"&amp;装备!I222&amp;"'")</f>
        <v>0</v>
      </c>
      <c r="H128">
        <f>IF(装备!R222="",0,装备!R222)</f>
        <v>0</v>
      </c>
      <c r="I128">
        <f>IF(装备!S222="",0,装备!S222)</f>
        <v>0</v>
      </c>
      <c r="J128" t="str">
        <f>IF(装备!C222="",0,""""&amp;装备!C222&amp;"""")</f>
        <v>"攻击"</v>
      </c>
      <c r="K128" t="str">
        <f>IF(装备!T222="","""""",""""&amp;装备!T222&amp;"""")</f>
        <v>""</v>
      </c>
      <c r="L128" t="str">
        <f>IF(装备!U222="",0,""""&amp;装备!U222&amp;"""")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IF(装备!B223="",0,"'"&amp;装备!B223&amp;"'")</f>
        <v>'IF02'</v>
      </c>
      <c r="B129">
        <f>装备!D148</f>
        <v>0</v>
      </c>
      <c r="C129">
        <f>装备!E223</f>
        <v>0</v>
      </c>
      <c r="D129">
        <f>装备!F223</f>
        <v>0</v>
      </c>
      <c r="E129">
        <f>IF(ISTEXT(装备!G223)=TRUE,"'"&amp;装备!G223&amp;"'",装备!G223)</f>
        <v>0</v>
      </c>
      <c r="F129">
        <f>IF(ISTEXT(装备!H223)=TRUE,"'"&amp;装备!H223&amp;"'",装备!H223)</f>
        <v>0</v>
      </c>
      <c r="G129">
        <f>IF(装备!I223="",0,"'"&amp;装备!I223&amp;"'")</f>
        <v>0</v>
      </c>
      <c r="H129">
        <f>IF(装备!R223="",0,装备!R223)</f>
        <v>0</v>
      </c>
      <c r="I129">
        <f>IF(装备!S223="",0,装备!S223)</f>
        <v>0</v>
      </c>
      <c r="J129" t="str">
        <f>IF(装备!C223="",0,""""&amp;装备!C223&amp;"""")</f>
        <v>"法强"</v>
      </c>
      <c r="K129" t="str">
        <f>IF(装备!T223="","""""",""""&amp;装备!T223&amp;"""")</f>
        <v>""</v>
      </c>
      <c r="L129">
        <f>IF(装备!U223="",0,""""&amp;装备!U223&amp;"""")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IF(装备!B224="",0,"'"&amp;装备!B224&amp;"'")</f>
        <v>'IF03'</v>
      </c>
      <c r="B130">
        <f>装备!D149</f>
        <v>0</v>
      </c>
      <c r="C130">
        <f>装备!E224</f>
        <v>0</v>
      </c>
      <c r="D130">
        <f>装备!F224</f>
        <v>0</v>
      </c>
      <c r="E130">
        <f>IF(ISTEXT(装备!G224)=TRUE,"'"&amp;装备!G224&amp;"'",装备!G224)</f>
        <v>0</v>
      </c>
      <c r="F130">
        <f>IF(ISTEXT(装备!H224)=TRUE,"'"&amp;装备!H224&amp;"'",装备!H224)</f>
        <v>0</v>
      </c>
      <c r="G130">
        <f>IF(装备!I224="",0,"'"&amp;装备!I224&amp;"'")</f>
        <v>0</v>
      </c>
      <c r="H130">
        <f>IF(装备!R224="",0,装备!R224)</f>
        <v>0</v>
      </c>
      <c r="I130">
        <f>IF(装备!S224="",0,装备!S224)</f>
        <v>0</v>
      </c>
      <c r="J130" t="str">
        <f>IF(装备!C224="",0,""""&amp;装备!C224&amp;"""")</f>
        <v>"攻击"</v>
      </c>
      <c r="K130" t="str">
        <f>IF(装备!T224="","""""",""""&amp;装备!T224&amp;"""")</f>
        <v>""</v>
      </c>
      <c r="L130">
        <f>IF(装备!U224="",0,""""&amp;装备!U224&amp;"""")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IF(装备!B225="",0,"'"&amp;装备!B225&amp;"'")</f>
        <v>'IF04'</v>
      </c>
      <c r="B131">
        <f>装备!D150</f>
        <v>0</v>
      </c>
      <c r="C131">
        <f>装备!E225</f>
        <v>0</v>
      </c>
      <c r="D131">
        <f>装备!F225</f>
        <v>0</v>
      </c>
      <c r="E131">
        <f>IF(ISTEXT(装备!G225)=TRUE,"'"&amp;装备!G225&amp;"'",装备!G225)</f>
        <v>0</v>
      </c>
      <c r="F131">
        <f>IF(ISTEXT(装备!H225)=TRUE,"'"&amp;装备!H225&amp;"'",装备!H225)</f>
        <v>0</v>
      </c>
      <c r="G131">
        <f>IF(装备!I225="",0,"'"&amp;装备!I225&amp;"'")</f>
        <v>0</v>
      </c>
      <c r="H131">
        <f>IF(装备!R225="",0,装备!R225)</f>
        <v>0</v>
      </c>
      <c r="I131">
        <f>IF(装备!S225="",0,装备!S225)</f>
        <v>0</v>
      </c>
      <c r="J131" t="str">
        <f>IF(装备!C225="",0,""""&amp;装备!C225&amp;"""")</f>
        <v>"法强"</v>
      </c>
      <c r="K131" t="str">
        <f>IF(装备!T225="","""""",""""&amp;装备!T225&amp;"""")</f>
        <v>""</v>
      </c>
      <c r="L131">
        <f>IF(装备!U225="",0,""""&amp;装备!U225&amp;"""")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IF(装备!B226="",0,"'"&amp;装备!B226&amp;"'")</f>
        <v>'IF05'</v>
      </c>
      <c r="B132">
        <f>装备!D151</f>
        <v>0</v>
      </c>
      <c r="C132">
        <f>装备!E226</f>
        <v>0</v>
      </c>
      <c r="D132">
        <f>装备!F226</f>
        <v>0</v>
      </c>
      <c r="E132">
        <f>IF(ISTEXT(装备!G226)=TRUE,"'"&amp;装备!G226&amp;"'",装备!G226)</f>
        <v>0</v>
      </c>
      <c r="F132">
        <f>IF(ISTEXT(装备!H226)=TRUE,"'"&amp;装备!H226&amp;"'",装备!H226)</f>
        <v>0</v>
      </c>
      <c r="G132">
        <f>IF(装备!I226="",0,"'"&amp;装备!I226&amp;"'")</f>
        <v>0</v>
      </c>
      <c r="H132">
        <f>IF(装备!R226="",0,装备!R226)</f>
        <v>0</v>
      </c>
      <c r="I132">
        <f>IF(装备!S226="",0,装备!S226)</f>
        <v>0</v>
      </c>
      <c r="J132" t="str">
        <f>IF(装备!C226="",0,""""&amp;装备!C226&amp;"""")</f>
        <v>"攻击"</v>
      </c>
      <c r="K132" t="str">
        <f>IF(装备!T226="","""""",""""&amp;装备!T226&amp;"""")</f>
        <v>""</v>
      </c>
      <c r="L132">
        <f>IF(装备!U226="",0,""""&amp;装备!U226&amp;"""")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IF(装备!B227="",0,"'"&amp;装备!B227&amp;"'")</f>
        <v>'IF06'</v>
      </c>
      <c r="B133">
        <f>装备!D152</f>
        <v>0</v>
      </c>
      <c r="C133">
        <f>装备!E227</f>
        <v>0</v>
      </c>
      <c r="D133">
        <f>装备!F227</f>
        <v>0</v>
      </c>
      <c r="E133">
        <f>IF(ISTEXT(装备!G227)=TRUE,"'"&amp;装备!G227&amp;"'",装备!G227)</f>
        <v>0</v>
      </c>
      <c r="F133">
        <f>IF(ISTEXT(装备!H227)=TRUE,"'"&amp;装备!H227&amp;"'",装备!H227)</f>
        <v>0</v>
      </c>
      <c r="G133">
        <f>IF(装备!I227="",0,"'"&amp;装备!I227&amp;"'")</f>
        <v>0</v>
      </c>
      <c r="H133">
        <f>IF(装备!R227="",0,装备!R227)</f>
        <v>0</v>
      </c>
      <c r="I133">
        <f>IF(装备!S227="",0,装备!S227)</f>
        <v>0</v>
      </c>
      <c r="J133" t="str">
        <f>IF(装备!C227="",0,""""&amp;装备!C227&amp;"""")</f>
        <v>"法强"</v>
      </c>
      <c r="K133" t="str">
        <f>IF(装备!T227="","""""",""""&amp;装备!T227&amp;"""")</f>
        <v>""</v>
      </c>
      <c r="L133">
        <f>IF(装备!U227="",0,""""&amp;装备!U227&amp;"""")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IF(装备!B228="",0,"'"&amp;装备!B228&amp;"'")</f>
        <v>'IF07'</v>
      </c>
      <c r="B134">
        <f>装备!D153</f>
        <v>0</v>
      </c>
      <c r="C134">
        <f>装备!E228</f>
        <v>0</v>
      </c>
      <c r="D134">
        <f>装备!F228</f>
        <v>0</v>
      </c>
      <c r="E134">
        <f>IF(ISTEXT(装备!G228)=TRUE,"'"&amp;装备!G228&amp;"'",装备!G228)</f>
        <v>0</v>
      </c>
      <c r="F134">
        <f>IF(ISTEXT(装备!H228)=TRUE,"'"&amp;装备!H228&amp;"'",装备!H228)</f>
        <v>0</v>
      </c>
      <c r="G134">
        <f>IF(装备!I228="",0,"'"&amp;装备!I228&amp;"'")</f>
        <v>0</v>
      </c>
      <c r="H134">
        <f>IF(装备!R228="",0,装备!R228)</f>
        <v>0</v>
      </c>
      <c r="I134">
        <f>IF(装备!S228="",0,装备!S228)</f>
        <v>0</v>
      </c>
      <c r="J134" t="str">
        <f>IF(装备!C228="",0,""""&amp;装备!C228&amp;"""")</f>
        <v>"攻击"</v>
      </c>
      <c r="K134" t="str">
        <f>IF(装备!T228="","""""",""""&amp;装备!T228&amp;"""")</f>
        <v>""</v>
      </c>
      <c r="L134">
        <f>IF(装备!U228="",0,""""&amp;装备!U228&amp;"""")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IF(装备!B229="",0,"'"&amp;装备!B229&amp;"'")</f>
        <v>'IF08'</v>
      </c>
      <c r="B135">
        <f>装备!D154</f>
        <v>0</v>
      </c>
      <c r="C135">
        <f>装备!E229</f>
        <v>0</v>
      </c>
      <c r="D135">
        <f>装备!F229</f>
        <v>0</v>
      </c>
      <c r="E135">
        <f>IF(ISTEXT(装备!G229)=TRUE,"'"&amp;装备!G229&amp;"'",装备!G229)</f>
        <v>0</v>
      </c>
      <c r="F135">
        <f>IF(ISTEXT(装备!H229)=TRUE,"'"&amp;装备!H229&amp;"'",装备!H229)</f>
        <v>0</v>
      </c>
      <c r="G135">
        <f>IF(装备!I229="",0,"'"&amp;装备!I229&amp;"'")</f>
        <v>0</v>
      </c>
      <c r="H135">
        <f>IF(装备!R229="",0,装备!R229)</f>
        <v>0</v>
      </c>
      <c r="I135">
        <f>IF(装备!S229="",0,装备!S229)</f>
        <v>0</v>
      </c>
      <c r="J135" t="str">
        <f>IF(装备!C229="",0,""""&amp;装备!C229&amp;"""")</f>
        <v>"法强"</v>
      </c>
      <c r="K135" t="str">
        <f>IF(装备!T229="","""""",""""&amp;装备!T229&amp;"""")</f>
        <v>""</v>
      </c>
      <c r="L135">
        <f>IF(装备!U229="",0,""""&amp;装备!U229&amp;"""")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IF(装备!B230="",0,"'"&amp;装备!B230&amp;"'")</f>
        <v>'IF09'</v>
      </c>
      <c r="B136">
        <f>装备!D155</f>
        <v>0</v>
      </c>
      <c r="C136">
        <f>装备!E230</f>
        <v>0</v>
      </c>
      <c r="D136">
        <f>装备!F230</f>
        <v>0</v>
      </c>
      <c r="E136">
        <f>IF(ISTEXT(装备!G230)=TRUE,"'"&amp;装备!G230&amp;"'",装备!G230)</f>
        <v>0</v>
      </c>
      <c r="F136">
        <f>IF(ISTEXT(装备!H230)=TRUE,"'"&amp;装备!H230&amp;"'",装备!H230)</f>
        <v>0</v>
      </c>
      <c r="G136">
        <f>IF(装备!I230="",0,"'"&amp;装备!I230&amp;"'")</f>
        <v>0</v>
      </c>
      <c r="H136">
        <f>IF(装备!R230="",0,装备!R230)</f>
        <v>0</v>
      </c>
      <c r="I136">
        <f>IF(装备!S230="",0,装备!S230)</f>
        <v>0</v>
      </c>
      <c r="J136" t="str">
        <f>IF(装备!C230="",0,""""&amp;装备!C230&amp;"""")</f>
        <v>"攻击"</v>
      </c>
      <c r="K136" t="str">
        <f>IF(装备!T230="","""""",""""&amp;装备!T230&amp;"""")</f>
        <v>""</v>
      </c>
      <c r="L136">
        <f>IF(装备!U230="",0,""""&amp;装备!U230&amp;"""")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IF(装备!B231="",0,"'"&amp;装备!B231&amp;"'")</f>
        <v>'IF10'</v>
      </c>
      <c r="B137">
        <f>装备!D156</f>
        <v>0</v>
      </c>
      <c r="C137">
        <f>装备!E231</f>
        <v>0</v>
      </c>
      <c r="D137">
        <f>装备!F231</f>
        <v>0</v>
      </c>
      <c r="E137">
        <f>IF(ISTEXT(装备!G231)=TRUE,"'"&amp;装备!G231&amp;"'",装备!G231)</f>
        <v>0</v>
      </c>
      <c r="F137">
        <f>IF(ISTEXT(装备!H231)=TRUE,"'"&amp;装备!H231&amp;"'",装备!H231)</f>
        <v>0</v>
      </c>
      <c r="G137">
        <f>IF(装备!I231="",0,"'"&amp;装备!I231&amp;"'")</f>
        <v>0</v>
      </c>
      <c r="H137">
        <f>IF(装备!R231="",0,装备!R231)</f>
        <v>0</v>
      </c>
      <c r="I137">
        <f>IF(装备!S231="",0,装备!S231)</f>
        <v>0</v>
      </c>
      <c r="J137" t="str">
        <f>IF(装备!C231="",0,""""&amp;装备!C231&amp;"""")</f>
        <v>"法强"</v>
      </c>
      <c r="K137" t="str">
        <f>IF(装备!T231="","""""",""""&amp;装备!T231&amp;"""")</f>
        <v>""</v>
      </c>
      <c r="L137">
        <f>IF(装备!U231="",0,""""&amp;装备!U231&amp;"""")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IF(装备!B232="",0,"'"&amp;装备!B232&amp;"'")</f>
        <v>'IF11'</v>
      </c>
      <c r="B138">
        <f>装备!D157</f>
        <v>0</v>
      </c>
      <c r="C138">
        <f>装备!E232</f>
        <v>0</v>
      </c>
      <c r="D138">
        <f>装备!F232</f>
        <v>0</v>
      </c>
      <c r="E138">
        <f>IF(ISTEXT(装备!G232)=TRUE,"'"&amp;装备!G232&amp;"'",装备!G232)</f>
        <v>0</v>
      </c>
      <c r="F138">
        <f>IF(ISTEXT(装备!H232)=TRUE,"'"&amp;装备!H232&amp;"'",装备!H232)</f>
        <v>0</v>
      </c>
      <c r="G138">
        <f>IF(装备!I232="",0,"'"&amp;装备!I232&amp;"'")</f>
        <v>0</v>
      </c>
      <c r="H138">
        <f>IF(装备!R232="",0,装备!R232)</f>
        <v>0</v>
      </c>
      <c r="I138">
        <f>IF(装备!S232="",0,装备!S232)</f>
        <v>0</v>
      </c>
      <c r="J138" t="str">
        <f>IF(装备!C232="",0,""""&amp;装备!C232&amp;"""")</f>
        <v>"攻击和法强"</v>
      </c>
      <c r="K138" t="str">
        <f>IF(装备!T232="","""""",""""&amp;装备!T232&amp;"""")</f>
        <v>""</v>
      </c>
      <c r="L138">
        <f>IF(装备!U232="",0,""""&amp;装备!U232&amp;"""")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IF(装备!B233="",0,"'"&amp;装备!B233&amp;"'")</f>
        <v>'IF12'</v>
      </c>
      <c r="B139">
        <f>装备!D158</f>
        <v>0</v>
      </c>
      <c r="C139">
        <f>装备!E233</f>
        <v>0</v>
      </c>
      <c r="D139">
        <f>装备!F233</f>
        <v>0</v>
      </c>
      <c r="E139">
        <f>IF(ISTEXT(装备!G233)=TRUE,"'"&amp;装备!G233&amp;"'",装备!G233)</f>
        <v>0</v>
      </c>
      <c r="F139">
        <f>IF(ISTEXT(装备!H233)=TRUE,"'"&amp;装备!H233&amp;"'",装备!H233)</f>
        <v>0</v>
      </c>
      <c r="G139">
        <f>IF(装备!I233="",0,"'"&amp;装备!I233&amp;"'")</f>
        <v>0</v>
      </c>
      <c r="H139">
        <f>IF(装备!R233="",0,装备!R233)</f>
        <v>0</v>
      </c>
      <c r="I139">
        <f>IF(装备!S233="",0,装备!S233)</f>
        <v>0</v>
      </c>
      <c r="J139" t="str">
        <f>IF(装备!C233="",0,""""&amp;装备!C233&amp;"""")</f>
        <v>"暴击"</v>
      </c>
      <c r="K139" t="str">
        <f>IF(装备!T233="","""""",""""&amp;装备!T233&amp;"""")</f>
        <v>""</v>
      </c>
      <c r="L139">
        <f>IF(装备!U233="",0,""""&amp;装备!U233&amp;"""")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IF(装备!B234="",0,"'"&amp;装备!B234&amp;"'")</f>
        <v>'IF13'</v>
      </c>
      <c r="B140">
        <f>装备!D159</f>
        <v>0</v>
      </c>
      <c r="C140">
        <f>装备!E234</f>
        <v>0</v>
      </c>
      <c r="D140">
        <f>装备!F234</f>
        <v>0</v>
      </c>
      <c r="E140">
        <f>IF(ISTEXT(装备!G234)=TRUE,"'"&amp;装备!G234&amp;"'",装备!G234)</f>
        <v>0</v>
      </c>
      <c r="F140">
        <f>IF(ISTEXT(装备!H234)=TRUE,"'"&amp;装备!H234&amp;"'",装备!H234)</f>
        <v>0</v>
      </c>
      <c r="G140">
        <f>IF(装备!I234="",0,"'"&amp;装备!I234&amp;"'")</f>
        <v>0</v>
      </c>
      <c r="H140">
        <f>IF(装备!R234="",0,装备!R234)</f>
        <v>0</v>
      </c>
      <c r="I140">
        <f>IF(装备!S234="",0,装备!S234)</f>
        <v>0</v>
      </c>
      <c r="J140" t="str">
        <f>IF(装备!C234="",0,""""&amp;装备!C234&amp;"""")</f>
        <v>"爆伤"</v>
      </c>
      <c r="K140" t="str">
        <f>IF(装备!T234="","""""",""""&amp;装备!T234&amp;"""")</f>
        <v>""</v>
      </c>
      <c r="L140">
        <f>IF(装备!U234="",0,""""&amp;装备!U234&amp;"""")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IF(装备!B235="",0,"'"&amp;装备!B235&amp;"'")</f>
        <v>'IF14'</v>
      </c>
      <c r="B141">
        <f>装备!D160</f>
        <v>0</v>
      </c>
      <c r="C141">
        <f>装备!E235</f>
        <v>0</v>
      </c>
      <c r="D141">
        <f>装备!F235</f>
        <v>0</v>
      </c>
      <c r="E141">
        <f>IF(ISTEXT(装备!G235)=TRUE,"'"&amp;装备!G235&amp;"'",装备!G235)</f>
        <v>0</v>
      </c>
      <c r="F141">
        <f>IF(ISTEXT(装备!H235)=TRUE,"'"&amp;装备!H235&amp;"'",装备!H235)</f>
        <v>0</v>
      </c>
      <c r="G141">
        <f>IF(装备!I235="",0,"'"&amp;装备!I235&amp;"'")</f>
        <v>0</v>
      </c>
      <c r="H141">
        <f>IF(装备!R235="",0,装备!R235)</f>
        <v>0</v>
      </c>
      <c r="I141">
        <f>IF(装备!S235="",0,装备!S235)</f>
        <v>0</v>
      </c>
      <c r="J141" t="str">
        <f>IF(装备!C235="",0,""""&amp;装备!C235&amp;"""")</f>
        <v>"爆伤"</v>
      </c>
      <c r="K141" t="str">
        <f>IF(装备!T235="","""""",""""&amp;装备!T235&amp;"""")</f>
        <v>""</v>
      </c>
      <c r="L141">
        <f>IF(装备!U235="",0,""""&amp;装备!U235&amp;"""")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IF(装备!B236="",0,"'"&amp;装备!B236&amp;"'")</f>
        <v>'IF15'</v>
      </c>
      <c r="B142">
        <f>装备!D161</f>
        <v>0</v>
      </c>
      <c r="C142">
        <f>装备!E236</f>
        <v>0</v>
      </c>
      <c r="D142">
        <f>装备!F236</f>
        <v>0</v>
      </c>
      <c r="E142">
        <f>IF(ISTEXT(装备!G236)=TRUE,"'"&amp;装备!G236&amp;"'",装备!G236)</f>
        <v>0</v>
      </c>
      <c r="F142">
        <f>IF(ISTEXT(装备!H236)=TRUE,"'"&amp;装备!H236&amp;"'",装备!H236)</f>
        <v>0</v>
      </c>
      <c r="G142">
        <f>IF(装备!I236="",0,"'"&amp;装备!I236&amp;"'")</f>
        <v>0</v>
      </c>
      <c r="H142">
        <f>IF(装备!R236="",0,装备!R236)</f>
        <v>0</v>
      </c>
      <c r="I142">
        <f>IF(装备!S236="",0,装备!S236)</f>
        <v>0</v>
      </c>
      <c r="J142" t="str">
        <f>IF(装备!C236="",0,""""&amp;装备!C236&amp;"""")</f>
        <v>"爆伤"</v>
      </c>
      <c r="K142" t="str">
        <f>IF(装备!T236="","""""",""""&amp;装备!T236&amp;"""")</f>
        <v>""</v>
      </c>
      <c r="L142">
        <f>IF(装备!U236="",0,""""&amp;装备!U236&amp;"""")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IF(装备!B237="",0,"'"&amp;装备!B237&amp;"'")</f>
        <v>'IF16'</v>
      </c>
      <c r="B143">
        <f>装备!D162</f>
        <v>0</v>
      </c>
      <c r="C143">
        <f>装备!E237</f>
        <v>0</v>
      </c>
      <c r="D143">
        <f>装备!F237</f>
        <v>0</v>
      </c>
      <c r="E143">
        <f>IF(ISTEXT(装备!G237)=TRUE,"'"&amp;装备!G237&amp;"'",装备!G237)</f>
        <v>0</v>
      </c>
      <c r="F143">
        <f>IF(ISTEXT(装备!H237)=TRUE,"'"&amp;装备!H237&amp;"'",装备!H237)</f>
        <v>0</v>
      </c>
      <c r="G143">
        <f>IF(装备!I237="",0,"'"&amp;装备!I237&amp;"'")</f>
        <v>0</v>
      </c>
      <c r="H143">
        <f>IF(装备!R237="",0,装备!R237)</f>
        <v>0</v>
      </c>
      <c r="I143">
        <f>IF(装备!S237="",0,装备!S237)</f>
        <v>0</v>
      </c>
      <c r="J143" t="str">
        <f>IF(装备!C237="",0,""""&amp;装备!C237&amp;"""")</f>
        <v>"冷却缩减"</v>
      </c>
      <c r="K143" t="str">
        <f>IF(装备!T237="","""""",""""&amp;装备!T237&amp;"""")</f>
        <v>""</v>
      </c>
      <c r="L143">
        <f>IF(装备!U237="",0,""""&amp;装备!U237&amp;"""")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IF(装备!B238="",0,"'"&amp;装备!B238&amp;"'")</f>
        <v>'IF17'</v>
      </c>
      <c r="B144">
        <f>装备!D163</f>
        <v>0</v>
      </c>
      <c r="C144">
        <f>装备!E238</f>
        <v>0</v>
      </c>
      <c r="D144">
        <f>装备!F238</f>
        <v>0</v>
      </c>
      <c r="E144">
        <f>IF(ISTEXT(装备!G238)=TRUE,"'"&amp;装备!G238&amp;"'",装备!G238)</f>
        <v>0</v>
      </c>
      <c r="F144">
        <f>IF(ISTEXT(装备!H238)=TRUE,"'"&amp;装备!H238&amp;"'",装备!H238)</f>
        <v>0</v>
      </c>
      <c r="G144">
        <f>IF(装备!I238="",0,"'"&amp;装备!I238&amp;"'")</f>
        <v>0</v>
      </c>
      <c r="H144">
        <f>IF(装备!R238="",0,装备!R238)</f>
        <v>0</v>
      </c>
      <c r="I144">
        <f>IF(装备!S238="",0,装备!S238)</f>
        <v>0</v>
      </c>
      <c r="J144" t="str">
        <f>IF(装备!C238="",0,""""&amp;装备!C238&amp;"""")</f>
        <v>"冷却缩减"</v>
      </c>
      <c r="K144" t="str">
        <f>IF(装备!T238="","""""",""""&amp;装备!T238&amp;"""")</f>
        <v>""</v>
      </c>
      <c r="L144">
        <f>IF(装备!U238="",0,""""&amp;装备!U238&amp;"""")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IF(装备!B239="",0,"'"&amp;装备!B239&amp;"'")</f>
        <v>'IF18'</v>
      </c>
      <c r="B145">
        <f>装备!D164</f>
        <v>0</v>
      </c>
      <c r="C145">
        <f>装备!E239</f>
        <v>0</v>
      </c>
      <c r="D145">
        <f>装备!F239</f>
        <v>0</v>
      </c>
      <c r="E145">
        <f>IF(ISTEXT(装备!G239)=TRUE,"'"&amp;装备!G239&amp;"'",装备!G239)</f>
        <v>0</v>
      </c>
      <c r="F145">
        <f>IF(ISTEXT(装备!H239)=TRUE,"'"&amp;装备!H239&amp;"'",装备!H239)</f>
        <v>0</v>
      </c>
      <c r="G145">
        <f>IF(装备!I239="",0,"'"&amp;装备!I239&amp;"'")</f>
        <v>0</v>
      </c>
      <c r="H145">
        <f>IF(装备!R239="",0,装备!R239)</f>
        <v>0</v>
      </c>
      <c r="I145">
        <f>IF(装备!S239="",0,装备!S239)</f>
        <v>0</v>
      </c>
      <c r="J145" t="str">
        <f>IF(装备!C239="",0,""""&amp;装备!C239&amp;"""")</f>
        <v>"攻击速度"</v>
      </c>
      <c r="K145" t="str">
        <f>IF(装备!T239="","""""",""""&amp;装备!T239&amp;"""")</f>
        <v>""</v>
      </c>
      <c r="L145">
        <f>IF(装备!U239="",0,""""&amp;装备!U239&amp;"""")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IF(装备!B240="",0,"'"&amp;装备!B240&amp;"'")</f>
        <v>'IF19'</v>
      </c>
      <c r="B146">
        <f>装备!D165</f>
        <v>0</v>
      </c>
      <c r="C146">
        <f>装备!E240</f>
        <v>0</v>
      </c>
      <c r="D146">
        <f>装备!F240</f>
        <v>0</v>
      </c>
      <c r="E146">
        <f>IF(ISTEXT(装备!G240)=TRUE,"'"&amp;装备!G240&amp;"'",装备!G240)</f>
        <v>0</v>
      </c>
      <c r="F146">
        <f>IF(ISTEXT(装备!H240)=TRUE,"'"&amp;装备!H240&amp;"'",装备!H240)</f>
        <v>0</v>
      </c>
      <c r="G146">
        <f>IF(装备!I240="",0,"'"&amp;装备!I240&amp;"'")</f>
        <v>0</v>
      </c>
      <c r="H146">
        <f>IF(装备!R240="",0,装备!R240)</f>
        <v>0</v>
      </c>
      <c r="I146">
        <f>IF(装备!S240="",0,装备!S240)</f>
        <v>0</v>
      </c>
      <c r="J146" t="str">
        <f>IF(装备!C240="",0,""""&amp;装备!C240&amp;"""")</f>
        <v>"攻击速度"</v>
      </c>
      <c r="K146" t="str">
        <f>IF(装备!T240="","""""",""""&amp;装备!T240&amp;"""")</f>
        <v>""</v>
      </c>
      <c r="L146">
        <f>IF(装备!U240="",0,""""&amp;装备!U240&amp;"""")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IF(装备!B241="",0,"'"&amp;装备!B241&amp;"'")</f>
        <v>'IF20'</v>
      </c>
      <c r="B147">
        <f>装备!D166</f>
        <v>0</v>
      </c>
      <c r="C147">
        <f>装备!E241</f>
        <v>0</v>
      </c>
      <c r="D147">
        <f>装备!F241</f>
        <v>0</v>
      </c>
      <c r="E147">
        <f>IF(ISTEXT(装备!G241)=TRUE,"'"&amp;装备!G241&amp;"'",装备!G241)</f>
        <v>0</v>
      </c>
      <c r="F147">
        <f>IF(ISTEXT(装备!H241)=TRUE,"'"&amp;装备!H241&amp;"'",装备!H241)</f>
        <v>0</v>
      </c>
      <c r="G147">
        <f>IF(装备!I241="",0,"'"&amp;装备!I241&amp;"'")</f>
        <v>0</v>
      </c>
      <c r="H147">
        <f>IF(装备!R241="",0,装备!R241)</f>
        <v>0</v>
      </c>
      <c r="I147">
        <f>IF(装备!S241="",0,装备!S241)</f>
        <v>0</v>
      </c>
      <c r="J147" t="str">
        <f>IF(装备!C241="",0,""""&amp;装备!C241&amp;"""")</f>
        <v>"普攻伤害"</v>
      </c>
      <c r="K147" t="str">
        <f>IF(装备!T241="","""""",""""&amp;装备!T241&amp;"""")</f>
        <v>""</v>
      </c>
      <c r="L147">
        <f>IF(装备!U241="",0,""""&amp;装备!U241&amp;"""")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IF(装备!B242="",0,"'"&amp;装备!B242&amp;"'")</f>
        <v>'IF21'</v>
      </c>
      <c r="B148">
        <f>装备!D167</f>
        <v>0</v>
      </c>
      <c r="C148">
        <f>装备!E242</f>
        <v>0</v>
      </c>
      <c r="D148">
        <f>装备!F242</f>
        <v>0</v>
      </c>
      <c r="E148">
        <f>IF(ISTEXT(装备!G242)=TRUE,"'"&amp;装备!G242&amp;"'",装备!G242)</f>
        <v>0</v>
      </c>
      <c r="F148">
        <f>IF(ISTEXT(装备!H242)=TRUE,"'"&amp;装备!H242&amp;"'",装备!H242)</f>
        <v>0</v>
      </c>
      <c r="G148">
        <f>IF(装备!I242="",0,"'"&amp;装备!I242&amp;"'")</f>
        <v>0</v>
      </c>
      <c r="H148">
        <f>IF(装备!R242="",0,装备!R242)</f>
        <v>0</v>
      </c>
      <c r="I148">
        <f>IF(装备!S242="",0,装备!S242)</f>
        <v>0</v>
      </c>
      <c r="J148" t="str">
        <f>IF(装备!C242="",0,""""&amp;装备!C242&amp;"""")</f>
        <v>"普攻伤害"</v>
      </c>
      <c r="K148" t="str">
        <f>IF(装备!T242="","""""",""""&amp;装备!T242&amp;"""")</f>
        <v>""</v>
      </c>
      <c r="L148">
        <f>IF(装备!U242="",0,""""&amp;装备!U242&amp;"""")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IF(装备!B243="",0,"'"&amp;装备!B243&amp;"'")</f>
        <v>'IF22'</v>
      </c>
      <c r="B149">
        <f>装备!D168</f>
        <v>0</v>
      </c>
      <c r="C149">
        <f>装备!E243</f>
        <v>0</v>
      </c>
      <c r="D149">
        <f>装备!F243</f>
        <v>0</v>
      </c>
      <c r="E149">
        <f>IF(ISTEXT(装备!G243)=TRUE,"'"&amp;装备!G243&amp;"'",装备!G243)</f>
        <v>0</v>
      </c>
      <c r="F149">
        <f>IF(ISTEXT(装备!H243)=TRUE,"'"&amp;装备!H243&amp;"'",装备!H243)</f>
        <v>0</v>
      </c>
      <c r="G149">
        <f>IF(装备!I243="",0,"'"&amp;装备!I243&amp;"'")</f>
        <v>0</v>
      </c>
      <c r="H149">
        <f>IF(装备!R243="",0,装备!R243)</f>
        <v>0</v>
      </c>
      <c r="I149">
        <f>IF(装备!S243="",0,装备!S243)</f>
        <v>0</v>
      </c>
      <c r="J149" t="str">
        <f>IF(装备!C243="",0,""""&amp;装备!C243&amp;"""")</f>
        <v>"回蓝"</v>
      </c>
      <c r="K149" t="str">
        <f>IF(装备!T243="","""""",""""&amp;装备!T243&amp;"""")</f>
        <v>""</v>
      </c>
      <c r="L149">
        <f>IF(装备!U243="",0,""""&amp;装备!U243&amp;"""")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IF(装备!B244="",0,"'"&amp;装备!B244&amp;"'")</f>
        <v>'IF23'</v>
      </c>
      <c r="B150">
        <f>装备!D169</f>
        <v>0</v>
      </c>
      <c r="C150">
        <f>装备!E244</f>
        <v>0</v>
      </c>
      <c r="D150">
        <f>装备!F244</f>
        <v>0</v>
      </c>
      <c r="E150">
        <f>IF(ISTEXT(装备!G244)=TRUE,"'"&amp;装备!G244&amp;"'",装备!G244)</f>
        <v>0</v>
      </c>
      <c r="F150">
        <f>IF(ISTEXT(装备!H244)=TRUE,"'"&amp;装备!H244&amp;"'",装备!H244)</f>
        <v>0</v>
      </c>
      <c r="G150">
        <f>IF(装备!I244="",0,"'"&amp;装备!I244&amp;"'")</f>
        <v>0</v>
      </c>
      <c r="H150">
        <f>IF(装备!R244="",0,装备!R244)</f>
        <v>0</v>
      </c>
      <c r="I150">
        <f>IF(装备!S244="",0,装备!S244)</f>
        <v>0</v>
      </c>
      <c r="J150" t="str">
        <f>IF(装备!C244="",0,""""&amp;装备!C244&amp;"""")</f>
        <v>"回蓝"</v>
      </c>
      <c r="K150" t="str">
        <f>IF(装备!T244="","""""",""""&amp;装备!T244&amp;"""")</f>
        <v>""</v>
      </c>
      <c r="L150">
        <f>IF(装备!U244="",0,""""&amp;装备!U244&amp;"""")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IF(装备!B245="",0,"'"&amp;装备!B245&amp;"'")</f>
        <v>'IF24'</v>
      </c>
      <c r="B151">
        <f>装备!D170</f>
        <v>0</v>
      </c>
      <c r="C151">
        <f>装备!E245</f>
        <v>0</v>
      </c>
      <c r="D151">
        <f>装备!F245</f>
        <v>0</v>
      </c>
      <c r="E151">
        <f>IF(ISTEXT(装备!G245)=TRUE,"'"&amp;装备!G245&amp;"'",装备!G245)</f>
        <v>0</v>
      </c>
      <c r="F151">
        <f>IF(ISTEXT(装备!H245)=TRUE,"'"&amp;装备!H245&amp;"'",装备!H245)</f>
        <v>0</v>
      </c>
      <c r="G151">
        <f>IF(装备!I245="",0,"'"&amp;装备!I245&amp;"'")</f>
        <v>0</v>
      </c>
      <c r="H151">
        <f>IF(装备!R245="",0,装备!R245)</f>
        <v>0</v>
      </c>
      <c r="I151">
        <f>IF(装备!S245="",0,装备!S245)</f>
        <v>0</v>
      </c>
      <c r="J151" t="str">
        <f>IF(装备!C245="",0,""""&amp;装备!C245&amp;"""")</f>
        <v>"生命回复"</v>
      </c>
      <c r="K151" t="str">
        <f>IF(装备!T245="","""""",""""&amp;装备!T245&amp;"""")</f>
        <v>""</v>
      </c>
      <c r="L151">
        <f>IF(装备!U245="",0,""""&amp;装备!U245&amp;"""")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IF(装备!B246="",0,"'"&amp;装备!B246&amp;"'")</f>
        <v>'IF25'</v>
      </c>
      <c r="B152">
        <f>装备!D171</f>
        <v>0</v>
      </c>
      <c r="C152">
        <f>装备!E246</f>
        <v>0</v>
      </c>
      <c r="D152">
        <f>装备!F246</f>
        <v>0</v>
      </c>
      <c r="E152">
        <f>IF(ISTEXT(装备!G246)=TRUE,"'"&amp;装备!G246&amp;"'",装备!G246)</f>
        <v>0</v>
      </c>
      <c r="F152">
        <f>IF(ISTEXT(装备!H246)=TRUE,"'"&amp;装备!H246&amp;"'",装备!H246)</f>
        <v>0</v>
      </c>
      <c r="G152">
        <f>IF(装备!I246="",0,"'"&amp;装备!I246&amp;"'")</f>
        <v>0</v>
      </c>
      <c r="H152">
        <f>IF(装备!R246="",0,装备!R246)</f>
        <v>0</v>
      </c>
      <c r="I152">
        <f>IF(装备!S246="",0,装备!S246)</f>
        <v>0</v>
      </c>
      <c r="J152" t="str">
        <f>IF(装备!C246="",0,""""&amp;装备!C246&amp;"""")</f>
        <v>"伤害吸血"</v>
      </c>
      <c r="K152" t="str">
        <f>IF(装备!T246="","""""",""""&amp;装备!T246&amp;"""")</f>
        <v>""</v>
      </c>
      <c r="L152">
        <f>IF(装备!U246="",0,""""&amp;装备!U246&amp;"""")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IF(装备!B247="",0,"'"&amp;装备!B247&amp;"'")</f>
        <v>'IF26'</v>
      </c>
      <c r="B153">
        <f>装备!D172</f>
        <v>0</v>
      </c>
      <c r="C153">
        <f>装备!E247</f>
        <v>0</v>
      </c>
      <c r="D153">
        <f>装备!F247</f>
        <v>0</v>
      </c>
      <c r="E153">
        <f>IF(ISTEXT(装备!G247)=TRUE,"'"&amp;装备!G247&amp;"'",装备!G247)</f>
        <v>0</v>
      </c>
      <c r="F153">
        <f>IF(ISTEXT(装备!H247)=TRUE,"'"&amp;装备!H247&amp;"'",装备!H247)</f>
        <v>0</v>
      </c>
      <c r="G153">
        <f>IF(装备!I247="",0,"'"&amp;装备!I247&amp;"'")</f>
        <v>0</v>
      </c>
      <c r="H153">
        <f>IF(装备!R247="",0,装备!R247)</f>
        <v>0</v>
      </c>
      <c r="I153">
        <f>IF(装备!S247="",0,装备!S247)</f>
        <v>0</v>
      </c>
      <c r="J153" t="str">
        <f>IF(装备!C247="",0,""""&amp;装备!C247&amp;"""")</f>
        <v>"闪避"</v>
      </c>
      <c r="K153" t="str">
        <f>IF(装备!T247="","""""",""""&amp;装备!T247&amp;"""")</f>
        <v>""</v>
      </c>
      <c r="L153">
        <f>IF(装备!U247="",0,""""&amp;装备!U247&amp;"""")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IF(装备!B248="",0,"'"&amp;装备!B248&amp;"'")</f>
        <v>'IF27'</v>
      </c>
      <c r="B154">
        <f>装备!D173</f>
        <v>0</v>
      </c>
      <c r="C154">
        <f>装备!E248</f>
        <v>0</v>
      </c>
      <c r="D154">
        <f>装备!F248</f>
        <v>0</v>
      </c>
      <c r="E154">
        <f>IF(ISTEXT(装备!G248)=TRUE,"'"&amp;装备!G248&amp;"'",装备!G248)</f>
        <v>0</v>
      </c>
      <c r="F154">
        <f>IF(ISTEXT(装备!H248)=TRUE,"'"&amp;装备!H248&amp;"'",装备!H248)</f>
        <v>0</v>
      </c>
      <c r="G154">
        <f>IF(装备!I248="",0,"'"&amp;装备!I248&amp;"'")</f>
        <v>0</v>
      </c>
      <c r="H154">
        <f>IF(装备!R248="",0,装备!R248)</f>
        <v>0</v>
      </c>
      <c r="I154">
        <f>IF(装备!S248="",0,装备!S248)</f>
        <v>0</v>
      </c>
      <c r="J154" t="str">
        <f>IF(装备!C248="",0,""""&amp;装备!C248&amp;"""")</f>
        <v>"伤害减免"</v>
      </c>
      <c r="K154" t="str">
        <f>IF(装备!T248="","""""",""""&amp;装备!T248&amp;"""")</f>
        <v>""</v>
      </c>
      <c r="L154">
        <f>IF(装备!U248="",0,""""&amp;装备!U248&amp;"""")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IF(装备!B249="",0,"'"&amp;装备!B249&amp;"'")</f>
        <v>0</v>
      </c>
      <c r="B155">
        <f>装备!D174</f>
        <v>0</v>
      </c>
      <c r="C155">
        <f>装备!E249</f>
        <v>0</v>
      </c>
      <c r="D155">
        <f>装备!F249</f>
        <v>0</v>
      </c>
      <c r="E155">
        <f>IF(ISTEXT(装备!G249)=TRUE,"'"&amp;装备!G249&amp;"'",装备!G249)</f>
        <v>0</v>
      </c>
      <c r="F155">
        <f>IF(ISTEXT(装备!H249)=TRUE,"'"&amp;装备!H249&amp;"'",装备!H249)</f>
        <v>0</v>
      </c>
      <c r="G155">
        <f>IF(装备!I249="",0,"'"&amp;装备!I249&amp;"'")</f>
        <v>0</v>
      </c>
      <c r="H155">
        <f>IF(装备!R249="",0,装备!R249)</f>
        <v>0</v>
      </c>
      <c r="I155">
        <f>IF(装备!S249="",0,装备!S249)</f>
        <v>0</v>
      </c>
      <c r="J155">
        <f>IF(装备!C249="",0,""""&amp;装备!C249&amp;"""")</f>
        <v>0</v>
      </c>
      <c r="K155" t="str">
        <f>IF(装备!T249="","""""",""""&amp;装备!T249&amp;"""")</f>
        <v>""</v>
      </c>
      <c r="L155">
        <f>IF(装备!U249="",0,""""&amp;装备!U249&amp;"""")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IF(装备!B250="",0,"'"&amp;装备!B250&amp;"'")</f>
        <v>0</v>
      </c>
      <c r="B156">
        <f>装备!D175</f>
        <v>0</v>
      </c>
      <c r="C156">
        <f>装备!E250</f>
        <v>0</v>
      </c>
      <c r="D156">
        <f>装备!F250</f>
        <v>0</v>
      </c>
      <c r="E156">
        <f>IF(ISTEXT(装备!G250)=TRUE,"'"&amp;装备!G250&amp;"'",装备!G250)</f>
        <v>0</v>
      </c>
      <c r="F156">
        <f>IF(ISTEXT(装备!H250)=TRUE,"'"&amp;装备!H250&amp;"'",装备!H250)</f>
        <v>0</v>
      </c>
      <c r="G156">
        <f>IF(装备!I250="",0,"'"&amp;装备!I250&amp;"'")</f>
        <v>0</v>
      </c>
      <c r="H156">
        <f>IF(装备!R250="",0,装备!R250)</f>
        <v>0</v>
      </c>
      <c r="I156">
        <f>IF(装备!S250="",0,装备!S250)</f>
        <v>0</v>
      </c>
      <c r="J156">
        <f>IF(装备!C250="",0,""""&amp;装备!C250&amp;"""")</f>
        <v>0</v>
      </c>
      <c r="K156" t="str">
        <f>IF(装备!T250="","""""",""""&amp;装备!T250&amp;"""")</f>
        <v>""</v>
      </c>
      <c r="L156">
        <f>IF(装备!U250="",0,""""&amp;装备!U250&amp;"""")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IF(装备!B251="",0,"'"&amp;装备!B251&amp;"'")</f>
        <v>0</v>
      </c>
      <c r="B157">
        <f>装备!D176</f>
        <v>0</v>
      </c>
      <c r="C157">
        <f>装备!E251</f>
        <v>0</v>
      </c>
      <c r="D157">
        <f>装备!F251</f>
        <v>0</v>
      </c>
      <c r="E157">
        <f>IF(ISTEXT(装备!G251)=TRUE,"'"&amp;装备!G251&amp;"'",装备!G251)</f>
        <v>0</v>
      </c>
      <c r="F157">
        <f>IF(ISTEXT(装备!H251)=TRUE,"'"&amp;装备!H251&amp;"'",装备!H251)</f>
        <v>0</v>
      </c>
      <c r="G157">
        <f>IF(装备!I251="",0,"'"&amp;装备!I251&amp;"'")</f>
        <v>0</v>
      </c>
      <c r="H157">
        <f>IF(装备!R251="",0,装备!R251)</f>
        <v>0</v>
      </c>
      <c r="I157">
        <f>IF(装备!S251="",0,装备!S251)</f>
        <v>0</v>
      </c>
      <c r="J157">
        <f>IF(装备!C251="",0,""""&amp;装备!C251&amp;"""")</f>
        <v>0</v>
      </c>
      <c r="K157" t="str">
        <f>IF(装备!T251="","""""",""""&amp;装备!T251&amp;"""")</f>
        <v>""</v>
      </c>
      <c r="L157">
        <f>IF(装备!U251="",0,""""&amp;装备!U251&amp;"""")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IF(装备!B252="",0,"'"&amp;装备!B252&amp;"'")</f>
        <v>0</v>
      </c>
      <c r="B158">
        <f>装备!D177</f>
        <v>0</v>
      </c>
      <c r="C158">
        <f>装备!E252</f>
        <v>0</v>
      </c>
      <c r="D158">
        <f>装备!F252</f>
        <v>0</v>
      </c>
      <c r="E158">
        <f>IF(ISTEXT(装备!G252)=TRUE,"'"&amp;装备!G252&amp;"'",装备!G252)</f>
        <v>0</v>
      </c>
      <c r="F158">
        <f>IF(ISTEXT(装备!H252)=TRUE,"'"&amp;装备!H252&amp;"'",装备!H252)</f>
        <v>0</v>
      </c>
      <c r="G158">
        <f>IF(装备!I252="",0,"'"&amp;装备!I252&amp;"'")</f>
        <v>0</v>
      </c>
      <c r="H158">
        <f>IF(装备!R252="",0,装备!R252)</f>
        <v>0</v>
      </c>
      <c r="I158">
        <f>IF(装备!S252="",0,装备!S252)</f>
        <v>0</v>
      </c>
      <c r="J158">
        <f>IF(装备!C252="",0,""""&amp;装备!C252&amp;"""")</f>
        <v>0</v>
      </c>
      <c r="K158" t="str">
        <f>IF(装备!T252="","""""",""""&amp;装备!T252&amp;"""")</f>
        <v>""</v>
      </c>
      <c r="L158">
        <f>IF(装备!U252="",0,""""&amp;装备!U252&amp;"""")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IF(装备!B253="",0,"'"&amp;装备!B253&amp;"'")</f>
        <v>0</v>
      </c>
      <c r="B159">
        <f>装备!D178</f>
        <v>0</v>
      </c>
      <c r="C159">
        <f>装备!E253</f>
        <v>0</v>
      </c>
      <c r="D159">
        <f>装备!F253</f>
        <v>0</v>
      </c>
      <c r="E159">
        <f>IF(ISTEXT(装备!G253)=TRUE,"'"&amp;装备!G253&amp;"'",装备!G253)</f>
        <v>0</v>
      </c>
      <c r="F159">
        <f>IF(ISTEXT(装备!H253)=TRUE,"'"&amp;装备!H253&amp;"'",装备!H253)</f>
        <v>0</v>
      </c>
      <c r="G159">
        <f>IF(装备!I253="",0,"'"&amp;装备!I253&amp;"'")</f>
        <v>0</v>
      </c>
      <c r="H159">
        <f>IF(装备!R253="",0,装备!R253)</f>
        <v>0</v>
      </c>
      <c r="I159">
        <f>IF(装备!S253="",0,装备!S253)</f>
        <v>0</v>
      </c>
      <c r="J159">
        <f>IF(装备!C253="",0,""""&amp;装备!C253&amp;"""")</f>
        <v>0</v>
      </c>
      <c r="K159" t="str">
        <f>IF(装备!T253="","""""",""""&amp;装备!T253&amp;"""")</f>
        <v>""</v>
      </c>
      <c r="L159">
        <f>IF(装备!U253="",0,""""&amp;装备!U253&amp;"""")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IF(装备!B254="",0,"'"&amp;装备!B254&amp;"'")</f>
        <v>0</v>
      </c>
      <c r="B160">
        <f>装备!D179</f>
        <v>0</v>
      </c>
      <c r="C160">
        <f>装备!E254</f>
        <v>0</v>
      </c>
      <c r="D160">
        <f>装备!F254</f>
        <v>0</v>
      </c>
      <c r="E160">
        <f>IF(ISTEXT(装备!G254)=TRUE,"'"&amp;装备!G254&amp;"'",装备!G254)</f>
        <v>0</v>
      </c>
      <c r="F160">
        <f>IF(ISTEXT(装备!H254)=TRUE,"'"&amp;装备!H254&amp;"'",装备!H254)</f>
        <v>0</v>
      </c>
      <c r="G160">
        <f>IF(装备!I254="",0,"'"&amp;装备!I254&amp;"'")</f>
        <v>0</v>
      </c>
      <c r="H160">
        <f>IF(装备!R254="",0,装备!R254)</f>
        <v>0</v>
      </c>
      <c r="I160">
        <f>IF(装备!S254="",0,装备!S254)</f>
        <v>0</v>
      </c>
      <c r="J160">
        <f>IF(装备!C254="",0,""""&amp;装备!C254&amp;"""")</f>
        <v>0</v>
      </c>
      <c r="K160" t="str">
        <f>IF(装备!T254="","""""",""""&amp;装备!T254&amp;"""")</f>
        <v>""</v>
      </c>
      <c r="L160">
        <f>IF(装备!U254="",0,""""&amp;装备!U254&amp;"""")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IF(装备!B255="",0,"'"&amp;装备!B255&amp;"'")</f>
        <v>0</v>
      </c>
      <c r="B161">
        <f>装备!D180</f>
        <v>0</v>
      </c>
      <c r="C161">
        <f>装备!E255</f>
        <v>0</v>
      </c>
      <c r="D161">
        <f>装备!F255</f>
        <v>0</v>
      </c>
      <c r="E161">
        <f>IF(ISTEXT(装备!G255)=TRUE,"'"&amp;装备!G255&amp;"'",装备!G255)</f>
        <v>0</v>
      </c>
      <c r="F161">
        <f>IF(ISTEXT(装备!H255)=TRUE,"'"&amp;装备!H255&amp;"'",装备!H255)</f>
        <v>0</v>
      </c>
      <c r="G161">
        <f>IF(装备!I255="",0,"'"&amp;装备!I255&amp;"'")</f>
        <v>0</v>
      </c>
      <c r="H161">
        <f>IF(装备!R255="",0,装备!R255)</f>
        <v>0</v>
      </c>
      <c r="I161">
        <f>IF(装备!S255="",0,装备!S255)</f>
        <v>0</v>
      </c>
      <c r="J161">
        <f>IF(装备!C255="",0,""""&amp;装备!C255&amp;"""")</f>
        <v>0</v>
      </c>
      <c r="K161" t="str">
        <f>IF(装备!T255="","""""",""""&amp;装备!T255&amp;"""")</f>
        <v>""</v>
      </c>
      <c r="L161">
        <f>IF(装备!U255="",0,""""&amp;装备!U255&amp;"""")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IF(装备!B256="",0,"'"&amp;装备!B256&amp;"'")</f>
        <v>0</v>
      </c>
      <c r="B162">
        <f>装备!D181</f>
        <v>0</v>
      </c>
      <c r="C162">
        <f>装备!E256</f>
        <v>0</v>
      </c>
      <c r="D162">
        <f>装备!F256</f>
        <v>0</v>
      </c>
      <c r="E162">
        <f>IF(ISTEXT(装备!G256)=TRUE,"'"&amp;装备!G256&amp;"'",装备!G256)</f>
        <v>0</v>
      </c>
      <c r="F162">
        <f>IF(ISTEXT(装备!H256)=TRUE,"'"&amp;装备!H256&amp;"'",装备!H256)</f>
        <v>0</v>
      </c>
      <c r="G162">
        <f>IF(装备!I256="",0,"'"&amp;装备!I256&amp;"'")</f>
        <v>0</v>
      </c>
      <c r="H162">
        <f>IF(装备!R256="",0,装备!R256)</f>
        <v>0</v>
      </c>
      <c r="I162">
        <f>IF(装备!S256="",0,装备!S256)</f>
        <v>0</v>
      </c>
      <c r="J162">
        <f>IF(装备!C256="",0,""""&amp;装备!C256&amp;"""")</f>
        <v>0</v>
      </c>
      <c r="K162" t="str">
        <f>IF(装备!T256="","""""",""""&amp;装备!T256&amp;"""")</f>
        <v>""</v>
      </c>
      <c r="L162">
        <f>IF(装备!U256="",0,""""&amp;装备!U256&amp;"""")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IF(装备!B257="",0,"'"&amp;装备!B257&amp;"'")</f>
        <v>0</v>
      </c>
      <c r="B163">
        <f>装备!D182</f>
        <v>0</v>
      </c>
      <c r="C163">
        <f>装备!E257</f>
        <v>0</v>
      </c>
      <c r="D163">
        <f>装备!F257</f>
        <v>0</v>
      </c>
      <c r="E163">
        <f>IF(ISTEXT(装备!G257)=TRUE,"'"&amp;装备!G257&amp;"'",装备!G257)</f>
        <v>0</v>
      </c>
      <c r="F163">
        <f>IF(ISTEXT(装备!H257)=TRUE,"'"&amp;装备!H257&amp;"'",装备!H257)</f>
        <v>0</v>
      </c>
      <c r="G163">
        <f>IF(装备!I257="",0,"'"&amp;装备!I257&amp;"'")</f>
        <v>0</v>
      </c>
      <c r="H163">
        <f>IF(装备!R257="",0,装备!R257)</f>
        <v>0</v>
      </c>
      <c r="I163">
        <f>IF(装备!S257="",0,装备!S257)</f>
        <v>0</v>
      </c>
      <c r="J163">
        <f>IF(装备!C257="",0,""""&amp;装备!C257&amp;"""")</f>
        <v>0</v>
      </c>
      <c r="K163" t="str">
        <f>IF(装备!T257="","""""",""""&amp;装备!T257&amp;"""")</f>
        <v>""</v>
      </c>
      <c r="L163">
        <f>IF(装备!U257="",0,""""&amp;装备!U257&amp;"""")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IF(装备!B258="",0,"'"&amp;装备!B258&amp;"'")</f>
        <v>0</v>
      </c>
      <c r="B164">
        <f>装备!D183</f>
        <v>0</v>
      </c>
      <c r="C164">
        <f>装备!E258</f>
        <v>0</v>
      </c>
      <c r="D164">
        <f>装备!F258</f>
        <v>0</v>
      </c>
      <c r="E164">
        <f>IF(ISTEXT(装备!G258)=TRUE,"'"&amp;装备!G258&amp;"'",装备!G258)</f>
        <v>0</v>
      </c>
      <c r="F164">
        <f>IF(ISTEXT(装备!H258)=TRUE,"'"&amp;装备!H258&amp;"'",装备!H258)</f>
        <v>0</v>
      </c>
      <c r="G164">
        <f>IF(装备!I258="",0,"'"&amp;装备!I258&amp;"'")</f>
        <v>0</v>
      </c>
      <c r="H164">
        <f>IF(装备!R258="",0,装备!R258)</f>
        <v>0</v>
      </c>
      <c r="I164">
        <f>IF(装备!S258="",0,装备!S258)</f>
        <v>0</v>
      </c>
      <c r="J164">
        <f>IF(装备!C258="",0,""""&amp;装备!C258&amp;"""")</f>
        <v>0</v>
      </c>
      <c r="K164" t="str">
        <f>IF(装备!T258="","""""",""""&amp;装备!T258&amp;"""")</f>
        <v>""</v>
      </c>
      <c r="L164">
        <f>IF(装备!U258="",0,""""&amp;装备!U258&amp;"""")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IF(装备!B259="",0,"'"&amp;装备!B259&amp;"'")</f>
        <v>0</v>
      </c>
      <c r="B165">
        <f>装备!D184</f>
        <v>0</v>
      </c>
      <c r="C165">
        <f>装备!E259</f>
        <v>0</v>
      </c>
      <c r="D165">
        <f>装备!F259</f>
        <v>0</v>
      </c>
      <c r="E165">
        <f>IF(ISTEXT(装备!G259)=TRUE,"'"&amp;装备!G259&amp;"'",装备!G259)</f>
        <v>0</v>
      </c>
      <c r="F165">
        <f>IF(ISTEXT(装备!H259)=TRUE,"'"&amp;装备!H259&amp;"'",装备!H259)</f>
        <v>0</v>
      </c>
      <c r="G165">
        <f>IF(装备!I259="",0,"'"&amp;装备!I259&amp;"'")</f>
        <v>0</v>
      </c>
      <c r="H165">
        <f>IF(装备!R259="",0,装备!R259)</f>
        <v>0</v>
      </c>
      <c r="I165">
        <f>IF(装备!S259="",0,装备!S259)</f>
        <v>0</v>
      </c>
      <c r="J165">
        <f>IF(装备!C259="",0,""""&amp;装备!C259&amp;"""")</f>
        <v>0</v>
      </c>
      <c r="K165" t="str">
        <f>IF(装备!T259="","""""",""""&amp;装备!T259&amp;"""")</f>
        <v>""</v>
      </c>
      <c r="L165">
        <f>IF(装备!U259="",0,""""&amp;装备!U259&amp;"""")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IF(装备!B260="",0,"'"&amp;装备!B260&amp;"'")</f>
        <v>0</v>
      </c>
      <c r="B166">
        <f>装备!D185</f>
        <v>0</v>
      </c>
      <c r="C166">
        <f>装备!E260</f>
        <v>0</v>
      </c>
      <c r="D166">
        <f>装备!F260</f>
        <v>0</v>
      </c>
      <c r="E166">
        <f>IF(ISTEXT(装备!G260)=TRUE,"'"&amp;装备!G260&amp;"'",装备!G260)</f>
        <v>0</v>
      </c>
      <c r="F166">
        <f>IF(ISTEXT(装备!H260)=TRUE,"'"&amp;装备!H260&amp;"'",装备!H260)</f>
        <v>0</v>
      </c>
      <c r="G166">
        <f>IF(装备!I260="",0,"'"&amp;装备!I260&amp;"'")</f>
        <v>0</v>
      </c>
      <c r="H166">
        <f>IF(装备!R260="",0,装备!R260)</f>
        <v>0</v>
      </c>
      <c r="I166">
        <f>IF(装备!S260="",0,装备!S260)</f>
        <v>0</v>
      </c>
      <c r="J166">
        <f>IF(装备!C260="",0,""""&amp;装备!C260&amp;"""")</f>
        <v>0</v>
      </c>
      <c r="K166" t="str">
        <f>IF(装备!T260="","""""",""""&amp;装备!T260&amp;"""")</f>
        <v>""</v>
      </c>
      <c r="L166">
        <f>IF(装备!U260="",0,""""&amp;装备!U260&amp;"""")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IF(装备!B261="",0,"'"&amp;装备!B261&amp;"'")</f>
        <v>0</v>
      </c>
      <c r="B167">
        <f>装备!D187</f>
        <v>0</v>
      </c>
      <c r="C167">
        <f>装备!E261</f>
        <v>0</v>
      </c>
      <c r="D167">
        <f>装备!F261</f>
        <v>0</v>
      </c>
      <c r="E167">
        <f>IF(ISTEXT(装备!G261)=TRUE,"'"&amp;装备!G261&amp;"'",装备!G261)</f>
        <v>0</v>
      </c>
      <c r="F167">
        <f>IF(ISTEXT(装备!H261)=TRUE,"'"&amp;装备!H261&amp;"'",装备!H261)</f>
        <v>0</v>
      </c>
      <c r="G167">
        <f>IF(装备!I261="",0,"'"&amp;装备!I261&amp;"'")</f>
        <v>0</v>
      </c>
      <c r="H167">
        <f>IF(装备!R261="",0,装备!R261)</f>
        <v>0</v>
      </c>
      <c r="I167">
        <f>IF(装备!S261="",0,装备!S261)</f>
        <v>0</v>
      </c>
      <c r="J167">
        <f>IF(装备!C261="",0,""""&amp;装备!C261&amp;"""")</f>
        <v>0</v>
      </c>
      <c r="K167" t="str">
        <f>IF(装备!T261="","""""",""""&amp;装备!T261&amp;"""")</f>
        <v>""</v>
      </c>
      <c r="L167">
        <f>IF(装备!U261="",0,""""&amp;装备!U261&amp;"""")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IF(装备!B262="",0,"'"&amp;装备!B262&amp;"'")</f>
        <v>0</v>
      </c>
      <c r="B168">
        <f>装备!D188</f>
        <v>0</v>
      </c>
      <c r="C168">
        <f>装备!E262</f>
        <v>0</v>
      </c>
      <c r="D168">
        <f>装备!F262</f>
        <v>0</v>
      </c>
      <c r="E168">
        <f>IF(ISTEXT(装备!G262)=TRUE,"'"&amp;装备!G262&amp;"'",装备!G262)</f>
        <v>0</v>
      </c>
      <c r="F168">
        <f>IF(ISTEXT(装备!H262)=TRUE,"'"&amp;装备!H262&amp;"'",装备!H262)</f>
        <v>0</v>
      </c>
      <c r="G168">
        <f>IF(装备!I262="",0,"'"&amp;装备!I262&amp;"'")</f>
        <v>0</v>
      </c>
      <c r="H168">
        <f>IF(装备!R262="",0,装备!R262)</f>
        <v>0</v>
      </c>
      <c r="I168">
        <f>IF(装备!S262="",0,装备!S262)</f>
        <v>0</v>
      </c>
      <c r="J168">
        <f>IF(装备!C262="",0,""""&amp;装备!C262&amp;"""")</f>
        <v>0</v>
      </c>
      <c r="K168" t="str">
        <f>IF(装备!T262="","""""",""""&amp;装备!T262&amp;"""")</f>
        <v>""</v>
      </c>
      <c r="L168">
        <f>IF(装备!U262="",0,""""&amp;装备!U262&amp;"""")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IF(装备!B263="",0,"'"&amp;装备!B263&amp;"'")</f>
        <v>0</v>
      </c>
      <c r="B169">
        <f>装备!D189</f>
        <v>0</v>
      </c>
      <c r="C169">
        <f>装备!E263</f>
        <v>0</v>
      </c>
      <c r="D169">
        <f>装备!F263</f>
        <v>0</v>
      </c>
      <c r="E169">
        <f>IF(ISTEXT(装备!G263)=TRUE,"'"&amp;装备!G263&amp;"'",装备!G263)</f>
        <v>0</v>
      </c>
      <c r="F169">
        <f>IF(ISTEXT(装备!H263)=TRUE,"'"&amp;装备!H263&amp;"'",装备!H263)</f>
        <v>0</v>
      </c>
      <c r="G169">
        <f>IF(装备!I263="",0,"'"&amp;装备!I263&amp;"'")</f>
        <v>0</v>
      </c>
      <c r="H169">
        <f>IF(装备!R263="",0,装备!R263)</f>
        <v>0</v>
      </c>
      <c r="I169">
        <f>IF(装备!S263="",0,装备!S263)</f>
        <v>0</v>
      </c>
      <c r="J169">
        <f>IF(装备!C263="",0,""""&amp;装备!C263&amp;"""")</f>
        <v>0</v>
      </c>
      <c r="K169" t="str">
        <f>IF(装备!T263="","""""",""""&amp;装备!T263&amp;"""")</f>
        <v>""</v>
      </c>
      <c r="L169">
        <f>IF(装备!U263="",0,""""&amp;装备!U263&amp;"""")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IF(装备!B264="",0,"'"&amp;装备!B264&amp;"'")</f>
        <v>0</v>
      </c>
      <c r="B170">
        <f>装备!D190</f>
        <v>0</v>
      </c>
      <c r="C170">
        <f>装备!E264</f>
        <v>0</v>
      </c>
      <c r="D170">
        <f>装备!F264</f>
        <v>0</v>
      </c>
      <c r="E170">
        <f>IF(ISTEXT(装备!G264)=TRUE,"'"&amp;装备!G264&amp;"'",装备!G264)</f>
        <v>0</v>
      </c>
      <c r="F170">
        <f>IF(ISTEXT(装备!H264)=TRUE,"'"&amp;装备!H264&amp;"'",装备!H264)</f>
        <v>0</v>
      </c>
      <c r="G170">
        <f>IF(装备!I264="",0,"'"&amp;装备!I264&amp;"'")</f>
        <v>0</v>
      </c>
      <c r="H170">
        <f>IF(装备!R264="",0,装备!R264)</f>
        <v>0</v>
      </c>
      <c r="I170">
        <f>IF(装备!S264="",0,装备!S264)</f>
        <v>0</v>
      </c>
      <c r="J170">
        <f>IF(装备!C264="",0,""""&amp;装备!C264&amp;"""")</f>
        <v>0</v>
      </c>
      <c r="K170" t="str">
        <f>IF(装备!T264="","""""",""""&amp;装备!T264&amp;"""")</f>
        <v>""</v>
      </c>
      <c r="L170">
        <f>IF(装备!U264="",0,""""&amp;装备!U264&amp;"""")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IF(装备!B265="",0,"'"&amp;装备!B265&amp;"'")</f>
        <v>0</v>
      </c>
      <c r="B171">
        <f>装备!D191</f>
        <v>0</v>
      </c>
      <c r="C171">
        <f>装备!E265</f>
        <v>0</v>
      </c>
      <c r="D171">
        <f>装备!F265</f>
        <v>0</v>
      </c>
      <c r="E171">
        <f>IF(ISTEXT(装备!G265)=TRUE,"'"&amp;装备!G265&amp;"'",装备!G265)</f>
        <v>0</v>
      </c>
      <c r="F171">
        <f>IF(ISTEXT(装备!H265)=TRUE,"'"&amp;装备!H265&amp;"'",装备!H265)</f>
        <v>0</v>
      </c>
      <c r="G171">
        <f>IF(装备!I265="",0,"'"&amp;装备!I265&amp;"'")</f>
        <v>0</v>
      </c>
      <c r="H171">
        <f>IF(装备!R265="",0,装备!R265)</f>
        <v>0</v>
      </c>
      <c r="I171">
        <f>IF(装备!S265="",0,装备!S265)</f>
        <v>0</v>
      </c>
      <c r="J171">
        <f>IF(装备!C265="",0,""""&amp;装备!C265&amp;"""")</f>
        <v>0</v>
      </c>
      <c r="K171" t="str">
        <f>IF(装备!T265="","""""",""""&amp;装备!T265&amp;"""")</f>
        <v>""</v>
      </c>
      <c r="L171">
        <f>IF(装备!U265="",0,""""&amp;装备!U265&amp;"""")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IF(装备!B266="",0,"'"&amp;装备!B266&amp;"'")</f>
        <v>0</v>
      </c>
      <c r="B172">
        <f>装备!D192</f>
        <v>0</v>
      </c>
      <c r="C172">
        <f>装备!E266</f>
        <v>0</v>
      </c>
      <c r="D172">
        <f>装备!F266</f>
        <v>0</v>
      </c>
      <c r="E172">
        <f>IF(ISTEXT(装备!G266)=TRUE,"'"&amp;装备!G266&amp;"'",装备!G266)</f>
        <v>0</v>
      </c>
      <c r="F172">
        <f>IF(ISTEXT(装备!H266)=TRUE,"'"&amp;装备!H266&amp;"'",装备!H266)</f>
        <v>0</v>
      </c>
      <c r="G172">
        <f>IF(装备!I266="",0,"'"&amp;装备!I266&amp;"'")</f>
        <v>0</v>
      </c>
      <c r="H172">
        <f>IF(装备!R266="",0,装备!R266)</f>
        <v>0</v>
      </c>
      <c r="I172">
        <f>IF(装备!S266="",0,装备!S266)</f>
        <v>0</v>
      </c>
      <c r="J172">
        <f>IF(装备!C266="",0,""""&amp;装备!C266&amp;"""")</f>
        <v>0</v>
      </c>
      <c r="K172" t="str">
        <f>IF(装备!T266="","""""",""""&amp;装备!T266&amp;"""")</f>
        <v>""</v>
      </c>
      <c r="L172">
        <f>IF(装备!U266="",0,""""&amp;装备!U266&amp;"""")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IF(装备!B267="",0,"'"&amp;装备!B267&amp;"'")</f>
        <v>0</v>
      </c>
      <c r="B173">
        <f>装备!D193</f>
        <v>0</v>
      </c>
      <c r="C173">
        <f>装备!E267</f>
        <v>0</v>
      </c>
      <c r="D173">
        <f>装备!F267</f>
        <v>0</v>
      </c>
      <c r="E173">
        <f>IF(ISTEXT(装备!G267)=TRUE,"'"&amp;装备!G267&amp;"'",装备!G267)</f>
        <v>0</v>
      </c>
      <c r="F173">
        <f>IF(ISTEXT(装备!H267)=TRUE,"'"&amp;装备!H267&amp;"'",装备!H267)</f>
        <v>0</v>
      </c>
      <c r="G173">
        <f>IF(装备!I267="",0,"'"&amp;装备!I267&amp;"'")</f>
        <v>0</v>
      </c>
      <c r="H173">
        <f>IF(装备!R267="",0,装备!R267)</f>
        <v>0</v>
      </c>
      <c r="I173">
        <f>IF(装备!S267="",0,装备!S267)</f>
        <v>0</v>
      </c>
      <c r="J173">
        <f>IF(装备!C267="",0,""""&amp;装备!C267&amp;"""")</f>
        <v>0</v>
      </c>
      <c r="K173" t="str">
        <f>IF(装备!T267="","""""",""""&amp;装备!T267&amp;"""")</f>
        <v>""</v>
      </c>
      <c r="L173">
        <f>IF(装备!U267="",0,""""&amp;装备!U267&amp;"""")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IF(装备!B268="",0,"'"&amp;装备!B268&amp;"'")</f>
        <v>0</v>
      </c>
      <c r="B174">
        <f>装备!D194</f>
        <v>0</v>
      </c>
      <c r="C174">
        <f>装备!E268</f>
        <v>0</v>
      </c>
      <c r="D174">
        <f>装备!F268</f>
        <v>0</v>
      </c>
      <c r="E174">
        <f>IF(ISTEXT(装备!G268)=TRUE,"'"&amp;装备!G268&amp;"'",装备!G268)</f>
        <v>0</v>
      </c>
      <c r="F174">
        <f>IF(ISTEXT(装备!H268)=TRUE,"'"&amp;装备!H268&amp;"'",装备!H268)</f>
        <v>0</v>
      </c>
      <c r="G174">
        <f>IF(装备!I268="",0,"'"&amp;装备!I268&amp;"'")</f>
        <v>0</v>
      </c>
      <c r="H174">
        <f>IF(装备!R268="",0,装备!R268)</f>
        <v>0</v>
      </c>
      <c r="I174">
        <f>IF(装备!S268="",0,装备!S268)</f>
        <v>0</v>
      </c>
      <c r="J174">
        <f>IF(装备!C268="",0,""""&amp;装备!C268&amp;"""")</f>
        <v>0</v>
      </c>
      <c r="K174" t="str">
        <f>IF(装备!T268="","""""",""""&amp;装备!T268&amp;"""")</f>
        <v>""</v>
      </c>
      <c r="L174">
        <f>IF(装备!U268="",0,""""&amp;装备!U268&amp;"""")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IF(装备!B269="",0,"'"&amp;装备!B269&amp;"'")</f>
        <v>0</v>
      </c>
      <c r="B175">
        <f>装备!D195</f>
        <v>0</v>
      </c>
      <c r="C175">
        <f>装备!E269</f>
        <v>0</v>
      </c>
      <c r="D175">
        <f>装备!F269</f>
        <v>0</v>
      </c>
      <c r="E175">
        <f>IF(ISTEXT(装备!G269)=TRUE,"'"&amp;装备!G269&amp;"'",装备!G269)</f>
        <v>0</v>
      </c>
      <c r="F175">
        <f>IF(ISTEXT(装备!H269)=TRUE,"'"&amp;装备!H269&amp;"'",装备!H269)</f>
        <v>0</v>
      </c>
      <c r="G175">
        <f>IF(装备!I269="",0,"'"&amp;装备!I269&amp;"'")</f>
        <v>0</v>
      </c>
      <c r="H175">
        <f>IF(装备!R269="",0,装备!R269)</f>
        <v>0</v>
      </c>
      <c r="I175">
        <f>IF(装备!S269="",0,装备!S269)</f>
        <v>0</v>
      </c>
      <c r="J175">
        <f>IF(装备!C269="",0,""""&amp;装备!C269&amp;"""")</f>
        <v>0</v>
      </c>
      <c r="K175" t="str">
        <f>IF(装备!T269="","""""",""""&amp;装备!T269&amp;"""")</f>
        <v>""</v>
      </c>
      <c r="L175">
        <f>IF(装备!U269="",0,""""&amp;装备!U269&amp;"""")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IF(装备!B270="",0,"'"&amp;装备!B270&amp;"'")</f>
        <v>0</v>
      </c>
      <c r="B176">
        <f>装备!D196</f>
        <v>0</v>
      </c>
      <c r="C176">
        <f>装备!E270</f>
        <v>0</v>
      </c>
      <c r="D176">
        <f>装备!F270</f>
        <v>0</v>
      </c>
      <c r="E176">
        <f>IF(ISTEXT(装备!G270)=TRUE,"'"&amp;装备!G270&amp;"'",装备!G270)</f>
        <v>0</v>
      </c>
      <c r="F176">
        <f>IF(ISTEXT(装备!H270)=TRUE,"'"&amp;装备!H270&amp;"'",装备!H270)</f>
        <v>0</v>
      </c>
      <c r="G176">
        <f>IF(装备!I270="",0,"'"&amp;装备!I270&amp;"'")</f>
        <v>0</v>
      </c>
      <c r="H176">
        <f>IF(装备!R270="",0,装备!R270)</f>
        <v>0</v>
      </c>
      <c r="I176">
        <f>IF(装备!S270="",0,装备!S270)</f>
        <v>0</v>
      </c>
      <c r="J176">
        <f>IF(装备!C270="",0,""""&amp;装备!C270&amp;"""")</f>
        <v>0</v>
      </c>
      <c r="K176" t="str">
        <f>IF(装备!T270="","""""",""""&amp;装备!T270&amp;"""")</f>
        <v>""</v>
      </c>
      <c r="L176">
        <f>IF(装备!U270="",0,""""&amp;装备!U270&amp;"""")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IF(装备!B271="",0,"'"&amp;装备!B271&amp;"'")</f>
        <v>0</v>
      </c>
      <c r="B177">
        <f>装备!D197</f>
        <v>0</v>
      </c>
      <c r="C177">
        <f>装备!E271</f>
        <v>0</v>
      </c>
      <c r="D177">
        <f>装备!F271</f>
        <v>0</v>
      </c>
      <c r="E177">
        <f>IF(ISTEXT(装备!G271)=TRUE,"'"&amp;装备!G271&amp;"'",装备!G271)</f>
        <v>0</v>
      </c>
      <c r="F177">
        <f>IF(ISTEXT(装备!H271)=TRUE,"'"&amp;装备!H271&amp;"'",装备!H271)</f>
        <v>0</v>
      </c>
      <c r="G177">
        <f>IF(装备!I271="",0,"'"&amp;装备!I271&amp;"'")</f>
        <v>0</v>
      </c>
      <c r="H177">
        <f>IF(装备!R271="",0,装备!R271)</f>
        <v>0</v>
      </c>
      <c r="I177">
        <f>IF(装备!S271="",0,装备!S271)</f>
        <v>0</v>
      </c>
      <c r="J177">
        <f>IF(装备!C271="",0,""""&amp;装备!C271&amp;"""")</f>
        <v>0</v>
      </c>
      <c r="K177" t="str">
        <f>IF(装备!T271="","""""",""""&amp;装备!T271&amp;"""")</f>
        <v>""</v>
      </c>
      <c r="L177">
        <f>IF(装备!U271="",0,""""&amp;装备!U271&amp;"""")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IF(装备!B272="",0,"'"&amp;装备!B272&amp;"'")</f>
        <v>0</v>
      </c>
      <c r="B178">
        <f>装备!D198</f>
        <v>0</v>
      </c>
      <c r="C178">
        <f>装备!E272</f>
        <v>0</v>
      </c>
      <c r="D178">
        <f>装备!F272</f>
        <v>0</v>
      </c>
      <c r="E178">
        <f>IF(ISTEXT(装备!G272)=TRUE,"'"&amp;装备!G272&amp;"'",装备!G272)</f>
        <v>0</v>
      </c>
      <c r="F178">
        <f>IF(ISTEXT(装备!H272)=TRUE,"'"&amp;装备!H272&amp;"'",装备!H272)</f>
        <v>0</v>
      </c>
      <c r="G178">
        <f>IF(装备!I272="",0,"'"&amp;装备!I272&amp;"'")</f>
        <v>0</v>
      </c>
      <c r="H178">
        <f>IF(装备!R272="",0,装备!R272)</f>
        <v>0</v>
      </c>
      <c r="I178">
        <f>IF(装备!S272="",0,装备!S272)</f>
        <v>0</v>
      </c>
      <c r="J178">
        <f>IF(装备!C272="",0,""""&amp;装备!C272&amp;"""")</f>
        <v>0</v>
      </c>
      <c r="K178" t="str">
        <f>IF(装备!T272="","""""",""""&amp;装备!T272&amp;"""")</f>
        <v>""</v>
      </c>
      <c r="L178">
        <f>IF(装备!U272="",0,""""&amp;装备!U272&amp;"""")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IF(装备!B273="",0,"'"&amp;装备!B273&amp;"'")</f>
        <v>0</v>
      </c>
      <c r="B179">
        <f>装备!D199</f>
        <v>0</v>
      </c>
      <c r="C179">
        <f>装备!E273</f>
        <v>0</v>
      </c>
      <c r="D179">
        <f>装备!F273</f>
        <v>0</v>
      </c>
      <c r="E179">
        <f>IF(ISTEXT(装备!G273)=TRUE,"'"&amp;装备!G273&amp;"'",装备!G273)</f>
        <v>0</v>
      </c>
      <c r="F179">
        <f>IF(ISTEXT(装备!H273)=TRUE,"'"&amp;装备!H273&amp;"'",装备!H273)</f>
        <v>0</v>
      </c>
      <c r="G179">
        <f>IF(装备!I273="",0,"'"&amp;装备!I273&amp;"'")</f>
        <v>0</v>
      </c>
      <c r="H179">
        <f>IF(装备!R273="",0,装备!R273)</f>
        <v>0</v>
      </c>
      <c r="I179">
        <f>IF(装备!S273="",0,装备!S273)</f>
        <v>0</v>
      </c>
      <c r="J179">
        <f>IF(装备!C273="",0,""""&amp;装备!C273&amp;"""")</f>
        <v>0</v>
      </c>
      <c r="K179" t="str">
        <f>IF(装备!T273="","""""",""""&amp;装备!T273&amp;"""")</f>
        <v>""</v>
      </c>
      <c r="L179">
        <f>IF(装备!U273="",0,""""&amp;装备!U273&amp;"""")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IF(装备!B274="",0,"'"&amp;装备!B274&amp;"'")</f>
        <v>0</v>
      </c>
      <c r="B180">
        <f>装备!D200</f>
        <v>0</v>
      </c>
      <c r="C180">
        <f>装备!E274</f>
        <v>0</v>
      </c>
      <c r="D180">
        <f>装备!F274</f>
        <v>0</v>
      </c>
      <c r="E180">
        <f>IF(ISTEXT(装备!G274)=TRUE,"'"&amp;装备!G274&amp;"'",装备!G274)</f>
        <v>0</v>
      </c>
      <c r="F180">
        <f>IF(ISTEXT(装备!H274)=TRUE,"'"&amp;装备!H274&amp;"'",装备!H274)</f>
        <v>0</v>
      </c>
      <c r="G180">
        <f>IF(装备!I274="",0,"'"&amp;装备!I274&amp;"'")</f>
        <v>0</v>
      </c>
      <c r="H180">
        <f>IF(装备!R274="",0,装备!R274)</f>
        <v>0</v>
      </c>
      <c r="I180">
        <f>IF(装备!S274="",0,装备!S274)</f>
        <v>0</v>
      </c>
      <c r="J180">
        <f>IF(装备!C274="",0,""""&amp;装备!C274&amp;"""")</f>
        <v>0</v>
      </c>
      <c r="K180" t="str">
        <f>IF(装备!T274="","""""",""""&amp;装备!T274&amp;"""")</f>
        <v>""</v>
      </c>
      <c r="L180">
        <f>IF(装备!U274="",0,""""&amp;装备!U274&amp;"""")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IF(装备!B275="",0,"'"&amp;装备!B275&amp;"'")</f>
        <v>0</v>
      </c>
      <c r="B181">
        <f>装备!D201</f>
        <v>0</v>
      </c>
      <c r="C181">
        <f>装备!E275</f>
        <v>0</v>
      </c>
      <c r="D181">
        <f>装备!F275</f>
        <v>0</v>
      </c>
      <c r="E181">
        <f>IF(ISTEXT(装备!G275)=TRUE,"'"&amp;装备!G275&amp;"'",装备!G275)</f>
        <v>0</v>
      </c>
      <c r="F181">
        <f>IF(ISTEXT(装备!H275)=TRUE,"'"&amp;装备!H275&amp;"'",装备!H275)</f>
        <v>0</v>
      </c>
      <c r="G181">
        <f>IF(装备!I275="",0,"'"&amp;装备!I275&amp;"'")</f>
        <v>0</v>
      </c>
      <c r="H181">
        <f>IF(装备!R275="",0,装备!R275)</f>
        <v>0</v>
      </c>
      <c r="I181">
        <f>IF(装备!S275="",0,装备!S275)</f>
        <v>0</v>
      </c>
      <c r="J181">
        <f>IF(装备!C275="",0,""""&amp;装备!C275&amp;"""")</f>
        <v>0</v>
      </c>
      <c r="K181" t="str">
        <f>IF(装备!T275="","""""",""""&amp;装备!T275&amp;"""")</f>
        <v>""</v>
      </c>
      <c r="L181">
        <f>IF(装备!U275="",0,""""&amp;装备!U275&amp;"""")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IF(装备!B276="",0,"'"&amp;装备!B276&amp;"'")</f>
        <v>0</v>
      </c>
      <c r="B182">
        <f>装备!D202</f>
        <v>0</v>
      </c>
      <c r="C182">
        <f>装备!E276</f>
        <v>0</v>
      </c>
      <c r="D182">
        <f>装备!F276</f>
        <v>0</v>
      </c>
      <c r="E182">
        <f>IF(ISTEXT(装备!G276)=TRUE,"'"&amp;装备!G276&amp;"'",装备!G276)</f>
        <v>0</v>
      </c>
      <c r="F182">
        <f>IF(ISTEXT(装备!H276)=TRUE,"'"&amp;装备!H276&amp;"'",装备!H276)</f>
        <v>0</v>
      </c>
      <c r="G182">
        <f>IF(装备!I276="",0,"'"&amp;装备!I276&amp;"'")</f>
        <v>0</v>
      </c>
      <c r="H182">
        <f>IF(装备!R276="",0,装备!R276)</f>
        <v>0</v>
      </c>
      <c r="I182">
        <f>IF(装备!S276="",0,装备!S276)</f>
        <v>0</v>
      </c>
      <c r="J182">
        <f>IF(装备!C276="",0,""""&amp;装备!C276&amp;"""")</f>
        <v>0</v>
      </c>
      <c r="K182" t="str">
        <f>IF(装备!T276="","""""",""""&amp;装备!T276&amp;"""")</f>
        <v>""</v>
      </c>
      <c r="L182">
        <f>IF(装备!U276="",0,""""&amp;装备!U276&amp;"""")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IF(装备!B277="",0,"'"&amp;装备!B277&amp;"'")</f>
        <v>0</v>
      </c>
      <c r="B183">
        <f>装备!D203</f>
        <v>0</v>
      </c>
      <c r="C183">
        <f>装备!E277</f>
        <v>0</v>
      </c>
      <c r="D183">
        <f>装备!F277</f>
        <v>0</v>
      </c>
      <c r="E183">
        <f>IF(ISTEXT(装备!G277)=TRUE,"'"&amp;装备!G277&amp;"'",装备!G277)</f>
        <v>0</v>
      </c>
      <c r="F183">
        <f>IF(ISTEXT(装备!H277)=TRUE,"'"&amp;装备!H277&amp;"'",装备!H277)</f>
        <v>0</v>
      </c>
      <c r="G183">
        <f>IF(装备!I277="",0,"'"&amp;装备!I277&amp;"'")</f>
        <v>0</v>
      </c>
      <c r="H183">
        <f>IF(装备!R277="",0,装备!R277)</f>
        <v>0</v>
      </c>
      <c r="I183">
        <f>IF(装备!S277="",0,装备!S277)</f>
        <v>0</v>
      </c>
      <c r="J183">
        <f>IF(装备!C277="",0,""""&amp;装备!C277&amp;"""")</f>
        <v>0</v>
      </c>
      <c r="K183" t="str">
        <f>IF(装备!T277="","""""",""""&amp;装备!T277&amp;"""")</f>
        <v>""</v>
      </c>
      <c r="L183">
        <f>IF(装备!U277="",0,""""&amp;装备!U277&amp;"""")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IF(装备!B278="",0,"'"&amp;装备!B278&amp;"'")</f>
        <v>0</v>
      </c>
      <c r="B184">
        <f>装备!D204</f>
        <v>0</v>
      </c>
      <c r="C184">
        <f>装备!E278</f>
        <v>0</v>
      </c>
      <c r="D184">
        <f>装备!F278</f>
        <v>0</v>
      </c>
      <c r="E184">
        <f>IF(ISTEXT(装备!G278)=TRUE,"'"&amp;装备!G278&amp;"'",装备!G278)</f>
        <v>0</v>
      </c>
      <c r="F184">
        <f>IF(ISTEXT(装备!H278)=TRUE,"'"&amp;装备!H278&amp;"'",装备!H278)</f>
        <v>0</v>
      </c>
      <c r="G184">
        <f>IF(装备!I278="",0,"'"&amp;装备!I278&amp;"'")</f>
        <v>0</v>
      </c>
      <c r="H184">
        <f>IF(装备!R278="",0,装备!R278)</f>
        <v>0</v>
      </c>
      <c r="I184">
        <f>IF(装备!S278="",0,装备!S278)</f>
        <v>0</v>
      </c>
      <c r="J184">
        <f>IF(装备!C278="",0,""""&amp;装备!C278&amp;"""")</f>
        <v>0</v>
      </c>
      <c r="K184" t="str">
        <f>IF(装备!T278="","""""",""""&amp;装备!T278&amp;"""")</f>
        <v>""</v>
      </c>
      <c r="L184">
        <f>IF(装备!U278="",0,""""&amp;装备!U278&amp;"""")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IF(装备!B288="",0,"'"&amp;装备!B288&amp;"'")</f>
        <v>0</v>
      </c>
      <c r="B185">
        <f>装备!D205</f>
        <v>0</v>
      </c>
      <c r="C185">
        <f>装备!E288</f>
        <v>0</v>
      </c>
      <c r="D185">
        <f>装备!F288</f>
        <v>0</v>
      </c>
      <c r="E185">
        <f>IF(ISTEXT(装备!G279)=TRUE,"'"&amp;装备!G279&amp;"'",装备!G279)</f>
        <v>0</v>
      </c>
      <c r="F185">
        <f>IF(ISTEXT(装备!H279)=TRUE,"'"&amp;装备!H279&amp;"'",装备!H279)</f>
        <v>0</v>
      </c>
      <c r="G185">
        <f>IF(装备!I288="",0,"'"&amp;装备!I288&amp;"'")</f>
        <v>0</v>
      </c>
      <c r="H185">
        <f>IF(装备!R279="",0,装备!R279)</f>
        <v>0</v>
      </c>
      <c r="I185">
        <f>IF(装备!S279="",0,装备!S279)</f>
        <v>0</v>
      </c>
      <c r="J185">
        <f>IF(装备!C288="",0,""""&amp;装备!C288&amp;"""")</f>
        <v>0</v>
      </c>
      <c r="K185" t="str">
        <f>IF(装备!T288="","""""",""""&amp;装备!T288&amp;"""")</f>
        <v>""</v>
      </c>
      <c r="L185">
        <f>IF(装备!U288="",0,""""&amp;装备!U288&amp;"""")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IF(装备!B289="",0,"'"&amp;装备!B289&amp;"'")</f>
        <v>0</v>
      </c>
      <c r="B186">
        <f>装备!D206</f>
        <v>0</v>
      </c>
      <c r="C186">
        <f>装备!E289</f>
        <v>0</v>
      </c>
      <c r="D186">
        <f>装备!F289</f>
        <v>0</v>
      </c>
      <c r="E186">
        <f>IF(ISTEXT(装备!G280)=TRUE,"'"&amp;装备!G280&amp;"'",装备!G280)</f>
        <v>0</v>
      </c>
      <c r="F186">
        <f>IF(ISTEXT(装备!H280)=TRUE,"'"&amp;装备!H280&amp;"'",装备!H280)</f>
        <v>0</v>
      </c>
      <c r="G186">
        <f>IF(装备!I289="",0,"'"&amp;装备!I289&amp;"'")</f>
        <v>0</v>
      </c>
      <c r="H186">
        <f>IF(装备!R280="",0,装备!R280)</f>
        <v>0</v>
      </c>
      <c r="I186">
        <f>IF(装备!S280="",0,装备!S280)</f>
        <v>0</v>
      </c>
      <c r="J186">
        <f>IF(装备!C289="",0,""""&amp;装备!C289&amp;"""")</f>
        <v>0</v>
      </c>
      <c r="K186" t="str">
        <f>IF(装备!T289="","""""",""""&amp;装备!T289&amp;"""")</f>
        <v>""</v>
      </c>
      <c r="L186">
        <f>IF(装备!U289="",0,""""&amp;装备!U289&amp;"""")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IF(装备!B290="",0,"'"&amp;装备!B290&amp;"'")</f>
        <v>0</v>
      </c>
      <c r="B187">
        <f>装备!D207</f>
        <v>0</v>
      </c>
      <c r="C187">
        <f>装备!E290</f>
        <v>0</v>
      </c>
      <c r="D187">
        <f>装备!F290</f>
        <v>0</v>
      </c>
      <c r="E187">
        <f>IF(ISTEXT(装备!G281)=TRUE,"'"&amp;装备!G281&amp;"'",装备!G281)</f>
        <v>0</v>
      </c>
      <c r="F187">
        <f>IF(ISTEXT(装备!H281)=TRUE,"'"&amp;装备!H281&amp;"'",装备!H281)</f>
        <v>0</v>
      </c>
      <c r="G187">
        <f>IF(装备!I290="",0,"'"&amp;装备!I290&amp;"'")</f>
        <v>0</v>
      </c>
      <c r="H187">
        <f>IF(装备!R281="",0,装备!R281)</f>
        <v>0</v>
      </c>
      <c r="I187">
        <f>IF(装备!S281="",0,装备!S281)</f>
        <v>0</v>
      </c>
      <c r="J187">
        <f>IF(装备!C290="",0,""""&amp;装备!C290&amp;"""")</f>
        <v>0</v>
      </c>
      <c r="K187" t="str">
        <f>IF(装备!T290="","""""",""""&amp;装备!T290&amp;"""")</f>
        <v>""</v>
      </c>
      <c r="L187">
        <f>IF(装备!U290="",0,""""&amp;装备!U290&amp;"""")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IF(装备!B291="",0,"'"&amp;装备!B291&amp;"'")</f>
        <v>0</v>
      </c>
      <c r="B188">
        <f>装备!D208</f>
        <v>0</v>
      </c>
      <c r="C188">
        <f>装备!E291</f>
        <v>0</v>
      </c>
      <c r="D188">
        <f>装备!F291</f>
        <v>0</v>
      </c>
      <c r="E188">
        <f>IF(ISTEXT(装备!G282)=TRUE,"'"&amp;装备!G282&amp;"'",装备!G282)</f>
        <v>0</v>
      </c>
      <c r="F188">
        <f>IF(ISTEXT(装备!H282)=TRUE,"'"&amp;装备!H282&amp;"'",装备!H282)</f>
        <v>0</v>
      </c>
      <c r="G188">
        <f>IF(装备!I291="",0,"'"&amp;装备!I291&amp;"'")</f>
        <v>0</v>
      </c>
      <c r="H188">
        <f>IF(装备!R282="",0,装备!R282)</f>
        <v>0</v>
      </c>
      <c r="I188">
        <f>IF(装备!S282="",0,装备!S282)</f>
        <v>0</v>
      </c>
      <c r="J188">
        <f>IF(装备!C291="",0,""""&amp;装备!C291&amp;"""")</f>
        <v>0</v>
      </c>
      <c r="K188" t="str">
        <f>IF(装备!T291="","""""",""""&amp;装备!T291&amp;"""")</f>
        <v>""</v>
      </c>
      <c r="L188">
        <f>IF(装备!U291="",0,""""&amp;装备!U291&amp;"""")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IF(装备!B292="",0,"'"&amp;装备!B292&amp;"'")</f>
        <v>0</v>
      </c>
      <c r="B189">
        <f>装备!D209</f>
        <v>0</v>
      </c>
      <c r="C189">
        <f>装备!E292</f>
        <v>0</v>
      </c>
      <c r="D189">
        <f>装备!F292</f>
        <v>0</v>
      </c>
      <c r="E189">
        <f>IF(ISTEXT(装备!G283)=TRUE,"'"&amp;装备!G283&amp;"'",装备!G283)</f>
        <v>0</v>
      </c>
      <c r="F189">
        <f>IF(ISTEXT(装备!H283)=TRUE,"'"&amp;装备!H283&amp;"'",装备!H283)</f>
        <v>0</v>
      </c>
      <c r="G189">
        <f>IF(装备!I292="",0,"'"&amp;装备!I292&amp;"'")</f>
        <v>0</v>
      </c>
      <c r="H189">
        <f>IF(装备!R283="",0,装备!R283)</f>
        <v>0</v>
      </c>
      <c r="I189">
        <f>IF(装备!S283="",0,装备!S283)</f>
        <v>0</v>
      </c>
      <c r="J189">
        <f>IF(装备!C292="",0,""""&amp;装备!C292&amp;"""")</f>
        <v>0</v>
      </c>
      <c r="K189" t="str">
        <f>IF(装备!T292="","""""",""""&amp;装备!T292&amp;"""")</f>
        <v>""</v>
      </c>
      <c r="L189">
        <f>IF(装备!U292="",0,""""&amp;装备!U292&amp;"""")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IF(装备!B293="",0,"'"&amp;装备!B293&amp;"'")</f>
        <v>0</v>
      </c>
      <c r="B190">
        <f>装备!D210</f>
        <v>0</v>
      </c>
      <c r="C190">
        <f>装备!E293</f>
        <v>0</v>
      </c>
      <c r="D190">
        <f>装备!F293</f>
        <v>0</v>
      </c>
      <c r="E190">
        <f>IF(ISTEXT(装备!G284)=TRUE,"'"&amp;装备!G284&amp;"'",装备!G284)</f>
        <v>0</v>
      </c>
      <c r="F190">
        <f>IF(ISTEXT(装备!H284)=TRUE,"'"&amp;装备!H284&amp;"'",装备!H284)</f>
        <v>0</v>
      </c>
      <c r="G190">
        <f>IF(装备!I293="",0,"'"&amp;装备!I293&amp;"'")</f>
        <v>0</v>
      </c>
      <c r="H190">
        <f>IF(装备!R284="",0,装备!R284)</f>
        <v>0</v>
      </c>
      <c r="I190">
        <f>IF(装备!S284="",0,装备!S284)</f>
        <v>0</v>
      </c>
      <c r="J190">
        <f>IF(装备!C293="",0,""""&amp;装备!C293&amp;"""")</f>
        <v>0</v>
      </c>
      <c r="K190" t="str">
        <f>IF(装备!T293="","""""",""""&amp;装备!T293&amp;"""")</f>
        <v>""</v>
      </c>
      <c r="L190">
        <f>IF(装备!U293="",0,""""&amp;装备!U293&amp;"""")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IF(装备!B294="",0,"'"&amp;装备!B294&amp;"'")</f>
        <v>0</v>
      </c>
      <c r="B191">
        <f>装备!D211</f>
        <v>0</v>
      </c>
      <c r="C191">
        <f>装备!E294</f>
        <v>0</v>
      </c>
      <c r="D191">
        <f>装备!F294</f>
        <v>0</v>
      </c>
      <c r="E191">
        <f>IF(ISTEXT(装备!G285)=TRUE,"'"&amp;装备!G285&amp;"'",装备!G285)</f>
        <v>0</v>
      </c>
      <c r="F191">
        <f>IF(ISTEXT(装备!H285)=TRUE,"'"&amp;装备!H285&amp;"'",装备!H285)</f>
        <v>0</v>
      </c>
      <c r="G191">
        <f>IF(装备!I294="",0,"'"&amp;装备!I294&amp;"'")</f>
        <v>0</v>
      </c>
      <c r="H191">
        <f>IF(装备!R285="",0,装备!R285)</f>
        <v>0</v>
      </c>
      <c r="I191">
        <f>IF(装备!S285="",0,装备!S285)</f>
        <v>0</v>
      </c>
      <c r="J191">
        <f>IF(装备!C294="",0,""""&amp;装备!C294&amp;"""")</f>
        <v>0</v>
      </c>
      <c r="K191" t="str">
        <f>IF(装备!T294="","""""",""""&amp;装备!T294&amp;"""")</f>
        <v>""</v>
      </c>
      <c r="L191">
        <f>IF(装备!U294="",0,""""&amp;装备!U294&amp;"""")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IF(装备!B295="",0,"'"&amp;装备!B295&amp;"'")</f>
        <v>0</v>
      </c>
      <c r="B192">
        <f>装备!D222</f>
        <v>0</v>
      </c>
      <c r="C192">
        <f>装备!E295</f>
        <v>0</v>
      </c>
      <c r="D192">
        <f>装备!F295</f>
        <v>0</v>
      </c>
      <c r="E192">
        <f>IF(ISTEXT(装备!G286)=TRUE,"'"&amp;装备!G286&amp;"'",装备!G286)</f>
        <v>0</v>
      </c>
      <c r="F192">
        <f>IF(ISTEXT(装备!H286)=TRUE,"'"&amp;装备!H286&amp;"'",装备!H286)</f>
        <v>0</v>
      </c>
      <c r="G192">
        <f>IF(装备!I295="",0,"'"&amp;装备!I295&amp;"'")</f>
        <v>0</v>
      </c>
      <c r="H192">
        <f>IF(装备!R286="",0,装备!R286)</f>
        <v>0</v>
      </c>
      <c r="I192">
        <f>IF(装备!S286="",0,装备!S286)</f>
        <v>0</v>
      </c>
      <c r="J192">
        <f>IF(装备!C295="",0,""""&amp;装备!C295&amp;"""")</f>
        <v>0</v>
      </c>
      <c r="K192" t="str">
        <f>IF(装备!T295="","""""",""""&amp;装备!T295&amp;"""")</f>
        <v>""</v>
      </c>
      <c r="L192">
        <f>IF(装备!U295="",0,""""&amp;装备!U295&amp;"""")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IF(装备!B296="",0,"'"&amp;装备!B296&amp;"'")</f>
        <v>0</v>
      </c>
      <c r="B193">
        <f>装备!D223</f>
        <v>0</v>
      </c>
      <c r="C193">
        <f>装备!E296</f>
        <v>0</v>
      </c>
      <c r="D193">
        <f>装备!F296</f>
        <v>0</v>
      </c>
      <c r="E193">
        <f>IF(ISTEXT(装备!G287)=TRUE,"'"&amp;装备!G287&amp;"'",装备!G287)</f>
        <v>0</v>
      </c>
      <c r="F193">
        <f>IF(ISTEXT(装备!H287)=TRUE,"'"&amp;装备!H287&amp;"'",装备!H287)</f>
        <v>0</v>
      </c>
      <c r="G193">
        <f>IF(装备!I296="",0,"'"&amp;装备!I296&amp;"'")</f>
        <v>0</v>
      </c>
      <c r="H193">
        <f>IF(装备!R287="",0,装备!R287)</f>
        <v>0</v>
      </c>
      <c r="I193">
        <f>IF(装备!S287="",0,装备!S287)</f>
        <v>0</v>
      </c>
      <c r="J193">
        <f>IF(装备!C296="",0,""""&amp;装备!C296&amp;"""")</f>
        <v>0</v>
      </c>
      <c r="K193" t="str">
        <f>IF(装备!T296="","""""",""""&amp;装备!T296&amp;"""")</f>
        <v>""</v>
      </c>
      <c r="L193">
        <f>IF(装备!U296="",0,""""&amp;装备!U296&amp;"""")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IF(装备!B297="",0,"'"&amp;装备!B297&amp;"'")</f>
        <v>0</v>
      </c>
      <c r="B194">
        <f>装备!D224</f>
        <v>0</v>
      </c>
      <c r="C194">
        <f>装备!E297</f>
        <v>0</v>
      </c>
      <c r="D194">
        <f>装备!F297</f>
        <v>0</v>
      </c>
      <c r="E194">
        <f>IF(ISTEXT(装备!G288)=TRUE,"'"&amp;装备!G288&amp;"'",装备!G288)</f>
        <v>0</v>
      </c>
      <c r="F194">
        <f>IF(ISTEXT(装备!H288)=TRUE,"'"&amp;装备!H288&amp;"'",装备!H288)</f>
        <v>0</v>
      </c>
      <c r="G194">
        <f>IF(装备!I297="",0,"'"&amp;装备!I297&amp;"'")</f>
        <v>0</v>
      </c>
      <c r="H194">
        <f>IF(装备!R288="",0,装备!R288)</f>
        <v>0</v>
      </c>
      <c r="I194">
        <f>IF(装备!S288="",0,装备!S288)</f>
        <v>0</v>
      </c>
      <c r="J194">
        <f>IF(装备!C297="",0,""""&amp;装备!C297&amp;"""")</f>
        <v>0</v>
      </c>
      <c r="K194" t="str">
        <f>IF(装备!T297="","""""",""""&amp;装备!T297&amp;"""")</f>
        <v>""</v>
      </c>
      <c r="L194">
        <f>IF(装备!U297="",0,""""&amp;装备!U297&amp;"""")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IF(装备!B298="",0,"'"&amp;装备!B298&amp;"'")</f>
        <v>0</v>
      </c>
      <c r="B195">
        <f>装备!D225</f>
        <v>0</v>
      </c>
      <c r="C195">
        <f>装备!E298</f>
        <v>0</v>
      </c>
      <c r="D195">
        <f>装备!F298</f>
        <v>0</v>
      </c>
      <c r="E195">
        <f>IF(ISTEXT(装备!G289)=TRUE,"'"&amp;装备!G289&amp;"'",装备!G289)</f>
        <v>0</v>
      </c>
      <c r="F195">
        <f>IF(ISTEXT(装备!H289)=TRUE,"'"&amp;装备!H289&amp;"'",装备!H289)</f>
        <v>0</v>
      </c>
      <c r="G195">
        <f>IF(装备!I298="",0,"'"&amp;装备!I298&amp;"'")</f>
        <v>0</v>
      </c>
      <c r="H195">
        <f>IF(装备!R289="",0,装备!R289)</f>
        <v>0</v>
      </c>
      <c r="I195">
        <f>IF(装备!S289="",0,装备!S289)</f>
        <v>0</v>
      </c>
      <c r="J195">
        <f>IF(装备!C298="",0,""""&amp;装备!C298&amp;"""")</f>
        <v>0</v>
      </c>
      <c r="K195" t="str">
        <f>IF(装备!T298="","""""",""""&amp;装备!T298&amp;"""")</f>
        <v>""</v>
      </c>
      <c r="L195">
        <f>IF(装备!U298="",0,""""&amp;装备!U298&amp;"""")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IF(装备!B299="",0,"'"&amp;装备!B299&amp;"'")</f>
        <v>0</v>
      </c>
      <c r="B196">
        <f>装备!D226</f>
        <v>0</v>
      </c>
      <c r="C196">
        <f>装备!E299</f>
        <v>0</v>
      </c>
      <c r="D196">
        <f>装备!F299</f>
        <v>0</v>
      </c>
      <c r="E196">
        <f>IF(ISTEXT(装备!G290)=TRUE,"'"&amp;装备!G290&amp;"'",装备!G290)</f>
        <v>0</v>
      </c>
      <c r="F196">
        <f>IF(ISTEXT(装备!H290)=TRUE,"'"&amp;装备!H290&amp;"'",装备!H290)</f>
        <v>0</v>
      </c>
      <c r="G196">
        <f>IF(装备!I299="",0,"'"&amp;装备!I299&amp;"'")</f>
        <v>0</v>
      </c>
      <c r="H196">
        <f>IF(装备!R290="",0,装备!R290)</f>
        <v>0</v>
      </c>
      <c r="I196">
        <f>IF(装备!S290="",0,装备!S290)</f>
        <v>0</v>
      </c>
      <c r="J196">
        <f>IF(装备!C299="",0,""""&amp;装备!C299&amp;"""")</f>
        <v>0</v>
      </c>
      <c r="K196" t="str">
        <f>IF(装备!T299="","""""",""""&amp;装备!T299&amp;"""")</f>
        <v>""</v>
      </c>
      <c r="L196">
        <f>IF(装备!U299="",0,""""&amp;装备!U299&amp;"""")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IF(装备!B300="",0,"'"&amp;装备!B300&amp;"'")</f>
        <v>0</v>
      </c>
      <c r="B197">
        <f>装备!D227</f>
        <v>0</v>
      </c>
      <c r="C197">
        <f>装备!E300</f>
        <v>0</v>
      </c>
      <c r="D197">
        <f>装备!F300</f>
        <v>0</v>
      </c>
      <c r="E197">
        <f>IF(ISTEXT(装备!G291)=TRUE,"'"&amp;装备!G291&amp;"'",装备!G291)</f>
        <v>0</v>
      </c>
      <c r="F197">
        <f>IF(ISTEXT(装备!H291)=TRUE,"'"&amp;装备!H291&amp;"'",装备!H291)</f>
        <v>0</v>
      </c>
      <c r="G197">
        <f>IF(装备!I300="",0,"'"&amp;装备!I300&amp;"'")</f>
        <v>0</v>
      </c>
      <c r="H197">
        <f>IF(装备!R291="",0,装备!R291)</f>
        <v>0</v>
      </c>
      <c r="I197">
        <f>IF(装备!S291="",0,装备!S291)</f>
        <v>0</v>
      </c>
      <c r="J197">
        <f>IF(装备!C300="",0,""""&amp;装备!C300&amp;"""")</f>
        <v>0</v>
      </c>
      <c r="K197" t="str">
        <f>IF(装备!T300="","""""",""""&amp;装备!T300&amp;"""")</f>
        <v>""</v>
      </c>
      <c r="L197">
        <f>IF(装备!U300="",0,""""&amp;装备!U300&amp;"""")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IF(装备!B301="",0,"'"&amp;装备!B301&amp;"'")</f>
        <v>0</v>
      </c>
      <c r="B198">
        <f>装备!D228</f>
        <v>0</v>
      </c>
      <c r="C198">
        <f>装备!E301</f>
        <v>0</v>
      </c>
      <c r="D198">
        <f>装备!F301</f>
        <v>0</v>
      </c>
      <c r="E198">
        <f>IF(ISTEXT(装备!G292)=TRUE,"'"&amp;装备!G292&amp;"'",装备!G292)</f>
        <v>0</v>
      </c>
      <c r="F198">
        <f>IF(ISTEXT(装备!H292)=TRUE,"'"&amp;装备!H292&amp;"'",装备!H292)</f>
        <v>0</v>
      </c>
      <c r="G198">
        <f>IF(装备!I301="",0,"'"&amp;装备!I301&amp;"'")</f>
        <v>0</v>
      </c>
      <c r="H198">
        <f>IF(装备!R292="",0,装备!R292)</f>
        <v>0</v>
      </c>
      <c r="I198">
        <f>IF(装备!S292="",0,装备!S292)</f>
        <v>0</v>
      </c>
      <c r="J198">
        <f>IF(装备!C301="",0,""""&amp;装备!C301&amp;"""")</f>
        <v>0</v>
      </c>
      <c r="K198" t="str">
        <f>IF(装备!T301="","""""",""""&amp;装备!T301&amp;"""")</f>
        <v>""</v>
      </c>
      <c r="L198">
        <f>IF(装备!U301="",0,""""&amp;装备!U301&amp;"""")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IF(装备!B302="",0,"'"&amp;装备!B302&amp;"'")</f>
        <v>0</v>
      </c>
      <c r="B199">
        <f>装备!D229</f>
        <v>0</v>
      </c>
      <c r="C199">
        <f>装备!E302</f>
        <v>0</v>
      </c>
      <c r="D199">
        <f>装备!F302</f>
        <v>0</v>
      </c>
      <c r="E199">
        <f>IF(ISTEXT(装备!G293)=TRUE,"'"&amp;装备!G293&amp;"'",装备!G293)</f>
        <v>0</v>
      </c>
      <c r="F199">
        <f>IF(ISTEXT(装备!H293)=TRUE,"'"&amp;装备!H293&amp;"'",装备!H293)</f>
        <v>0</v>
      </c>
      <c r="G199">
        <f>IF(装备!I302="",0,"'"&amp;装备!I302&amp;"'")</f>
        <v>0</v>
      </c>
      <c r="H199">
        <f>IF(装备!R293="",0,装备!R293)</f>
        <v>0</v>
      </c>
      <c r="I199">
        <f>IF(装备!S293="",0,装备!S293)</f>
        <v>0</v>
      </c>
      <c r="J199">
        <f>IF(装备!C302="",0,""""&amp;装备!C302&amp;"""")</f>
        <v>0</v>
      </c>
      <c r="K199" t="str">
        <f>IF(装备!T302="","""""",""""&amp;装备!T302&amp;"""")</f>
        <v>""</v>
      </c>
      <c r="L199">
        <f>IF(装备!U302="",0,""""&amp;装备!U302&amp;"""")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IF(装备!B303="",0,"'"&amp;装备!B303&amp;"'")</f>
        <v>0</v>
      </c>
      <c r="B200">
        <f>装备!D230</f>
        <v>0</v>
      </c>
      <c r="C200">
        <f>装备!E303</f>
        <v>0</v>
      </c>
      <c r="D200">
        <f>装备!F303</f>
        <v>0</v>
      </c>
      <c r="E200">
        <f>IF(ISTEXT(装备!G294)=TRUE,"'"&amp;装备!G294&amp;"'",装备!G294)</f>
        <v>0</v>
      </c>
      <c r="F200">
        <f>IF(ISTEXT(装备!H294)=TRUE,"'"&amp;装备!H294&amp;"'",装备!H294)</f>
        <v>0</v>
      </c>
      <c r="G200">
        <f>IF(装备!I303="",0,"'"&amp;装备!I303&amp;"'")</f>
        <v>0</v>
      </c>
      <c r="H200">
        <f>IF(装备!R294="",0,装备!R294)</f>
        <v>0</v>
      </c>
      <c r="I200">
        <f>IF(装备!S294="",0,装备!S294)</f>
        <v>0</v>
      </c>
      <c r="J200">
        <f>IF(装备!C303="",0,""""&amp;装备!C303&amp;"""")</f>
        <v>0</v>
      </c>
      <c r="K200" t="str">
        <f>IF(装备!T303="","""""",""""&amp;装备!T303&amp;"""")</f>
        <v>""</v>
      </c>
      <c r="L200">
        <f>IF(装备!U303="",0,""""&amp;装备!U303&amp;"""")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IF(装备!B304="",0,"'"&amp;装备!B304&amp;"'")</f>
        <v>0</v>
      </c>
      <c r="B201">
        <f>装备!D231</f>
        <v>0</v>
      </c>
      <c r="C201">
        <f>装备!E304</f>
        <v>0</v>
      </c>
      <c r="D201">
        <f>装备!F304</f>
        <v>0</v>
      </c>
      <c r="E201">
        <f>IF(ISTEXT(装备!G295)=TRUE,"'"&amp;装备!G295&amp;"'",装备!G295)</f>
        <v>0</v>
      </c>
      <c r="F201">
        <f>IF(ISTEXT(装备!H295)=TRUE,"'"&amp;装备!H295&amp;"'",装备!H295)</f>
        <v>0</v>
      </c>
      <c r="G201">
        <f>IF(装备!I304="",0,"'"&amp;装备!I304&amp;"'")</f>
        <v>0</v>
      </c>
      <c r="H201">
        <f>IF(装备!R295="",0,装备!R295)</f>
        <v>0</v>
      </c>
      <c r="I201">
        <f>IF(装备!S295="",0,装备!S295)</f>
        <v>0</v>
      </c>
      <c r="J201">
        <f>IF(装备!C304="",0,""""&amp;装备!C304&amp;"""")</f>
        <v>0</v>
      </c>
      <c r="K201" t="str">
        <f>IF(装备!T304="","""""",""""&amp;装备!T304&amp;"""")</f>
        <v>""</v>
      </c>
      <c r="L201">
        <f>IF(装备!U304="",0,""""&amp;装备!U304&amp;"""")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IF(装备!B305="",0,"'"&amp;装备!B305&amp;"'")</f>
        <v>0</v>
      </c>
      <c r="B202">
        <f>装备!D232</f>
        <v>0</v>
      </c>
      <c r="C202">
        <f>装备!E305</f>
        <v>0</v>
      </c>
      <c r="D202">
        <f>装备!F305</f>
        <v>0</v>
      </c>
      <c r="E202">
        <f>IF(ISTEXT(装备!G296)=TRUE,"'"&amp;装备!G296&amp;"'",装备!G296)</f>
        <v>0</v>
      </c>
      <c r="F202">
        <f>IF(ISTEXT(装备!H296)=TRUE,"'"&amp;装备!H296&amp;"'",装备!H296)</f>
        <v>0</v>
      </c>
      <c r="G202">
        <f>IF(装备!I305="",0,"'"&amp;装备!I305&amp;"'")</f>
        <v>0</v>
      </c>
      <c r="H202">
        <f>IF(装备!R296="",0,装备!R296)</f>
        <v>0</v>
      </c>
      <c r="I202">
        <f>IF(装备!S296="",0,装备!S296)</f>
        <v>0</v>
      </c>
      <c r="J202">
        <f>IF(装备!C305="",0,""""&amp;装备!C305&amp;"""")</f>
        <v>0</v>
      </c>
      <c r="K202" t="str">
        <f>IF(装备!T305="","""""",""""&amp;装备!T305&amp;"""")</f>
        <v>""</v>
      </c>
      <c r="L202">
        <f>IF(装备!U305="",0,""""&amp;装备!U305&amp;"""")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IF(装备!B306="",0,"'"&amp;装备!B306&amp;"'")</f>
        <v>0</v>
      </c>
      <c r="B203">
        <f>装备!D233</f>
        <v>0</v>
      </c>
      <c r="C203">
        <f>装备!E306</f>
        <v>0</v>
      </c>
      <c r="D203">
        <f>装备!F306</f>
        <v>0</v>
      </c>
      <c r="E203">
        <f>IF(ISTEXT(装备!G297)=TRUE,"'"&amp;装备!G297&amp;"'",装备!G297)</f>
        <v>0</v>
      </c>
      <c r="F203">
        <f>IF(ISTEXT(装备!H297)=TRUE,"'"&amp;装备!H297&amp;"'",装备!H297)</f>
        <v>0</v>
      </c>
      <c r="G203">
        <f>IF(装备!I306="",0,"'"&amp;装备!I306&amp;"'")</f>
        <v>0</v>
      </c>
      <c r="H203">
        <f>IF(装备!R297="",0,装备!R297)</f>
        <v>0</v>
      </c>
      <c r="I203">
        <f>IF(装备!S297="",0,装备!S297)</f>
        <v>0</v>
      </c>
      <c r="J203">
        <f>IF(装备!C306="",0,""""&amp;装备!C306&amp;"""")</f>
        <v>0</v>
      </c>
      <c r="K203" t="str">
        <f>IF(装备!T306="","""""",""""&amp;装备!T306&amp;"""")</f>
        <v>""</v>
      </c>
      <c r="L203">
        <f>IF(装备!U306="",0,""""&amp;装备!U306&amp;"""")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IF(装备!B307="",0,"'"&amp;装备!B307&amp;"'")</f>
        <v>0</v>
      </c>
      <c r="B204">
        <f>装备!D234</f>
        <v>0</v>
      </c>
      <c r="C204">
        <f>装备!E307</f>
        <v>0</v>
      </c>
      <c r="D204">
        <f>装备!F307</f>
        <v>0</v>
      </c>
      <c r="E204">
        <f>IF(ISTEXT(装备!G298)=TRUE,"'"&amp;装备!G298&amp;"'",装备!G298)</f>
        <v>0</v>
      </c>
      <c r="F204">
        <f>IF(ISTEXT(装备!H298)=TRUE,"'"&amp;装备!H298&amp;"'",装备!H298)</f>
        <v>0</v>
      </c>
      <c r="G204">
        <f>IF(装备!I307="",0,"'"&amp;装备!I307&amp;"'")</f>
        <v>0</v>
      </c>
      <c r="H204">
        <f>IF(装备!R298="",0,装备!R298)</f>
        <v>0</v>
      </c>
      <c r="I204">
        <f>IF(装备!S298="",0,装备!S298)</f>
        <v>0</v>
      </c>
      <c r="J204">
        <f>IF(装备!C307="",0,""""&amp;装备!C307&amp;"""")</f>
        <v>0</v>
      </c>
      <c r="K204" t="str">
        <f>IF(装备!T307="","""""",""""&amp;装备!T307&amp;"""")</f>
        <v>""</v>
      </c>
      <c r="L204">
        <f>IF(装备!U307="",0,""""&amp;装备!U307&amp;"""")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IF(装备!B308="",0,"'"&amp;装备!B308&amp;"'")</f>
        <v>0</v>
      </c>
      <c r="B205">
        <f>装备!D235</f>
        <v>0</v>
      </c>
      <c r="C205">
        <f>装备!E308</f>
        <v>0</v>
      </c>
      <c r="D205">
        <f>装备!F308</f>
        <v>0</v>
      </c>
      <c r="E205">
        <f>IF(ISTEXT(装备!G299)=TRUE,"'"&amp;装备!G299&amp;"'",装备!G299)</f>
        <v>0</v>
      </c>
      <c r="F205">
        <f>IF(ISTEXT(装备!H299)=TRUE,"'"&amp;装备!H299&amp;"'",装备!H299)</f>
        <v>0</v>
      </c>
      <c r="G205">
        <f>IF(装备!I308="",0,"'"&amp;装备!I308&amp;"'")</f>
        <v>0</v>
      </c>
      <c r="H205">
        <f>IF(装备!R299="",0,装备!R299)</f>
        <v>0</v>
      </c>
      <c r="I205">
        <f>IF(装备!S299="",0,装备!S299)</f>
        <v>0</v>
      </c>
      <c r="J205">
        <f>IF(装备!C308="",0,""""&amp;装备!C308&amp;"""")</f>
        <v>0</v>
      </c>
      <c r="K205" t="str">
        <f>IF(装备!T308="","""""",""""&amp;装备!T308&amp;"""")</f>
        <v>""</v>
      </c>
      <c r="L205">
        <f>IF(装备!U308="",0,""""&amp;装备!U308&amp;"""")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IF(装备!B309="",0,"'"&amp;装备!B309&amp;"'")</f>
        <v>0</v>
      </c>
      <c r="B206">
        <f>装备!D236</f>
        <v>0</v>
      </c>
      <c r="C206">
        <f>装备!E309</f>
        <v>0</v>
      </c>
      <c r="D206">
        <f>装备!F309</f>
        <v>0</v>
      </c>
      <c r="E206">
        <f>IF(ISTEXT(装备!G300)=TRUE,"'"&amp;装备!G300&amp;"'",装备!G300)</f>
        <v>0</v>
      </c>
      <c r="F206">
        <f>IF(ISTEXT(装备!H300)=TRUE,"'"&amp;装备!H300&amp;"'",装备!H300)</f>
        <v>0</v>
      </c>
      <c r="G206">
        <f>IF(装备!I309="",0,"'"&amp;装备!I309&amp;"'")</f>
        <v>0</v>
      </c>
      <c r="H206">
        <f>IF(装备!R300="",0,装备!R300)</f>
        <v>0</v>
      </c>
      <c r="I206">
        <f>IF(装备!S300="",0,装备!S300)</f>
        <v>0</v>
      </c>
      <c r="J206">
        <f>IF(装备!C309="",0,""""&amp;装备!C309&amp;"""")</f>
        <v>0</v>
      </c>
      <c r="K206" t="str">
        <f>IF(装备!T309="","""""",""""&amp;装备!T309&amp;"""")</f>
        <v>""</v>
      </c>
      <c r="L206">
        <f>IF(装备!U309="",0,""""&amp;装备!U309&amp;"""")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IF(装备!B310="",0,"'"&amp;装备!B310&amp;"'")</f>
        <v>0</v>
      </c>
      <c r="B207">
        <f>装备!D237</f>
        <v>0</v>
      </c>
      <c r="C207">
        <f>装备!E310</f>
        <v>0</v>
      </c>
      <c r="D207">
        <f>装备!F310</f>
        <v>0</v>
      </c>
      <c r="E207">
        <f>IF(ISTEXT(装备!G301)=TRUE,"'"&amp;装备!G301&amp;"'",装备!G301)</f>
        <v>0</v>
      </c>
      <c r="F207">
        <f>IF(ISTEXT(装备!H301)=TRUE,"'"&amp;装备!H301&amp;"'",装备!H301)</f>
        <v>0</v>
      </c>
      <c r="G207">
        <f>IF(装备!I310="",0,"'"&amp;装备!I310&amp;"'")</f>
        <v>0</v>
      </c>
      <c r="H207">
        <f>IF(装备!R301="",0,装备!R301)</f>
        <v>0</v>
      </c>
      <c r="I207">
        <f>IF(装备!S301="",0,装备!S301)</f>
        <v>0</v>
      </c>
      <c r="J207">
        <f>IF(装备!C310="",0,""""&amp;装备!C310&amp;"""")</f>
        <v>0</v>
      </c>
      <c r="K207" t="str">
        <f>IF(装备!T310="","""""",""""&amp;装备!T310&amp;"""")</f>
        <v>""</v>
      </c>
      <c r="L207">
        <f>IF(装备!U310="",0,""""&amp;装备!U310&amp;"""")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IF(装备!B311="",0,"'"&amp;装备!B311&amp;"'")</f>
        <v>0</v>
      </c>
      <c r="B208">
        <f>装备!D238</f>
        <v>0</v>
      </c>
      <c r="C208">
        <f>装备!E311</f>
        <v>0</v>
      </c>
      <c r="D208">
        <f>装备!F311</f>
        <v>0</v>
      </c>
      <c r="E208">
        <f>IF(ISTEXT(装备!G302)=TRUE,"'"&amp;装备!G302&amp;"'",装备!G302)</f>
        <v>0</v>
      </c>
      <c r="F208">
        <f>IF(ISTEXT(装备!H302)=TRUE,"'"&amp;装备!H302&amp;"'",装备!H302)</f>
        <v>0</v>
      </c>
      <c r="G208">
        <f>IF(装备!I311="",0,"'"&amp;装备!I311&amp;"'")</f>
        <v>0</v>
      </c>
      <c r="H208">
        <f>IF(装备!R302="",0,装备!R302)</f>
        <v>0</v>
      </c>
      <c r="I208">
        <f>IF(装备!S302="",0,装备!S302)</f>
        <v>0</v>
      </c>
      <c r="J208">
        <f>IF(装备!C311="",0,""""&amp;装备!C311&amp;"""")</f>
        <v>0</v>
      </c>
      <c r="K208" t="str">
        <f>IF(装备!T311="","""""",""""&amp;装备!T311&amp;"""")</f>
        <v>""</v>
      </c>
      <c r="L208">
        <f>IF(装备!U311="",0,""""&amp;装备!U311&amp;"""")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IF(装备!B312="",0,"'"&amp;装备!B312&amp;"'")</f>
        <v>0</v>
      </c>
      <c r="B209">
        <f>装备!D239</f>
        <v>0</v>
      </c>
      <c r="C209">
        <f>装备!E312</f>
        <v>0</v>
      </c>
      <c r="D209">
        <f>装备!F312</f>
        <v>0</v>
      </c>
      <c r="E209">
        <f>IF(ISTEXT(装备!G303)=TRUE,"'"&amp;装备!G303&amp;"'",装备!G303)</f>
        <v>0</v>
      </c>
      <c r="F209">
        <f>IF(ISTEXT(装备!H303)=TRUE,"'"&amp;装备!H303&amp;"'",装备!H303)</f>
        <v>0</v>
      </c>
      <c r="G209">
        <f>IF(装备!I312="",0,"'"&amp;装备!I312&amp;"'")</f>
        <v>0</v>
      </c>
      <c r="H209">
        <f>IF(装备!R303="",0,装备!R303)</f>
        <v>0</v>
      </c>
      <c r="I209">
        <f>IF(装备!S303="",0,装备!S303)</f>
        <v>0</v>
      </c>
      <c r="J209">
        <f>IF(装备!C312="",0,""""&amp;装备!C312&amp;"""")</f>
        <v>0</v>
      </c>
      <c r="K209" t="str">
        <f>IF(装备!T312="","""""",""""&amp;装备!T312&amp;"""")</f>
        <v>""</v>
      </c>
      <c r="L209">
        <f>IF(装备!U312="",0,""""&amp;装备!U312&amp;"""")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IF(装备!B313="",0,"'"&amp;装备!B313&amp;"'")</f>
        <v>0</v>
      </c>
      <c r="B210">
        <f>装备!D240</f>
        <v>0</v>
      </c>
      <c r="C210">
        <f>装备!E313</f>
        <v>0</v>
      </c>
      <c r="D210">
        <f>装备!F313</f>
        <v>0</v>
      </c>
      <c r="E210">
        <f>IF(ISTEXT(装备!G304)=TRUE,"'"&amp;装备!G304&amp;"'",装备!G304)</f>
        <v>0</v>
      </c>
      <c r="F210">
        <f>IF(ISTEXT(装备!H304)=TRUE,"'"&amp;装备!H304&amp;"'",装备!H304)</f>
        <v>0</v>
      </c>
      <c r="G210">
        <f>IF(装备!I313="",0,"'"&amp;装备!I313&amp;"'")</f>
        <v>0</v>
      </c>
      <c r="H210">
        <f>IF(装备!R304="",0,装备!R304)</f>
        <v>0</v>
      </c>
      <c r="I210">
        <f>IF(装备!S304="",0,装备!S304)</f>
        <v>0</v>
      </c>
      <c r="J210">
        <f>IF(装备!C313="",0,""""&amp;装备!C313&amp;"""")</f>
        <v>0</v>
      </c>
      <c r="K210" t="str">
        <f>IF(装备!T313="","""""",""""&amp;装备!T313&amp;"""")</f>
        <v>""</v>
      </c>
      <c r="L210">
        <f>IF(装备!U313="",0,""""&amp;装备!U313&amp;"""")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IF(装备!B314="",0,"'"&amp;装备!B314&amp;"'")</f>
        <v>0</v>
      </c>
      <c r="B211">
        <f>装备!D241</f>
        <v>0</v>
      </c>
      <c r="C211">
        <f>装备!E314</f>
        <v>0</v>
      </c>
      <c r="D211">
        <f>装备!F314</f>
        <v>0</v>
      </c>
      <c r="E211">
        <f>IF(ISTEXT(装备!G305)=TRUE,"'"&amp;装备!G305&amp;"'",装备!G305)</f>
        <v>0</v>
      </c>
      <c r="F211">
        <f>IF(ISTEXT(装备!H305)=TRUE,"'"&amp;装备!H305&amp;"'",装备!H305)</f>
        <v>0</v>
      </c>
      <c r="G211">
        <f>IF(装备!I314="",0,"'"&amp;装备!I314&amp;"'")</f>
        <v>0</v>
      </c>
      <c r="H211">
        <f>IF(装备!R305="",0,装备!R305)</f>
        <v>0</v>
      </c>
      <c r="I211">
        <f>IF(装备!S305="",0,装备!S305)</f>
        <v>0</v>
      </c>
      <c r="J211">
        <f>IF(装备!C314="",0,""""&amp;装备!C314&amp;"""")</f>
        <v>0</v>
      </c>
      <c r="K211" t="str">
        <f>IF(装备!T314="","""""",""""&amp;装备!T314&amp;"""")</f>
        <v>""</v>
      </c>
      <c r="L211">
        <f>IF(装备!U314="",0,""""&amp;装备!U314&amp;"""")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IF(装备!B315="",0,"'"&amp;装备!B315&amp;"'")</f>
        <v>0</v>
      </c>
      <c r="B212">
        <f>装备!D242</f>
        <v>0</v>
      </c>
      <c r="C212">
        <f>装备!E315</f>
        <v>0</v>
      </c>
      <c r="D212">
        <f>装备!F315</f>
        <v>0</v>
      </c>
      <c r="E212">
        <f>IF(ISTEXT(装备!G306)=TRUE,"'"&amp;装备!G306&amp;"'",装备!G306)</f>
        <v>0</v>
      </c>
      <c r="F212">
        <f>IF(ISTEXT(装备!H306)=TRUE,"'"&amp;装备!H306&amp;"'",装备!H306)</f>
        <v>0</v>
      </c>
      <c r="G212">
        <f>IF(装备!I315="",0,"'"&amp;装备!I315&amp;"'")</f>
        <v>0</v>
      </c>
      <c r="H212">
        <f>IF(装备!R306="",0,装备!R306)</f>
        <v>0</v>
      </c>
      <c r="I212">
        <f>IF(装备!S306="",0,装备!S306)</f>
        <v>0</v>
      </c>
      <c r="J212">
        <f>IF(装备!C315="",0,""""&amp;装备!C315&amp;"""")</f>
        <v>0</v>
      </c>
      <c r="K212" t="str">
        <f>IF(装备!T315="","""""",""""&amp;装备!T315&amp;"""")</f>
        <v>""</v>
      </c>
      <c r="L212">
        <f>IF(装备!U315="",0,""""&amp;装备!U315&amp;"""")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IF(装备!B316="",0,"'"&amp;装备!B316&amp;"'")</f>
        <v>0</v>
      </c>
      <c r="B213">
        <f>装备!D243</f>
        <v>0</v>
      </c>
      <c r="C213">
        <f>装备!E316</f>
        <v>0</v>
      </c>
      <c r="D213">
        <f>装备!F316</f>
        <v>0</v>
      </c>
      <c r="E213">
        <f>IF(ISTEXT(装备!G307)=TRUE,"'"&amp;装备!G307&amp;"'",装备!G307)</f>
        <v>0</v>
      </c>
      <c r="F213">
        <f>IF(ISTEXT(装备!H307)=TRUE,"'"&amp;装备!H307&amp;"'",装备!H307)</f>
        <v>0</v>
      </c>
      <c r="G213">
        <f>IF(装备!I316="",0,"'"&amp;装备!I316&amp;"'")</f>
        <v>0</v>
      </c>
      <c r="H213">
        <f>IF(装备!R307="",0,装备!R307)</f>
        <v>0</v>
      </c>
      <c r="I213">
        <f>IF(装备!S307="",0,装备!S307)</f>
        <v>0</v>
      </c>
      <c r="J213">
        <f>IF(装备!C316="",0,""""&amp;装备!C316&amp;"""")</f>
        <v>0</v>
      </c>
      <c r="K213" t="str">
        <f>IF(装备!T316="","""""",""""&amp;装备!T316&amp;"""")</f>
        <v>""</v>
      </c>
      <c r="L213">
        <f>IF(装备!U316="",0,""""&amp;装备!U316&amp;"""")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IF(装备!B317="",0,"'"&amp;装备!B317&amp;"'")</f>
        <v>0</v>
      </c>
      <c r="B214">
        <f>装备!D244</f>
        <v>0</v>
      </c>
      <c r="C214">
        <f>装备!E317</f>
        <v>0</v>
      </c>
      <c r="D214">
        <f>装备!F317</f>
        <v>0</v>
      </c>
      <c r="E214">
        <f>IF(ISTEXT(装备!G308)=TRUE,"'"&amp;装备!G308&amp;"'",装备!G308)</f>
        <v>0</v>
      </c>
      <c r="F214">
        <f>IF(ISTEXT(装备!H308)=TRUE,"'"&amp;装备!H308&amp;"'",装备!H308)</f>
        <v>0</v>
      </c>
      <c r="G214">
        <f>IF(装备!I317="",0,"'"&amp;装备!I317&amp;"'")</f>
        <v>0</v>
      </c>
      <c r="H214">
        <f>IF(装备!R308="",0,装备!R308)</f>
        <v>0</v>
      </c>
      <c r="I214">
        <f>IF(装备!S308="",0,装备!S308)</f>
        <v>0</v>
      </c>
      <c r="J214">
        <f>IF(装备!C317="",0,""""&amp;装备!C317&amp;"""")</f>
        <v>0</v>
      </c>
      <c r="K214" t="str">
        <f>IF(装备!T317="","""""",""""&amp;装备!T317&amp;"""")</f>
        <v>""</v>
      </c>
      <c r="L214">
        <f>IF(装备!U317="",0,""""&amp;装备!U317&amp;"""")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IF(装备!B318="",0,"'"&amp;装备!B318&amp;"'")</f>
        <v>0</v>
      </c>
      <c r="B215">
        <f>装备!D245</f>
        <v>0</v>
      </c>
      <c r="C215">
        <f>装备!E318</f>
        <v>0</v>
      </c>
      <c r="D215">
        <f>装备!F318</f>
        <v>0</v>
      </c>
      <c r="E215">
        <f>IF(ISTEXT(装备!G309)=TRUE,"'"&amp;装备!G309&amp;"'",装备!G309)</f>
        <v>0</v>
      </c>
      <c r="F215">
        <f>IF(ISTEXT(装备!H309)=TRUE,"'"&amp;装备!H309&amp;"'",装备!H309)</f>
        <v>0</v>
      </c>
      <c r="G215">
        <f>IF(装备!I318="",0,"'"&amp;装备!I318&amp;"'")</f>
        <v>0</v>
      </c>
      <c r="H215">
        <f>IF(装备!R309="",0,装备!R309)</f>
        <v>0</v>
      </c>
      <c r="I215">
        <f>IF(装备!S309="",0,装备!S309)</f>
        <v>0</v>
      </c>
      <c r="J215">
        <f>IF(装备!C318="",0,""""&amp;装备!C318&amp;"""")</f>
        <v>0</v>
      </c>
      <c r="K215" t="str">
        <f>IF(装备!T318="","""""",""""&amp;装备!T318&amp;"""")</f>
        <v>""</v>
      </c>
      <c r="L215">
        <f>IF(装备!U318="",0,""""&amp;装备!U318&amp;"""")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IF(装备!B319="",0,"'"&amp;装备!B319&amp;"'")</f>
        <v>0</v>
      </c>
      <c r="B216">
        <f>装备!D246</f>
        <v>0</v>
      </c>
      <c r="C216">
        <f>装备!E319</f>
        <v>0</v>
      </c>
      <c r="D216">
        <f>装备!F319</f>
        <v>0</v>
      </c>
      <c r="E216">
        <f>IF(ISTEXT(装备!G310)=TRUE,"'"&amp;装备!G310&amp;"'",装备!G310)</f>
        <v>0</v>
      </c>
      <c r="F216">
        <f>IF(ISTEXT(装备!H310)=TRUE,"'"&amp;装备!H310&amp;"'",装备!H310)</f>
        <v>0</v>
      </c>
      <c r="G216">
        <f>IF(装备!I319="",0,"'"&amp;装备!I319&amp;"'")</f>
        <v>0</v>
      </c>
      <c r="H216">
        <f>IF(装备!R310="",0,装备!R310)</f>
        <v>0</v>
      </c>
      <c r="I216">
        <f>IF(装备!S310="",0,装备!S310)</f>
        <v>0</v>
      </c>
      <c r="J216">
        <f>IF(装备!C319="",0,""""&amp;装备!C319&amp;"""")</f>
        <v>0</v>
      </c>
      <c r="K216" t="str">
        <f>IF(装备!T319="","""""",""""&amp;装备!T319&amp;"""")</f>
        <v>""</v>
      </c>
      <c r="L216">
        <f>IF(装备!U319="",0,""""&amp;装备!U319&amp;"""")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IF(装备!B320="",0,"'"&amp;装备!B320&amp;"'")</f>
        <v>0</v>
      </c>
      <c r="B217">
        <f>装备!D247</f>
        <v>0</v>
      </c>
      <c r="C217">
        <f>装备!E320</f>
        <v>0</v>
      </c>
      <c r="D217">
        <f>装备!F320</f>
        <v>0</v>
      </c>
      <c r="E217">
        <f>IF(ISTEXT(装备!G311)=TRUE,"'"&amp;装备!G311&amp;"'",装备!G311)</f>
        <v>0</v>
      </c>
      <c r="F217">
        <f>IF(ISTEXT(装备!H311)=TRUE,"'"&amp;装备!H311&amp;"'",装备!H311)</f>
        <v>0</v>
      </c>
      <c r="G217">
        <f>IF(装备!I320="",0,"'"&amp;装备!I320&amp;"'")</f>
        <v>0</v>
      </c>
      <c r="H217">
        <f>IF(装备!R311="",0,装备!R311)</f>
        <v>0</v>
      </c>
      <c r="I217">
        <f>IF(装备!S311="",0,装备!S311)</f>
        <v>0</v>
      </c>
      <c r="J217">
        <f>IF(装备!C320="",0,""""&amp;装备!C320&amp;"""")</f>
        <v>0</v>
      </c>
      <c r="K217" t="str">
        <f>IF(装备!T320="","""""",""""&amp;装备!T320&amp;"""")</f>
        <v>""</v>
      </c>
      <c r="L217">
        <f>IF(装备!U320="",0,""""&amp;装备!U320&amp;"""")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IF(装备!B321="",0,"'"&amp;装备!B321&amp;"'")</f>
        <v>0</v>
      </c>
      <c r="B218">
        <f>装备!D248</f>
        <v>0</v>
      </c>
      <c r="C218">
        <f>装备!E321</f>
        <v>0</v>
      </c>
      <c r="D218">
        <f>装备!F321</f>
        <v>0</v>
      </c>
      <c r="E218">
        <f>IF(ISTEXT(装备!G312)=TRUE,"'"&amp;装备!G312&amp;"'",装备!G312)</f>
        <v>0</v>
      </c>
      <c r="F218">
        <f>IF(ISTEXT(装备!H312)=TRUE,"'"&amp;装备!H312&amp;"'",装备!H312)</f>
        <v>0</v>
      </c>
      <c r="G218">
        <f>IF(装备!I321="",0,"'"&amp;装备!I321&amp;"'")</f>
        <v>0</v>
      </c>
      <c r="H218">
        <f>IF(装备!R312="",0,装备!R312)</f>
        <v>0</v>
      </c>
      <c r="I218">
        <f>IF(装备!S312="",0,装备!S312)</f>
        <v>0</v>
      </c>
      <c r="J218">
        <f>IF(装备!C321="",0,""""&amp;装备!C321&amp;"""")</f>
        <v>0</v>
      </c>
      <c r="K218" t="str">
        <f>IF(装备!T321="","""""",""""&amp;装备!T321&amp;"""")</f>
        <v>""</v>
      </c>
      <c r="L218">
        <f>IF(装备!U321="",0,""""&amp;装备!U321&amp;"""")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IF(装备!B322="",0,"'"&amp;装备!B322&amp;"'")</f>
        <v>0</v>
      </c>
      <c r="B219">
        <f>装备!D249</f>
        <v>0</v>
      </c>
      <c r="C219">
        <f>装备!E322</f>
        <v>0</v>
      </c>
      <c r="D219">
        <f>装备!F322</f>
        <v>0</v>
      </c>
      <c r="E219">
        <f>IF(ISTEXT(装备!G313)=TRUE,"'"&amp;装备!G313&amp;"'",装备!G313)</f>
        <v>0</v>
      </c>
      <c r="F219">
        <f>IF(ISTEXT(装备!H313)=TRUE,"'"&amp;装备!H313&amp;"'",装备!H313)</f>
        <v>0</v>
      </c>
      <c r="G219">
        <f>IF(装备!I322="",0,"'"&amp;装备!I322&amp;"'")</f>
        <v>0</v>
      </c>
      <c r="H219">
        <f>IF(装备!R313="",0,装备!R313)</f>
        <v>0</v>
      </c>
      <c r="I219">
        <f>IF(装备!S313="",0,装备!S313)</f>
        <v>0</v>
      </c>
      <c r="J219">
        <f>IF(装备!C322="",0,""""&amp;装备!C322&amp;"""")</f>
        <v>0</v>
      </c>
      <c r="K219" t="str">
        <f>IF(装备!T322="","""""",""""&amp;装备!T322&amp;"""")</f>
        <v>""</v>
      </c>
      <c r="L219">
        <f>IF(装备!U322="",0,""""&amp;装备!U322&amp;"""")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IF(装备!B323="",0,"'"&amp;装备!B323&amp;"'")</f>
        <v>0</v>
      </c>
      <c r="B220">
        <f>装备!D250</f>
        <v>0</v>
      </c>
      <c r="C220">
        <f>装备!E323</f>
        <v>0</v>
      </c>
      <c r="D220">
        <f>装备!F323</f>
        <v>0</v>
      </c>
      <c r="E220">
        <f>IF(ISTEXT(装备!G314)=TRUE,"'"&amp;装备!G314&amp;"'",装备!G314)</f>
        <v>0</v>
      </c>
      <c r="F220">
        <f>IF(ISTEXT(装备!H314)=TRUE,"'"&amp;装备!H314&amp;"'",装备!H314)</f>
        <v>0</v>
      </c>
      <c r="G220">
        <f>IF(装备!I323="",0,"'"&amp;装备!I323&amp;"'")</f>
        <v>0</v>
      </c>
      <c r="H220">
        <f>IF(装备!R314="",0,装备!R314)</f>
        <v>0</v>
      </c>
      <c r="I220">
        <f>IF(装备!S314="",0,装备!S314)</f>
        <v>0</v>
      </c>
      <c r="J220">
        <f>IF(装备!C323="",0,""""&amp;装备!C323&amp;"""")</f>
        <v>0</v>
      </c>
      <c r="K220" t="str">
        <f>IF(装备!T323="","""""",""""&amp;装备!T323&amp;"""")</f>
        <v>""</v>
      </c>
      <c r="L220">
        <f>IF(装备!U323="",0,""""&amp;装备!U323&amp;"""")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IF(装备!B324="",0,"'"&amp;装备!B324&amp;"'")</f>
        <v>0</v>
      </c>
      <c r="B221">
        <f>装备!D251</f>
        <v>0</v>
      </c>
      <c r="C221">
        <f>装备!E324</f>
        <v>0</v>
      </c>
      <c r="D221">
        <f>装备!F324</f>
        <v>0</v>
      </c>
      <c r="E221">
        <f>IF(ISTEXT(装备!G315)=TRUE,"'"&amp;装备!G315&amp;"'",装备!G315)</f>
        <v>0</v>
      </c>
      <c r="F221">
        <f>IF(ISTEXT(装备!H315)=TRUE,"'"&amp;装备!H315&amp;"'",装备!H315)</f>
        <v>0</v>
      </c>
      <c r="G221">
        <f>IF(装备!I324="",0,"'"&amp;装备!I324&amp;"'")</f>
        <v>0</v>
      </c>
      <c r="H221">
        <f>IF(装备!R315="",0,装备!R315)</f>
        <v>0</v>
      </c>
      <c r="I221">
        <f>IF(装备!S315="",0,装备!S315)</f>
        <v>0</v>
      </c>
      <c r="J221">
        <f>IF(装备!C324="",0,""""&amp;装备!C324&amp;"""")</f>
        <v>0</v>
      </c>
      <c r="K221" t="str">
        <f>IF(装备!T324="","""""",""""&amp;装备!T324&amp;"""")</f>
        <v>""</v>
      </c>
      <c r="L221">
        <f>IF(装备!U324="",0,""""&amp;装备!U324&amp;"""")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IF(装备!B325="",0,"'"&amp;装备!B325&amp;"'")</f>
        <v>0</v>
      </c>
      <c r="B222">
        <f>装备!D252</f>
        <v>0</v>
      </c>
      <c r="C222">
        <f>装备!E325</f>
        <v>0</v>
      </c>
      <c r="D222">
        <f>装备!F325</f>
        <v>0</v>
      </c>
      <c r="E222">
        <f>IF(ISTEXT(装备!G316)=TRUE,"'"&amp;装备!G316&amp;"'",装备!G316)</f>
        <v>0</v>
      </c>
      <c r="F222">
        <f>IF(ISTEXT(装备!H316)=TRUE,"'"&amp;装备!H316&amp;"'",装备!H316)</f>
        <v>0</v>
      </c>
      <c r="G222">
        <f>IF(装备!I325="",0,"'"&amp;装备!I325&amp;"'")</f>
        <v>0</v>
      </c>
      <c r="H222">
        <f>IF(装备!R316="",0,装备!R316)</f>
        <v>0</v>
      </c>
      <c r="I222">
        <f>IF(装备!S316="",0,装备!S316)</f>
        <v>0</v>
      </c>
      <c r="J222">
        <f>IF(装备!C325="",0,""""&amp;装备!C325&amp;"""")</f>
        <v>0</v>
      </c>
      <c r="K222" t="str">
        <f>IF(装备!T325="","""""",""""&amp;装备!T325&amp;"""")</f>
        <v>""</v>
      </c>
      <c r="L222">
        <f>IF(装备!U325="",0,""""&amp;装备!U325&amp;"""")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IF(装备!B326="",0,"'"&amp;装备!B326&amp;"'")</f>
        <v>0</v>
      </c>
      <c r="B223">
        <f>装备!D253</f>
        <v>0</v>
      </c>
      <c r="C223">
        <f>装备!E326</f>
        <v>0</v>
      </c>
      <c r="D223">
        <f>装备!F326</f>
        <v>0</v>
      </c>
      <c r="E223">
        <f>IF(ISTEXT(装备!G317)=TRUE,"'"&amp;装备!G317&amp;"'",装备!G317)</f>
        <v>0</v>
      </c>
      <c r="F223">
        <f>IF(ISTEXT(装备!H317)=TRUE,"'"&amp;装备!H317&amp;"'",装备!H317)</f>
        <v>0</v>
      </c>
      <c r="G223">
        <f>IF(装备!I326="",0,"'"&amp;装备!I326&amp;"'")</f>
        <v>0</v>
      </c>
      <c r="H223">
        <f>IF(装备!R317="",0,装备!R317)</f>
        <v>0</v>
      </c>
      <c r="I223">
        <f>IF(装备!S317="",0,装备!S317)</f>
        <v>0</v>
      </c>
      <c r="J223">
        <f>IF(装备!C326="",0,""""&amp;装备!C326&amp;"""")</f>
        <v>0</v>
      </c>
      <c r="K223" t="str">
        <f>IF(装备!T326="","""""",""""&amp;装备!T326&amp;"""")</f>
        <v>""</v>
      </c>
      <c r="L223">
        <f>IF(装备!U326="",0,""""&amp;装备!U326&amp;"""")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IF(装备!B327="",0,"'"&amp;装备!B327&amp;"'")</f>
        <v>0</v>
      </c>
      <c r="B224">
        <f>装备!D254</f>
        <v>0</v>
      </c>
      <c r="C224">
        <f>装备!E327</f>
        <v>0</v>
      </c>
      <c r="D224">
        <f>装备!F327</f>
        <v>0</v>
      </c>
      <c r="E224">
        <f>IF(ISTEXT(装备!G318)=TRUE,"'"&amp;装备!G318&amp;"'",装备!G318)</f>
        <v>0</v>
      </c>
      <c r="F224">
        <f>IF(ISTEXT(装备!H318)=TRUE,"'"&amp;装备!H318&amp;"'",装备!H318)</f>
        <v>0</v>
      </c>
      <c r="G224">
        <f>IF(装备!I327="",0,"'"&amp;装备!I327&amp;"'")</f>
        <v>0</v>
      </c>
      <c r="H224">
        <f>IF(装备!R318="",0,装备!R318)</f>
        <v>0</v>
      </c>
      <c r="I224">
        <f>IF(装备!S318="",0,装备!S318)</f>
        <v>0</v>
      </c>
      <c r="J224">
        <f>IF(装备!C327="",0,""""&amp;装备!C327&amp;"""")</f>
        <v>0</v>
      </c>
      <c r="K224" t="str">
        <f>IF(装备!T327="","""""",""""&amp;装备!T327&amp;"""")</f>
        <v>""</v>
      </c>
      <c r="L224">
        <f>IF(装备!U327="",0,""""&amp;装备!U327&amp;"""")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IF(装备!B328="",0,"'"&amp;装备!B328&amp;"'")</f>
        <v>0</v>
      </c>
      <c r="B225">
        <f>装备!D255</f>
        <v>0</v>
      </c>
      <c r="C225">
        <f>装备!E328</f>
        <v>0</v>
      </c>
      <c r="D225">
        <f>装备!F328</f>
        <v>0</v>
      </c>
      <c r="E225">
        <f>IF(ISTEXT(装备!G319)=TRUE,"'"&amp;装备!G319&amp;"'",装备!G319)</f>
        <v>0</v>
      </c>
      <c r="F225">
        <f>IF(ISTEXT(装备!H319)=TRUE,"'"&amp;装备!H319&amp;"'",装备!H319)</f>
        <v>0</v>
      </c>
      <c r="G225">
        <f>IF(装备!I328="",0,"'"&amp;装备!I328&amp;"'")</f>
        <v>0</v>
      </c>
      <c r="H225">
        <f>IF(装备!R319="",0,装备!R319)</f>
        <v>0</v>
      </c>
      <c r="I225">
        <f>IF(装备!S319="",0,装备!S319)</f>
        <v>0</v>
      </c>
      <c r="J225">
        <f>IF(装备!C328="",0,""""&amp;装备!C328&amp;"""")</f>
        <v>0</v>
      </c>
      <c r="K225" t="str">
        <f>IF(装备!T328="","""""",""""&amp;装备!T328&amp;"""")</f>
        <v>""</v>
      </c>
      <c r="L225">
        <f>IF(装备!U328="",0,""""&amp;装备!U328&amp;"""")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673</v>
      </c>
      <c r="CD1" s="3" t="s">
        <v>673</v>
      </c>
      <c r="CE1" s="3" t="s">
        <v>673</v>
      </c>
      <c r="CF1" s="3" t="s">
        <v>673</v>
      </c>
      <c r="CH1" s="3" t="s">
        <v>673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 t="str">
        <f>装备!BO2</f>
        <v>杀敌金币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 t="str">
        <f>装备!BS2</f>
        <v>每秒金币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674</v>
      </c>
      <c r="CC2" s="3" t="s">
        <v>675</v>
      </c>
      <c r="CD2" s="3" t="s">
        <v>676</v>
      </c>
      <c r="CE2" s="3" t="s">
        <v>677</v>
      </c>
      <c r="CF2" s="3" t="s">
        <v>678</v>
      </c>
      <c r="CG2" s="3" t="s">
        <v>679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4000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InitUnitState('E006',12000,4000,0,0,0,0,0,0,0,0)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32000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InitUnitState('E011',60000,32000,0,0,0,0,0,0,0,0)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160000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InitUnitState('E016',300000,160000,0,0,0,0,0,0,0,0)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250000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InitUnitState('E021',800000,250000,0,0,0,0,0,0,0,0)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3600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InitUnitState('E106',3780,0,0,0,12600,3600,252,0,55,6)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45000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InitUnitState('E111',27000,0,0,0,90000,45000,1800,0,80,9)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81000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InitUnitState('E116',81000,0,0,0,270000,81000,5400,0,105,12)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225000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InitUnitState('E121',202500,0,0,0,675000,225000,13500,0,130,15)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680</v>
      </c>
      <c r="B1" s="3" t="s">
        <v>681</v>
      </c>
      <c r="C1" s="3" t="s">
        <v>682</v>
      </c>
      <c r="D1" s="3" t="s">
        <v>683</v>
      </c>
      <c r="E1" s="3" t="s">
        <v>684</v>
      </c>
    </row>
    <row r="2" spans="1:11" ht="16.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633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634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636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637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638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639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640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641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642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643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644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646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647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649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650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651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652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653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655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656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657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658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660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661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662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664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665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102</v>
      </c>
      <c r="E1" t="s">
        <v>103</v>
      </c>
      <c r="F1" t="s">
        <v>685</v>
      </c>
      <c r="G1" t="s">
        <v>686</v>
      </c>
      <c r="I1" t="s">
        <v>687</v>
      </c>
      <c r="J1">
        <v>11</v>
      </c>
      <c r="P1" t="s">
        <v>688</v>
      </c>
      <c r="U1" t="s">
        <v>689</v>
      </c>
      <c r="V1" t="s">
        <v>690</v>
      </c>
      <c r="X1" s="136" t="s">
        <v>815</v>
      </c>
    </row>
    <row r="2" spans="1:25">
      <c r="A2" t="s">
        <v>691</v>
      </c>
      <c r="D2">
        <v>800</v>
      </c>
      <c r="E2" s="1">
        <v>1</v>
      </c>
      <c r="F2" s="2">
        <f>D2/E2</f>
        <v>800</v>
      </c>
      <c r="I2" t="s">
        <v>692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693</v>
      </c>
      <c r="D3">
        <v>800</v>
      </c>
      <c r="E3" s="1">
        <v>1</v>
      </c>
      <c r="F3" s="2">
        <f t="shared" ref="F3:F25" si="1">D3/E3</f>
        <v>800</v>
      </c>
      <c r="I3" t="s">
        <v>694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695</v>
      </c>
      <c r="D4">
        <v>800</v>
      </c>
      <c r="E4" s="1">
        <v>1</v>
      </c>
      <c r="F4" s="2">
        <f t="shared" si="1"/>
        <v>800</v>
      </c>
      <c r="I4" t="s">
        <v>696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697</v>
      </c>
      <c r="D5">
        <v>800</v>
      </c>
      <c r="E5" s="1">
        <v>1</v>
      </c>
      <c r="F5" s="2">
        <f t="shared" si="1"/>
        <v>800</v>
      </c>
      <c r="I5" t="s">
        <v>698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699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700</v>
      </c>
      <c r="D7">
        <v>2500</v>
      </c>
      <c r="E7" s="1">
        <v>0.85</v>
      </c>
      <c r="F7" s="2">
        <f t="shared" si="1"/>
        <v>2941.1764705882356</v>
      </c>
      <c r="J7" t="s">
        <v>701</v>
      </c>
      <c r="K7" s="136" t="s">
        <v>811</v>
      </c>
      <c r="L7" s="136" t="s">
        <v>812</v>
      </c>
      <c r="M7" t="s">
        <v>702</v>
      </c>
      <c r="N7" t="s">
        <v>703</v>
      </c>
      <c r="P7">
        <f t="shared" si="0"/>
        <v>85</v>
      </c>
    </row>
    <row r="8" spans="1:25">
      <c r="A8" t="s">
        <v>704</v>
      </c>
      <c r="D8">
        <v>2500</v>
      </c>
      <c r="E8" s="1">
        <v>0.85</v>
      </c>
      <c r="F8" s="2">
        <f t="shared" si="1"/>
        <v>2941.1764705882356</v>
      </c>
      <c r="I8" t="s">
        <v>705</v>
      </c>
      <c r="J8" s="2">
        <f>G6/J$1/W2</f>
        <v>29.090909090909093</v>
      </c>
      <c r="K8" s="2">
        <f>D2/J$1/W2*J$2</f>
        <v>5.8181818181818192</v>
      </c>
      <c r="L8" s="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706</v>
      </c>
      <c r="D9">
        <v>2500</v>
      </c>
      <c r="E9" s="1">
        <v>0.85</v>
      </c>
      <c r="F9" s="2">
        <f t="shared" si="1"/>
        <v>2941.1764705882356</v>
      </c>
      <c r="I9" t="s">
        <v>707</v>
      </c>
      <c r="J9" s="2">
        <f>G11/J$1/W3</f>
        <v>35.650623885918009</v>
      </c>
      <c r="K9" s="2">
        <f>D6/J$1/W3*J$2</f>
        <v>6.0606060606060614</v>
      </c>
      <c r="L9" s="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708</v>
      </c>
      <c r="D10">
        <v>2500</v>
      </c>
      <c r="E10" s="1">
        <v>0.85</v>
      </c>
      <c r="F10" s="2">
        <f t="shared" si="1"/>
        <v>2941.1764705882356</v>
      </c>
      <c r="I10" t="s">
        <v>709</v>
      </c>
      <c r="J10" s="2">
        <f>G16/J$1/W4</f>
        <v>75.560802833530119</v>
      </c>
      <c r="K10" s="2">
        <f>D11/J$1/W4*J$2</f>
        <v>13.223140495867771</v>
      </c>
      <c r="L10" s="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710</v>
      </c>
      <c r="D11">
        <v>10000</v>
      </c>
      <c r="E11" s="1">
        <v>1</v>
      </c>
      <c r="F11" s="2">
        <f t="shared" si="1"/>
        <v>10000</v>
      </c>
      <c r="G11">
        <f>SUM(F7:F10)</f>
        <v>11764.705882352942</v>
      </c>
      <c r="I11" t="s">
        <v>711</v>
      </c>
      <c r="J11" s="2">
        <f>G21/J$1/W5</f>
        <v>134.6801346801347</v>
      </c>
      <c r="K11" s="2">
        <f>D16/J$1/W5*J$2</f>
        <v>24.242424242424246</v>
      </c>
      <c r="L11" s="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712</v>
      </c>
      <c r="D12">
        <v>8000</v>
      </c>
      <c r="E12" s="1">
        <v>0.7</v>
      </c>
      <c r="F12" s="2">
        <f t="shared" si="1"/>
        <v>11428.571428571429</v>
      </c>
      <c r="I12" t="s">
        <v>713</v>
      </c>
      <c r="J12" s="2">
        <f>G26/J$1/W6</f>
        <v>169.69696969696972</v>
      </c>
      <c r="K12" s="2">
        <f>D21/J$1/W6*J$2</f>
        <v>16.969696969696972</v>
      </c>
      <c r="L12" s="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714</v>
      </c>
      <c r="D13">
        <v>8000</v>
      </c>
      <c r="E13" s="1">
        <v>0.7</v>
      </c>
      <c r="F13" s="2">
        <f t="shared" si="1"/>
        <v>11428.571428571429</v>
      </c>
      <c r="J13" s="2"/>
      <c r="M13" t="s">
        <v>715</v>
      </c>
      <c r="N13">
        <f>SUM(N8:N12)</f>
        <v>1061280</v>
      </c>
      <c r="P13">
        <f t="shared" si="0"/>
        <v>70</v>
      </c>
    </row>
    <row r="14" spans="1:25">
      <c r="A14" t="s">
        <v>716</v>
      </c>
      <c r="D14">
        <v>8000</v>
      </c>
      <c r="E14" s="1">
        <v>0.7</v>
      </c>
      <c r="F14" s="2">
        <f t="shared" si="1"/>
        <v>11428.571428571429</v>
      </c>
      <c r="P14">
        <f t="shared" si="0"/>
        <v>70</v>
      </c>
    </row>
    <row r="15" spans="1:25">
      <c r="A15" t="s">
        <v>717</v>
      </c>
      <c r="D15">
        <v>8000</v>
      </c>
      <c r="E15" s="1">
        <v>0.7</v>
      </c>
      <c r="F15" s="2">
        <f t="shared" si="1"/>
        <v>11428.571428571429</v>
      </c>
      <c r="P15">
        <f t="shared" si="0"/>
        <v>70</v>
      </c>
    </row>
    <row r="16" spans="1:25">
      <c r="A16" t="s">
        <v>718</v>
      </c>
      <c r="D16">
        <v>30000</v>
      </c>
      <c r="E16" s="1">
        <v>1</v>
      </c>
      <c r="F16" s="2">
        <f t="shared" si="1"/>
        <v>30000</v>
      </c>
      <c r="G16">
        <f>SUM(F12:F15)</f>
        <v>45714.285714285717</v>
      </c>
      <c r="J16">
        <v>1000</v>
      </c>
      <c r="K16" s="1">
        <v>1</v>
      </c>
      <c r="P16">
        <f t="shared" si="0"/>
        <v>100</v>
      </c>
    </row>
    <row r="17" spans="1:16">
      <c r="A17" t="s">
        <v>719</v>
      </c>
      <c r="D17">
        <v>20000</v>
      </c>
      <c r="E17" s="1">
        <v>0.6</v>
      </c>
      <c r="F17" s="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720</v>
      </c>
      <c r="D18">
        <v>20000</v>
      </c>
      <c r="E18" s="1">
        <v>0.6</v>
      </c>
      <c r="F18" s="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721</v>
      </c>
      <c r="D19">
        <v>20000</v>
      </c>
      <c r="E19" s="1">
        <v>0.6</v>
      </c>
      <c r="F19" s="2">
        <f t="shared" si="1"/>
        <v>33333.333333333336</v>
      </c>
      <c r="J19">
        <v>2500</v>
      </c>
      <c r="K19" s="1">
        <v>0.85</v>
      </c>
      <c r="P19">
        <f t="shared" si="0"/>
        <v>60</v>
      </c>
    </row>
    <row r="20" spans="1:16">
      <c r="A20" t="s">
        <v>722</v>
      </c>
      <c r="D20">
        <v>20000</v>
      </c>
      <c r="E20" s="1">
        <v>0.6</v>
      </c>
      <c r="F20" s="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723</v>
      </c>
      <c r="D21">
        <v>35000</v>
      </c>
      <c r="E21" s="1">
        <v>1</v>
      </c>
      <c r="F21" s="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724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725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726</v>
      </c>
      <c r="D24">
        <v>35000</v>
      </c>
      <c r="E24" s="1">
        <v>0.5</v>
      </c>
      <c r="F24" s="2">
        <f t="shared" si="1"/>
        <v>70000</v>
      </c>
      <c r="J24" s="136">
        <v>30000</v>
      </c>
      <c r="P24">
        <f t="shared" si="0"/>
        <v>50</v>
      </c>
    </row>
    <row r="25" spans="1:16">
      <c r="A25" t="s">
        <v>727</v>
      </c>
      <c r="D25">
        <v>35000</v>
      </c>
      <c r="E25" s="1">
        <v>0.5</v>
      </c>
      <c r="F25" s="2">
        <f t="shared" si="1"/>
        <v>70000</v>
      </c>
      <c r="J25" s="136">
        <v>20000</v>
      </c>
      <c r="K25" s="1">
        <v>0.55000000000000004</v>
      </c>
      <c r="P25">
        <f t="shared" si="0"/>
        <v>50</v>
      </c>
    </row>
    <row r="26" spans="1:16">
      <c r="A26" t="s">
        <v>728</v>
      </c>
      <c r="E26" t="s">
        <v>729</v>
      </c>
      <c r="F26" s="2">
        <f>SUM(F2:F25)</f>
        <v>551512.32492997206</v>
      </c>
      <c r="G26">
        <f>SUM(F22:F25)</f>
        <v>280000</v>
      </c>
      <c r="J26" s="136">
        <v>20000</v>
      </c>
    </row>
    <row r="27" spans="1:16">
      <c r="E27" t="s">
        <v>730</v>
      </c>
      <c r="F27">
        <f>F26*2</f>
        <v>1103024.6498599441</v>
      </c>
    </row>
    <row r="29" spans="1:16">
      <c r="K29" s="136"/>
    </row>
    <row r="30" spans="1:16">
      <c r="J30" s="136"/>
      <c r="K30" s="136"/>
    </row>
    <row r="31" spans="1:16">
      <c r="A31" s="3" t="s">
        <v>731</v>
      </c>
      <c r="B31" s="3" t="s">
        <v>102</v>
      </c>
      <c r="C31" s="3" t="s">
        <v>112</v>
      </c>
      <c r="F31" s="136" t="s">
        <v>821</v>
      </c>
      <c r="J31" s="136"/>
      <c r="K31" s="136"/>
    </row>
    <row r="32" spans="1:16">
      <c r="A32">
        <v>1</v>
      </c>
      <c r="B32">
        <v>2000</v>
      </c>
      <c r="C32">
        <v>1</v>
      </c>
      <c r="F32" s="136" t="s">
        <v>822</v>
      </c>
      <c r="G32" s="136" t="s">
        <v>823</v>
      </c>
      <c r="H32" s="136" t="s">
        <v>824</v>
      </c>
      <c r="J32" s="136" t="s">
        <v>825</v>
      </c>
      <c r="K32" s="136" t="s">
        <v>830</v>
      </c>
      <c r="L32" s="136" t="s">
        <v>831</v>
      </c>
      <c r="M32" s="136" t="s">
        <v>824</v>
      </c>
      <c r="N32" s="136" t="s">
        <v>826</v>
      </c>
      <c r="O32" s="136" t="s">
        <v>827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136">
        <v>1</v>
      </c>
      <c r="K33" s="136">
        <v>10</v>
      </c>
      <c r="L33" s="136" t="s">
        <v>826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136"/>
      <c r="J34">
        <v>2</v>
      </c>
      <c r="K34" s="136">
        <v>300</v>
      </c>
      <c r="L34" s="136" t="s">
        <v>826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136">
        <v>100</v>
      </c>
      <c r="L35" s="136" t="s">
        <v>827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0.58000000000000007</v>
      </c>
      <c r="J36">
        <v>4</v>
      </c>
      <c r="K36" s="136">
        <v>1500</v>
      </c>
      <c r="L36" s="136" t="s">
        <v>826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136">
        <v>5</v>
      </c>
      <c r="K37" s="136">
        <v>1</v>
      </c>
      <c r="L37" s="136" t="s">
        <v>828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136">
        <v>6</v>
      </c>
      <c r="K38" s="136">
        <v>500</v>
      </c>
      <c r="L38" s="136" t="s">
        <v>827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136">
        <v>7</v>
      </c>
      <c r="K39" s="136">
        <v>3000</v>
      </c>
      <c r="L39" s="136" t="s">
        <v>826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1.6400000000000001</v>
      </c>
      <c r="J40" s="136">
        <v>8</v>
      </c>
      <c r="K40" s="136">
        <v>1000</v>
      </c>
      <c r="L40" s="136" t="s">
        <v>827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1.9800000000000002</v>
      </c>
      <c r="K41" s="136"/>
      <c r="M41" s="136" t="s">
        <v>829</v>
      </c>
      <c r="N41">
        <f>SUM(N33:N40)</f>
        <v>28860</v>
      </c>
      <c r="O41">
        <f>SUM(O33:O40)</f>
        <v>9600</v>
      </c>
    </row>
    <row r="42" spans="1:15">
      <c r="A42" s="3" t="s">
        <v>729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136"/>
    </row>
    <row r="43" spans="1:15">
      <c r="G43" s="1"/>
      <c r="H43" s="1"/>
    </row>
    <row r="44" spans="1:15">
      <c r="G44" s="1"/>
      <c r="H44" s="1"/>
      <c r="J44" s="136"/>
      <c r="K44" s="136"/>
    </row>
    <row r="45" spans="1:15">
      <c r="A45" s="136" t="s">
        <v>816</v>
      </c>
      <c r="B45" s="136" t="s">
        <v>817</v>
      </c>
      <c r="C45" s="136" t="s">
        <v>818</v>
      </c>
      <c r="F45" s="136" t="s">
        <v>834</v>
      </c>
      <c r="G45" s="1"/>
      <c r="H45" s="1"/>
      <c r="J45" s="136"/>
      <c r="K45" s="136"/>
    </row>
    <row r="46" spans="1:15">
      <c r="A46">
        <v>1</v>
      </c>
      <c r="B46">
        <f>A46*100</f>
        <v>100</v>
      </c>
      <c r="C46">
        <f>SUM(B$46:B69)</f>
        <v>30000</v>
      </c>
      <c r="F46" s="136" t="s">
        <v>835</v>
      </c>
      <c r="G46" s="138" t="s">
        <v>836</v>
      </c>
      <c r="H46" s="138" t="s">
        <v>837</v>
      </c>
      <c r="I46" s="136" t="s">
        <v>838</v>
      </c>
      <c r="K46" s="136"/>
    </row>
    <row r="47" spans="1:15">
      <c r="A47">
        <v>2</v>
      </c>
      <c r="B47">
        <f>A47*100</f>
        <v>200</v>
      </c>
      <c r="C47" s="136" t="s">
        <v>819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136"/>
    </row>
    <row r="48" spans="1:15">
      <c r="A48">
        <v>3</v>
      </c>
      <c r="B48">
        <f>A48*100</f>
        <v>300</v>
      </c>
      <c r="C48">
        <f>SUM(B$46:B72)</f>
        <v>37800</v>
      </c>
      <c r="F48">
        <v>2</v>
      </c>
      <c r="G48">
        <f t="shared" ref="G48:G55" si="11">150+150*F48</f>
        <v>450</v>
      </c>
      <c r="H48">
        <f t="shared" ref="H48:H56" si="12">F48*30</f>
        <v>60</v>
      </c>
      <c r="I48" s="1">
        <f t="shared" ref="I48:I56" si="13">30%+5%*F48</f>
        <v>0.4</v>
      </c>
      <c r="K48" s="136"/>
    </row>
    <row r="49" spans="1:11">
      <c r="A49">
        <v>4</v>
      </c>
      <c r="B49">
        <f t="shared" ref="B49:B61" si="14">A49*100</f>
        <v>400</v>
      </c>
      <c r="C49" s="136" t="s">
        <v>820</v>
      </c>
      <c r="F49">
        <v>3</v>
      </c>
      <c r="G49">
        <f t="shared" si="11"/>
        <v>600</v>
      </c>
      <c r="H49">
        <f t="shared" si="12"/>
        <v>90</v>
      </c>
      <c r="I49" s="1">
        <f t="shared" si="13"/>
        <v>0.45</v>
      </c>
      <c r="K49" s="136"/>
    </row>
    <row r="50" spans="1:11">
      <c r="A50">
        <v>5</v>
      </c>
      <c r="B50">
        <f t="shared" si="14"/>
        <v>500</v>
      </c>
      <c r="C50">
        <f>SUM(B$46:B75)</f>
        <v>46500</v>
      </c>
      <c r="F50">
        <v>4</v>
      </c>
      <c r="G50">
        <f t="shared" si="11"/>
        <v>750</v>
      </c>
      <c r="H50">
        <f t="shared" si="12"/>
        <v>120</v>
      </c>
      <c r="I50" s="1">
        <f t="shared" si="13"/>
        <v>0.5</v>
      </c>
    </row>
    <row r="51" spans="1:11">
      <c r="A51">
        <v>6</v>
      </c>
      <c r="B51">
        <f t="shared" si="14"/>
        <v>600</v>
      </c>
      <c r="F51">
        <v>5</v>
      </c>
      <c r="G51">
        <f t="shared" si="11"/>
        <v>900</v>
      </c>
      <c r="H51">
        <f t="shared" si="12"/>
        <v>150</v>
      </c>
      <c r="I51" s="1">
        <f t="shared" si="13"/>
        <v>0.55000000000000004</v>
      </c>
      <c r="J51" s="136"/>
      <c r="K51" s="136"/>
    </row>
    <row r="52" spans="1:11">
      <c r="A52">
        <v>7</v>
      </c>
      <c r="B52">
        <f t="shared" si="14"/>
        <v>700</v>
      </c>
      <c r="F52">
        <v>6</v>
      </c>
      <c r="G52">
        <f t="shared" si="11"/>
        <v>1050</v>
      </c>
      <c r="H52">
        <f t="shared" si="12"/>
        <v>180</v>
      </c>
      <c r="I52" s="1">
        <f t="shared" si="13"/>
        <v>0.60000000000000009</v>
      </c>
      <c r="J52" s="136"/>
      <c r="K52" s="136"/>
    </row>
    <row r="53" spans="1:11">
      <c r="A53">
        <v>8</v>
      </c>
      <c r="B53">
        <f t="shared" si="14"/>
        <v>800</v>
      </c>
      <c r="F53">
        <v>7</v>
      </c>
      <c r="G53">
        <f t="shared" si="11"/>
        <v>1200</v>
      </c>
      <c r="H53">
        <f t="shared" si="12"/>
        <v>210</v>
      </c>
      <c r="I53" s="1">
        <f t="shared" si="13"/>
        <v>0.65</v>
      </c>
      <c r="K53" s="136"/>
    </row>
    <row r="54" spans="1:11">
      <c r="A54">
        <v>9</v>
      </c>
      <c r="B54">
        <f t="shared" si="14"/>
        <v>900</v>
      </c>
      <c r="F54">
        <v>8</v>
      </c>
      <c r="G54">
        <f t="shared" si="11"/>
        <v>1350</v>
      </c>
      <c r="H54">
        <f t="shared" si="12"/>
        <v>240</v>
      </c>
      <c r="I54" s="1">
        <f t="shared" si="13"/>
        <v>0.7</v>
      </c>
      <c r="K54" s="136"/>
    </row>
    <row r="55" spans="1:11">
      <c r="A55">
        <v>10</v>
      </c>
      <c r="B55">
        <f t="shared" si="14"/>
        <v>1000</v>
      </c>
      <c r="F55">
        <v>9</v>
      </c>
      <c r="G55">
        <f t="shared" si="11"/>
        <v>1500</v>
      </c>
      <c r="H55">
        <f t="shared" si="12"/>
        <v>270</v>
      </c>
      <c r="I55" s="1">
        <f t="shared" si="13"/>
        <v>0.75</v>
      </c>
      <c r="K55" s="136"/>
    </row>
    <row r="56" spans="1:11">
      <c r="A56">
        <v>11</v>
      </c>
      <c r="B56">
        <f t="shared" si="14"/>
        <v>1100</v>
      </c>
      <c r="F56">
        <v>10</v>
      </c>
      <c r="H56">
        <f t="shared" si="12"/>
        <v>300</v>
      </c>
      <c r="I56" s="1">
        <f t="shared" si="13"/>
        <v>0.8</v>
      </c>
      <c r="K56" s="136"/>
    </row>
    <row r="57" spans="1:11">
      <c r="A57">
        <v>12</v>
      </c>
      <c r="B57">
        <f t="shared" si="14"/>
        <v>1200</v>
      </c>
      <c r="F57" s="136" t="s">
        <v>829</v>
      </c>
      <c r="G57">
        <f>SUM(G47:G56)</f>
        <v>8100</v>
      </c>
    </row>
    <row r="58" spans="1:11">
      <c r="A58">
        <v>13</v>
      </c>
      <c r="B58">
        <f t="shared" si="14"/>
        <v>1300</v>
      </c>
      <c r="K58" s="136"/>
    </row>
    <row r="59" spans="1:11">
      <c r="A59">
        <v>14</v>
      </c>
      <c r="B59">
        <f t="shared" si="14"/>
        <v>1400</v>
      </c>
      <c r="K59" s="136"/>
    </row>
    <row r="60" spans="1:11">
      <c r="A60">
        <v>15</v>
      </c>
      <c r="B60">
        <f t="shared" si="14"/>
        <v>1500</v>
      </c>
      <c r="K60" s="136"/>
    </row>
    <row r="61" spans="1:11">
      <c r="A61">
        <v>16</v>
      </c>
      <c r="B61">
        <f t="shared" si="14"/>
        <v>1600</v>
      </c>
      <c r="K61" s="136"/>
    </row>
    <row r="62" spans="1:11">
      <c r="A62">
        <v>17</v>
      </c>
      <c r="B62">
        <f>A62*100</f>
        <v>1700</v>
      </c>
      <c r="K62" s="136"/>
    </row>
    <row r="63" spans="1:11">
      <c r="A63">
        <v>18</v>
      </c>
      <c r="B63">
        <f>A63*100</f>
        <v>1800</v>
      </c>
    </row>
    <row r="64" spans="1:11">
      <c r="A64">
        <v>19</v>
      </c>
      <c r="B64">
        <f t="shared" ref="B64:B67" si="15">A64*100</f>
        <v>1900</v>
      </c>
    </row>
    <row r="65" spans="1:2">
      <c r="A65">
        <v>20</v>
      </c>
      <c r="B65">
        <f t="shared" si="15"/>
        <v>2000</v>
      </c>
    </row>
    <row r="66" spans="1:2">
      <c r="A66">
        <v>21</v>
      </c>
      <c r="B66">
        <f t="shared" si="15"/>
        <v>2100</v>
      </c>
    </row>
    <row r="67" spans="1:2">
      <c r="A67">
        <v>22</v>
      </c>
      <c r="B67">
        <f t="shared" si="15"/>
        <v>2200</v>
      </c>
    </row>
    <row r="68" spans="1:2">
      <c r="A68">
        <v>23</v>
      </c>
      <c r="B68">
        <f>A68*100</f>
        <v>2300</v>
      </c>
    </row>
    <row r="69" spans="1:2">
      <c r="A69">
        <v>24</v>
      </c>
      <c r="B69">
        <f>A69*100</f>
        <v>2400</v>
      </c>
    </row>
    <row r="70" spans="1:2">
      <c r="A70">
        <v>25</v>
      </c>
      <c r="B70">
        <f t="shared" ref="B70:B74" si="16">A70*100</f>
        <v>2500</v>
      </c>
    </row>
    <row r="71" spans="1:2">
      <c r="A71">
        <v>26</v>
      </c>
      <c r="B71">
        <f t="shared" si="16"/>
        <v>2600</v>
      </c>
    </row>
    <row r="72" spans="1:2">
      <c r="A72">
        <v>27</v>
      </c>
      <c r="B72">
        <f t="shared" si="16"/>
        <v>2700</v>
      </c>
    </row>
    <row r="73" spans="1:2">
      <c r="A73">
        <v>28</v>
      </c>
      <c r="B73">
        <f t="shared" si="16"/>
        <v>2800</v>
      </c>
    </row>
    <row r="74" spans="1:2">
      <c r="A74">
        <v>29</v>
      </c>
      <c r="B74">
        <f t="shared" si="16"/>
        <v>2900</v>
      </c>
    </row>
    <row r="75" spans="1:2">
      <c r="A75">
        <v>30</v>
      </c>
      <c r="B75">
        <f>A75*100</f>
        <v>3000</v>
      </c>
    </row>
  </sheetData>
  <phoneticPr fontId="22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2020-01-19T13:36:18Z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