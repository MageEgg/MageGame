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N111" s="1"/>
  <c r="K111"/>
  <c r="J111"/>
  <c r="I111"/>
  <c r="H111"/>
  <c r="G111"/>
  <c r="F111"/>
  <c r="E111"/>
  <c r="D111"/>
  <c r="C111"/>
  <c r="B111"/>
  <c r="A111"/>
  <c r="M110"/>
  <c r="L110"/>
  <c r="N110" s="1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M105"/>
  <c r="L105"/>
  <c r="J105"/>
  <c r="I105"/>
  <c r="H105"/>
  <c r="G105"/>
  <c r="F105"/>
  <c r="E105"/>
  <c r="D105"/>
  <c r="C105"/>
  <c r="B105"/>
  <c r="A105"/>
  <c r="M104"/>
  <c r="L104"/>
  <c r="J104"/>
  <c r="I104"/>
  <c r="H104"/>
  <c r="G104"/>
  <c r="F104"/>
  <c r="E104"/>
  <c r="D104"/>
  <c r="C104"/>
  <c r="B104"/>
  <c r="A104"/>
  <c r="M103"/>
  <c r="L103"/>
  <c r="J103"/>
  <c r="I103"/>
  <c r="H103"/>
  <c r="G103"/>
  <c r="F103"/>
  <c r="E103"/>
  <c r="D103"/>
  <c r="C103"/>
  <c r="B103"/>
  <c r="A103"/>
  <c r="M102"/>
  <c r="L102"/>
  <c r="J102"/>
  <c r="I102"/>
  <c r="H102"/>
  <c r="G102"/>
  <c r="F102"/>
  <c r="E102"/>
  <c r="D102"/>
  <c r="C102"/>
  <c r="B102"/>
  <c r="A102"/>
  <c r="M101"/>
  <c r="L101"/>
  <c r="J101"/>
  <c r="I101"/>
  <c r="H101"/>
  <c r="G101"/>
  <c r="F101"/>
  <c r="E101"/>
  <c r="D101"/>
  <c r="C101"/>
  <c r="B101"/>
  <c r="A101"/>
  <c r="M100"/>
  <c r="L100"/>
  <c r="J100"/>
  <c r="I100"/>
  <c r="H100"/>
  <c r="G100"/>
  <c r="F100"/>
  <c r="E100"/>
  <c r="D100"/>
  <c r="C100"/>
  <c r="B100"/>
  <c r="A100"/>
  <c r="M99"/>
  <c r="L99"/>
  <c r="J99"/>
  <c r="I99"/>
  <c r="H99"/>
  <c r="G99"/>
  <c r="F99"/>
  <c r="E99"/>
  <c r="D99"/>
  <c r="C99"/>
  <c r="B99"/>
  <c r="A99"/>
  <c r="M98"/>
  <c r="L98"/>
  <c r="J98"/>
  <c r="I98"/>
  <c r="H98"/>
  <c r="G98"/>
  <c r="F98"/>
  <c r="E98"/>
  <c r="D98"/>
  <c r="C98"/>
  <c r="B98"/>
  <c r="A98"/>
  <c r="M97"/>
  <c r="L97"/>
  <c r="J97"/>
  <c r="I97"/>
  <c r="H97"/>
  <c r="G97"/>
  <c r="F97"/>
  <c r="E97"/>
  <c r="D97"/>
  <c r="C97"/>
  <c r="B97"/>
  <c r="A97"/>
  <c r="M96"/>
  <c r="L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Z262"/>
  <c r="Y262"/>
  <c r="X262"/>
  <c r="W262"/>
  <c r="V262"/>
  <c r="AA262" s="1"/>
  <c r="U262"/>
  <c r="T262"/>
  <c r="S262"/>
  <c r="R262"/>
  <c r="Q262"/>
  <c r="O262"/>
  <c r="N262"/>
  <c r="M262"/>
  <c r="L262"/>
  <c r="K262"/>
  <c r="J262"/>
  <c r="I262"/>
  <c r="H262"/>
  <c r="G262"/>
  <c r="F262"/>
  <c r="E262"/>
  <c r="D262"/>
  <c r="C262"/>
  <c r="B262"/>
  <c r="A262"/>
  <c r="AA261"/>
  <c r="Z261"/>
  <c r="Y261"/>
  <c r="V261"/>
  <c r="U261"/>
  <c r="T26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U260"/>
  <c r="Z260" s="1"/>
  <c r="T260"/>
  <c r="Y260" s="1"/>
  <c r="S260"/>
  <c r="X260" s="1"/>
  <c r="R260"/>
  <c r="W260" s="1"/>
  <c r="Q260"/>
  <c r="O260"/>
  <c r="N260"/>
  <c r="M260"/>
  <c r="L260"/>
  <c r="K260"/>
  <c r="J260"/>
  <c r="I260"/>
  <c r="H260"/>
  <c r="G260"/>
  <c r="F260"/>
  <c r="E260"/>
  <c r="D260"/>
  <c r="C260"/>
  <c r="B260"/>
  <c r="A260"/>
  <c r="Z259"/>
  <c r="Y259"/>
  <c r="X259"/>
  <c r="W259"/>
  <c r="V259"/>
  <c r="AA259" s="1"/>
  <c r="U259"/>
  <c r="T259"/>
  <c r="S259"/>
  <c r="R259"/>
  <c r="Q259"/>
  <c r="AB259" s="1"/>
  <c r="O259"/>
  <c r="N259"/>
  <c r="M259"/>
  <c r="L259"/>
  <c r="K259"/>
  <c r="J259"/>
  <c r="I259"/>
  <c r="H259"/>
  <c r="G259"/>
  <c r="F259"/>
  <c r="E259"/>
  <c r="D259"/>
  <c r="C259"/>
  <c r="B259"/>
  <c r="A259"/>
  <c r="AA258"/>
  <c r="Z258"/>
  <c r="Y258"/>
  <c r="V258"/>
  <c r="U258"/>
  <c r="T258"/>
  <c r="S258"/>
  <c r="X258" s="1"/>
  <c r="R258"/>
  <c r="W258" s="1"/>
  <c r="Q258"/>
  <c r="AB258" s="1"/>
  <c r="O258"/>
  <c r="N258"/>
  <c r="M258"/>
  <c r="L258"/>
  <c r="K258"/>
  <c r="J258"/>
  <c r="I258"/>
  <c r="H258"/>
  <c r="G258"/>
  <c r="F258"/>
  <c r="E258"/>
  <c r="D258"/>
  <c r="C258"/>
  <c r="B258"/>
  <c r="A258"/>
  <c r="V257"/>
  <c r="AA257" s="1"/>
  <c r="U257"/>
  <c r="Z257" s="1"/>
  <c r="T257"/>
  <c r="Y257" s="1"/>
  <c r="S257"/>
  <c r="X257" s="1"/>
  <c r="R257"/>
  <c r="W257" s="1"/>
  <c r="Q257"/>
  <c r="O257"/>
  <c r="N257"/>
  <c r="M257"/>
  <c r="L257"/>
  <c r="K257"/>
  <c r="J257"/>
  <c r="I257"/>
  <c r="H257"/>
  <c r="G257"/>
  <c r="F257"/>
  <c r="E257"/>
  <c r="D257"/>
  <c r="C257"/>
  <c r="B257"/>
  <c r="A257"/>
  <c r="Z256"/>
  <c r="Y256"/>
  <c r="X256"/>
  <c r="W256"/>
  <c r="V256"/>
  <c r="AA256" s="1"/>
  <c r="U256"/>
  <c r="T256"/>
  <c r="S256"/>
  <c r="R256"/>
  <c r="Q256"/>
  <c r="O256"/>
  <c r="N256"/>
  <c r="M256"/>
  <c r="L256"/>
  <c r="K256"/>
  <c r="J256"/>
  <c r="I256"/>
  <c r="H256"/>
  <c r="G256"/>
  <c r="F256"/>
  <c r="E256"/>
  <c r="D256"/>
  <c r="C256"/>
  <c r="B256"/>
  <c r="A256"/>
  <c r="AA255"/>
  <c r="Z255"/>
  <c r="Y255"/>
  <c r="V255"/>
  <c r="U255"/>
  <c r="T255"/>
  <c r="S255"/>
  <c r="X255" s="1"/>
  <c r="R255"/>
  <c r="W255" s="1"/>
  <c r="Q255"/>
  <c r="O255"/>
  <c r="N255"/>
  <c r="M255"/>
  <c r="L255"/>
  <c r="K255"/>
  <c r="J255"/>
  <c r="I255"/>
  <c r="H255"/>
  <c r="G255"/>
  <c r="F255"/>
  <c r="E255"/>
  <c r="D255"/>
  <c r="C255"/>
  <c r="B255"/>
  <c r="A255"/>
  <c r="V254"/>
  <c r="AA254" s="1"/>
  <c r="U254"/>
  <c r="Z254" s="1"/>
  <c r="T254"/>
  <c r="Y254" s="1"/>
  <c r="S254"/>
  <c r="X254" s="1"/>
  <c r="R254"/>
  <c r="W254" s="1"/>
  <c r="Q254"/>
  <c r="AB254" s="1"/>
  <c r="O254"/>
  <c r="N254"/>
  <c r="M254"/>
  <c r="L254"/>
  <c r="K254"/>
  <c r="J254"/>
  <c r="I254"/>
  <c r="H254"/>
  <c r="G254"/>
  <c r="F254"/>
  <c r="E254"/>
  <c r="D254"/>
  <c r="C254"/>
  <c r="B254"/>
  <c r="A254"/>
  <c r="Z253"/>
  <c r="Y253"/>
  <c r="X253"/>
  <c r="W253"/>
  <c r="V253"/>
  <c r="AA253" s="1"/>
  <c r="U253"/>
  <c r="T253"/>
  <c r="S253"/>
  <c r="R253"/>
  <c r="Q253"/>
  <c r="AB253" s="1"/>
  <c r="O253"/>
  <c r="N253"/>
  <c r="M253"/>
  <c r="L253"/>
  <c r="K253"/>
  <c r="J253"/>
  <c r="I253"/>
  <c r="H253"/>
  <c r="G253"/>
  <c r="F253"/>
  <c r="E253"/>
  <c r="D253"/>
  <c r="C253"/>
  <c r="B253"/>
  <c r="A253"/>
  <c r="AA252"/>
  <c r="Z252"/>
  <c r="Y252"/>
  <c r="V252"/>
  <c r="U252"/>
  <c r="T252"/>
  <c r="S252"/>
  <c r="X252" s="1"/>
  <c r="R252"/>
  <c r="W252" s="1"/>
  <c r="Q252"/>
  <c r="O252"/>
  <c r="N252"/>
  <c r="M252"/>
  <c r="L252"/>
  <c r="K252"/>
  <c r="J252"/>
  <c r="I252"/>
  <c r="H252"/>
  <c r="G252"/>
  <c r="F252"/>
  <c r="E252"/>
  <c r="D252"/>
  <c r="C252"/>
  <c r="B252"/>
  <c r="A252"/>
  <c r="V251"/>
  <c r="AA251" s="1"/>
  <c r="U251"/>
  <c r="Z251" s="1"/>
  <c r="T251"/>
  <c r="Y251" s="1"/>
  <c r="S251"/>
  <c r="X251" s="1"/>
  <c r="R251"/>
  <c r="W251" s="1"/>
  <c r="Q251"/>
  <c r="O251"/>
  <c r="N251"/>
  <c r="M251"/>
  <c r="L251"/>
  <c r="K251"/>
  <c r="J251"/>
  <c r="I251"/>
  <c r="H251"/>
  <c r="G251"/>
  <c r="F251"/>
  <c r="E251"/>
  <c r="D251"/>
  <c r="C251"/>
  <c r="B251"/>
  <c r="A251"/>
  <c r="Z250"/>
  <c r="Y250"/>
  <c r="X250"/>
  <c r="W250"/>
  <c r="V250"/>
  <c r="AA250" s="1"/>
  <c r="U250"/>
  <c r="T250"/>
  <c r="S250"/>
  <c r="R250"/>
  <c r="Q250"/>
  <c r="AB250" s="1"/>
  <c r="O250"/>
  <c r="N250"/>
  <c r="M250"/>
  <c r="L250"/>
  <c r="K250"/>
  <c r="J250"/>
  <c r="I250"/>
  <c r="H250"/>
  <c r="G250"/>
  <c r="F250"/>
  <c r="E250"/>
  <c r="D250"/>
  <c r="C250"/>
  <c r="B250"/>
  <c r="A250"/>
  <c r="AA249"/>
  <c r="Z249"/>
  <c r="Y249"/>
  <c r="V249"/>
  <c r="U249"/>
  <c r="T249"/>
  <c r="S249"/>
  <c r="X249" s="1"/>
  <c r="R249"/>
  <c r="W249" s="1"/>
  <c r="Q249"/>
  <c r="AB249" s="1"/>
  <c r="O249"/>
  <c r="N249"/>
  <c r="M249"/>
  <c r="L249"/>
  <c r="K249"/>
  <c r="J249"/>
  <c r="I249"/>
  <c r="H249"/>
  <c r="G249"/>
  <c r="F249"/>
  <c r="E249"/>
  <c r="D249"/>
  <c r="C249"/>
  <c r="B249"/>
  <c r="A249"/>
  <c r="V248"/>
  <c r="AA248" s="1"/>
  <c r="U248"/>
  <c r="Z248" s="1"/>
  <c r="T248"/>
  <c r="Y248" s="1"/>
  <c r="S248"/>
  <c r="X248" s="1"/>
  <c r="R248"/>
  <c r="W248" s="1"/>
  <c r="Q248"/>
  <c r="O248"/>
  <c r="N248"/>
  <c r="M248"/>
  <c r="L248"/>
  <c r="K248"/>
  <c r="J248"/>
  <c r="I248"/>
  <c r="H248"/>
  <c r="G248"/>
  <c r="F248"/>
  <c r="E248"/>
  <c r="D248"/>
  <c r="C248"/>
  <c r="B248"/>
  <c r="A248"/>
  <c r="Z247"/>
  <c r="Y247"/>
  <c r="X247"/>
  <c r="W247"/>
  <c r="V247"/>
  <c r="AA247" s="1"/>
  <c r="U247"/>
  <c r="T247"/>
  <c r="S247"/>
  <c r="R247"/>
  <c r="Q247"/>
  <c r="AB247" s="1"/>
  <c r="O247"/>
  <c r="N247"/>
  <c r="M247"/>
  <c r="L247"/>
  <c r="K247"/>
  <c r="J247"/>
  <c r="I247"/>
  <c r="H247"/>
  <c r="G247"/>
  <c r="F247"/>
  <c r="E247"/>
  <c r="D247"/>
  <c r="C247"/>
  <c r="B247"/>
  <c r="A247"/>
  <c r="AA246"/>
  <c r="Z246"/>
  <c r="Y246"/>
  <c r="V246"/>
  <c r="U246"/>
  <c r="T246"/>
  <c r="S246"/>
  <c r="X246" s="1"/>
  <c r="R246"/>
  <c r="W246" s="1"/>
  <c r="Q246"/>
  <c r="AB246" s="1"/>
  <c r="O246"/>
  <c r="N246"/>
  <c r="M246"/>
  <c r="L246"/>
  <c r="K246"/>
  <c r="J246"/>
  <c r="I246"/>
  <c r="H246"/>
  <c r="G246"/>
  <c r="F246"/>
  <c r="E246"/>
  <c r="D246"/>
  <c r="C246"/>
  <c r="B246"/>
  <c r="A246"/>
  <c r="V245"/>
  <c r="AA245" s="1"/>
  <c r="U245"/>
  <c r="Z245" s="1"/>
  <c r="T245"/>
  <c r="Y245" s="1"/>
  <c r="S245"/>
  <c r="X245" s="1"/>
  <c r="R245"/>
  <c r="W245" s="1"/>
  <c r="Q245"/>
  <c r="O245"/>
  <c r="N245"/>
  <c r="M245"/>
  <c r="L245"/>
  <c r="K245"/>
  <c r="J245"/>
  <c r="I245"/>
  <c r="H245"/>
  <c r="G245"/>
  <c r="F245"/>
  <c r="E245"/>
  <c r="D245"/>
  <c r="C245"/>
  <c r="B245"/>
  <c r="A245"/>
  <c r="Z244"/>
  <c r="Y244"/>
  <c r="X244"/>
  <c r="W244"/>
  <c r="V244"/>
  <c r="AA244" s="1"/>
  <c r="U244"/>
  <c r="T244"/>
  <c r="S244"/>
  <c r="R244"/>
  <c r="Q244"/>
  <c r="O244"/>
  <c r="N244"/>
  <c r="M244"/>
  <c r="L244"/>
  <c r="K244"/>
  <c r="J244"/>
  <c r="I244"/>
  <c r="H244"/>
  <c r="G244"/>
  <c r="F244"/>
  <c r="E244"/>
  <c r="D244"/>
  <c r="C244"/>
  <c r="B244"/>
  <c r="A244"/>
  <c r="AA243"/>
  <c r="Z243"/>
  <c r="Y243"/>
  <c r="V243"/>
  <c r="U243"/>
  <c r="T243"/>
  <c r="S243"/>
  <c r="X243" s="1"/>
  <c r="R243"/>
  <c r="W243" s="1"/>
  <c r="Q243"/>
  <c r="O243"/>
  <c r="N243"/>
  <c r="M243"/>
  <c r="L243"/>
  <c r="K243"/>
  <c r="J243"/>
  <c r="I243"/>
  <c r="H243"/>
  <c r="G243"/>
  <c r="F243"/>
  <c r="E243"/>
  <c r="D243"/>
  <c r="C243"/>
  <c r="B243"/>
  <c r="A243"/>
  <c r="V242"/>
  <c r="AA242" s="1"/>
  <c r="U242"/>
  <c r="Z242" s="1"/>
  <c r="T242"/>
  <c r="Y242" s="1"/>
  <c r="S242"/>
  <c r="X242" s="1"/>
  <c r="R242"/>
  <c r="W242" s="1"/>
  <c r="Q242"/>
  <c r="O242"/>
  <c r="N242"/>
  <c r="M242"/>
  <c r="L242"/>
  <c r="K242"/>
  <c r="J242"/>
  <c r="I242"/>
  <c r="H242"/>
  <c r="G242"/>
  <c r="F242"/>
  <c r="E242"/>
  <c r="D242"/>
  <c r="C242"/>
  <c r="B242"/>
  <c r="A242"/>
  <c r="Z241"/>
  <c r="Y241"/>
  <c r="X241"/>
  <c r="W241"/>
  <c r="V241"/>
  <c r="AA241" s="1"/>
  <c r="U241"/>
  <c r="T241"/>
  <c r="S241"/>
  <c r="R241"/>
  <c r="Q241"/>
  <c r="AB241" s="1"/>
  <c r="O241"/>
  <c r="N241"/>
  <c r="M241"/>
  <c r="L241"/>
  <c r="K241"/>
  <c r="J241"/>
  <c r="I241"/>
  <c r="H241"/>
  <c r="G241"/>
  <c r="F241"/>
  <c r="E241"/>
  <c r="D241"/>
  <c r="C241"/>
  <c r="B241"/>
  <c r="A241"/>
  <c r="AA240"/>
  <c r="Z240"/>
  <c r="Y240"/>
  <c r="V240"/>
  <c r="U240"/>
  <c r="T240"/>
  <c r="S240"/>
  <c r="X240" s="1"/>
  <c r="R240"/>
  <c r="W240" s="1"/>
  <c r="Q240"/>
  <c r="AB240" s="1"/>
  <c r="O240"/>
  <c r="N240"/>
  <c r="M240"/>
  <c r="L240"/>
  <c r="K240"/>
  <c r="J240"/>
  <c r="I240"/>
  <c r="H240"/>
  <c r="G240"/>
  <c r="F240"/>
  <c r="E240"/>
  <c r="D240"/>
  <c r="C240"/>
  <c r="B240"/>
  <c r="A240"/>
  <c r="V239"/>
  <c r="AA239" s="1"/>
  <c r="U239"/>
  <c r="Z239" s="1"/>
  <c r="T239"/>
  <c r="Y239" s="1"/>
  <c r="S239"/>
  <c r="X239" s="1"/>
  <c r="R239"/>
  <c r="W239" s="1"/>
  <c r="Q239"/>
  <c r="O239"/>
  <c r="N239"/>
  <c r="M239"/>
  <c r="L239"/>
  <c r="K239"/>
  <c r="J239"/>
  <c r="I239"/>
  <c r="H239"/>
  <c r="G239"/>
  <c r="F239"/>
  <c r="E239"/>
  <c r="D239"/>
  <c r="C239"/>
  <c r="B239"/>
  <c r="A239"/>
  <c r="Y238"/>
  <c r="X238"/>
  <c r="W238"/>
  <c r="V238"/>
  <c r="AA238" s="1"/>
  <c r="U238"/>
  <c r="Z238" s="1"/>
  <c r="T238"/>
  <c r="S238"/>
  <c r="R238"/>
  <c r="Q238"/>
  <c r="O238"/>
  <c r="N238"/>
  <c r="M238"/>
  <c r="L238"/>
  <c r="K238"/>
  <c r="J238"/>
  <c r="I238"/>
  <c r="H238"/>
  <c r="G238"/>
  <c r="F238"/>
  <c r="E238"/>
  <c r="D238"/>
  <c r="C238"/>
  <c r="B238"/>
  <c r="A238"/>
  <c r="AA237"/>
  <c r="Z237"/>
  <c r="Y237"/>
  <c r="V237"/>
  <c r="U237"/>
  <c r="T237"/>
  <c r="S237"/>
  <c r="X237" s="1"/>
  <c r="R237"/>
  <c r="W237" s="1"/>
  <c r="Q237"/>
  <c r="O237"/>
  <c r="N237"/>
  <c r="M237"/>
  <c r="L237"/>
  <c r="K237"/>
  <c r="J237"/>
  <c r="I237"/>
  <c r="H237"/>
  <c r="G237"/>
  <c r="F237"/>
  <c r="E237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AB236" s="1"/>
  <c r="O236"/>
  <c r="N236"/>
  <c r="M236"/>
  <c r="L236"/>
  <c r="K236"/>
  <c r="J236"/>
  <c r="I236"/>
  <c r="H236"/>
  <c r="G236"/>
  <c r="F236"/>
  <c r="E236"/>
  <c r="D236"/>
  <c r="C236"/>
  <c r="B236"/>
  <c r="A236"/>
  <c r="Z235"/>
  <c r="Y235"/>
  <c r="X235"/>
  <c r="W235"/>
  <c r="V235"/>
  <c r="AA235" s="1"/>
  <c r="U235"/>
  <c r="T235"/>
  <c r="S235"/>
  <c r="R235"/>
  <c r="Q235"/>
  <c r="AB235" s="1"/>
  <c r="O235"/>
  <c r="N235"/>
  <c r="M235"/>
  <c r="L235"/>
  <c r="K235"/>
  <c r="J235"/>
  <c r="I235"/>
  <c r="H235"/>
  <c r="G235"/>
  <c r="F235"/>
  <c r="E235"/>
  <c r="D235"/>
  <c r="C235"/>
  <c r="B235"/>
  <c r="A235"/>
  <c r="AA234"/>
  <c r="Z234"/>
  <c r="Y234"/>
  <c r="V234"/>
  <c r="U234"/>
  <c r="T234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Z232"/>
  <c r="Y232"/>
  <c r="X232"/>
  <c r="W232"/>
  <c r="V232"/>
  <c r="AA232" s="1"/>
  <c r="U232"/>
  <c r="T232"/>
  <c r="S232"/>
  <c r="R232"/>
  <c r="Q232"/>
  <c r="O232"/>
  <c r="N232"/>
  <c r="M232"/>
  <c r="L232"/>
  <c r="K232"/>
  <c r="J232"/>
  <c r="I232"/>
  <c r="H232"/>
  <c r="G232"/>
  <c r="F232"/>
  <c r="E232"/>
  <c r="D232"/>
  <c r="C232"/>
  <c r="B232"/>
  <c r="A232"/>
  <c r="AA231"/>
  <c r="Z231"/>
  <c r="Y231"/>
  <c r="V231"/>
  <c r="U231"/>
  <c r="T23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Z229"/>
  <c r="Y229"/>
  <c r="X229"/>
  <c r="W229"/>
  <c r="V229"/>
  <c r="AA229" s="1"/>
  <c r="U229"/>
  <c r="T229"/>
  <c r="S229"/>
  <c r="R229"/>
  <c r="Q229"/>
  <c r="O229"/>
  <c r="N229"/>
  <c r="M229"/>
  <c r="L229"/>
  <c r="K229"/>
  <c r="J229"/>
  <c r="I229"/>
  <c r="H229"/>
  <c r="G229"/>
  <c r="F229"/>
  <c r="E229"/>
  <c r="D229"/>
  <c r="C229"/>
  <c r="B229"/>
  <c r="A229"/>
  <c r="AA228"/>
  <c r="Z228"/>
  <c r="Y228"/>
  <c r="V228"/>
  <c r="U228"/>
  <c r="T228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AB227" s="1"/>
  <c r="O227"/>
  <c r="N227"/>
  <c r="M227"/>
  <c r="L227"/>
  <c r="K227"/>
  <c r="J227"/>
  <c r="I227"/>
  <c r="H227"/>
  <c r="G227"/>
  <c r="F227"/>
  <c r="E227"/>
  <c r="D227"/>
  <c r="C227"/>
  <c r="B227"/>
  <c r="A227"/>
  <c r="Z226"/>
  <c r="Y226"/>
  <c r="X226"/>
  <c r="W226"/>
  <c r="V226"/>
  <c r="AA226" s="1"/>
  <c r="U226"/>
  <c r="T226"/>
  <c r="S226"/>
  <c r="R226"/>
  <c r="Q226"/>
  <c r="O226"/>
  <c r="N226"/>
  <c r="M226"/>
  <c r="L226"/>
  <c r="K226"/>
  <c r="J226"/>
  <c r="I226"/>
  <c r="H226"/>
  <c r="G226"/>
  <c r="F226"/>
  <c r="E226"/>
  <c r="D226"/>
  <c r="C226"/>
  <c r="B226"/>
  <c r="A226"/>
  <c r="AA225"/>
  <c r="Z225"/>
  <c r="Y225"/>
  <c r="V225"/>
  <c r="U225"/>
  <c r="T225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Z223"/>
  <c r="Y223"/>
  <c r="X223"/>
  <c r="W223"/>
  <c r="V223"/>
  <c r="AA223" s="1"/>
  <c r="U223"/>
  <c r="T223"/>
  <c r="S223"/>
  <c r="R223"/>
  <c r="Q223"/>
  <c r="O223"/>
  <c r="N223"/>
  <c r="M223"/>
  <c r="L223"/>
  <c r="K223"/>
  <c r="J223"/>
  <c r="I223"/>
  <c r="H223"/>
  <c r="G223"/>
  <c r="F223"/>
  <c r="E223"/>
  <c r="D223"/>
  <c r="C223"/>
  <c r="B223"/>
  <c r="A223"/>
  <c r="AA222"/>
  <c r="Z222"/>
  <c r="Y222"/>
  <c r="V222"/>
  <c r="U222"/>
  <c r="T222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Z220"/>
  <c r="Y220"/>
  <c r="X220"/>
  <c r="W220"/>
  <c r="V220"/>
  <c r="AA220" s="1"/>
  <c r="U220"/>
  <c r="T220"/>
  <c r="S220"/>
  <c r="R220"/>
  <c r="Q220"/>
  <c r="O220"/>
  <c r="N220"/>
  <c r="M220"/>
  <c r="L220"/>
  <c r="K220"/>
  <c r="J220"/>
  <c r="I220"/>
  <c r="H220"/>
  <c r="G220"/>
  <c r="F220"/>
  <c r="E220"/>
  <c r="D220"/>
  <c r="C220"/>
  <c r="B220"/>
  <c r="A220"/>
  <c r="AA219"/>
  <c r="Z219"/>
  <c r="Y219"/>
  <c r="V219"/>
  <c r="U219"/>
  <c r="T219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AB218" s="1"/>
  <c r="O218"/>
  <c r="N218"/>
  <c r="M218"/>
  <c r="L218"/>
  <c r="K218"/>
  <c r="J218"/>
  <c r="I218"/>
  <c r="H218"/>
  <c r="G218"/>
  <c r="F218"/>
  <c r="E218"/>
  <c r="D218"/>
  <c r="C218"/>
  <c r="B218"/>
  <c r="A218"/>
  <c r="Z217"/>
  <c r="Y217"/>
  <c r="X217"/>
  <c r="W217"/>
  <c r="V217"/>
  <c r="AA217" s="1"/>
  <c r="U217"/>
  <c r="T217"/>
  <c r="S217"/>
  <c r="R217"/>
  <c r="Q217"/>
  <c r="AB217" s="1"/>
  <c r="O217"/>
  <c r="N217"/>
  <c r="M217"/>
  <c r="L217"/>
  <c r="K217"/>
  <c r="J217"/>
  <c r="I217"/>
  <c r="H217"/>
  <c r="G217"/>
  <c r="F217"/>
  <c r="E217"/>
  <c r="D217"/>
  <c r="C217"/>
  <c r="B217"/>
  <c r="A217"/>
  <c r="AA216"/>
  <c r="Z216"/>
  <c r="Y216"/>
  <c r="V216"/>
  <c r="U216"/>
  <c r="T216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Z214"/>
  <c r="Y214"/>
  <c r="X214"/>
  <c r="W214"/>
  <c r="V214"/>
  <c r="AA214" s="1"/>
  <c r="U214"/>
  <c r="T214"/>
  <c r="S214"/>
  <c r="R214"/>
  <c r="Q214"/>
  <c r="O214"/>
  <c r="N214"/>
  <c r="M214"/>
  <c r="L214"/>
  <c r="K214"/>
  <c r="J214"/>
  <c r="I214"/>
  <c r="H214"/>
  <c r="G214"/>
  <c r="F214"/>
  <c r="E214"/>
  <c r="D214"/>
  <c r="C214"/>
  <c r="B214"/>
  <c r="A214"/>
  <c r="AA213"/>
  <c r="Z213"/>
  <c r="Y213"/>
  <c r="V213"/>
  <c r="U213"/>
  <c r="T213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Z211"/>
  <c r="Y211"/>
  <c r="X211"/>
  <c r="W211"/>
  <c r="V211"/>
  <c r="AA211" s="1"/>
  <c r="U211"/>
  <c r="T211"/>
  <c r="S211"/>
  <c r="R211"/>
  <c r="Q211"/>
  <c r="O211"/>
  <c r="N211"/>
  <c r="M211"/>
  <c r="L211"/>
  <c r="K211"/>
  <c r="J211"/>
  <c r="I211"/>
  <c r="H211"/>
  <c r="G211"/>
  <c r="F211"/>
  <c r="E211"/>
  <c r="D211"/>
  <c r="C211"/>
  <c r="B211"/>
  <c r="A211"/>
  <c r="AA210"/>
  <c r="Z210"/>
  <c r="Y210"/>
  <c r="V210"/>
  <c r="U210"/>
  <c r="T210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AB209" s="1"/>
  <c r="O209"/>
  <c r="N209"/>
  <c r="M209"/>
  <c r="L209"/>
  <c r="K209"/>
  <c r="J209"/>
  <c r="I209"/>
  <c r="H209"/>
  <c r="G209"/>
  <c r="F209"/>
  <c r="E209"/>
  <c r="D209"/>
  <c r="C209"/>
  <c r="B209"/>
  <c r="A209"/>
  <c r="Z208"/>
  <c r="Y208"/>
  <c r="X208"/>
  <c r="W208"/>
  <c r="V208"/>
  <c r="AA208" s="1"/>
  <c r="U208"/>
  <c r="T208"/>
  <c r="S208"/>
  <c r="R208"/>
  <c r="Q208"/>
  <c r="AB208" s="1"/>
  <c r="O208"/>
  <c r="N208"/>
  <c r="M208"/>
  <c r="L208"/>
  <c r="K208"/>
  <c r="J208"/>
  <c r="I208"/>
  <c r="H208"/>
  <c r="G208"/>
  <c r="F208"/>
  <c r="E208"/>
  <c r="D208"/>
  <c r="C208"/>
  <c r="B208"/>
  <c r="A208"/>
  <c r="AA207"/>
  <c r="Z207"/>
  <c r="Y207"/>
  <c r="V207"/>
  <c r="U207"/>
  <c r="T207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Z205"/>
  <c r="Y205"/>
  <c r="X205"/>
  <c r="W205"/>
  <c r="V205"/>
  <c r="AA205" s="1"/>
  <c r="U205"/>
  <c r="T205"/>
  <c r="S205"/>
  <c r="R205"/>
  <c r="Q205"/>
  <c r="O205"/>
  <c r="N205"/>
  <c r="M205"/>
  <c r="L205"/>
  <c r="K205"/>
  <c r="J205"/>
  <c r="I205"/>
  <c r="H205"/>
  <c r="G205"/>
  <c r="F205"/>
  <c r="E205"/>
  <c r="D205"/>
  <c r="C205"/>
  <c r="B205"/>
  <c r="A205"/>
  <c r="AA204"/>
  <c r="Z204"/>
  <c r="Y204"/>
  <c r="V204"/>
  <c r="U204"/>
  <c r="T204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Z202"/>
  <c r="Y202"/>
  <c r="X202"/>
  <c r="W202"/>
  <c r="V202"/>
  <c r="AA202" s="1"/>
  <c r="U202"/>
  <c r="T202"/>
  <c r="S202"/>
  <c r="R202"/>
  <c r="Q202"/>
  <c r="AB202" s="1"/>
  <c r="O202"/>
  <c r="N202"/>
  <c r="M202"/>
  <c r="L202"/>
  <c r="K202"/>
  <c r="J202"/>
  <c r="I202"/>
  <c r="H202"/>
  <c r="G202"/>
  <c r="F202"/>
  <c r="E202"/>
  <c r="D202"/>
  <c r="C202"/>
  <c r="B202"/>
  <c r="A202"/>
  <c r="AA201"/>
  <c r="Z201"/>
  <c r="Y201"/>
  <c r="V201"/>
  <c r="U201"/>
  <c r="T201"/>
  <c r="S201"/>
  <c r="X201" s="1"/>
  <c r="R201"/>
  <c r="W201" s="1"/>
  <c r="Q201"/>
  <c r="AB201" s="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AB200" s="1"/>
  <c r="O200"/>
  <c r="N200"/>
  <c r="M200"/>
  <c r="L200"/>
  <c r="K200"/>
  <c r="J200"/>
  <c r="I200"/>
  <c r="H200"/>
  <c r="G200"/>
  <c r="F200"/>
  <c r="E200"/>
  <c r="D200"/>
  <c r="C200"/>
  <c r="B200"/>
  <c r="A200"/>
  <c r="Z199"/>
  <c r="Y199"/>
  <c r="X199"/>
  <c r="W199"/>
  <c r="V199"/>
  <c r="AA199" s="1"/>
  <c r="U199"/>
  <c r="T199"/>
  <c r="S199"/>
  <c r="R199"/>
  <c r="Q199"/>
  <c r="O199"/>
  <c r="N199"/>
  <c r="M199"/>
  <c r="L199"/>
  <c r="K199"/>
  <c r="J199"/>
  <c r="I199"/>
  <c r="H199"/>
  <c r="G199"/>
  <c r="F199"/>
  <c r="E199"/>
  <c r="D199"/>
  <c r="C199"/>
  <c r="B199"/>
  <c r="A199"/>
  <c r="AA198"/>
  <c r="Z198"/>
  <c r="Y198"/>
  <c r="V198"/>
  <c r="U198"/>
  <c r="T198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Z196"/>
  <c r="Y196"/>
  <c r="X196"/>
  <c r="W196"/>
  <c r="V196"/>
  <c r="AA196" s="1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A195"/>
  <c r="Z195"/>
  <c r="Y195"/>
  <c r="V195"/>
  <c r="U195"/>
  <c r="T195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AB194" s="1"/>
  <c r="P194"/>
  <c r="O194"/>
  <c r="N194"/>
  <c r="M194"/>
  <c r="L194"/>
  <c r="K194"/>
  <c r="J194"/>
  <c r="I194"/>
  <c r="H194"/>
  <c r="G194"/>
  <c r="F194"/>
  <c r="E194"/>
  <c r="D194"/>
  <c r="C194"/>
  <c r="B194"/>
  <c r="A194"/>
  <c r="Z193"/>
  <c r="Y193"/>
  <c r="X193"/>
  <c r="W193"/>
  <c r="V193"/>
  <c r="AA193" s="1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A192"/>
  <c r="Z192"/>
  <c r="Y192"/>
  <c r="X192"/>
  <c r="V192"/>
  <c r="U192"/>
  <c r="T192"/>
  <c r="S192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Z190"/>
  <c r="Y190"/>
  <c r="X190"/>
  <c r="W190"/>
  <c r="V190"/>
  <c r="AA190" s="1"/>
  <c r="U190"/>
  <c r="T190"/>
  <c r="S190"/>
  <c r="R190"/>
  <c r="Q190"/>
  <c r="O190"/>
  <c r="N190"/>
  <c r="M190"/>
  <c r="L190"/>
  <c r="K190"/>
  <c r="J190"/>
  <c r="I190"/>
  <c r="H190"/>
  <c r="G190"/>
  <c r="F190"/>
  <c r="E190"/>
  <c r="D190"/>
  <c r="C190"/>
  <c r="B190"/>
  <c r="A190"/>
  <c r="AA189"/>
  <c r="Z189"/>
  <c r="Y189"/>
  <c r="X189"/>
  <c r="V189"/>
  <c r="U189"/>
  <c r="T189"/>
  <c r="S189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V188"/>
  <c r="AA188" s="1"/>
  <c r="U188"/>
  <c r="Z188" s="1"/>
  <c r="T188"/>
  <c r="Y188" s="1"/>
  <c r="S188"/>
  <c r="X188" s="1"/>
  <c r="R188"/>
  <c r="W188" s="1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Z187"/>
  <c r="Y187"/>
  <c r="X187"/>
  <c r="W187"/>
  <c r="V187"/>
  <c r="AA187" s="1"/>
  <c r="U187"/>
  <c r="T187"/>
  <c r="S187"/>
  <c r="R187"/>
  <c r="Q187"/>
  <c r="O187"/>
  <c r="N187"/>
  <c r="M187"/>
  <c r="L187"/>
  <c r="K187"/>
  <c r="J187"/>
  <c r="I187"/>
  <c r="H187"/>
  <c r="G187"/>
  <c r="F187"/>
  <c r="E187"/>
  <c r="D187"/>
  <c r="C187"/>
  <c r="B187"/>
  <c r="A187"/>
  <c r="AA186"/>
  <c r="Z186"/>
  <c r="Y186"/>
  <c r="X186"/>
  <c r="V186"/>
  <c r="U186"/>
  <c r="T186"/>
  <c r="S186"/>
  <c r="R186"/>
  <c r="W186" s="1"/>
  <c r="Q186"/>
  <c r="AB186" s="1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Z184"/>
  <c r="Y184"/>
  <c r="X184"/>
  <c r="W184"/>
  <c r="V184"/>
  <c r="AA184" s="1"/>
  <c r="U184"/>
  <c r="T184"/>
  <c r="S184"/>
  <c r="R184"/>
  <c r="Q184"/>
  <c r="O184"/>
  <c r="N184"/>
  <c r="M184"/>
  <c r="L184"/>
  <c r="K184"/>
  <c r="J184"/>
  <c r="I184"/>
  <c r="H184"/>
  <c r="G184"/>
  <c r="F184"/>
  <c r="E184"/>
  <c r="D184"/>
  <c r="C184"/>
  <c r="B184"/>
  <c r="A184"/>
  <c r="AA183"/>
  <c r="Z183"/>
  <c r="Y183"/>
  <c r="X183"/>
  <c r="V183"/>
  <c r="U183"/>
  <c r="T183"/>
  <c r="S183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Z181"/>
  <c r="Y181"/>
  <c r="X181"/>
  <c r="W181"/>
  <c r="V181"/>
  <c r="AA181" s="1"/>
  <c r="U181"/>
  <c r="T181"/>
  <c r="S181"/>
  <c r="R181"/>
  <c r="Q181"/>
  <c r="O181"/>
  <c r="N181"/>
  <c r="M181"/>
  <c r="L181"/>
  <c r="K181"/>
  <c r="J181"/>
  <c r="I181"/>
  <c r="H181"/>
  <c r="G181"/>
  <c r="F181"/>
  <c r="E181"/>
  <c r="D181"/>
  <c r="C181"/>
  <c r="B181"/>
  <c r="A181"/>
  <c r="AA180"/>
  <c r="Z180"/>
  <c r="Y180"/>
  <c r="X180"/>
  <c r="V180"/>
  <c r="U180"/>
  <c r="T180"/>
  <c r="S180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V179"/>
  <c r="AA179" s="1"/>
  <c r="U179"/>
  <c r="Z179" s="1"/>
  <c r="T179"/>
  <c r="Y179" s="1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Z178"/>
  <c r="Y178"/>
  <c r="X178"/>
  <c r="W178"/>
  <c r="V178"/>
  <c r="AA178" s="1"/>
  <c r="U178"/>
  <c r="T178"/>
  <c r="S178"/>
  <c r="R178"/>
  <c r="Q178"/>
  <c r="O178"/>
  <c r="N178"/>
  <c r="M178"/>
  <c r="L178"/>
  <c r="K178"/>
  <c r="J178"/>
  <c r="I178"/>
  <c r="H178"/>
  <c r="G178"/>
  <c r="F178"/>
  <c r="E178"/>
  <c r="D178"/>
  <c r="C178"/>
  <c r="B178"/>
  <c r="A178"/>
  <c r="AA177"/>
  <c r="Z177"/>
  <c r="Y177"/>
  <c r="X177"/>
  <c r="V177"/>
  <c r="U177"/>
  <c r="T177"/>
  <c r="S177"/>
  <c r="R177"/>
  <c r="W177" s="1"/>
  <c r="Q177"/>
  <c r="AB177" s="1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AB176" s="1"/>
  <c r="O176"/>
  <c r="N176"/>
  <c r="M176"/>
  <c r="L176"/>
  <c r="K176"/>
  <c r="J176"/>
  <c r="I176"/>
  <c r="H176"/>
  <c r="G176"/>
  <c r="F176"/>
  <c r="E176"/>
  <c r="D176"/>
  <c r="C176"/>
  <c r="B176"/>
  <c r="A176"/>
  <c r="Z175"/>
  <c r="Y175"/>
  <c r="X175"/>
  <c r="W175"/>
  <c r="V175"/>
  <c r="AA175" s="1"/>
  <c r="U175"/>
  <c r="T175"/>
  <c r="S175"/>
  <c r="R175"/>
  <c r="Q175"/>
  <c r="O175"/>
  <c r="N175"/>
  <c r="M175"/>
  <c r="L175"/>
  <c r="K175"/>
  <c r="J175"/>
  <c r="I175"/>
  <c r="H175"/>
  <c r="G175"/>
  <c r="F175"/>
  <c r="E175"/>
  <c r="D175"/>
  <c r="C175"/>
  <c r="B175"/>
  <c r="A175"/>
  <c r="AA174"/>
  <c r="Z174"/>
  <c r="Y174"/>
  <c r="X174"/>
  <c r="V174"/>
  <c r="U174"/>
  <c r="T174"/>
  <c r="S174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V173"/>
  <c r="AA173" s="1"/>
  <c r="U173"/>
  <c r="Z173" s="1"/>
  <c r="T173"/>
  <c r="Y173" s="1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Z172"/>
  <c r="Y172"/>
  <c r="X172"/>
  <c r="W172"/>
  <c r="V172"/>
  <c r="AA172" s="1"/>
  <c r="U172"/>
  <c r="T172"/>
  <c r="S172"/>
  <c r="R172"/>
  <c r="Q172"/>
  <c r="AB172" s="1"/>
  <c r="P172"/>
  <c r="O172"/>
  <c r="N172"/>
  <c r="M172"/>
  <c r="L172"/>
  <c r="K172"/>
  <c r="J172"/>
  <c r="I172"/>
  <c r="H172"/>
  <c r="G172"/>
  <c r="F172"/>
  <c r="E172"/>
  <c r="D172"/>
  <c r="C172"/>
  <c r="B172"/>
  <c r="A172"/>
  <c r="AA171"/>
  <c r="Z171"/>
  <c r="Y171"/>
  <c r="X171"/>
  <c r="V171"/>
  <c r="U171"/>
  <c r="T171"/>
  <c r="S17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AB170" s="1"/>
  <c r="P170"/>
  <c r="O170"/>
  <c r="N170"/>
  <c r="M170"/>
  <c r="L170"/>
  <c r="K170"/>
  <c r="J170"/>
  <c r="I170"/>
  <c r="H170"/>
  <c r="G170"/>
  <c r="F170"/>
  <c r="E170"/>
  <c r="D170"/>
  <c r="C170"/>
  <c r="B170"/>
  <c r="A170"/>
  <c r="Z169"/>
  <c r="Y169"/>
  <c r="X169"/>
  <c r="W169"/>
  <c r="V169"/>
  <c r="AA169" s="1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A168"/>
  <c r="Z168"/>
  <c r="Y168"/>
  <c r="X168"/>
  <c r="V168"/>
  <c r="U168"/>
  <c r="T168"/>
  <c r="S168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Z166"/>
  <c r="Y166"/>
  <c r="X166"/>
  <c r="W166"/>
  <c r="V166"/>
  <c r="AA166" s="1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A165"/>
  <c r="Z165"/>
  <c r="Y165"/>
  <c r="X165"/>
  <c r="V165"/>
  <c r="U165"/>
  <c r="T165"/>
  <c r="S165"/>
  <c r="R165"/>
  <c r="W165" s="1"/>
  <c r="Q165"/>
  <c r="AB165" s="1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Z163"/>
  <c r="Y163"/>
  <c r="X163"/>
  <c r="W163"/>
  <c r="V163"/>
  <c r="AA163" s="1"/>
  <c r="U163"/>
  <c r="T163"/>
  <c r="S163"/>
  <c r="R163"/>
  <c r="Q163"/>
  <c r="AB163" s="1"/>
  <c r="P163"/>
  <c r="O163"/>
  <c r="N163"/>
  <c r="M163"/>
  <c r="L163"/>
  <c r="K163"/>
  <c r="J163"/>
  <c r="I163"/>
  <c r="H163"/>
  <c r="G163"/>
  <c r="F163"/>
  <c r="E163"/>
  <c r="D163"/>
  <c r="C163"/>
  <c r="B163"/>
  <c r="A163"/>
  <c r="AA162"/>
  <c r="Z162"/>
  <c r="Y162"/>
  <c r="X162"/>
  <c r="V162"/>
  <c r="U162"/>
  <c r="T162"/>
  <c r="S162"/>
  <c r="R162"/>
  <c r="W162" s="1"/>
  <c r="Q162"/>
  <c r="AB162" s="1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AB161" s="1"/>
  <c r="P161"/>
  <c r="O161"/>
  <c r="N161"/>
  <c r="M161"/>
  <c r="L161"/>
  <c r="K161"/>
  <c r="J161"/>
  <c r="I161"/>
  <c r="H161"/>
  <c r="G161"/>
  <c r="F161"/>
  <c r="E161"/>
  <c r="D161"/>
  <c r="C161"/>
  <c r="B161"/>
  <c r="A161"/>
  <c r="Z160"/>
  <c r="Y160"/>
  <c r="X160"/>
  <c r="W160"/>
  <c r="V160"/>
  <c r="AA160" s="1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A159"/>
  <c r="Z159"/>
  <c r="Y159"/>
  <c r="X159"/>
  <c r="V159"/>
  <c r="U159"/>
  <c r="T159"/>
  <c r="S159"/>
  <c r="R159"/>
  <c r="W159" s="1"/>
  <c r="Q159"/>
  <c r="AB159" s="1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Z157"/>
  <c r="Y157"/>
  <c r="X157"/>
  <c r="W157"/>
  <c r="V157"/>
  <c r="AA157" s="1"/>
  <c r="U157"/>
  <c r="T157"/>
  <c r="S157"/>
  <c r="R157"/>
  <c r="Q157"/>
  <c r="AB157" s="1"/>
  <c r="P157"/>
  <c r="O157"/>
  <c r="N157"/>
  <c r="M157"/>
  <c r="L157"/>
  <c r="K157"/>
  <c r="J157"/>
  <c r="I157"/>
  <c r="H157"/>
  <c r="G157"/>
  <c r="F157"/>
  <c r="E157"/>
  <c r="D157"/>
  <c r="C157"/>
  <c r="B157"/>
  <c r="A157"/>
  <c r="AA156"/>
  <c r="Z156"/>
  <c r="Y156"/>
  <c r="X156"/>
  <c r="V156"/>
  <c r="U156"/>
  <c r="T156"/>
  <c r="S156"/>
  <c r="R156"/>
  <c r="W156" s="1"/>
  <c r="Q156"/>
  <c r="AB156" s="1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Z154"/>
  <c r="Y154"/>
  <c r="X154"/>
  <c r="W154"/>
  <c r="V154"/>
  <c r="AA154" s="1"/>
  <c r="U154"/>
  <c r="T154"/>
  <c r="S154"/>
  <c r="R154"/>
  <c r="Q154"/>
  <c r="AB154" s="1"/>
  <c r="P154"/>
  <c r="O154"/>
  <c r="N154"/>
  <c r="M154"/>
  <c r="L154"/>
  <c r="K154"/>
  <c r="J154"/>
  <c r="I154"/>
  <c r="H154"/>
  <c r="G154"/>
  <c r="F154"/>
  <c r="E154"/>
  <c r="D154"/>
  <c r="C154"/>
  <c r="B154"/>
  <c r="A154"/>
  <c r="AA153"/>
  <c r="Z153"/>
  <c r="Y153"/>
  <c r="X153"/>
  <c r="V153"/>
  <c r="U153"/>
  <c r="T153"/>
  <c r="S153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AB152" s="1"/>
  <c r="P152"/>
  <c r="O152"/>
  <c r="N152"/>
  <c r="M152"/>
  <c r="L152"/>
  <c r="K152"/>
  <c r="J152"/>
  <c r="I152"/>
  <c r="H152"/>
  <c r="G152"/>
  <c r="F152"/>
  <c r="E152"/>
  <c r="D152"/>
  <c r="C152"/>
  <c r="B152"/>
  <c r="A152"/>
  <c r="Z151"/>
  <c r="Y151"/>
  <c r="X151"/>
  <c r="W151"/>
  <c r="V151"/>
  <c r="AA151" s="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A150"/>
  <c r="Z150"/>
  <c r="Y150"/>
  <c r="X150"/>
  <c r="V150"/>
  <c r="U150"/>
  <c r="T150"/>
  <c r="S150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Z148"/>
  <c r="Y148"/>
  <c r="X148"/>
  <c r="W148"/>
  <c r="V148"/>
  <c r="AA148" s="1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A147"/>
  <c r="Z147"/>
  <c r="Y147"/>
  <c r="X147"/>
  <c r="V147"/>
  <c r="U147"/>
  <c r="T147"/>
  <c r="S147"/>
  <c r="R147"/>
  <c r="W147" s="1"/>
  <c r="Q147"/>
  <c r="AB147" s="1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Z145"/>
  <c r="Y145"/>
  <c r="X145"/>
  <c r="W145"/>
  <c r="V145"/>
  <c r="AA145" s="1"/>
  <c r="U145"/>
  <c r="T145"/>
  <c r="S145"/>
  <c r="R145"/>
  <c r="Q145"/>
  <c r="AB145" s="1"/>
  <c r="P145"/>
  <c r="O145"/>
  <c r="N145"/>
  <c r="M145"/>
  <c r="L145"/>
  <c r="K145"/>
  <c r="J145"/>
  <c r="I145"/>
  <c r="H145"/>
  <c r="G145"/>
  <c r="F145"/>
  <c r="E145"/>
  <c r="D145"/>
  <c r="C145"/>
  <c r="B145"/>
  <c r="A145"/>
  <c r="AA144"/>
  <c r="Z144"/>
  <c r="Y144"/>
  <c r="X144"/>
  <c r="V144"/>
  <c r="U144"/>
  <c r="T144"/>
  <c r="S144"/>
  <c r="R144"/>
  <c r="W144" s="1"/>
  <c r="Q144"/>
  <c r="AB144" s="1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AB143" s="1"/>
  <c r="P143"/>
  <c r="O143"/>
  <c r="N143"/>
  <c r="M143"/>
  <c r="L143"/>
  <c r="K143"/>
  <c r="J143"/>
  <c r="I143"/>
  <c r="H143"/>
  <c r="G143"/>
  <c r="F143"/>
  <c r="E143"/>
  <c r="D143"/>
  <c r="C143"/>
  <c r="B143"/>
  <c r="A143"/>
  <c r="Z142"/>
  <c r="Y142"/>
  <c r="X142"/>
  <c r="W142"/>
  <c r="V142"/>
  <c r="AA142" s="1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A141"/>
  <c r="Z141"/>
  <c r="Y141"/>
  <c r="X141"/>
  <c r="V141"/>
  <c r="U141"/>
  <c r="T141"/>
  <c r="S141"/>
  <c r="R141"/>
  <c r="W141" s="1"/>
  <c r="Q141"/>
  <c r="AB141" s="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Z139"/>
  <c r="Y139"/>
  <c r="X139"/>
  <c r="W139"/>
  <c r="V139"/>
  <c r="AA139" s="1"/>
  <c r="U139"/>
  <c r="T139"/>
  <c r="S139"/>
  <c r="R139"/>
  <c r="Q139"/>
  <c r="AB139" s="1"/>
  <c r="P139"/>
  <c r="O139"/>
  <c r="N139"/>
  <c r="M139"/>
  <c r="L139"/>
  <c r="K139"/>
  <c r="J139"/>
  <c r="I139"/>
  <c r="H139"/>
  <c r="G139"/>
  <c r="F139"/>
  <c r="E139"/>
  <c r="D139"/>
  <c r="C139"/>
  <c r="B139"/>
  <c r="A139"/>
  <c r="AA138"/>
  <c r="Z138"/>
  <c r="Y138"/>
  <c r="X138"/>
  <c r="V138"/>
  <c r="U138"/>
  <c r="T138"/>
  <c r="S138"/>
  <c r="R138"/>
  <c r="W138" s="1"/>
  <c r="Q138"/>
  <c r="AB138" s="1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Z136"/>
  <c r="Y136"/>
  <c r="X136"/>
  <c r="W136"/>
  <c r="V136"/>
  <c r="AA136" s="1"/>
  <c r="U136"/>
  <c r="T136"/>
  <c r="S136"/>
  <c r="R136"/>
  <c r="Q136"/>
  <c r="AB136" s="1"/>
  <c r="P136"/>
  <c r="O136"/>
  <c r="N136"/>
  <c r="M136"/>
  <c r="L136"/>
  <c r="K136"/>
  <c r="J136"/>
  <c r="I136"/>
  <c r="H136"/>
  <c r="G136"/>
  <c r="F136"/>
  <c r="E136"/>
  <c r="D136"/>
  <c r="C136"/>
  <c r="B136"/>
  <c r="A136"/>
  <c r="AA135"/>
  <c r="Z135"/>
  <c r="Y135"/>
  <c r="X135"/>
  <c r="V135"/>
  <c r="U135"/>
  <c r="T135"/>
  <c r="S135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AB134" s="1"/>
  <c r="P134"/>
  <c r="O134"/>
  <c r="N134"/>
  <c r="M134"/>
  <c r="L134"/>
  <c r="K134"/>
  <c r="J134"/>
  <c r="I134"/>
  <c r="H134"/>
  <c r="G134"/>
  <c r="F134"/>
  <c r="E134"/>
  <c r="D134"/>
  <c r="C134"/>
  <c r="B134"/>
  <c r="A134"/>
  <c r="Z133"/>
  <c r="Y133"/>
  <c r="X133"/>
  <c r="W133"/>
  <c r="V133"/>
  <c r="AA133" s="1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A132"/>
  <c r="Z132"/>
  <c r="Y132"/>
  <c r="X132"/>
  <c r="V132"/>
  <c r="U132"/>
  <c r="T132"/>
  <c r="S132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Z130"/>
  <c r="Y130"/>
  <c r="X130"/>
  <c r="W130"/>
  <c r="V130"/>
  <c r="AA130" s="1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A129"/>
  <c r="Z129"/>
  <c r="Y129"/>
  <c r="X129"/>
  <c r="V129"/>
  <c r="U129"/>
  <c r="T129"/>
  <c r="S129"/>
  <c r="R129"/>
  <c r="W129" s="1"/>
  <c r="Q129"/>
  <c r="AB129" s="1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Z127"/>
  <c r="Y127"/>
  <c r="X127"/>
  <c r="W127"/>
  <c r="V127"/>
  <c r="AA127" s="1"/>
  <c r="U127"/>
  <c r="T127"/>
  <c r="S127"/>
  <c r="R127"/>
  <c r="Q127"/>
  <c r="AB127" s="1"/>
  <c r="P127"/>
  <c r="O127"/>
  <c r="N127"/>
  <c r="M127"/>
  <c r="L127"/>
  <c r="K127"/>
  <c r="J127"/>
  <c r="I127"/>
  <c r="H127"/>
  <c r="G127"/>
  <c r="F127"/>
  <c r="E127"/>
  <c r="D127"/>
  <c r="C127"/>
  <c r="B127"/>
  <c r="A127"/>
  <c r="AA126"/>
  <c r="Z126"/>
  <c r="Y126"/>
  <c r="X126"/>
  <c r="V126"/>
  <c r="U126"/>
  <c r="T126"/>
  <c r="S126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AB125" s="1"/>
  <c r="P125"/>
  <c r="O125"/>
  <c r="N125"/>
  <c r="M125"/>
  <c r="L125"/>
  <c r="K125"/>
  <c r="J125"/>
  <c r="I125"/>
  <c r="H125"/>
  <c r="G125"/>
  <c r="F125"/>
  <c r="E125"/>
  <c r="D125"/>
  <c r="C125"/>
  <c r="B125"/>
  <c r="A125"/>
  <c r="Z124"/>
  <c r="Y124"/>
  <c r="X124"/>
  <c r="W124"/>
  <c r="V124"/>
  <c r="AA124" s="1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A123"/>
  <c r="Z123"/>
  <c r="Y123"/>
  <c r="X123"/>
  <c r="V123"/>
  <c r="U123"/>
  <c r="T123"/>
  <c r="S123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V122"/>
  <c r="AA122" s="1"/>
  <c r="U122"/>
  <c r="Z122" s="1"/>
  <c r="T122"/>
  <c r="Y122" s="1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Z121"/>
  <c r="Y121"/>
  <c r="X121"/>
  <c r="W121"/>
  <c r="V121"/>
  <c r="AA121" s="1"/>
  <c r="U121"/>
  <c r="T121"/>
  <c r="S121"/>
  <c r="R121"/>
  <c r="Q121"/>
  <c r="AB121" s="1"/>
  <c r="P121"/>
  <c r="O121"/>
  <c r="N121"/>
  <c r="M121"/>
  <c r="L121"/>
  <c r="K121"/>
  <c r="J121"/>
  <c r="I121"/>
  <c r="H121"/>
  <c r="G121"/>
  <c r="F121"/>
  <c r="E121"/>
  <c r="D121"/>
  <c r="C121"/>
  <c r="B121"/>
  <c r="A121"/>
  <c r="AA120"/>
  <c r="Z120"/>
  <c r="Y120"/>
  <c r="X120"/>
  <c r="V120"/>
  <c r="U120"/>
  <c r="T120"/>
  <c r="S120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Z118"/>
  <c r="Y118"/>
  <c r="X118"/>
  <c r="W118"/>
  <c r="V118"/>
  <c r="AA118" s="1"/>
  <c r="U118"/>
  <c r="T118"/>
  <c r="S118"/>
  <c r="R118"/>
  <c r="Q118"/>
  <c r="AB118" s="1"/>
  <c r="P118"/>
  <c r="O118"/>
  <c r="N118"/>
  <c r="M118"/>
  <c r="L118"/>
  <c r="K118"/>
  <c r="J118"/>
  <c r="I118"/>
  <c r="H118"/>
  <c r="G118"/>
  <c r="F118"/>
  <c r="E118"/>
  <c r="D118"/>
  <c r="C118"/>
  <c r="B118"/>
  <c r="A118"/>
  <c r="AA117"/>
  <c r="Z117"/>
  <c r="Y117"/>
  <c r="X117"/>
  <c r="V117"/>
  <c r="U117"/>
  <c r="T117"/>
  <c r="S117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Z115"/>
  <c r="Y115"/>
  <c r="X115"/>
  <c r="W115"/>
  <c r="V115"/>
  <c r="AA115" s="1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A114"/>
  <c r="Z114"/>
  <c r="Y114"/>
  <c r="X114"/>
  <c r="V114"/>
  <c r="U114"/>
  <c r="T114"/>
  <c r="S114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Z112"/>
  <c r="Y112"/>
  <c r="X112"/>
  <c r="W112"/>
  <c r="V112"/>
  <c r="AA112" s="1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A111"/>
  <c r="Z111"/>
  <c r="Y111"/>
  <c r="X111"/>
  <c r="V111"/>
  <c r="U111"/>
  <c r="T111"/>
  <c r="S111"/>
  <c r="R111"/>
  <c r="W111" s="1"/>
  <c r="Q111"/>
  <c r="AB111" s="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Z109"/>
  <c r="Y109"/>
  <c r="X109"/>
  <c r="W109"/>
  <c r="V109"/>
  <c r="AA109" s="1"/>
  <c r="U109"/>
  <c r="T109"/>
  <c r="S109"/>
  <c r="R109"/>
  <c r="Q109"/>
  <c r="AB109" s="1"/>
  <c r="P109"/>
  <c r="O109"/>
  <c r="N109"/>
  <c r="M109"/>
  <c r="L109"/>
  <c r="K109"/>
  <c r="J109"/>
  <c r="I109"/>
  <c r="H109"/>
  <c r="G109"/>
  <c r="F109"/>
  <c r="E109"/>
  <c r="D109"/>
  <c r="C109"/>
  <c r="B109"/>
  <c r="A109"/>
  <c r="AA108"/>
  <c r="Z108"/>
  <c r="Y108"/>
  <c r="X108"/>
  <c r="V108"/>
  <c r="U108"/>
  <c r="T108"/>
  <c r="S108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V107"/>
  <c r="AA107" s="1"/>
  <c r="U107"/>
  <c r="Z107" s="1"/>
  <c r="T107"/>
  <c r="Y107" s="1"/>
  <c r="S107"/>
  <c r="X107" s="1"/>
  <c r="R107"/>
  <c r="W107" s="1"/>
  <c r="Q107"/>
  <c r="AB107" s="1"/>
  <c r="P107"/>
  <c r="O107"/>
  <c r="N107"/>
  <c r="M107"/>
  <c r="L107"/>
  <c r="K107"/>
  <c r="J107"/>
  <c r="I107"/>
  <c r="H107"/>
  <c r="G107"/>
  <c r="F107"/>
  <c r="E107"/>
  <c r="D107"/>
  <c r="C107"/>
  <c r="B107"/>
  <c r="A107"/>
  <c r="Z106"/>
  <c r="Y106"/>
  <c r="X106"/>
  <c r="W106"/>
  <c r="V106"/>
  <c r="AA106" s="1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A105"/>
  <c r="Z105"/>
  <c r="Y105"/>
  <c r="X105"/>
  <c r="V105"/>
  <c r="U105"/>
  <c r="T105"/>
  <c r="S105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Z103"/>
  <c r="Y103"/>
  <c r="X103"/>
  <c r="W103"/>
  <c r="V103"/>
  <c r="AA103" s="1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A102"/>
  <c r="Z102"/>
  <c r="Y102"/>
  <c r="X102"/>
  <c r="V102"/>
  <c r="U102"/>
  <c r="T102"/>
  <c r="S102"/>
  <c r="R102"/>
  <c r="W102" s="1"/>
  <c r="Q102"/>
  <c r="AB102" s="1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Z100"/>
  <c r="Y100"/>
  <c r="X100"/>
  <c r="W100"/>
  <c r="V100"/>
  <c r="AA100" s="1"/>
  <c r="U100"/>
  <c r="T100"/>
  <c r="S100"/>
  <c r="R100"/>
  <c r="Q100"/>
  <c r="AB100" s="1"/>
  <c r="P100"/>
  <c r="O100"/>
  <c r="N100"/>
  <c r="M100"/>
  <c r="L100"/>
  <c r="K100"/>
  <c r="J100"/>
  <c r="I100"/>
  <c r="H100"/>
  <c r="G100"/>
  <c r="F100"/>
  <c r="E100"/>
  <c r="D100"/>
  <c r="C100"/>
  <c r="B100"/>
  <c r="A100"/>
  <c r="AA99"/>
  <c r="Z99"/>
  <c r="Y99"/>
  <c r="X99"/>
  <c r="V99"/>
  <c r="U99"/>
  <c r="T99"/>
  <c r="S99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AB98" s="1"/>
  <c r="P98"/>
  <c r="O98"/>
  <c r="N98"/>
  <c r="M98"/>
  <c r="L98"/>
  <c r="K98"/>
  <c r="J98"/>
  <c r="I98"/>
  <c r="H98"/>
  <c r="G98"/>
  <c r="F98"/>
  <c r="E98"/>
  <c r="D98"/>
  <c r="C98"/>
  <c r="B98"/>
  <c r="A98"/>
  <c r="Z97"/>
  <c r="Y97"/>
  <c r="X97"/>
  <c r="W97"/>
  <c r="V97"/>
  <c r="AA97" s="1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A96"/>
  <c r="Z96"/>
  <c r="Y96"/>
  <c r="X96"/>
  <c r="V96"/>
  <c r="U96"/>
  <c r="T96"/>
  <c r="S96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V95"/>
  <c r="AA95" s="1"/>
  <c r="U95"/>
  <c r="Z95" s="1"/>
  <c r="T95"/>
  <c r="Y95" s="1"/>
  <c r="S95"/>
  <c r="X95" s="1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Z94"/>
  <c r="Y94"/>
  <c r="X94"/>
  <c r="W94"/>
  <c r="V94"/>
  <c r="AA94" s="1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A93"/>
  <c r="Z93"/>
  <c r="Y93"/>
  <c r="X93"/>
  <c r="V93"/>
  <c r="U93"/>
  <c r="T93"/>
  <c r="S93"/>
  <c r="R93"/>
  <c r="W93" s="1"/>
  <c r="Q93"/>
  <c r="AB93" s="1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Z91"/>
  <c r="Y91"/>
  <c r="X91"/>
  <c r="W91"/>
  <c r="V91"/>
  <c r="AA91" s="1"/>
  <c r="U91"/>
  <c r="T91"/>
  <c r="S91"/>
  <c r="R91"/>
  <c r="Q91"/>
  <c r="AB91" s="1"/>
  <c r="P91"/>
  <c r="O91"/>
  <c r="N91"/>
  <c r="M91"/>
  <c r="L91"/>
  <c r="K91"/>
  <c r="J91"/>
  <c r="I91"/>
  <c r="H91"/>
  <c r="G91"/>
  <c r="F91"/>
  <c r="E91"/>
  <c r="D91"/>
  <c r="C91"/>
  <c r="B91"/>
  <c r="A91"/>
  <c r="AA90"/>
  <c r="Z90"/>
  <c r="Y90"/>
  <c r="X90"/>
  <c r="V90"/>
  <c r="U90"/>
  <c r="T90"/>
  <c r="S90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AB89" s="1"/>
  <c r="P89"/>
  <c r="O89"/>
  <c r="N89"/>
  <c r="M89"/>
  <c r="L89"/>
  <c r="K89"/>
  <c r="J89"/>
  <c r="I89"/>
  <c r="H89"/>
  <c r="G89"/>
  <c r="F89"/>
  <c r="E89"/>
  <c r="D89"/>
  <c r="C89"/>
  <c r="B89"/>
  <c r="A89"/>
  <c r="Z88"/>
  <c r="Y88"/>
  <c r="X88"/>
  <c r="W88"/>
  <c r="V88"/>
  <c r="AA88" s="1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A87"/>
  <c r="Z87"/>
  <c r="Y87"/>
  <c r="X87"/>
  <c r="V87"/>
  <c r="U87"/>
  <c r="T87"/>
  <c r="S87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Z85"/>
  <c r="Y85"/>
  <c r="X85"/>
  <c r="W85"/>
  <c r="V85"/>
  <c r="AA85" s="1"/>
  <c r="U85"/>
  <c r="T85"/>
  <c r="S85"/>
  <c r="R85"/>
  <c r="Q85"/>
  <c r="AB85" s="1"/>
  <c r="O85"/>
  <c r="N85"/>
  <c r="M85"/>
  <c r="L85"/>
  <c r="K85"/>
  <c r="J85"/>
  <c r="I85"/>
  <c r="H85"/>
  <c r="G85"/>
  <c r="F85"/>
  <c r="E85"/>
  <c r="D85"/>
  <c r="C85"/>
  <c r="B85"/>
  <c r="A85"/>
  <c r="AA84"/>
  <c r="Z84"/>
  <c r="Y84"/>
  <c r="X84"/>
  <c r="V84"/>
  <c r="U84"/>
  <c r="T84"/>
  <c r="S84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V83"/>
  <c r="AA83" s="1"/>
  <c r="U83"/>
  <c r="Z83" s="1"/>
  <c r="T83"/>
  <c r="Y83" s="1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Z82"/>
  <c r="Y82"/>
  <c r="X82"/>
  <c r="W82"/>
  <c r="V82"/>
  <c r="AA82" s="1"/>
  <c r="U82"/>
  <c r="T82"/>
  <c r="S82"/>
  <c r="R82"/>
  <c r="Q82"/>
  <c r="O82"/>
  <c r="N82"/>
  <c r="M82"/>
  <c r="L82"/>
  <c r="K82"/>
  <c r="J82"/>
  <c r="I82"/>
  <c r="H82"/>
  <c r="G82"/>
  <c r="F82"/>
  <c r="E82"/>
  <c r="D82"/>
  <c r="C82"/>
  <c r="B82"/>
  <c r="A82"/>
  <c r="AA81"/>
  <c r="Z81"/>
  <c r="Y81"/>
  <c r="X81"/>
  <c r="V81"/>
  <c r="U81"/>
  <c r="T81"/>
  <c r="S81"/>
  <c r="R81"/>
  <c r="W81" s="1"/>
  <c r="Q81"/>
  <c r="AB81" s="1"/>
  <c r="O81"/>
  <c r="N81"/>
  <c r="M81"/>
  <c r="L81"/>
  <c r="K81"/>
  <c r="J81"/>
  <c r="I81"/>
  <c r="H81"/>
  <c r="G81"/>
  <c r="F81"/>
  <c r="E81"/>
  <c r="D81"/>
  <c r="C81"/>
  <c r="B81"/>
  <c r="A81"/>
  <c r="V80"/>
  <c r="AA80" s="1"/>
  <c r="U80"/>
  <c r="Z80" s="1"/>
  <c r="T80"/>
  <c r="Y80" s="1"/>
  <c r="S80"/>
  <c r="X80" s="1"/>
  <c r="R80"/>
  <c r="W80" s="1"/>
  <c r="Q80"/>
  <c r="AB80" s="1"/>
  <c r="O80"/>
  <c r="N80"/>
  <c r="M80"/>
  <c r="L80"/>
  <c r="K80"/>
  <c r="J80"/>
  <c r="I80"/>
  <c r="H80"/>
  <c r="G80"/>
  <c r="F80"/>
  <c r="E80"/>
  <c r="D80"/>
  <c r="C80"/>
  <c r="B80"/>
  <c r="A80"/>
  <c r="Z79"/>
  <c r="Y79"/>
  <c r="X79"/>
  <c r="W79"/>
  <c r="V79"/>
  <c r="AA79" s="1"/>
  <c r="U79"/>
  <c r="T79"/>
  <c r="S79"/>
  <c r="R79"/>
  <c r="Q79"/>
  <c r="AB79" s="1"/>
  <c r="O79"/>
  <c r="N79"/>
  <c r="M79"/>
  <c r="L79"/>
  <c r="K79"/>
  <c r="J79"/>
  <c r="I79"/>
  <c r="H79"/>
  <c r="G79"/>
  <c r="F79"/>
  <c r="E79"/>
  <c r="D79"/>
  <c r="C79"/>
  <c r="B79"/>
  <c r="A79"/>
  <c r="AA78"/>
  <c r="Z78"/>
  <c r="Y78"/>
  <c r="X78"/>
  <c r="V78"/>
  <c r="U78"/>
  <c r="T78"/>
  <c r="S78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Z76"/>
  <c r="Y76"/>
  <c r="X76"/>
  <c r="W76"/>
  <c r="V76"/>
  <c r="AA76" s="1"/>
  <c r="U76"/>
  <c r="T76"/>
  <c r="S76"/>
  <c r="R76"/>
  <c r="Q76"/>
  <c r="AB76" s="1"/>
  <c r="O76"/>
  <c r="N76"/>
  <c r="M76"/>
  <c r="L76"/>
  <c r="K76"/>
  <c r="J76"/>
  <c r="I76"/>
  <c r="H76"/>
  <c r="G76"/>
  <c r="F76"/>
  <c r="E76"/>
  <c r="D76"/>
  <c r="C76"/>
  <c r="B76"/>
  <c r="A76"/>
  <c r="AA75"/>
  <c r="Z75"/>
  <c r="Y75"/>
  <c r="X75"/>
  <c r="V75"/>
  <c r="U75"/>
  <c r="T75"/>
  <c r="S75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V74"/>
  <c r="AA74" s="1"/>
  <c r="U74"/>
  <c r="Z74" s="1"/>
  <c r="T74"/>
  <c r="Y74" s="1"/>
  <c r="S74"/>
  <c r="X74" s="1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Z73"/>
  <c r="Y73"/>
  <c r="X73"/>
  <c r="W73"/>
  <c r="V73"/>
  <c r="AA73" s="1"/>
  <c r="U73"/>
  <c r="T73"/>
  <c r="S73"/>
  <c r="R73"/>
  <c r="Q73"/>
  <c r="O73"/>
  <c r="N73"/>
  <c r="M73"/>
  <c r="L73"/>
  <c r="K73"/>
  <c r="J73"/>
  <c r="I73"/>
  <c r="H73"/>
  <c r="G73"/>
  <c r="F73"/>
  <c r="E73"/>
  <c r="D73"/>
  <c r="C73"/>
  <c r="B73"/>
  <c r="A73"/>
  <c r="AA72"/>
  <c r="Z72"/>
  <c r="Y72"/>
  <c r="X72"/>
  <c r="V72"/>
  <c r="U72"/>
  <c r="T72"/>
  <c r="S72"/>
  <c r="R72"/>
  <c r="W72" s="1"/>
  <c r="Q72"/>
  <c r="AB72" s="1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AB71" s="1"/>
  <c r="O71"/>
  <c r="N71"/>
  <c r="M71"/>
  <c r="L71"/>
  <c r="K71"/>
  <c r="J71"/>
  <c r="I71"/>
  <c r="H71"/>
  <c r="G71"/>
  <c r="F71"/>
  <c r="E71"/>
  <c r="D71"/>
  <c r="C71"/>
  <c r="B71"/>
  <c r="A71"/>
  <c r="Z70"/>
  <c r="Y70"/>
  <c r="X70"/>
  <c r="W70"/>
  <c r="V70"/>
  <c r="AA70" s="1"/>
  <c r="U70"/>
  <c r="T70"/>
  <c r="S70"/>
  <c r="R70"/>
  <c r="Q70"/>
  <c r="O70"/>
  <c r="N70"/>
  <c r="M70"/>
  <c r="L70"/>
  <c r="K70"/>
  <c r="J70"/>
  <c r="I70"/>
  <c r="H70"/>
  <c r="G70"/>
  <c r="F70"/>
  <c r="E70"/>
  <c r="D70"/>
  <c r="C70"/>
  <c r="B70"/>
  <c r="A70"/>
  <c r="AA69"/>
  <c r="Z69"/>
  <c r="Y69"/>
  <c r="X69"/>
  <c r="V69"/>
  <c r="U69"/>
  <c r="T69"/>
  <c r="S69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Z67"/>
  <c r="Y67"/>
  <c r="X67"/>
  <c r="W67"/>
  <c r="V67"/>
  <c r="AA67" s="1"/>
  <c r="U67"/>
  <c r="T67"/>
  <c r="S67"/>
  <c r="R67"/>
  <c r="Q67"/>
  <c r="AB67" s="1"/>
  <c r="O67"/>
  <c r="N67"/>
  <c r="M67"/>
  <c r="L67"/>
  <c r="K67"/>
  <c r="J67"/>
  <c r="I67"/>
  <c r="H67"/>
  <c r="G67"/>
  <c r="F67"/>
  <c r="E67"/>
  <c r="D67"/>
  <c r="C67"/>
  <c r="B67"/>
  <c r="A67"/>
  <c r="AA66"/>
  <c r="Z66"/>
  <c r="Y66"/>
  <c r="X66"/>
  <c r="V66"/>
  <c r="U66"/>
  <c r="T66"/>
  <c r="S66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Z64"/>
  <c r="Y64"/>
  <c r="X64"/>
  <c r="W64"/>
  <c r="V64"/>
  <c r="AA64" s="1"/>
  <c r="U64"/>
  <c r="T64"/>
  <c r="S64"/>
  <c r="R64"/>
  <c r="Q64"/>
  <c r="O64"/>
  <c r="N64"/>
  <c r="M64"/>
  <c r="L64"/>
  <c r="K64"/>
  <c r="J64"/>
  <c r="I64"/>
  <c r="H64"/>
  <c r="G64"/>
  <c r="F64"/>
  <c r="E64"/>
  <c r="D64"/>
  <c r="C64"/>
  <c r="B64"/>
  <c r="A64"/>
  <c r="AA63"/>
  <c r="Z63"/>
  <c r="Y63"/>
  <c r="X63"/>
  <c r="V63"/>
  <c r="U63"/>
  <c r="T63"/>
  <c r="S63"/>
  <c r="R63"/>
  <c r="W63" s="1"/>
  <c r="Q63"/>
  <c r="AB63" s="1"/>
  <c r="O63"/>
  <c r="N63"/>
  <c r="M63"/>
  <c r="L63"/>
  <c r="K63"/>
  <c r="J63"/>
  <c r="I63"/>
  <c r="H63"/>
  <c r="G63"/>
  <c r="F63"/>
  <c r="E63"/>
  <c r="D63"/>
  <c r="C63"/>
  <c r="B63"/>
  <c r="A63"/>
  <c r="V62"/>
  <c r="AA62" s="1"/>
  <c r="U62"/>
  <c r="Z62" s="1"/>
  <c r="T62"/>
  <c r="Y62" s="1"/>
  <c r="S62"/>
  <c r="X62" s="1"/>
  <c r="R62"/>
  <c r="W62" s="1"/>
  <c r="Q62"/>
  <c r="AB62" s="1"/>
  <c r="O62"/>
  <c r="N62"/>
  <c r="M62"/>
  <c r="L62"/>
  <c r="K62"/>
  <c r="J62"/>
  <c r="I62"/>
  <c r="H62"/>
  <c r="G62"/>
  <c r="F62"/>
  <c r="E62"/>
  <c r="D62"/>
  <c r="C62"/>
  <c r="B62"/>
  <c r="A62"/>
  <c r="Z61"/>
  <c r="Y61"/>
  <c r="X61"/>
  <c r="W61"/>
  <c r="V61"/>
  <c r="AA61" s="1"/>
  <c r="U61"/>
  <c r="T61"/>
  <c r="S61"/>
  <c r="R61"/>
  <c r="Q61"/>
  <c r="AB61" s="1"/>
  <c r="O61"/>
  <c r="N61"/>
  <c r="M61"/>
  <c r="L61"/>
  <c r="K61"/>
  <c r="J61"/>
  <c r="I61"/>
  <c r="H61"/>
  <c r="G61"/>
  <c r="F61"/>
  <c r="E61"/>
  <c r="D61"/>
  <c r="C61"/>
  <c r="B61"/>
  <c r="A61"/>
  <c r="AA60"/>
  <c r="Z60"/>
  <c r="Y60"/>
  <c r="X60"/>
  <c r="V60"/>
  <c r="U60"/>
  <c r="T60"/>
  <c r="S60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V59"/>
  <c r="AA59" s="1"/>
  <c r="U59"/>
  <c r="Z59" s="1"/>
  <c r="T59"/>
  <c r="Y59" s="1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Z58"/>
  <c r="Y58"/>
  <c r="X58"/>
  <c r="W58"/>
  <c r="V58"/>
  <c r="AA58" s="1"/>
  <c r="U58"/>
  <c r="T58"/>
  <c r="S58"/>
  <c r="R58"/>
  <c r="Q58"/>
  <c r="AB58" s="1"/>
  <c r="O58"/>
  <c r="N58"/>
  <c r="M58"/>
  <c r="L58"/>
  <c r="K58"/>
  <c r="J58"/>
  <c r="I58"/>
  <c r="H58"/>
  <c r="G58"/>
  <c r="F58"/>
  <c r="E58"/>
  <c r="D58"/>
  <c r="C58"/>
  <c r="B58"/>
  <c r="A58"/>
  <c r="AA57"/>
  <c r="Z57"/>
  <c r="Y57"/>
  <c r="X57"/>
  <c r="V57"/>
  <c r="U57"/>
  <c r="T57"/>
  <c r="S57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V56"/>
  <c r="AA56" s="1"/>
  <c r="U56"/>
  <c r="Z56" s="1"/>
  <c r="T56"/>
  <c r="Y56" s="1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Z55"/>
  <c r="Y55"/>
  <c r="X55"/>
  <c r="W55"/>
  <c r="V55"/>
  <c r="AA55" s="1"/>
  <c r="U55"/>
  <c r="T55"/>
  <c r="S55"/>
  <c r="R55"/>
  <c r="Q55"/>
  <c r="O55"/>
  <c r="N55"/>
  <c r="M55"/>
  <c r="L55"/>
  <c r="K55"/>
  <c r="J55"/>
  <c r="I55"/>
  <c r="H55"/>
  <c r="G55"/>
  <c r="F55"/>
  <c r="E55"/>
  <c r="D55"/>
  <c r="C55"/>
  <c r="B55"/>
  <c r="A55"/>
  <c r="AA54"/>
  <c r="Z54"/>
  <c r="Y54"/>
  <c r="X54"/>
  <c r="V54"/>
  <c r="U54"/>
  <c r="T54"/>
  <c r="S54"/>
  <c r="R54"/>
  <c r="W54" s="1"/>
  <c r="Q54"/>
  <c r="AB54" s="1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Z52"/>
  <c r="Y52"/>
  <c r="X52"/>
  <c r="W52"/>
  <c r="V52"/>
  <c r="AA52" s="1"/>
  <c r="U52"/>
  <c r="T52"/>
  <c r="S52"/>
  <c r="R52"/>
  <c r="Q52"/>
  <c r="AB52" s="1"/>
  <c r="O52"/>
  <c r="N52"/>
  <c r="M52"/>
  <c r="L52"/>
  <c r="K52"/>
  <c r="J52"/>
  <c r="I52"/>
  <c r="H52"/>
  <c r="G52"/>
  <c r="F52"/>
  <c r="E52"/>
  <c r="D52"/>
  <c r="C52"/>
  <c r="B52"/>
  <c r="A52"/>
  <c r="AA51"/>
  <c r="Z51"/>
  <c r="Y51"/>
  <c r="X51"/>
  <c r="V51"/>
  <c r="U51"/>
  <c r="T51"/>
  <c r="S51"/>
  <c r="R51"/>
  <c r="W51" s="1"/>
  <c r="Q51"/>
  <c r="AB51" s="1"/>
  <c r="O51"/>
  <c r="N51"/>
  <c r="M51"/>
  <c r="L51"/>
  <c r="K51"/>
  <c r="J51"/>
  <c r="I51"/>
  <c r="H51"/>
  <c r="G51"/>
  <c r="F51"/>
  <c r="E51"/>
  <c r="D51"/>
  <c r="C51"/>
  <c r="B51"/>
  <c r="A51"/>
  <c r="V50"/>
  <c r="AA50" s="1"/>
  <c r="U50"/>
  <c r="Z50" s="1"/>
  <c r="T50"/>
  <c r="Y50" s="1"/>
  <c r="S50"/>
  <c r="X50" s="1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Z49"/>
  <c r="Y49"/>
  <c r="X49"/>
  <c r="W49"/>
  <c r="V49"/>
  <c r="AA49" s="1"/>
  <c r="U49"/>
  <c r="T49"/>
  <c r="S49"/>
  <c r="R49"/>
  <c r="Q49"/>
  <c r="AB49" s="1"/>
  <c r="O49"/>
  <c r="N49"/>
  <c r="M49"/>
  <c r="L49"/>
  <c r="K49"/>
  <c r="J49"/>
  <c r="I49"/>
  <c r="H49"/>
  <c r="G49"/>
  <c r="F49"/>
  <c r="E49"/>
  <c r="D49"/>
  <c r="C49"/>
  <c r="B49"/>
  <c r="A49"/>
  <c r="AA48"/>
  <c r="Z48"/>
  <c r="Y48"/>
  <c r="X48"/>
  <c r="V48"/>
  <c r="U48"/>
  <c r="T48"/>
  <c r="S48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Z46"/>
  <c r="Y46"/>
  <c r="X46"/>
  <c r="W46"/>
  <c r="V46"/>
  <c r="AA46" s="1"/>
  <c r="U46"/>
  <c r="T46"/>
  <c r="S46"/>
  <c r="R46"/>
  <c r="Q46"/>
  <c r="O46"/>
  <c r="N46"/>
  <c r="M46"/>
  <c r="L46"/>
  <c r="K46"/>
  <c r="J46"/>
  <c r="I46"/>
  <c r="H46"/>
  <c r="G46"/>
  <c r="F46"/>
  <c r="E46"/>
  <c r="D46"/>
  <c r="C46"/>
  <c r="B46"/>
  <c r="A46"/>
  <c r="AA45"/>
  <c r="Z45"/>
  <c r="Y45"/>
  <c r="X45"/>
  <c r="V45"/>
  <c r="U45"/>
  <c r="T45"/>
  <c r="S45"/>
  <c r="R45"/>
  <c r="W45" s="1"/>
  <c r="Q45"/>
  <c r="AB45" s="1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AB44" s="1"/>
  <c r="O44"/>
  <c r="N44"/>
  <c r="M44"/>
  <c r="L44"/>
  <c r="K44"/>
  <c r="J44"/>
  <c r="I44"/>
  <c r="H44"/>
  <c r="G44"/>
  <c r="F44"/>
  <c r="E44"/>
  <c r="D44"/>
  <c r="C44"/>
  <c r="B44"/>
  <c r="A44"/>
  <c r="Z43"/>
  <c r="Y43"/>
  <c r="X43"/>
  <c r="W43"/>
  <c r="V43"/>
  <c r="AA43" s="1"/>
  <c r="U43"/>
  <c r="T43"/>
  <c r="S43"/>
  <c r="R43"/>
  <c r="Q43"/>
  <c r="AB43" s="1"/>
  <c r="O43"/>
  <c r="N43"/>
  <c r="M43"/>
  <c r="L43"/>
  <c r="K43"/>
  <c r="J43"/>
  <c r="I43"/>
  <c r="H43"/>
  <c r="G43"/>
  <c r="F43"/>
  <c r="E43"/>
  <c r="D43"/>
  <c r="C43"/>
  <c r="B43"/>
  <c r="A43"/>
  <c r="AA42"/>
  <c r="Z42"/>
  <c r="Y42"/>
  <c r="X42"/>
  <c r="V42"/>
  <c r="U42"/>
  <c r="T42"/>
  <c r="S42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Z40"/>
  <c r="Y40"/>
  <c r="X40"/>
  <c r="W40"/>
  <c r="V40"/>
  <c r="AA40" s="1"/>
  <c r="U40"/>
  <c r="T40"/>
  <c r="S40"/>
  <c r="R40"/>
  <c r="Q40"/>
  <c r="AB40" s="1"/>
  <c r="O40"/>
  <c r="N40"/>
  <c r="M40"/>
  <c r="L40"/>
  <c r="K40"/>
  <c r="J40"/>
  <c r="I40"/>
  <c r="H40"/>
  <c r="G40"/>
  <c r="F40"/>
  <c r="E40"/>
  <c r="D40"/>
  <c r="C40"/>
  <c r="B40"/>
  <c r="A40"/>
  <c r="AA39"/>
  <c r="Z39"/>
  <c r="Y39"/>
  <c r="X39"/>
  <c r="V39"/>
  <c r="U39"/>
  <c r="T39"/>
  <c r="S39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V38"/>
  <c r="AA38" s="1"/>
  <c r="U38"/>
  <c r="Z38" s="1"/>
  <c r="T38"/>
  <c r="Y38" s="1"/>
  <c r="S38"/>
  <c r="X38" s="1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Z37"/>
  <c r="Y37"/>
  <c r="X37"/>
  <c r="W37"/>
  <c r="V37"/>
  <c r="AA37" s="1"/>
  <c r="U37"/>
  <c r="T37"/>
  <c r="S37"/>
  <c r="R37"/>
  <c r="Q37"/>
  <c r="O37"/>
  <c r="N37"/>
  <c r="M37"/>
  <c r="L37"/>
  <c r="K37"/>
  <c r="J37"/>
  <c r="I37"/>
  <c r="H37"/>
  <c r="G37"/>
  <c r="F37"/>
  <c r="E37"/>
  <c r="D37"/>
  <c r="C37"/>
  <c r="B37"/>
  <c r="A37"/>
  <c r="AA36"/>
  <c r="Z36"/>
  <c r="Y36"/>
  <c r="X36"/>
  <c r="V36"/>
  <c r="U36"/>
  <c r="T36"/>
  <c r="S36"/>
  <c r="R36"/>
  <c r="W36" s="1"/>
  <c r="Q36"/>
  <c r="AB36" s="1"/>
  <c r="O36"/>
  <c r="N36"/>
  <c r="M36"/>
  <c r="L36"/>
  <c r="K36"/>
  <c r="J36"/>
  <c r="I36"/>
  <c r="H36"/>
  <c r="G36"/>
  <c r="F36"/>
  <c r="E36"/>
  <c r="D36"/>
  <c r="C36"/>
  <c r="B36"/>
  <c r="A36"/>
  <c r="V35"/>
  <c r="AA35" s="1"/>
  <c r="U35"/>
  <c r="Z35" s="1"/>
  <c r="T35"/>
  <c r="Y35" s="1"/>
  <c r="S35"/>
  <c r="X35" s="1"/>
  <c r="R35"/>
  <c r="W35" s="1"/>
  <c r="Q35"/>
  <c r="AB35" s="1"/>
  <c r="O35"/>
  <c r="N35"/>
  <c r="M35"/>
  <c r="L35"/>
  <c r="K35"/>
  <c r="J35"/>
  <c r="I35"/>
  <c r="H35"/>
  <c r="G35"/>
  <c r="F35"/>
  <c r="E35"/>
  <c r="D35"/>
  <c r="C35"/>
  <c r="B35"/>
  <c r="A35"/>
  <c r="Z34"/>
  <c r="Y34"/>
  <c r="X34"/>
  <c r="W34"/>
  <c r="V34"/>
  <c r="AA34" s="1"/>
  <c r="U34"/>
  <c r="T34"/>
  <c r="S34"/>
  <c r="R34"/>
  <c r="Q34"/>
  <c r="O34"/>
  <c r="N34"/>
  <c r="M34"/>
  <c r="L34"/>
  <c r="K34"/>
  <c r="J34"/>
  <c r="I34"/>
  <c r="H34"/>
  <c r="G34"/>
  <c r="F34"/>
  <c r="E34"/>
  <c r="D34"/>
  <c r="C34"/>
  <c r="B34"/>
  <c r="A34"/>
  <c r="AA33"/>
  <c r="Z33"/>
  <c r="Y33"/>
  <c r="X33"/>
  <c r="V33"/>
  <c r="U33"/>
  <c r="T33"/>
  <c r="S33"/>
  <c r="R33"/>
  <c r="W33" s="1"/>
  <c r="Q33"/>
  <c r="AB33" s="1"/>
  <c r="O33"/>
  <c r="N33"/>
  <c r="M33"/>
  <c r="L33"/>
  <c r="K33"/>
  <c r="J33"/>
  <c r="I33"/>
  <c r="H33"/>
  <c r="G33"/>
  <c r="F33"/>
  <c r="E33"/>
  <c r="D33"/>
  <c r="C33"/>
  <c r="B33"/>
  <c r="A33"/>
  <c r="V32"/>
  <c r="AA32" s="1"/>
  <c r="U32"/>
  <c r="Z32" s="1"/>
  <c r="T32"/>
  <c r="Y32" s="1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Z31"/>
  <c r="Y31"/>
  <c r="X31"/>
  <c r="W31"/>
  <c r="V31"/>
  <c r="AA31" s="1"/>
  <c r="U31"/>
  <c r="T31"/>
  <c r="S31"/>
  <c r="R31"/>
  <c r="Q31"/>
  <c r="AB31" s="1"/>
  <c r="O31"/>
  <c r="N31"/>
  <c r="M31"/>
  <c r="L31"/>
  <c r="K31"/>
  <c r="J31"/>
  <c r="I31"/>
  <c r="H31"/>
  <c r="G31"/>
  <c r="F31"/>
  <c r="E31"/>
  <c r="D31"/>
  <c r="C31"/>
  <c r="B31"/>
  <c r="A31"/>
  <c r="AA30"/>
  <c r="Z30"/>
  <c r="Y30"/>
  <c r="X30"/>
  <c r="V30"/>
  <c r="U30"/>
  <c r="T30"/>
  <c r="S30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Z28"/>
  <c r="Y28"/>
  <c r="X28"/>
  <c r="W28"/>
  <c r="V28"/>
  <c r="AA28" s="1"/>
  <c r="U28"/>
  <c r="T28"/>
  <c r="S28"/>
  <c r="R28"/>
  <c r="Q28"/>
  <c r="O28"/>
  <c r="N28"/>
  <c r="M28"/>
  <c r="L28"/>
  <c r="K28"/>
  <c r="J28"/>
  <c r="I28"/>
  <c r="H28"/>
  <c r="G28"/>
  <c r="F28"/>
  <c r="E28"/>
  <c r="D28"/>
  <c r="C28"/>
  <c r="B28"/>
  <c r="A28"/>
  <c r="AA27"/>
  <c r="Z27"/>
  <c r="Y27"/>
  <c r="X27"/>
  <c r="V27"/>
  <c r="U27"/>
  <c r="T27"/>
  <c r="S27"/>
  <c r="R27"/>
  <c r="W27" s="1"/>
  <c r="Q27"/>
  <c r="AB27" s="1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AB26" s="1"/>
  <c r="O26"/>
  <c r="N26"/>
  <c r="M26"/>
  <c r="L26"/>
  <c r="K26"/>
  <c r="J26"/>
  <c r="I26"/>
  <c r="H26"/>
  <c r="G26"/>
  <c r="F26"/>
  <c r="E26"/>
  <c r="D26"/>
  <c r="C26"/>
  <c r="B26"/>
  <c r="A26"/>
  <c r="Z25"/>
  <c r="Y25"/>
  <c r="X25"/>
  <c r="W25"/>
  <c r="V25"/>
  <c r="AA25" s="1"/>
  <c r="U25"/>
  <c r="T25"/>
  <c r="S25"/>
  <c r="R25"/>
  <c r="Q25"/>
  <c r="AB25" s="1"/>
  <c r="O25"/>
  <c r="N25"/>
  <c r="M25"/>
  <c r="L25"/>
  <c r="K25"/>
  <c r="J25"/>
  <c r="I25"/>
  <c r="H25"/>
  <c r="G25"/>
  <c r="F25"/>
  <c r="E25"/>
  <c r="D25"/>
  <c r="C25"/>
  <c r="B25"/>
  <c r="A25"/>
  <c r="AA24"/>
  <c r="Z24"/>
  <c r="Y24"/>
  <c r="X24"/>
  <c r="V24"/>
  <c r="U24"/>
  <c r="T24"/>
  <c r="S24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V23"/>
  <c r="AA23" s="1"/>
  <c r="U23"/>
  <c r="Z23" s="1"/>
  <c r="T23"/>
  <c r="Y23" s="1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Z22"/>
  <c r="Y22"/>
  <c r="X22"/>
  <c r="W22"/>
  <c r="V22"/>
  <c r="AA22" s="1"/>
  <c r="U22"/>
  <c r="T22"/>
  <c r="S22"/>
  <c r="R22"/>
  <c r="Q22"/>
  <c r="AB22" s="1"/>
  <c r="O22"/>
  <c r="N22"/>
  <c r="M22"/>
  <c r="L22"/>
  <c r="K22"/>
  <c r="J22"/>
  <c r="I22"/>
  <c r="H22"/>
  <c r="G22"/>
  <c r="F22"/>
  <c r="E22"/>
  <c r="D22"/>
  <c r="C22"/>
  <c r="B22"/>
  <c r="A22"/>
  <c r="AA21"/>
  <c r="Z21"/>
  <c r="Y21"/>
  <c r="X21"/>
  <c r="V21"/>
  <c r="U21"/>
  <c r="T21"/>
  <c r="S2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V20"/>
  <c r="AA20" s="1"/>
  <c r="U20"/>
  <c r="Z20" s="1"/>
  <c r="T20"/>
  <c r="Y20" s="1"/>
  <c r="S20"/>
  <c r="X20" s="1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Z19"/>
  <c r="Y19"/>
  <c r="X19"/>
  <c r="V19"/>
  <c r="AA19" s="1"/>
  <c r="U19"/>
  <c r="T19"/>
  <c r="S19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Z18"/>
  <c r="Y18"/>
  <c r="X18"/>
  <c r="V18"/>
  <c r="AA18" s="1"/>
  <c r="U18"/>
  <c r="T18"/>
  <c r="S18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Z16"/>
  <c r="Y16"/>
  <c r="X16"/>
  <c r="V16"/>
  <c r="AA16" s="1"/>
  <c r="U16"/>
  <c r="T16"/>
  <c r="S16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Z15"/>
  <c r="Y15"/>
  <c r="X15"/>
  <c r="V15"/>
  <c r="AA15" s="1"/>
  <c r="U15"/>
  <c r="T15"/>
  <c r="S15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V14"/>
  <c r="AA14" s="1"/>
  <c r="U14"/>
  <c r="Z14" s="1"/>
  <c r="T14"/>
  <c r="Y14" s="1"/>
  <c r="S14"/>
  <c r="X14" s="1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Z13"/>
  <c r="Y13"/>
  <c r="X13"/>
  <c r="V13"/>
  <c r="AA13" s="1"/>
  <c r="U13"/>
  <c r="T13"/>
  <c r="S13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Z12"/>
  <c r="Y12"/>
  <c r="X12"/>
  <c r="V12"/>
  <c r="AA12" s="1"/>
  <c r="U12"/>
  <c r="T12"/>
  <c r="S12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V11"/>
  <c r="AA11" s="1"/>
  <c r="U11"/>
  <c r="Z11" s="1"/>
  <c r="T11"/>
  <c r="Y11" s="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Z10"/>
  <c r="Y10"/>
  <c r="X10"/>
  <c r="V10"/>
  <c r="AA10" s="1"/>
  <c r="U10"/>
  <c r="T10"/>
  <c r="S10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Z9"/>
  <c r="Y9"/>
  <c r="X9"/>
  <c r="V9"/>
  <c r="AA9" s="1"/>
  <c r="U9"/>
  <c r="T9"/>
  <c r="S9"/>
  <c r="R9"/>
  <c r="W9" s="1"/>
  <c r="Q9"/>
  <c r="O9"/>
  <c r="N9"/>
  <c r="M9"/>
  <c r="L9"/>
  <c r="K9"/>
  <c r="J9"/>
  <c r="I9"/>
  <c r="H9"/>
  <c r="G9"/>
  <c r="F9"/>
  <c r="E9"/>
  <c r="D9"/>
  <c r="C9"/>
  <c r="B9"/>
  <c r="A9"/>
  <c r="V8"/>
  <c r="AA8" s="1"/>
  <c r="U8"/>
  <c r="Z8" s="1"/>
  <c r="T8"/>
  <c r="Y8" s="1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Z7"/>
  <c r="Y7"/>
  <c r="X7"/>
  <c r="V7"/>
  <c r="AA7" s="1"/>
  <c r="U7"/>
  <c r="T7"/>
  <c r="S7"/>
  <c r="R7"/>
  <c r="W7" s="1"/>
  <c r="Q7"/>
  <c r="O7"/>
  <c r="N7"/>
  <c r="M7"/>
  <c r="L7"/>
  <c r="K7"/>
  <c r="J7"/>
  <c r="I7"/>
  <c r="H7"/>
  <c r="G7"/>
  <c r="F7"/>
  <c r="E7"/>
  <c r="D7"/>
  <c r="C7"/>
  <c r="B7"/>
  <c r="A7"/>
  <c r="Z6"/>
  <c r="Y6"/>
  <c r="X6"/>
  <c r="V6"/>
  <c r="AA6" s="1"/>
  <c r="U6"/>
  <c r="T6"/>
  <c r="S6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Z4"/>
  <c r="Y4"/>
  <c r="X4"/>
  <c r="V4"/>
  <c r="AA4" s="1"/>
  <c r="U4"/>
  <c r="T4"/>
  <c r="S4"/>
  <c r="R4"/>
  <c r="W4" s="1"/>
  <c r="Q4"/>
  <c r="O4"/>
  <c r="N4"/>
  <c r="M4"/>
  <c r="L4"/>
  <c r="K4"/>
  <c r="J4"/>
  <c r="I4"/>
  <c r="H4"/>
  <c r="G4"/>
  <c r="F4"/>
  <c r="E4"/>
  <c r="D4"/>
  <c r="C4"/>
  <c r="B4"/>
  <c r="A4"/>
  <c r="Z3"/>
  <c r="Y3"/>
  <c r="X3"/>
  <c r="V3"/>
  <c r="AA3" s="1"/>
  <c r="U3"/>
  <c r="T3"/>
  <c r="S3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P262" s="1"/>
  <c r="O2"/>
  <c r="N2"/>
  <c r="M2"/>
  <c r="L2"/>
  <c r="K2"/>
  <c r="J2"/>
  <c r="I2"/>
  <c r="H2"/>
  <c r="G2"/>
  <c r="F2"/>
  <c r="E2"/>
  <c r="D2"/>
  <c r="C2"/>
  <c r="B2"/>
  <c r="A2"/>
  <c r="P2" s="1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78" i="1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K192"/>
  <c r="H192"/>
  <c r="J192" s="1"/>
  <c r="B192"/>
  <c r="M191"/>
  <c r="K191"/>
  <c r="H191"/>
  <c r="J191" s="1"/>
  <c r="B191"/>
  <c r="M190"/>
  <c r="K190"/>
  <c r="J190"/>
  <c r="H190"/>
  <c r="B190"/>
  <c r="M189"/>
  <c r="K189"/>
  <c r="H189"/>
  <c r="J189" s="1"/>
  <c r="B189"/>
  <c r="M188"/>
  <c r="I188"/>
  <c r="K188" s="1"/>
  <c r="H188"/>
  <c r="J188" s="1"/>
  <c r="B188"/>
  <c r="I187"/>
  <c r="K187" s="1"/>
  <c r="H187"/>
  <c r="J187" s="1"/>
  <c r="B187"/>
  <c r="M186"/>
  <c r="J186"/>
  <c r="I186"/>
  <c r="K186" s="1"/>
  <c r="H186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H182"/>
  <c r="J182" s="1"/>
  <c r="B182"/>
  <c r="M181"/>
  <c r="H181"/>
  <c r="J181" s="1"/>
  <c r="B181"/>
  <c r="M180"/>
  <c r="H180"/>
  <c r="J180" s="1"/>
  <c r="B180"/>
  <c r="M179"/>
  <c r="H179"/>
  <c r="J179" s="1"/>
  <c r="B179"/>
  <c r="M178"/>
  <c r="J178"/>
  <c r="H178"/>
  <c r="B178"/>
  <c r="M177"/>
  <c r="H177"/>
  <c r="J177" s="1"/>
  <c r="B177"/>
  <c r="M176"/>
  <c r="H176"/>
  <c r="J176" s="1"/>
  <c r="B176"/>
  <c r="M175"/>
  <c r="H175"/>
  <c r="J175" s="1"/>
  <c r="B175"/>
  <c r="M174"/>
  <c r="H174"/>
  <c r="J174" s="1"/>
  <c r="B174"/>
  <c r="M173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J170"/>
  <c r="I170"/>
  <c r="K170" s="1"/>
  <c r="H170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H107"/>
  <c r="J107" s="1"/>
  <c r="B107"/>
  <c r="M106"/>
  <c r="J106"/>
  <c r="H106"/>
  <c r="B106"/>
  <c r="M105"/>
  <c r="H105"/>
  <c r="J105" s="1"/>
  <c r="B105"/>
  <c r="M104"/>
  <c r="H104"/>
  <c r="J104" s="1"/>
  <c r="B104"/>
  <c r="M103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H68"/>
  <c r="J68" s="1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H63"/>
  <c r="J63" s="1"/>
  <c r="B63"/>
  <c r="M62"/>
  <c r="H62"/>
  <c r="J62" s="1"/>
  <c r="B62"/>
  <c r="M61"/>
  <c r="H61"/>
  <c r="J61" s="1"/>
  <c r="B61"/>
  <c r="M60"/>
  <c r="H60"/>
  <c r="J60" s="1"/>
  <c r="B60"/>
  <c r="M59"/>
  <c r="H59"/>
  <c r="J59" s="1"/>
  <c r="B59"/>
  <c r="M58"/>
  <c r="H58"/>
  <c r="J58" s="1"/>
  <c r="B58"/>
  <c r="M57"/>
  <c r="H57"/>
  <c r="J57" s="1"/>
  <c r="B57"/>
  <c r="M56"/>
  <c r="H56"/>
  <c r="J56" s="1"/>
  <c r="B56"/>
  <c r="M55"/>
  <c r="H55"/>
  <c r="J55" s="1"/>
  <c r="B55"/>
  <c r="M54"/>
  <c r="H54"/>
  <c r="J54" s="1"/>
  <c r="B54"/>
  <c r="M53"/>
  <c r="H53"/>
  <c r="J53" s="1"/>
  <c r="B53"/>
  <c r="M52"/>
  <c r="H52"/>
  <c r="J52" s="1"/>
  <c r="B52"/>
  <c r="M51"/>
  <c r="H51"/>
  <c r="J51" s="1"/>
  <c r="B51"/>
  <c r="M50"/>
  <c r="H50"/>
  <c r="J50" s="1"/>
  <c r="B50"/>
  <c r="M49"/>
  <c r="H49"/>
  <c r="J49" s="1"/>
  <c r="B49"/>
  <c r="M48"/>
  <c r="H48"/>
  <c r="J48" s="1"/>
  <c r="B48"/>
  <c r="M47"/>
  <c r="H47"/>
  <c r="J47" s="1"/>
  <c r="B47"/>
  <c r="M46"/>
  <c r="H46"/>
  <c r="J46" s="1"/>
  <c r="B46"/>
  <c r="M45"/>
  <c r="H45"/>
  <c r="J45" s="1"/>
  <c r="B45"/>
  <c r="M44"/>
  <c r="H44"/>
  <c r="J44" s="1"/>
  <c r="B44"/>
  <c r="M43"/>
  <c r="H43"/>
  <c r="J43" s="1"/>
  <c r="B43"/>
  <c r="M42"/>
  <c r="H42"/>
  <c r="J42" s="1"/>
  <c r="B42"/>
  <c r="M41"/>
  <c r="H41"/>
  <c r="J41" s="1"/>
  <c r="B41"/>
  <c r="M40"/>
  <c r="H40"/>
  <c r="J40" s="1"/>
  <c r="B40"/>
  <c r="M39"/>
  <c r="H39"/>
  <c r="J39" s="1"/>
  <c r="B39"/>
  <c r="M38"/>
  <c r="H38"/>
  <c r="J38" s="1"/>
  <c r="B38"/>
  <c r="M37"/>
  <c r="H37"/>
  <c r="J37" s="1"/>
  <c r="B37"/>
  <c r="M36"/>
  <c r="H36"/>
  <c r="J36" s="1"/>
  <c r="B36"/>
  <c r="M35"/>
  <c r="H35"/>
  <c r="J35" s="1"/>
  <c r="B35"/>
  <c r="M34"/>
  <c r="H34"/>
  <c r="J34" s="1"/>
  <c r="B34"/>
  <c r="M33"/>
  <c r="H33"/>
  <c r="J33" s="1"/>
  <c r="B33"/>
  <c r="M32"/>
  <c r="H32"/>
  <c r="J32" s="1"/>
  <c r="B32"/>
  <c r="M31"/>
  <c r="H31"/>
  <c r="J31" s="1"/>
  <c r="B31"/>
  <c r="M30"/>
  <c r="H30"/>
  <c r="J30" s="1"/>
  <c r="B30"/>
  <c r="M29"/>
  <c r="H29"/>
  <c r="J29" s="1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H5"/>
  <c r="J5" s="1"/>
  <c r="B5"/>
  <c r="M4"/>
  <c r="H4"/>
  <c r="J4" s="1"/>
  <c r="B4"/>
  <c r="M3"/>
  <c r="H3"/>
  <c r="J3" s="1"/>
  <c r="B3"/>
  <c r="A2"/>
  <c r="T101" i="2" l="1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7" i="2"/>
  <c r="I47" i="1" s="1"/>
  <c r="K47" s="1"/>
  <c r="CV35" i="2"/>
  <c r="I35" i="1" s="1"/>
  <c r="K35" s="1"/>
  <c r="CV42" i="2"/>
  <c r="I42" i="1" s="1"/>
  <c r="K42" s="1"/>
  <c r="CV30" i="2"/>
  <c r="I30" i="1" s="1"/>
  <c r="K30" s="1"/>
  <c r="CV77" i="2"/>
  <c r="I77" i="1" s="1"/>
  <c r="K77" s="1"/>
  <c r="CV49" i="2"/>
  <c r="I49" i="1" s="1"/>
  <c r="K49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39" i="2"/>
  <c r="I39" i="1" s="1"/>
  <c r="K39" s="1"/>
  <c r="CV27" i="2"/>
  <c r="I27" i="1" s="1"/>
  <c r="K27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46" i="2"/>
  <c r="I46" i="1" s="1"/>
  <c r="K46" s="1"/>
  <c r="CV34" i="2"/>
  <c r="I34" i="1" s="1"/>
  <c r="K34" s="1"/>
  <c r="CV25" i="2"/>
  <c r="I25" i="1" s="1"/>
  <c r="K25" s="1"/>
  <c r="CV23" i="2"/>
  <c r="I23" i="1" s="1"/>
  <c r="K23" s="1"/>
  <c r="CV21" i="2"/>
  <c r="I21" i="1" s="1"/>
  <c r="K21" s="1"/>
  <c r="CV19" i="2"/>
  <c r="I19" i="1" s="1"/>
  <c r="K19" s="1"/>
  <c r="CV17" i="2"/>
  <c r="I17" i="1" s="1"/>
  <c r="K17" s="1"/>
  <c r="CV15" i="2"/>
  <c r="I15" i="1" s="1"/>
  <c r="K15" s="1"/>
  <c r="CV13" i="2"/>
  <c r="I13" i="1" s="1"/>
  <c r="K13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41" i="2"/>
  <c r="I41" i="1" s="1"/>
  <c r="K41" s="1"/>
  <c r="CV29" i="2"/>
  <c r="I29" i="1" s="1"/>
  <c r="K29" s="1"/>
  <c r="CV48" i="2"/>
  <c r="I48" i="1" s="1"/>
  <c r="K48" s="1"/>
  <c r="CV36" i="2"/>
  <c r="I36" i="1" s="1"/>
  <c r="K36" s="1"/>
  <c r="CV43" i="2"/>
  <c r="I43" i="1" s="1"/>
  <c r="K43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8" i="2"/>
  <c r="I68" i="1" s="1"/>
  <c r="K68" s="1"/>
  <c r="CV66" i="2"/>
  <c r="I66" i="1" s="1"/>
  <c r="K66" s="1"/>
  <c r="CV64" i="2"/>
  <c r="I64" i="1" s="1"/>
  <c r="K64" s="1"/>
  <c r="CV62" i="2"/>
  <c r="I62" i="1" s="1"/>
  <c r="K62" s="1"/>
  <c r="CV60" i="2"/>
  <c r="I60" i="1" s="1"/>
  <c r="K60" s="1"/>
  <c r="CV58" i="2"/>
  <c r="I58" i="1" s="1"/>
  <c r="K58" s="1"/>
  <c r="CV56" i="2"/>
  <c r="I56" i="1" s="1"/>
  <c r="K56" s="1"/>
  <c r="CV54" i="2"/>
  <c r="I54" i="1" s="1"/>
  <c r="K54" s="1"/>
  <c r="CV52" i="2"/>
  <c r="I52" i="1" s="1"/>
  <c r="K52" s="1"/>
  <c r="CV50" i="2"/>
  <c r="I50" i="1" s="1"/>
  <c r="K50" s="1"/>
  <c r="CV38" i="2"/>
  <c r="I38" i="1" s="1"/>
  <c r="K38" s="1"/>
  <c r="CV45" i="2"/>
  <c r="I45" i="1" s="1"/>
  <c r="K45" s="1"/>
  <c r="CV33" i="2"/>
  <c r="I33" i="1" s="1"/>
  <c r="K33" s="1"/>
  <c r="CV40" i="2"/>
  <c r="I40" i="1" s="1"/>
  <c r="K40" s="1"/>
  <c r="CV28" i="2"/>
  <c r="I28" i="1" s="1"/>
  <c r="K28" s="1"/>
  <c r="CV26" i="2"/>
  <c r="I26" i="1" s="1"/>
  <c r="K26" s="1"/>
  <c r="CV24" i="2"/>
  <c r="I24" i="1" s="1"/>
  <c r="K24" s="1"/>
  <c r="CV22" i="2"/>
  <c r="I22" i="1" s="1"/>
  <c r="K22" s="1"/>
  <c r="CV20" i="2"/>
  <c r="I20" i="1" s="1"/>
  <c r="K20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74" i="2" l="1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<sst xmlns="http://schemas.openxmlformats.org/spreadsheetml/2006/main" count="6122" uniqueCount="991">
  <si>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</si>
  <si>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</si>
  <si>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</si>
  <si>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</si>
  <si>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</si>
  <si>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</si>
  <si>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</si>
  <si>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</si>
  <si>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</si>
  <si>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</si>
  <si>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</si>
  <si>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</si>
  <si>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</si>
  <si>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</si>
  <si>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</si>
  <si>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</si>
  <si>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</si>
  <si>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</si>
  <si>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</si>
  <si>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</si>
  <si>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</si>
  <si>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</si>
  <si>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</si>
  <si>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</si>
  <si>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</si>
  <si>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</si>
  <si>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</si>
  <si>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</si>
  <si>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</si>
  <si>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</si>
  <si>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</si>
  <si>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</si>
  <si>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</si>
  <si>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</si>
  <si>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</si>
  <si>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</si>
  <si>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</si>
  <si>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</si>
  <si>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</si>
  <si>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</si>
  <si>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</si>
  <si>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</si>
  <si>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</si>
  <si>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</si>
  <si>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</si>
  <si>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</si>
  <si>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</si>
  <si>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</si>
  <si>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</si>
  <si>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</si>
  <si>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</si>
  <si>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</si>
  <si>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</si>
  <si>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</si>
  <si>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</si>
  <si>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</si>
  <si>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</si>
  <si>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</si>
  <si>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</si>
  <si>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</si>
  <si>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</si>
  <si>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</si>
  <si>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</si>
  <si>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</si>
  <si>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</si>
  <si>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</si>
  <si>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</si>
  <si>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</si>
  <si>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</si>
  <si>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</si>
  <si>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</si>
  <si>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</si>
  <si>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</si>
  <si>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</si>
  <si>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</si>
  <si>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</si>
  <si>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</si>
  <si>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</si>
  <si>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</si>
  <si>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</si>
  <si>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</si>
  <si>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</si>
  <si>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</si>
  <si>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</si>
  <si>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</si>
  <si>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</si>
  <si>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</si>
  <si>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</si>
  <si>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</si>
  <si>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</si>
  <si>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</si>
  <si>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</si>
  <si>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</si>
  <si>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</si>
  <si>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</si>
  <si>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</si>
  <si>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</si>
  <si>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</si>
  <si>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</si>
  <si>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</si>
  <si>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</si>
  <si>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</si>
  <si>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</si>
  <si>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</si>
  <si>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</si>
  <si>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</si>
  <si>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</si>
  <si>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</si>
  <si>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</si>
  <si>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</si>
  <si>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</si>
  <si>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</si>
  <si>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</si>
  <si>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</si>
  <si>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</si>
  <si>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</si>
  <si>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</si>
  <si>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</si>
  <si>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</si>
  <si>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</si>
  <si>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</si>
  <si>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</si>
  <si>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</si>
  <si>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</si>
  <si>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</si>
  <si>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</si>
  <si>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</si>
  <si>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</si>
  <si>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</si>
  <si>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</si>
  <si>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</si>
  <si>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</si>
  <si>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</si>
  <si>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</si>
  <si>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</si>
  <si>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</si>
  <si>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</si>
  <si>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</si>
  <si>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</si>
  <si>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</si>
  <si>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</si>
  <si>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</si>
  <si>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</si>
  <si>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</si>
  <si>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</si>
  <si>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</si>
  <si>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</si>
  <si>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</si>
  <si>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</si>
  <si>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</si>
  <si>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</si>
  <si>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</si>
  <si>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</si>
  <si>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</si>
  <si>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</si>
  <si>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</si>
  <si>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</si>
  <si>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</si>
  <si>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</si>
  <si>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</si>
  <si>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</si>
  <si>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</si>
  <si>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</si>
  <si>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</si>
  <si>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</si>
  <si>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</si>
  <si>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</si>
  <si>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</si>
  <si>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</si>
  <si>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</si>
  <si>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</si>
  <si>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</si>
  <si>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</si>
  <si>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</si>
  <si>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</si>
  <si>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</si>
  <si>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</si>
  <si>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</si>
  <si>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</si>
  <si>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</si>
  <si>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</si>
  <si>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</si>
  <si>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</si>
  <si>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</si>
  <si>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</si>
  <si>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</si>
  <si>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</si>
  <si>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</si>
  <si>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</si>
  <si>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</si>
  <si>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</si>
  <si>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</si>
  <si>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</si>
  <si>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</si>
  <si>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</si>
  <si>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</si>
  <si>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</si>
  <si>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</si>
  <si>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</si>
  <si>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</si>
  <si>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</si>
  <si>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</si>
  <si>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</si>
  <si>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</si>
  <si>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</si>
  <si>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</si>
  <si>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</si>
  <si>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</si>
  <si>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</si>
  <si>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</si>
  <si>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</si>
  <si>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</si>
  <si>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</si>
  <si>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</si>
  <si>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</si>
  <si>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</si>
  <si>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</si>
  <si>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</si>
  <si>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</si>
  <si>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</si>
  <si>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</si>
  <si>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</si>
  <si>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</si>
  <si>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</si>
  <si>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</si>
  <si>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</si>
  <si>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</si>
  <si>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</si>
  <si>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</si>
  <si>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</si>
  <si>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</si>
  <si>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</si>
  <si>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</si>
  <si>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</si>
  <si>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</si>
  <si>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</si>
  <si>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</si>
  <si>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</si>
  <si>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</si>
  <si>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</si>
  <si>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</si>
  <si>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</si>
  <si>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</si>
  <si>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</si>
  <si>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</si>
  <si>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</si>
  <si>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</si>
  <si>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</si>
  <si>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</si>
  <si>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</si>
  <si>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</si>
  <si>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</si>
  <si>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</si>
  <si>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</si>
  <si>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</si>
  <si>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</si>
  <si>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</si>
  <si>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</si>
  <si>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</si>
  <si>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</si>
  <si>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</si>
  <si>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</si>
  <si>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</si>
  <si>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</si>
  <si>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</si>
  <si>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</si>
  <si>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</si>
  <si>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</si>
  <si>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</si>
  <si>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</si>
  <si>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</si>
  <si>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</si>
  <si>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</si>
  <si>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</si>
  <si>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</si>
  <si>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</si>
  <si>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</si>
  <si>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</si>
  <si>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</si>
  <si>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</si>
  <si>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</si>
  <si>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</si>
  <si>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</si>
  <si>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</si>
  <si>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</si>
  <si>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</si>
  <si>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</si>
  <si>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</si>
  <si>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</si>
  <si>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</si>
  <si>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</si>
  <si>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</si>
  <si>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</si>
  <si>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</si>
  <si>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</si>
  <si>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</si>
  <si>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</si>
  <si>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</si>
  <si>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</si>
  <si>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</si>
  <si>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</si>
  <si>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</si>
  <si>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</si>
  <si>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</si>
  <si>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</si>
  <si>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</si>
  <si>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</si>
  <si>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</si>
  <si>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</si>
  <si>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</si>
  <si>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</si>
  <si>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</si>
  <si>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</si>
  <si>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</si>
  <si>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</si>
  <si>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</si>
  <si>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</si>
  <si>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</si>
  <si>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</si>
  <si>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</si>
  <si>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</si>
  <si>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</si>
  <si>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</si>
  <si>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</si>
  <si>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</si>
  <si>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</si>
  <si>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</si>
  <si>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</si>
  <si>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</si>
  <si>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</si>
  <si>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</si>
  <si>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</si>
  <si>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</si>
  <si>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</si>
  <si>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</si>
  <si>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</si>
  <si>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</si>
  <si>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</si>
  <si>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</si>
  <si>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</si>
  <si>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</si>
  <si>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</si>
  <si>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</si>
  <si>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</si>
  <si>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</si>
  <si>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</si>
  <si>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</si>
  <si>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</si>
  <si>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</si>
  <si>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</si>
  <si>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</si>
  <si>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</si>
  <si>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</si>
  <si>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</si>
  <si>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</si>
  <si>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</si>
  <si>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</si>
  <si>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</si>
  <si>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</si>
  <si>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</si>
  <si>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</si>
  <si>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</si>
  <si>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</si>
  <si>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</si>
  <si>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</si>
  <si>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</si>
  <si>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</si>
  <si>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</si>
  <si>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</si>
  <si>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</si>
  <si>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</si>
  <si>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</si>
  <si>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</si>
  <si>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</si>
  <si>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</si>
  <si>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</si>
  <si>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</si>
  <si>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</si>
  <si>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</si>
  <si>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</si>
  <si>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</si>
  <si>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</si>
  <si>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</si>
  <si>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</si>
  <si>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</si>
  <si>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</si>
  <si>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</si>
  <si>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</si>
  <si>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</si>
  <si>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</si>
  <si>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</si>
  <si>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</si>
  <si>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</si>
  <si>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</si>
  <si>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</si>
  <si>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</si>
  <si>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</si>
  <si>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</si>
  <si>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</si>
  <si>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</si>
  <si>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</si>
  <si>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</si>
  <si>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</si>
  <si>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</si>
  <si>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</si>
  <si>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</si>
  <si>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</si>
  <si>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</si>
  <si>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</si>
  <si>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</si>
  <si>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</si>
  <si>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</si>
  <si>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</si>
  <si>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</si>
  <si>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</si>
  <si>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</si>
  <si>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</si>
  <si>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</si>
  <si>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</si>
  <si>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</si>
  <si>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</si>
  <si>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</si>
  <si>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</si>
  <si>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</si>
  <si>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</si>
  <si>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</si>
  <si>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</si>
  <si>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</si>
  <si>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</si>
  <si>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</si>
  <si>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</si>
  <si>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</si>
  <si>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</si>
  <si>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</si>
  <si>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</si>
  <si>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</si>
  <si>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</si>
  <si>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</si>
  <si>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</si>
  <si>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</si>
  <si>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</si>
  <si>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</si>
  <si>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</si>
  <si>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</si>
  <si>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</si>
  <si>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</si>
  <si>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</si>
  <si>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</si>
  <si>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</si>
  <si>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</si>
  <si>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</si>
  <si>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</si>
  <si>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</si>
  <si>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</si>
  <si>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</si>
  <si>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</si>
  <si>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</si>
  <si>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</si>
  <si>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</si>
  <si>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</si>
  <si>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</si>
  <si>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</si>
  <si>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</si>
  <si>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</si>
  <si>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</si>
  <si>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</si>
  <si>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</si>
  <si>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</si>
  <si>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</si>
  <si>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</si>
  <si>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</si>
  <si>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</si>
  <si>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</si>
  <si>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</si>
  <si>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</si>
  <si>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</si>
  <si>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</si>
  <si>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</si>
  <si>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</si>
  <si>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</si>
  <si>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</si>
  <si>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</si>
  <si>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</si>
  <si>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</si>
  <si>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</si>
  <si>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</si>
  <si>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</si>
  <si>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</si>
  <si>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</si>
  <si>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</si>
  <si>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</si>
  <si>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</si>
  <si>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</si>
  <si>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</si>
  <si>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</si>
  <si>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</si>
  <si>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</si>
  <si>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</si>
  <si>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</si>
  <si>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</si>
  <si>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</si>
  <si>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</si>
  <si>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</si>
  <si>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</si>
  <si>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</si>
  <si>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</si>
  <si>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</si>
  <si>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</si>
  <si>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</si>
  <si>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</si>
  <si>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</si>
  <si>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</si>
  <si>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</si>
  <si>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</si>
  <si>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</si>
  <si>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</si>
  <si>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</si>
  <si>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</si>
  <si>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</si>
  <si>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</si>
  <si>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</si>
  <si>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</si>
  <si>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</si>
  <si>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</si>
  <si>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</si>
  <si>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</si>
  <si>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</si>
  <si>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</si>
  <si>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</si>
  <si>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</si>
  <si>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</si>
  <si>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</si>
  <si>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</si>
  <si>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</si>
  <si>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</si>
  <si>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</si>
  <si>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</si>
  <si>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</si>
  <si>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</si>
  <si>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</si>
  <si>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</si>
  <si>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</si>
  <si>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</si>
  <si>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</si>
  <si>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</si>
  <si>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</si>
  <si>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</si>
  <si>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</si>
  <si>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</si>
  <si>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</si>
  <si>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</si>
  <si>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</si>
  <si>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</si>
  <si>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</si>
  <si>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</si>
  <si>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</si>
  <si>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</si>
  <si>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</si>
  <si>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</si>
  <si>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</si>
  <si>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</si>
  <si>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</si>
  <si>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</si>
  <si>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</si>
  <si>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</si>
  <si>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</si>
  <si>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</si>
  <si>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</si>
  <si>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</si>
  <si>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</si>
  <si>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</si>
  <si>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</si>
  <si>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</si>
  <si>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</si>
  <si>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</si>
  <si>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</si>
  <si>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</si>
  <si>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</si>
  <si>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</si>
  <si>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</si>
  <si>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</si>
  <si>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</si>
  <si>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</si>
  <si>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</si>
  <si>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</si>
  <si>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</si>
  <si>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</si>
  <si>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</si>
  <si>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</si>
  <si>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</si>
  <si>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</si>
  <si>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</si>
  <si>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</si>
  <si>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</si>
  <si>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</si>
  <si>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</si>
  <si>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</si>
  <si>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</si>
  <si>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</si>
  <si>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</si>
  <si>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</si>
  <si>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</si>
  <si>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</si>
  <si>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</si>
  <si>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</si>
  <si>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</si>
  <si>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</si>
  <si>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</si>
  <si>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</si>
  <si>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</si>
  <si>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</si>
  <si>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</si>
  <si>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</si>
  <si>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</si>
  <si>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</si>
  <si>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</si>
  <si>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</si>
  <si>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</si>
  <si>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</si>
  <si>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</si>
  <si>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</si>
  <si>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</si>
  <si>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</si>
  <si>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</si>
  <si>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</si>
  <si>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</si>
  <si>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</si>
  <si>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</si>
  <si>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</si>
  <si>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</si>
  <si>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ReplaceableTextures\\CommandButtons\\BTNIN08.blp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</si>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</sst>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6" fillId="0" borderId="0" xfId="0" applyFont="1" applyAlignment="1">
      <alignment vertical="center" wrapText="1"/>
    </xf>
    <xf numFmtId="0" fontId="15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workbookViewId="0">
      <pane xSplit="8" ySplit="2" topLeftCell="I189" activePane="bottomRight" state="frozen"/>
      <selection pane="topRight"/>
      <selection pane="bottomLeft"/>
      <selection pane="bottomRight" activeCell="I193" sqref="I19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2" customWidth="1"/>
    <col min="10" max="10" width="18.625" customWidth="1"/>
    <col min="11" max="11" width="41" customWidth="1"/>
    <col min="12" max="12" width="9" style="10" customWidth="1"/>
    <col min="13" max="13" width="47.375" style="146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2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2"/>
    <col min="41" max="16384" width="9" style="10"/>
  </cols>
  <sheetData>
    <row r="1" spans="1:42" s="142" customFormat="1">
      <c r="A1" s="146"/>
      <c r="B1" s="142" t="s">
        <v>0</v>
      </c>
      <c r="C1" s="142" t="s">
        <v>1</v>
      </c>
      <c r="D1" s="142" t="s">
        <v>2</v>
      </c>
      <c r="E1" s="168" t="s">
        <v>3</v>
      </c>
      <c r="F1" s="142" t="s">
        <v>4</v>
      </c>
      <c r="G1" s="142" t="s">
        <v>5</v>
      </c>
      <c r="H1" s="142" t="s">
        <v>6</v>
      </c>
      <c r="I1" s="142" t="s">
        <v>7</v>
      </c>
      <c r="J1" s="143" t="s">
        <v>8</v>
      </c>
      <c r="K1" s="143" t="s">
        <v>9</v>
      </c>
      <c r="L1" s="142" t="s">
        <v>10</v>
      </c>
      <c r="M1" s="142" t="s">
        <v>11</v>
      </c>
      <c r="N1" s="142" t="s">
        <v>12</v>
      </c>
      <c r="O1" s="142" t="s">
        <v>13</v>
      </c>
      <c r="P1" s="142" t="s">
        <v>14</v>
      </c>
      <c r="Q1" s="142" t="s">
        <v>15</v>
      </c>
      <c r="R1" s="142" t="s">
        <v>16</v>
      </c>
      <c r="S1" s="142" t="s">
        <v>17</v>
      </c>
      <c r="T1" s="142" t="s">
        <v>18</v>
      </c>
      <c r="U1" s="142" t="s">
        <v>19</v>
      </c>
      <c r="V1" s="142" t="s">
        <v>20</v>
      </c>
      <c r="W1" s="142" t="s">
        <v>21</v>
      </c>
      <c r="X1" s="142" t="s">
        <v>22</v>
      </c>
      <c r="Y1" s="142" t="s">
        <v>23</v>
      </c>
      <c r="Z1" s="142" t="s">
        <v>24</v>
      </c>
      <c r="AA1" s="142" t="s">
        <v>25</v>
      </c>
      <c r="AB1" s="142" t="s">
        <v>26</v>
      </c>
      <c r="AC1" s="142" t="s">
        <v>27</v>
      </c>
      <c r="AD1" s="142" t="s">
        <v>28</v>
      </c>
      <c r="AE1" s="142" t="s">
        <v>29</v>
      </c>
      <c r="AF1" s="142" t="s">
        <v>30</v>
      </c>
      <c r="AG1" s="142" t="s">
        <v>31</v>
      </c>
      <c r="AH1" s="142" t="s">
        <v>32</v>
      </c>
      <c r="AI1" s="142" t="s">
        <v>33</v>
      </c>
      <c r="AJ1" s="143" t="s">
        <v>34</v>
      </c>
      <c r="AK1" s="142" t="s">
        <v>35</v>
      </c>
      <c r="AL1" s="142" t="s">
        <v>36</v>
      </c>
      <c r="AM1" s="142" t="s">
        <v>37</v>
      </c>
      <c r="AN1" s="142" t="s">
        <v>38</v>
      </c>
      <c r="AO1" s="142" t="s">
        <v>39</v>
      </c>
      <c r="AP1" s="143" t="s">
        <v>40</v>
      </c>
    </row>
    <row r="2" spans="1:42" s="143" customFormat="1" ht="12.75" customHeight="1">
      <c r="A2" s="147">
        <f>COUNTA(B:B)+1</f>
        <v>278</v>
      </c>
      <c r="C2" s="143" t="s">
        <v>41</v>
      </c>
      <c r="D2" s="143" t="s">
        <v>42</v>
      </c>
      <c r="E2" s="143" t="s">
        <v>43</v>
      </c>
      <c r="F2" s="143" t="s">
        <v>44</v>
      </c>
      <c r="G2" s="143" t="s">
        <v>45</v>
      </c>
      <c r="H2" s="143" t="s">
        <v>46</v>
      </c>
      <c r="I2" s="143" t="s">
        <v>47</v>
      </c>
      <c r="J2" s="143" t="s">
        <v>48</v>
      </c>
      <c r="K2" s="143" t="s">
        <v>49</v>
      </c>
      <c r="L2" s="143" t="s">
        <v>50</v>
      </c>
      <c r="M2" s="143" t="s">
        <v>51</v>
      </c>
      <c r="N2" s="143" t="s">
        <v>52</v>
      </c>
      <c r="O2" s="143" t="s">
        <v>53</v>
      </c>
      <c r="P2" s="143" t="s">
        <v>54</v>
      </c>
      <c r="Q2" s="143" t="s">
        <v>55</v>
      </c>
      <c r="R2" s="143" t="s">
        <v>56</v>
      </c>
      <c r="S2" s="143" t="s">
        <v>57</v>
      </c>
      <c r="T2" s="143" t="s">
        <v>58</v>
      </c>
      <c r="U2" s="143" t="s">
        <v>59</v>
      </c>
      <c r="V2" s="143" t="s">
        <v>60</v>
      </c>
      <c r="W2" s="143" t="s">
        <v>61</v>
      </c>
      <c r="X2" s="143" t="s">
        <v>62</v>
      </c>
      <c r="Y2" s="143" t="s">
        <v>63</v>
      </c>
      <c r="Z2" s="143" t="s">
        <v>64</v>
      </c>
      <c r="AA2" s="143" t="s">
        <v>65</v>
      </c>
      <c r="AB2" s="143" t="s">
        <v>66</v>
      </c>
      <c r="AC2" s="143" t="s">
        <v>67</v>
      </c>
      <c r="AD2" s="143" t="s">
        <v>68</v>
      </c>
      <c r="AE2" s="143" t="s">
        <v>69</v>
      </c>
      <c r="AF2" s="143" t="s">
        <v>70</v>
      </c>
      <c r="AG2" s="143" t="s">
        <v>71</v>
      </c>
      <c r="AH2" s="143" t="s">
        <v>72</v>
      </c>
      <c r="AI2" s="143" t="s">
        <v>73</v>
      </c>
      <c r="AJ2" s="143" t="s">
        <v>74</v>
      </c>
      <c r="AK2" s="143" t="s">
        <v>75</v>
      </c>
      <c r="AL2" s="143" t="s">
        <v>76</v>
      </c>
      <c r="AM2" s="143" t="s">
        <v>77</v>
      </c>
      <c r="AN2" s="143" t="s">
        <v>78</v>
      </c>
      <c r="AO2" s="143" t="s">
        <v>79</v>
      </c>
      <c r="AP2" s="143" t="s">
        <v>80</v>
      </c>
    </row>
    <row r="3" spans="1:42">
      <c r="A3" s="146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8" t="str">
        <f t="shared" ref="J3" si="0">H3</f>
        <v>[武器]古纹剑lv1</v>
      </c>
      <c r="K3" s="148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9" t="str">
        <f>VLOOKUP(LEFT(RIGHT(B3,5),4),物品!B:CU,20,FALSE)</f>
        <v>ReplaceableTextures\\CommandButtons\\BTNZ01.blp</v>
      </c>
      <c r="N3" s="168" t="s">
        <v>83</v>
      </c>
      <c r="O3" s="169" t="s">
        <v>84</v>
      </c>
      <c r="P3" s="27">
        <v>0</v>
      </c>
      <c r="Q3" s="27">
        <v>0</v>
      </c>
      <c r="R3" s="168" t="s">
        <v>83</v>
      </c>
      <c r="S3" s="168" t="s">
        <v>83</v>
      </c>
      <c r="T3" s="168" t="s">
        <v>83</v>
      </c>
      <c r="U3" s="168" t="s">
        <v>83</v>
      </c>
      <c r="V3" s="27">
        <v>1</v>
      </c>
      <c r="W3" s="27" t="s">
        <v>85</v>
      </c>
      <c r="X3" s="27">
        <v>0</v>
      </c>
      <c r="Y3" s="16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8" t="s">
        <v>83</v>
      </c>
      <c r="AF3" s="168" t="s">
        <v>83</v>
      </c>
      <c r="AG3" s="168" t="s">
        <v>83</v>
      </c>
      <c r="AH3" s="168" t="s">
        <v>83</v>
      </c>
      <c r="AI3" s="27"/>
      <c r="AJ3" s="27"/>
      <c r="AK3" s="27">
        <v>0</v>
      </c>
      <c r="AL3" s="27">
        <v>0</v>
      </c>
      <c r="AM3" s="168" t="s">
        <v>83</v>
      </c>
      <c r="AN3" s="27"/>
      <c r="AO3" s="27"/>
      <c r="AP3" s="27">
        <v>1</v>
      </c>
    </row>
    <row r="4" spans="1:42">
      <c r="A4" s="146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8" t="str">
        <f t="shared" ref="J4:J7" si="2">H4</f>
        <v>[武器]古纹剑lv2</v>
      </c>
      <c r="K4" s="148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9" t="str">
        <f>VLOOKUP(LEFT(RIGHT(B4,5),4),物品!B:CU,20,FALSE)</f>
        <v>ReplaceableTextures\\CommandButtons\\BTNZ01.blp</v>
      </c>
      <c r="N4" s="168" t="s">
        <v>83</v>
      </c>
      <c r="O4" s="169" t="s">
        <v>84</v>
      </c>
      <c r="P4" s="27">
        <v>0</v>
      </c>
      <c r="Q4" s="27">
        <v>0</v>
      </c>
      <c r="R4" s="168" t="s">
        <v>83</v>
      </c>
      <c r="S4" s="168" t="s">
        <v>83</v>
      </c>
      <c r="T4" s="168" t="s">
        <v>83</v>
      </c>
      <c r="U4" s="168" t="s">
        <v>83</v>
      </c>
      <c r="V4" s="27">
        <v>1</v>
      </c>
      <c r="W4" s="27" t="s">
        <v>85</v>
      </c>
      <c r="X4" s="27">
        <v>0</v>
      </c>
      <c r="Y4" s="16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8" t="s">
        <v>83</v>
      </c>
      <c r="AF4" s="168" t="s">
        <v>83</v>
      </c>
      <c r="AG4" s="168" t="s">
        <v>83</v>
      </c>
      <c r="AH4" s="168" t="s">
        <v>83</v>
      </c>
      <c r="AI4" s="27"/>
      <c r="AJ4" s="27"/>
      <c r="AK4" s="27">
        <v>0</v>
      </c>
      <c r="AL4" s="27">
        <v>0</v>
      </c>
      <c r="AM4" s="168" t="s">
        <v>83</v>
      </c>
      <c r="AN4" s="27"/>
      <c r="AO4" s="27"/>
      <c r="AP4" s="27">
        <v>1</v>
      </c>
    </row>
    <row r="5" spans="1:42">
      <c r="A5" s="146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8" t="str">
        <f t="shared" si="2"/>
        <v>[武器]古纹剑lv3</v>
      </c>
      <c r="K5" s="148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9" t="str">
        <f>VLOOKUP(LEFT(RIGHT(B5,5),4),物品!B:CU,20,FALSE)</f>
        <v>ReplaceableTextures\\CommandButtons\\BTNZ01.blp</v>
      </c>
      <c r="N5" s="168" t="s">
        <v>83</v>
      </c>
      <c r="O5" s="169" t="s">
        <v>84</v>
      </c>
      <c r="P5" s="27">
        <v>0</v>
      </c>
      <c r="Q5" s="27">
        <v>0</v>
      </c>
      <c r="R5" s="168" t="s">
        <v>83</v>
      </c>
      <c r="S5" s="168" t="s">
        <v>83</v>
      </c>
      <c r="T5" s="168" t="s">
        <v>83</v>
      </c>
      <c r="U5" s="168" t="s">
        <v>83</v>
      </c>
      <c r="V5" s="27">
        <v>1</v>
      </c>
      <c r="W5" s="27" t="s">
        <v>85</v>
      </c>
      <c r="X5" s="27">
        <v>0</v>
      </c>
      <c r="Y5" s="16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8" t="s">
        <v>83</v>
      </c>
      <c r="AF5" s="168" t="s">
        <v>83</v>
      </c>
      <c r="AG5" s="168" t="s">
        <v>83</v>
      </c>
      <c r="AH5" s="168" t="s">
        <v>83</v>
      </c>
      <c r="AI5" s="27"/>
      <c r="AJ5" s="27"/>
      <c r="AK5" s="27">
        <v>0</v>
      </c>
      <c r="AL5" s="27">
        <v>0</v>
      </c>
      <c r="AM5" s="168" t="s">
        <v>83</v>
      </c>
      <c r="AN5" s="27"/>
      <c r="AO5" s="27"/>
      <c r="AP5" s="27">
        <v>1</v>
      </c>
    </row>
    <row r="6" spans="1:42">
      <c r="A6" s="146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8" t="str">
        <f t="shared" si="2"/>
        <v>[武器]古纹剑lv4</v>
      </c>
      <c r="K6" s="148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9" t="str">
        <f>VLOOKUP(LEFT(RIGHT(B6,5),4),物品!B:CU,20,FALSE)</f>
        <v>ReplaceableTextures\\CommandButtons\\BTNZ01.blp</v>
      </c>
      <c r="N6" s="168" t="s">
        <v>83</v>
      </c>
      <c r="O6" s="169" t="s">
        <v>84</v>
      </c>
      <c r="P6" s="27">
        <v>0</v>
      </c>
      <c r="Q6" s="27">
        <v>0</v>
      </c>
      <c r="R6" s="168" t="s">
        <v>83</v>
      </c>
      <c r="S6" s="168" t="s">
        <v>83</v>
      </c>
      <c r="T6" s="168" t="s">
        <v>83</v>
      </c>
      <c r="U6" s="168" t="s">
        <v>83</v>
      </c>
      <c r="V6" s="27">
        <v>1</v>
      </c>
      <c r="W6" s="27" t="s">
        <v>85</v>
      </c>
      <c r="X6" s="27">
        <v>0</v>
      </c>
      <c r="Y6" s="16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8" t="s">
        <v>83</v>
      </c>
      <c r="AF6" s="168" t="s">
        <v>83</v>
      </c>
      <c r="AG6" s="168" t="s">
        <v>83</v>
      </c>
      <c r="AH6" s="168" t="s">
        <v>83</v>
      </c>
      <c r="AI6" s="27"/>
      <c r="AJ6" s="27"/>
      <c r="AK6" s="27">
        <v>0</v>
      </c>
      <c r="AL6" s="27">
        <v>0</v>
      </c>
      <c r="AM6" s="168" t="s">
        <v>83</v>
      </c>
      <c r="AN6" s="27"/>
      <c r="AO6" s="27"/>
      <c r="AP6" s="27">
        <v>1</v>
      </c>
    </row>
    <row r="7" spans="1:42">
      <c r="A7" s="146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8" t="str">
        <f t="shared" si="2"/>
        <v>[武器]古纹剑lv5</v>
      </c>
      <c r="K7" s="148" t="str">
        <f t="shared" si="3"/>
        <v>|Cffbbbbbb属性：|r|n攻击+5000|n|n攻击|Cffffc92610%|r概率附加|Cffffc926业力*400%|r攻击伤害|n|n|Cff00ff7f点击消耗2500金币进行晋阶挑战</v>
      </c>
      <c r="L7" s="27"/>
      <c r="M7" s="149" t="str">
        <f>VLOOKUP(LEFT(RIGHT(B7,5),4),物品!B:CU,20,FALSE)</f>
        <v>ReplaceableTextures\\CommandButtons\\BTNZ01.blp</v>
      </c>
      <c r="N7" s="168" t="s">
        <v>83</v>
      </c>
      <c r="O7" s="169" t="s">
        <v>84</v>
      </c>
      <c r="P7" s="27">
        <v>0</v>
      </c>
      <c r="Q7" s="27">
        <v>0</v>
      </c>
      <c r="R7" s="168" t="s">
        <v>83</v>
      </c>
      <c r="S7" s="168" t="s">
        <v>83</v>
      </c>
      <c r="T7" s="168" t="s">
        <v>83</v>
      </c>
      <c r="U7" s="168" t="s">
        <v>83</v>
      </c>
      <c r="V7" s="27">
        <v>1</v>
      </c>
      <c r="W7" s="27" t="s">
        <v>85</v>
      </c>
      <c r="X7" s="27">
        <v>0</v>
      </c>
      <c r="Y7" s="16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8" t="s">
        <v>83</v>
      </c>
      <c r="AF7" s="168" t="s">
        <v>83</v>
      </c>
      <c r="AG7" s="168" t="s">
        <v>83</v>
      </c>
      <c r="AH7" s="168" t="s">
        <v>83</v>
      </c>
      <c r="AI7" s="27"/>
      <c r="AJ7" s="27"/>
      <c r="AK7" s="27">
        <v>0</v>
      </c>
      <c r="AL7" s="27">
        <v>0</v>
      </c>
      <c r="AM7" s="168" t="s">
        <v>83</v>
      </c>
      <c r="AN7" s="27"/>
      <c r="AO7" s="27"/>
      <c r="AP7" s="27">
        <v>1</v>
      </c>
    </row>
    <row r="8" spans="1:42">
      <c r="A8" s="146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8" t="str">
        <f t="shared" ref="J8:J18" si="4">H8</f>
        <v>|Cff00FF7F[武器]鱼肠剑lv1|r</v>
      </c>
      <c r="K8" s="148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9" t="str">
        <f>VLOOKUP(LEFT(RIGHT(B8,5),4),物品!B:CU,20,FALSE)</f>
        <v>ReplaceableTextures\\CommandButtons\\BTNZ02.blp</v>
      </c>
      <c r="N8" s="168" t="s">
        <v>83</v>
      </c>
      <c r="O8" s="169" t="s">
        <v>84</v>
      </c>
      <c r="P8" s="27">
        <v>0</v>
      </c>
      <c r="Q8" s="27">
        <v>0</v>
      </c>
      <c r="R8" s="168" t="s">
        <v>83</v>
      </c>
      <c r="S8" s="168" t="s">
        <v>83</v>
      </c>
      <c r="T8" s="168" t="s">
        <v>83</v>
      </c>
      <c r="U8" s="168" t="s">
        <v>83</v>
      </c>
      <c r="V8" s="27">
        <v>1</v>
      </c>
      <c r="W8" s="27" t="s">
        <v>85</v>
      </c>
      <c r="X8" s="27">
        <v>0</v>
      </c>
      <c r="Y8" s="16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8" t="s">
        <v>83</v>
      </c>
      <c r="AF8" s="168" t="s">
        <v>83</v>
      </c>
      <c r="AG8" s="168" t="s">
        <v>83</v>
      </c>
      <c r="AH8" s="168" t="s">
        <v>83</v>
      </c>
      <c r="AI8" s="27"/>
      <c r="AJ8" s="27"/>
      <c r="AK8" s="27">
        <v>0</v>
      </c>
      <c r="AL8" s="27">
        <v>0</v>
      </c>
      <c r="AM8" s="168" t="s">
        <v>83</v>
      </c>
      <c r="AN8" s="27"/>
      <c r="AO8" s="27"/>
      <c r="AP8" s="27">
        <v>1</v>
      </c>
    </row>
    <row r="9" spans="1:42">
      <c r="A9" s="146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8" t="str">
        <f t="shared" si="4"/>
        <v>|Cff00FF7F[武器]鱼肠剑lv2|r</v>
      </c>
      <c r="K9" s="148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9" t="str">
        <f>VLOOKUP(LEFT(RIGHT(B9,5),4),物品!B:CU,20,FALSE)</f>
        <v>ReplaceableTextures\\CommandButtons\\BTNZ02.blp</v>
      </c>
      <c r="N9" s="168" t="s">
        <v>83</v>
      </c>
      <c r="O9" s="169" t="s">
        <v>84</v>
      </c>
      <c r="P9" s="27">
        <v>0</v>
      </c>
      <c r="Q9" s="27">
        <v>0</v>
      </c>
      <c r="R9" s="168" t="s">
        <v>83</v>
      </c>
      <c r="S9" s="168" t="s">
        <v>83</v>
      </c>
      <c r="T9" s="168" t="s">
        <v>83</v>
      </c>
      <c r="U9" s="168" t="s">
        <v>83</v>
      </c>
      <c r="V9" s="27">
        <v>1</v>
      </c>
      <c r="W9" s="27" t="s">
        <v>85</v>
      </c>
      <c r="X9" s="27">
        <v>0</v>
      </c>
      <c r="Y9" s="16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8" t="s">
        <v>83</v>
      </c>
      <c r="AF9" s="168" t="s">
        <v>83</v>
      </c>
      <c r="AG9" s="168" t="s">
        <v>83</v>
      </c>
      <c r="AH9" s="168" t="s">
        <v>83</v>
      </c>
      <c r="AI9" s="27"/>
      <c r="AJ9" s="27"/>
      <c r="AK9" s="27">
        <v>0</v>
      </c>
      <c r="AL9" s="27">
        <v>0</v>
      </c>
      <c r="AM9" s="168" t="s">
        <v>83</v>
      </c>
      <c r="AN9" s="27"/>
      <c r="AO9" s="27"/>
      <c r="AP9" s="27">
        <v>1</v>
      </c>
    </row>
    <row r="10" spans="1:42">
      <c r="A10" s="146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8" t="str">
        <f t="shared" si="4"/>
        <v>|Cff00FF7F[武器]鱼肠剑lv3|r</v>
      </c>
      <c r="K10" s="148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9" t="str">
        <f>VLOOKUP(LEFT(RIGHT(B10,5),4),物品!B:CU,20,FALSE)</f>
        <v>ReplaceableTextures\\CommandButtons\\BTNZ02.blp</v>
      </c>
      <c r="N10" s="168" t="s">
        <v>83</v>
      </c>
      <c r="O10" s="169" t="s">
        <v>84</v>
      </c>
      <c r="P10" s="27">
        <v>0</v>
      </c>
      <c r="Q10" s="27">
        <v>0</v>
      </c>
      <c r="R10" s="168" t="s">
        <v>83</v>
      </c>
      <c r="S10" s="168" t="s">
        <v>83</v>
      </c>
      <c r="T10" s="168" t="s">
        <v>83</v>
      </c>
      <c r="U10" s="168" t="s">
        <v>83</v>
      </c>
      <c r="V10" s="27">
        <v>1</v>
      </c>
      <c r="W10" s="27" t="s">
        <v>85</v>
      </c>
      <c r="X10" s="27">
        <v>0</v>
      </c>
      <c r="Y10" s="16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8" t="s">
        <v>83</v>
      </c>
      <c r="AF10" s="168" t="s">
        <v>83</v>
      </c>
      <c r="AG10" s="168" t="s">
        <v>83</v>
      </c>
      <c r="AH10" s="168" t="s">
        <v>83</v>
      </c>
      <c r="AI10" s="27"/>
      <c r="AJ10" s="27"/>
      <c r="AK10" s="27">
        <v>0</v>
      </c>
      <c r="AL10" s="27">
        <v>0</v>
      </c>
      <c r="AM10" s="168" t="s">
        <v>83</v>
      </c>
      <c r="AN10" s="27"/>
      <c r="AO10" s="27"/>
      <c r="AP10" s="27">
        <v>1</v>
      </c>
    </row>
    <row r="11" spans="1:42">
      <c r="A11" s="146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8" t="str">
        <f t="shared" si="4"/>
        <v>|Cff00FF7F[武器]鱼肠剑lv4|r</v>
      </c>
      <c r="K11" s="148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9" t="str">
        <f>VLOOKUP(LEFT(RIGHT(B11,5),4),物品!B:CU,20,FALSE)</f>
        <v>ReplaceableTextures\\CommandButtons\\BTNZ02.blp</v>
      </c>
      <c r="N11" s="168" t="s">
        <v>83</v>
      </c>
      <c r="O11" s="169" t="s">
        <v>84</v>
      </c>
      <c r="P11" s="27">
        <v>0</v>
      </c>
      <c r="Q11" s="27">
        <v>0</v>
      </c>
      <c r="R11" s="168" t="s">
        <v>83</v>
      </c>
      <c r="S11" s="168" t="s">
        <v>83</v>
      </c>
      <c r="T11" s="168" t="s">
        <v>83</v>
      </c>
      <c r="U11" s="168" t="s">
        <v>83</v>
      </c>
      <c r="V11" s="27">
        <v>1</v>
      </c>
      <c r="W11" s="27" t="s">
        <v>85</v>
      </c>
      <c r="X11" s="27">
        <v>0</v>
      </c>
      <c r="Y11" s="16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8" t="s">
        <v>83</v>
      </c>
      <c r="AF11" s="168" t="s">
        <v>83</v>
      </c>
      <c r="AG11" s="168" t="s">
        <v>83</v>
      </c>
      <c r="AH11" s="168" t="s">
        <v>83</v>
      </c>
      <c r="AI11" s="27"/>
      <c r="AJ11" s="27"/>
      <c r="AK11" s="27">
        <v>0</v>
      </c>
      <c r="AL11" s="27">
        <v>0</v>
      </c>
      <c r="AM11" s="168" t="s">
        <v>83</v>
      </c>
      <c r="AN11" s="27"/>
      <c r="AO11" s="27"/>
      <c r="AP11" s="27">
        <v>1</v>
      </c>
    </row>
    <row r="12" spans="1:42">
      <c r="A12" s="146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8" t="str">
        <f t="shared" si="4"/>
        <v>|Cff00FF7F[武器]鱼肠剑lv5|r</v>
      </c>
      <c r="K12" s="148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9" t="str">
        <f>VLOOKUP(LEFT(RIGHT(B12,5),4),物品!B:CU,20,FALSE)</f>
        <v>ReplaceableTextures\\CommandButtons\\BTNZ02.blp</v>
      </c>
      <c r="N12" s="168" t="s">
        <v>83</v>
      </c>
      <c r="O12" s="169" t="s">
        <v>84</v>
      </c>
      <c r="P12" s="27">
        <v>0</v>
      </c>
      <c r="Q12" s="27">
        <v>0</v>
      </c>
      <c r="R12" s="168" t="s">
        <v>83</v>
      </c>
      <c r="S12" s="168" t="s">
        <v>83</v>
      </c>
      <c r="T12" s="168" t="s">
        <v>83</v>
      </c>
      <c r="U12" s="168" t="s">
        <v>83</v>
      </c>
      <c r="V12" s="27">
        <v>1</v>
      </c>
      <c r="W12" s="27" t="s">
        <v>85</v>
      </c>
      <c r="X12" s="27">
        <v>0</v>
      </c>
      <c r="Y12" s="16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8" t="s">
        <v>83</v>
      </c>
      <c r="AF12" s="168" t="s">
        <v>83</v>
      </c>
      <c r="AG12" s="168" t="s">
        <v>83</v>
      </c>
      <c r="AH12" s="168" t="s">
        <v>83</v>
      </c>
      <c r="AI12" s="27"/>
      <c r="AJ12" s="27"/>
      <c r="AK12" s="27">
        <v>0</v>
      </c>
      <c r="AL12" s="27">
        <v>0</v>
      </c>
      <c r="AM12" s="168" t="s">
        <v>83</v>
      </c>
      <c r="AN12" s="27"/>
      <c r="AO12" s="27"/>
      <c r="AP12" s="27">
        <v>1</v>
      </c>
    </row>
    <row r="13" spans="1:42">
      <c r="A13" s="146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8" t="str">
        <f t="shared" si="4"/>
        <v>|Cff00BFFF[武器]太阿剑lv1|r</v>
      </c>
      <c r="K13" s="148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9" t="str">
        <f>VLOOKUP(LEFT(RIGHT(B13,5),4),物品!B:CU,20,FALSE)</f>
        <v>ReplaceableTextures\\CommandButtons\\BTNZ03.blp</v>
      </c>
      <c r="N13" s="168" t="s">
        <v>83</v>
      </c>
      <c r="O13" s="169" t="s">
        <v>84</v>
      </c>
      <c r="P13" s="27">
        <v>0</v>
      </c>
      <c r="Q13" s="27">
        <v>0</v>
      </c>
      <c r="R13" s="168" t="s">
        <v>83</v>
      </c>
      <c r="S13" s="168" t="s">
        <v>83</v>
      </c>
      <c r="T13" s="168" t="s">
        <v>83</v>
      </c>
      <c r="U13" s="168" t="s">
        <v>83</v>
      </c>
      <c r="V13" s="27">
        <v>1</v>
      </c>
      <c r="W13" s="27" t="s">
        <v>85</v>
      </c>
      <c r="X13" s="27">
        <v>0</v>
      </c>
      <c r="Y13" s="16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8" t="s">
        <v>83</v>
      </c>
      <c r="AF13" s="168" t="s">
        <v>83</v>
      </c>
      <c r="AG13" s="168" t="s">
        <v>83</v>
      </c>
      <c r="AH13" s="168" t="s">
        <v>83</v>
      </c>
      <c r="AI13" s="27"/>
      <c r="AJ13" s="27"/>
      <c r="AK13" s="27">
        <v>0</v>
      </c>
      <c r="AL13" s="27">
        <v>0</v>
      </c>
      <c r="AM13" s="168" t="s">
        <v>83</v>
      </c>
      <c r="AN13" s="27"/>
      <c r="AO13" s="27"/>
      <c r="AP13" s="27">
        <v>1</v>
      </c>
    </row>
    <row r="14" spans="1:42">
      <c r="A14" s="146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8" t="str">
        <f t="shared" si="4"/>
        <v>|Cff00BFFF[武器]太阿剑lv2|r</v>
      </c>
      <c r="K14" s="148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9" t="str">
        <f>VLOOKUP(LEFT(RIGHT(B14,5),4),物品!B:CU,20,FALSE)</f>
        <v>ReplaceableTextures\\CommandButtons\\BTNZ03.blp</v>
      </c>
      <c r="N14" s="168" t="s">
        <v>83</v>
      </c>
      <c r="O14" s="169" t="s">
        <v>84</v>
      </c>
      <c r="P14" s="27">
        <v>0</v>
      </c>
      <c r="Q14" s="27">
        <v>0</v>
      </c>
      <c r="R14" s="168" t="s">
        <v>83</v>
      </c>
      <c r="S14" s="168" t="s">
        <v>83</v>
      </c>
      <c r="T14" s="168" t="s">
        <v>83</v>
      </c>
      <c r="U14" s="168" t="s">
        <v>83</v>
      </c>
      <c r="V14" s="27">
        <v>1</v>
      </c>
      <c r="W14" s="27" t="s">
        <v>85</v>
      </c>
      <c r="X14" s="27">
        <v>0</v>
      </c>
      <c r="Y14" s="16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8" t="s">
        <v>83</v>
      </c>
      <c r="AF14" s="168" t="s">
        <v>83</v>
      </c>
      <c r="AG14" s="168" t="s">
        <v>83</v>
      </c>
      <c r="AH14" s="168" t="s">
        <v>83</v>
      </c>
      <c r="AI14" s="27"/>
      <c r="AJ14" s="27"/>
      <c r="AK14" s="27">
        <v>0</v>
      </c>
      <c r="AL14" s="27">
        <v>0</v>
      </c>
      <c r="AM14" s="168" t="s">
        <v>83</v>
      </c>
      <c r="AN14" s="27"/>
      <c r="AO14" s="27"/>
      <c r="AP14" s="27">
        <v>1</v>
      </c>
    </row>
    <row r="15" spans="1:42">
      <c r="A15" s="146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8" t="str">
        <f t="shared" si="4"/>
        <v>|Cff00BFFF[武器]太阿剑lv3|r</v>
      </c>
      <c r="K15" s="148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9" t="str">
        <f>VLOOKUP(LEFT(RIGHT(B15,5),4),物品!B:CU,20,FALSE)</f>
        <v>ReplaceableTextures\\CommandButtons\\BTNZ03.blp</v>
      </c>
      <c r="N15" s="168" t="s">
        <v>83</v>
      </c>
      <c r="O15" s="169" t="s">
        <v>84</v>
      </c>
      <c r="P15" s="27">
        <v>0</v>
      </c>
      <c r="Q15" s="27">
        <v>0</v>
      </c>
      <c r="R15" s="168" t="s">
        <v>83</v>
      </c>
      <c r="S15" s="168" t="s">
        <v>83</v>
      </c>
      <c r="T15" s="168" t="s">
        <v>83</v>
      </c>
      <c r="U15" s="168" t="s">
        <v>83</v>
      </c>
      <c r="V15" s="27">
        <v>1</v>
      </c>
      <c r="W15" s="27" t="s">
        <v>85</v>
      </c>
      <c r="X15" s="27">
        <v>0</v>
      </c>
      <c r="Y15" s="16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8" t="s">
        <v>83</v>
      </c>
      <c r="AF15" s="168" t="s">
        <v>83</v>
      </c>
      <c r="AG15" s="168" t="s">
        <v>83</v>
      </c>
      <c r="AH15" s="168" t="s">
        <v>83</v>
      </c>
      <c r="AI15" s="27"/>
      <c r="AJ15" s="27"/>
      <c r="AK15" s="27">
        <v>0</v>
      </c>
      <c r="AL15" s="27">
        <v>0</v>
      </c>
      <c r="AM15" s="168" t="s">
        <v>83</v>
      </c>
      <c r="AN15" s="27"/>
      <c r="AO15" s="27"/>
      <c r="AP15" s="27">
        <v>1</v>
      </c>
    </row>
    <row r="16" spans="1:42">
      <c r="A16" s="146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8" t="str">
        <f t="shared" si="4"/>
        <v>|Cff00BFFF[武器]太阿剑lv4|r</v>
      </c>
      <c r="K16" s="148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9" t="str">
        <f>VLOOKUP(LEFT(RIGHT(B16,5),4),物品!B:CU,20,FALSE)</f>
        <v>ReplaceableTextures\\CommandButtons\\BTNZ03.blp</v>
      </c>
      <c r="N16" s="168" t="s">
        <v>83</v>
      </c>
      <c r="O16" s="169" t="s">
        <v>84</v>
      </c>
      <c r="P16" s="27">
        <v>0</v>
      </c>
      <c r="Q16" s="27">
        <v>0</v>
      </c>
      <c r="R16" s="168" t="s">
        <v>83</v>
      </c>
      <c r="S16" s="168" t="s">
        <v>83</v>
      </c>
      <c r="T16" s="168" t="s">
        <v>83</v>
      </c>
      <c r="U16" s="168" t="s">
        <v>83</v>
      </c>
      <c r="V16" s="27">
        <v>1</v>
      </c>
      <c r="W16" s="27" t="s">
        <v>85</v>
      </c>
      <c r="X16" s="27">
        <v>0</v>
      </c>
      <c r="Y16" s="16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8" t="s">
        <v>83</v>
      </c>
      <c r="AF16" s="168" t="s">
        <v>83</v>
      </c>
      <c r="AG16" s="168" t="s">
        <v>83</v>
      </c>
      <c r="AH16" s="168" t="s">
        <v>83</v>
      </c>
      <c r="AI16" s="27"/>
      <c r="AJ16" s="27"/>
      <c r="AK16" s="27">
        <v>0</v>
      </c>
      <c r="AL16" s="27">
        <v>0</v>
      </c>
      <c r="AM16" s="168" t="s">
        <v>83</v>
      </c>
      <c r="AN16" s="27"/>
      <c r="AO16" s="27"/>
      <c r="AP16" s="27">
        <v>1</v>
      </c>
    </row>
    <row r="17" spans="1:42">
      <c r="A17" s="146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8" t="str">
        <f t="shared" si="4"/>
        <v>|Cff00BFFF[武器]太阿剑lv5|r</v>
      </c>
      <c r="K17" s="148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9" t="str">
        <f>VLOOKUP(LEFT(RIGHT(B17,5),4),物品!B:CU,20,FALSE)</f>
        <v>ReplaceableTextures\\CommandButtons\\BTNZ03.blp</v>
      </c>
      <c r="N17" s="168" t="s">
        <v>83</v>
      </c>
      <c r="O17" s="169" t="s">
        <v>84</v>
      </c>
      <c r="P17" s="27">
        <v>0</v>
      </c>
      <c r="Q17" s="27">
        <v>0</v>
      </c>
      <c r="R17" s="168" t="s">
        <v>83</v>
      </c>
      <c r="S17" s="168" t="s">
        <v>83</v>
      </c>
      <c r="T17" s="168" t="s">
        <v>83</v>
      </c>
      <c r="U17" s="168" t="s">
        <v>83</v>
      </c>
      <c r="V17" s="27">
        <v>1</v>
      </c>
      <c r="W17" s="27" t="s">
        <v>85</v>
      </c>
      <c r="X17" s="27">
        <v>0</v>
      </c>
      <c r="Y17" s="16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8" t="s">
        <v>83</v>
      </c>
      <c r="AF17" s="168" t="s">
        <v>83</v>
      </c>
      <c r="AG17" s="168" t="s">
        <v>83</v>
      </c>
      <c r="AH17" s="168" t="s">
        <v>83</v>
      </c>
      <c r="AI17" s="27"/>
      <c r="AJ17" s="27"/>
      <c r="AK17" s="27">
        <v>0</v>
      </c>
      <c r="AL17" s="27">
        <v>0</v>
      </c>
      <c r="AM17" s="168" t="s">
        <v>83</v>
      </c>
      <c r="AN17" s="27"/>
      <c r="AO17" s="27"/>
      <c r="AP17" s="27">
        <v>1</v>
      </c>
    </row>
    <row r="18" spans="1:42">
      <c r="A18" s="146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8" t="str">
        <f t="shared" si="4"/>
        <v>|CffFFC926[武器]轩辕剑lv1|r</v>
      </c>
      <c r="K18" s="148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9" t="str">
        <f>VLOOKUP(LEFT(RIGHT(B18,5),4),物品!B:CU,20,FALSE)</f>
        <v>ReplaceableTextures\\CommandButtons\\BTNZ04.blp</v>
      </c>
      <c r="N18" s="168" t="s">
        <v>83</v>
      </c>
      <c r="O18" s="169" t="s">
        <v>84</v>
      </c>
      <c r="P18" s="27">
        <v>0</v>
      </c>
      <c r="Q18" s="27">
        <v>0</v>
      </c>
      <c r="R18" s="168" t="s">
        <v>83</v>
      </c>
      <c r="S18" s="168" t="s">
        <v>83</v>
      </c>
      <c r="T18" s="168" t="s">
        <v>83</v>
      </c>
      <c r="U18" s="168" t="s">
        <v>83</v>
      </c>
      <c r="V18" s="27">
        <v>1</v>
      </c>
      <c r="W18" s="27" t="s">
        <v>85</v>
      </c>
      <c r="X18" s="27">
        <v>0</v>
      </c>
      <c r="Y18" s="16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8" t="s">
        <v>83</v>
      </c>
      <c r="AF18" s="168" t="s">
        <v>83</v>
      </c>
      <c r="AG18" s="168" t="s">
        <v>83</v>
      </c>
      <c r="AH18" s="168" t="s">
        <v>83</v>
      </c>
      <c r="AI18" s="27"/>
      <c r="AJ18" s="27"/>
      <c r="AK18" s="27">
        <v>0</v>
      </c>
      <c r="AL18" s="27">
        <v>0</v>
      </c>
      <c r="AM18" s="168" t="s">
        <v>83</v>
      </c>
      <c r="AN18" s="27"/>
      <c r="AO18" s="27"/>
      <c r="AP18" s="27">
        <v>1</v>
      </c>
    </row>
    <row r="19" spans="1:42">
      <c r="A19" s="146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8" t="str">
        <f t="shared" ref="J19:J35" si="6">H19</f>
        <v>|CffFFC926[武器]轩辕剑lv2|r</v>
      </c>
      <c r="K19" s="148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9" t="str">
        <f>VLOOKUP(LEFT(RIGHT(B19,5),4),物品!B:CU,20,FALSE)</f>
        <v>ReplaceableTextures\\CommandButtons\\BTNZ04.blp</v>
      </c>
      <c r="N19" s="168" t="s">
        <v>83</v>
      </c>
      <c r="O19" s="169" t="s">
        <v>84</v>
      </c>
      <c r="P19" s="27">
        <v>0</v>
      </c>
      <c r="Q19" s="27">
        <v>0</v>
      </c>
      <c r="R19" s="168" t="s">
        <v>83</v>
      </c>
      <c r="S19" s="168" t="s">
        <v>83</v>
      </c>
      <c r="T19" s="168" t="s">
        <v>83</v>
      </c>
      <c r="U19" s="168" t="s">
        <v>83</v>
      </c>
      <c r="V19" s="27">
        <v>1</v>
      </c>
      <c r="W19" s="27" t="s">
        <v>85</v>
      </c>
      <c r="X19" s="27">
        <v>0</v>
      </c>
      <c r="Y19" s="16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8" t="s">
        <v>83</v>
      </c>
      <c r="AF19" s="168" t="s">
        <v>83</v>
      </c>
      <c r="AG19" s="168" t="s">
        <v>83</v>
      </c>
      <c r="AH19" s="168" t="s">
        <v>83</v>
      </c>
      <c r="AI19" s="27"/>
      <c r="AJ19" s="27"/>
      <c r="AK19" s="27">
        <v>0</v>
      </c>
      <c r="AL19" s="27">
        <v>0</v>
      </c>
      <c r="AM19" s="168" t="s">
        <v>83</v>
      </c>
      <c r="AN19" s="27"/>
      <c r="AO19" s="27"/>
      <c r="AP19" s="27">
        <v>1</v>
      </c>
    </row>
    <row r="20" spans="1:42">
      <c r="A20" s="146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8" t="str">
        <f t="shared" si="6"/>
        <v>|CffFFC926[武器]轩辕剑lv3|r</v>
      </c>
      <c r="K20" s="148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9" t="str">
        <f>VLOOKUP(LEFT(RIGHT(B20,5),4),物品!B:CU,20,FALSE)</f>
        <v>ReplaceableTextures\\CommandButtons\\BTNZ04.blp</v>
      </c>
      <c r="N20" s="168" t="s">
        <v>83</v>
      </c>
      <c r="O20" s="169" t="s">
        <v>84</v>
      </c>
      <c r="P20" s="27">
        <v>0</v>
      </c>
      <c r="Q20" s="27">
        <v>0</v>
      </c>
      <c r="R20" s="168" t="s">
        <v>83</v>
      </c>
      <c r="S20" s="168" t="s">
        <v>83</v>
      </c>
      <c r="T20" s="168" t="s">
        <v>83</v>
      </c>
      <c r="U20" s="168" t="s">
        <v>83</v>
      </c>
      <c r="V20" s="27">
        <v>1</v>
      </c>
      <c r="W20" s="27" t="s">
        <v>85</v>
      </c>
      <c r="X20" s="27">
        <v>0</v>
      </c>
      <c r="Y20" s="16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8" t="s">
        <v>83</v>
      </c>
      <c r="AF20" s="168" t="s">
        <v>83</v>
      </c>
      <c r="AG20" s="168" t="s">
        <v>83</v>
      </c>
      <c r="AH20" s="168" t="s">
        <v>83</v>
      </c>
      <c r="AI20" s="27"/>
      <c r="AJ20" s="27"/>
      <c r="AK20" s="27">
        <v>0</v>
      </c>
      <c r="AL20" s="27">
        <v>0</v>
      </c>
      <c r="AM20" s="168" t="s">
        <v>83</v>
      </c>
      <c r="AN20" s="27"/>
      <c r="AO20" s="27"/>
      <c r="AP20" s="27">
        <v>1</v>
      </c>
    </row>
    <row r="21" spans="1:42">
      <c r="A21" s="146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8" t="str">
        <f t="shared" si="6"/>
        <v>|CffFFC926[武器]轩辕剑lv4|r</v>
      </c>
      <c r="K21" s="148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9" t="str">
        <f>VLOOKUP(LEFT(RIGHT(B21,5),4),物品!B:CU,20,FALSE)</f>
        <v>ReplaceableTextures\\CommandButtons\\BTNZ04.blp</v>
      </c>
      <c r="N21" s="168" t="s">
        <v>83</v>
      </c>
      <c r="O21" s="169" t="s">
        <v>84</v>
      </c>
      <c r="P21" s="27">
        <v>0</v>
      </c>
      <c r="Q21" s="27">
        <v>0</v>
      </c>
      <c r="R21" s="168" t="s">
        <v>83</v>
      </c>
      <c r="S21" s="168" t="s">
        <v>83</v>
      </c>
      <c r="T21" s="168" t="s">
        <v>83</v>
      </c>
      <c r="U21" s="168" t="s">
        <v>83</v>
      </c>
      <c r="V21" s="27">
        <v>1</v>
      </c>
      <c r="W21" s="27" t="s">
        <v>85</v>
      </c>
      <c r="X21" s="27">
        <v>0</v>
      </c>
      <c r="Y21" s="16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8" t="s">
        <v>83</v>
      </c>
      <c r="AF21" s="168" t="s">
        <v>83</v>
      </c>
      <c r="AG21" s="168" t="s">
        <v>83</v>
      </c>
      <c r="AH21" s="168" t="s">
        <v>83</v>
      </c>
      <c r="AI21" s="27"/>
      <c r="AJ21" s="27"/>
      <c r="AK21" s="27">
        <v>0</v>
      </c>
      <c r="AL21" s="27">
        <v>0</v>
      </c>
      <c r="AM21" s="168" t="s">
        <v>83</v>
      </c>
      <c r="AN21" s="27"/>
      <c r="AO21" s="27"/>
      <c r="AP21" s="27">
        <v>1</v>
      </c>
    </row>
    <row r="22" spans="1:42">
      <c r="A22" s="146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8" t="str">
        <f t="shared" si="6"/>
        <v>|CffFFC926[武器]轩辕剑lv5|r</v>
      </c>
      <c r="K22" s="148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9" t="str">
        <f>VLOOKUP(LEFT(RIGHT(B22,5),4),物品!B:CU,20,FALSE)</f>
        <v>ReplaceableTextures\\CommandButtons\\BTNZ04.blp</v>
      </c>
      <c r="N22" s="168" t="s">
        <v>83</v>
      </c>
      <c r="O22" s="169" t="s">
        <v>84</v>
      </c>
      <c r="P22" s="27">
        <v>0</v>
      </c>
      <c r="Q22" s="27">
        <v>0</v>
      </c>
      <c r="R22" s="168" t="s">
        <v>83</v>
      </c>
      <c r="S22" s="168" t="s">
        <v>83</v>
      </c>
      <c r="T22" s="168" t="s">
        <v>83</v>
      </c>
      <c r="U22" s="168" t="s">
        <v>83</v>
      </c>
      <c r="V22" s="27">
        <v>1</v>
      </c>
      <c r="W22" s="27" t="s">
        <v>85</v>
      </c>
      <c r="X22" s="27">
        <v>0</v>
      </c>
      <c r="Y22" s="16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8" t="s">
        <v>83</v>
      </c>
      <c r="AF22" s="168" t="s">
        <v>83</v>
      </c>
      <c r="AG22" s="168" t="s">
        <v>83</v>
      </c>
      <c r="AH22" s="168" t="s">
        <v>83</v>
      </c>
      <c r="AI22" s="27"/>
      <c r="AJ22" s="27"/>
      <c r="AK22" s="27">
        <v>0</v>
      </c>
      <c r="AL22" s="27">
        <v>0</v>
      </c>
      <c r="AM22" s="168" t="s">
        <v>83</v>
      </c>
      <c r="AN22" s="27"/>
      <c r="AO22" s="27"/>
      <c r="AP22" s="27">
        <v>1</v>
      </c>
    </row>
    <row r="23" spans="1:42">
      <c r="A23" s="146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8" t="str">
        <f t="shared" si="6"/>
        <v>|CffFF0000[武器]太极八卦剑lv1|r</v>
      </c>
      <c r="K23" s="148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9" t="str">
        <f>VLOOKUP(LEFT(RIGHT(B23,5),4),物品!B:CU,20,FALSE)</f>
        <v>ReplaceableTextures\\CommandButtons\\BTNZ05.blp</v>
      </c>
      <c r="N23" s="168" t="s">
        <v>83</v>
      </c>
      <c r="O23" s="169" t="s">
        <v>84</v>
      </c>
      <c r="P23" s="27">
        <v>0</v>
      </c>
      <c r="Q23" s="27">
        <v>0</v>
      </c>
      <c r="R23" s="168" t="s">
        <v>83</v>
      </c>
      <c r="S23" s="168" t="s">
        <v>83</v>
      </c>
      <c r="T23" s="168" t="s">
        <v>83</v>
      </c>
      <c r="U23" s="168" t="s">
        <v>83</v>
      </c>
      <c r="V23" s="27">
        <v>1</v>
      </c>
      <c r="W23" s="27" t="s">
        <v>85</v>
      </c>
      <c r="X23" s="27">
        <v>0</v>
      </c>
      <c r="Y23" s="16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8" t="s">
        <v>83</v>
      </c>
      <c r="AF23" s="168" t="s">
        <v>83</v>
      </c>
      <c r="AG23" s="168" t="s">
        <v>83</v>
      </c>
      <c r="AH23" s="168" t="s">
        <v>83</v>
      </c>
      <c r="AI23" s="27"/>
      <c r="AJ23" s="27"/>
      <c r="AK23" s="27">
        <v>0</v>
      </c>
      <c r="AL23" s="27">
        <v>0</v>
      </c>
      <c r="AM23" s="168" t="s">
        <v>83</v>
      </c>
      <c r="AN23" s="27"/>
      <c r="AO23" s="27"/>
      <c r="AP23" s="27">
        <v>1</v>
      </c>
    </row>
    <row r="24" spans="1:42">
      <c r="A24" s="146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8" t="str">
        <f t="shared" si="6"/>
        <v>|CffFF0000[武器]太极八卦剑lv2|r</v>
      </c>
      <c r="K24" s="148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9" t="str">
        <f>VLOOKUP(LEFT(RIGHT(B24,5),4),物品!B:CU,20,FALSE)</f>
        <v>ReplaceableTextures\\CommandButtons\\BTNZ05.blp</v>
      </c>
      <c r="N24" s="168" t="s">
        <v>83</v>
      </c>
      <c r="O24" s="169" t="s">
        <v>84</v>
      </c>
      <c r="P24" s="27">
        <v>0</v>
      </c>
      <c r="Q24" s="27">
        <v>0</v>
      </c>
      <c r="R24" s="168" t="s">
        <v>83</v>
      </c>
      <c r="S24" s="168" t="s">
        <v>83</v>
      </c>
      <c r="T24" s="168" t="s">
        <v>83</v>
      </c>
      <c r="U24" s="168" t="s">
        <v>83</v>
      </c>
      <c r="V24" s="27">
        <v>1</v>
      </c>
      <c r="W24" s="27" t="s">
        <v>85</v>
      </c>
      <c r="X24" s="27">
        <v>0</v>
      </c>
      <c r="Y24" s="16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8" t="s">
        <v>83</v>
      </c>
      <c r="AF24" s="168" t="s">
        <v>83</v>
      </c>
      <c r="AG24" s="168" t="s">
        <v>83</v>
      </c>
      <c r="AH24" s="168" t="s">
        <v>83</v>
      </c>
      <c r="AI24" s="27"/>
      <c r="AJ24" s="27"/>
      <c r="AK24" s="27">
        <v>0</v>
      </c>
      <c r="AL24" s="27">
        <v>0</v>
      </c>
      <c r="AM24" s="168" t="s">
        <v>83</v>
      </c>
      <c r="AN24" s="27"/>
      <c r="AO24" s="27"/>
      <c r="AP24" s="27">
        <v>1</v>
      </c>
    </row>
    <row r="25" spans="1:42">
      <c r="A25" s="146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8" t="str">
        <f t="shared" si="6"/>
        <v>|CffFF0000[武器]太极八卦剑lv3|r</v>
      </c>
      <c r="K25" s="148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9" t="str">
        <f>VLOOKUP(LEFT(RIGHT(B25,5),4),物品!B:CU,20,FALSE)</f>
        <v>ReplaceableTextures\\CommandButtons\\BTNZ05.blp</v>
      </c>
      <c r="N25" s="168" t="s">
        <v>83</v>
      </c>
      <c r="O25" s="169" t="s">
        <v>84</v>
      </c>
      <c r="P25" s="27">
        <v>0</v>
      </c>
      <c r="Q25" s="27">
        <v>0</v>
      </c>
      <c r="R25" s="168" t="s">
        <v>83</v>
      </c>
      <c r="S25" s="168" t="s">
        <v>83</v>
      </c>
      <c r="T25" s="168" t="s">
        <v>83</v>
      </c>
      <c r="U25" s="168" t="s">
        <v>83</v>
      </c>
      <c r="V25" s="27">
        <v>1</v>
      </c>
      <c r="W25" s="27" t="s">
        <v>85</v>
      </c>
      <c r="X25" s="27">
        <v>0</v>
      </c>
      <c r="Y25" s="16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8" t="s">
        <v>83</v>
      </c>
      <c r="AF25" s="168" t="s">
        <v>83</v>
      </c>
      <c r="AG25" s="168" t="s">
        <v>83</v>
      </c>
      <c r="AH25" s="168" t="s">
        <v>83</v>
      </c>
      <c r="AI25" s="27"/>
      <c r="AJ25" s="27"/>
      <c r="AK25" s="27">
        <v>0</v>
      </c>
      <c r="AL25" s="27">
        <v>0</v>
      </c>
      <c r="AM25" s="168" t="s">
        <v>83</v>
      </c>
      <c r="AN25" s="27"/>
      <c r="AO25" s="27"/>
      <c r="AP25" s="27">
        <v>1</v>
      </c>
    </row>
    <row r="26" spans="1:42">
      <c r="A26" s="146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8" t="str">
        <f t="shared" si="6"/>
        <v>|CffFF0000[武器]太极八卦剑lv4|r</v>
      </c>
      <c r="K26" s="148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9" t="str">
        <f>VLOOKUP(LEFT(RIGHT(B26,5),4),物品!B:CU,20,FALSE)</f>
        <v>ReplaceableTextures\\CommandButtons\\BTNZ05.blp</v>
      </c>
      <c r="N26" s="168" t="s">
        <v>83</v>
      </c>
      <c r="O26" s="169" t="s">
        <v>84</v>
      </c>
      <c r="P26" s="27">
        <v>0</v>
      </c>
      <c r="Q26" s="27">
        <v>0</v>
      </c>
      <c r="R26" s="168" t="s">
        <v>83</v>
      </c>
      <c r="S26" s="168" t="s">
        <v>83</v>
      </c>
      <c r="T26" s="168" t="s">
        <v>83</v>
      </c>
      <c r="U26" s="168" t="s">
        <v>83</v>
      </c>
      <c r="V26" s="27">
        <v>1</v>
      </c>
      <c r="W26" s="27" t="s">
        <v>85</v>
      </c>
      <c r="X26" s="27">
        <v>0</v>
      </c>
      <c r="Y26" s="16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8" t="s">
        <v>83</v>
      </c>
      <c r="AF26" s="168" t="s">
        <v>83</v>
      </c>
      <c r="AG26" s="168" t="s">
        <v>83</v>
      </c>
      <c r="AH26" s="168" t="s">
        <v>83</v>
      </c>
      <c r="AI26" s="27"/>
      <c r="AJ26" s="27"/>
      <c r="AK26" s="27">
        <v>0</v>
      </c>
      <c r="AL26" s="27">
        <v>0</v>
      </c>
      <c r="AM26" s="168" t="s">
        <v>83</v>
      </c>
      <c r="AN26" s="27"/>
      <c r="AO26" s="27"/>
      <c r="AP26" s="27">
        <v>1</v>
      </c>
    </row>
    <row r="27" spans="1:42">
      <c r="A27" s="146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8" t="str">
        <f t="shared" si="6"/>
        <v>|CffFF0000[武器]太极八卦剑lv5|r</v>
      </c>
      <c r="K27" s="148" t="str">
        <f t="shared" si="7"/>
        <v>|Cffbbbbbb属性：|r|n攻击+600000|n攻速+60%|n吸血+10%|n|n攻击|Cffffc92610%|r概率附加|Cffffc926业力*400%|r攻击伤害|n</v>
      </c>
      <c r="L27" s="27"/>
      <c r="M27" s="149" t="str">
        <f>VLOOKUP(LEFT(RIGHT(B27,5),4),物品!B:CU,20,FALSE)</f>
        <v>ReplaceableTextures\\CommandButtons\\BTNZ05.blp</v>
      </c>
      <c r="N27" s="168" t="s">
        <v>83</v>
      </c>
      <c r="O27" s="169" t="s">
        <v>84</v>
      </c>
      <c r="P27" s="27">
        <v>0</v>
      </c>
      <c r="Q27" s="27">
        <v>0</v>
      </c>
      <c r="R27" s="168" t="s">
        <v>83</v>
      </c>
      <c r="S27" s="168" t="s">
        <v>83</v>
      </c>
      <c r="T27" s="168" t="s">
        <v>83</v>
      </c>
      <c r="U27" s="168" t="s">
        <v>83</v>
      </c>
      <c r="V27" s="27">
        <v>1</v>
      </c>
      <c r="W27" s="27" t="s">
        <v>85</v>
      </c>
      <c r="X27" s="27">
        <v>0</v>
      </c>
      <c r="Y27" s="16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8" t="s">
        <v>83</v>
      </c>
      <c r="AF27" s="168" t="s">
        <v>83</v>
      </c>
      <c r="AG27" s="168" t="s">
        <v>83</v>
      </c>
      <c r="AH27" s="168" t="s">
        <v>83</v>
      </c>
      <c r="AI27" s="27"/>
      <c r="AJ27" s="27"/>
      <c r="AK27" s="27">
        <v>0</v>
      </c>
      <c r="AL27" s="27">
        <v>0</v>
      </c>
      <c r="AM27" s="168" t="s">
        <v>83</v>
      </c>
      <c r="AN27" s="27"/>
      <c r="AO27" s="27"/>
      <c r="AP27" s="27"/>
    </row>
    <row r="28" spans="1:42">
      <c r="A28" s="146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8" t="str">
        <f t="shared" si="6"/>
        <v>[饰品]青珑挂珠lv1</v>
      </c>
      <c r="K28" s="148" t="str">
        <f t="shared" si="7"/>
        <v>|Cffbbbbbb属性：|r|n攻击+250|n业力+1000|n生命值+5000|n|n|Cff00ff7f击杀150只怪有50%概率升级|r</v>
      </c>
      <c r="L28" s="27"/>
      <c r="M28" s="149" t="str">
        <f>VLOOKUP(LEFT(RIGHT(B28,5),4),物品!B:CU,20,FALSE)</f>
        <v>ReplaceableTextures\\CommandButtons\\BTNZ06.blp</v>
      </c>
      <c r="N28" s="168" t="s">
        <v>83</v>
      </c>
      <c r="O28" s="169" t="s">
        <v>84</v>
      </c>
      <c r="P28" s="27">
        <v>0</v>
      </c>
      <c r="Q28" s="27">
        <v>0</v>
      </c>
      <c r="R28" s="168" t="s">
        <v>83</v>
      </c>
      <c r="S28" s="168" t="s">
        <v>83</v>
      </c>
      <c r="T28" s="168" t="s">
        <v>83</v>
      </c>
      <c r="U28" s="168" t="s">
        <v>83</v>
      </c>
      <c r="V28" s="27">
        <v>2</v>
      </c>
      <c r="W28" s="27" t="s">
        <v>85</v>
      </c>
      <c r="X28" s="27">
        <v>0</v>
      </c>
      <c r="Y28" s="16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8" t="s">
        <v>83</v>
      </c>
      <c r="AF28" s="168" t="s">
        <v>83</v>
      </c>
      <c r="AG28" s="168" t="s">
        <v>83</v>
      </c>
      <c r="AH28" s="168" t="s">
        <v>83</v>
      </c>
      <c r="AI28" s="27"/>
      <c r="AJ28" s="27"/>
      <c r="AK28" s="27">
        <v>0</v>
      </c>
      <c r="AL28" s="27">
        <v>0</v>
      </c>
      <c r="AM28" s="168" t="s">
        <v>83</v>
      </c>
      <c r="AN28" s="27">
        <v>150</v>
      </c>
      <c r="AO28" s="27"/>
      <c r="AP28" s="27"/>
    </row>
    <row r="29" spans="1:42">
      <c r="A29" s="146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8" t="str">
        <f t="shared" si="6"/>
        <v>[饰品]青珑挂珠lv2</v>
      </c>
      <c r="K29" s="148" t="str">
        <f t="shared" si="7"/>
        <v>|Cffbbbbbb属性：|r|n攻击+500|n业力+2000|n生命值+10000|n|n|Cff00ff7f击杀150只怪有50%概率升级|r</v>
      </c>
      <c r="L29" s="27"/>
      <c r="M29" s="149" t="str">
        <f>VLOOKUP(LEFT(RIGHT(B29,5),4),物品!B:CU,20,FALSE)</f>
        <v>ReplaceableTextures\\CommandButtons\\BTNZ06.blp</v>
      </c>
      <c r="N29" s="168" t="s">
        <v>83</v>
      </c>
      <c r="O29" s="169" t="s">
        <v>84</v>
      </c>
      <c r="P29" s="27">
        <v>0</v>
      </c>
      <c r="Q29" s="27">
        <v>0</v>
      </c>
      <c r="R29" s="168" t="s">
        <v>83</v>
      </c>
      <c r="S29" s="168" t="s">
        <v>83</v>
      </c>
      <c r="T29" s="168" t="s">
        <v>83</v>
      </c>
      <c r="U29" s="168" t="s">
        <v>83</v>
      </c>
      <c r="V29" s="27">
        <v>2</v>
      </c>
      <c r="W29" s="27" t="s">
        <v>85</v>
      </c>
      <c r="X29" s="27">
        <v>0</v>
      </c>
      <c r="Y29" s="16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8" t="s">
        <v>83</v>
      </c>
      <c r="AF29" s="168" t="s">
        <v>83</v>
      </c>
      <c r="AG29" s="168" t="s">
        <v>83</v>
      </c>
      <c r="AH29" s="168" t="s">
        <v>83</v>
      </c>
      <c r="AI29" s="27"/>
      <c r="AJ29" s="27"/>
      <c r="AK29" s="27">
        <v>0</v>
      </c>
      <c r="AL29" s="27">
        <v>0</v>
      </c>
      <c r="AM29" s="168" t="s">
        <v>83</v>
      </c>
      <c r="AN29" s="27">
        <v>150</v>
      </c>
      <c r="AO29" s="27"/>
      <c r="AP29" s="27"/>
    </row>
    <row r="30" spans="1:42">
      <c r="A30" s="146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8" t="str">
        <f t="shared" si="6"/>
        <v>[饰品]青珑挂珠lv3</v>
      </c>
      <c r="K30" s="148" t="str">
        <f t="shared" si="7"/>
        <v>|Cffbbbbbb属性：|r|n攻击+750|n业力+3000|n生命值+15000|n|n|Cff00ff7f击杀150只怪有50%概率升级|r</v>
      </c>
      <c r="L30" s="27"/>
      <c r="M30" s="149" t="str">
        <f>VLOOKUP(LEFT(RIGHT(B30,5),4),物品!B:CU,20,FALSE)</f>
        <v>ReplaceableTextures\\CommandButtons\\BTNZ06.blp</v>
      </c>
      <c r="N30" s="168" t="s">
        <v>83</v>
      </c>
      <c r="O30" s="169" t="s">
        <v>84</v>
      </c>
      <c r="P30" s="27">
        <v>0</v>
      </c>
      <c r="Q30" s="27">
        <v>0</v>
      </c>
      <c r="R30" s="168" t="s">
        <v>83</v>
      </c>
      <c r="S30" s="168" t="s">
        <v>83</v>
      </c>
      <c r="T30" s="168" t="s">
        <v>83</v>
      </c>
      <c r="U30" s="168" t="s">
        <v>83</v>
      </c>
      <c r="V30" s="27">
        <v>2</v>
      </c>
      <c r="W30" s="27" t="s">
        <v>85</v>
      </c>
      <c r="X30" s="27">
        <v>0</v>
      </c>
      <c r="Y30" s="16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8" t="s">
        <v>83</v>
      </c>
      <c r="AF30" s="168" t="s">
        <v>83</v>
      </c>
      <c r="AG30" s="168" t="s">
        <v>83</v>
      </c>
      <c r="AH30" s="168" t="s">
        <v>83</v>
      </c>
      <c r="AI30" s="27"/>
      <c r="AJ30" s="27"/>
      <c r="AK30" s="27">
        <v>0</v>
      </c>
      <c r="AL30" s="27">
        <v>0</v>
      </c>
      <c r="AM30" s="168" t="s">
        <v>83</v>
      </c>
      <c r="AN30" s="27">
        <v>150</v>
      </c>
      <c r="AO30" s="27"/>
      <c r="AP30" s="27"/>
    </row>
    <row r="31" spans="1:42">
      <c r="A31" s="146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8" t="str">
        <f t="shared" si="6"/>
        <v>[饰品]青珑挂珠lv4</v>
      </c>
      <c r="K31" s="148" t="str">
        <f t="shared" si="7"/>
        <v>|Cffbbbbbb属性：|r|n攻击+1000|n业力+4000|n生命值+20000|n|n|Cff00ff7f击杀150只怪有50%概率升级|r</v>
      </c>
      <c r="L31" s="27"/>
      <c r="M31" s="149" t="str">
        <f>VLOOKUP(LEFT(RIGHT(B31,5),4),物品!B:CU,20,FALSE)</f>
        <v>ReplaceableTextures\\CommandButtons\\BTNZ06.blp</v>
      </c>
      <c r="N31" s="168" t="s">
        <v>83</v>
      </c>
      <c r="O31" s="169" t="s">
        <v>84</v>
      </c>
      <c r="P31" s="27">
        <v>0</v>
      </c>
      <c r="Q31" s="27">
        <v>0</v>
      </c>
      <c r="R31" s="168" t="s">
        <v>83</v>
      </c>
      <c r="S31" s="168" t="s">
        <v>83</v>
      </c>
      <c r="T31" s="168" t="s">
        <v>83</v>
      </c>
      <c r="U31" s="168" t="s">
        <v>83</v>
      </c>
      <c r="V31" s="27">
        <v>2</v>
      </c>
      <c r="W31" s="27" t="s">
        <v>85</v>
      </c>
      <c r="X31" s="27">
        <v>0</v>
      </c>
      <c r="Y31" s="16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8" t="s">
        <v>83</v>
      </c>
      <c r="AF31" s="168" t="s">
        <v>83</v>
      </c>
      <c r="AG31" s="168" t="s">
        <v>83</v>
      </c>
      <c r="AH31" s="168" t="s">
        <v>83</v>
      </c>
      <c r="AI31" s="27"/>
      <c r="AJ31" s="27"/>
      <c r="AK31" s="27">
        <v>0</v>
      </c>
      <c r="AL31" s="27">
        <v>0</v>
      </c>
      <c r="AM31" s="168" t="s">
        <v>83</v>
      </c>
      <c r="AN31" s="27">
        <v>150</v>
      </c>
      <c r="AO31" s="27"/>
      <c r="AP31" s="27"/>
    </row>
    <row r="32" spans="1:42">
      <c r="A32" s="146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8" t="str">
        <f t="shared" si="6"/>
        <v>[饰品]青珑挂珠lv5</v>
      </c>
      <c r="K32" s="148" t="str">
        <f t="shared" si="7"/>
        <v>|Cffbbbbbb属性：|r|n攻击+1250|n业力+5000|n生命值+25000|n|n|Cff00ff7f击杀150只怪有50%概率升级|r</v>
      </c>
      <c r="L32" s="27"/>
      <c r="M32" s="149" t="str">
        <f>VLOOKUP(LEFT(RIGHT(B32,5),4),物品!B:CU,20,FALSE)</f>
        <v>ReplaceableTextures\\CommandButtons\\BTNZ06.blp</v>
      </c>
      <c r="N32" s="168" t="s">
        <v>83</v>
      </c>
      <c r="O32" s="169" t="s">
        <v>84</v>
      </c>
      <c r="P32" s="27">
        <v>0</v>
      </c>
      <c r="Q32" s="27">
        <v>0</v>
      </c>
      <c r="R32" s="168" t="s">
        <v>83</v>
      </c>
      <c r="S32" s="168" t="s">
        <v>83</v>
      </c>
      <c r="T32" s="168" t="s">
        <v>83</v>
      </c>
      <c r="U32" s="168" t="s">
        <v>83</v>
      </c>
      <c r="V32" s="27">
        <v>2</v>
      </c>
      <c r="W32" s="27" t="s">
        <v>85</v>
      </c>
      <c r="X32" s="27">
        <v>0</v>
      </c>
      <c r="Y32" s="16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8" t="s">
        <v>83</v>
      </c>
      <c r="AF32" s="168" t="s">
        <v>83</v>
      </c>
      <c r="AG32" s="168" t="s">
        <v>83</v>
      </c>
      <c r="AH32" s="168" t="s">
        <v>83</v>
      </c>
      <c r="AI32" s="27"/>
      <c r="AJ32" s="27"/>
      <c r="AK32" s="27">
        <v>0</v>
      </c>
      <c r="AL32" s="27">
        <v>0</v>
      </c>
      <c r="AM32" s="168" t="s">
        <v>83</v>
      </c>
      <c r="AN32" s="27">
        <v>150</v>
      </c>
      <c r="AO32" s="27"/>
      <c r="AP32" s="27"/>
    </row>
    <row r="33" spans="1:42">
      <c r="A33" s="146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8" t="str">
        <f t="shared" si="6"/>
        <v>|Cff00FF7F[饰品]紫晶坠子lv1|r</v>
      </c>
      <c r="K33" s="148" t="str">
        <f t="shared" si="7"/>
        <v>|Cffbbbbbb属性：|r|n攻击+2500|n业力+10000|n生命值+50000|n暴击+4%|n|n|Cff00ff7f击杀200只怪有50%概率升级|r</v>
      </c>
      <c r="L33" s="27"/>
      <c r="M33" s="149" t="str">
        <f>VLOOKUP(LEFT(RIGHT(B33,5),4),物品!B:CU,20,FALSE)</f>
        <v>ReplaceableTextures\\CommandButtons\\BTNZ07.blp</v>
      </c>
      <c r="N33" s="168" t="s">
        <v>83</v>
      </c>
      <c r="O33" s="169" t="s">
        <v>84</v>
      </c>
      <c r="P33" s="27">
        <v>0</v>
      </c>
      <c r="Q33" s="27">
        <v>0</v>
      </c>
      <c r="R33" s="168" t="s">
        <v>83</v>
      </c>
      <c r="S33" s="168" t="s">
        <v>83</v>
      </c>
      <c r="T33" s="168" t="s">
        <v>83</v>
      </c>
      <c r="U33" s="168" t="s">
        <v>83</v>
      </c>
      <c r="V33" s="27">
        <v>2</v>
      </c>
      <c r="W33" s="27" t="s">
        <v>85</v>
      </c>
      <c r="X33" s="27">
        <v>0</v>
      </c>
      <c r="Y33" s="16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8" t="s">
        <v>83</v>
      </c>
      <c r="AF33" s="168" t="s">
        <v>83</v>
      </c>
      <c r="AG33" s="168" t="s">
        <v>83</v>
      </c>
      <c r="AH33" s="168" t="s">
        <v>83</v>
      </c>
      <c r="AI33" s="27"/>
      <c r="AJ33" s="27"/>
      <c r="AK33" s="27">
        <v>0</v>
      </c>
      <c r="AL33" s="27">
        <v>0</v>
      </c>
      <c r="AM33" s="168" t="s">
        <v>83</v>
      </c>
      <c r="AN33" s="27">
        <v>200</v>
      </c>
      <c r="AO33" s="27"/>
      <c r="AP33" s="27"/>
    </row>
    <row r="34" spans="1:42">
      <c r="A34" s="146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8" t="str">
        <f t="shared" si="6"/>
        <v>|Cff00FF7F[饰品]紫晶坠子lv2|r</v>
      </c>
      <c r="K34" s="148" t="str">
        <f t="shared" si="7"/>
        <v>|Cffbbbbbb属性：|r|n攻击+3000|n业力+12000|n生命值+60000|n暴击+4%|n|n|Cff00ff7f击杀200只怪有50%概率升级|r</v>
      </c>
      <c r="L34" s="27"/>
      <c r="M34" s="149" t="str">
        <f>VLOOKUP(LEFT(RIGHT(B34,5),4),物品!B:CU,20,FALSE)</f>
        <v>ReplaceableTextures\\CommandButtons\\BTNZ07.blp</v>
      </c>
      <c r="N34" s="168" t="s">
        <v>83</v>
      </c>
      <c r="O34" s="169" t="s">
        <v>84</v>
      </c>
      <c r="P34" s="27">
        <v>0</v>
      </c>
      <c r="Q34" s="27">
        <v>0</v>
      </c>
      <c r="R34" s="168" t="s">
        <v>83</v>
      </c>
      <c r="S34" s="168" t="s">
        <v>83</v>
      </c>
      <c r="T34" s="168" t="s">
        <v>83</v>
      </c>
      <c r="U34" s="168" t="s">
        <v>83</v>
      </c>
      <c r="V34" s="27">
        <v>2</v>
      </c>
      <c r="W34" s="27" t="s">
        <v>85</v>
      </c>
      <c r="X34" s="27">
        <v>0</v>
      </c>
      <c r="Y34" s="16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8" t="s">
        <v>83</v>
      </c>
      <c r="AF34" s="168" t="s">
        <v>83</v>
      </c>
      <c r="AG34" s="168" t="s">
        <v>83</v>
      </c>
      <c r="AH34" s="168" t="s">
        <v>83</v>
      </c>
      <c r="AI34" s="27"/>
      <c r="AJ34" s="27"/>
      <c r="AK34" s="27">
        <v>0</v>
      </c>
      <c r="AL34" s="27">
        <v>0</v>
      </c>
      <c r="AM34" s="168" t="s">
        <v>83</v>
      </c>
      <c r="AN34" s="27">
        <v>200</v>
      </c>
      <c r="AO34" s="27"/>
      <c r="AP34" s="27"/>
    </row>
    <row r="35" spans="1:42">
      <c r="A35" s="146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8" t="str">
        <f t="shared" si="6"/>
        <v>|Cff00FF7F[饰品]紫晶坠子lv3|r</v>
      </c>
      <c r="K35" s="148" t="str">
        <f t="shared" si="7"/>
        <v>|Cffbbbbbb属性：|r|n攻击+3500|n业力+14000|n生命值+70000|n暴击+4%|n|n|Cff00ff7f击杀200只怪有50%概率升级|r</v>
      </c>
      <c r="L35" s="27"/>
      <c r="M35" s="149" t="str">
        <f>VLOOKUP(LEFT(RIGHT(B35,5),4),物品!B:CU,20,FALSE)</f>
        <v>ReplaceableTextures\\CommandButtons\\BTNZ07.blp</v>
      </c>
      <c r="N35" s="168" t="s">
        <v>83</v>
      </c>
      <c r="O35" s="169" t="s">
        <v>84</v>
      </c>
      <c r="P35" s="27">
        <v>0</v>
      </c>
      <c r="Q35" s="27">
        <v>0</v>
      </c>
      <c r="R35" s="168" t="s">
        <v>83</v>
      </c>
      <c r="S35" s="168" t="s">
        <v>83</v>
      </c>
      <c r="T35" s="168" t="s">
        <v>83</v>
      </c>
      <c r="U35" s="168" t="s">
        <v>83</v>
      </c>
      <c r="V35" s="27">
        <v>2</v>
      </c>
      <c r="W35" s="27" t="s">
        <v>85</v>
      </c>
      <c r="X35" s="27">
        <v>0</v>
      </c>
      <c r="Y35" s="16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8" t="s">
        <v>83</v>
      </c>
      <c r="AF35" s="168" t="s">
        <v>83</v>
      </c>
      <c r="AG35" s="168" t="s">
        <v>83</v>
      </c>
      <c r="AH35" s="168" t="s">
        <v>83</v>
      </c>
      <c r="AI35" s="27"/>
      <c r="AJ35" s="27"/>
      <c r="AK35" s="27">
        <v>0</v>
      </c>
      <c r="AL35" s="27">
        <v>0</v>
      </c>
      <c r="AM35" s="168" t="s">
        <v>83</v>
      </c>
      <c r="AN35" s="27">
        <v>200</v>
      </c>
      <c r="AO35" s="27"/>
      <c r="AP35" s="27"/>
    </row>
    <row r="36" spans="1:42">
      <c r="A36" s="146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8" t="str">
        <f t="shared" ref="J36:J53" si="8">H36</f>
        <v>|Cff00FF7F[饰品]紫晶坠子lv4|r</v>
      </c>
      <c r="K36" s="148" t="str">
        <f t="shared" ref="K36:K53" si="9">I36</f>
        <v>|Cffbbbbbb属性：|r|n攻击+4250|n业力+17000|n生命值+85000|n暴击+4%|n|n|Cff00ff7f击杀200只怪有50%概率升级|r</v>
      </c>
      <c r="L36" s="27"/>
      <c r="M36" s="149" t="str">
        <f>VLOOKUP(LEFT(RIGHT(B36,5),4),物品!B:CU,20,FALSE)</f>
        <v>ReplaceableTextures\\CommandButtons\\BTNZ07.blp</v>
      </c>
      <c r="N36" s="168" t="s">
        <v>83</v>
      </c>
      <c r="O36" s="169" t="s">
        <v>84</v>
      </c>
      <c r="P36" s="27">
        <v>0</v>
      </c>
      <c r="Q36" s="27">
        <v>0</v>
      </c>
      <c r="R36" s="168" t="s">
        <v>83</v>
      </c>
      <c r="S36" s="168" t="s">
        <v>83</v>
      </c>
      <c r="T36" s="168" t="s">
        <v>83</v>
      </c>
      <c r="U36" s="168" t="s">
        <v>83</v>
      </c>
      <c r="V36" s="27">
        <v>2</v>
      </c>
      <c r="W36" s="27" t="s">
        <v>85</v>
      </c>
      <c r="X36" s="27">
        <v>0</v>
      </c>
      <c r="Y36" s="16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8" t="s">
        <v>83</v>
      </c>
      <c r="AF36" s="168" t="s">
        <v>83</v>
      </c>
      <c r="AG36" s="168" t="s">
        <v>83</v>
      </c>
      <c r="AH36" s="168" t="s">
        <v>83</v>
      </c>
      <c r="AI36" s="27"/>
      <c r="AJ36" s="27"/>
      <c r="AK36" s="27">
        <v>0</v>
      </c>
      <c r="AL36" s="27">
        <v>0</v>
      </c>
      <c r="AM36" s="168" t="s">
        <v>83</v>
      </c>
      <c r="AN36" s="27">
        <v>200</v>
      </c>
      <c r="AO36" s="27"/>
      <c r="AP36" s="27"/>
    </row>
    <row r="37" spans="1:42">
      <c r="A37" s="146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8" t="str">
        <f t="shared" si="8"/>
        <v>|Cff00FF7F[饰品]紫晶坠子lv5|r</v>
      </c>
      <c r="K37" s="148" t="str">
        <f t="shared" si="9"/>
        <v>|Cffbbbbbb属性：|r|n攻击+5000|n业力+20000|n生命值+100000|n暴击+4%|n|n|Cff00ff7f击杀200只怪有50%概率升级|r</v>
      </c>
      <c r="L37" s="27"/>
      <c r="M37" s="149" t="str">
        <f>VLOOKUP(LEFT(RIGHT(B37,5),4),物品!B:CU,20,FALSE)</f>
        <v>ReplaceableTextures\\CommandButtons\\BTNZ07.blp</v>
      </c>
      <c r="N37" s="168" t="s">
        <v>83</v>
      </c>
      <c r="O37" s="169" t="s">
        <v>84</v>
      </c>
      <c r="P37" s="27">
        <v>0</v>
      </c>
      <c r="Q37" s="27">
        <v>0</v>
      </c>
      <c r="R37" s="168" t="s">
        <v>83</v>
      </c>
      <c r="S37" s="168" t="s">
        <v>83</v>
      </c>
      <c r="T37" s="168" t="s">
        <v>83</v>
      </c>
      <c r="U37" s="168" t="s">
        <v>83</v>
      </c>
      <c r="V37" s="27">
        <v>2</v>
      </c>
      <c r="W37" s="27" t="s">
        <v>85</v>
      </c>
      <c r="X37" s="27">
        <v>0</v>
      </c>
      <c r="Y37" s="16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8" t="s">
        <v>83</v>
      </c>
      <c r="AF37" s="168" t="s">
        <v>83</v>
      </c>
      <c r="AG37" s="168" t="s">
        <v>83</v>
      </c>
      <c r="AH37" s="168" t="s">
        <v>83</v>
      </c>
      <c r="AI37" s="27"/>
      <c r="AJ37" s="27"/>
      <c r="AK37" s="27">
        <v>0</v>
      </c>
      <c r="AL37" s="27">
        <v>0</v>
      </c>
      <c r="AM37" s="168" t="s">
        <v>83</v>
      </c>
      <c r="AN37" s="27">
        <v>200</v>
      </c>
      <c r="AO37" s="27"/>
      <c r="AP37" s="27"/>
    </row>
    <row r="38" spans="1:42">
      <c r="A38" s="146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8" t="str">
        <f t="shared" si="8"/>
        <v>|Cff00BFFF[饰品]三才项圈lv1|r</v>
      </c>
      <c r="K38" s="148" t="str">
        <f t="shared" si="9"/>
        <v>|Cffbbbbbb属性：|r|n攻击+7500|n业力+30000|n生命值+150000|n暴击+6%|n|n|Cff00ff7f击杀300只怪有50%概率升级|r</v>
      </c>
      <c r="L38" s="27"/>
      <c r="M38" s="149" t="str">
        <f>VLOOKUP(LEFT(RIGHT(B38,5),4),物品!B:CU,20,FALSE)</f>
        <v>ReplaceableTextures\\CommandButtons\\BTNZ08.blp</v>
      </c>
      <c r="N38" s="168" t="s">
        <v>83</v>
      </c>
      <c r="O38" s="169" t="s">
        <v>84</v>
      </c>
      <c r="P38" s="27">
        <v>0</v>
      </c>
      <c r="Q38" s="27">
        <v>0</v>
      </c>
      <c r="R38" s="168" t="s">
        <v>83</v>
      </c>
      <c r="S38" s="168" t="s">
        <v>83</v>
      </c>
      <c r="T38" s="168" t="s">
        <v>83</v>
      </c>
      <c r="U38" s="168" t="s">
        <v>83</v>
      </c>
      <c r="V38" s="27">
        <v>2</v>
      </c>
      <c r="W38" s="27" t="s">
        <v>85</v>
      </c>
      <c r="X38" s="27">
        <v>0</v>
      </c>
      <c r="Y38" s="16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8" t="s">
        <v>83</v>
      </c>
      <c r="AF38" s="168" t="s">
        <v>83</v>
      </c>
      <c r="AG38" s="168" t="s">
        <v>83</v>
      </c>
      <c r="AH38" s="168" t="s">
        <v>83</v>
      </c>
      <c r="AI38" s="27"/>
      <c r="AJ38" s="27"/>
      <c r="AK38" s="27">
        <v>0</v>
      </c>
      <c r="AL38" s="27">
        <v>0</v>
      </c>
      <c r="AM38" s="168" t="s">
        <v>83</v>
      </c>
      <c r="AN38" s="27">
        <v>300</v>
      </c>
      <c r="AO38" s="27"/>
      <c r="AP38" s="27"/>
    </row>
    <row r="39" spans="1:42">
      <c r="A39" s="146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8" t="str">
        <f t="shared" si="8"/>
        <v>|Cff00BFFF[饰品]三才项圈lv2|r</v>
      </c>
      <c r="K39" s="148" t="str">
        <f t="shared" si="9"/>
        <v>|Cffbbbbbb属性：|r|n攻击+9000|n业力+36000|n生命值+180000|n暴击+6%|n|n|Cff00ff7f击杀300只怪有50%概率升级|r</v>
      </c>
      <c r="L39" s="27"/>
      <c r="M39" s="149" t="str">
        <f>VLOOKUP(LEFT(RIGHT(B39,5),4),物品!B:CU,20,FALSE)</f>
        <v>ReplaceableTextures\\CommandButtons\\BTNZ08.blp</v>
      </c>
      <c r="N39" s="168" t="s">
        <v>83</v>
      </c>
      <c r="O39" s="169" t="s">
        <v>84</v>
      </c>
      <c r="P39" s="27">
        <v>0</v>
      </c>
      <c r="Q39" s="27">
        <v>0</v>
      </c>
      <c r="R39" s="168" t="s">
        <v>83</v>
      </c>
      <c r="S39" s="168" t="s">
        <v>83</v>
      </c>
      <c r="T39" s="168" t="s">
        <v>83</v>
      </c>
      <c r="U39" s="168" t="s">
        <v>83</v>
      </c>
      <c r="V39" s="27">
        <v>2</v>
      </c>
      <c r="W39" s="27" t="s">
        <v>85</v>
      </c>
      <c r="X39" s="27">
        <v>0</v>
      </c>
      <c r="Y39" s="16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8" t="s">
        <v>83</v>
      </c>
      <c r="AF39" s="168" t="s">
        <v>83</v>
      </c>
      <c r="AG39" s="168" t="s">
        <v>83</v>
      </c>
      <c r="AH39" s="168" t="s">
        <v>83</v>
      </c>
      <c r="AI39" s="27"/>
      <c r="AJ39" s="27"/>
      <c r="AK39" s="27">
        <v>0</v>
      </c>
      <c r="AL39" s="27">
        <v>0</v>
      </c>
      <c r="AM39" s="168" t="s">
        <v>83</v>
      </c>
      <c r="AN39" s="27">
        <v>300</v>
      </c>
      <c r="AO39" s="27"/>
      <c r="AP39" s="27"/>
    </row>
    <row r="40" spans="1:42">
      <c r="A40" s="146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8" t="str">
        <f t="shared" si="8"/>
        <v>|Cff00BFFF[饰品]三才项圈lv3|r</v>
      </c>
      <c r="K40" s="148" t="str">
        <f t="shared" si="9"/>
        <v>|Cffbbbbbb属性：|r|n攻击+10500|n业力+42000|n生命值+210000|n暴击+6%|n|n|Cff00ff7f击杀300只怪有50%概率升级|r</v>
      </c>
      <c r="L40" s="27"/>
      <c r="M40" s="149" t="str">
        <f>VLOOKUP(LEFT(RIGHT(B40,5),4),物品!B:CU,20,FALSE)</f>
        <v>ReplaceableTextures\\CommandButtons\\BTNZ08.blp</v>
      </c>
      <c r="N40" s="168" t="s">
        <v>83</v>
      </c>
      <c r="O40" s="169" t="s">
        <v>84</v>
      </c>
      <c r="P40" s="27">
        <v>0</v>
      </c>
      <c r="Q40" s="27">
        <v>0</v>
      </c>
      <c r="R40" s="168" t="s">
        <v>83</v>
      </c>
      <c r="S40" s="168" t="s">
        <v>83</v>
      </c>
      <c r="T40" s="168" t="s">
        <v>83</v>
      </c>
      <c r="U40" s="168" t="s">
        <v>83</v>
      </c>
      <c r="V40" s="27">
        <v>2</v>
      </c>
      <c r="W40" s="27" t="s">
        <v>85</v>
      </c>
      <c r="X40" s="27">
        <v>0</v>
      </c>
      <c r="Y40" s="16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8" t="s">
        <v>83</v>
      </c>
      <c r="AF40" s="168" t="s">
        <v>83</v>
      </c>
      <c r="AG40" s="168" t="s">
        <v>83</v>
      </c>
      <c r="AH40" s="168" t="s">
        <v>83</v>
      </c>
      <c r="AI40" s="27"/>
      <c r="AJ40" s="27"/>
      <c r="AK40" s="27">
        <v>0</v>
      </c>
      <c r="AL40" s="27">
        <v>0</v>
      </c>
      <c r="AM40" s="168" t="s">
        <v>83</v>
      </c>
      <c r="AN40" s="27">
        <v>300</v>
      </c>
      <c r="AO40" s="27"/>
      <c r="AP40" s="27"/>
    </row>
    <row r="41" spans="1:42">
      <c r="A41" s="146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8" t="str">
        <f t="shared" si="8"/>
        <v>|Cff00BFFF[饰品]三才项圈lv4|r</v>
      </c>
      <c r="K41" s="148" t="str">
        <f t="shared" si="9"/>
        <v>|Cffbbbbbb属性：|r|n攻击+12500|n业力+50000|n生命值+250000|n暴击+6%|n|n|Cff00ff7f击杀300只怪有50%概率升级|r</v>
      </c>
      <c r="L41" s="27"/>
      <c r="M41" s="149" t="str">
        <f>VLOOKUP(LEFT(RIGHT(B41,5),4),物品!B:CU,20,FALSE)</f>
        <v>ReplaceableTextures\\CommandButtons\\BTNZ08.blp</v>
      </c>
      <c r="N41" s="168" t="s">
        <v>83</v>
      </c>
      <c r="O41" s="169" t="s">
        <v>84</v>
      </c>
      <c r="P41" s="27">
        <v>0</v>
      </c>
      <c r="Q41" s="27">
        <v>0</v>
      </c>
      <c r="R41" s="168" t="s">
        <v>83</v>
      </c>
      <c r="S41" s="168" t="s">
        <v>83</v>
      </c>
      <c r="T41" s="168" t="s">
        <v>83</v>
      </c>
      <c r="U41" s="168" t="s">
        <v>83</v>
      </c>
      <c r="V41" s="27">
        <v>2</v>
      </c>
      <c r="W41" s="27" t="s">
        <v>85</v>
      </c>
      <c r="X41" s="27">
        <v>0</v>
      </c>
      <c r="Y41" s="16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8" t="s">
        <v>83</v>
      </c>
      <c r="AF41" s="168" t="s">
        <v>83</v>
      </c>
      <c r="AG41" s="168" t="s">
        <v>83</v>
      </c>
      <c r="AH41" s="168" t="s">
        <v>83</v>
      </c>
      <c r="AI41" s="27"/>
      <c r="AJ41" s="27"/>
      <c r="AK41" s="27">
        <v>0</v>
      </c>
      <c r="AL41" s="27">
        <v>0</v>
      </c>
      <c r="AM41" s="168" t="s">
        <v>83</v>
      </c>
      <c r="AN41" s="27">
        <v>300</v>
      </c>
      <c r="AO41" s="27"/>
      <c r="AP41" s="27"/>
    </row>
    <row r="42" spans="1:42">
      <c r="A42" s="146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8" t="str">
        <f t="shared" si="8"/>
        <v>|Cff00BFFF[饰品]三才项圈lv5|r</v>
      </c>
      <c r="K42" s="148" t="str">
        <f t="shared" si="9"/>
        <v>|Cffbbbbbb属性：|r|n攻击+15000|n业力+60000|n生命值+300000|n暴击+6%|n|n|Cff00ff7f击杀300只怪有50%概率升级|r</v>
      </c>
      <c r="L42" s="27"/>
      <c r="M42" s="149" t="str">
        <f>VLOOKUP(LEFT(RIGHT(B42,5),4),物品!B:CU,20,FALSE)</f>
        <v>ReplaceableTextures\\CommandButtons\\BTNZ08.blp</v>
      </c>
      <c r="N42" s="168" t="s">
        <v>83</v>
      </c>
      <c r="O42" s="169" t="s">
        <v>84</v>
      </c>
      <c r="P42" s="27">
        <v>0</v>
      </c>
      <c r="Q42" s="27">
        <v>0</v>
      </c>
      <c r="R42" s="168" t="s">
        <v>83</v>
      </c>
      <c r="S42" s="168" t="s">
        <v>83</v>
      </c>
      <c r="T42" s="168" t="s">
        <v>83</v>
      </c>
      <c r="U42" s="168" t="s">
        <v>83</v>
      </c>
      <c r="V42" s="27">
        <v>2</v>
      </c>
      <c r="W42" s="27" t="s">
        <v>85</v>
      </c>
      <c r="X42" s="27">
        <v>0</v>
      </c>
      <c r="Y42" s="16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8" t="s">
        <v>83</v>
      </c>
      <c r="AF42" s="168" t="s">
        <v>83</v>
      </c>
      <c r="AG42" s="168" t="s">
        <v>83</v>
      </c>
      <c r="AH42" s="168" t="s">
        <v>83</v>
      </c>
      <c r="AI42" s="27"/>
      <c r="AJ42" s="27"/>
      <c r="AK42" s="27">
        <v>0</v>
      </c>
      <c r="AL42" s="27">
        <v>0</v>
      </c>
      <c r="AM42" s="168" t="s">
        <v>83</v>
      </c>
      <c r="AN42" s="27">
        <v>300</v>
      </c>
      <c r="AO42" s="27"/>
      <c r="AP42" s="27"/>
    </row>
    <row r="43" spans="1:42">
      <c r="A43" s="146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8" t="str">
        <f t="shared" si="8"/>
        <v>|CffFFC926[饰品]秘魔灵珠lv1|r</v>
      </c>
      <c r="K43" s="148" t="str">
        <f t="shared" si="9"/>
        <v>|Cffbbbbbb属性：|r|n攻击+25000|n业力+100000|n生命值+500000|n暴击+8%|n|n|Cff00ff7f击杀400只怪有50%概率升级|r</v>
      </c>
      <c r="L43" s="27"/>
      <c r="M43" s="149" t="str">
        <f>VLOOKUP(LEFT(RIGHT(B43,5),4),物品!B:CU,20,FALSE)</f>
        <v>ReplaceableTextures\\CommandButtons\\BTNZ09.blp</v>
      </c>
      <c r="N43" s="168" t="s">
        <v>83</v>
      </c>
      <c r="O43" s="169" t="s">
        <v>84</v>
      </c>
      <c r="P43" s="27">
        <v>0</v>
      </c>
      <c r="Q43" s="27">
        <v>0</v>
      </c>
      <c r="R43" s="168" t="s">
        <v>83</v>
      </c>
      <c r="S43" s="168" t="s">
        <v>83</v>
      </c>
      <c r="T43" s="168" t="s">
        <v>83</v>
      </c>
      <c r="U43" s="168" t="s">
        <v>83</v>
      </c>
      <c r="V43" s="27">
        <v>2</v>
      </c>
      <c r="W43" s="27" t="s">
        <v>85</v>
      </c>
      <c r="X43" s="27">
        <v>0</v>
      </c>
      <c r="Y43" s="16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8" t="s">
        <v>83</v>
      </c>
      <c r="AF43" s="168" t="s">
        <v>83</v>
      </c>
      <c r="AG43" s="168" t="s">
        <v>83</v>
      </c>
      <c r="AH43" s="168" t="s">
        <v>83</v>
      </c>
      <c r="AI43" s="27"/>
      <c r="AJ43" s="27"/>
      <c r="AK43" s="27">
        <v>0</v>
      </c>
      <c r="AL43" s="27">
        <v>0</v>
      </c>
      <c r="AM43" s="168" t="s">
        <v>83</v>
      </c>
      <c r="AN43" s="27">
        <v>450</v>
      </c>
      <c r="AO43" s="27"/>
      <c r="AP43" s="27"/>
    </row>
    <row r="44" spans="1:42">
      <c r="A44" s="146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8" t="str">
        <f t="shared" si="8"/>
        <v>|CffFFC926[饰品]秘魔灵珠lv2|r</v>
      </c>
      <c r="K44" s="148" t="str">
        <f t="shared" si="9"/>
        <v>|Cffbbbbbb属性：|r|n攻击+30000|n业力+120000|n生命值+600000|n暴击+8%|n|n|Cff00ff7f击杀400只怪有50%概率升级|r</v>
      </c>
      <c r="L44" s="27"/>
      <c r="M44" s="149" t="str">
        <f>VLOOKUP(LEFT(RIGHT(B44,5),4),物品!B:CU,20,FALSE)</f>
        <v>ReplaceableTextures\\CommandButtons\\BTNZ09.blp</v>
      </c>
      <c r="N44" s="168" t="s">
        <v>83</v>
      </c>
      <c r="O44" s="169" t="s">
        <v>84</v>
      </c>
      <c r="P44" s="27">
        <v>0</v>
      </c>
      <c r="Q44" s="27">
        <v>0</v>
      </c>
      <c r="R44" s="168" t="s">
        <v>83</v>
      </c>
      <c r="S44" s="168" t="s">
        <v>83</v>
      </c>
      <c r="T44" s="168" t="s">
        <v>83</v>
      </c>
      <c r="U44" s="168" t="s">
        <v>83</v>
      </c>
      <c r="V44" s="27">
        <v>2</v>
      </c>
      <c r="W44" s="27" t="s">
        <v>85</v>
      </c>
      <c r="X44" s="27">
        <v>0</v>
      </c>
      <c r="Y44" s="16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8" t="s">
        <v>83</v>
      </c>
      <c r="AF44" s="168" t="s">
        <v>83</v>
      </c>
      <c r="AG44" s="168" t="s">
        <v>83</v>
      </c>
      <c r="AH44" s="168" t="s">
        <v>83</v>
      </c>
      <c r="AI44" s="27"/>
      <c r="AJ44" s="27"/>
      <c r="AK44" s="27">
        <v>0</v>
      </c>
      <c r="AL44" s="27">
        <v>0</v>
      </c>
      <c r="AM44" s="168" t="s">
        <v>83</v>
      </c>
      <c r="AN44" s="27">
        <v>450</v>
      </c>
      <c r="AO44" s="27"/>
      <c r="AP44" s="27"/>
    </row>
    <row r="45" spans="1:42">
      <c r="A45" s="146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8" t="str">
        <f t="shared" si="8"/>
        <v>|CffFFC926[饰品]秘魔灵珠lv3|r</v>
      </c>
      <c r="K45" s="148" t="str">
        <f t="shared" si="9"/>
        <v>|Cffbbbbbb属性：|r|n攻击+35000|n业力+140000|n生命值+700000|n暴击+8%|n|n|Cff00ff7f击杀400只怪有50%概率升级|r</v>
      </c>
      <c r="L45" s="27"/>
      <c r="M45" s="149" t="str">
        <f>VLOOKUP(LEFT(RIGHT(B45,5),4),物品!B:CU,20,FALSE)</f>
        <v>ReplaceableTextures\\CommandButtons\\BTNZ09.blp</v>
      </c>
      <c r="N45" s="168" t="s">
        <v>83</v>
      </c>
      <c r="O45" s="169" t="s">
        <v>84</v>
      </c>
      <c r="P45" s="27">
        <v>0</v>
      </c>
      <c r="Q45" s="27">
        <v>0</v>
      </c>
      <c r="R45" s="168" t="s">
        <v>83</v>
      </c>
      <c r="S45" s="168" t="s">
        <v>83</v>
      </c>
      <c r="T45" s="168" t="s">
        <v>83</v>
      </c>
      <c r="U45" s="168" t="s">
        <v>83</v>
      </c>
      <c r="V45" s="27">
        <v>2</v>
      </c>
      <c r="W45" s="27" t="s">
        <v>85</v>
      </c>
      <c r="X45" s="27">
        <v>0</v>
      </c>
      <c r="Y45" s="16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8" t="s">
        <v>83</v>
      </c>
      <c r="AF45" s="168" t="s">
        <v>83</v>
      </c>
      <c r="AG45" s="168" t="s">
        <v>83</v>
      </c>
      <c r="AH45" s="168" t="s">
        <v>83</v>
      </c>
      <c r="AI45" s="27"/>
      <c r="AJ45" s="27"/>
      <c r="AK45" s="27">
        <v>0</v>
      </c>
      <c r="AL45" s="27">
        <v>0</v>
      </c>
      <c r="AM45" s="168" t="s">
        <v>83</v>
      </c>
      <c r="AN45" s="27">
        <v>450</v>
      </c>
      <c r="AO45" s="27"/>
      <c r="AP45" s="27"/>
    </row>
    <row r="46" spans="1:42">
      <c r="A46" s="146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8" t="str">
        <f t="shared" si="8"/>
        <v>|CffFFC926[饰品]秘魔灵珠lv4|r</v>
      </c>
      <c r="K46" s="148" t="str">
        <f t="shared" si="9"/>
        <v>|Cffbbbbbb属性：|r|n攻击+42500|n业力+170000|n生命值+850000|n暴击+8%|n|n|Cff00ff7f击杀400只怪有50%概率升级|r</v>
      </c>
      <c r="L46" s="27"/>
      <c r="M46" s="149" t="str">
        <f>VLOOKUP(LEFT(RIGHT(B46,5),4),物品!B:CU,20,FALSE)</f>
        <v>ReplaceableTextures\\CommandButtons\\BTNZ09.blp</v>
      </c>
      <c r="N46" s="168" t="s">
        <v>83</v>
      </c>
      <c r="O46" s="169" t="s">
        <v>84</v>
      </c>
      <c r="P46" s="27">
        <v>0</v>
      </c>
      <c r="Q46" s="27">
        <v>0</v>
      </c>
      <c r="R46" s="168" t="s">
        <v>83</v>
      </c>
      <c r="S46" s="168" t="s">
        <v>83</v>
      </c>
      <c r="T46" s="168" t="s">
        <v>83</v>
      </c>
      <c r="U46" s="168" t="s">
        <v>83</v>
      </c>
      <c r="V46" s="27">
        <v>2</v>
      </c>
      <c r="W46" s="27" t="s">
        <v>85</v>
      </c>
      <c r="X46" s="27">
        <v>0</v>
      </c>
      <c r="Y46" s="16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8" t="s">
        <v>83</v>
      </c>
      <c r="AF46" s="168" t="s">
        <v>83</v>
      </c>
      <c r="AG46" s="168" t="s">
        <v>83</v>
      </c>
      <c r="AH46" s="168" t="s">
        <v>83</v>
      </c>
      <c r="AI46" s="27"/>
      <c r="AJ46" s="27"/>
      <c r="AK46" s="27">
        <v>0</v>
      </c>
      <c r="AL46" s="27">
        <v>0</v>
      </c>
      <c r="AM46" s="168" t="s">
        <v>83</v>
      </c>
      <c r="AN46" s="27">
        <v>450</v>
      </c>
      <c r="AO46" s="27"/>
      <c r="AP46" s="27"/>
    </row>
    <row r="47" spans="1:42">
      <c r="A47" s="146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8" t="str">
        <f t="shared" si="8"/>
        <v>|CffFFC926[饰品]秘魔灵珠lv5|r</v>
      </c>
      <c r="K47" s="148" t="str">
        <f t="shared" si="9"/>
        <v>|Cffbbbbbb属性：|r|n攻击+50000|n业力+200000|n生命值+1000000|n暴击+8%|n|n|Cff00ff7f击杀400只怪有50%概率升级|r</v>
      </c>
      <c r="L47" s="27"/>
      <c r="M47" s="149" t="str">
        <f>VLOOKUP(LEFT(RIGHT(B47,5),4),物品!B:CU,20,FALSE)</f>
        <v>ReplaceableTextures\\CommandButtons\\BTNZ09.blp</v>
      </c>
      <c r="N47" s="168" t="s">
        <v>83</v>
      </c>
      <c r="O47" s="169" t="s">
        <v>84</v>
      </c>
      <c r="P47" s="27">
        <v>0</v>
      </c>
      <c r="Q47" s="27">
        <v>0</v>
      </c>
      <c r="R47" s="168" t="s">
        <v>83</v>
      </c>
      <c r="S47" s="168" t="s">
        <v>83</v>
      </c>
      <c r="T47" s="168" t="s">
        <v>83</v>
      </c>
      <c r="U47" s="168" t="s">
        <v>83</v>
      </c>
      <c r="V47" s="27">
        <v>2</v>
      </c>
      <c r="W47" s="27" t="s">
        <v>85</v>
      </c>
      <c r="X47" s="27">
        <v>0</v>
      </c>
      <c r="Y47" s="16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8" t="s">
        <v>83</v>
      </c>
      <c r="AF47" s="168" t="s">
        <v>83</v>
      </c>
      <c r="AG47" s="168" t="s">
        <v>83</v>
      </c>
      <c r="AH47" s="168" t="s">
        <v>83</v>
      </c>
      <c r="AI47" s="27"/>
      <c r="AJ47" s="27"/>
      <c r="AK47" s="27">
        <v>0</v>
      </c>
      <c r="AL47" s="27">
        <v>0</v>
      </c>
      <c r="AM47" s="168" t="s">
        <v>83</v>
      </c>
      <c r="AN47" s="27">
        <v>450</v>
      </c>
      <c r="AO47" s="27"/>
      <c r="AP47" s="27"/>
    </row>
    <row r="48" spans="1:42">
      <c r="A48" s="146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8" t="str">
        <f t="shared" si="8"/>
        <v>|CffFF0000[饰品]流光绝影lv1|r</v>
      </c>
      <c r="K48" s="148" t="str">
        <f t="shared" si="9"/>
        <v>|Cffbbbbbb属性：|r|n攻击+75000|n业力+300000|n生命值+1500000|n暴击+10%|n|n|Cff00ff7f击杀500只怪有50%概率升级|r</v>
      </c>
      <c r="L48" s="27"/>
      <c r="M48" s="149" t="str">
        <f>VLOOKUP(LEFT(RIGHT(B48,5),4),物品!B:CU,20,FALSE)</f>
        <v>ReplaceableTextures\\CommandButtons\\BTNZ10.blp</v>
      </c>
      <c r="N48" s="168" t="s">
        <v>83</v>
      </c>
      <c r="O48" s="169" t="s">
        <v>84</v>
      </c>
      <c r="P48" s="27">
        <v>0</v>
      </c>
      <c r="Q48" s="27">
        <v>0</v>
      </c>
      <c r="R48" s="168" t="s">
        <v>83</v>
      </c>
      <c r="S48" s="168" t="s">
        <v>83</v>
      </c>
      <c r="T48" s="168" t="s">
        <v>83</v>
      </c>
      <c r="U48" s="168" t="s">
        <v>83</v>
      </c>
      <c r="V48" s="27">
        <v>2</v>
      </c>
      <c r="W48" s="27" t="s">
        <v>85</v>
      </c>
      <c r="X48" s="27">
        <v>0</v>
      </c>
      <c r="Y48" s="16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8" t="s">
        <v>83</v>
      </c>
      <c r="AF48" s="168" t="s">
        <v>83</v>
      </c>
      <c r="AG48" s="168" t="s">
        <v>83</v>
      </c>
      <c r="AH48" s="168" t="s">
        <v>83</v>
      </c>
      <c r="AI48" s="27"/>
      <c r="AJ48" s="27"/>
      <c r="AK48" s="27">
        <v>0</v>
      </c>
      <c r="AL48" s="27">
        <v>0</v>
      </c>
      <c r="AM48" s="168" t="s">
        <v>83</v>
      </c>
      <c r="AN48" s="27">
        <v>550</v>
      </c>
      <c r="AO48" s="27"/>
      <c r="AP48" s="27"/>
    </row>
    <row r="49" spans="1:42">
      <c r="A49" s="146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8" t="str">
        <f t="shared" si="8"/>
        <v>|CffFF0000[饰品]流光绝影lv2|r</v>
      </c>
      <c r="K49" s="148" t="str">
        <f t="shared" si="9"/>
        <v>|Cffbbbbbb属性：|r|n攻击+90000|n业力+360000|n生命值+1800000|n暴击+10%|n|n|Cff00ff7f击杀500只怪有50%概率升级|r</v>
      </c>
      <c r="L49" s="27"/>
      <c r="M49" s="149" t="str">
        <f>VLOOKUP(LEFT(RIGHT(B49,5),4),物品!B:CU,20,FALSE)</f>
        <v>ReplaceableTextures\\CommandButtons\\BTNZ10.blp</v>
      </c>
      <c r="N49" s="168" t="s">
        <v>83</v>
      </c>
      <c r="O49" s="169" t="s">
        <v>84</v>
      </c>
      <c r="P49" s="27">
        <v>0</v>
      </c>
      <c r="Q49" s="27">
        <v>0</v>
      </c>
      <c r="R49" s="168" t="s">
        <v>83</v>
      </c>
      <c r="S49" s="168" t="s">
        <v>83</v>
      </c>
      <c r="T49" s="168" t="s">
        <v>83</v>
      </c>
      <c r="U49" s="168" t="s">
        <v>83</v>
      </c>
      <c r="V49" s="27">
        <v>2</v>
      </c>
      <c r="W49" s="27" t="s">
        <v>85</v>
      </c>
      <c r="X49" s="27">
        <v>0</v>
      </c>
      <c r="Y49" s="16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8" t="s">
        <v>83</v>
      </c>
      <c r="AF49" s="168" t="s">
        <v>83</v>
      </c>
      <c r="AG49" s="168" t="s">
        <v>83</v>
      </c>
      <c r="AH49" s="168" t="s">
        <v>83</v>
      </c>
      <c r="AI49" s="27"/>
      <c r="AJ49" s="27"/>
      <c r="AK49" s="27">
        <v>0</v>
      </c>
      <c r="AL49" s="27">
        <v>0</v>
      </c>
      <c r="AM49" s="168" t="s">
        <v>83</v>
      </c>
      <c r="AN49" s="27">
        <v>550</v>
      </c>
      <c r="AO49" s="27"/>
      <c r="AP49" s="27"/>
    </row>
    <row r="50" spans="1:42">
      <c r="A50" s="146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8" t="str">
        <f t="shared" si="8"/>
        <v>|CffFF0000[饰品]流光绝影lv3|r</v>
      </c>
      <c r="K50" s="148" t="str">
        <f t="shared" si="9"/>
        <v>|Cffbbbbbb属性：|r|n攻击+105000|n业力+420000|n生命值+2100000|n暴击+10%|n|n|Cff00ff7f击杀500只怪有50%概率升级|r</v>
      </c>
      <c r="L50" s="27"/>
      <c r="M50" s="149" t="str">
        <f>VLOOKUP(LEFT(RIGHT(B50,5),4),物品!B:CU,20,FALSE)</f>
        <v>ReplaceableTextures\\CommandButtons\\BTNZ10.blp</v>
      </c>
      <c r="N50" s="168" t="s">
        <v>83</v>
      </c>
      <c r="O50" s="169" t="s">
        <v>84</v>
      </c>
      <c r="P50" s="27">
        <v>0</v>
      </c>
      <c r="Q50" s="27">
        <v>0</v>
      </c>
      <c r="R50" s="168" t="s">
        <v>83</v>
      </c>
      <c r="S50" s="168" t="s">
        <v>83</v>
      </c>
      <c r="T50" s="168" t="s">
        <v>83</v>
      </c>
      <c r="U50" s="168" t="s">
        <v>83</v>
      </c>
      <c r="V50" s="27">
        <v>2</v>
      </c>
      <c r="W50" s="27" t="s">
        <v>85</v>
      </c>
      <c r="X50" s="27">
        <v>0</v>
      </c>
      <c r="Y50" s="16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8" t="s">
        <v>83</v>
      </c>
      <c r="AF50" s="168" t="s">
        <v>83</v>
      </c>
      <c r="AG50" s="168" t="s">
        <v>83</v>
      </c>
      <c r="AH50" s="168" t="s">
        <v>83</v>
      </c>
      <c r="AI50" s="27"/>
      <c r="AJ50" s="27"/>
      <c r="AK50" s="27">
        <v>0</v>
      </c>
      <c r="AL50" s="27">
        <v>0</v>
      </c>
      <c r="AM50" s="168" t="s">
        <v>83</v>
      </c>
      <c r="AN50" s="27">
        <v>550</v>
      </c>
      <c r="AO50" s="27"/>
      <c r="AP50" s="27"/>
    </row>
    <row r="51" spans="1:42">
      <c r="A51" s="146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8" t="str">
        <f t="shared" si="8"/>
        <v>|CffFF0000[饰品]流光绝影lv4|r</v>
      </c>
      <c r="K51" s="148" t="str">
        <f t="shared" si="9"/>
        <v>|Cffbbbbbb属性：|r|n攻击+125000|n业力+500000|n生命值+2500000|n暴击+10%|n|n|Cff00ff7f击杀500只怪有50%概率升级|r</v>
      </c>
      <c r="L51" s="27"/>
      <c r="M51" s="149" t="str">
        <f>VLOOKUP(LEFT(RIGHT(B51,5),4),物品!B:CU,20,FALSE)</f>
        <v>ReplaceableTextures\\CommandButtons\\BTNZ10.blp</v>
      </c>
      <c r="N51" s="168" t="s">
        <v>83</v>
      </c>
      <c r="O51" s="169" t="s">
        <v>84</v>
      </c>
      <c r="P51" s="27">
        <v>0</v>
      </c>
      <c r="Q51" s="27">
        <v>0</v>
      </c>
      <c r="R51" s="168" t="s">
        <v>83</v>
      </c>
      <c r="S51" s="168" t="s">
        <v>83</v>
      </c>
      <c r="T51" s="168" t="s">
        <v>83</v>
      </c>
      <c r="U51" s="168" t="s">
        <v>83</v>
      </c>
      <c r="V51" s="27">
        <v>2</v>
      </c>
      <c r="W51" s="27" t="s">
        <v>85</v>
      </c>
      <c r="X51" s="27">
        <v>0</v>
      </c>
      <c r="Y51" s="16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8" t="s">
        <v>83</v>
      </c>
      <c r="AF51" s="168" t="s">
        <v>83</v>
      </c>
      <c r="AG51" s="168" t="s">
        <v>83</v>
      </c>
      <c r="AH51" s="168" t="s">
        <v>83</v>
      </c>
      <c r="AI51" s="27"/>
      <c r="AJ51" s="27"/>
      <c r="AK51" s="27">
        <v>0</v>
      </c>
      <c r="AL51" s="27">
        <v>0</v>
      </c>
      <c r="AM51" s="168" t="s">
        <v>83</v>
      </c>
      <c r="AN51" s="27">
        <v>550</v>
      </c>
      <c r="AO51" s="27"/>
      <c r="AP51" s="27"/>
    </row>
    <row r="52" spans="1:42">
      <c r="A52" s="146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8" t="str">
        <f t="shared" si="8"/>
        <v>|CffFF0000[饰品]流光绝影lv5|r</v>
      </c>
      <c r="K52" s="148" t="str">
        <f t="shared" si="9"/>
        <v>|Cffbbbbbb属性：|r|n攻击+150000|n业力+600000|n生命值+3000000|n暴击+10%|n</v>
      </c>
      <c r="L52" s="27"/>
      <c r="M52" s="149" t="str">
        <f>VLOOKUP(LEFT(RIGHT(B52,5),4),物品!B:CU,20,FALSE)</f>
        <v>ReplaceableTextures\\CommandButtons\\BTNZ10.blp</v>
      </c>
      <c r="N52" s="168" t="s">
        <v>83</v>
      </c>
      <c r="O52" s="169" t="s">
        <v>84</v>
      </c>
      <c r="P52" s="27">
        <v>0</v>
      </c>
      <c r="Q52" s="27">
        <v>0</v>
      </c>
      <c r="R52" s="168" t="s">
        <v>83</v>
      </c>
      <c r="S52" s="168" t="s">
        <v>83</v>
      </c>
      <c r="T52" s="168" t="s">
        <v>83</v>
      </c>
      <c r="U52" s="168" t="s">
        <v>83</v>
      </c>
      <c r="V52" s="27">
        <v>2</v>
      </c>
      <c r="W52" s="27" t="s">
        <v>85</v>
      </c>
      <c r="X52" s="27">
        <v>0</v>
      </c>
      <c r="Y52" s="16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8" t="s">
        <v>83</v>
      </c>
      <c r="AF52" s="168" t="s">
        <v>83</v>
      </c>
      <c r="AG52" s="168" t="s">
        <v>83</v>
      </c>
      <c r="AH52" s="168" t="s">
        <v>83</v>
      </c>
      <c r="AI52" s="27"/>
      <c r="AJ52" s="27"/>
      <c r="AK52" s="27">
        <v>0</v>
      </c>
      <c r="AL52" s="27">
        <v>0</v>
      </c>
      <c r="AM52" s="168" t="s">
        <v>83</v>
      </c>
      <c r="AN52" s="27"/>
      <c r="AO52" s="27"/>
      <c r="AP52" s="27"/>
    </row>
    <row r="53" spans="1:42">
      <c r="A53" s="146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8" t="str">
        <f t="shared" si="8"/>
        <v>[防具]贤者道袍lv1</v>
      </c>
      <c r="K53" s="148" t="str">
        <f t="shared" si="9"/>
        <v>|Cffbbbbbb属性：|r|n生命值+20000|n生命回复+500|n|n|Cff00ff7f点击消耗800金币进行强化|n成功率100%</v>
      </c>
      <c r="L53" s="27"/>
      <c r="M53" s="149" t="str">
        <f>VLOOKUP(LEFT(RIGHT(B53,5),4),物品!B:CU,20,FALSE)</f>
        <v>ReplaceableTextures\\CommandButtons\\BTNZ11.blp</v>
      </c>
      <c r="N53" s="168" t="s">
        <v>83</v>
      </c>
      <c r="O53" s="169" t="s">
        <v>84</v>
      </c>
      <c r="P53" s="27">
        <v>0</v>
      </c>
      <c r="Q53" s="27">
        <v>0</v>
      </c>
      <c r="R53" s="168" t="s">
        <v>83</v>
      </c>
      <c r="S53" s="168" t="s">
        <v>83</v>
      </c>
      <c r="T53" s="168" t="s">
        <v>83</v>
      </c>
      <c r="U53" s="168" t="s">
        <v>83</v>
      </c>
      <c r="V53" s="27">
        <v>3</v>
      </c>
      <c r="W53" s="27" t="s">
        <v>85</v>
      </c>
      <c r="X53" s="27">
        <v>0</v>
      </c>
      <c r="Y53" s="16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8" t="s">
        <v>83</v>
      </c>
      <c r="AF53" s="168" t="s">
        <v>83</v>
      </c>
      <c r="AG53" s="168" t="s">
        <v>83</v>
      </c>
      <c r="AH53" s="168" t="s">
        <v>83</v>
      </c>
      <c r="AI53" s="27"/>
      <c r="AJ53" s="27"/>
      <c r="AK53" s="27">
        <v>0</v>
      </c>
      <c r="AL53" s="27">
        <v>0</v>
      </c>
      <c r="AM53" s="168" t="s">
        <v>83</v>
      </c>
      <c r="AN53" s="27"/>
      <c r="AO53" s="27"/>
      <c r="AP53" s="27">
        <v>1</v>
      </c>
    </row>
    <row r="54" spans="1:42">
      <c r="A54" s="146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8" t="str">
        <f t="shared" ref="J54:J58" si="10">H54</f>
        <v>[防具]贤者道袍lv2</v>
      </c>
      <c r="K54" s="148" t="str">
        <f t="shared" ref="K54:K58" si="11">I54</f>
        <v>|Cffbbbbbb属性：|r|n生命值+40000|n生命回复+1000|n|n|Cff00ff7f点击消耗800金币进行强化|n成功率100%</v>
      </c>
      <c r="L54" s="27"/>
      <c r="M54" s="149" t="str">
        <f>VLOOKUP(LEFT(RIGHT(B54,5),4),物品!B:CU,20,FALSE)</f>
        <v>ReplaceableTextures\\CommandButtons\\BTNZ11.blp</v>
      </c>
      <c r="N54" s="168" t="s">
        <v>83</v>
      </c>
      <c r="O54" s="169" t="s">
        <v>84</v>
      </c>
      <c r="P54" s="27">
        <v>0</v>
      </c>
      <c r="Q54" s="27">
        <v>0</v>
      </c>
      <c r="R54" s="168" t="s">
        <v>83</v>
      </c>
      <c r="S54" s="168" t="s">
        <v>83</v>
      </c>
      <c r="T54" s="168" t="s">
        <v>83</v>
      </c>
      <c r="U54" s="168" t="s">
        <v>83</v>
      </c>
      <c r="V54" s="27">
        <v>3</v>
      </c>
      <c r="W54" s="27" t="s">
        <v>85</v>
      </c>
      <c r="X54" s="27">
        <v>0</v>
      </c>
      <c r="Y54" s="16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8" t="s">
        <v>83</v>
      </c>
      <c r="AF54" s="168" t="s">
        <v>83</v>
      </c>
      <c r="AG54" s="168" t="s">
        <v>83</v>
      </c>
      <c r="AH54" s="168" t="s">
        <v>83</v>
      </c>
      <c r="AI54" s="27"/>
      <c r="AJ54" s="27"/>
      <c r="AK54" s="27">
        <v>0</v>
      </c>
      <c r="AL54" s="27">
        <v>0</v>
      </c>
      <c r="AM54" s="168" t="s">
        <v>83</v>
      </c>
      <c r="AN54" s="27"/>
      <c r="AO54" s="27"/>
      <c r="AP54" s="27">
        <v>1</v>
      </c>
    </row>
    <row r="55" spans="1:42">
      <c r="A55" s="146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8" t="str">
        <f t="shared" si="10"/>
        <v>[防具]贤者道袍lv3</v>
      </c>
      <c r="K55" s="148" t="str">
        <f t="shared" si="11"/>
        <v>|Cffbbbbbb属性：|r|n生命值+60000|n生命回复+1500|n|n|Cff00ff7f点击消耗800金币进行强化|n成功率100%</v>
      </c>
      <c r="L55" s="27"/>
      <c r="M55" s="149" t="str">
        <f>VLOOKUP(LEFT(RIGHT(B55,5),4),物品!B:CU,20,FALSE)</f>
        <v>ReplaceableTextures\\CommandButtons\\BTNZ11.blp</v>
      </c>
      <c r="N55" s="168" t="s">
        <v>83</v>
      </c>
      <c r="O55" s="169" t="s">
        <v>84</v>
      </c>
      <c r="P55" s="27">
        <v>0</v>
      </c>
      <c r="Q55" s="27">
        <v>0</v>
      </c>
      <c r="R55" s="168" t="s">
        <v>83</v>
      </c>
      <c r="S55" s="168" t="s">
        <v>83</v>
      </c>
      <c r="T55" s="168" t="s">
        <v>83</v>
      </c>
      <c r="U55" s="168" t="s">
        <v>83</v>
      </c>
      <c r="V55" s="27">
        <v>3</v>
      </c>
      <c r="W55" s="27" t="s">
        <v>85</v>
      </c>
      <c r="X55" s="27">
        <v>0</v>
      </c>
      <c r="Y55" s="16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8" t="s">
        <v>83</v>
      </c>
      <c r="AF55" s="168" t="s">
        <v>83</v>
      </c>
      <c r="AG55" s="168" t="s">
        <v>83</v>
      </c>
      <c r="AH55" s="168" t="s">
        <v>83</v>
      </c>
      <c r="AI55" s="27"/>
      <c r="AJ55" s="27"/>
      <c r="AK55" s="27">
        <v>0</v>
      </c>
      <c r="AL55" s="27">
        <v>0</v>
      </c>
      <c r="AM55" s="168" t="s">
        <v>83</v>
      </c>
      <c r="AN55" s="27"/>
      <c r="AO55" s="27"/>
      <c r="AP55" s="27">
        <v>1</v>
      </c>
    </row>
    <row r="56" spans="1:42">
      <c r="A56" s="146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8" t="str">
        <f t="shared" si="10"/>
        <v>[防具]贤者道袍lv4</v>
      </c>
      <c r="K56" s="148" t="str">
        <f t="shared" si="11"/>
        <v>|Cffbbbbbb属性：|r|n生命值+80000|n生命回复+2000|n|n|Cff00ff7f点击消耗800金币进行强化|n成功率100%</v>
      </c>
      <c r="L56" s="27"/>
      <c r="M56" s="149" t="str">
        <f>VLOOKUP(LEFT(RIGHT(B56,5),4),物品!B:CU,20,FALSE)</f>
        <v>ReplaceableTextures\\CommandButtons\\BTNZ11.blp</v>
      </c>
      <c r="N56" s="168" t="s">
        <v>83</v>
      </c>
      <c r="O56" s="169" t="s">
        <v>84</v>
      </c>
      <c r="P56" s="27">
        <v>0</v>
      </c>
      <c r="Q56" s="27">
        <v>0</v>
      </c>
      <c r="R56" s="168" t="s">
        <v>83</v>
      </c>
      <c r="S56" s="168" t="s">
        <v>83</v>
      </c>
      <c r="T56" s="168" t="s">
        <v>83</v>
      </c>
      <c r="U56" s="168" t="s">
        <v>83</v>
      </c>
      <c r="V56" s="27">
        <v>3</v>
      </c>
      <c r="W56" s="27" t="s">
        <v>85</v>
      </c>
      <c r="X56" s="27">
        <v>0</v>
      </c>
      <c r="Y56" s="16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8" t="s">
        <v>83</v>
      </c>
      <c r="AF56" s="168" t="s">
        <v>83</v>
      </c>
      <c r="AG56" s="168" t="s">
        <v>83</v>
      </c>
      <c r="AH56" s="168" t="s">
        <v>83</v>
      </c>
      <c r="AI56" s="27"/>
      <c r="AJ56" s="27"/>
      <c r="AK56" s="27">
        <v>0</v>
      </c>
      <c r="AL56" s="27">
        <v>0</v>
      </c>
      <c r="AM56" s="168" t="s">
        <v>83</v>
      </c>
      <c r="AN56" s="27"/>
      <c r="AO56" s="27"/>
      <c r="AP56" s="27">
        <v>1</v>
      </c>
    </row>
    <row r="57" spans="1:42">
      <c r="A57" s="146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8" t="str">
        <f t="shared" si="10"/>
        <v>[防具]贤者道袍lv5</v>
      </c>
      <c r="K57" s="148" t="str">
        <f t="shared" si="11"/>
        <v>|Cffbbbbbb属性：|r|n生命值+100000|n生命回复+2500|n|n|Cff00ff7f点击消耗2500金币进行晋阶挑战</v>
      </c>
      <c r="L57" s="27"/>
      <c r="M57" s="149" t="str">
        <f>VLOOKUP(LEFT(RIGHT(B57,5),4),物品!B:CU,20,FALSE)</f>
        <v>ReplaceableTextures\\CommandButtons\\BTNZ11.blp</v>
      </c>
      <c r="N57" s="168" t="s">
        <v>83</v>
      </c>
      <c r="O57" s="169" t="s">
        <v>84</v>
      </c>
      <c r="P57" s="27">
        <v>0</v>
      </c>
      <c r="Q57" s="27">
        <v>0</v>
      </c>
      <c r="R57" s="168" t="s">
        <v>83</v>
      </c>
      <c r="S57" s="168" t="s">
        <v>83</v>
      </c>
      <c r="T57" s="168" t="s">
        <v>83</v>
      </c>
      <c r="U57" s="168" t="s">
        <v>83</v>
      </c>
      <c r="V57" s="27">
        <v>3</v>
      </c>
      <c r="W57" s="27" t="s">
        <v>85</v>
      </c>
      <c r="X57" s="27">
        <v>0</v>
      </c>
      <c r="Y57" s="16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8" t="s">
        <v>83</v>
      </c>
      <c r="AF57" s="168" t="s">
        <v>83</v>
      </c>
      <c r="AG57" s="168" t="s">
        <v>83</v>
      </c>
      <c r="AH57" s="168" t="s">
        <v>83</v>
      </c>
      <c r="AI57" s="27"/>
      <c r="AJ57" s="27"/>
      <c r="AK57" s="27">
        <v>0</v>
      </c>
      <c r="AL57" s="27">
        <v>0</v>
      </c>
      <c r="AM57" s="168" t="s">
        <v>83</v>
      </c>
      <c r="AN57" s="27"/>
      <c r="AO57" s="27"/>
      <c r="AP57" s="27">
        <v>1</v>
      </c>
    </row>
    <row r="58" spans="1:42">
      <c r="A58" s="146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8" t="str">
        <f t="shared" si="10"/>
        <v>|Cff00FF7F[防具]珊瑚玉衣lv1|r</v>
      </c>
      <c r="K58" s="148" t="str">
        <f t="shared" si="11"/>
        <v>|Cffbbbbbb属性：|r|n护甲+50|n生命值+200000|n生命回复+5000|n|n|Cff00ff7f点击消耗2500金币进行强化|n成功率85%</v>
      </c>
      <c r="L58" s="27"/>
      <c r="M58" s="149" t="str">
        <f>VLOOKUP(LEFT(RIGHT(B58,5),4),物品!B:CU,20,FALSE)</f>
        <v>ReplaceableTextures\\CommandButtons\\BTNZ12.blp</v>
      </c>
      <c r="N58" s="168" t="s">
        <v>83</v>
      </c>
      <c r="O58" s="169" t="s">
        <v>84</v>
      </c>
      <c r="P58" s="27">
        <v>0</v>
      </c>
      <c r="Q58" s="27">
        <v>0</v>
      </c>
      <c r="R58" s="168" t="s">
        <v>83</v>
      </c>
      <c r="S58" s="168" t="s">
        <v>83</v>
      </c>
      <c r="T58" s="168" t="s">
        <v>83</v>
      </c>
      <c r="U58" s="168" t="s">
        <v>83</v>
      </c>
      <c r="V58" s="27">
        <v>3</v>
      </c>
      <c r="W58" s="27" t="s">
        <v>85</v>
      </c>
      <c r="X58" s="27">
        <v>0</v>
      </c>
      <c r="Y58" s="16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8" t="s">
        <v>83</v>
      </c>
      <c r="AF58" s="168" t="s">
        <v>83</v>
      </c>
      <c r="AG58" s="168" t="s">
        <v>83</v>
      </c>
      <c r="AH58" s="168" t="s">
        <v>83</v>
      </c>
      <c r="AI58" s="27"/>
      <c r="AJ58" s="27"/>
      <c r="AK58" s="27">
        <v>0</v>
      </c>
      <c r="AL58" s="27">
        <v>0</v>
      </c>
      <c r="AM58" s="168" t="s">
        <v>83</v>
      </c>
      <c r="AN58" s="27"/>
      <c r="AO58" s="27"/>
      <c r="AP58" s="27">
        <v>1</v>
      </c>
    </row>
    <row r="59" spans="1:42">
      <c r="A59" s="146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8" t="str">
        <f t="shared" ref="J59:J62" si="12">H59</f>
        <v>|Cff00FF7F[防具]珊瑚玉衣lv2|r</v>
      </c>
      <c r="K59" s="148" t="str">
        <f t="shared" ref="K59:K62" si="13">I59</f>
        <v>|Cffbbbbbb属性：|r|n护甲+50|n生命值+240000|n生命回复+6000|n|n|Cff00ff7f点击消耗2500金币进行强化|n成功率85%</v>
      </c>
      <c r="L59" s="27"/>
      <c r="M59" s="149" t="str">
        <f>VLOOKUP(LEFT(RIGHT(B59,5),4),物品!B:CU,20,FALSE)</f>
        <v>ReplaceableTextures\\CommandButtons\\BTNZ12.blp</v>
      </c>
      <c r="N59" s="168" t="s">
        <v>83</v>
      </c>
      <c r="O59" s="169" t="s">
        <v>84</v>
      </c>
      <c r="P59" s="27">
        <v>0</v>
      </c>
      <c r="Q59" s="27">
        <v>0</v>
      </c>
      <c r="R59" s="168" t="s">
        <v>83</v>
      </c>
      <c r="S59" s="168" t="s">
        <v>83</v>
      </c>
      <c r="T59" s="168" t="s">
        <v>83</v>
      </c>
      <c r="U59" s="168" t="s">
        <v>83</v>
      </c>
      <c r="V59" s="27">
        <v>3</v>
      </c>
      <c r="W59" s="27" t="s">
        <v>85</v>
      </c>
      <c r="X59" s="27">
        <v>0</v>
      </c>
      <c r="Y59" s="16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8" t="s">
        <v>83</v>
      </c>
      <c r="AF59" s="168" t="s">
        <v>83</v>
      </c>
      <c r="AG59" s="168" t="s">
        <v>83</v>
      </c>
      <c r="AH59" s="168" t="s">
        <v>83</v>
      </c>
      <c r="AI59" s="27"/>
      <c r="AJ59" s="27"/>
      <c r="AK59" s="27">
        <v>0</v>
      </c>
      <c r="AL59" s="27">
        <v>0</v>
      </c>
      <c r="AM59" s="168" t="s">
        <v>83</v>
      </c>
      <c r="AN59" s="27"/>
      <c r="AO59" s="27"/>
      <c r="AP59" s="27">
        <v>1</v>
      </c>
    </row>
    <row r="60" spans="1:42">
      <c r="A60" s="146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8" t="str">
        <f t="shared" si="12"/>
        <v>|Cff00FF7F[防具]珊瑚玉衣lv3|r</v>
      </c>
      <c r="K60" s="148" t="str">
        <f t="shared" si="13"/>
        <v>|Cffbbbbbb属性：|r|n护甲+50|n生命值+280000|n生命回复+7000|n|n|Cff00ff7f点击消耗2500金币进行强化|n成功率85%</v>
      </c>
      <c r="L60" s="27"/>
      <c r="M60" s="149" t="str">
        <f>VLOOKUP(LEFT(RIGHT(B60,5),4),物品!B:CU,20,FALSE)</f>
        <v>ReplaceableTextures\\CommandButtons\\BTNZ12.blp</v>
      </c>
      <c r="N60" s="168" t="s">
        <v>83</v>
      </c>
      <c r="O60" s="169" t="s">
        <v>84</v>
      </c>
      <c r="P60" s="27">
        <v>0</v>
      </c>
      <c r="Q60" s="27">
        <v>0</v>
      </c>
      <c r="R60" s="168" t="s">
        <v>83</v>
      </c>
      <c r="S60" s="168" t="s">
        <v>83</v>
      </c>
      <c r="T60" s="168" t="s">
        <v>83</v>
      </c>
      <c r="U60" s="168" t="s">
        <v>83</v>
      </c>
      <c r="V60" s="27">
        <v>3</v>
      </c>
      <c r="W60" s="27" t="s">
        <v>85</v>
      </c>
      <c r="X60" s="27">
        <v>0</v>
      </c>
      <c r="Y60" s="16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8" t="s">
        <v>83</v>
      </c>
      <c r="AF60" s="168" t="s">
        <v>83</v>
      </c>
      <c r="AG60" s="168" t="s">
        <v>83</v>
      </c>
      <c r="AH60" s="168" t="s">
        <v>83</v>
      </c>
      <c r="AI60" s="27"/>
      <c r="AJ60" s="27"/>
      <c r="AK60" s="27">
        <v>0</v>
      </c>
      <c r="AL60" s="27">
        <v>0</v>
      </c>
      <c r="AM60" s="168" t="s">
        <v>83</v>
      </c>
      <c r="AN60" s="27"/>
      <c r="AO60" s="27"/>
      <c r="AP60" s="27">
        <v>1</v>
      </c>
    </row>
    <row r="61" spans="1:42">
      <c r="A61" s="146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8" t="str">
        <f t="shared" si="12"/>
        <v>|Cff00FF7F[防具]珊瑚玉衣lv4|r</v>
      </c>
      <c r="K61" s="148" t="str">
        <f t="shared" si="13"/>
        <v>|Cffbbbbbb属性：|r|n护甲+50|n生命值+340000|n生命回复+8500|n|n|Cff00ff7f点击消耗2500金币进行强化|n成功率85%</v>
      </c>
      <c r="L61" s="27"/>
      <c r="M61" s="149" t="str">
        <f>VLOOKUP(LEFT(RIGHT(B61,5),4),物品!B:CU,20,FALSE)</f>
        <v>ReplaceableTextures\\CommandButtons\\BTNZ12.blp</v>
      </c>
      <c r="N61" s="168" t="s">
        <v>83</v>
      </c>
      <c r="O61" s="169" t="s">
        <v>84</v>
      </c>
      <c r="P61" s="27">
        <v>0</v>
      </c>
      <c r="Q61" s="27">
        <v>0</v>
      </c>
      <c r="R61" s="168" t="s">
        <v>83</v>
      </c>
      <c r="S61" s="168" t="s">
        <v>83</v>
      </c>
      <c r="T61" s="168" t="s">
        <v>83</v>
      </c>
      <c r="U61" s="168" t="s">
        <v>83</v>
      </c>
      <c r="V61" s="27">
        <v>3</v>
      </c>
      <c r="W61" s="27" t="s">
        <v>85</v>
      </c>
      <c r="X61" s="27">
        <v>0</v>
      </c>
      <c r="Y61" s="16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8" t="s">
        <v>83</v>
      </c>
      <c r="AF61" s="168" t="s">
        <v>83</v>
      </c>
      <c r="AG61" s="168" t="s">
        <v>83</v>
      </c>
      <c r="AH61" s="168" t="s">
        <v>83</v>
      </c>
      <c r="AI61" s="27"/>
      <c r="AJ61" s="27"/>
      <c r="AK61" s="27">
        <v>0</v>
      </c>
      <c r="AL61" s="27">
        <v>0</v>
      </c>
      <c r="AM61" s="168" t="s">
        <v>83</v>
      </c>
      <c r="AN61" s="27"/>
      <c r="AO61" s="27"/>
      <c r="AP61" s="27">
        <v>1</v>
      </c>
    </row>
    <row r="62" spans="1:42">
      <c r="A62" s="146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8" t="str">
        <f t="shared" si="12"/>
        <v>|Cff00FF7F[防具]珊瑚玉衣lv5|r</v>
      </c>
      <c r="K62" s="148" t="str">
        <f t="shared" si="13"/>
        <v>|Cffbbbbbb属性：|r|n护甲+50|n生命值+400000|n生命回复+10000|n|n|Cff00ff7f点击消耗10000金币进行晋阶挑战</v>
      </c>
      <c r="L62" s="27"/>
      <c r="M62" s="149" t="str">
        <f>VLOOKUP(LEFT(RIGHT(B62,5),4),物品!B:CU,20,FALSE)</f>
        <v>ReplaceableTextures\\CommandButtons\\BTNZ12.blp</v>
      </c>
      <c r="N62" s="168" t="s">
        <v>83</v>
      </c>
      <c r="O62" s="169" t="s">
        <v>84</v>
      </c>
      <c r="P62" s="27">
        <v>0</v>
      </c>
      <c r="Q62" s="27">
        <v>0</v>
      </c>
      <c r="R62" s="168" t="s">
        <v>83</v>
      </c>
      <c r="S62" s="168" t="s">
        <v>83</v>
      </c>
      <c r="T62" s="168" t="s">
        <v>83</v>
      </c>
      <c r="U62" s="168" t="s">
        <v>83</v>
      </c>
      <c r="V62" s="27">
        <v>3</v>
      </c>
      <c r="W62" s="27" t="s">
        <v>85</v>
      </c>
      <c r="X62" s="27">
        <v>0</v>
      </c>
      <c r="Y62" s="16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8" t="s">
        <v>83</v>
      </c>
      <c r="AF62" s="168" t="s">
        <v>83</v>
      </c>
      <c r="AG62" s="168" t="s">
        <v>83</v>
      </c>
      <c r="AH62" s="168" t="s">
        <v>83</v>
      </c>
      <c r="AI62" s="27"/>
      <c r="AJ62" s="27"/>
      <c r="AK62" s="27">
        <v>0</v>
      </c>
      <c r="AL62" s="27">
        <v>0</v>
      </c>
      <c r="AM62" s="168" t="s">
        <v>83</v>
      </c>
      <c r="AN62" s="27"/>
      <c r="AO62" s="27"/>
      <c r="AP62" s="27">
        <v>1</v>
      </c>
    </row>
    <row r="63" spans="1:42">
      <c r="A63" s="146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8" t="str">
        <f t="shared" ref="J63:J77" si="14">H63</f>
        <v>|Cff00BFFF[防具]圣谕披风lv1|r</v>
      </c>
      <c r="K63" s="148" t="str">
        <f t="shared" ref="K63:K77" si="15">I63</f>
        <v>|Cffbbbbbb属性：|r|n护甲+100|n生命值+600000|n生命回复+15000|n|n|Cff00ff7f点击消耗8000金币进行强化|n成功率70%</v>
      </c>
      <c r="L63" s="27"/>
      <c r="M63" s="149" t="str">
        <f>VLOOKUP(LEFT(RIGHT(B63,5),4),物品!B:CU,20,FALSE)</f>
        <v>ReplaceableTextures\\CommandButtons\\BTNZ13.blp</v>
      </c>
      <c r="N63" s="168" t="s">
        <v>83</v>
      </c>
      <c r="O63" s="169" t="s">
        <v>84</v>
      </c>
      <c r="P63" s="27">
        <v>0</v>
      </c>
      <c r="Q63" s="27">
        <v>0</v>
      </c>
      <c r="R63" s="168" t="s">
        <v>83</v>
      </c>
      <c r="S63" s="168" t="s">
        <v>83</v>
      </c>
      <c r="T63" s="168" t="s">
        <v>83</v>
      </c>
      <c r="U63" s="168" t="s">
        <v>83</v>
      </c>
      <c r="V63" s="27">
        <v>3</v>
      </c>
      <c r="W63" s="27" t="s">
        <v>85</v>
      </c>
      <c r="X63" s="27">
        <v>0</v>
      </c>
      <c r="Y63" s="16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8" t="s">
        <v>83</v>
      </c>
      <c r="AF63" s="168" t="s">
        <v>83</v>
      </c>
      <c r="AG63" s="168" t="s">
        <v>83</v>
      </c>
      <c r="AH63" s="168" t="s">
        <v>83</v>
      </c>
      <c r="AI63" s="27"/>
      <c r="AJ63" s="27"/>
      <c r="AK63" s="27">
        <v>0</v>
      </c>
      <c r="AL63" s="27">
        <v>0</v>
      </c>
      <c r="AM63" s="168" t="s">
        <v>83</v>
      </c>
      <c r="AN63" s="27"/>
      <c r="AO63" s="27"/>
      <c r="AP63" s="27">
        <v>1</v>
      </c>
    </row>
    <row r="64" spans="1:42">
      <c r="A64" s="146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8" t="str">
        <f t="shared" si="14"/>
        <v>|Cff00BFFF[防具]圣谕披风lv2|r</v>
      </c>
      <c r="K64" s="148" t="str">
        <f t="shared" si="15"/>
        <v>|Cffbbbbbb属性：|r|n护甲+100|n生命值+720000|n生命回复+18000|n|n|Cff00ff7f点击消耗8000金币进行强化|n成功率70%</v>
      </c>
      <c r="L64" s="27"/>
      <c r="M64" s="149" t="str">
        <f>VLOOKUP(LEFT(RIGHT(B64,5),4),物品!B:CU,20,FALSE)</f>
        <v>ReplaceableTextures\\CommandButtons\\BTNZ13.blp</v>
      </c>
      <c r="N64" s="168" t="s">
        <v>83</v>
      </c>
      <c r="O64" s="169" t="s">
        <v>84</v>
      </c>
      <c r="P64" s="27">
        <v>0</v>
      </c>
      <c r="Q64" s="27">
        <v>0</v>
      </c>
      <c r="R64" s="168" t="s">
        <v>83</v>
      </c>
      <c r="S64" s="168" t="s">
        <v>83</v>
      </c>
      <c r="T64" s="168" t="s">
        <v>83</v>
      </c>
      <c r="U64" s="168" t="s">
        <v>83</v>
      </c>
      <c r="V64" s="27">
        <v>3</v>
      </c>
      <c r="W64" s="27" t="s">
        <v>85</v>
      </c>
      <c r="X64" s="27">
        <v>0</v>
      </c>
      <c r="Y64" s="16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8" t="s">
        <v>83</v>
      </c>
      <c r="AF64" s="168" t="s">
        <v>83</v>
      </c>
      <c r="AG64" s="168" t="s">
        <v>83</v>
      </c>
      <c r="AH64" s="168" t="s">
        <v>83</v>
      </c>
      <c r="AI64" s="27"/>
      <c r="AJ64" s="27"/>
      <c r="AK64" s="27">
        <v>0</v>
      </c>
      <c r="AL64" s="27">
        <v>0</v>
      </c>
      <c r="AM64" s="168" t="s">
        <v>83</v>
      </c>
      <c r="AN64" s="27"/>
      <c r="AO64" s="27"/>
      <c r="AP64" s="27">
        <v>1</v>
      </c>
    </row>
    <row r="65" spans="1:42">
      <c r="A65" s="146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8" t="str">
        <f t="shared" si="14"/>
        <v>|Cff00BFFF[防具]圣谕披风lv3|r</v>
      </c>
      <c r="K65" s="148" t="str">
        <f t="shared" si="15"/>
        <v>|Cffbbbbbb属性：|r|n护甲+100|n生命值+840000|n生命回复+21000|n|n|Cff00ff7f点击消耗8000金币进行强化|n成功率70%</v>
      </c>
      <c r="L65" s="27"/>
      <c r="M65" s="149" t="str">
        <f>VLOOKUP(LEFT(RIGHT(B65,5),4),物品!B:CU,20,FALSE)</f>
        <v>ReplaceableTextures\\CommandButtons\\BTNZ13.blp</v>
      </c>
      <c r="N65" s="168" t="s">
        <v>83</v>
      </c>
      <c r="O65" s="169" t="s">
        <v>84</v>
      </c>
      <c r="P65" s="27">
        <v>0</v>
      </c>
      <c r="Q65" s="27">
        <v>0</v>
      </c>
      <c r="R65" s="168" t="s">
        <v>83</v>
      </c>
      <c r="S65" s="168" t="s">
        <v>83</v>
      </c>
      <c r="T65" s="168" t="s">
        <v>83</v>
      </c>
      <c r="U65" s="168" t="s">
        <v>83</v>
      </c>
      <c r="V65" s="27">
        <v>3</v>
      </c>
      <c r="W65" s="27" t="s">
        <v>85</v>
      </c>
      <c r="X65" s="27">
        <v>0</v>
      </c>
      <c r="Y65" s="16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8" t="s">
        <v>83</v>
      </c>
      <c r="AF65" s="168" t="s">
        <v>83</v>
      </c>
      <c r="AG65" s="168" t="s">
        <v>83</v>
      </c>
      <c r="AH65" s="168" t="s">
        <v>83</v>
      </c>
      <c r="AI65" s="27"/>
      <c r="AJ65" s="27"/>
      <c r="AK65" s="27">
        <v>0</v>
      </c>
      <c r="AL65" s="27">
        <v>0</v>
      </c>
      <c r="AM65" s="168" t="s">
        <v>83</v>
      </c>
      <c r="AN65" s="27"/>
      <c r="AO65" s="27"/>
      <c r="AP65" s="27">
        <v>1</v>
      </c>
    </row>
    <row r="66" spans="1:42">
      <c r="A66" s="146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8" t="str">
        <f t="shared" si="14"/>
        <v>|Cff00BFFF[防具]圣谕披风lv4|r</v>
      </c>
      <c r="K66" s="148" t="str">
        <f t="shared" si="15"/>
        <v>|Cffbbbbbb属性：|r|n护甲+100|n生命值+1000000|n生命回复+25000|n|n|Cff00ff7f点击消耗8000金币进行强化|n成功率70%</v>
      </c>
      <c r="L66" s="27"/>
      <c r="M66" s="149" t="str">
        <f>VLOOKUP(LEFT(RIGHT(B66,5),4),物品!B:CU,20,FALSE)</f>
        <v>ReplaceableTextures\\CommandButtons\\BTNZ13.blp</v>
      </c>
      <c r="N66" s="168" t="s">
        <v>83</v>
      </c>
      <c r="O66" s="169" t="s">
        <v>84</v>
      </c>
      <c r="P66" s="27">
        <v>0</v>
      </c>
      <c r="Q66" s="27">
        <v>0</v>
      </c>
      <c r="R66" s="168" t="s">
        <v>83</v>
      </c>
      <c r="S66" s="168" t="s">
        <v>83</v>
      </c>
      <c r="T66" s="168" t="s">
        <v>83</v>
      </c>
      <c r="U66" s="168" t="s">
        <v>83</v>
      </c>
      <c r="V66" s="27">
        <v>3</v>
      </c>
      <c r="W66" s="27" t="s">
        <v>85</v>
      </c>
      <c r="X66" s="27">
        <v>0</v>
      </c>
      <c r="Y66" s="16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8" t="s">
        <v>83</v>
      </c>
      <c r="AF66" s="168" t="s">
        <v>83</v>
      </c>
      <c r="AG66" s="168" t="s">
        <v>83</v>
      </c>
      <c r="AH66" s="168" t="s">
        <v>83</v>
      </c>
      <c r="AI66" s="27"/>
      <c r="AJ66" s="27"/>
      <c r="AK66" s="27">
        <v>0</v>
      </c>
      <c r="AL66" s="27">
        <v>0</v>
      </c>
      <c r="AM66" s="168" t="s">
        <v>83</v>
      </c>
      <c r="AN66" s="27"/>
      <c r="AO66" s="27"/>
      <c r="AP66" s="27">
        <v>1</v>
      </c>
    </row>
    <row r="67" spans="1:42">
      <c r="A67" s="146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8" t="str">
        <f t="shared" si="14"/>
        <v>|Cff00BFFF[防具]圣谕披风lv5|r</v>
      </c>
      <c r="K67" s="148" t="str">
        <f t="shared" si="15"/>
        <v>|Cffbbbbbb属性：|r|n护甲+100|n生命值+1200000|n生命回复+30000|n|n|Cff00ff7f点击消耗30000金币进行晋阶挑战</v>
      </c>
      <c r="L67" s="27"/>
      <c r="M67" s="149" t="str">
        <f>VLOOKUP(LEFT(RIGHT(B67,5),4),物品!B:CU,20,FALSE)</f>
        <v>ReplaceableTextures\\CommandButtons\\BTNZ13.blp</v>
      </c>
      <c r="N67" s="168" t="s">
        <v>83</v>
      </c>
      <c r="O67" s="169" t="s">
        <v>84</v>
      </c>
      <c r="P67" s="27">
        <v>0</v>
      </c>
      <c r="Q67" s="27">
        <v>0</v>
      </c>
      <c r="R67" s="168" t="s">
        <v>83</v>
      </c>
      <c r="S67" s="168" t="s">
        <v>83</v>
      </c>
      <c r="T67" s="168" t="s">
        <v>83</v>
      </c>
      <c r="U67" s="168" t="s">
        <v>83</v>
      </c>
      <c r="V67" s="27">
        <v>3</v>
      </c>
      <c r="W67" s="27" t="s">
        <v>85</v>
      </c>
      <c r="X67" s="27">
        <v>0</v>
      </c>
      <c r="Y67" s="16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8" t="s">
        <v>83</v>
      </c>
      <c r="AF67" s="168" t="s">
        <v>83</v>
      </c>
      <c r="AG67" s="168" t="s">
        <v>83</v>
      </c>
      <c r="AH67" s="168" t="s">
        <v>83</v>
      </c>
      <c r="AI67" s="27"/>
      <c r="AJ67" s="27"/>
      <c r="AK67" s="27">
        <v>0</v>
      </c>
      <c r="AL67" s="27">
        <v>0</v>
      </c>
      <c r="AM67" s="168" t="s">
        <v>83</v>
      </c>
      <c r="AN67" s="27"/>
      <c r="AO67" s="27"/>
      <c r="AP67" s="27">
        <v>1</v>
      </c>
    </row>
    <row r="68" spans="1:42">
      <c r="A68" s="146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8" t="str">
        <f t="shared" si="14"/>
        <v>|CffFFC926[防具]乾坤护心甲lv1|r</v>
      </c>
      <c r="K68" s="148" t="str">
        <f t="shared" si="15"/>
        <v>|Cffbbbbbb属性：|r|n护甲+150|n生命值+2000000|n生命回复+50000|n|n|Cff00ff7f点击消耗20000金币进行强化|n成功率60%</v>
      </c>
      <c r="L68" s="27"/>
      <c r="M68" s="149" t="str">
        <f>VLOOKUP(LEFT(RIGHT(B68,5),4),物品!B:CU,20,FALSE)</f>
        <v>ReplaceableTextures\\CommandButtons\\BTNZ14.blp</v>
      </c>
      <c r="N68" s="168" t="s">
        <v>83</v>
      </c>
      <c r="O68" s="169" t="s">
        <v>84</v>
      </c>
      <c r="P68" s="27">
        <v>0</v>
      </c>
      <c r="Q68" s="27">
        <v>0</v>
      </c>
      <c r="R68" s="168" t="s">
        <v>83</v>
      </c>
      <c r="S68" s="168" t="s">
        <v>83</v>
      </c>
      <c r="T68" s="168" t="s">
        <v>83</v>
      </c>
      <c r="U68" s="168" t="s">
        <v>83</v>
      </c>
      <c r="V68" s="27">
        <v>3</v>
      </c>
      <c r="W68" s="27" t="s">
        <v>85</v>
      </c>
      <c r="X68" s="27">
        <v>0</v>
      </c>
      <c r="Y68" s="16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8" t="s">
        <v>83</v>
      </c>
      <c r="AF68" s="168" t="s">
        <v>83</v>
      </c>
      <c r="AG68" s="168" t="s">
        <v>83</v>
      </c>
      <c r="AH68" s="168" t="s">
        <v>83</v>
      </c>
      <c r="AI68" s="27"/>
      <c r="AJ68" s="27"/>
      <c r="AK68" s="27">
        <v>0</v>
      </c>
      <c r="AL68" s="27">
        <v>0</v>
      </c>
      <c r="AM68" s="168" t="s">
        <v>83</v>
      </c>
      <c r="AN68" s="27"/>
      <c r="AO68" s="27"/>
      <c r="AP68" s="27">
        <v>1</v>
      </c>
    </row>
    <row r="69" spans="1:42">
      <c r="A69" s="146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8" t="str">
        <f t="shared" si="14"/>
        <v>|CffFFC926[防具]乾坤护心甲lv2|r</v>
      </c>
      <c r="K69" s="148" t="str">
        <f t="shared" si="15"/>
        <v>|Cffbbbbbb属性：|r|n护甲+150|n生命值+2400000|n生命回复+60000|n|n|Cff00ff7f点击消耗20000金币进行强化|n成功率60%</v>
      </c>
      <c r="L69" s="27"/>
      <c r="M69" s="149" t="str">
        <f>VLOOKUP(LEFT(RIGHT(B69,5),4),物品!B:CU,20,FALSE)</f>
        <v>ReplaceableTextures\\CommandButtons\\BTNZ14.blp</v>
      </c>
      <c r="N69" s="168" t="s">
        <v>83</v>
      </c>
      <c r="O69" s="169" t="s">
        <v>84</v>
      </c>
      <c r="P69" s="27">
        <v>0</v>
      </c>
      <c r="Q69" s="27">
        <v>0</v>
      </c>
      <c r="R69" s="168" t="s">
        <v>83</v>
      </c>
      <c r="S69" s="168" t="s">
        <v>83</v>
      </c>
      <c r="T69" s="168" t="s">
        <v>83</v>
      </c>
      <c r="U69" s="168" t="s">
        <v>83</v>
      </c>
      <c r="V69" s="27">
        <v>3</v>
      </c>
      <c r="W69" s="27" t="s">
        <v>85</v>
      </c>
      <c r="X69" s="27">
        <v>0</v>
      </c>
      <c r="Y69" s="16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8" t="s">
        <v>83</v>
      </c>
      <c r="AF69" s="168" t="s">
        <v>83</v>
      </c>
      <c r="AG69" s="168" t="s">
        <v>83</v>
      </c>
      <c r="AH69" s="168" t="s">
        <v>83</v>
      </c>
      <c r="AI69" s="27"/>
      <c r="AJ69" s="27"/>
      <c r="AK69" s="27">
        <v>0</v>
      </c>
      <c r="AL69" s="27">
        <v>0</v>
      </c>
      <c r="AM69" s="168" t="s">
        <v>83</v>
      </c>
      <c r="AN69" s="27"/>
      <c r="AO69" s="27"/>
      <c r="AP69" s="27">
        <v>1</v>
      </c>
    </row>
    <row r="70" spans="1:42">
      <c r="A70" s="146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8" t="str">
        <f t="shared" si="14"/>
        <v>|CffFFC926[防具]乾坤护心甲lv3|r</v>
      </c>
      <c r="K70" s="148" t="str">
        <f t="shared" si="15"/>
        <v>|Cffbbbbbb属性：|r|n护甲+150|n生命值+2800000|n生命回复+70000|n|n|Cff00ff7f点击消耗20000金币进行强化|n成功率60%</v>
      </c>
      <c r="L70" s="27"/>
      <c r="M70" s="149" t="str">
        <f>VLOOKUP(LEFT(RIGHT(B70,5),4),物品!B:CU,20,FALSE)</f>
        <v>ReplaceableTextures\\CommandButtons\\BTNZ14.blp</v>
      </c>
      <c r="N70" s="168" t="s">
        <v>83</v>
      </c>
      <c r="O70" s="169" t="s">
        <v>84</v>
      </c>
      <c r="P70" s="27">
        <v>0</v>
      </c>
      <c r="Q70" s="27">
        <v>0</v>
      </c>
      <c r="R70" s="168" t="s">
        <v>83</v>
      </c>
      <c r="S70" s="168" t="s">
        <v>83</v>
      </c>
      <c r="T70" s="168" t="s">
        <v>83</v>
      </c>
      <c r="U70" s="168" t="s">
        <v>83</v>
      </c>
      <c r="V70" s="27">
        <v>3</v>
      </c>
      <c r="W70" s="27" t="s">
        <v>85</v>
      </c>
      <c r="X70" s="27">
        <v>0</v>
      </c>
      <c r="Y70" s="16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8" t="s">
        <v>83</v>
      </c>
      <c r="AF70" s="168" t="s">
        <v>83</v>
      </c>
      <c r="AG70" s="168" t="s">
        <v>83</v>
      </c>
      <c r="AH70" s="168" t="s">
        <v>83</v>
      </c>
      <c r="AI70" s="27"/>
      <c r="AJ70" s="27"/>
      <c r="AK70" s="27">
        <v>0</v>
      </c>
      <c r="AL70" s="27">
        <v>0</v>
      </c>
      <c r="AM70" s="168" t="s">
        <v>83</v>
      </c>
      <c r="AN70" s="27"/>
      <c r="AO70" s="27"/>
      <c r="AP70" s="27">
        <v>1</v>
      </c>
    </row>
    <row r="71" spans="1:42">
      <c r="A71" s="146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8" t="str">
        <f t="shared" si="14"/>
        <v>|CffFFC926[防具]乾坤护心甲lv4|r</v>
      </c>
      <c r="K71" s="148" t="str">
        <f t="shared" si="15"/>
        <v>|Cffbbbbbb属性：|r|n护甲+150|n生命值+3400000|n生命回复+85000|n|n|Cff00ff7f点击消耗20000金币进行强化|n成功率60%</v>
      </c>
      <c r="L71" s="27"/>
      <c r="M71" s="149" t="str">
        <f>VLOOKUP(LEFT(RIGHT(B71,5),4),物品!B:CU,20,FALSE)</f>
        <v>ReplaceableTextures\\CommandButtons\\BTNZ14.blp</v>
      </c>
      <c r="N71" s="168" t="s">
        <v>83</v>
      </c>
      <c r="O71" s="169" t="s">
        <v>84</v>
      </c>
      <c r="P71" s="27">
        <v>0</v>
      </c>
      <c r="Q71" s="27">
        <v>0</v>
      </c>
      <c r="R71" s="168" t="s">
        <v>83</v>
      </c>
      <c r="S71" s="168" t="s">
        <v>83</v>
      </c>
      <c r="T71" s="168" t="s">
        <v>83</v>
      </c>
      <c r="U71" s="168" t="s">
        <v>83</v>
      </c>
      <c r="V71" s="27">
        <v>3</v>
      </c>
      <c r="W71" s="27" t="s">
        <v>85</v>
      </c>
      <c r="X71" s="27">
        <v>0</v>
      </c>
      <c r="Y71" s="16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8" t="s">
        <v>83</v>
      </c>
      <c r="AF71" s="168" t="s">
        <v>83</v>
      </c>
      <c r="AG71" s="168" t="s">
        <v>83</v>
      </c>
      <c r="AH71" s="168" t="s">
        <v>83</v>
      </c>
      <c r="AI71" s="27"/>
      <c r="AJ71" s="27"/>
      <c r="AK71" s="27">
        <v>0</v>
      </c>
      <c r="AL71" s="27">
        <v>0</v>
      </c>
      <c r="AM71" s="168" t="s">
        <v>83</v>
      </c>
      <c r="AN71" s="27"/>
      <c r="AO71" s="27"/>
      <c r="AP71" s="27">
        <v>1</v>
      </c>
    </row>
    <row r="72" spans="1:42">
      <c r="A72" s="146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8" t="str">
        <f t="shared" si="14"/>
        <v>|CffFFC926[防具]乾坤护心甲lv5|r</v>
      </c>
      <c r="K72" s="148" t="str">
        <f t="shared" si="15"/>
        <v>|Cffbbbbbb属性：|r|n护甲+150|n生命值+4000000|n生命回复+100000|n|n|Cff00ff7f点击消耗50000金币进行晋阶挑战</v>
      </c>
      <c r="L72" s="27"/>
      <c r="M72" s="149" t="str">
        <f>VLOOKUP(LEFT(RIGHT(B72,5),4),物品!B:CU,20,FALSE)</f>
        <v>ReplaceableTextures\\CommandButtons\\BTNZ14.blp</v>
      </c>
      <c r="N72" s="168" t="s">
        <v>83</v>
      </c>
      <c r="O72" s="169" t="s">
        <v>84</v>
      </c>
      <c r="P72" s="27">
        <v>0</v>
      </c>
      <c r="Q72" s="27">
        <v>0</v>
      </c>
      <c r="R72" s="168" t="s">
        <v>83</v>
      </c>
      <c r="S72" s="168" t="s">
        <v>83</v>
      </c>
      <c r="T72" s="168" t="s">
        <v>83</v>
      </c>
      <c r="U72" s="168" t="s">
        <v>83</v>
      </c>
      <c r="V72" s="27">
        <v>3</v>
      </c>
      <c r="W72" s="27" t="s">
        <v>85</v>
      </c>
      <c r="X72" s="27">
        <v>0</v>
      </c>
      <c r="Y72" s="16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8" t="s">
        <v>83</v>
      </c>
      <c r="AF72" s="168" t="s">
        <v>83</v>
      </c>
      <c r="AG72" s="168" t="s">
        <v>83</v>
      </c>
      <c r="AH72" s="168" t="s">
        <v>83</v>
      </c>
      <c r="AI72" s="27"/>
      <c r="AJ72" s="27"/>
      <c r="AK72" s="27">
        <v>0</v>
      </c>
      <c r="AL72" s="27">
        <v>0</v>
      </c>
      <c r="AM72" s="168" t="s">
        <v>83</v>
      </c>
      <c r="AN72" s="27"/>
      <c r="AO72" s="27"/>
      <c r="AP72" s="27">
        <v>1</v>
      </c>
    </row>
    <row r="73" spans="1:42">
      <c r="A73" s="146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8" t="str">
        <f t="shared" si="14"/>
        <v>|CffFF0000[防具]九龙黄金甲lv1|r</v>
      </c>
      <c r="K73" s="148" t="str">
        <f t="shared" si="15"/>
        <v>|Cffbbbbbb属性：|r|n护甲+200|n生命值+6000000|n生命回复+150000|n|n|Cff00ff7f点击消耗35000金币进行强化|n成功率50%</v>
      </c>
      <c r="L73" s="27"/>
      <c r="M73" s="149" t="str">
        <f>VLOOKUP(LEFT(RIGHT(B73,5),4),物品!B:CU,20,FALSE)</f>
        <v>ReplaceableTextures\\CommandButtons\\BTNZ15.blp</v>
      </c>
      <c r="N73" s="168" t="s">
        <v>83</v>
      </c>
      <c r="O73" s="169" t="s">
        <v>84</v>
      </c>
      <c r="P73" s="27">
        <v>0</v>
      </c>
      <c r="Q73" s="27">
        <v>0</v>
      </c>
      <c r="R73" s="168" t="s">
        <v>83</v>
      </c>
      <c r="S73" s="168" t="s">
        <v>83</v>
      </c>
      <c r="T73" s="168" t="s">
        <v>83</v>
      </c>
      <c r="U73" s="168" t="s">
        <v>83</v>
      </c>
      <c r="V73" s="27">
        <v>3</v>
      </c>
      <c r="W73" s="27" t="s">
        <v>85</v>
      </c>
      <c r="X73" s="27">
        <v>0</v>
      </c>
      <c r="Y73" s="16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8" t="s">
        <v>83</v>
      </c>
      <c r="AF73" s="168" t="s">
        <v>83</v>
      </c>
      <c r="AG73" s="168" t="s">
        <v>83</v>
      </c>
      <c r="AH73" s="168" t="s">
        <v>83</v>
      </c>
      <c r="AI73" s="27"/>
      <c r="AJ73" s="27"/>
      <c r="AK73" s="27">
        <v>0</v>
      </c>
      <c r="AL73" s="27">
        <v>0</v>
      </c>
      <c r="AM73" s="168" t="s">
        <v>83</v>
      </c>
      <c r="AN73" s="27"/>
      <c r="AO73" s="27"/>
      <c r="AP73" s="27">
        <v>1</v>
      </c>
    </row>
    <row r="74" spans="1:42">
      <c r="A74" s="146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8" t="str">
        <f t="shared" si="14"/>
        <v>|CffFF0000[防具]九龙黄金甲lv2|r</v>
      </c>
      <c r="K74" s="148" t="str">
        <f t="shared" si="15"/>
        <v>|Cffbbbbbb属性：|r|n护甲+200|n生命值+7200000|n生命回复+180000|n|n|Cff00ff7f点击消耗35000金币进行强化|n成功率50%</v>
      </c>
      <c r="L74" s="27"/>
      <c r="M74" s="149" t="str">
        <f>VLOOKUP(LEFT(RIGHT(B74,5),4),物品!B:CU,20,FALSE)</f>
        <v>ReplaceableTextures\\CommandButtons\\BTNZ15.blp</v>
      </c>
      <c r="N74" s="168" t="s">
        <v>83</v>
      </c>
      <c r="O74" s="169" t="s">
        <v>84</v>
      </c>
      <c r="P74" s="27">
        <v>0</v>
      </c>
      <c r="Q74" s="27">
        <v>0</v>
      </c>
      <c r="R74" s="168" t="s">
        <v>83</v>
      </c>
      <c r="S74" s="168" t="s">
        <v>83</v>
      </c>
      <c r="T74" s="168" t="s">
        <v>83</v>
      </c>
      <c r="U74" s="168" t="s">
        <v>83</v>
      </c>
      <c r="V74" s="27">
        <v>3</v>
      </c>
      <c r="W74" s="27" t="s">
        <v>85</v>
      </c>
      <c r="X74" s="27">
        <v>0</v>
      </c>
      <c r="Y74" s="16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8" t="s">
        <v>83</v>
      </c>
      <c r="AF74" s="168" t="s">
        <v>83</v>
      </c>
      <c r="AG74" s="168" t="s">
        <v>83</v>
      </c>
      <c r="AH74" s="168" t="s">
        <v>83</v>
      </c>
      <c r="AI74" s="27"/>
      <c r="AJ74" s="27"/>
      <c r="AK74" s="27">
        <v>0</v>
      </c>
      <c r="AL74" s="27">
        <v>0</v>
      </c>
      <c r="AM74" s="168" t="s">
        <v>83</v>
      </c>
      <c r="AN74" s="27"/>
      <c r="AO74" s="27"/>
      <c r="AP74" s="27">
        <v>1</v>
      </c>
    </row>
    <row r="75" spans="1:42">
      <c r="A75" s="146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8" t="str">
        <f t="shared" si="14"/>
        <v>|CffFF0000[防具]九龙黄金甲lv3|r</v>
      </c>
      <c r="K75" s="148" t="str">
        <f t="shared" si="15"/>
        <v>|Cffbbbbbb属性：|r|n护甲+200|n生命值+8400000|n生命回复+210000|n|n|Cff00ff7f点击消耗35000金币进行强化|n成功率50%</v>
      </c>
      <c r="L75" s="27"/>
      <c r="M75" s="149" t="str">
        <f>VLOOKUP(LEFT(RIGHT(B75,5),4),物品!B:CU,20,FALSE)</f>
        <v>ReplaceableTextures\\CommandButtons\\BTNZ15.blp</v>
      </c>
      <c r="N75" s="168" t="s">
        <v>83</v>
      </c>
      <c r="O75" s="169" t="s">
        <v>84</v>
      </c>
      <c r="P75" s="27">
        <v>0</v>
      </c>
      <c r="Q75" s="27">
        <v>0</v>
      </c>
      <c r="R75" s="168" t="s">
        <v>83</v>
      </c>
      <c r="S75" s="168" t="s">
        <v>83</v>
      </c>
      <c r="T75" s="168" t="s">
        <v>83</v>
      </c>
      <c r="U75" s="168" t="s">
        <v>83</v>
      </c>
      <c r="V75" s="27">
        <v>3</v>
      </c>
      <c r="W75" s="27" t="s">
        <v>85</v>
      </c>
      <c r="X75" s="27">
        <v>0</v>
      </c>
      <c r="Y75" s="16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8" t="s">
        <v>83</v>
      </c>
      <c r="AF75" s="168" t="s">
        <v>83</v>
      </c>
      <c r="AG75" s="168" t="s">
        <v>83</v>
      </c>
      <c r="AH75" s="168" t="s">
        <v>83</v>
      </c>
      <c r="AI75" s="27"/>
      <c r="AJ75" s="27"/>
      <c r="AK75" s="27">
        <v>0</v>
      </c>
      <c r="AL75" s="27">
        <v>0</v>
      </c>
      <c r="AM75" s="168" t="s">
        <v>83</v>
      </c>
      <c r="AN75" s="27"/>
      <c r="AO75" s="27"/>
      <c r="AP75" s="27">
        <v>1</v>
      </c>
    </row>
    <row r="76" spans="1:42">
      <c r="A76" s="146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8" t="str">
        <f t="shared" si="14"/>
        <v>|CffFF0000[防具]九龙黄金甲lv4|r</v>
      </c>
      <c r="K76" s="148" t="str">
        <f t="shared" si="15"/>
        <v>|Cffbbbbbb属性：|r|n护甲+200|n生命值+10000000|n生命回复+250000|n|n|Cff00ff7f点击消耗35000金币进行强化|n成功率50%</v>
      </c>
      <c r="L76" s="27"/>
      <c r="M76" s="149" t="str">
        <f>VLOOKUP(LEFT(RIGHT(B76,5),4),物品!B:CU,20,FALSE)</f>
        <v>ReplaceableTextures\\CommandButtons\\BTNZ15.blp</v>
      </c>
      <c r="N76" s="168" t="s">
        <v>83</v>
      </c>
      <c r="O76" s="169" t="s">
        <v>84</v>
      </c>
      <c r="P76" s="27">
        <v>0</v>
      </c>
      <c r="Q76" s="27">
        <v>0</v>
      </c>
      <c r="R76" s="168" t="s">
        <v>83</v>
      </c>
      <c r="S76" s="168" t="s">
        <v>83</v>
      </c>
      <c r="T76" s="168" t="s">
        <v>83</v>
      </c>
      <c r="U76" s="168" t="s">
        <v>83</v>
      </c>
      <c r="V76" s="27">
        <v>3</v>
      </c>
      <c r="W76" s="27" t="s">
        <v>85</v>
      </c>
      <c r="X76" s="27">
        <v>0</v>
      </c>
      <c r="Y76" s="16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8" t="s">
        <v>83</v>
      </c>
      <c r="AF76" s="168" t="s">
        <v>83</v>
      </c>
      <c r="AG76" s="168" t="s">
        <v>83</v>
      </c>
      <c r="AH76" s="168" t="s">
        <v>83</v>
      </c>
      <c r="AI76" s="27"/>
      <c r="AJ76" s="27"/>
      <c r="AK76" s="27">
        <v>0</v>
      </c>
      <c r="AL76" s="27">
        <v>0</v>
      </c>
      <c r="AM76" s="168" t="s">
        <v>83</v>
      </c>
      <c r="AN76" s="27"/>
      <c r="AO76" s="27"/>
      <c r="AP76" s="27">
        <v>1</v>
      </c>
    </row>
    <row r="77" spans="1:42">
      <c r="A77" s="146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8" t="str">
        <f t="shared" si="14"/>
        <v>|CffFF0000[防具]九龙黄金甲lv5|r</v>
      </c>
      <c r="K77" s="148" t="str">
        <f t="shared" si="15"/>
        <v>|Cffbbbbbb属性：|r|n护甲+200|n生命值+12000000|n生命回复+300000|n</v>
      </c>
      <c r="L77" s="27"/>
      <c r="M77" s="149" t="str">
        <f>VLOOKUP(LEFT(RIGHT(B77,5),4),物品!B:CU,20,FALSE)</f>
        <v>ReplaceableTextures\\CommandButtons\\BTNZ15.blp</v>
      </c>
      <c r="N77" s="168" t="s">
        <v>83</v>
      </c>
      <c r="O77" s="169" t="s">
        <v>84</v>
      </c>
      <c r="P77" s="27">
        <v>0</v>
      </c>
      <c r="Q77" s="27">
        <v>0</v>
      </c>
      <c r="R77" s="168" t="s">
        <v>83</v>
      </c>
      <c r="S77" s="168" t="s">
        <v>83</v>
      </c>
      <c r="T77" s="168" t="s">
        <v>83</v>
      </c>
      <c r="U77" s="168" t="s">
        <v>83</v>
      </c>
      <c r="V77" s="27">
        <v>3</v>
      </c>
      <c r="W77" s="27" t="s">
        <v>85</v>
      </c>
      <c r="X77" s="27">
        <v>0</v>
      </c>
      <c r="Y77" s="16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8" t="s">
        <v>83</v>
      </c>
      <c r="AF77" s="168" t="s">
        <v>83</v>
      </c>
      <c r="AG77" s="168" t="s">
        <v>83</v>
      </c>
      <c r="AH77" s="168" t="s">
        <v>83</v>
      </c>
      <c r="AI77" s="27"/>
      <c r="AJ77" s="27"/>
      <c r="AK77" s="27">
        <v>0</v>
      </c>
      <c r="AL77" s="27">
        <v>0</v>
      </c>
      <c r="AM77" s="168" t="s">
        <v>83</v>
      </c>
      <c r="AN77" s="27"/>
      <c r="AO77" s="27"/>
      <c r="AP77" s="27"/>
    </row>
    <row r="78" spans="1:42">
      <c r="A78" s="146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8" t="str">
        <f t="shared" ref="J78" si="16">H78</f>
        <v>低级道果【1】</v>
      </c>
      <c r="K78" s="148" t="str">
        <f t="shared" ref="K78" si="17">I78</f>
        <v>|Cffbbbbbb属性：|r|n攻击+5000|n业力+4000|n生命值+100000|n生命回复+2000|n攻击伤害+9%|n技能伤害+8%|n</v>
      </c>
      <c r="L78" s="27"/>
      <c r="M78" s="149" t="str">
        <f>VLOOKUP(LEFT(RIGHT(B78,5),4),物品!B:CU,20,FALSE)</f>
        <v>ReplaceableTextures\\CommandButtons\\BTNOrbOfFrost.blp</v>
      </c>
      <c r="N78" s="168" t="s">
        <v>83</v>
      </c>
      <c r="O78" s="149" t="s">
        <v>87</v>
      </c>
      <c r="P78" s="27">
        <v>0</v>
      </c>
      <c r="Q78" s="27">
        <v>0</v>
      </c>
      <c r="R78" s="168" t="s">
        <v>83</v>
      </c>
      <c r="S78" s="168" t="s">
        <v>83</v>
      </c>
      <c r="T78" s="168" t="s">
        <v>83</v>
      </c>
      <c r="U78" s="168" t="s">
        <v>83</v>
      </c>
      <c r="V78" s="27"/>
      <c r="W78" s="27" t="s">
        <v>88</v>
      </c>
      <c r="X78" s="27">
        <v>0</v>
      </c>
      <c r="Y78" s="16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8" t="s">
        <v>83</v>
      </c>
      <c r="AF78" s="168" t="s">
        <v>83</v>
      </c>
      <c r="AG78" s="168" t="s">
        <v>83</v>
      </c>
      <c r="AH78" s="168" t="s">
        <v>83</v>
      </c>
      <c r="AI78" s="27">
        <v>1</v>
      </c>
      <c r="AJ78" s="27"/>
      <c r="AK78" s="27">
        <v>1</v>
      </c>
      <c r="AL78" s="27">
        <v>1</v>
      </c>
      <c r="AM78" s="168" t="s">
        <v>83</v>
      </c>
      <c r="AN78" s="27">
        <v>1</v>
      </c>
      <c r="AO78" s="27">
        <v>1</v>
      </c>
      <c r="AP78" s="27">
        <v>1</v>
      </c>
    </row>
    <row r="79" spans="1:42">
      <c r="A79" s="146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8" t="str">
        <f t="shared" ref="J79:J82" si="18">H79</f>
        <v>中级道果【2】</v>
      </c>
      <c r="K79" s="148" t="str">
        <f t="shared" ref="K79:K82" si="19">I79</f>
        <v>|Cffbbbbbb属性：|r|n攻击+7500|n业力+6000|n生命值+150000|n生命回复+3000|n攻击伤害+9%|n技能伤害+8%|n</v>
      </c>
      <c r="L79" s="27"/>
      <c r="M79" s="149" t="str">
        <f>VLOOKUP(LEFT(RIGHT(B79,5),4),物品!B:CU,20,FALSE)</f>
        <v>ReplaceableTextures\\CommandButtons\\BTNOrbOfVenom.blp</v>
      </c>
      <c r="N79" s="168" t="s">
        <v>83</v>
      </c>
      <c r="O79" s="149" t="s">
        <v>87</v>
      </c>
      <c r="P79" s="27">
        <v>0</v>
      </c>
      <c r="Q79" s="27">
        <v>0</v>
      </c>
      <c r="R79" s="168" t="s">
        <v>83</v>
      </c>
      <c r="S79" s="168" t="s">
        <v>83</v>
      </c>
      <c r="T79" s="168" t="s">
        <v>83</v>
      </c>
      <c r="U79" s="168" t="s">
        <v>83</v>
      </c>
      <c r="V79" s="27"/>
      <c r="W79" s="27" t="s">
        <v>88</v>
      </c>
      <c r="X79" s="27">
        <v>0</v>
      </c>
      <c r="Y79" s="16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8" t="s">
        <v>83</v>
      </c>
      <c r="AF79" s="168" t="s">
        <v>83</v>
      </c>
      <c r="AG79" s="168" t="s">
        <v>83</v>
      </c>
      <c r="AH79" s="168" t="s">
        <v>83</v>
      </c>
      <c r="AI79" s="27">
        <v>1</v>
      </c>
      <c r="AJ79" s="27"/>
      <c r="AK79" s="27">
        <v>1</v>
      </c>
      <c r="AL79" s="27">
        <v>1</v>
      </c>
      <c r="AM79" s="168" t="s">
        <v>83</v>
      </c>
      <c r="AN79" s="27">
        <v>1</v>
      </c>
      <c r="AO79" s="27">
        <v>1</v>
      </c>
      <c r="AP79" s="27">
        <v>1</v>
      </c>
    </row>
    <row r="80" spans="1:42">
      <c r="A80" s="146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8" t="str">
        <f t="shared" si="18"/>
        <v>|Cff00FF7F高级道果【3】|r</v>
      </c>
      <c r="K80" s="148" t="str">
        <f t="shared" si="19"/>
        <v>|Cffbbbbbb属性：|r|n攻击+12500|n业力+10000|n生命值+250000|n生命回复+5000|n攻击伤害+9%|n技能伤害+8%|n</v>
      </c>
      <c r="L80" s="27"/>
      <c r="M80" s="149" t="str">
        <f>VLOOKUP(LEFT(RIGHT(B80,5),4),物品!B:CU,20,FALSE)</f>
        <v>ReplaceableTextures\\CommandButtons\\BTNOrbOfCorruption.blp</v>
      </c>
      <c r="N80" s="168" t="s">
        <v>83</v>
      </c>
      <c r="O80" s="149" t="s">
        <v>89</v>
      </c>
      <c r="P80" s="27">
        <v>0</v>
      </c>
      <c r="Q80" s="27">
        <v>0</v>
      </c>
      <c r="R80" s="168" t="s">
        <v>83</v>
      </c>
      <c r="S80" s="168" t="s">
        <v>83</v>
      </c>
      <c r="T80" s="168" t="s">
        <v>83</v>
      </c>
      <c r="U80" s="168" t="s">
        <v>83</v>
      </c>
      <c r="V80" s="27"/>
      <c r="W80" s="27" t="s">
        <v>88</v>
      </c>
      <c r="X80" s="27">
        <v>0</v>
      </c>
      <c r="Y80" s="16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8" t="s">
        <v>83</v>
      </c>
      <c r="AF80" s="168" t="s">
        <v>83</v>
      </c>
      <c r="AG80" s="168" t="s">
        <v>83</v>
      </c>
      <c r="AH80" s="168" t="s">
        <v>83</v>
      </c>
      <c r="AI80" s="27">
        <v>1</v>
      </c>
      <c r="AJ80" s="27"/>
      <c r="AK80" s="27">
        <v>1</v>
      </c>
      <c r="AL80" s="27">
        <v>1</v>
      </c>
      <c r="AM80" s="168" t="s">
        <v>83</v>
      </c>
      <c r="AN80" s="27">
        <v>1</v>
      </c>
      <c r="AO80" s="27">
        <v>1</v>
      </c>
      <c r="AP80" s="27">
        <v>1</v>
      </c>
    </row>
    <row r="81" spans="1:42">
      <c r="A81" s="146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8" t="str">
        <f t="shared" si="18"/>
        <v>|Cff00FF7F黄级道果【4】|r</v>
      </c>
      <c r="K81" s="148" t="str">
        <f t="shared" si="19"/>
        <v>|Cffbbbbbb属性：|r|n攻击+21250|n业力+17000|n生命值+425000|n生命回复+8500|n攻击伤害+18%|n技能伤害+15%|n</v>
      </c>
      <c r="L81" s="27"/>
      <c r="M81" s="149" t="str">
        <f>VLOOKUP(LEFT(RIGHT(B81,5),4),物品!B:CU,20,FALSE)</f>
        <v>ReplaceableTextures\\CommandButtons\\BTNOrbOfFire.blp</v>
      </c>
      <c r="N81" s="168" t="s">
        <v>83</v>
      </c>
      <c r="O81" s="149" t="s">
        <v>89</v>
      </c>
      <c r="P81" s="27">
        <v>0</v>
      </c>
      <c r="Q81" s="27">
        <v>0</v>
      </c>
      <c r="R81" s="168" t="s">
        <v>83</v>
      </c>
      <c r="S81" s="168" t="s">
        <v>83</v>
      </c>
      <c r="T81" s="168" t="s">
        <v>83</v>
      </c>
      <c r="U81" s="168" t="s">
        <v>83</v>
      </c>
      <c r="V81" s="27"/>
      <c r="W81" s="27" t="s">
        <v>88</v>
      </c>
      <c r="X81" s="27">
        <v>0</v>
      </c>
      <c r="Y81" s="16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8" t="s">
        <v>83</v>
      </c>
      <c r="AF81" s="168" t="s">
        <v>83</v>
      </c>
      <c r="AG81" s="168" t="s">
        <v>83</v>
      </c>
      <c r="AH81" s="168" t="s">
        <v>83</v>
      </c>
      <c r="AI81" s="27">
        <v>1</v>
      </c>
      <c r="AJ81" s="27"/>
      <c r="AK81" s="27">
        <v>1</v>
      </c>
      <c r="AL81" s="27">
        <v>1</v>
      </c>
      <c r="AM81" s="168" t="s">
        <v>83</v>
      </c>
      <c r="AN81" s="27">
        <v>1</v>
      </c>
      <c r="AO81" s="27">
        <v>1</v>
      </c>
      <c r="AP81" s="27">
        <v>1</v>
      </c>
    </row>
    <row r="82" spans="1:42">
      <c r="A82" s="146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8" t="str">
        <f t="shared" si="18"/>
        <v>|Cff00BFFF玄级道果【5】|r</v>
      </c>
      <c r="K82" s="148" t="str">
        <f t="shared" si="19"/>
        <v>|Cffbbbbbb属性：|r|n攻击+33750|n业力+27000|n生命值+675000|n生命回复+13500|n攻击伤害+18%|n技能伤害+15%|n</v>
      </c>
      <c r="L82" s="27"/>
      <c r="M82" s="149" t="str">
        <f>VLOOKUP(LEFT(RIGHT(B82,5),4),物品!B:CU,20,FALSE)</f>
        <v>ReplaceableTextures\\CommandButtons\\BTNUsedSoulGem.blp</v>
      </c>
      <c r="N82" s="168" t="s">
        <v>83</v>
      </c>
      <c r="O82" s="149" t="s">
        <v>90</v>
      </c>
      <c r="P82" s="27">
        <v>0</v>
      </c>
      <c r="Q82" s="27">
        <v>0</v>
      </c>
      <c r="R82" s="168" t="s">
        <v>83</v>
      </c>
      <c r="S82" s="168" t="s">
        <v>83</v>
      </c>
      <c r="T82" s="168" t="s">
        <v>83</v>
      </c>
      <c r="U82" s="168" t="s">
        <v>83</v>
      </c>
      <c r="V82" s="27"/>
      <c r="W82" s="27" t="s">
        <v>88</v>
      </c>
      <c r="X82" s="27">
        <v>0</v>
      </c>
      <c r="Y82" s="16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8" t="s">
        <v>83</v>
      </c>
      <c r="AF82" s="168" t="s">
        <v>83</v>
      </c>
      <c r="AG82" s="168" t="s">
        <v>83</v>
      </c>
      <c r="AH82" s="168" t="s">
        <v>83</v>
      </c>
      <c r="AI82" s="27">
        <v>1</v>
      </c>
      <c r="AJ82" s="27"/>
      <c r="AK82" s="27">
        <v>1</v>
      </c>
      <c r="AL82" s="27">
        <v>1</v>
      </c>
      <c r="AM82" s="168" t="s">
        <v>83</v>
      </c>
      <c r="AN82" s="27">
        <v>1</v>
      </c>
      <c r="AO82" s="27">
        <v>1</v>
      </c>
      <c r="AP82" s="27">
        <v>1</v>
      </c>
    </row>
    <row r="83" spans="1:42">
      <c r="A83" s="146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8" t="str">
        <f t="shared" ref="J83:J112" si="20">H83</f>
        <v>|Cff00BFFF地级道果【6】|r</v>
      </c>
      <c r="K83" s="148" t="str">
        <f t="shared" ref="K83:K112" si="21">I83</f>
        <v>|Cffbbbbbb属性：|r|n攻击+50000|n业力+40000|n生命值+1000000|n生命回复+20000|n攻击伤害+18%|n技能伤害+15%|n</v>
      </c>
      <c r="L83" s="27"/>
      <c r="M83" s="149" t="str">
        <f>VLOOKUP(LEFT(RIGHT(B83,5),4),物品!B:CU,20,FALSE)</f>
        <v>ReplaceableTextures\\CommandButtons\\BTNOrbofSlowness.blp</v>
      </c>
      <c r="N83" s="168" t="s">
        <v>83</v>
      </c>
      <c r="O83" s="149" t="s">
        <v>90</v>
      </c>
      <c r="P83" s="27">
        <v>0</v>
      </c>
      <c r="Q83" s="27">
        <v>0</v>
      </c>
      <c r="R83" s="168" t="s">
        <v>83</v>
      </c>
      <c r="S83" s="168" t="s">
        <v>83</v>
      </c>
      <c r="T83" s="168" t="s">
        <v>83</v>
      </c>
      <c r="U83" s="168" t="s">
        <v>83</v>
      </c>
      <c r="V83" s="27"/>
      <c r="W83" s="27" t="s">
        <v>88</v>
      </c>
      <c r="X83" s="27">
        <v>0</v>
      </c>
      <c r="Y83" s="16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8" t="s">
        <v>83</v>
      </c>
      <c r="AF83" s="168" t="s">
        <v>83</v>
      </c>
      <c r="AG83" s="168" t="s">
        <v>83</v>
      </c>
      <c r="AH83" s="168" t="s">
        <v>83</v>
      </c>
      <c r="AI83" s="27">
        <v>1</v>
      </c>
      <c r="AJ83" s="27"/>
      <c r="AK83" s="27">
        <v>1</v>
      </c>
      <c r="AL83" s="27">
        <v>1</v>
      </c>
      <c r="AM83" s="168" t="s">
        <v>83</v>
      </c>
      <c r="AN83" s="27">
        <v>1</v>
      </c>
      <c r="AO83" s="27">
        <v>1</v>
      </c>
      <c r="AP83" s="27">
        <v>1</v>
      </c>
    </row>
    <row r="84" spans="1:42">
      <c r="A84" s="146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8" t="str">
        <f t="shared" si="20"/>
        <v>|CffFFC926天级道果【7】|r</v>
      </c>
      <c r="K84" s="148" t="str">
        <f t="shared" si="21"/>
        <v>|Cffbbbbbb属性：|r|n攻击+72500|n业力+58000|n生命值+1450000|n生命回复+29000|n攻击伤害+24%|n技能伤害+20%|n</v>
      </c>
      <c r="L84" s="27"/>
      <c r="M84" s="149" t="str">
        <f>VLOOKUP(LEFT(RIGHT(B84,5),4),物品!B:CU,20,FALSE)</f>
        <v>ReplaceableTextures\\CommandButtons\\BTNOrbOfLightning.blp</v>
      </c>
      <c r="N84" s="168" t="s">
        <v>83</v>
      </c>
      <c r="O84" s="149" t="s">
        <v>91</v>
      </c>
      <c r="P84" s="27">
        <v>0</v>
      </c>
      <c r="Q84" s="27">
        <v>0</v>
      </c>
      <c r="R84" s="168" t="s">
        <v>83</v>
      </c>
      <c r="S84" s="168" t="s">
        <v>83</v>
      </c>
      <c r="T84" s="168" t="s">
        <v>83</v>
      </c>
      <c r="U84" s="168" t="s">
        <v>83</v>
      </c>
      <c r="V84" s="27"/>
      <c r="W84" s="27" t="s">
        <v>88</v>
      </c>
      <c r="X84" s="27">
        <v>0</v>
      </c>
      <c r="Y84" s="16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8" t="s">
        <v>83</v>
      </c>
      <c r="AF84" s="168" t="s">
        <v>83</v>
      </c>
      <c r="AG84" s="168" t="s">
        <v>83</v>
      </c>
      <c r="AH84" s="168" t="s">
        <v>83</v>
      </c>
      <c r="AI84" s="27">
        <v>1</v>
      </c>
      <c r="AJ84" s="27"/>
      <c r="AK84" s="27">
        <v>1</v>
      </c>
      <c r="AL84" s="27">
        <v>1</v>
      </c>
      <c r="AM84" s="168" t="s">
        <v>83</v>
      </c>
      <c r="AN84" s="27">
        <v>1</v>
      </c>
      <c r="AO84" s="27">
        <v>1</v>
      </c>
      <c r="AP84" s="27">
        <v>1</v>
      </c>
    </row>
    <row r="85" spans="1:42">
      <c r="A85" s="146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8" t="str">
        <f t="shared" si="20"/>
        <v>|CffFFC926仙品道果【8】|r</v>
      </c>
      <c r="K85" s="148" t="str">
        <f t="shared" si="21"/>
        <v>|Cffbbbbbb属性：|r|n攻击+102500|n业力+82000|n生命值+2050000|n生命回复+41000|n攻击伤害+24%|n技能伤害+20%|n</v>
      </c>
      <c r="L85" s="27"/>
      <c r="M85" s="149" t="str">
        <f>VLOOKUP(LEFT(RIGHT(B85,5),4),物品!B:CU,20,FALSE)</f>
        <v>ReplaceableTextures\\CommandButtons\\BTNHeartOfAszune.blp</v>
      </c>
      <c r="N85" s="168" t="s">
        <v>83</v>
      </c>
      <c r="O85" s="149" t="s">
        <v>91</v>
      </c>
      <c r="P85" s="27">
        <v>0</v>
      </c>
      <c r="Q85" s="27">
        <v>0</v>
      </c>
      <c r="R85" s="168" t="s">
        <v>83</v>
      </c>
      <c r="S85" s="168" t="s">
        <v>83</v>
      </c>
      <c r="T85" s="168" t="s">
        <v>83</v>
      </c>
      <c r="U85" s="168" t="s">
        <v>83</v>
      </c>
      <c r="V85" s="27"/>
      <c r="W85" s="27" t="s">
        <v>88</v>
      </c>
      <c r="X85" s="27">
        <v>0</v>
      </c>
      <c r="Y85" s="16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8" t="s">
        <v>83</v>
      </c>
      <c r="AF85" s="168" t="s">
        <v>83</v>
      </c>
      <c r="AG85" s="168" t="s">
        <v>83</v>
      </c>
      <c r="AH85" s="168" t="s">
        <v>83</v>
      </c>
      <c r="AI85" s="27">
        <v>1</v>
      </c>
      <c r="AJ85" s="27"/>
      <c r="AK85" s="27">
        <v>1</v>
      </c>
      <c r="AL85" s="27">
        <v>1</v>
      </c>
      <c r="AM85" s="168" t="s">
        <v>83</v>
      </c>
      <c r="AN85" s="27">
        <v>1</v>
      </c>
      <c r="AO85" s="27">
        <v>1</v>
      </c>
      <c r="AP85" s="27">
        <v>1</v>
      </c>
    </row>
    <row r="86" spans="1:42">
      <c r="A86" s="146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8" t="str">
        <f t="shared" si="20"/>
        <v>|CffFF0000至圣道果【9】|r</v>
      </c>
      <c r="K86" s="148" t="str">
        <f t="shared" si="21"/>
        <v>|Cffbbbbbb属性：|r|n攻击+141250|n业力+113000|n生命值+2825000|n生命回复+56500|n攻击伤害+24%|n技能伤害+20%|n</v>
      </c>
      <c r="L86" s="27"/>
      <c r="M86" s="149" t="str">
        <f>VLOOKUP(LEFT(RIGHT(B86,5),4),物品!B:CU,20,FALSE)</f>
        <v>ReplaceableTextures\\CommandButtons\\BTNPhilosophersStone.blp</v>
      </c>
      <c r="N86" s="168" t="s">
        <v>83</v>
      </c>
      <c r="O86" s="149" t="s">
        <v>92</v>
      </c>
      <c r="P86" s="27">
        <v>0</v>
      </c>
      <c r="Q86" s="27">
        <v>0</v>
      </c>
      <c r="R86" s="168" t="s">
        <v>83</v>
      </c>
      <c r="S86" s="168" t="s">
        <v>83</v>
      </c>
      <c r="T86" s="168" t="s">
        <v>83</v>
      </c>
      <c r="U86" s="168" t="s">
        <v>83</v>
      </c>
      <c r="V86" s="27"/>
      <c r="W86" s="27" t="s">
        <v>88</v>
      </c>
      <c r="X86" s="27">
        <v>0</v>
      </c>
      <c r="Y86" s="16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8" t="s">
        <v>83</v>
      </c>
      <c r="AF86" s="168" t="s">
        <v>83</v>
      </c>
      <c r="AG86" s="168" t="s">
        <v>83</v>
      </c>
      <c r="AH86" s="168" t="s">
        <v>83</v>
      </c>
      <c r="AI86" s="27">
        <v>1</v>
      </c>
      <c r="AJ86" s="27"/>
      <c r="AK86" s="27">
        <v>1</v>
      </c>
      <c r="AL86" s="27">
        <v>1</v>
      </c>
      <c r="AM86" s="168" t="s">
        <v>83</v>
      </c>
      <c r="AN86" s="27">
        <v>1</v>
      </c>
      <c r="AO86" s="27">
        <v>1</v>
      </c>
      <c r="AP86" s="27">
        <v>1</v>
      </c>
    </row>
    <row r="87" spans="1:42">
      <c r="A87" s="146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8" t="str">
        <f t="shared" si="20"/>
        <v>|CffFF0000混沌道果【10】|r</v>
      </c>
      <c r="K87" s="148" t="str">
        <f t="shared" si="21"/>
        <v>|Cffbbbbbb属性：|r|n攻击+191250|n业力+153000|n生命值+3825000|n生命回复+76500|n攻击伤害+36%|n技能伤害+30%|n</v>
      </c>
      <c r="L87" s="27"/>
      <c r="M87" s="149" t="str">
        <f>VLOOKUP(LEFT(RIGHT(B87,5),4),物品!B:CU,20,FALSE)</f>
        <v>ReplaceableTextures\\CommandButtons\\BTNOrbOfDarkness.blp</v>
      </c>
      <c r="N87" s="168" t="s">
        <v>83</v>
      </c>
      <c r="O87" s="149" t="s">
        <v>92</v>
      </c>
      <c r="P87" s="27">
        <v>0</v>
      </c>
      <c r="Q87" s="27">
        <v>0</v>
      </c>
      <c r="R87" s="168" t="s">
        <v>83</v>
      </c>
      <c r="S87" s="168" t="s">
        <v>83</v>
      </c>
      <c r="T87" s="168" t="s">
        <v>83</v>
      </c>
      <c r="U87" s="168" t="s">
        <v>83</v>
      </c>
      <c r="V87" s="27"/>
      <c r="W87" s="27" t="s">
        <v>88</v>
      </c>
      <c r="X87" s="27">
        <v>0</v>
      </c>
      <c r="Y87" s="16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8" t="s">
        <v>83</v>
      </c>
      <c r="AF87" s="168" t="s">
        <v>83</v>
      </c>
      <c r="AG87" s="168" t="s">
        <v>83</v>
      </c>
      <c r="AH87" s="168" t="s">
        <v>83</v>
      </c>
      <c r="AI87" s="27">
        <v>1</v>
      </c>
      <c r="AJ87" s="27"/>
      <c r="AK87" s="27">
        <v>1</v>
      </c>
      <c r="AL87" s="27">
        <v>1</v>
      </c>
      <c r="AM87" s="168" t="s">
        <v>83</v>
      </c>
      <c r="AN87" s="27">
        <v>1</v>
      </c>
      <c r="AO87" s="27">
        <v>1</v>
      </c>
      <c r="AP87" s="27">
        <v>1</v>
      </c>
    </row>
    <row r="88" spans="1:42">
      <c r="A88" s="146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8" t="str">
        <f t="shared" ref="J88:J97" si="22">H88</f>
        <v>完美的低级道果【1】</v>
      </c>
      <c r="K88" s="148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9" t="str">
        <f>VLOOKUP(LEFT(RIGHT(B88,5),4),物品!B:CU,20,FALSE)</f>
        <v>ReplaceableTextures\\CommandButtons\\BTNDG11.blp</v>
      </c>
      <c r="N88" s="168" t="s">
        <v>83</v>
      </c>
      <c r="O88" s="149" t="s">
        <v>87</v>
      </c>
      <c r="P88" s="27">
        <v>0</v>
      </c>
      <c r="Q88" s="27">
        <v>0</v>
      </c>
      <c r="R88" s="168" t="s">
        <v>83</v>
      </c>
      <c r="S88" s="168" t="s">
        <v>83</v>
      </c>
      <c r="T88" s="168" t="s">
        <v>83</v>
      </c>
      <c r="U88" s="168" t="s">
        <v>83</v>
      </c>
      <c r="V88" s="27"/>
      <c r="W88" s="27" t="s">
        <v>93</v>
      </c>
      <c r="X88" s="27">
        <v>0</v>
      </c>
      <c r="Y88" s="16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8" t="s">
        <v>83</v>
      </c>
      <c r="AF88" s="168" t="s">
        <v>83</v>
      </c>
      <c r="AG88" s="168" t="s">
        <v>83</v>
      </c>
      <c r="AH88" s="168" t="s">
        <v>83</v>
      </c>
      <c r="AI88" s="27"/>
      <c r="AJ88" s="27"/>
      <c r="AK88" s="27">
        <v>1</v>
      </c>
      <c r="AL88" s="27">
        <v>1</v>
      </c>
      <c r="AM88" s="168" t="s">
        <v>83</v>
      </c>
      <c r="AN88" s="27">
        <v>1</v>
      </c>
      <c r="AO88" s="27">
        <v>1</v>
      </c>
      <c r="AP88" s="27">
        <v>1</v>
      </c>
    </row>
    <row r="89" spans="1:42">
      <c r="A89" s="146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8" t="str">
        <f t="shared" si="22"/>
        <v>完美的中级道果【2】</v>
      </c>
      <c r="K89" s="148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9" t="str">
        <f>VLOOKUP(LEFT(RIGHT(B89,5),4),物品!B:CU,20,FALSE)</f>
        <v>ReplaceableTextures\\CommandButtons\\BTNDG12.blp</v>
      </c>
      <c r="N89" s="168" t="s">
        <v>83</v>
      </c>
      <c r="O89" s="149" t="s">
        <v>87</v>
      </c>
      <c r="P89" s="27">
        <v>0</v>
      </c>
      <c r="Q89" s="27">
        <v>0</v>
      </c>
      <c r="R89" s="168" t="s">
        <v>83</v>
      </c>
      <c r="S89" s="168" t="s">
        <v>83</v>
      </c>
      <c r="T89" s="168" t="s">
        <v>83</v>
      </c>
      <c r="U89" s="168" t="s">
        <v>83</v>
      </c>
      <c r="V89" s="27"/>
      <c r="W89" s="27" t="s">
        <v>93</v>
      </c>
      <c r="X89" s="27">
        <v>0</v>
      </c>
      <c r="Y89" s="16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8" t="s">
        <v>83</v>
      </c>
      <c r="AF89" s="168" t="s">
        <v>83</v>
      </c>
      <c r="AG89" s="168" t="s">
        <v>83</v>
      </c>
      <c r="AH89" s="168" t="s">
        <v>83</v>
      </c>
      <c r="AI89" s="27"/>
      <c r="AJ89" s="27"/>
      <c r="AK89" s="27">
        <v>1</v>
      </c>
      <c r="AL89" s="27">
        <v>1</v>
      </c>
      <c r="AM89" s="168" t="s">
        <v>83</v>
      </c>
      <c r="AN89" s="27">
        <v>1</v>
      </c>
      <c r="AO89" s="27">
        <v>1</v>
      </c>
      <c r="AP89" s="27">
        <v>1</v>
      </c>
    </row>
    <row r="90" spans="1:42">
      <c r="A90" s="146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8" t="str">
        <f t="shared" si="22"/>
        <v>|Cff00FF7F完美的高级道果【3】|r</v>
      </c>
      <c r="K90" s="148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9" t="str">
        <f>VLOOKUP(LEFT(RIGHT(B90,5),4),物品!B:CU,20,FALSE)</f>
        <v>ReplaceableTextures\\CommandButtons\\BTNDG13.blp</v>
      </c>
      <c r="N90" s="168" t="s">
        <v>83</v>
      </c>
      <c r="O90" s="149" t="s">
        <v>89</v>
      </c>
      <c r="P90" s="27">
        <v>0</v>
      </c>
      <c r="Q90" s="27">
        <v>0</v>
      </c>
      <c r="R90" s="168" t="s">
        <v>83</v>
      </c>
      <c r="S90" s="168" t="s">
        <v>83</v>
      </c>
      <c r="T90" s="168" t="s">
        <v>83</v>
      </c>
      <c r="U90" s="168" t="s">
        <v>83</v>
      </c>
      <c r="V90" s="27"/>
      <c r="W90" s="27" t="s">
        <v>93</v>
      </c>
      <c r="X90" s="27">
        <v>0</v>
      </c>
      <c r="Y90" s="16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8" t="s">
        <v>83</v>
      </c>
      <c r="AF90" s="168" t="s">
        <v>83</v>
      </c>
      <c r="AG90" s="168" t="s">
        <v>83</v>
      </c>
      <c r="AH90" s="168" t="s">
        <v>83</v>
      </c>
      <c r="AI90" s="27"/>
      <c r="AJ90" s="27"/>
      <c r="AK90" s="27">
        <v>1</v>
      </c>
      <c r="AL90" s="27">
        <v>1</v>
      </c>
      <c r="AM90" s="168" t="s">
        <v>83</v>
      </c>
      <c r="AN90" s="27">
        <v>1</v>
      </c>
      <c r="AO90" s="27">
        <v>1</v>
      </c>
      <c r="AP90" s="27">
        <v>1</v>
      </c>
    </row>
    <row r="91" spans="1:42">
      <c r="A91" s="146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8" t="str">
        <f t="shared" si="22"/>
        <v>|Cff00FF7F完美的黄级道果【4】|r</v>
      </c>
      <c r="K91" s="148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9" t="str">
        <f>VLOOKUP(LEFT(RIGHT(B91,5),4),物品!B:CU,20,FALSE)</f>
        <v>ReplaceableTextures\\CommandButtons\\BTNDG14.blp</v>
      </c>
      <c r="N91" s="168" t="s">
        <v>83</v>
      </c>
      <c r="O91" s="149" t="s">
        <v>89</v>
      </c>
      <c r="P91" s="27">
        <v>0</v>
      </c>
      <c r="Q91" s="27">
        <v>0</v>
      </c>
      <c r="R91" s="168" t="s">
        <v>83</v>
      </c>
      <c r="S91" s="168" t="s">
        <v>83</v>
      </c>
      <c r="T91" s="168" t="s">
        <v>83</v>
      </c>
      <c r="U91" s="168" t="s">
        <v>83</v>
      </c>
      <c r="V91" s="27"/>
      <c r="W91" s="27" t="s">
        <v>93</v>
      </c>
      <c r="X91" s="27">
        <v>0</v>
      </c>
      <c r="Y91" s="16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8" t="s">
        <v>83</v>
      </c>
      <c r="AF91" s="168" t="s">
        <v>83</v>
      </c>
      <c r="AG91" s="168" t="s">
        <v>83</v>
      </c>
      <c r="AH91" s="168" t="s">
        <v>83</v>
      </c>
      <c r="AI91" s="27"/>
      <c r="AJ91" s="27"/>
      <c r="AK91" s="27">
        <v>1</v>
      </c>
      <c r="AL91" s="27">
        <v>1</v>
      </c>
      <c r="AM91" s="168" t="s">
        <v>83</v>
      </c>
      <c r="AN91" s="27">
        <v>1</v>
      </c>
      <c r="AO91" s="27">
        <v>1</v>
      </c>
      <c r="AP91" s="27">
        <v>1</v>
      </c>
    </row>
    <row r="92" spans="1:42">
      <c r="A92" s="146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8" t="str">
        <f t="shared" si="22"/>
        <v>|Cff00BFFF完美的玄级道果【5】|r</v>
      </c>
      <c r="K92" s="148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9" t="str">
        <f>VLOOKUP(LEFT(RIGHT(B92,5),4),物品!B:CU,20,FALSE)</f>
        <v>ReplaceableTextures\\CommandButtons\\BTNDG15.blp</v>
      </c>
      <c r="N92" s="168" t="s">
        <v>83</v>
      </c>
      <c r="O92" s="149" t="s">
        <v>90</v>
      </c>
      <c r="P92" s="27">
        <v>0</v>
      </c>
      <c r="Q92" s="27">
        <v>0</v>
      </c>
      <c r="R92" s="168" t="s">
        <v>83</v>
      </c>
      <c r="S92" s="168" t="s">
        <v>83</v>
      </c>
      <c r="T92" s="168" t="s">
        <v>83</v>
      </c>
      <c r="U92" s="168" t="s">
        <v>83</v>
      </c>
      <c r="V92" s="27"/>
      <c r="W92" s="27" t="s">
        <v>93</v>
      </c>
      <c r="X92" s="27">
        <v>0</v>
      </c>
      <c r="Y92" s="16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8" t="s">
        <v>83</v>
      </c>
      <c r="AF92" s="168" t="s">
        <v>83</v>
      </c>
      <c r="AG92" s="168" t="s">
        <v>83</v>
      </c>
      <c r="AH92" s="168" t="s">
        <v>83</v>
      </c>
      <c r="AI92" s="27"/>
      <c r="AJ92" s="27"/>
      <c r="AK92" s="27">
        <v>1</v>
      </c>
      <c r="AL92" s="27">
        <v>1</v>
      </c>
      <c r="AM92" s="168" t="s">
        <v>83</v>
      </c>
      <c r="AN92" s="27">
        <v>1</v>
      </c>
      <c r="AO92" s="27">
        <v>1</v>
      </c>
      <c r="AP92" s="27">
        <v>1</v>
      </c>
    </row>
    <row r="93" spans="1:42">
      <c r="A93" s="146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8" t="str">
        <f t="shared" si="22"/>
        <v>|Cff00BFFF完美的地级道果【6】|r</v>
      </c>
      <c r="K93" s="148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9" t="str">
        <f>VLOOKUP(LEFT(RIGHT(B93,5),4),物品!B:CU,20,FALSE)</f>
        <v>ReplaceableTextures\\CommandButtons\\BTNDG16.blp</v>
      </c>
      <c r="N93" s="168" t="s">
        <v>83</v>
      </c>
      <c r="O93" s="149" t="s">
        <v>90</v>
      </c>
      <c r="P93" s="27">
        <v>0</v>
      </c>
      <c r="Q93" s="27">
        <v>0</v>
      </c>
      <c r="R93" s="168" t="s">
        <v>83</v>
      </c>
      <c r="S93" s="168" t="s">
        <v>83</v>
      </c>
      <c r="T93" s="168" t="s">
        <v>83</v>
      </c>
      <c r="U93" s="168" t="s">
        <v>83</v>
      </c>
      <c r="V93" s="27"/>
      <c r="W93" s="27" t="s">
        <v>93</v>
      </c>
      <c r="X93" s="27">
        <v>0</v>
      </c>
      <c r="Y93" s="16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8" t="s">
        <v>83</v>
      </c>
      <c r="AF93" s="168" t="s">
        <v>83</v>
      </c>
      <c r="AG93" s="168" t="s">
        <v>83</v>
      </c>
      <c r="AH93" s="168" t="s">
        <v>83</v>
      </c>
      <c r="AI93" s="27"/>
      <c r="AJ93" s="27"/>
      <c r="AK93" s="27">
        <v>1</v>
      </c>
      <c r="AL93" s="27">
        <v>1</v>
      </c>
      <c r="AM93" s="168" t="s">
        <v>83</v>
      </c>
      <c r="AN93" s="27">
        <v>1</v>
      </c>
      <c r="AO93" s="27">
        <v>1</v>
      </c>
      <c r="AP93" s="27">
        <v>1</v>
      </c>
    </row>
    <row r="94" spans="1:42">
      <c r="A94" s="146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8" t="str">
        <f t="shared" si="22"/>
        <v>|CffFFC926完美的天级道果【7】|r</v>
      </c>
      <c r="K94" s="148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9" t="str">
        <f>VLOOKUP(LEFT(RIGHT(B94,5),4),物品!B:CU,20,FALSE)</f>
        <v>ReplaceableTextures\\CommandButtons\\BTNDG17.blp</v>
      </c>
      <c r="N94" s="168" t="s">
        <v>83</v>
      </c>
      <c r="O94" s="149" t="s">
        <v>91</v>
      </c>
      <c r="P94" s="27">
        <v>0</v>
      </c>
      <c r="Q94" s="27">
        <v>0</v>
      </c>
      <c r="R94" s="168" t="s">
        <v>83</v>
      </c>
      <c r="S94" s="168" t="s">
        <v>83</v>
      </c>
      <c r="T94" s="168" t="s">
        <v>83</v>
      </c>
      <c r="U94" s="168" t="s">
        <v>83</v>
      </c>
      <c r="V94" s="27"/>
      <c r="W94" s="27" t="s">
        <v>93</v>
      </c>
      <c r="X94" s="27">
        <v>0</v>
      </c>
      <c r="Y94" s="16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8" t="s">
        <v>83</v>
      </c>
      <c r="AF94" s="168" t="s">
        <v>83</v>
      </c>
      <c r="AG94" s="168" t="s">
        <v>83</v>
      </c>
      <c r="AH94" s="168" t="s">
        <v>83</v>
      </c>
      <c r="AI94" s="27"/>
      <c r="AJ94" s="27"/>
      <c r="AK94" s="27">
        <v>1</v>
      </c>
      <c r="AL94" s="27">
        <v>1</v>
      </c>
      <c r="AM94" s="168" t="s">
        <v>83</v>
      </c>
      <c r="AN94" s="27">
        <v>1</v>
      </c>
      <c r="AO94" s="27">
        <v>1</v>
      </c>
      <c r="AP94" s="27">
        <v>1</v>
      </c>
    </row>
    <row r="95" spans="1:42">
      <c r="A95" s="146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8" t="str">
        <f t="shared" si="22"/>
        <v>|CffFFC926完美的仙品道果【8】|r</v>
      </c>
      <c r="K95" s="148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9" t="str">
        <f>VLOOKUP(LEFT(RIGHT(B95,5),4),物品!B:CU,20,FALSE)</f>
        <v>ReplaceableTextures\\CommandButtons\\BTNDG18.blp</v>
      </c>
      <c r="N95" s="168" t="s">
        <v>83</v>
      </c>
      <c r="O95" s="149" t="s">
        <v>91</v>
      </c>
      <c r="P95" s="27">
        <v>0</v>
      </c>
      <c r="Q95" s="27">
        <v>0</v>
      </c>
      <c r="R95" s="168" t="s">
        <v>83</v>
      </c>
      <c r="S95" s="168" t="s">
        <v>83</v>
      </c>
      <c r="T95" s="168" t="s">
        <v>83</v>
      </c>
      <c r="U95" s="168" t="s">
        <v>83</v>
      </c>
      <c r="V95" s="27"/>
      <c r="W95" s="27" t="s">
        <v>93</v>
      </c>
      <c r="X95" s="27">
        <v>0</v>
      </c>
      <c r="Y95" s="16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8" t="s">
        <v>83</v>
      </c>
      <c r="AF95" s="168" t="s">
        <v>83</v>
      </c>
      <c r="AG95" s="168" t="s">
        <v>83</v>
      </c>
      <c r="AH95" s="168" t="s">
        <v>83</v>
      </c>
      <c r="AI95" s="27"/>
      <c r="AJ95" s="27"/>
      <c r="AK95" s="27">
        <v>1</v>
      </c>
      <c r="AL95" s="27">
        <v>1</v>
      </c>
      <c r="AM95" s="168" t="s">
        <v>83</v>
      </c>
      <c r="AN95" s="27">
        <v>1</v>
      </c>
      <c r="AO95" s="27">
        <v>1</v>
      </c>
      <c r="AP95" s="27">
        <v>1</v>
      </c>
    </row>
    <row r="96" spans="1:42">
      <c r="A96" s="146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8" t="str">
        <f t="shared" si="22"/>
        <v>|CffFF0000完美的至圣道果【9】|r</v>
      </c>
      <c r="K96" s="148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9" t="str">
        <f>VLOOKUP(LEFT(RIGHT(B96,5),4),物品!B:CU,20,FALSE)</f>
        <v>ReplaceableTextures\\CommandButtons\\BTNDG19.blp</v>
      </c>
      <c r="N96" s="168" t="s">
        <v>83</v>
      </c>
      <c r="O96" s="149" t="s">
        <v>92</v>
      </c>
      <c r="P96" s="27">
        <v>0</v>
      </c>
      <c r="Q96" s="27">
        <v>0</v>
      </c>
      <c r="R96" s="168" t="s">
        <v>83</v>
      </c>
      <c r="S96" s="168" t="s">
        <v>83</v>
      </c>
      <c r="T96" s="168" t="s">
        <v>83</v>
      </c>
      <c r="U96" s="168" t="s">
        <v>83</v>
      </c>
      <c r="V96" s="27"/>
      <c r="W96" s="27" t="s">
        <v>93</v>
      </c>
      <c r="X96" s="27">
        <v>0</v>
      </c>
      <c r="Y96" s="16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8" t="s">
        <v>83</v>
      </c>
      <c r="AF96" s="168" t="s">
        <v>83</v>
      </c>
      <c r="AG96" s="168" t="s">
        <v>83</v>
      </c>
      <c r="AH96" s="168" t="s">
        <v>83</v>
      </c>
      <c r="AI96" s="27"/>
      <c r="AJ96" s="27"/>
      <c r="AK96" s="27">
        <v>1</v>
      </c>
      <c r="AL96" s="27">
        <v>1</v>
      </c>
      <c r="AM96" s="168" t="s">
        <v>83</v>
      </c>
      <c r="AN96" s="27">
        <v>1</v>
      </c>
      <c r="AO96" s="27">
        <v>1</v>
      </c>
      <c r="AP96" s="27">
        <v>1</v>
      </c>
    </row>
    <row r="97" spans="1:42">
      <c r="A97" s="146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8" t="str">
        <f t="shared" si="22"/>
        <v>|CffFF0000完美的混沌道果【10】|r</v>
      </c>
      <c r="K97" s="148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9" t="str">
        <f>VLOOKUP(LEFT(RIGHT(B97,5),4),物品!B:CU,20,FALSE)</f>
        <v>ReplaceableTextures\\CommandButtons\\BTNDG20.blp</v>
      </c>
      <c r="N97" s="168" t="s">
        <v>83</v>
      </c>
      <c r="O97" s="149" t="s">
        <v>92</v>
      </c>
      <c r="P97" s="27">
        <v>0</v>
      </c>
      <c r="Q97" s="27">
        <v>0</v>
      </c>
      <c r="R97" s="168" t="s">
        <v>83</v>
      </c>
      <c r="S97" s="168" t="s">
        <v>83</v>
      </c>
      <c r="T97" s="168" t="s">
        <v>83</v>
      </c>
      <c r="U97" s="168" t="s">
        <v>83</v>
      </c>
      <c r="V97" s="27"/>
      <c r="W97" s="27" t="s">
        <v>93</v>
      </c>
      <c r="X97" s="27">
        <v>0</v>
      </c>
      <c r="Y97" s="16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8" t="s">
        <v>83</v>
      </c>
      <c r="AF97" s="168" t="s">
        <v>83</v>
      </c>
      <c r="AG97" s="168" t="s">
        <v>83</v>
      </c>
      <c r="AH97" s="168" t="s">
        <v>83</v>
      </c>
      <c r="AI97" s="27"/>
      <c r="AJ97" s="27"/>
      <c r="AK97" s="27">
        <v>1</v>
      </c>
      <c r="AL97" s="27">
        <v>1</v>
      </c>
      <c r="AM97" s="168" t="s">
        <v>83</v>
      </c>
      <c r="AN97" s="27">
        <v>1</v>
      </c>
      <c r="AO97" s="27">
        <v>1</v>
      </c>
      <c r="AP97" s="27">
        <v>1</v>
      </c>
    </row>
    <row r="98" spans="1:42">
      <c r="A98" s="146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8" t="str">
        <f t="shared" si="20"/>
        <v>残缺的低级道果【1】</v>
      </c>
      <c r="K98" s="148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9" t="str">
        <f>VLOOKUP(LEFT(RIGHT(B98,5),4),物品!B:CU,20,FALSE)</f>
        <v>ReplaceableTextures\\CommandButtons\\BTNDG01.blp</v>
      </c>
      <c r="N98" s="168" t="s">
        <v>83</v>
      </c>
      <c r="O98" s="149" t="s">
        <v>87</v>
      </c>
      <c r="P98" s="27">
        <v>0</v>
      </c>
      <c r="Q98" s="27">
        <v>0</v>
      </c>
      <c r="R98" s="168" t="s">
        <v>83</v>
      </c>
      <c r="S98" s="168" t="s">
        <v>83</v>
      </c>
      <c r="T98" s="168" t="s">
        <v>83</v>
      </c>
      <c r="U98" s="168" t="s">
        <v>83</v>
      </c>
      <c r="V98" s="27"/>
      <c r="W98" s="27" t="s">
        <v>93</v>
      </c>
      <c r="X98" s="27">
        <v>0</v>
      </c>
      <c r="Y98" s="16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8" t="s">
        <v>83</v>
      </c>
      <c r="AF98" s="168" t="s">
        <v>83</v>
      </c>
      <c r="AG98" s="168" t="s">
        <v>83</v>
      </c>
      <c r="AH98" s="168" t="s">
        <v>83</v>
      </c>
      <c r="AI98" s="27"/>
      <c r="AJ98" s="27"/>
      <c r="AK98" s="27">
        <v>1</v>
      </c>
      <c r="AL98" s="27">
        <v>1</v>
      </c>
      <c r="AM98" s="168" t="s">
        <v>83</v>
      </c>
      <c r="AN98" s="27">
        <v>1</v>
      </c>
      <c r="AO98" s="27">
        <v>1</v>
      </c>
      <c r="AP98" s="27">
        <v>1</v>
      </c>
    </row>
    <row r="99" spans="1:42">
      <c r="A99" s="146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8" t="str">
        <f t="shared" si="20"/>
        <v>残缺的中级道果【2】</v>
      </c>
      <c r="K99" s="148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9" t="str">
        <f>VLOOKUP(LEFT(RIGHT(B99,5),4),物品!B:CU,20,FALSE)</f>
        <v>ReplaceableTextures\\CommandButtons\\BTNDG02.blp</v>
      </c>
      <c r="N99" s="168" t="s">
        <v>83</v>
      </c>
      <c r="O99" s="149" t="s">
        <v>87</v>
      </c>
      <c r="P99" s="27">
        <v>0</v>
      </c>
      <c r="Q99" s="27">
        <v>0</v>
      </c>
      <c r="R99" s="168" t="s">
        <v>83</v>
      </c>
      <c r="S99" s="168" t="s">
        <v>83</v>
      </c>
      <c r="T99" s="168" t="s">
        <v>83</v>
      </c>
      <c r="U99" s="168" t="s">
        <v>83</v>
      </c>
      <c r="V99" s="27"/>
      <c r="W99" s="27" t="s">
        <v>93</v>
      </c>
      <c r="X99" s="27">
        <v>0</v>
      </c>
      <c r="Y99" s="16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8" t="s">
        <v>83</v>
      </c>
      <c r="AF99" s="168" t="s">
        <v>83</v>
      </c>
      <c r="AG99" s="168" t="s">
        <v>83</v>
      </c>
      <c r="AH99" s="168" t="s">
        <v>83</v>
      </c>
      <c r="AI99" s="27"/>
      <c r="AJ99" s="27"/>
      <c r="AK99" s="27">
        <v>1</v>
      </c>
      <c r="AL99" s="27">
        <v>1</v>
      </c>
      <c r="AM99" s="168" t="s">
        <v>83</v>
      </c>
      <c r="AN99" s="27">
        <v>1</v>
      </c>
      <c r="AO99" s="27">
        <v>1</v>
      </c>
      <c r="AP99" s="27">
        <v>1</v>
      </c>
    </row>
    <row r="100" spans="1:42">
      <c r="A100" s="146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8" t="str">
        <f t="shared" ref="J100:J103" si="24">H100</f>
        <v>|Cff00FF7F残缺的高级道果【3】|r</v>
      </c>
      <c r="K100" s="148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9" t="str">
        <f>VLOOKUP(LEFT(RIGHT(B100,5),4),物品!B:CU,20,FALSE)</f>
        <v>ReplaceableTextures\\CommandButtons\\BTNDG03.blp</v>
      </c>
      <c r="N100" s="168" t="s">
        <v>83</v>
      </c>
      <c r="O100" s="149" t="s">
        <v>89</v>
      </c>
      <c r="P100" s="27">
        <v>0</v>
      </c>
      <c r="Q100" s="27">
        <v>0</v>
      </c>
      <c r="R100" s="168" t="s">
        <v>83</v>
      </c>
      <c r="S100" s="168" t="s">
        <v>83</v>
      </c>
      <c r="T100" s="168" t="s">
        <v>83</v>
      </c>
      <c r="U100" s="168" t="s">
        <v>83</v>
      </c>
      <c r="V100" s="27"/>
      <c r="W100" s="27" t="s">
        <v>93</v>
      </c>
      <c r="X100" s="27">
        <v>0</v>
      </c>
      <c r="Y100" s="16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8" t="s">
        <v>83</v>
      </c>
      <c r="AF100" s="168" t="s">
        <v>83</v>
      </c>
      <c r="AG100" s="168" t="s">
        <v>83</v>
      </c>
      <c r="AH100" s="168" t="s">
        <v>83</v>
      </c>
      <c r="AI100" s="27"/>
      <c r="AJ100" s="27"/>
      <c r="AK100" s="27">
        <v>1</v>
      </c>
      <c r="AL100" s="27">
        <v>1</v>
      </c>
      <c r="AM100" s="168" t="s">
        <v>83</v>
      </c>
      <c r="AN100" s="27">
        <v>1</v>
      </c>
      <c r="AO100" s="27">
        <v>1</v>
      </c>
      <c r="AP100" s="27">
        <v>1</v>
      </c>
    </row>
    <row r="101" spans="1:42">
      <c r="A101" s="146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8" t="str">
        <f t="shared" si="24"/>
        <v>|Cff00FF7F残缺的黄级道果【4】|r</v>
      </c>
      <c r="K101" s="148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9" t="str">
        <f>VLOOKUP(LEFT(RIGHT(B101,5),4),物品!B:CU,20,FALSE)</f>
        <v>ReplaceableTextures\\CommandButtons\\BTNDG04.blp</v>
      </c>
      <c r="N101" s="168" t="s">
        <v>83</v>
      </c>
      <c r="O101" s="149" t="s">
        <v>89</v>
      </c>
      <c r="P101" s="27">
        <v>0</v>
      </c>
      <c r="Q101" s="27">
        <v>0</v>
      </c>
      <c r="R101" s="168" t="s">
        <v>83</v>
      </c>
      <c r="S101" s="168" t="s">
        <v>83</v>
      </c>
      <c r="T101" s="168" t="s">
        <v>83</v>
      </c>
      <c r="U101" s="168" t="s">
        <v>83</v>
      </c>
      <c r="V101" s="27"/>
      <c r="W101" s="27" t="s">
        <v>93</v>
      </c>
      <c r="X101" s="27">
        <v>0</v>
      </c>
      <c r="Y101" s="16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8" t="s">
        <v>83</v>
      </c>
      <c r="AF101" s="168" t="s">
        <v>83</v>
      </c>
      <c r="AG101" s="168" t="s">
        <v>83</v>
      </c>
      <c r="AH101" s="168" t="s">
        <v>83</v>
      </c>
      <c r="AI101" s="27"/>
      <c r="AJ101" s="27"/>
      <c r="AK101" s="27">
        <v>1</v>
      </c>
      <c r="AL101" s="27">
        <v>1</v>
      </c>
      <c r="AM101" s="168" t="s">
        <v>83</v>
      </c>
      <c r="AN101" s="27">
        <v>1</v>
      </c>
      <c r="AO101" s="27">
        <v>1</v>
      </c>
      <c r="AP101" s="27">
        <v>1</v>
      </c>
    </row>
    <row r="102" spans="1:42">
      <c r="A102" s="146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8" t="str">
        <f t="shared" si="24"/>
        <v>|Cff00BFFF残缺的玄级道果【5】|r</v>
      </c>
      <c r="K102" s="148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9" t="str">
        <f>VLOOKUP(LEFT(RIGHT(B102,5),4),物品!B:CU,20,FALSE)</f>
        <v>ReplaceableTextures\\CommandButtons\\BTNDG05.blp</v>
      </c>
      <c r="N102" s="168" t="s">
        <v>83</v>
      </c>
      <c r="O102" s="149" t="s">
        <v>90</v>
      </c>
      <c r="P102" s="27">
        <v>0</v>
      </c>
      <c r="Q102" s="27">
        <v>0</v>
      </c>
      <c r="R102" s="168" t="s">
        <v>83</v>
      </c>
      <c r="S102" s="168" t="s">
        <v>83</v>
      </c>
      <c r="T102" s="168" t="s">
        <v>83</v>
      </c>
      <c r="U102" s="168" t="s">
        <v>83</v>
      </c>
      <c r="V102" s="27"/>
      <c r="W102" s="27" t="s">
        <v>93</v>
      </c>
      <c r="X102" s="27">
        <v>0</v>
      </c>
      <c r="Y102" s="16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8" t="s">
        <v>83</v>
      </c>
      <c r="AF102" s="168" t="s">
        <v>83</v>
      </c>
      <c r="AG102" s="168" t="s">
        <v>83</v>
      </c>
      <c r="AH102" s="168" t="s">
        <v>83</v>
      </c>
      <c r="AI102" s="27"/>
      <c r="AJ102" s="27"/>
      <c r="AK102" s="27">
        <v>1</v>
      </c>
      <c r="AL102" s="27">
        <v>1</v>
      </c>
      <c r="AM102" s="168" t="s">
        <v>83</v>
      </c>
      <c r="AN102" s="27">
        <v>1</v>
      </c>
      <c r="AO102" s="27">
        <v>1</v>
      </c>
      <c r="AP102" s="27">
        <v>1</v>
      </c>
    </row>
    <row r="103" spans="1:42">
      <c r="A103" s="146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8" t="str">
        <f t="shared" si="24"/>
        <v>|Cff00BFFF残缺的地级道果【6】|r</v>
      </c>
      <c r="K103" s="148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9" t="str">
        <f>VLOOKUP(LEFT(RIGHT(B103,5),4),物品!B:CU,20,FALSE)</f>
        <v>ReplaceableTextures\\CommandButtons\\BTNDG06.blp</v>
      </c>
      <c r="N103" s="168" t="s">
        <v>83</v>
      </c>
      <c r="O103" s="149" t="s">
        <v>90</v>
      </c>
      <c r="P103" s="27">
        <v>0</v>
      </c>
      <c r="Q103" s="27">
        <v>0</v>
      </c>
      <c r="R103" s="168" t="s">
        <v>83</v>
      </c>
      <c r="S103" s="168" t="s">
        <v>83</v>
      </c>
      <c r="T103" s="168" t="s">
        <v>83</v>
      </c>
      <c r="U103" s="168" t="s">
        <v>83</v>
      </c>
      <c r="V103" s="27"/>
      <c r="W103" s="27" t="s">
        <v>93</v>
      </c>
      <c r="X103" s="27">
        <v>0</v>
      </c>
      <c r="Y103" s="16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8" t="s">
        <v>83</v>
      </c>
      <c r="AF103" s="168" t="s">
        <v>83</v>
      </c>
      <c r="AG103" s="168" t="s">
        <v>83</v>
      </c>
      <c r="AH103" s="168" t="s">
        <v>83</v>
      </c>
      <c r="AI103" s="27"/>
      <c r="AJ103" s="27"/>
      <c r="AK103" s="27">
        <v>1</v>
      </c>
      <c r="AL103" s="27">
        <v>1</v>
      </c>
      <c r="AM103" s="168" t="s">
        <v>83</v>
      </c>
      <c r="AN103" s="27">
        <v>1</v>
      </c>
      <c r="AO103" s="27">
        <v>1</v>
      </c>
      <c r="AP103" s="27">
        <v>1</v>
      </c>
    </row>
    <row r="104" spans="1:42">
      <c r="A104" s="146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8" t="str">
        <f t="shared" si="20"/>
        <v>|CffFFC926残缺的天级道果【7】|r</v>
      </c>
      <c r="K104" s="148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9" t="str">
        <f>VLOOKUP(LEFT(RIGHT(B104,5),4),物品!B:CU,20,FALSE)</f>
        <v>ReplaceableTextures\\CommandButtons\\BTNDG07.blp</v>
      </c>
      <c r="N104" s="168" t="s">
        <v>83</v>
      </c>
      <c r="O104" s="149" t="s">
        <v>91</v>
      </c>
      <c r="P104" s="27">
        <v>0</v>
      </c>
      <c r="Q104" s="27">
        <v>0</v>
      </c>
      <c r="R104" s="168" t="s">
        <v>83</v>
      </c>
      <c r="S104" s="168" t="s">
        <v>83</v>
      </c>
      <c r="T104" s="168" t="s">
        <v>83</v>
      </c>
      <c r="U104" s="168" t="s">
        <v>83</v>
      </c>
      <c r="V104" s="27"/>
      <c r="W104" s="27" t="s">
        <v>93</v>
      </c>
      <c r="X104" s="27">
        <v>0</v>
      </c>
      <c r="Y104" s="16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8" t="s">
        <v>83</v>
      </c>
      <c r="AF104" s="168" t="s">
        <v>83</v>
      </c>
      <c r="AG104" s="168" t="s">
        <v>83</v>
      </c>
      <c r="AH104" s="168" t="s">
        <v>83</v>
      </c>
      <c r="AI104" s="27"/>
      <c r="AJ104" s="27"/>
      <c r="AK104" s="27">
        <v>1</v>
      </c>
      <c r="AL104" s="27">
        <v>1</v>
      </c>
      <c r="AM104" s="168" t="s">
        <v>83</v>
      </c>
      <c r="AN104" s="27">
        <v>1</v>
      </c>
      <c r="AO104" s="27">
        <v>1</v>
      </c>
      <c r="AP104" s="27">
        <v>1</v>
      </c>
    </row>
    <row r="105" spans="1:42">
      <c r="A105" s="146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8" t="str">
        <f t="shared" si="20"/>
        <v>|CffFFC926残缺的仙品道果【8】|r</v>
      </c>
      <c r="K105" s="148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9" t="str">
        <f>VLOOKUP(LEFT(RIGHT(B105,5),4),物品!B:CU,20,FALSE)</f>
        <v>ReplaceableTextures\\CommandButtons\\BTNDG08.blp</v>
      </c>
      <c r="N105" s="168" t="s">
        <v>83</v>
      </c>
      <c r="O105" s="149" t="s">
        <v>91</v>
      </c>
      <c r="P105" s="27">
        <v>0</v>
      </c>
      <c r="Q105" s="27">
        <v>0</v>
      </c>
      <c r="R105" s="168" t="s">
        <v>83</v>
      </c>
      <c r="S105" s="168" t="s">
        <v>83</v>
      </c>
      <c r="T105" s="168" t="s">
        <v>83</v>
      </c>
      <c r="U105" s="168" t="s">
        <v>83</v>
      </c>
      <c r="V105" s="27"/>
      <c r="W105" s="27" t="s">
        <v>93</v>
      </c>
      <c r="X105" s="27">
        <v>0</v>
      </c>
      <c r="Y105" s="16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8" t="s">
        <v>83</v>
      </c>
      <c r="AF105" s="168" t="s">
        <v>83</v>
      </c>
      <c r="AG105" s="168" t="s">
        <v>83</v>
      </c>
      <c r="AH105" s="168" t="s">
        <v>83</v>
      </c>
      <c r="AI105" s="27"/>
      <c r="AJ105" s="27"/>
      <c r="AK105" s="27">
        <v>1</v>
      </c>
      <c r="AL105" s="27">
        <v>1</v>
      </c>
      <c r="AM105" s="168" t="s">
        <v>83</v>
      </c>
      <c r="AN105" s="27">
        <v>1</v>
      </c>
      <c r="AO105" s="27">
        <v>1</v>
      </c>
      <c r="AP105" s="27">
        <v>1</v>
      </c>
    </row>
    <row r="106" spans="1:42">
      <c r="A106" s="146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8" t="str">
        <f t="shared" si="20"/>
        <v>|CffFF0000残缺的至圣道果【9】|r</v>
      </c>
      <c r="K106" s="148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9" t="str">
        <f>VLOOKUP(LEFT(RIGHT(B106,5),4),物品!B:CU,20,FALSE)</f>
        <v>ReplaceableTextures\\CommandButtons\\BTNDG09.blp</v>
      </c>
      <c r="N106" s="168" t="s">
        <v>83</v>
      </c>
      <c r="O106" s="149" t="s">
        <v>92</v>
      </c>
      <c r="P106" s="27">
        <v>0</v>
      </c>
      <c r="Q106" s="27">
        <v>0</v>
      </c>
      <c r="R106" s="168" t="s">
        <v>83</v>
      </c>
      <c r="S106" s="168" t="s">
        <v>83</v>
      </c>
      <c r="T106" s="168" t="s">
        <v>83</v>
      </c>
      <c r="U106" s="168" t="s">
        <v>83</v>
      </c>
      <c r="V106" s="27"/>
      <c r="W106" s="27" t="s">
        <v>93</v>
      </c>
      <c r="X106" s="27">
        <v>0</v>
      </c>
      <c r="Y106" s="16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8" t="s">
        <v>83</v>
      </c>
      <c r="AF106" s="168" t="s">
        <v>83</v>
      </c>
      <c r="AG106" s="168" t="s">
        <v>83</v>
      </c>
      <c r="AH106" s="168" t="s">
        <v>83</v>
      </c>
      <c r="AI106" s="27"/>
      <c r="AJ106" s="27"/>
      <c r="AK106" s="27">
        <v>1</v>
      </c>
      <c r="AL106" s="27">
        <v>1</v>
      </c>
      <c r="AM106" s="168" t="s">
        <v>83</v>
      </c>
      <c r="AN106" s="27">
        <v>1</v>
      </c>
      <c r="AO106" s="27">
        <v>1</v>
      </c>
      <c r="AP106" s="27">
        <v>1</v>
      </c>
    </row>
    <row r="107" spans="1:42">
      <c r="A107" s="146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8" t="str">
        <f t="shared" si="20"/>
        <v>|CffFF0000残缺的混沌道果【10】|r</v>
      </c>
      <c r="K107" s="148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9" t="str">
        <f>VLOOKUP(LEFT(RIGHT(B107,5),4),物品!B:CU,20,FALSE)</f>
        <v>ReplaceableTextures\\CommandButtons\\BTNDG10.blp</v>
      </c>
      <c r="N107" s="168" t="s">
        <v>83</v>
      </c>
      <c r="O107" s="149" t="s">
        <v>92</v>
      </c>
      <c r="P107" s="27">
        <v>0</v>
      </c>
      <c r="Q107" s="27">
        <v>0</v>
      </c>
      <c r="R107" s="168" t="s">
        <v>83</v>
      </c>
      <c r="S107" s="168" t="s">
        <v>83</v>
      </c>
      <c r="T107" s="168" t="s">
        <v>83</v>
      </c>
      <c r="U107" s="168" t="s">
        <v>83</v>
      </c>
      <c r="V107" s="27"/>
      <c r="W107" s="27" t="s">
        <v>93</v>
      </c>
      <c r="X107" s="27">
        <v>0</v>
      </c>
      <c r="Y107" s="16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8" t="s">
        <v>83</v>
      </c>
      <c r="AF107" s="168" t="s">
        <v>83</v>
      </c>
      <c r="AG107" s="168" t="s">
        <v>83</v>
      </c>
      <c r="AH107" s="168" t="s">
        <v>83</v>
      </c>
      <c r="AI107" s="27"/>
      <c r="AJ107" s="27"/>
      <c r="AK107" s="27">
        <v>1</v>
      </c>
      <c r="AL107" s="27">
        <v>1</v>
      </c>
      <c r="AM107" s="168" t="s">
        <v>83</v>
      </c>
      <c r="AN107" s="27">
        <v>1</v>
      </c>
      <c r="AO107" s="27">
        <v>1</v>
      </c>
      <c r="AP107" s="27">
        <v>1</v>
      </c>
    </row>
    <row r="108" spans="1:42">
      <c r="A108" s="146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8" t="str">
        <f t="shared" si="20"/>
        <v>Q技能随机卷</v>
      </c>
      <c r="K108" s="148" t="str">
        <f t="shared" si="21"/>
        <v>随机获得|Cffffd24d1|r个|Cffffd24dQ技能|r</v>
      </c>
      <c r="L108" s="27"/>
      <c r="M108" s="149" t="str">
        <f>VLOOKUP(LEFT(RIGHT(B108,5),4),物品!B:CU,20,FALSE)</f>
        <v>ReplaceableTextures\\CommandButtons\\BTN001.blp</v>
      </c>
      <c r="N108" s="168" t="s">
        <v>83</v>
      </c>
      <c r="O108" s="149" t="s">
        <v>94</v>
      </c>
      <c r="P108" s="27">
        <v>0</v>
      </c>
      <c r="Q108" s="27">
        <v>0</v>
      </c>
      <c r="R108" s="168" t="s">
        <v>83</v>
      </c>
      <c r="S108" s="168" t="s">
        <v>83</v>
      </c>
      <c r="T108" s="168" t="s">
        <v>83</v>
      </c>
      <c r="U108" s="168" t="s">
        <v>83</v>
      </c>
      <c r="V108" s="27"/>
      <c r="W108" s="27" t="s">
        <v>93</v>
      </c>
      <c r="X108" s="27">
        <v>0</v>
      </c>
      <c r="Y108" s="16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8" t="s">
        <v>83</v>
      </c>
      <c r="AF108" s="168" t="s">
        <v>83</v>
      </c>
      <c r="AG108" s="168" t="s">
        <v>83</v>
      </c>
      <c r="AH108" s="168" t="s">
        <v>83</v>
      </c>
      <c r="AI108" s="27"/>
      <c r="AJ108" s="27"/>
      <c r="AK108" s="27">
        <v>1</v>
      </c>
      <c r="AL108" s="27">
        <v>1</v>
      </c>
      <c r="AM108" s="168" t="s">
        <v>83</v>
      </c>
      <c r="AN108" s="27">
        <v>1</v>
      </c>
      <c r="AO108" s="27">
        <v>1</v>
      </c>
      <c r="AP108" s="27">
        <v>1</v>
      </c>
    </row>
    <row r="109" spans="1:42">
      <c r="A109" s="146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8" t="str">
        <f t="shared" si="20"/>
        <v>|Cff00BFFF技能进阶石【完美】|r</v>
      </c>
      <c r="K109" s="148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9" t="str">
        <f>VLOOKUP(LEFT(RIGHT(B109,5),4),物品!B:CU,20,FALSE)</f>
        <v>ReplaceableTextures\\CommandButtons\\BTNIN05.blp</v>
      </c>
      <c r="N109" s="168" t="s">
        <v>83</v>
      </c>
      <c r="O109" s="149" t="s">
        <v>95</v>
      </c>
      <c r="P109" s="27"/>
      <c r="Q109" s="27"/>
      <c r="R109" s="168" t="s">
        <v>83</v>
      </c>
      <c r="S109" s="168" t="s">
        <v>83</v>
      </c>
      <c r="T109" s="168" t="s">
        <v>83</v>
      </c>
      <c r="U109" s="168" t="s">
        <v>83</v>
      </c>
      <c r="V109" s="27"/>
      <c r="W109" s="27" t="s">
        <v>88</v>
      </c>
      <c r="X109" s="27">
        <v>0</v>
      </c>
      <c r="Y109" s="168" t="s">
        <v>83</v>
      </c>
      <c r="Z109" s="27">
        <v>0</v>
      </c>
      <c r="AA109" s="27">
        <v>0</v>
      </c>
      <c r="AB109" s="148">
        <v>0</v>
      </c>
      <c r="AC109" s="27">
        <v>1</v>
      </c>
      <c r="AD109" s="27">
        <v>1</v>
      </c>
      <c r="AE109" s="168" t="s">
        <v>83</v>
      </c>
      <c r="AF109" s="168" t="s">
        <v>83</v>
      </c>
      <c r="AG109" s="168" t="s">
        <v>83</v>
      </c>
      <c r="AH109" s="168" t="s">
        <v>83</v>
      </c>
      <c r="AI109" s="27">
        <v>1</v>
      </c>
      <c r="AJ109" s="27"/>
      <c r="AK109" s="27">
        <v>1</v>
      </c>
      <c r="AL109" s="27">
        <v>1</v>
      </c>
      <c r="AM109" s="168" t="s">
        <v>83</v>
      </c>
      <c r="AN109" s="27">
        <v>1</v>
      </c>
      <c r="AO109" s="27">
        <v>1</v>
      </c>
      <c r="AP109" s="27">
        <v>1</v>
      </c>
    </row>
    <row r="110" spans="1:42">
      <c r="A110" s="146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8" t="str">
        <f t="shared" si="20"/>
        <v>|CffFFD24D品质潜能石【完美】|r</v>
      </c>
      <c r="K110" s="148" t="str">
        <f t="shared" si="21"/>
        <v>购买需求：灵力x20|n|n使用后为指定技能增加1点品质潜力</v>
      </c>
      <c r="L110" s="27"/>
      <c r="M110" s="149" t="str">
        <f>VLOOKUP(LEFT(RIGHT(B110,5),4),物品!B:CU,20,FALSE)</f>
        <v>ReplaceableTextures\\CommandButtons\\BTNIN04.blp</v>
      </c>
      <c r="N110" s="168" t="s">
        <v>83</v>
      </c>
      <c r="O110" s="149" t="s">
        <v>95</v>
      </c>
      <c r="P110" s="27"/>
      <c r="Q110" s="27"/>
      <c r="R110" s="168" t="s">
        <v>83</v>
      </c>
      <c r="S110" s="168" t="s">
        <v>83</v>
      </c>
      <c r="T110" s="168" t="s">
        <v>83</v>
      </c>
      <c r="U110" s="168" t="s">
        <v>83</v>
      </c>
      <c r="V110" s="27"/>
      <c r="W110" s="27" t="s">
        <v>88</v>
      </c>
      <c r="X110" s="27">
        <v>0</v>
      </c>
      <c r="Y110" s="168" t="s">
        <v>83</v>
      </c>
      <c r="Z110" s="27">
        <v>0</v>
      </c>
      <c r="AA110" s="27">
        <v>0</v>
      </c>
      <c r="AB110" s="148">
        <v>0</v>
      </c>
      <c r="AC110" s="27">
        <v>1</v>
      </c>
      <c r="AD110" s="27">
        <v>1</v>
      </c>
      <c r="AE110" s="168" t="s">
        <v>83</v>
      </c>
      <c r="AF110" s="168" t="s">
        <v>83</v>
      </c>
      <c r="AG110" s="168" t="s">
        <v>83</v>
      </c>
      <c r="AH110" s="168" t="s">
        <v>83</v>
      </c>
      <c r="AI110" s="27">
        <v>1</v>
      </c>
      <c r="AJ110" s="27"/>
      <c r="AK110" s="27">
        <v>1</v>
      </c>
      <c r="AL110" s="27">
        <v>1</v>
      </c>
      <c r="AM110" s="168" t="s">
        <v>83</v>
      </c>
      <c r="AN110" s="27">
        <v>1</v>
      </c>
      <c r="AO110" s="27">
        <v>1</v>
      </c>
      <c r="AP110" s="27">
        <v>1</v>
      </c>
    </row>
    <row r="111" spans="1:42">
      <c r="A111" s="146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8" t="str">
        <f t="shared" si="20"/>
        <v>|Cff00FF7F技能进阶石【残缺】|r</v>
      </c>
      <c r="K111" s="148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9" t="str">
        <f>VLOOKUP(LEFT(RIGHT(B111,5),4),物品!B:CU,20,FALSE)</f>
        <v>ReplaceableTextures\\CommandButtons\\BTNIN06.blp</v>
      </c>
      <c r="N111" s="168" t="s">
        <v>83</v>
      </c>
      <c r="O111" s="149" t="s">
        <v>95</v>
      </c>
      <c r="P111" s="27"/>
      <c r="Q111" s="27"/>
      <c r="R111" s="168" t="s">
        <v>83</v>
      </c>
      <c r="S111" s="168" t="s">
        <v>83</v>
      </c>
      <c r="T111" s="168" t="s">
        <v>83</v>
      </c>
      <c r="U111" s="168" t="s">
        <v>83</v>
      </c>
      <c r="V111" s="27"/>
      <c r="W111" s="27" t="s">
        <v>88</v>
      </c>
      <c r="X111" s="27">
        <v>0</v>
      </c>
      <c r="Y111" s="168" t="s">
        <v>83</v>
      </c>
      <c r="Z111" s="27">
        <v>0</v>
      </c>
      <c r="AA111" s="27">
        <v>0</v>
      </c>
      <c r="AB111" s="148">
        <v>0</v>
      </c>
      <c r="AC111" s="27">
        <v>1</v>
      </c>
      <c r="AD111" s="27">
        <v>1</v>
      </c>
      <c r="AE111" s="168" t="s">
        <v>83</v>
      </c>
      <c r="AF111" s="168" t="s">
        <v>83</v>
      </c>
      <c r="AG111" s="168" t="s">
        <v>83</v>
      </c>
      <c r="AH111" s="168" t="s">
        <v>83</v>
      </c>
      <c r="AI111" s="27">
        <v>1</v>
      </c>
      <c r="AJ111" s="27"/>
      <c r="AK111" s="27">
        <v>1</v>
      </c>
      <c r="AL111" s="27">
        <v>1</v>
      </c>
      <c r="AM111" s="168" t="s">
        <v>83</v>
      </c>
      <c r="AN111" s="27">
        <v>1</v>
      </c>
      <c r="AO111" s="27">
        <v>1</v>
      </c>
      <c r="AP111" s="27">
        <v>1</v>
      </c>
    </row>
    <row r="112" spans="1:42">
      <c r="A112" s="146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8" t="str">
        <f t="shared" si="20"/>
        <v>|CffFFD24D品质潜能石【】|r</v>
      </c>
      <c r="K112" s="148">
        <f t="shared" si="21"/>
        <v>0</v>
      </c>
      <c r="L112" s="27"/>
      <c r="M112" s="149" t="str">
        <f>VLOOKUP(LEFT(RIGHT(B112,5),4),物品!B:CU,20,FALSE)</f>
        <v>ReplaceableTextures\\CommandButtons\\BTNIN04.blp</v>
      </c>
      <c r="N112" s="168" t="s">
        <v>83</v>
      </c>
      <c r="O112" s="149" t="s">
        <v>95</v>
      </c>
      <c r="P112" s="27"/>
      <c r="Q112" s="27"/>
      <c r="R112" s="168" t="s">
        <v>83</v>
      </c>
      <c r="S112" s="168" t="s">
        <v>83</v>
      </c>
      <c r="T112" s="168" t="s">
        <v>83</v>
      </c>
      <c r="U112" s="168" t="s">
        <v>83</v>
      </c>
      <c r="V112" s="27"/>
      <c r="W112" s="27" t="s">
        <v>88</v>
      </c>
      <c r="X112" s="27">
        <v>0</v>
      </c>
      <c r="Y112" s="168" t="s">
        <v>83</v>
      </c>
      <c r="Z112" s="27">
        <v>0</v>
      </c>
      <c r="AA112" s="27">
        <v>0</v>
      </c>
      <c r="AB112" s="148">
        <v>0</v>
      </c>
      <c r="AC112" s="27">
        <v>1</v>
      </c>
      <c r="AD112" s="27">
        <v>1</v>
      </c>
      <c r="AE112" s="168" t="s">
        <v>83</v>
      </c>
      <c r="AF112" s="168" t="s">
        <v>83</v>
      </c>
      <c r="AG112" s="168" t="s">
        <v>83</v>
      </c>
      <c r="AH112" s="168" t="s">
        <v>83</v>
      </c>
      <c r="AI112" s="27">
        <v>1</v>
      </c>
      <c r="AJ112" s="27"/>
      <c r="AK112" s="27">
        <v>1</v>
      </c>
      <c r="AL112" s="27">
        <v>1</v>
      </c>
      <c r="AM112" s="168" t="s">
        <v>83</v>
      </c>
      <c r="AN112" s="27">
        <v>1</v>
      </c>
      <c r="AO112" s="27">
        <v>1</v>
      </c>
      <c r="AP112" s="27">
        <v>1</v>
      </c>
    </row>
    <row r="113" spans="1:42">
      <c r="A113" s="146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8" t="str">
        <f t="shared" ref="J113:J114" si="26">H113</f>
        <v>|Cff00BFFF技能进阶石【完美】|r</v>
      </c>
      <c r="K113" s="148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9" t="str">
        <f>VLOOKUP(LEFT(RIGHT(B113,5),4),物品!B:CU,20,FALSE)</f>
        <v>ReplaceableTextures\\CommandButtons\\BTNIN05.blp</v>
      </c>
      <c r="N113" s="168" t="s">
        <v>83</v>
      </c>
      <c r="O113" s="149" t="s">
        <v>94</v>
      </c>
      <c r="P113" s="27">
        <v>1</v>
      </c>
      <c r="Q113" s="27">
        <v>2</v>
      </c>
      <c r="R113" s="168" t="s">
        <v>83</v>
      </c>
      <c r="S113" s="168" t="s">
        <v>83</v>
      </c>
      <c r="T113" s="168" t="s">
        <v>83</v>
      </c>
      <c r="U113" s="168" t="s">
        <v>83</v>
      </c>
      <c r="V113" s="27"/>
      <c r="W113" s="27" t="s">
        <v>93</v>
      </c>
      <c r="X113" s="27">
        <v>0</v>
      </c>
      <c r="Y113" s="168" t="s">
        <v>83</v>
      </c>
      <c r="Z113" s="27">
        <v>0</v>
      </c>
      <c r="AA113" s="27">
        <v>0</v>
      </c>
      <c r="AB113" s="148">
        <v>20</v>
      </c>
      <c r="AC113" s="27">
        <v>1</v>
      </c>
      <c r="AD113" s="27">
        <v>1</v>
      </c>
      <c r="AE113" s="168" t="s">
        <v>83</v>
      </c>
      <c r="AF113" s="168" t="s">
        <v>83</v>
      </c>
      <c r="AG113" s="168" t="s">
        <v>83</v>
      </c>
      <c r="AH113" s="168" t="s">
        <v>83</v>
      </c>
      <c r="AI113" s="27"/>
      <c r="AJ113" s="27"/>
      <c r="AK113" s="27">
        <v>1</v>
      </c>
      <c r="AL113" s="27">
        <v>1</v>
      </c>
      <c r="AM113" s="168" t="s">
        <v>83</v>
      </c>
      <c r="AN113" s="27">
        <v>1</v>
      </c>
      <c r="AO113" s="27">
        <v>1</v>
      </c>
      <c r="AP113" s="27">
        <v>1</v>
      </c>
    </row>
    <row r="114" spans="1:42">
      <c r="A114" s="146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8" t="str">
        <f t="shared" si="26"/>
        <v>|CffFF0000技能进化石|r</v>
      </c>
      <c r="K114" s="148" t="str">
        <f t="shared" si="27"/>
        <v>使指定的|Cffffc926A级|r技能进化为|Cffff0000S级|r。</v>
      </c>
      <c r="L114" s="27"/>
      <c r="M114" s="149" t="str">
        <f>VLOOKUP(LEFT(RIGHT(B114,5),4),物品!B:CU,20,FALSE)</f>
        <v>ReplaceableTextures\\CommandButtons\\BTNIN04.blp</v>
      </c>
      <c r="N114" s="168" t="s">
        <v>83</v>
      </c>
      <c r="O114" s="149" t="s">
        <v>94</v>
      </c>
      <c r="P114" s="27"/>
      <c r="Q114" s="27"/>
      <c r="R114" s="168" t="s">
        <v>83</v>
      </c>
      <c r="S114" s="168" t="s">
        <v>83</v>
      </c>
      <c r="T114" s="168" t="s">
        <v>83</v>
      </c>
      <c r="U114" s="168" t="s">
        <v>83</v>
      </c>
      <c r="V114" s="27"/>
      <c r="W114" s="27" t="s">
        <v>93</v>
      </c>
      <c r="X114" s="27">
        <v>0</v>
      </c>
      <c r="Y114" s="168" t="s">
        <v>83</v>
      </c>
      <c r="Z114" s="27">
        <v>0</v>
      </c>
      <c r="AA114" s="27">
        <v>0</v>
      </c>
      <c r="AB114" s="148">
        <v>0</v>
      </c>
      <c r="AC114" s="27">
        <v>1</v>
      </c>
      <c r="AD114" s="27">
        <v>1</v>
      </c>
      <c r="AE114" s="168" t="s">
        <v>83</v>
      </c>
      <c r="AF114" s="168" t="s">
        <v>83</v>
      </c>
      <c r="AG114" s="168" t="s">
        <v>83</v>
      </c>
      <c r="AH114" s="168" t="s">
        <v>83</v>
      </c>
      <c r="AI114" s="27"/>
      <c r="AJ114" s="27"/>
      <c r="AK114" s="27">
        <v>1</v>
      </c>
      <c r="AL114" s="27">
        <v>1</v>
      </c>
      <c r="AM114" s="168" t="s">
        <v>83</v>
      </c>
      <c r="AN114" s="27">
        <v>1</v>
      </c>
      <c r="AO114" s="27">
        <v>1</v>
      </c>
      <c r="AP114" s="27">
        <v>1</v>
      </c>
    </row>
    <row r="115" spans="1:42">
      <c r="A115" s="146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8" t="str">
        <f t="shared" ref="J115" si="28">H115</f>
        <v>|Cff00FF7F技能进阶石【残缺】|r</v>
      </c>
      <c r="K115" s="148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9" t="str">
        <f>VLOOKUP(LEFT(RIGHT(B115,5),4),物品!B:CU,20,FALSE)</f>
        <v>ReplaceableTextures\\CommandButtons\\BTNIN06.blp</v>
      </c>
      <c r="N115" s="168" t="s">
        <v>83</v>
      </c>
      <c r="O115" s="149" t="s">
        <v>94</v>
      </c>
      <c r="P115" s="27">
        <v>0</v>
      </c>
      <c r="Q115" s="27">
        <v>2</v>
      </c>
      <c r="R115" s="168" t="s">
        <v>83</v>
      </c>
      <c r="S115" s="168" t="s">
        <v>83</v>
      </c>
      <c r="T115" s="168" t="s">
        <v>83</v>
      </c>
      <c r="U115" s="168" t="s">
        <v>83</v>
      </c>
      <c r="V115" s="27"/>
      <c r="W115" s="27" t="s">
        <v>93</v>
      </c>
      <c r="X115" s="27">
        <v>0</v>
      </c>
      <c r="Y115" s="168" t="s">
        <v>83</v>
      </c>
      <c r="Z115" s="27">
        <v>0</v>
      </c>
      <c r="AA115" s="27">
        <v>0</v>
      </c>
      <c r="AB115" s="148">
        <v>10</v>
      </c>
      <c r="AC115" s="27">
        <v>1</v>
      </c>
      <c r="AD115" s="27">
        <v>1</v>
      </c>
      <c r="AE115" s="168" t="s">
        <v>83</v>
      </c>
      <c r="AF115" s="168" t="s">
        <v>83</v>
      </c>
      <c r="AG115" s="168" t="s">
        <v>83</v>
      </c>
      <c r="AH115" s="168" t="s">
        <v>83</v>
      </c>
      <c r="AI115" s="27"/>
      <c r="AJ115" s="27"/>
      <c r="AK115" s="27">
        <v>1</v>
      </c>
      <c r="AL115" s="27">
        <v>1</v>
      </c>
      <c r="AM115" s="168" t="s">
        <v>83</v>
      </c>
      <c r="AN115" s="27">
        <v>1</v>
      </c>
      <c r="AO115" s="27">
        <v>1</v>
      </c>
      <c r="AP115" s="27">
        <v>1</v>
      </c>
    </row>
    <row r="116" spans="1:42">
      <c r="A116" s="146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8" t="str">
        <f t="shared" ref="J116" si="30">H116</f>
        <v>|CffFFD24D品质潜能石【】|r</v>
      </c>
      <c r="K116" s="148">
        <f t="shared" ref="K116" si="31">I116</f>
        <v>0</v>
      </c>
      <c r="L116" s="27"/>
      <c r="M116" s="149" t="str">
        <f>VLOOKUP(LEFT(RIGHT(B116,5),4),物品!B:CU,20,FALSE)</f>
        <v>ReplaceableTextures\\CommandButtons\\BTNIN04.blp</v>
      </c>
      <c r="N116" s="168" t="s">
        <v>83</v>
      </c>
      <c r="O116" s="149" t="s">
        <v>94</v>
      </c>
      <c r="P116" s="27"/>
      <c r="Q116" s="27"/>
      <c r="R116" s="168" t="s">
        <v>83</v>
      </c>
      <c r="S116" s="168" t="s">
        <v>83</v>
      </c>
      <c r="T116" s="168" t="s">
        <v>83</v>
      </c>
      <c r="U116" s="168" t="s">
        <v>83</v>
      </c>
      <c r="V116" s="27"/>
      <c r="W116" s="27" t="s">
        <v>93</v>
      </c>
      <c r="X116" s="27">
        <v>0</v>
      </c>
      <c r="Y116" s="16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8" t="s">
        <v>83</v>
      </c>
      <c r="AF116" s="168" t="s">
        <v>83</v>
      </c>
      <c r="AG116" s="168" t="s">
        <v>83</v>
      </c>
      <c r="AH116" s="168" t="s">
        <v>83</v>
      </c>
      <c r="AI116" s="27"/>
      <c r="AJ116" s="27"/>
      <c r="AK116" s="27">
        <v>1</v>
      </c>
      <c r="AL116" s="27">
        <v>1</v>
      </c>
      <c r="AM116" s="168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6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8" t="str">
        <f t="shared" ref="J117" si="32">H117</f>
        <v>随机法宝</v>
      </c>
      <c r="K117" s="148" t="str">
        <f t="shared" ref="K117" si="33">I117</f>
        <v>获得一个随机品质的|Cffffc926法宝|r。</v>
      </c>
      <c r="L117" s="27"/>
      <c r="M117" s="149" t="str">
        <f>VLOOKUP(LEFT(RIGHT(B117,5),4),物品!B:CU,20,FALSE)</f>
        <v>ReplaceableTextures\\CommandButtons\\BTNCF01.blp</v>
      </c>
      <c r="N117" s="168" t="s">
        <v>83</v>
      </c>
      <c r="O117" s="149" t="s">
        <v>95</v>
      </c>
      <c r="P117" s="27">
        <v>0</v>
      </c>
      <c r="Q117" s="27">
        <v>0</v>
      </c>
      <c r="R117" s="168" t="s">
        <v>83</v>
      </c>
      <c r="S117" s="168" t="s">
        <v>83</v>
      </c>
      <c r="T117" s="168" t="s">
        <v>83</v>
      </c>
      <c r="U117" s="168" t="s">
        <v>83</v>
      </c>
      <c r="V117" s="27"/>
      <c r="W117" s="27" t="s">
        <v>88</v>
      </c>
      <c r="X117" s="27">
        <v>0</v>
      </c>
      <c r="Y117" s="16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8" t="s">
        <v>83</v>
      </c>
      <c r="AF117" s="168" t="s">
        <v>83</v>
      </c>
      <c r="AG117" s="168" t="s">
        <v>83</v>
      </c>
      <c r="AH117" s="168" t="s">
        <v>83</v>
      </c>
      <c r="AI117" s="27">
        <v>1</v>
      </c>
      <c r="AJ117" s="27"/>
      <c r="AK117" s="27">
        <v>1</v>
      </c>
      <c r="AL117" s="27">
        <v>1</v>
      </c>
      <c r="AM117" s="168" t="s">
        <v>83</v>
      </c>
      <c r="AN117" s="27">
        <v>1</v>
      </c>
      <c r="AO117" s="27">
        <v>1</v>
      </c>
      <c r="AP117" s="27">
        <v>1</v>
      </c>
    </row>
    <row r="118" spans="1:42">
      <c r="A118" s="146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8" t="str">
        <f t="shared" ref="J118:J121" si="34">H118</f>
        <v>蛋黄月饼</v>
      </c>
      <c r="K118" s="148" t="str">
        <f t="shared" ref="K118:K121" si="35">I118</f>
        <v>回复|Cffffd24d80%|r生命，|Cff00ff7f解除|r异常状态</v>
      </c>
      <c r="L118" s="27"/>
      <c r="M118" s="149" t="str">
        <f>VLOOKUP(LEFT(RIGHT(B118,5),4),物品!B:CU,20,FALSE)</f>
        <v>ReplaceableTextures\\CommandButtons\\BTNI001.blp</v>
      </c>
      <c r="N118" s="168" t="s">
        <v>83</v>
      </c>
      <c r="O118" s="149" t="s">
        <v>94</v>
      </c>
      <c r="P118" s="27">
        <v>0</v>
      </c>
      <c r="Q118" s="27">
        <v>0</v>
      </c>
      <c r="R118" s="168" t="s">
        <v>83</v>
      </c>
      <c r="S118" s="168" t="s">
        <v>83</v>
      </c>
      <c r="T118" s="168" t="s">
        <v>83</v>
      </c>
      <c r="U118" s="168" t="s">
        <v>83</v>
      </c>
      <c r="V118" s="27"/>
      <c r="W118" s="27" t="s">
        <v>93</v>
      </c>
      <c r="X118" s="27">
        <v>0</v>
      </c>
      <c r="Y118" s="16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8" t="s">
        <v>83</v>
      </c>
      <c r="AF118" s="168" t="s">
        <v>83</v>
      </c>
      <c r="AG118" s="168" t="s">
        <v>83</v>
      </c>
      <c r="AH118" s="168" t="s">
        <v>83</v>
      </c>
      <c r="AI118" s="27"/>
      <c r="AJ118" s="27"/>
      <c r="AK118" s="27">
        <v>1</v>
      </c>
      <c r="AL118" s="27">
        <v>1</v>
      </c>
      <c r="AM118" s="168" t="s">
        <v>83</v>
      </c>
      <c r="AN118" s="27">
        <v>1</v>
      </c>
      <c r="AO118" s="27">
        <v>1</v>
      </c>
      <c r="AP118" s="27">
        <v>1</v>
      </c>
    </row>
    <row r="119" spans="1:42">
      <c r="A119" s="146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8" t="str">
        <f t="shared" si="34"/>
        <v>豆沙月饼</v>
      </c>
      <c r="K119" s="148" t="str">
        <f t="shared" si="35"/>
        <v>暴击|Cffff0000+10%|n|n|r|Cff00ff7f效果持续15秒。|r</v>
      </c>
      <c r="L119" s="27"/>
      <c r="M119" s="149" t="str">
        <f>VLOOKUP(LEFT(RIGHT(B119,5),4),物品!B:CU,20,FALSE)</f>
        <v>ReplaceableTextures\\CommandButtons\\BTNI002.blp</v>
      </c>
      <c r="N119" s="168" t="s">
        <v>83</v>
      </c>
      <c r="O119" s="149" t="s">
        <v>94</v>
      </c>
      <c r="P119" s="27">
        <v>0</v>
      </c>
      <c r="Q119" s="27">
        <v>0</v>
      </c>
      <c r="R119" s="168" t="s">
        <v>83</v>
      </c>
      <c r="S119" s="168" t="s">
        <v>83</v>
      </c>
      <c r="T119" s="168" t="s">
        <v>83</v>
      </c>
      <c r="U119" s="168" t="s">
        <v>83</v>
      </c>
      <c r="V119" s="27"/>
      <c r="W119" s="27" t="s">
        <v>93</v>
      </c>
      <c r="X119" s="27">
        <v>0</v>
      </c>
      <c r="Y119" s="168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8" t="s">
        <v>83</v>
      </c>
      <c r="AF119" s="168" t="s">
        <v>83</v>
      </c>
      <c r="AG119" s="168" t="s">
        <v>83</v>
      </c>
      <c r="AH119" s="168" t="s">
        <v>83</v>
      </c>
      <c r="AI119" s="27"/>
      <c r="AJ119" s="27"/>
      <c r="AK119" s="27">
        <v>1</v>
      </c>
      <c r="AL119" s="27">
        <v>1</v>
      </c>
      <c r="AM119" s="168" t="s">
        <v>83</v>
      </c>
      <c r="AN119" s="27">
        <v>1</v>
      </c>
      <c r="AO119" s="27">
        <v>1</v>
      </c>
      <c r="AP119" s="27">
        <v>1</v>
      </c>
    </row>
    <row r="120" spans="1:42">
      <c r="A120" s="146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8" t="str">
        <f t="shared" si="34"/>
        <v>冰皮月饼</v>
      </c>
      <c r="K120" s="148" t="str">
        <f t="shared" si="35"/>
        <v>攻击速度|Cffffd24d+40%|r。|n|n|Cff00ff7f持续15秒。|r</v>
      </c>
      <c r="L120" s="27"/>
      <c r="M120" s="149" t="str">
        <f>VLOOKUP(LEFT(RIGHT(B120,5),4),物品!B:CU,20,FALSE)</f>
        <v>ReplaceableTextures\\CommandButtons\\BTNI003.blp</v>
      </c>
      <c r="N120" s="168" t="s">
        <v>83</v>
      </c>
      <c r="O120" s="149" t="s">
        <v>94</v>
      </c>
      <c r="P120" s="27">
        <v>0</v>
      </c>
      <c r="Q120" s="27">
        <v>0</v>
      </c>
      <c r="R120" s="168" t="s">
        <v>83</v>
      </c>
      <c r="S120" s="168" t="s">
        <v>83</v>
      </c>
      <c r="T120" s="168" t="s">
        <v>83</v>
      </c>
      <c r="U120" s="168" t="s">
        <v>83</v>
      </c>
      <c r="V120" s="27"/>
      <c r="W120" s="27" t="s">
        <v>93</v>
      </c>
      <c r="X120" s="27">
        <v>0</v>
      </c>
      <c r="Y120" s="168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8" t="s">
        <v>83</v>
      </c>
      <c r="AF120" s="168" t="s">
        <v>83</v>
      </c>
      <c r="AG120" s="168" t="s">
        <v>83</v>
      </c>
      <c r="AH120" s="168" t="s">
        <v>83</v>
      </c>
      <c r="AI120" s="27"/>
      <c r="AJ120" s="27"/>
      <c r="AK120" s="27">
        <v>1</v>
      </c>
      <c r="AL120" s="27">
        <v>1</v>
      </c>
      <c r="AM120" s="168" t="s">
        <v>83</v>
      </c>
      <c r="AN120" s="27">
        <v>1</v>
      </c>
      <c r="AO120" s="27">
        <v>1</v>
      </c>
      <c r="AP120" s="27">
        <v>1</v>
      </c>
    </row>
    <row r="121" spans="1:42">
      <c r="A121" s="146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8" t="str">
        <f t="shared" si="34"/>
        <v>果蔬月饼</v>
      </c>
      <c r="K121" s="148" t="str">
        <f t="shared" si="35"/>
        <v>技能伤害提高|Cffffd24d20%|r|Cfff0f0f0。|n|n|r|Cff00ff7f持续15秒。|r</v>
      </c>
      <c r="L121" s="27"/>
      <c r="M121" s="149" t="str">
        <f>VLOOKUP(LEFT(RIGHT(B121,5),4),物品!B:CU,20,FALSE)</f>
        <v>ReplaceableTextures\\CommandButtons\\BTNI004.blp</v>
      </c>
      <c r="N121" s="168" t="s">
        <v>83</v>
      </c>
      <c r="O121" s="149" t="s">
        <v>94</v>
      </c>
      <c r="P121" s="27">
        <v>0</v>
      </c>
      <c r="Q121" s="27">
        <v>0</v>
      </c>
      <c r="R121" s="168" t="s">
        <v>83</v>
      </c>
      <c r="S121" s="168" t="s">
        <v>83</v>
      </c>
      <c r="T121" s="168" t="s">
        <v>83</v>
      </c>
      <c r="U121" s="168" t="s">
        <v>83</v>
      </c>
      <c r="V121" s="27"/>
      <c r="W121" s="27" t="s">
        <v>93</v>
      </c>
      <c r="X121" s="27">
        <v>0</v>
      </c>
      <c r="Y121" s="168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8" t="s">
        <v>83</v>
      </c>
      <c r="AF121" s="168" t="s">
        <v>83</v>
      </c>
      <c r="AG121" s="168" t="s">
        <v>83</v>
      </c>
      <c r="AH121" s="168" t="s">
        <v>83</v>
      </c>
      <c r="AI121" s="27"/>
      <c r="AJ121" s="27"/>
      <c r="AK121" s="27">
        <v>1</v>
      </c>
      <c r="AL121" s="27">
        <v>1</v>
      </c>
      <c r="AM121" s="168" t="s">
        <v>83</v>
      </c>
      <c r="AN121" s="27">
        <v>1</v>
      </c>
      <c r="AO121" s="27">
        <v>1</v>
      </c>
      <c r="AP121" s="27">
        <v>1</v>
      </c>
    </row>
    <row r="122" spans="1:42">
      <c r="A122" s="146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8" t="str">
        <f t="shared" ref="J122:J124" si="36">H122</f>
        <v>鲜肉月饼</v>
      </c>
      <c r="K122" s="148" t="str">
        <f t="shared" ref="K122:K124" si="37">I122</f>
        <v>攻击伤害提高|Cffffd24d20%|r。|n|n|Cff00ff7f持续15秒。|r</v>
      </c>
      <c r="L122" s="27"/>
      <c r="M122" s="149" t="str">
        <f>VLOOKUP(LEFT(RIGHT(B122,5),4),物品!B:CU,20,FALSE)</f>
        <v>ReplaceableTextures\\CommandButtons\\BTNI005.blp</v>
      </c>
      <c r="N122" s="168" t="s">
        <v>83</v>
      </c>
      <c r="O122" s="149" t="s">
        <v>94</v>
      </c>
      <c r="P122" s="27">
        <v>0</v>
      </c>
      <c r="Q122" s="27">
        <v>0</v>
      </c>
      <c r="R122" s="168" t="s">
        <v>83</v>
      </c>
      <c r="S122" s="168" t="s">
        <v>83</v>
      </c>
      <c r="T122" s="168" t="s">
        <v>83</v>
      </c>
      <c r="U122" s="168" t="s">
        <v>83</v>
      </c>
      <c r="V122" s="27"/>
      <c r="W122" s="27" t="s">
        <v>93</v>
      </c>
      <c r="X122" s="27">
        <v>0</v>
      </c>
      <c r="Y122" s="168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8" t="s">
        <v>83</v>
      </c>
      <c r="AF122" s="168" t="s">
        <v>83</v>
      </c>
      <c r="AG122" s="168" t="s">
        <v>83</v>
      </c>
      <c r="AH122" s="168" t="s">
        <v>83</v>
      </c>
      <c r="AI122" s="27"/>
      <c r="AJ122" s="27"/>
      <c r="AK122" s="27">
        <v>1</v>
      </c>
      <c r="AL122" s="27">
        <v>1</v>
      </c>
      <c r="AM122" s="168" t="s">
        <v>83</v>
      </c>
      <c r="AN122" s="27">
        <v>1</v>
      </c>
      <c r="AO122" s="27">
        <v>1</v>
      </c>
      <c r="AP122" s="27">
        <v>1</v>
      </c>
    </row>
    <row r="123" spans="1:42">
      <c r="A123" s="146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8" t="str">
        <f t="shared" ref="J123" si="38">H123</f>
        <v>招魂幡Lv0</v>
      </c>
      <c r="K123" s="148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9" t="str">
        <f>VLOOKUP(LEFT(RIGHT(B123,5),4),物品!B:CU,20,FALSE)</f>
        <v>ReplaceableTextures\\CommandButtons\\BTNZHP1.blp</v>
      </c>
      <c r="N123" s="27">
        <v>0.5</v>
      </c>
      <c r="O123" s="149" t="s">
        <v>96</v>
      </c>
      <c r="P123" s="27">
        <v>0</v>
      </c>
      <c r="Q123" s="27">
        <v>0</v>
      </c>
      <c r="R123" s="168" t="s">
        <v>83</v>
      </c>
      <c r="S123" s="168" t="s">
        <v>83</v>
      </c>
      <c r="T123" s="168" t="s">
        <v>83</v>
      </c>
      <c r="U123" s="168" t="s">
        <v>83</v>
      </c>
      <c r="V123" s="27">
        <v>4</v>
      </c>
      <c r="W123" s="27" t="s">
        <v>85</v>
      </c>
      <c r="X123" s="27">
        <v>0</v>
      </c>
      <c r="Y123" s="168" t="s">
        <v>83</v>
      </c>
      <c r="Z123" s="27">
        <v>0</v>
      </c>
      <c r="AA123" s="27">
        <v>0</v>
      </c>
      <c r="AB123" s="148">
        <v>1</v>
      </c>
      <c r="AC123" s="27">
        <v>1</v>
      </c>
      <c r="AD123" s="27">
        <v>1</v>
      </c>
      <c r="AE123" s="168" t="s">
        <v>83</v>
      </c>
      <c r="AF123" s="168" t="s">
        <v>83</v>
      </c>
      <c r="AG123" s="168" t="s">
        <v>83</v>
      </c>
      <c r="AH123" s="168" t="s">
        <v>83</v>
      </c>
      <c r="AI123" s="27"/>
      <c r="AJ123" s="27"/>
      <c r="AK123" s="27">
        <v>1</v>
      </c>
      <c r="AL123" s="27">
        <v>1</v>
      </c>
      <c r="AM123" s="168" t="s">
        <v>83</v>
      </c>
      <c r="AN123" s="27">
        <v>300</v>
      </c>
      <c r="AO123" s="27"/>
      <c r="AP123" s="27"/>
    </row>
    <row r="124" spans="1:42">
      <c r="A124" s="146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8" t="str">
        <f t="shared" si="36"/>
        <v>招魂幡Lv1</v>
      </c>
      <c r="K124" s="148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9" t="str">
        <f>VLOOKUP(LEFT(RIGHT(B124,5),4),物品!B:CU,20,FALSE)</f>
        <v>ReplaceableTextures\\CommandButtons\\BTNZHP1.blp</v>
      </c>
      <c r="N124" s="27">
        <v>0.5</v>
      </c>
      <c r="O124" s="149" t="s">
        <v>96</v>
      </c>
      <c r="P124" s="27">
        <v>0</v>
      </c>
      <c r="Q124" s="27">
        <v>1</v>
      </c>
      <c r="R124" s="168" t="s">
        <v>83</v>
      </c>
      <c r="S124" s="168" t="s">
        <v>83</v>
      </c>
      <c r="T124" s="168" t="s">
        <v>83</v>
      </c>
      <c r="U124" s="168" t="s">
        <v>83</v>
      </c>
      <c r="V124" s="27">
        <v>4</v>
      </c>
      <c r="W124" s="27" t="s">
        <v>85</v>
      </c>
      <c r="X124" s="27">
        <v>0</v>
      </c>
      <c r="Y124" s="168" t="s">
        <v>83</v>
      </c>
      <c r="Z124" s="27">
        <v>0</v>
      </c>
      <c r="AA124" s="27">
        <v>0</v>
      </c>
      <c r="AB124" s="148">
        <v>2</v>
      </c>
      <c r="AC124" s="27">
        <v>1</v>
      </c>
      <c r="AD124" s="27">
        <v>1</v>
      </c>
      <c r="AE124" s="168" t="s">
        <v>83</v>
      </c>
      <c r="AF124" s="168" t="s">
        <v>83</v>
      </c>
      <c r="AG124" s="168" t="s">
        <v>83</v>
      </c>
      <c r="AH124" s="168" t="s">
        <v>83</v>
      </c>
      <c r="AI124" s="27"/>
      <c r="AJ124" s="27"/>
      <c r="AK124" s="27">
        <v>1</v>
      </c>
      <c r="AL124" s="27">
        <v>1</v>
      </c>
      <c r="AM124" s="168" t="s">
        <v>83</v>
      </c>
      <c r="AN124" s="27">
        <v>1000</v>
      </c>
      <c r="AO124" s="27"/>
      <c r="AP124" s="27"/>
    </row>
    <row r="125" spans="1:42">
      <c r="A125" s="146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8" t="str">
        <f t="shared" ref="J125:J126" si="40">H125</f>
        <v>|Cff00FF7F招魂幡Lv2|r</v>
      </c>
      <c r="K125" s="148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9" t="str">
        <f>VLOOKUP(LEFT(RIGHT(B125,5),4),物品!B:CU,20,FALSE)</f>
        <v>ReplaceableTextures\\CommandButtons\\BTNZHP2.blp</v>
      </c>
      <c r="N125" s="27">
        <v>0.5</v>
      </c>
      <c r="O125" s="149" t="s">
        <v>96</v>
      </c>
      <c r="P125" s="27">
        <v>1</v>
      </c>
      <c r="Q125" s="27">
        <v>1</v>
      </c>
      <c r="R125" s="168" t="s">
        <v>83</v>
      </c>
      <c r="S125" s="168" t="s">
        <v>83</v>
      </c>
      <c r="T125" s="168" t="s">
        <v>83</v>
      </c>
      <c r="U125" s="168" t="s">
        <v>83</v>
      </c>
      <c r="V125" s="27">
        <v>4</v>
      </c>
      <c r="W125" s="27" t="s">
        <v>85</v>
      </c>
      <c r="X125" s="27">
        <v>0</v>
      </c>
      <c r="Y125" s="168" t="s">
        <v>83</v>
      </c>
      <c r="Z125" s="27">
        <v>0</v>
      </c>
      <c r="AA125" s="27">
        <v>0</v>
      </c>
      <c r="AB125" s="148">
        <v>5</v>
      </c>
      <c r="AC125" s="27">
        <v>1</v>
      </c>
      <c r="AD125" s="27">
        <v>1</v>
      </c>
      <c r="AE125" s="168" t="s">
        <v>83</v>
      </c>
      <c r="AF125" s="168" t="s">
        <v>83</v>
      </c>
      <c r="AG125" s="168" t="s">
        <v>83</v>
      </c>
      <c r="AH125" s="168" t="s">
        <v>83</v>
      </c>
      <c r="AI125" s="27"/>
      <c r="AJ125" s="27"/>
      <c r="AK125" s="27">
        <v>1</v>
      </c>
      <c r="AL125" s="27">
        <v>1</v>
      </c>
      <c r="AM125" s="168" t="s">
        <v>83</v>
      </c>
      <c r="AN125" s="27">
        <v>1000</v>
      </c>
      <c r="AO125" s="27"/>
      <c r="AP125" s="27"/>
    </row>
    <row r="126" spans="1:42">
      <c r="A126" s="146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8" t="str">
        <f t="shared" si="40"/>
        <v>|Cff00BFFF招魂幡Lv3|r</v>
      </c>
      <c r="K126" s="148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9" t="str">
        <f>VLOOKUP(LEFT(RIGHT(B126,5),4),物品!B:CU,20,FALSE)</f>
        <v>ReplaceableTextures\\CommandButtons\\BTNZHP3.blp</v>
      </c>
      <c r="N126" s="27">
        <v>0.5</v>
      </c>
      <c r="O126" s="149" t="s">
        <v>96</v>
      </c>
      <c r="P126" s="27">
        <v>2</v>
      </c>
      <c r="Q126" s="27">
        <v>1</v>
      </c>
      <c r="R126" s="168" t="s">
        <v>83</v>
      </c>
      <c r="S126" s="168" t="s">
        <v>83</v>
      </c>
      <c r="T126" s="168" t="s">
        <v>83</v>
      </c>
      <c r="U126" s="168" t="s">
        <v>83</v>
      </c>
      <c r="V126" s="27">
        <v>4</v>
      </c>
      <c r="W126" s="27" t="s">
        <v>85</v>
      </c>
      <c r="X126" s="27">
        <v>0</v>
      </c>
      <c r="Y126" s="168" t="s">
        <v>83</v>
      </c>
      <c r="Z126" s="27">
        <v>0</v>
      </c>
      <c r="AA126" s="27">
        <v>0</v>
      </c>
      <c r="AB126" s="148">
        <v>10</v>
      </c>
      <c r="AC126" s="27">
        <v>1</v>
      </c>
      <c r="AD126" s="27">
        <v>1</v>
      </c>
      <c r="AE126" s="168" t="s">
        <v>83</v>
      </c>
      <c r="AF126" s="168" t="s">
        <v>83</v>
      </c>
      <c r="AG126" s="168" t="s">
        <v>83</v>
      </c>
      <c r="AH126" s="168" t="s">
        <v>83</v>
      </c>
      <c r="AI126" s="27"/>
      <c r="AJ126" s="27"/>
      <c r="AK126" s="27">
        <v>1</v>
      </c>
      <c r="AL126" s="27">
        <v>1</v>
      </c>
      <c r="AM126" s="168" t="s">
        <v>83</v>
      </c>
      <c r="AN126" s="27">
        <v>1000</v>
      </c>
      <c r="AO126" s="27"/>
      <c r="AP126" s="27"/>
    </row>
    <row r="127" spans="1:42">
      <c r="A127" s="146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8" t="str">
        <f t="shared" ref="J127:J129" si="42">H127</f>
        <v>|CffFFD24D招魂幡Lv4|r</v>
      </c>
      <c r="K127" s="148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9" t="str">
        <f>VLOOKUP(LEFT(RIGHT(B127,5),4),物品!B:CU,20,FALSE)</f>
        <v>ReplaceableTextures\\CommandButtons\\BTNZHP4.blp</v>
      </c>
      <c r="N127" s="27">
        <v>0.5</v>
      </c>
      <c r="O127" s="149" t="s">
        <v>96</v>
      </c>
      <c r="P127" s="27">
        <v>3</v>
      </c>
      <c r="Q127" s="27">
        <v>1</v>
      </c>
      <c r="R127" s="168" t="s">
        <v>83</v>
      </c>
      <c r="S127" s="168" t="s">
        <v>83</v>
      </c>
      <c r="T127" s="168" t="s">
        <v>83</v>
      </c>
      <c r="U127" s="168" t="s">
        <v>83</v>
      </c>
      <c r="V127" s="27">
        <v>4</v>
      </c>
      <c r="W127" s="27" t="s">
        <v>85</v>
      </c>
      <c r="X127" s="27">
        <v>0</v>
      </c>
      <c r="Y127" s="168" t="s">
        <v>83</v>
      </c>
      <c r="Z127" s="27">
        <v>0</v>
      </c>
      <c r="AA127" s="27">
        <v>0</v>
      </c>
      <c r="AB127" s="148">
        <v>20</v>
      </c>
      <c r="AC127" s="27">
        <v>1</v>
      </c>
      <c r="AD127" s="27">
        <v>1</v>
      </c>
      <c r="AE127" s="168" t="s">
        <v>83</v>
      </c>
      <c r="AF127" s="168" t="s">
        <v>83</v>
      </c>
      <c r="AG127" s="168" t="s">
        <v>83</v>
      </c>
      <c r="AH127" s="168" t="s">
        <v>83</v>
      </c>
      <c r="AI127" s="27"/>
      <c r="AJ127" s="27"/>
      <c r="AK127" s="27">
        <v>1</v>
      </c>
      <c r="AL127" s="27">
        <v>1</v>
      </c>
      <c r="AM127" s="168" t="s">
        <v>83</v>
      </c>
      <c r="AN127" s="27">
        <v>1000</v>
      </c>
      <c r="AO127" s="27"/>
      <c r="AP127" s="27"/>
    </row>
    <row r="128" spans="1:42">
      <c r="A128" s="146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8" t="str">
        <f t="shared" ref="J128" si="44">H128</f>
        <v>|CffFF0000招魂幡Lv5|r</v>
      </c>
      <c r="K128" s="148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9" t="str">
        <f>VLOOKUP(LEFT(RIGHT(B128,5),4),物品!B:CU,20,FALSE)</f>
        <v>ReplaceableTextures\\CommandButtons\\BTNZHP5.blp</v>
      </c>
      <c r="N128" s="27">
        <v>0.5</v>
      </c>
      <c r="O128" s="149" t="s">
        <v>96</v>
      </c>
      <c r="P128" s="27">
        <v>0</v>
      </c>
      <c r="Q128" s="27">
        <v>0</v>
      </c>
      <c r="R128" s="168" t="s">
        <v>83</v>
      </c>
      <c r="S128" s="168" t="s">
        <v>83</v>
      </c>
      <c r="T128" s="168" t="s">
        <v>83</v>
      </c>
      <c r="U128" s="168" t="s">
        <v>83</v>
      </c>
      <c r="V128" s="27">
        <v>4</v>
      </c>
      <c r="W128" s="27" t="s">
        <v>85</v>
      </c>
      <c r="X128" s="27">
        <v>0</v>
      </c>
      <c r="Y128" s="168" t="s">
        <v>83</v>
      </c>
      <c r="Z128" s="27">
        <v>0</v>
      </c>
      <c r="AA128" s="27">
        <v>0</v>
      </c>
      <c r="AB128" s="148">
        <v>50</v>
      </c>
      <c r="AC128" s="27">
        <v>1</v>
      </c>
      <c r="AD128" s="27">
        <v>1</v>
      </c>
      <c r="AE128" s="168" t="s">
        <v>83</v>
      </c>
      <c r="AF128" s="168" t="s">
        <v>83</v>
      </c>
      <c r="AG128" s="168" t="s">
        <v>83</v>
      </c>
      <c r="AH128" s="168" t="s">
        <v>83</v>
      </c>
      <c r="AI128" s="27"/>
      <c r="AJ128" s="27"/>
      <c r="AK128" s="27">
        <v>1</v>
      </c>
      <c r="AL128" s="27">
        <v>1</v>
      </c>
      <c r="AM128" s="168" t="s">
        <v>83</v>
      </c>
      <c r="AN128" s="27">
        <v>1000</v>
      </c>
      <c r="AO128" s="27"/>
      <c r="AP128" s="27"/>
    </row>
    <row r="129" spans="1:42">
      <c r="A129" s="146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8" t="str">
        <f t="shared" si="42"/>
        <v>|CffFFD24D锦囊|r</v>
      </c>
      <c r="K129" s="148" t="str">
        <f t="shared" si="43"/>
        <v>开启后获得一个|Cffffc926随机锦囊|r。</v>
      </c>
      <c r="L129" s="27"/>
      <c r="M129" s="149" t="str">
        <f>VLOOKUP(LEFT(RIGHT(B129,5),4),物品!B:CU,20,FALSE)</f>
        <v>ReplaceableTextures\\CommandButtons\\BTNIN00.blp</v>
      </c>
      <c r="N129" s="27">
        <v>0.8</v>
      </c>
      <c r="O129" s="149" t="s">
        <v>97</v>
      </c>
      <c r="P129" s="27">
        <v>0</v>
      </c>
      <c r="Q129" s="27">
        <v>0</v>
      </c>
      <c r="R129" s="168" t="s">
        <v>83</v>
      </c>
      <c r="S129" s="168" t="s">
        <v>83</v>
      </c>
      <c r="T129" s="168" t="s">
        <v>83</v>
      </c>
      <c r="U129" s="168" t="s">
        <v>83</v>
      </c>
      <c r="V129" s="27"/>
      <c r="W129" s="27" t="s">
        <v>93</v>
      </c>
      <c r="X129" s="27">
        <v>0</v>
      </c>
      <c r="Y129" s="168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8" t="s">
        <v>83</v>
      </c>
      <c r="AF129" s="168" t="s">
        <v>83</v>
      </c>
      <c r="AG129" s="168" t="s">
        <v>83</v>
      </c>
      <c r="AH129" s="168" t="s">
        <v>83</v>
      </c>
      <c r="AI129" s="27"/>
      <c r="AJ129" s="27"/>
      <c r="AK129" s="27">
        <v>1</v>
      </c>
      <c r="AL129" s="27">
        <v>1</v>
      </c>
      <c r="AM129" s="168" t="s">
        <v>83</v>
      </c>
      <c r="AN129" s="27">
        <v>1</v>
      </c>
      <c r="AO129" s="27">
        <v>1</v>
      </c>
      <c r="AP129" s="27">
        <v>1</v>
      </c>
    </row>
    <row r="130" spans="1:42">
      <c r="A130" s="146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8" t="str">
        <f t="shared" ref="J130:J132" si="46">H130</f>
        <v>|Cff00BFFF来份快餐|r</v>
      </c>
      <c r="K130" s="148" t="str">
        <f t="shared" ref="K130:K132" si="47">I130</f>
        <v>每秒回复|Cffffc92610%|r生命值，持续|Cffffc92610|r秒</v>
      </c>
      <c r="L130" s="27"/>
      <c r="M130" s="149" t="str">
        <f>VLOOKUP(LEFT(RIGHT(B130,5),4),物品!B:CU,20,FALSE)</f>
        <v>ReplaceableTextures\\CommandButtons\\BTNIN07.blp</v>
      </c>
      <c r="N130" s="27">
        <v>0.8</v>
      </c>
      <c r="O130" s="149" t="s">
        <v>97</v>
      </c>
      <c r="P130" s="27">
        <v>0</v>
      </c>
      <c r="Q130" s="27">
        <v>0</v>
      </c>
      <c r="R130" s="168" t="s">
        <v>83</v>
      </c>
      <c r="S130" s="168" t="s">
        <v>83</v>
      </c>
      <c r="T130" s="168" t="s">
        <v>83</v>
      </c>
      <c r="U130" s="168" t="s">
        <v>83</v>
      </c>
      <c r="V130" s="27"/>
      <c r="W130" s="27" t="s">
        <v>93</v>
      </c>
      <c r="X130" s="27">
        <v>0</v>
      </c>
      <c r="Y130" s="168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8" t="s">
        <v>83</v>
      </c>
      <c r="AF130" s="168" t="s">
        <v>83</v>
      </c>
      <c r="AG130" s="168" t="s">
        <v>83</v>
      </c>
      <c r="AH130" s="168" t="s">
        <v>83</v>
      </c>
      <c r="AI130" s="27"/>
      <c r="AJ130" s="27"/>
      <c r="AK130" s="27">
        <v>1</v>
      </c>
      <c r="AL130" s="27">
        <v>1</v>
      </c>
      <c r="AM130" s="168" t="s">
        <v>83</v>
      </c>
      <c r="AN130" s="27">
        <v>1</v>
      </c>
      <c r="AO130" s="27">
        <v>1</v>
      </c>
      <c r="AP130" s="27">
        <v>1</v>
      </c>
    </row>
    <row r="131" spans="1:42">
      <c r="A131" s="146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8" t="str">
        <f t="shared" si="46"/>
        <v>|CffFF0000抬你一手|r</v>
      </c>
      <c r="K131" s="148" t="str">
        <f t="shared" si="47"/>
        <v>|CffFFC926击杀|r当前存在的|Cffffc926进攻怪|r和|Cffffc926Boss|r。|n|n|Cff00ff7f无法在大决战时使用|r</v>
      </c>
      <c r="L131" s="27"/>
      <c r="M131" s="149" t="str">
        <f>VLOOKUP(LEFT(RIGHT(B131,5),4),物品!B:CU,20,FALSE)</f>
        <v>ReplaceableTextures\\CommandButtons\\BTNIN08.blp</v>
      </c>
      <c r="N131" s="27">
        <v>0.8</v>
      </c>
      <c r="O131" s="149" t="s">
        <v>97</v>
      </c>
      <c r="P131" s="27">
        <v>0</v>
      </c>
      <c r="Q131" s="27">
        <v>0</v>
      </c>
      <c r="R131" s="168" t="s">
        <v>83</v>
      </c>
      <c r="S131" s="168" t="s">
        <v>83</v>
      </c>
      <c r="T131" s="168" t="s">
        <v>83</v>
      </c>
      <c r="U131" s="168" t="s">
        <v>83</v>
      </c>
      <c r="V131" s="27"/>
      <c r="W131" s="27" t="s">
        <v>93</v>
      </c>
      <c r="X131" s="27">
        <v>0</v>
      </c>
      <c r="Y131" s="168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8" t="s">
        <v>83</v>
      </c>
      <c r="AF131" s="168" t="s">
        <v>83</v>
      </c>
      <c r="AG131" s="168" t="s">
        <v>83</v>
      </c>
      <c r="AH131" s="168" t="s">
        <v>83</v>
      </c>
      <c r="AI131" s="27"/>
      <c r="AJ131" s="27"/>
      <c r="AK131" s="27">
        <v>1</v>
      </c>
      <c r="AL131" s="27">
        <v>1</v>
      </c>
      <c r="AM131" s="168" t="s">
        <v>83</v>
      </c>
      <c r="AN131" s="27">
        <v>1</v>
      </c>
      <c r="AO131" s="27">
        <v>1</v>
      </c>
      <c r="AP131" s="27">
        <v>1</v>
      </c>
    </row>
    <row r="132" spans="1:42">
      <c r="A132" s="146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8" t="str">
        <f t="shared" si="46"/>
        <v>|CffFFC926死者苏生|r</v>
      </c>
      <c r="K132" s="148" t="str">
        <f t="shared" si="47"/>
        <v>死亡时复活。</v>
      </c>
      <c r="L132" s="27"/>
      <c r="M132" s="149" t="str">
        <f>VLOOKUP(LEFT(RIGHT(B132,5),4),物品!B:CU,20,FALSE)</f>
        <v>ReplaceableTextures\\CommandButtons\\BTNIN09.blp</v>
      </c>
      <c r="N132" s="27">
        <v>0.8</v>
      </c>
      <c r="O132" s="149" t="s">
        <v>97</v>
      </c>
      <c r="P132" s="27">
        <v>0</v>
      </c>
      <c r="Q132" s="27">
        <v>0</v>
      </c>
      <c r="R132" s="168" t="s">
        <v>83</v>
      </c>
      <c r="S132" s="168" t="s">
        <v>83</v>
      </c>
      <c r="T132" s="168" t="s">
        <v>83</v>
      </c>
      <c r="U132" s="168" t="s">
        <v>83</v>
      </c>
      <c r="V132" s="27"/>
      <c r="W132" s="27" t="s">
        <v>93</v>
      </c>
      <c r="X132" s="27">
        <v>0</v>
      </c>
      <c r="Y132" s="168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8" t="s">
        <v>83</v>
      </c>
      <c r="AF132" s="168" t="s">
        <v>83</v>
      </c>
      <c r="AG132" s="168" t="s">
        <v>83</v>
      </c>
      <c r="AH132" s="168" t="s">
        <v>83</v>
      </c>
      <c r="AI132" s="27"/>
      <c r="AJ132" s="27"/>
      <c r="AK132" s="27">
        <v>1</v>
      </c>
      <c r="AL132" s="27">
        <v>1</v>
      </c>
      <c r="AM132" s="168" t="s">
        <v>83</v>
      </c>
      <c r="AN132" s="27">
        <v>1</v>
      </c>
      <c r="AO132" s="27">
        <v>1</v>
      </c>
      <c r="AP132" s="27">
        <v>1</v>
      </c>
    </row>
    <row r="133" spans="1:42" ht="15">
      <c r="A133" s="146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8" t="str">
        <f t="shared" ref="J133" si="48">H133</f>
        <v>|Cff00BFFF福娃这么可爱..|r</v>
      </c>
      <c r="K133" s="148" t="str">
        <f t="shared" ref="K133" si="49">I133</f>
        <v>点金一个|Cffffc926练功房福娃|r，获得|Cffffc926100|r倍金币奖励</v>
      </c>
      <c r="L133" s="27"/>
      <c r="M133" s="149" t="str">
        <f>VLOOKUP(LEFT(RIGHT(B133,5),4),物品!B:CU,20,FALSE)</f>
        <v>ReplaceableTextures\\CommandButtons\\BTNIN10.blp</v>
      </c>
      <c r="N133" s="168" t="s">
        <v>83</v>
      </c>
      <c r="O133" s="149" t="s">
        <v>94</v>
      </c>
      <c r="P133" s="27">
        <v>0</v>
      </c>
      <c r="Q133" s="27">
        <v>0</v>
      </c>
      <c r="R133" s="168" t="s">
        <v>83</v>
      </c>
      <c r="S133" s="168" t="s">
        <v>83</v>
      </c>
      <c r="T133" s="168" t="s">
        <v>83</v>
      </c>
      <c r="U133" s="168" t="s">
        <v>83</v>
      </c>
      <c r="V133" s="27"/>
      <c r="W133" s="151" t="s">
        <v>100</v>
      </c>
      <c r="X133" s="27">
        <v>0</v>
      </c>
      <c r="Y133" s="16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8" t="s">
        <v>83</v>
      </c>
      <c r="AH133" s="168" t="s">
        <v>83</v>
      </c>
      <c r="AI133" s="27"/>
      <c r="AJ133" s="27"/>
      <c r="AK133" s="27">
        <v>1</v>
      </c>
      <c r="AL133" s="27">
        <v>1</v>
      </c>
      <c r="AM133" s="168" t="s">
        <v>83</v>
      </c>
      <c r="AN133" s="27">
        <v>0</v>
      </c>
      <c r="AO133" s="27">
        <v>0</v>
      </c>
      <c r="AP133" s="27">
        <v>1</v>
      </c>
    </row>
    <row r="134" spans="1:42">
      <c r="A134" s="146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8" t="str">
        <f t="shared" ref="J134:J140" si="50">H134</f>
        <v>|CffFFC926奥里给Lo他|r</v>
      </c>
      <c r="K134" s="148" t="str">
        <f t="shared" ref="K134:K140" si="51">I134</f>
        <v>|CffFFC9265秒|r内提高|Cffffc926100%|r攻击伤害</v>
      </c>
      <c r="L134" s="27"/>
      <c r="M134" s="149" t="str">
        <f>VLOOKUP(LEFT(RIGHT(B134,5),4),物品!B:CU,20,FALSE)</f>
        <v>ReplaceableTextures\\CommandButtons\\BTNIN11.blp</v>
      </c>
      <c r="N134" s="168" t="s">
        <v>83</v>
      </c>
      <c r="O134" s="149" t="s">
        <v>94</v>
      </c>
      <c r="P134" s="27">
        <v>0</v>
      </c>
      <c r="Q134" s="27">
        <v>0</v>
      </c>
      <c r="R134" s="168" t="s">
        <v>83</v>
      </c>
      <c r="S134" s="168" t="s">
        <v>83</v>
      </c>
      <c r="T134" s="168" t="s">
        <v>83</v>
      </c>
      <c r="U134" s="168" t="s">
        <v>83</v>
      </c>
      <c r="V134" s="27"/>
      <c r="W134" s="27" t="s">
        <v>93</v>
      </c>
      <c r="X134" s="27">
        <v>0</v>
      </c>
      <c r="Y134" s="16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8" t="s">
        <v>83</v>
      </c>
      <c r="AF134" s="168" t="s">
        <v>83</v>
      </c>
      <c r="AG134" s="168" t="s">
        <v>83</v>
      </c>
      <c r="AH134" s="168" t="s">
        <v>83</v>
      </c>
      <c r="AI134" s="27"/>
      <c r="AJ134" s="27"/>
      <c r="AK134" s="27">
        <v>1</v>
      </c>
      <c r="AL134" s="27">
        <v>1</v>
      </c>
      <c r="AM134" s="168" t="s">
        <v>83</v>
      </c>
      <c r="AN134" s="27">
        <v>1</v>
      </c>
      <c r="AO134" s="27">
        <v>1</v>
      </c>
      <c r="AP134" s="27">
        <v>1</v>
      </c>
    </row>
    <row r="135" spans="1:42">
      <c r="A135" s="146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8" t="str">
        <f t="shared" si="50"/>
        <v>|CffFF0000以逸待劳|r</v>
      </c>
      <c r="K135" s="148" t="str">
        <f t="shared" si="51"/>
        <v>在|Cffffc926基地-周文王|r附近召唤|Cffffc9261|r个|Cffffc926黑市商店|r，仅存在|Cffffc92630|r秒。</v>
      </c>
      <c r="L135" s="27"/>
      <c r="M135" s="149" t="str">
        <f>VLOOKUP(LEFT(RIGHT(B135,5),4),物品!B:CU,20,FALSE)</f>
        <v>ReplaceableTextures\\CommandButtons\\BTNIN12.blp</v>
      </c>
      <c r="N135" s="168" t="s">
        <v>83</v>
      </c>
      <c r="O135" s="149" t="s">
        <v>94</v>
      </c>
      <c r="P135" s="27">
        <v>0</v>
      </c>
      <c r="Q135" s="27">
        <v>0</v>
      </c>
      <c r="R135" s="168" t="s">
        <v>83</v>
      </c>
      <c r="S135" s="168" t="s">
        <v>83</v>
      </c>
      <c r="T135" s="168" t="s">
        <v>83</v>
      </c>
      <c r="U135" s="168" t="s">
        <v>83</v>
      </c>
      <c r="V135" s="27"/>
      <c r="W135" s="27" t="s">
        <v>93</v>
      </c>
      <c r="X135" s="27">
        <v>0</v>
      </c>
      <c r="Y135" s="16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8" t="s">
        <v>83</v>
      </c>
      <c r="AF135" s="168" t="s">
        <v>83</v>
      </c>
      <c r="AG135" s="168" t="s">
        <v>83</v>
      </c>
      <c r="AH135" s="168" t="s">
        <v>83</v>
      </c>
      <c r="AI135" s="27"/>
      <c r="AJ135" s="27"/>
      <c r="AK135" s="27">
        <v>1</v>
      </c>
      <c r="AL135" s="27">
        <v>1</v>
      </c>
      <c r="AM135" s="168" t="s">
        <v>83</v>
      </c>
      <c r="AN135" s="27">
        <v>1</v>
      </c>
      <c r="AO135" s="27">
        <v>1</v>
      </c>
      <c r="AP135" s="27">
        <v>1</v>
      </c>
    </row>
    <row r="136" spans="1:42">
      <c r="A136" s="146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8" t="str">
        <f t="shared" si="50"/>
        <v>|CffFF0000全军出击|r</v>
      </c>
      <c r="K136" s="148" t="str">
        <f t="shared" si="51"/>
        <v>场上存活的队友|Cffffc92610|r秒内提高|Cffffc92630%|r技能伤害</v>
      </c>
      <c r="L136" s="27"/>
      <c r="M136" s="149" t="str">
        <f>VLOOKUP(LEFT(RIGHT(B136,5),4),物品!B:CU,20,FALSE)</f>
        <v>ReplaceableTextures\\CommandButtons\\BTNIN13.blp</v>
      </c>
      <c r="N136" s="168" t="s">
        <v>83</v>
      </c>
      <c r="O136" s="149" t="s">
        <v>94</v>
      </c>
      <c r="P136" s="27">
        <v>0</v>
      </c>
      <c r="Q136" s="27">
        <v>0</v>
      </c>
      <c r="R136" s="168" t="s">
        <v>83</v>
      </c>
      <c r="S136" s="168" t="s">
        <v>83</v>
      </c>
      <c r="T136" s="168" t="s">
        <v>83</v>
      </c>
      <c r="U136" s="168" t="s">
        <v>83</v>
      </c>
      <c r="V136" s="27"/>
      <c r="W136" s="27" t="s">
        <v>93</v>
      </c>
      <c r="X136" s="27">
        <v>0</v>
      </c>
      <c r="Y136" s="16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8" t="s">
        <v>83</v>
      </c>
      <c r="AF136" s="168" t="s">
        <v>83</v>
      </c>
      <c r="AG136" s="168" t="s">
        <v>83</v>
      </c>
      <c r="AH136" s="168" t="s">
        <v>83</v>
      </c>
      <c r="AI136" s="27"/>
      <c r="AJ136" s="27"/>
      <c r="AK136" s="27">
        <v>1</v>
      </c>
      <c r="AL136" s="27">
        <v>1</v>
      </c>
      <c r="AM136" s="168" t="s">
        <v>83</v>
      </c>
      <c r="AN136" s="27">
        <v>1</v>
      </c>
      <c r="AO136" s="27">
        <v>1</v>
      </c>
      <c r="AP136" s="27">
        <v>1</v>
      </c>
    </row>
    <row r="137" spans="1:42">
      <c r="A137" s="146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8" t="str">
        <f t="shared" si="50"/>
        <v>|CffFFC926心跳时刻|r</v>
      </c>
      <c r="K137" s="148" t="str">
        <f t="shared" si="51"/>
        <v>使用后基地无敌|Cffffc9265|r秒。</v>
      </c>
      <c r="L137" s="27"/>
      <c r="M137" s="149" t="str">
        <f>VLOOKUP(LEFT(RIGHT(B137,5),4),物品!B:CU,20,FALSE)</f>
        <v>ReplaceableTextures\\CommandButtons\\BTNIN14.blp</v>
      </c>
      <c r="N137" s="168" t="s">
        <v>83</v>
      </c>
      <c r="O137" s="149" t="s">
        <v>94</v>
      </c>
      <c r="P137" s="27">
        <v>0</v>
      </c>
      <c r="Q137" s="27">
        <v>0</v>
      </c>
      <c r="R137" s="168" t="s">
        <v>83</v>
      </c>
      <c r="S137" s="168" t="s">
        <v>83</v>
      </c>
      <c r="T137" s="168" t="s">
        <v>83</v>
      </c>
      <c r="U137" s="168" t="s">
        <v>83</v>
      </c>
      <c r="V137" s="27"/>
      <c r="W137" s="27" t="s">
        <v>93</v>
      </c>
      <c r="X137" s="27">
        <v>0</v>
      </c>
      <c r="Y137" s="16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8" t="s">
        <v>83</v>
      </c>
      <c r="AF137" s="168" t="s">
        <v>83</v>
      </c>
      <c r="AG137" s="168" t="s">
        <v>83</v>
      </c>
      <c r="AH137" s="168" t="s">
        <v>83</v>
      </c>
      <c r="AI137" s="27"/>
      <c r="AJ137" s="27"/>
      <c r="AK137" s="27">
        <v>1</v>
      </c>
      <c r="AL137" s="27">
        <v>1</v>
      </c>
      <c r="AM137" s="168" t="s">
        <v>83</v>
      </c>
      <c r="AN137" s="27">
        <v>1</v>
      </c>
      <c r="AO137" s="27">
        <v>1</v>
      </c>
      <c r="AP137" s="27">
        <v>1</v>
      </c>
    </row>
    <row r="138" spans="1:42">
      <c r="A138" s="146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8" t="str">
        <f t="shared" si="50"/>
        <v>|CffFFC926据守|r</v>
      </c>
      <c r="K138" s="148" t="str">
        <f t="shared" si="51"/>
        <v>场上存活的队友|Cffffc92610|r秒内减少|Cffffc92620%|r承受伤害</v>
      </c>
      <c r="L138" s="27"/>
      <c r="M138" s="149" t="str">
        <f>VLOOKUP(LEFT(RIGHT(B138,5),4),物品!B:CU,20,FALSE)</f>
        <v>ReplaceableTextures\\CommandButtons\\BTNIN15.blp</v>
      </c>
      <c r="N138" s="168" t="s">
        <v>83</v>
      </c>
      <c r="O138" s="149" t="s">
        <v>94</v>
      </c>
      <c r="P138" s="27">
        <v>0</v>
      </c>
      <c r="Q138" s="27">
        <v>0</v>
      </c>
      <c r="R138" s="168" t="s">
        <v>83</v>
      </c>
      <c r="S138" s="168" t="s">
        <v>83</v>
      </c>
      <c r="T138" s="168" t="s">
        <v>83</v>
      </c>
      <c r="U138" s="168" t="s">
        <v>83</v>
      </c>
      <c r="V138" s="27"/>
      <c r="W138" s="27" t="s">
        <v>93</v>
      </c>
      <c r="X138" s="27">
        <v>0</v>
      </c>
      <c r="Y138" s="16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8" t="s">
        <v>83</v>
      </c>
      <c r="AF138" s="168" t="s">
        <v>83</v>
      </c>
      <c r="AG138" s="168" t="s">
        <v>83</v>
      </c>
      <c r="AH138" s="168" t="s">
        <v>83</v>
      </c>
      <c r="AI138" s="27"/>
      <c r="AJ138" s="27"/>
      <c r="AK138" s="27">
        <v>1</v>
      </c>
      <c r="AL138" s="27">
        <v>1</v>
      </c>
      <c r="AM138" s="168" t="s">
        <v>83</v>
      </c>
      <c r="AN138" s="27">
        <v>1</v>
      </c>
      <c r="AO138" s="27">
        <v>1</v>
      </c>
      <c r="AP138" s="27">
        <v>1</v>
      </c>
    </row>
    <row r="139" spans="1:42">
      <c r="A139" s="146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8" t="str">
        <f t="shared" si="50"/>
        <v>赌输可退</v>
      </c>
      <c r="K139" s="148" t="str">
        <f t="shared" si="51"/>
        <v>使|Cffffd24d1|r个|Cffffd24d道果品质|r提高|Cffffd24d-1~+2|r。|n|n|Cff00ff7f只能对天级【7】或以下的道果使用|r</v>
      </c>
      <c r="L139" s="27"/>
      <c r="M139" s="149" t="str">
        <f>VLOOKUP(LEFT(RIGHT(B139,5),4),物品!B:CU,20,FALSE)</f>
        <v>ReplaceableTextures\\CommandButtons\\BTNIN16.blp</v>
      </c>
      <c r="N139" s="168" t="s">
        <v>83</v>
      </c>
      <c r="O139" s="149" t="s">
        <v>94</v>
      </c>
      <c r="P139" s="27">
        <v>0</v>
      </c>
      <c r="Q139" s="27">
        <v>0</v>
      </c>
      <c r="R139" s="168" t="s">
        <v>83</v>
      </c>
      <c r="S139" s="168" t="s">
        <v>83</v>
      </c>
      <c r="T139" s="168" t="s">
        <v>83</v>
      </c>
      <c r="U139" s="168" t="s">
        <v>83</v>
      </c>
      <c r="V139" s="27"/>
      <c r="W139" s="27" t="s">
        <v>93</v>
      </c>
      <c r="X139" s="27">
        <v>0</v>
      </c>
      <c r="Y139" s="16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8" t="s">
        <v>83</v>
      </c>
      <c r="AF139" s="168" t="s">
        <v>83</v>
      </c>
      <c r="AG139" s="168" t="s">
        <v>83</v>
      </c>
      <c r="AH139" s="168" t="s">
        <v>83</v>
      </c>
      <c r="AI139" s="27"/>
      <c r="AJ139" s="27"/>
      <c r="AK139" s="27">
        <v>1</v>
      </c>
      <c r="AL139" s="27">
        <v>1</v>
      </c>
      <c r="AM139" s="168" t="s">
        <v>83</v>
      </c>
      <c r="AN139" s="27">
        <v>1</v>
      </c>
      <c r="AO139" s="27">
        <v>1</v>
      </c>
      <c r="AP139" s="27">
        <v>1</v>
      </c>
    </row>
    <row r="140" spans="1:42">
      <c r="A140" s="146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8" t="str">
        <f t="shared" si="50"/>
        <v>|Cff00BFFF来点玄铁|r</v>
      </c>
      <c r="K140" s="148" t="str">
        <f t="shared" si="51"/>
        <v>玄铁|Cffffc926+5~20|r</v>
      </c>
      <c r="L140" s="27"/>
      <c r="M140" s="149" t="str">
        <f>VLOOKUP(LEFT(RIGHT(B140,5),4),物品!B:CU,20,FALSE)</f>
        <v>ReplaceableTextures\\CommandButtons\\BTNIN17.blp</v>
      </c>
      <c r="N140" s="168" t="s">
        <v>83</v>
      </c>
      <c r="O140" s="149" t="s">
        <v>94</v>
      </c>
      <c r="P140" s="27">
        <v>0</v>
      </c>
      <c r="Q140" s="27">
        <v>0</v>
      </c>
      <c r="R140" s="168" t="s">
        <v>83</v>
      </c>
      <c r="S140" s="168" t="s">
        <v>83</v>
      </c>
      <c r="T140" s="168" t="s">
        <v>83</v>
      </c>
      <c r="U140" s="168" t="s">
        <v>83</v>
      </c>
      <c r="V140" s="27"/>
      <c r="W140" s="27" t="s">
        <v>93</v>
      </c>
      <c r="X140" s="27">
        <v>0</v>
      </c>
      <c r="Y140" s="16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8" t="s">
        <v>83</v>
      </c>
      <c r="AF140" s="168" t="s">
        <v>83</v>
      </c>
      <c r="AG140" s="168" t="s">
        <v>83</v>
      </c>
      <c r="AH140" s="168" t="s">
        <v>83</v>
      </c>
      <c r="AI140" s="27"/>
      <c r="AJ140" s="27"/>
      <c r="AK140" s="27">
        <v>1</v>
      </c>
      <c r="AL140" s="27">
        <v>1</v>
      </c>
      <c r="AM140" s="168" t="s">
        <v>83</v>
      </c>
      <c r="AN140" s="27">
        <v>1</v>
      </c>
      <c r="AO140" s="27">
        <v>1</v>
      </c>
      <c r="AP140" s="27">
        <v>1</v>
      </c>
    </row>
    <row r="141" spans="1:42">
      <c r="A141" s="146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8" t="str">
        <f t="shared" ref="J141" si="52">H141</f>
        <v>|CffFFC926恭喜发财|r</v>
      </c>
      <c r="K141" s="148" t="str">
        <f t="shared" ref="K141" si="53">I141</f>
        <v>|CffFFC92630|r秒内金币加成|Cffffc926+50%|r</v>
      </c>
      <c r="L141" s="27"/>
      <c r="M141" s="149" t="str">
        <f>VLOOKUP(LEFT(RIGHT(B141,5),4),物品!B:CU,20,FALSE)</f>
        <v>ReplaceableTextures\\CommandButtons\\BTNIN18.blp</v>
      </c>
      <c r="N141" s="168" t="s">
        <v>83</v>
      </c>
      <c r="O141" s="149" t="s">
        <v>94</v>
      </c>
      <c r="P141" s="27">
        <v>0</v>
      </c>
      <c r="Q141" s="27">
        <v>0</v>
      </c>
      <c r="R141" s="168" t="s">
        <v>83</v>
      </c>
      <c r="S141" s="168" t="s">
        <v>83</v>
      </c>
      <c r="T141" s="168" t="s">
        <v>83</v>
      </c>
      <c r="U141" s="168" t="s">
        <v>83</v>
      </c>
      <c r="V141" s="27"/>
      <c r="W141" s="27" t="s">
        <v>93</v>
      </c>
      <c r="X141" s="27">
        <v>0</v>
      </c>
      <c r="Y141" s="16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8" t="s">
        <v>83</v>
      </c>
      <c r="AF141" s="168" t="s">
        <v>83</v>
      </c>
      <c r="AG141" s="168" t="s">
        <v>83</v>
      </c>
      <c r="AH141" s="168" t="s">
        <v>83</v>
      </c>
      <c r="AI141" s="27"/>
      <c r="AJ141" s="27"/>
      <c r="AK141" s="27">
        <v>1</v>
      </c>
      <c r="AL141" s="27">
        <v>1</v>
      </c>
      <c r="AM141" s="168" t="s">
        <v>83</v>
      </c>
      <c r="AN141" s="27">
        <v>1</v>
      </c>
      <c r="AO141" s="27">
        <v>1</v>
      </c>
      <c r="AP141" s="27">
        <v>1</v>
      </c>
    </row>
    <row r="142" spans="1:42">
      <c r="A142" s="146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8" t="str">
        <f t="shared" ref="J142:J150" si="54">H142</f>
        <v>附魔宝箱</v>
      </c>
      <c r="K142" s="148" t="str">
        <f t="shared" ref="K142:K150" si="55">I142</f>
        <v>使用后获得|Cffffc926随机类型技能附魔石|r</v>
      </c>
      <c r="L142" s="27"/>
      <c r="M142" s="149" t="str">
        <f>VLOOKUP(LEFT(RIGHT(B142,5),4),物品!B:CU,20,FALSE)</f>
        <v>ReplaceableTextures\\CommandButtons\\BTNIN16.blp</v>
      </c>
      <c r="N142" s="168" t="s">
        <v>83</v>
      </c>
      <c r="O142" s="149" t="s">
        <v>101</v>
      </c>
      <c r="P142" s="27">
        <v>0</v>
      </c>
      <c r="Q142" s="27">
        <v>0</v>
      </c>
      <c r="R142" s="168" t="s">
        <v>83</v>
      </c>
      <c r="S142" s="168" t="s">
        <v>83</v>
      </c>
      <c r="T142" s="168" t="s">
        <v>83</v>
      </c>
      <c r="U142" s="168" t="s">
        <v>83</v>
      </c>
      <c r="V142" s="27"/>
      <c r="W142" s="27" t="s">
        <v>93</v>
      </c>
      <c r="X142" s="27">
        <v>0</v>
      </c>
      <c r="Y142" s="16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8" t="s">
        <v>83</v>
      </c>
      <c r="AF142" s="168" t="s">
        <v>83</v>
      </c>
      <c r="AG142" s="168" t="s">
        <v>83</v>
      </c>
      <c r="AH142" s="168" t="s">
        <v>83</v>
      </c>
      <c r="AI142" s="27"/>
      <c r="AJ142" s="27"/>
      <c r="AK142" s="27">
        <v>1</v>
      </c>
      <c r="AL142" s="27">
        <v>1</v>
      </c>
      <c r="AM142" s="168" t="s">
        <v>83</v>
      </c>
      <c r="AN142" s="27">
        <v>1</v>
      </c>
      <c r="AO142" s="27">
        <v>1</v>
      </c>
      <c r="AP142" s="27">
        <v>1</v>
      </c>
    </row>
    <row r="143" spans="1:42">
      <c r="A143" s="146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8" t="str">
        <f t="shared" si="54"/>
        <v>|CffFFC926鼠年大吉|r</v>
      </c>
      <c r="K143" s="148" t="str">
        <f t="shared" si="55"/>
        <v>|CffFFC92630|r秒内杀敌金币|Cffffc926+25|r</v>
      </c>
      <c r="L143" s="27"/>
      <c r="M143" s="149" t="str">
        <f>VLOOKUP(LEFT(RIGHT(B143,5),4),物品!B:CU,20,FALSE)</f>
        <v>ReplaceableTextures\\CommandButtons\\BTNIN20.blp</v>
      </c>
      <c r="N143" s="168" t="s">
        <v>83</v>
      </c>
      <c r="O143" s="149" t="s">
        <v>94</v>
      </c>
      <c r="P143" s="27">
        <v>0</v>
      </c>
      <c r="Q143" s="27">
        <v>0</v>
      </c>
      <c r="R143" s="168" t="s">
        <v>83</v>
      </c>
      <c r="S143" s="168" t="s">
        <v>83</v>
      </c>
      <c r="T143" s="168" t="s">
        <v>83</v>
      </c>
      <c r="U143" s="168" t="s">
        <v>83</v>
      </c>
      <c r="V143" s="27"/>
      <c r="W143" s="27" t="s">
        <v>93</v>
      </c>
      <c r="X143" s="27">
        <v>0</v>
      </c>
      <c r="Y143" s="16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8" t="s">
        <v>83</v>
      </c>
      <c r="AF143" s="168" t="s">
        <v>83</v>
      </c>
      <c r="AG143" s="168" t="s">
        <v>83</v>
      </c>
      <c r="AH143" s="168" t="s">
        <v>83</v>
      </c>
      <c r="AI143" s="27"/>
      <c r="AJ143" s="27"/>
      <c r="AK143" s="27">
        <v>1</v>
      </c>
      <c r="AL143" s="27">
        <v>1</v>
      </c>
      <c r="AM143" s="168" t="s">
        <v>83</v>
      </c>
      <c r="AN143" s="27">
        <v>1</v>
      </c>
      <c r="AO143" s="27">
        <v>1</v>
      </c>
      <c r="AP143" s="27">
        <v>1</v>
      </c>
    </row>
    <row r="144" spans="1:42">
      <c r="A144" s="146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8" t="str">
        <f t="shared" si="54"/>
        <v>|Cff00FF7F小金库|r</v>
      </c>
      <c r="K144" s="148" t="str">
        <f t="shared" si="55"/>
        <v>金币|Cffffc926+888~8888|r</v>
      </c>
      <c r="L144" s="27"/>
      <c r="M144" s="149" t="str">
        <f>VLOOKUP(LEFT(RIGHT(B144,5),4),物品!B:CU,20,FALSE)</f>
        <v>ReplaceableTextures\\CommandButtons\\BTNIN21.blp</v>
      </c>
      <c r="N144" s="168" t="s">
        <v>83</v>
      </c>
      <c r="O144" s="149" t="s">
        <v>94</v>
      </c>
      <c r="P144" s="27">
        <v>0</v>
      </c>
      <c r="Q144" s="27">
        <v>0</v>
      </c>
      <c r="R144" s="168" t="s">
        <v>83</v>
      </c>
      <c r="S144" s="168" t="s">
        <v>83</v>
      </c>
      <c r="T144" s="168" t="s">
        <v>83</v>
      </c>
      <c r="U144" s="168" t="s">
        <v>83</v>
      </c>
      <c r="V144" s="27"/>
      <c r="W144" s="27" t="s">
        <v>93</v>
      </c>
      <c r="X144" s="27">
        <v>0</v>
      </c>
      <c r="Y144" s="16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8" t="s">
        <v>83</v>
      </c>
      <c r="AF144" s="168" t="s">
        <v>83</v>
      </c>
      <c r="AG144" s="168" t="s">
        <v>83</v>
      </c>
      <c r="AH144" s="168" t="s">
        <v>83</v>
      </c>
      <c r="AI144" s="27"/>
      <c r="AJ144" s="27"/>
      <c r="AK144" s="27">
        <v>1</v>
      </c>
      <c r="AL144" s="27">
        <v>1</v>
      </c>
      <c r="AM144" s="168" t="s">
        <v>83</v>
      </c>
      <c r="AN144" s="27">
        <v>1</v>
      </c>
      <c r="AO144" s="27">
        <v>1</v>
      </c>
      <c r="AP144" s="27">
        <v>1</v>
      </c>
    </row>
    <row r="145" spans="1:42">
      <c r="A145" s="146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8" t="str">
        <f t="shared" si="54"/>
        <v>|Cff00BFFF小银行|r</v>
      </c>
      <c r="K145" s="148" t="str">
        <f t="shared" si="55"/>
        <v>金币|Cffffc926+2888~18888|r</v>
      </c>
      <c r="L145" s="27"/>
      <c r="M145" s="149" t="str">
        <f>VLOOKUP(LEFT(RIGHT(B145,5),4),物品!B:CU,20,FALSE)</f>
        <v>ReplaceableTextures\\CommandButtons\\BTNIN22.blp</v>
      </c>
      <c r="N145" s="168" t="s">
        <v>83</v>
      </c>
      <c r="O145" s="149" t="s">
        <v>94</v>
      </c>
      <c r="P145" s="27">
        <v>0</v>
      </c>
      <c r="Q145" s="27">
        <v>0</v>
      </c>
      <c r="R145" s="168" t="s">
        <v>83</v>
      </c>
      <c r="S145" s="168" t="s">
        <v>83</v>
      </c>
      <c r="T145" s="168" t="s">
        <v>83</v>
      </c>
      <c r="U145" s="168" t="s">
        <v>83</v>
      </c>
      <c r="V145" s="27"/>
      <c r="W145" s="27" t="s">
        <v>93</v>
      </c>
      <c r="X145" s="27">
        <v>0</v>
      </c>
      <c r="Y145" s="16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8" t="s">
        <v>83</v>
      </c>
      <c r="AF145" s="168" t="s">
        <v>83</v>
      </c>
      <c r="AG145" s="168" t="s">
        <v>83</v>
      </c>
      <c r="AH145" s="168" t="s">
        <v>83</v>
      </c>
      <c r="AI145" s="27"/>
      <c r="AJ145" s="27"/>
      <c r="AK145" s="27">
        <v>1</v>
      </c>
      <c r="AL145" s="27">
        <v>1</v>
      </c>
      <c r="AM145" s="168" t="s">
        <v>83</v>
      </c>
      <c r="AN145" s="27">
        <v>1</v>
      </c>
      <c r="AO145" s="27">
        <v>1</v>
      </c>
      <c r="AP145" s="27">
        <v>1</v>
      </c>
    </row>
    <row r="146" spans="1:42">
      <c r="A146" s="146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8" t="str">
        <f t="shared" si="54"/>
        <v>|CffFFC926大金矿|r</v>
      </c>
      <c r="K146" s="148" t="str">
        <f t="shared" si="55"/>
        <v>金币|Cffffc926+8888~88888|r</v>
      </c>
      <c r="L146" s="27"/>
      <c r="M146" s="149" t="str">
        <f>VLOOKUP(LEFT(RIGHT(B146,5),4),物品!B:CU,20,FALSE)</f>
        <v>ReplaceableTextures\\CommandButtons\\BTNIN23.blp</v>
      </c>
      <c r="N146" s="168" t="s">
        <v>83</v>
      </c>
      <c r="O146" s="149" t="s">
        <v>94</v>
      </c>
      <c r="P146" s="27">
        <v>0</v>
      </c>
      <c r="Q146" s="27">
        <v>0</v>
      </c>
      <c r="R146" s="168" t="s">
        <v>83</v>
      </c>
      <c r="S146" s="168" t="s">
        <v>83</v>
      </c>
      <c r="T146" s="168" t="s">
        <v>83</v>
      </c>
      <c r="U146" s="168" t="s">
        <v>83</v>
      </c>
      <c r="V146" s="27"/>
      <c r="W146" s="27" t="s">
        <v>93</v>
      </c>
      <c r="X146" s="27">
        <v>0</v>
      </c>
      <c r="Y146" s="16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8" t="s">
        <v>83</v>
      </c>
      <c r="AF146" s="168" t="s">
        <v>83</v>
      </c>
      <c r="AG146" s="168" t="s">
        <v>83</v>
      </c>
      <c r="AH146" s="168" t="s">
        <v>83</v>
      </c>
      <c r="AI146" s="27"/>
      <c r="AJ146" s="27"/>
      <c r="AK146" s="27">
        <v>1</v>
      </c>
      <c r="AL146" s="27">
        <v>1</v>
      </c>
      <c r="AM146" s="168" t="s">
        <v>83</v>
      </c>
      <c r="AN146" s="27">
        <v>1</v>
      </c>
      <c r="AO146" s="27">
        <v>1</v>
      </c>
      <c r="AP146" s="27">
        <v>1</v>
      </c>
    </row>
    <row r="147" spans="1:42">
      <c r="A147" s="146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8" t="str">
        <f t="shared" si="54"/>
        <v>|Cff00FF7F培元丹|r</v>
      </c>
      <c r="K147" s="148" t="str">
        <f t="shared" si="55"/>
        <v>攻击|Cffffc926+1000|r</v>
      </c>
      <c r="L147" s="27"/>
      <c r="M147" s="149" t="str">
        <f>VLOOKUP(LEFT(RIGHT(B147,5),4),物品!B:CU,20,FALSE)</f>
        <v>ReplaceableTextures\\CommandButtons\\BTNIN24.blp</v>
      </c>
      <c r="N147" s="168" t="s">
        <v>83</v>
      </c>
      <c r="O147" s="149" t="s">
        <v>94</v>
      </c>
      <c r="P147" s="27">
        <v>0</v>
      </c>
      <c r="Q147" s="27">
        <v>0</v>
      </c>
      <c r="R147" s="168" t="s">
        <v>83</v>
      </c>
      <c r="S147" s="168" t="s">
        <v>83</v>
      </c>
      <c r="T147" s="168" t="s">
        <v>83</v>
      </c>
      <c r="U147" s="168" t="s">
        <v>83</v>
      </c>
      <c r="V147" s="27"/>
      <c r="W147" s="27" t="s">
        <v>93</v>
      </c>
      <c r="X147" s="27">
        <v>0</v>
      </c>
      <c r="Y147" s="16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8" t="s">
        <v>83</v>
      </c>
      <c r="AF147" s="168" t="s">
        <v>83</v>
      </c>
      <c r="AG147" s="168" t="s">
        <v>83</v>
      </c>
      <c r="AH147" s="168" t="s">
        <v>83</v>
      </c>
      <c r="AI147" s="27"/>
      <c r="AJ147" s="27"/>
      <c r="AK147" s="27">
        <v>1</v>
      </c>
      <c r="AL147" s="27">
        <v>1</v>
      </c>
      <c r="AM147" s="168" t="s">
        <v>83</v>
      </c>
      <c r="AN147" s="27">
        <v>1</v>
      </c>
      <c r="AO147" s="27">
        <v>1</v>
      </c>
      <c r="AP147" s="27">
        <v>1</v>
      </c>
    </row>
    <row r="148" spans="1:42">
      <c r="A148" s="146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8" t="str">
        <f t="shared" si="54"/>
        <v>|Cff00BFFF入门道果箱|r</v>
      </c>
      <c r="K148" s="148" t="str">
        <f t="shared" si="55"/>
        <v>打开后有几率获得以下奖励：|n【随机品质】中级道果|n|Cff00ff7f【随机品质】高级道果|r</v>
      </c>
      <c r="L148" s="27"/>
      <c r="M148" s="149" t="str">
        <f>VLOOKUP(LEFT(RIGHT(B148,5),4),物品!B:CU,20,FALSE)</f>
        <v>ReplaceableTextures\\CommandButtons\\BTNAM20.blp</v>
      </c>
      <c r="N148" s="168" t="s">
        <v>83</v>
      </c>
      <c r="O148" s="10" t="s">
        <v>102</v>
      </c>
      <c r="P148" s="27">
        <v>0</v>
      </c>
      <c r="Q148" s="27">
        <v>0</v>
      </c>
      <c r="R148" s="168" t="s">
        <v>83</v>
      </c>
      <c r="S148" s="168" t="s">
        <v>83</v>
      </c>
      <c r="T148" s="168" t="s">
        <v>83</v>
      </c>
      <c r="U148" s="168" t="s">
        <v>83</v>
      </c>
      <c r="V148" s="27"/>
      <c r="W148" s="27" t="s">
        <v>93</v>
      </c>
      <c r="X148" s="27">
        <v>0</v>
      </c>
      <c r="Y148" s="16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8" t="s">
        <v>83</v>
      </c>
      <c r="AF148" s="168" t="s">
        <v>83</v>
      </c>
      <c r="AG148" s="168" t="s">
        <v>83</v>
      </c>
      <c r="AH148" s="168" t="s">
        <v>83</v>
      </c>
      <c r="AI148" s="27"/>
      <c r="AJ148" s="27"/>
      <c r="AK148" s="27">
        <v>1</v>
      </c>
      <c r="AL148" s="27">
        <v>1</v>
      </c>
      <c r="AM148" s="168" t="s">
        <v>83</v>
      </c>
      <c r="AN148" s="27">
        <v>1</v>
      </c>
      <c r="AO148" s="27">
        <v>1</v>
      </c>
      <c r="AP148" s="27">
        <v>1</v>
      </c>
    </row>
    <row r="149" spans="1:42">
      <c r="A149" s="146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8" t="str">
        <f t="shared" si="54"/>
        <v>|CffFFD24D后天道果箱|r</v>
      </c>
      <c r="K149" s="148" t="str">
        <f t="shared" si="55"/>
        <v>打开后有几率获得以下奖励：|n|Cff00ff7f【随机品质】黄级道果|r|n|Cff00bfff【随机品质】玄级道果|n【随机品质】地级道果|r</v>
      </c>
      <c r="L149" s="27"/>
      <c r="M149" s="149" t="str">
        <f>VLOOKUP(LEFT(RIGHT(B149,5),4),物品!B:CU,20,FALSE)</f>
        <v>ReplaceableTextures\\CommandButtons\\BTNAM21.blp</v>
      </c>
      <c r="N149" s="168" t="s">
        <v>83</v>
      </c>
      <c r="O149" s="10" t="s">
        <v>103</v>
      </c>
      <c r="P149" s="27">
        <v>0</v>
      </c>
      <c r="Q149" s="27">
        <v>0</v>
      </c>
      <c r="R149" s="168" t="s">
        <v>83</v>
      </c>
      <c r="S149" s="168" t="s">
        <v>83</v>
      </c>
      <c r="T149" s="168" t="s">
        <v>83</v>
      </c>
      <c r="U149" s="168" t="s">
        <v>83</v>
      </c>
      <c r="V149" s="27"/>
      <c r="W149" s="27" t="s">
        <v>93</v>
      </c>
      <c r="X149" s="27">
        <v>0</v>
      </c>
      <c r="Y149" s="16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8" t="s">
        <v>83</v>
      </c>
      <c r="AF149" s="168" t="s">
        <v>83</v>
      </c>
      <c r="AG149" s="168" t="s">
        <v>83</v>
      </c>
      <c r="AH149" s="168" t="s">
        <v>83</v>
      </c>
      <c r="AI149" s="27"/>
      <c r="AJ149" s="27"/>
      <c r="AK149" s="27">
        <v>1</v>
      </c>
      <c r="AL149" s="27">
        <v>1</v>
      </c>
      <c r="AM149" s="168" t="s">
        <v>83</v>
      </c>
      <c r="AN149" s="27">
        <v>1</v>
      </c>
      <c r="AO149" s="27">
        <v>1</v>
      </c>
      <c r="AP149" s="27">
        <v>1</v>
      </c>
    </row>
    <row r="150" spans="1:42">
      <c r="A150" s="146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8" t="str">
        <f t="shared" si="54"/>
        <v>|CffFF0000先天道果箱|r</v>
      </c>
      <c r="K150" s="148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9" t="str">
        <f>VLOOKUP(LEFT(RIGHT(B150,5),4),物品!B:CU,20,FALSE)</f>
        <v>ReplaceableTextures\\CommandButtons\\BTNAM22.blp</v>
      </c>
      <c r="N150" s="168" t="s">
        <v>83</v>
      </c>
      <c r="O150" s="149" t="s">
        <v>104</v>
      </c>
      <c r="P150" s="27">
        <v>0</v>
      </c>
      <c r="Q150" s="27">
        <v>0</v>
      </c>
      <c r="R150" s="168" t="s">
        <v>83</v>
      </c>
      <c r="S150" s="168" t="s">
        <v>83</v>
      </c>
      <c r="T150" s="168" t="s">
        <v>83</v>
      </c>
      <c r="U150" s="168" t="s">
        <v>83</v>
      </c>
      <c r="V150" s="27"/>
      <c r="W150" s="27" t="s">
        <v>93</v>
      </c>
      <c r="X150" s="27">
        <v>0</v>
      </c>
      <c r="Y150" s="16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8" t="s">
        <v>83</v>
      </c>
      <c r="AF150" s="168" t="s">
        <v>83</v>
      </c>
      <c r="AG150" s="168" t="s">
        <v>83</v>
      </c>
      <c r="AH150" s="168" t="s">
        <v>83</v>
      </c>
      <c r="AI150" s="27"/>
      <c r="AJ150" s="27"/>
      <c r="AK150" s="27">
        <v>1</v>
      </c>
      <c r="AL150" s="27">
        <v>1</v>
      </c>
      <c r="AM150" s="168" t="s">
        <v>83</v>
      </c>
      <c r="AN150" s="27">
        <v>1</v>
      </c>
      <c r="AO150" s="27">
        <v>1</v>
      </c>
      <c r="AP150" s="27">
        <v>1</v>
      </c>
    </row>
    <row r="151" spans="1:42">
      <c r="A151" s="146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8" t="str">
        <f t="shared" ref="J151:J152" si="56">H151</f>
        <v>|CffFFD24D技能宝箱|r</v>
      </c>
      <c r="K151" s="148" t="str">
        <f t="shared" ref="K151:K152" si="57">I151</f>
        <v>使用后获得|Cffffc926随机类型技能升阶石|r</v>
      </c>
      <c r="L151" s="27"/>
      <c r="M151" s="149" t="str">
        <f>VLOOKUP(LEFT(RIGHT(B151,5),4),物品!B:CU,20,FALSE)</f>
        <v>ReplaceableTextures\\CommandButtons\\BTNAM23.blp</v>
      </c>
      <c r="N151" s="168" t="s">
        <v>83</v>
      </c>
      <c r="O151" s="10" t="s">
        <v>103</v>
      </c>
      <c r="P151" s="27">
        <v>0</v>
      </c>
      <c r="Q151" s="27">
        <v>0</v>
      </c>
      <c r="R151" s="168" t="s">
        <v>83</v>
      </c>
      <c r="S151" s="168" t="s">
        <v>83</v>
      </c>
      <c r="T151" s="168" t="s">
        <v>83</v>
      </c>
      <c r="U151" s="168" t="s">
        <v>83</v>
      </c>
      <c r="V151" s="27"/>
      <c r="W151" s="27" t="s">
        <v>93</v>
      </c>
      <c r="X151" s="27">
        <v>0</v>
      </c>
      <c r="Y151" s="16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8" t="s">
        <v>83</v>
      </c>
      <c r="AF151" s="168" t="s">
        <v>83</v>
      </c>
      <c r="AG151" s="168" t="s">
        <v>83</v>
      </c>
      <c r="AH151" s="168" t="s">
        <v>83</v>
      </c>
      <c r="AI151" s="27"/>
      <c r="AJ151" s="27"/>
      <c r="AK151" s="27">
        <v>1</v>
      </c>
      <c r="AL151" s="27">
        <v>1</v>
      </c>
      <c r="AM151" s="168" t="s">
        <v>83</v>
      </c>
      <c r="AN151" s="27">
        <v>1</v>
      </c>
      <c r="AO151" s="27">
        <v>1</v>
      </c>
      <c r="AP151" s="27">
        <v>1</v>
      </c>
    </row>
    <row r="152" spans="1:42">
      <c r="A152" s="146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8" t="str">
        <f t="shared" si="56"/>
        <v>|CffFFD24D附魔宝箱|r</v>
      </c>
      <c r="K152" s="148" t="str">
        <f t="shared" si="57"/>
        <v>使用后获得|Cffffc926随机类型技能附魔石|r</v>
      </c>
      <c r="L152" s="27"/>
      <c r="M152" s="149" t="str">
        <f>VLOOKUP(LEFT(RIGHT(B152,5),4),物品!B:CU,20,FALSE)</f>
        <v>ReplaceableTextures\\CommandButtons\\BTNAM24.blp</v>
      </c>
      <c r="N152" s="168" t="s">
        <v>83</v>
      </c>
      <c r="O152" s="10" t="s">
        <v>103</v>
      </c>
      <c r="P152" s="27">
        <v>0</v>
      </c>
      <c r="Q152" s="27">
        <v>0</v>
      </c>
      <c r="R152" s="168" t="s">
        <v>83</v>
      </c>
      <c r="S152" s="168" t="s">
        <v>83</v>
      </c>
      <c r="T152" s="168" t="s">
        <v>83</v>
      </c>
      <c r="U152" s="168" t="s">
        <v>83</v>
      </c>
      <c r="V152" s="27"/>
      <c r="W152" s="27" t="s">
        <v>93</v>
      </c>
      <c r="X152" s="27">
        <v>0</v>
      </c>
      <c r="Y152" s="168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8" t="s">
        <v>83</v>
      </c>
      <c r="AF152" s="168" t="s">
        <v>83</v>
      </c>
      <c r="AG152" s="168" t="s">
        <v>83</v>
      </c>
      <c r="AH152" s="168" t="s">
        <v>83</v>
      </c>
      <c r="AI152" s="27"/>
      <c r="AJ152" s="27"/>
      <c r="AK152" s="27">
        <v>1</v>
      </c>
      <c r="AL152" s="27">
        <v>1</v>
      </c>
      <c r="AM152" s="168" t="s">
        <v>83</v>
      </c>
      <c r="AN152" s="27">
        <v>1</v>
      </c>
      <c r="AO152" s="27">
        <v>1</v>
      </c>
      <c r="AP152" s="27">
        <v>1</v>
      </c>
    </row>
    <row r="153" spans="1:42">
      <c r="A153" s="146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8" t="str">
        <f t="shared" ref="J153:J154" si="58">H153</f>
        <v>|Cff00FF7F幸运星盒|r</v>
      </c>
      <c r="K153" s="148" t="str">
        <f t="shared" ref="K153:K154" si="59">I153</f>
        <v>开启后获得|Cff00bfff随机奖励|r。</v>
      </c>
      <c r="L153" s="27"/>
      <c r="M153" s="149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8" t="s">
        <v>83</v>
      </c>
      <c r="S153" s="168" t="s">
        <v>83</v>
      </c>
      <c r="T153" s="168" t="s">
        <v>83</v>
      </c>
      <c r="U153" s="168" t="s">
        <v>83</v>
      </c>
      <c r="V153" s="27"/>
      <c r="W153" s="27" t="s">
        <v>93</v>
      </c>
      <c r="X153" s="27">
        <v>0</v>
      </c>
      <c r="Y153" s="168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8" t="s">
        <v>83</v>
      </c>
      <c r="AF153" s="168" t="s">
        <v>83</v>
      </c>
      <c r="AG153" s="168" t="s">
        <v>83</v>
      </c>
      <c r="AH153" s="168" t="s">
        <v>83</v>
      </c>
      <c r="AI153" s="27"/>
      <c r="AJ153" s="27"/>
      <c r="AK153" s="27">
        <v>1</v>
      </c>
      <c r="AL153" s="27">
        <v>1</v>
      </c>
      <c r="AM153" s="168" t="s">
        <v>83</v>
      </c>
      <c r="AN153" s="27">
        <v>1</v>
      </c>
      <c r="AO153" s="27">
        <v>1</v>
      </c>
      <c r="AP153" s="27">
        <v>1</v>
      </c>
    </row>
    <row r="154" spans="1:42">
      <c r="A154" s="146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8" t="str">
        <f t="shared" si="58"/>
        <v>|CffFFD24D炽星魔盒|r</v>
      </c>
      <c r="K154" s="148" t="str">
        <f t="shared" si="59"/>
        <v>开启后获得|Cffffd24d随机奖励|r。</v>
      </c>
      <c r="L154" s="27"/>
      <c r="M154" s="149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8" t="s">
        <v>83</v>
      </c>
      <c r="S154" s="168" t="s">
        <v>83</v>
      </c>
      <c r="T154" s="168" t="s">
        <v>83</v>
      </c>
      <c r="U154" s="168" t="s">
        <v>83</v>
      </c>
      <c r="V154" s="27"/>
      <c r="W154" s="27" t="s">
        <v>93</v>
      </c>
      <c r="X154" s="27">
        <v>0</v>
      </c>
      <c r="Y154" s="168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8" t="s">
        <v>83</v>
      </c>
      <c r="AF154" s="168" t="s">
        <v>83</v>
      </c>
      <c r="AG154" s="168" t="s">
        <v>83</v>
      </c>
      <c r="AH154" s="168" t="s">
        <v>83</v>
      </c>
      <c r="AI154" s="27"/>
      <c r="AJ154" s="27"/>
      <c r="AK154" s="27">
        <v>1</v>
      </c>
      <c r="AL154" s="27">
        <v>1</v>
      </c>
      <c r="AM154" s="168" t="s">
        <v>83</v>
      </c>
      <c r="AN154" s="27">
        <v>1</v>
      </c>
      <c r="AO154" s="27">
        <v>1</v>
      </c>
      <c r="AP154" s="27">
        <v>1</v>
      </c>
    </row>
    <row r="155" spans="1:42">
      <c r="A155" s="146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8" t="str">
        <f t="shared" ref="J155" si="60">H155</f>
        <v>|CffFFD24D技能宝箱|r</v>
      </c>
      <c r="K155" s="148" t="str">
        <f t="shared" ref="K155" si="61">I155</f>
        <v>使用后获得|Cffffc926随机类型技能升阶石|r</v>
      </c>
      <c r="L155" s="27"/>
      <c r="M155" s="149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8" t="s">
        <v>83</v>
      </c>
      <c r="S155" s="168" t="s">
        <v>83</v>
      </c>
      <c r="T155" s="168" t="s">
        <v>83</v>
      </c>
      <c r="U155" s="168" t="s">
        <v>83</v>
      </c>
      <c r="V155" s="27"/>
      <c r="W155" s="27" t="s">
        <v>93</v>
      </c>
      <c r="X155" s="27">
        <v>0</v>
      </c>
      <c r="Y155" s="16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8" t="s">
        <v>83</v>
      </c>
      <c r="AF155" s="168" t="s">
        <v>83</v>
      </c>
      <c r="AG155" s="168" t="s">
        <v>83</v>
      </c>
      <c r="AH155" s="168" t="s">
        <v>83</v>
      </c>
      <c r="AI155" s="27"/>
      <c r="AJ155" s="27"/>
      <c r="AK155" s="27">
        <v>1</v>
      </c>
      <c r="AL155" s="27">
        <v>1</v>
      </c>
      <c r="AM155" s="168" t="s">
        <v>83</v>
      </c>
      <c r="AN155" s="27">
        <v>1</v>
      </c>
      <c r="AO155" s="27">
        <v>1</v>
      </c>
      <c r="AP155" s="27">
        <v>1</v>
      </c>
    </row>
    <row r="156" spans="1:42">
      <c r="A156" s="146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8" t="str">
        <f t="shared" ref="J156:J159" si="62">H156</f>
        <v>|Cff00BFFF血莲丹|r</v>
      </c>
      <c r="K156" s="148" t="str">
        <f t="shared" ref="K156:K159" si="63">I156</f>
        <v>攻击|Cffffc926+2500|r</v>
      </c>
      <c r="L156" s="27"/>
      <c r="M156" s="149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8" t="s">
        <v>83</v>
      </c>
      <c r="S156" s="168" t="s">
        <v>83</v>
      </c>
      <c r="T156" s="168" t="s">
        <v>83</v>
      </c>
      <c r="U156" s="168" t="s">
        <v>83</v>
      </c>
      <c r="V156" s="27"/>
      <c r="W156" s="27" t="s">
        <v>93</v>
      </c>
      <c r="X156" s="27">
        <v>0</v>
      </c>
      <c r="Y156" s="16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8" t="s">
        <v>83</v>
      </c>
      <c r="AF156" s="168" t="s">
        <v>83</v>
      </c>
      <c r="AG156" s="168" t="s">
        <v>83</v>
      </c>
      <c r="AH156" s="168" t="s">
        <v>83</v>
      </c>
      <c r="AI156" s="27"/>
      <c r="AJ156" s="27"/>
      <c r="AK156" s="27">
        <v>1</v>
      </c>
      <c r="AL156" s="27">
        <v>1</v>
      </c>
      <c r="AM156" s="168" t="s">
        <v>83</v>
      </c>
      <c r="AN156" s="27">
        <v>1</v>
      </c>
      <c r="AO156" s="27">
        <v>1</v>
      </c>
      <c r="AP156" s="27">
        <v>1</v>
      </c>
    </row>
    <row r="157" spans="1:42">
      <c r="A157" s="146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8" t="str">
        <f t="shared" si="62"/>
        <v>|CffFFC926天魂融血丹|r</v>
      </c>
      <c r="K157" s="148" t="str">
        <f t="shared" si="63"/>
        <v>攻击|Cffffc926+10000|r</v>
      </c>
      <c r="L157" s="27"/>
      <c r="M157" s="149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8" t="s">
        <v>83</v>
      </c>
      <c r="S157" s="168" t="s">
        <v>83</v>
      </c>
      <c r="T157" s="168" t="s">
        <v>83</v>
      </c>
      <c r="U157" s="168" t="s">
        <v>83</v>
      </c>
      <c r="V157" s="27"/>
      <c r="W157" s="27" t="s">
        <v>93</v>
      </c>
      <c r="X157" s="27">
        <v>0</v>
      </c>
      <c r="Y157" s="16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8" t="s">
        <v>83</v>
      </c>
      <c r="AF157" s="168" t="s">
        <v>83</v>
      </c>
      <c r="AG157" s="168" t="s">
        <v>83</v>
      </c>
      <c r="AH157" s="168" t="s">
        <v>83</v>
      </c>
      <c r="AI157" s="27"/>
      <c r="AJ157" s="27"/>
      <c r="AK157" s="27">
        <v>1</v>
      </c>
      <c r="AL157" s="27">
        <v>1</v>
      </c>
      <c r="AM157" s="168" t="s">
        <v>83</v>
      </c>
      <c r="AN157" s="27">
        <v>1</v>
      </c>
      <c r="AO157" s="27">
        <v>1</v>
      </c>
      <c r="AP157" s="27">
        <v>1</v>
      </c>
    </row>
    <row r="158" spans="1:42">
      <c r="A158" s="146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8" t="str">
        <f t="shared" si="62"/>
        <v>|Cff00FF7F聚灵丹|r</v>
      </c>
      <c r="K158" s="148" t="str">
        <f t="shared" si="63"/>
        <v>业力|Cffffc926+1000|r</v>
      </c>
      <c r="L158" s="27"/>
      <c r="M158" s="149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8" t="s">
        <v>83</v>
      </c>
      <c r="S158" s="168" t="s">
        <v>83</v>
      </c>
      <c r="T158" s="168" t="s">
        <v>83</v>
      </c>
      <c r="U158" s="168" t="s">
        <v>83</v>
      </c>
      <c r="V158" s="27"/>
      <c r="W158" s="27" t="s">
        <v>93</v>
      </c>
      <c r="X158" s="27">
        <v>0</v>
      </c>
      <c r="Y158" s="16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8" t="s">
        <v>83</v>
      </c>
      <c r="AF158" s="168" t="s">
        <v>83</v>
      </c>
      <c r="AG158" s="168" t="s">
        <v>83</v>
      </c>
      <c r="AH158" s="168" t="s">
        <v>83</v>
      </c>
      <c r="AI158" s="27"/>
      <c r="AJ158" s="27"/>
      <c r="AK158" s="27">
        <v>1</v>
      </c>
      <c r="AL158" s="27">
        <v>1</v>
      </c>
      <c r="AM158" s="168" t="s">
        <v>83</v>
      </c>
      <c r="AN158" s="27">
        <v>1</v>
      </c>
      <c r="AO158" s="27">
        <v>1</v>
      </c>
      <c r="AP158" s="27">
        <v>1</v>
      </c>
    </row>
    <row r="159" spans="1:42">
      <c r="A159" s="146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8" t="str">
        <f t="shared" si="62"/>
        <v>|Cff00BFFF地灵丹|r</v>
      </c>
      <c r="K159" s="148" t="str">
        <f t="shared" si="63"/>
        <v>业力|Cffffc926+2500|r</v>
      </c>
      <c r="L159" s="27"/>
      <c r="M159" s="149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8" t="s">
        <v>83</v>
      </c>
      <c r="S159" s="168" t="s">
        <v>83</v>
      </c>
      <c r="T159" s="168" t="s">
        <v>83</v>
      </c>
      <c r="U159" s="168" t="s">
        <v>83</v>
      </c>
      <c r="V159" s="27"/>
      <c r="W159" s="27" t="s">
        <v>93</v>
      </c>
      <c r="X159" s="27">
        <v>0</v>
      </c>
      <c r="Y159" s="16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8" t="s">
        <v>83</v>
      </c>
      <c r="AF159" s="168" t="s">
        <v>83</v>
      </c>
      <c r="AG159" s="168" t="s">
        <v>83</v>
      </c>
      <c r="AH159" s="168" t="s">
        <v>83</v>
      </c>
      <c r="AI159" s="27"/>
      <c r="AJ159" s="27"/>
      <c r="AK159" s="27">
        <v>1</v>
      </c>
      <c r="AL159" s="27">
        <v>1</v>
      </c>
      <c r="AM159" s="168" t="s">
        <v>83</v>
      </c>
      <c r="AN159" s="27">
        <v>1</v>
      </c>
      <c r="AO159" s="27">
        <v>1</v>
      </c>
      <c r="AP159" s="27">
        <v>1</v>
      </c>
    </row>
    <row r="160" spans="1:42">
      <c r="A160" s="146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8" t="str">
        <f t="shared" ref="J160:J161" si="64">H160</f>
        <v>|CffFFC926三纹清灵丹|r</v>
      </c>
      <c r="K160" s="148" t="str">
        <f t="shared" ref="K160:K161" si="65">I160</f>
        <v>业力|Cffffc926+10000|r</v>
      </c>
      <c r="L160" s="27"/>
      <c r="M160" s="149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8" t="s">
        <v>83</v>
      </c>
      <c r="S160" s="168" t="s">
        <v>83</v>
      </c>
      <c r="T160" s="168" t="s">
        <v>83</v>
      </c>
      <c r="U160" s="168" t="s">
        <v>83</v>
      </c>
      <c r="V160" s="27"/>
      <c r="W160" s="27" t="s">
        <v>93</v>
      </c>
      <c r="X160" s="27">
        <v>0</v>
      </c>
      <c r="Y160" s="16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8" t="s">
        <v>83</v>
      </c>
      <c r="AF160" s="168" t="s">
        <v>83</v>
      </c>
      <c r="AG160" s="168" t="s">
        <v>83</v>
      </c>
      <c r="AH160" s="168" t="s">
        <v>83</v>
      </c>
      <c r="AI160" s="27"/>
      <c r="AJ160" s="27"/>
      <c r="AK160" s="27">
        <v>1</v>
      </c>
      <c r="AL160" s="27">
        <v>1</v>
      </c>
      <c r="AM160" s="168" t="s">
        <v>83</v>
      </c>
      <c r="AN160" s="27">
        <v>1</v>
      </c>
      <c r="AO160" s="27">
        <v>1</v>
      </c>
      <c r="AP160" s="27">
        <v>1</v>
      </c>
    </row>
    <row r="161" spans="1:42">
      <c r="A161" s="146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8" t="str">
        <f t="shared" si="64"/>
        <v>|Cff00FF7F血气丹|r</v>
      </c>
      <c r="K161" s="148" t="str">
        <f t="shared" si="65"/>
        <v>生命|Cffffc926+20000|r</v>
      </c>
      <c r="L161" s="27"/>
      <c r="M161" s="149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8" t="s">
        <v>83</v>
      </c>
      <c r="S161" s="168" t="s">
        <v>83</v>
      </c>
      <c r="T161" s="168" t="s">
        <v>83</v>
      </c>
      <c r="U161" s="168" t="s">
        <v>83</v>
      </c>
      <c r="V161" s="27"/>
      <c r="W161" s="27" t="s">
        <v>93</v>
      </c>
      <c r="X161" s="27">
        <v>0</v>
      </c>
      <c r="Y161" s="16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8" t="s">
        <v>83</v>
      </c>
      <c r="AF161" s="168" t="s">
        <v>83</v>
      </c>
      <c r="AG161" s="168" t="s">
        <v>83</v>
      </c>
      <c r="AH161" s="168" t="s">
        <v>83</v>
      </c>
      <c r="AI161" s="27"/>
      <c r="AJ161" s="27"/>
      <c r="AK161" s="27">
        <v>1</v>
      </c>
      <c r="AL161" s="27">
        <v>1</v>
      </c>
      <c r="AM161" s="168" t="s">
        <v>83</v>
      </c>
      <c r="AN161" s="27">
        <v>1</v>
      </c>
      <c r="AO161" s="27">
        <v>1</v>
      </c>
      <c r="AP161" s="27">
        <v>1</v>
      </c>
    </row>
    <row r="162" spans="1:42">
      <c r="A162" s="146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8" t="str">
        <f t="shared" ref="J162" si="66">H162</f>
        <v>|Cff00BFFF洗髓丹|r</v>
      </c>
      <c r="K162" s="148" t="str">
        <f t="shared" ref="K162" si="67">I162</f>
        <v>生命|Cffffc926+50000|r</v>
      </c>
      <c r="L162" s="27"/>
      <c r="M162" s="149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8" t="s">
        <v>83</v>
      </c>
      <c r="S162" s="168" t="s">
        <v>83</v>
      </c>
      <c r="T162" s="168" t="s">
        <v>83</v>
      </c>
      <c r="U162" s="168" t="s">
        <v>83</v>
      </c>
      <c r="V162" s="27"/>
      <c r="W162" s="27" t="s">
        <v>93</v>
      </c>
      <c r="X162" s="27">
        <v>0</v>
      </c>
      <c r="Y162" s="16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8" t="s">
        <v>83</v>
      </c>
      <c r="AF162" s="168" t="s">
        <v>83</v>
      </c>
      <c r="AG162" s="168" t="s">
        <v>83</v>
      </c>
      <c r="AH162" s="168" t="s">
        <v>83</v>
      </c>
      <c r="AI162" s="27"/>
      <c r="AJ162" s="27"/>
      <c r="AK162" s="27">
        <v>1</v>
      </c>
      <c r="AL162" s="27">
        <v>1</v>
      </c>
      <c r="AM162" s="168" t="s">
        <v>83</v>
      </c>
      <c r="AN162" s="27">
        <v>1</v>
      </c>
      <c r="AO162" s="27">
        <v>1</v>
      </c>
      <c r="AP162" s="27">
        <v>1</v>
      </c>
    </row>
    <row r="163" spans="1:42">
      <c r="A163" s="146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8" t="str">
        <f t="shared" ref="J163" si="68">H163</f>
        <v>|CffFFC926七命玄门丹|r</v>
      </c>
      <c r="K163" s="148" t="str">
        <f t="shared" ref="K163" si="69">I163</f>
        <v>生命|Cffffc926+200000|r</v>
      </c>
      <c r="L163" s="27"/>
      <c r="M163" s="149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8" t="s">
        <v>83</v>
      </c>
      <c r="S163" s="168" t="s">
        <v>83</v>
      </c>
      <c r="T163" s="168" t="s">
        <v>83</v>
      </c>
      <c r="U163" s="168" t="s">
        <v>83</v>
      </c>
      <c r="V163" s="27"/>
      <c r="W163" s="27" t="s">
        <v>93</v>
      </c>
      <c r="X163" s="27">
        <v>0</v>
      </c>
      <c r="Y163" s="168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8" t="s">
        <v>83</v>
      </c>
      <c r="AF163" s="168" t="s">
        <v>83</v>
      </c>
      <c r="AG163" s="168" t="s">
        <v>83</v>
      </c>
      <c r="AH163" s="168" t="s">
        <v>83</v>
      </c>
      <c r="AI163" s="27"/>
      <c r="AJ163" s="27"/>
      <c r="AK163" s="27">
        <v>1</v>
      </c>
      <c r="AL163" s="27">
        <v>1</v>
      </c>
      <c r="AM163" s="168" t="s">
        <v>83</v>
      </c>
      <c r="AN163" s="27">
        <v>1</v>
      </c>
      <c r="AO163" s="27">
        <v>1</v>
      </c>
      <c r="AP163" s="27">
        <v>1</v>
      </c>
    </row>
    <row r="164" spans="1:42">
      <c r="A164" s="146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8" t="str">
        <f t="shared" ref="J164" si="70">H164</f>
        <v>|CffFF0000时渊入场券|r</v>
      </c>
      <c r="K164" s="148" t="str">
        <f t="shared" ref="K164" si="71">I164</f>
        <v>每次|Cffffd24d完成|r时渊副本将消耗|Cffffd24d1|r个|Cffffd24d时渊入场券|r</v>
      </c>
      <c r="L164" s="27"/>
      <c r="M164" s="149" t="str">
        <f>VLOOKUP(LEFT(RIGHT(B164,5),4),物品!B:CU,20,FALSE)</f>
        <v>ReplaceableTextures\\CommandButtons\\BTNIP01.blp</v>
      </c>
      <c r="N164" s="168" t="s">
        <v>83</v>
      </c>
      <c r="O164" s="149" t="s">
        <v>95</v>
      </c>
      <c r="P164" s="27">
        <v>0</v>
      </c>
      <c r="Q164" s="27">
        <v>0</v>
      </c>
      <c r="R164" s="168" t="s">
        <v>83</v>
      </c>
      <c r="S164" s="168" t="s">
        <v>83</v>
      </c>
      <c r="T164" s="168" t="s">
        <v>83</v>
      </c>
      <c r="U164" s="168" t="s">
        <v>83</v>
      </c>
      <c r="V164" s="27"/>
      <c r="W164" s="27" t="s">
        <v>88</v>
      </c>
      <c r="X164" s="27">
        <v>0</v>
      </c>
      <c r="Y164" s="168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8" t="s">
        <v>83</v>
      </c>
      <c r="AF164" s="168" t="s">
        <v>83</v>
      </c>
      <c r="AG164" s="168" t="s">
        <v>83</v>
      </c>
      <c r="AH164" s="168" t="s">
        <v>83</v>
      </c>
      <c r="AI164" s="27">
        <v>1</v>
      </c>
      <c r="AJ164" s="27"/>
      <c r="AK164" s="27">
        <v>1</v>
      </c>
      <c r="AL164" s="27">
        <v>1</v>
      </c>
      <c r="AM164" s="168" t="s">
        <v>83</v>
      </c>
      <c r="AN164" s="27">
        <v>1</v>
      </c>
      <c r="AO164" s="27">
        <v>1</v>
      </c>
      <c r="AP164" s="27">
        <v>1</v>
      </c>
    </row>
    <row r="165" spans="1:42">
      <c r="A165" s="146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8" t="str">
        <f t="shared" ref="J165:J187" si="72">H165</f>
        <v>|CffFFD24D补天石|r</v>
      </c>
      <c r="K165" s="148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9" t="str">
        <f>VLOOKUP(LEFT(RIGHT(B165,5),4),物品!B:CU,20,FALSE)</f>
        <v>ReplaceableTextures\\CommandButtons\\BTNIP02.blp</v>
      </c>
      <c r="N165" s="168" t="s">
        <v>83</v>
      </c>
      <c r="O165" s="149" t="s">
        <v>95</v>
      </c>
      <c r="P165" s="27">
        <v>0</v>
      </c>
      <c r="Q165" s="27">
        <v>0</v>
      </c>
      <c r="R165" s="168" t="s">
        <v>83</v>
      </c>
      <c r="S165" s="168" t="s">
        <v>83</v>
      </c>
      <c r="T165" s="168" t="s">
        <v>83</v>
      </c>
      <c r="U165" s="168" t="s">
        <v>83</v>
      </c>
      <c r="V165" s="27"/>
      <c r="W165" s="27" t="s">
        <v>88</v>
      </c>
      <c r="X165" s="27">
        <v>0</v>
      </c>
      <c r="Y165" s="168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8" t="s">
        <v>83</v>
      </c>
      <c r="AF165" s="168" t="s">
        <v>83</v>
      </c>
      <c r="AG165" s="168" t="s">
        <v>83</v>
      </c>
      <c r="AH165" s="168" t="s">
        <v>83</v>
      </c>
      <c r="AI165" s="27">
        <v>1</v>
      </c>
      <c r="AJ165" s="27"/>
      <c r="AK165" s="27">
        <v>1</v>
      </c>
      <c r="AL165" s="27">
        <v>1</v>
      </c>
      <c r="AM165" s="168" t="s">
        <v>83</v>
      </c>
      <c r="AN165" s="27">
        <v>1</v>
      </c>
      <c r="AO165" s="27">
        <v>1</v>
      </c>
      <c r="AP165" s="27">
        <v>1</v>
      </c>
    </row>
    <row r="166" spans="1:42">
      <c r="A166" s="146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8" t="str">
        <f t="shared" si="72"/>
        <v>|CffFF0000鸿蒙结晶|r</v>
      </c>
      <c r="K166" s="148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9" t="str">
        <f>VLOOKUP(LEFT(RIGHT(B166,5),4),物品!B:CU,20,FALSE)</f>
        <v>ReplaceableTextures\\CommandButtons\\BTNIP03.blp</v>
      </c>
      <c r="N166" s="168" t="s">
        <v>83</v>
      </c>
      <c r="O166" s="149" t="s">
        <v>95</v>
      </c>
      <c r="P166" s="27">
        <v>0</v>
      </c>
      <c r="Q166" s="27">
        <v>0</v>
      </c>
      <c r="R166" s="168" t="s">
        <v>83</v>
      </c>
      <c r="S166" s="168" t="s">
        <v>83</v>
      </c>
      <c r="T166" s="168" t="s">
        <v>83</v>
      </c>
      <c r="U166" s="168" t="s">
        <v>83</v>
      </c>
      <c r="V166" s="27"/>
      <c r="W166" s="27" t="s">
        <v>88</v>
      </c>
      <c r="X166" s="27">
        <v>0</v>
      </c>
      <c r="Y166" s="168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8" t="s">
        <v>83</v>
      </c>
      <c r="AF166" s="168" t="s">
        <v>83</v>
      </c>
      <c r="AG166" s="168" t="s">
        <v>83</v>
      </c>
      <c r="AH166" s="168" t="s">
        <v>83</v>
      </c>
      <c r="AI166" s="27">
        <v>1</v>
      </c>
      <c r="AJ166" s="27"/>
      <c r="AK166" s="27">
        <v>1</v>
      </c>
      <c r="AL166" s="27">
        <v>1</v>
      </c>
      <c r="AM166" s="168" t="s">
        <v>83</v>
      </c>
      <c r="AN166" s="27">
        <v>1</v>
      </c>
      <c r="AO166" s="27">
        <v>1</v>
      </c>
      <c r="AP166" s="27">
        <v>1</v>
      </c>
    </row>
    <row r="167" spans="1:42">
      <c r="A167" s="146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8" t="str">
        <f t="shared" ref="J167:J168" si="74">H167</f>
        <v>|CffFF0000神兽洗灵石|r</v>
      </c>
      <c r="K167" s="148" t="str">
        <f t="shared" ref="K167:K168" si="75">I167</f>
        <v>使用后|Cffffc926重置|r当前|Cffff0000觉醒神通【R】|r|Cfff0f0f0。|r</v>
      </c>
      <c r="L167" s="27"/>
      <c r="M167" s="149" t="str">
        <f>VLOOKUP(LEFT(RIGHT(B167,5),4),物品!B:CU,20,FALSE)</f>
        <v>ReplaceableTextures\\CommandButtons\\BTNIN08.blp</v>
      </c>
      <c r="N167" s="168" t="s">
        <v>83</v>
      </c>
      <c r="O167" s="149" t="s">
        <v>95</v>
      </c>
      <c r="P167" s="27">
        <v>0</v>
      </c>
      <c r="Q167" s="27">
        <v>0</v>
      </c>
      <c r="R167" s="168" t="s">
        <v>83</v>
      </c>
      <c r="S167" s="168" t="s">
        <v>83</v>
      </c>
      <c r="T167" s="168" t="s">
        <v>83</v>
      </c>
      <c r="U167" s="168" t="s">
        <v>83</v>
      </c>
      <c r="V167" s="27"/>
      <c r="W167" s="27" t="s">
        <v>93</v>
      </c>
      <c r="X167" s="27">
        <v>80000</v>
      </c>
      <c r="Y167" s="168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8" t="s">
        <v>83</v>
      </c>
      <c r="AF167" s="168" t="s">
        <v>83</v>
      </c>
      <c r="AG167" s="168" t="s">
        <v>83</v>
      </c>
      <c r="AH167" s="168" t="s">
        <v>83</v>
      </c>
      <c r="AI167" s="27"/>
      <c r="AJ167" s="27"/>
      <c r="AK167" s="27">
        <v>1</v>
      </c>
      <c r="AL167" s="27">
        <v>1</v>
      </c>
      <c r="AM167" s="168" t="s">
        <v>83</v>
      </c>
      <c r="AN167" s="27">
        <v>1</v>
      </c>
      <c r="AO167" s="27">
        <v>1</v>
      </c>
      <c r="AP167" s="27">
        <v>1</v>
      </c>
    </row>
    <row r="168" spans="1:42">
      <c r="A168" s="146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8" t="str">
        <f t="shared" si="74"/>
        <v>|CffFF0000虚空圣战卡|r</v>
      </c>
      <c r="K168" s="148" t="str">
        <f t="shared" si="75"/>
        <v>开启|Cffffc926结界|r，前往虚空终止|Cffff0000封神圣战|r。</v>
      </c>
      <c r="L168" s="27"/>
      <c r="M168" s="149" t="str">
        <f>VLOOKUP(LEFT(RIGHT(B168,5),4),物品!B:CU,20,FALSE)</f>
        <v>ReplaceableTextures\\CommandButtons\\BTNIP05.blp</v>
      </c>
      <c r="N168" s="168" t="s">
        <v>83</v>
      </c>
      <c r="O168" s="149" t="s">
        <v>95</v>
      </c>
      <c r="P168" s="27">
        <v>0</v>
      </c>
      <c r="Q168" s="27">
        <v>0</v>
      </c>
      <c r="R168" s="168" t="s">
        <v>83</v>
      </c>
      <c r="S168" s="168" t="s">
        <v>83</v>
      </c>
      <c r="T168" s="168" t="s">
        <v>83</v>
      </c>
      <c r="U168" s="168" t="s">
        <v>83</v>
      </c>
      <c r="V168" s="27"/>
      <c r="W168" s="27" t="s">
        <v>93</v>
      </c>
      <c r="X168" s="27">
        <v>0</v>
      </c>
      <c r="Y168" s="168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8" t="s">
        <v>83</v>
      </c>
      <c r="AF168" s="168" t="s">
        <v>83</v>
      </c>
      <c r="AG168" s="168" t="s">
        <v>83</v>
      </c>
      <c r="AH168" s="168" t="s">
        <v>83</v>
      </c>
      <c r="AI168" s="27"/>
      <c r="AJ168" s="27"/>
      <c r="AK168" s="27">
        <v>1</v>
      </c>
      <c r="AL168" s="27">
        <v>1</v>
      </c>
      <c r="AM168" s="168" t="s">
        <v>83</v>
      </c>
      <c r="AN168" s="27">
        <v>1</v>
      </c>
      <c r="AO168" s="27">
        <v>1</v>
      </c>
      <c r="AP168" s="27">
        <v>1</v>
      </c>
    </row>
    <row r="169" spans="1:42">
      <c r="A169" s="146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8" t="str">
        <f t="shared" ref="J169:J170" si="76">H169</f>
        <v>|Cff00FF7F大补丸|r</v>
      </c>
      <c r="K169" s="148" t="str">
        <f t="shared" ref="K169:K170" si="77">I169</f>
        <v>使用后增加|Cffffd24d100点|r境界经验。</v>
      </c>
      <c r="L169" s="27"/>
      <c r="M169" s="149" t="str">
        <f>VLOOKUP(LEFT(RIGHT(B169,5),4),物品!B:CU,20,FALSE)</f>
        <v>ReplaceableTextures\\CommandButtons\\BTNAM40.blp</v>
      </c>
      <c r="N169" s="168" t="s">
        <v>83</v>
      </c>
      <c r="O169" s="149" t="s">
        <v>95</v>
      </c>
      <c r="P169" s="27">
        <v>0</v>
      </c>
      <c r="Q169" s="27">
        <v>0</v>
      </c>
      <c r="R169" s="168" t="s">
        <v>83</v>
      </c>
      <c r="S169" s="168" t="s">
        <v>83</v>
      </c>
      <c r="T169" s="168" t="s">
        <v>83</v>
      </c>
      <c r="U169" s="168" t="s">
        <v>83</v>
      </c>
      <c r="V169" s="27"/>
      <c r="W169" s="27" t="s">
        <v>93</v>
      </c>
      <c r="X169" s="27">
        <v>0</v>
      </c>
      <c r="Y169" s="168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8" t="s">
        <v>83</v>
      </c>
      <c r="AF169" s="168" t="s">
        <v>83</v>
      </c>
      <c r="AG169" s="168" t="s">
        <v>83</v>
      </c>
      <c r="AH169" s="168" t="s">
        <v>83</v>
      </c>
      <c r="AI169" s="27"/>
      <c r="AJ169" s="27"/>
      <c r="AK169" s="27">
        <v>1</v>
      </c>
      <c r="AL169" s="27">
        <v>1</v>
      </c>
      <c r="AM169" s="168" t="s">
        <v>83</v>
      </c>
      <c r="AN169" s="27">
        <v>1</v>
      </c>
      <c r="AO169" s="27">
        <v>1</v>
      </c>
      <c r="AP169" s="27">
        <v>1</v>
      </c>
    </row>
    <row r="170" spans="1:42">
      <c r="A170" s="146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8" t="str">
        <f t="shared" si="76"/>
        <v>|Cff00FF7F抽奖抵用券|r</v>
      </c>
      <c r="K170" s="148" t="str">
        <f t="shared" si="77"/>
        <v>可抵扣|Cffffd24d1|r次抽奖消耗</v>
      </c>
      <c r="L170" s="27"/>
      <c r="M170" s="149" t="str">
        <f>VLOOKUP(LEFT(RIGHT(B170,5),4),物品!B:CU,20,FALSE)</f>
        <v>ReplaceableTextures\\CommandButtons\\BTNIP07.blp</v>
      </c>
      <c r="N170" s="168" t="s">
        <v>83</v>
      </c>
      <c r="O170" s="149" t="s">
        <v>95</v>
      </c>
      <c r="P170" s="27">
        <v>0</v>
      </c>
      <c r="Q170" s="27">
        <v>0</v>
      </c>
      <c r="R170" s="168" t="s">
        <v>83</v>
      </c>
      <c r="S170" s="168" t="s">
        <v>83</v>
      </c>
      <c r="T170" s="168" t="s">
        <v>83</v>
      </c>
      <c r="U170" s="168" t="s">
        <v>83</v>
      </c>
      <c r="V170" s="27"/>
      <c r="W170" s="27" t="s">
        <v>93</v>
      </c>
      <c r="X170" s="27">
        <v>0</v>
      </c>
      <c r="Y170" s="168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8" t="s">
        <v>83</v>
      </c>
      <c r="AF170" s="168" t="s">
        <v>83</v>
      </c>
      <c r="AG170" s="168" t="s">
        <v>83</v>
      </c>
      <c r="AH170" s="168" t="s">
        <v>83</v>
      </c>
      <c r="AI170" s="27"/>
      <c r="AJ170" s="27"/>
      <c r="AK170" s="27">
        <v>1</v>
      </c>
      <c r="AL170" s="27">
        <v>1</v>
      </c>
      <c r="AM170" s="168" t="s">
        <v>83</v>
      </c>
      <c r="AN170" s="27">
        <v>1</v>
      </c>
      <c r="AO170" s="27">
        <v>1</v>
      </c>
      <c r="AP170" s="27">
        <v>1</v>
      </c>
    </row>
    <row r="171" spans="1:42">
      <c r="A171" s="146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8" t="str">
        <f t="shared" ref="J171:J172" si="78">H171</f>
        <v>|Cff00FF7F超级大补丸|r</v>
      </c>
      <c r="K171" s="148" t="str">
        <f t="shared" ref="K171:K172" si="79">I171</f>
        <v>使用后增加|Cffffd24d300点|r境界经验。</v>
      </c>
      <c r="L171" s="27"/>
      <c r="M171" s="149" t="str">
        <f>VLOOKUP(LEFT(RIGHT(B171,5),4),物品!B:CU,20,FALSE)</f>
        <v>ReplaceableTextures\\CommandButtons\\BTNAM41.blp</v>
      </c>
      <c r="N171" s="168" t="s">
        <v>83</v>
      </c>
      <c r="O171" s="149" t="s">
        <v>95</v>
      </c>
      <c r="P171" s="27">
        <v>0</v>
      </c>
      <c r="Q171" s="27">
        <v>0</v>
      </c>
      <c r="R171" s="168" t="s">
        <v>83</v>
      </c>
      <c r="S171" s="168" t="s">
        <v>83</v>
      </c>
      <c r="T171" s="168" t="s">
        <v>83</v>
      </c>
      <c r="U171" s="168" t="s">
        <v>83</v>
      </c>
      <c r="V171" s="27"/>
      <c r="W171" s="27" t="s">
        <v>93</v>
      </c>
      <c r="X171" s="27">
        <v>0</v>
      </c>
      <c r="Y171" s="16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8" t="s">
        <v>83</v>
      </c>
      <c r="AF171" s="168" t="s">
        <v>83</v>
      </c>
      <c r="AG171" s="168" t="s">
        <v>83</v>
      </c>
      <c r="AH171" s="168" t="s">
        <v>83</v>
      </c>
      <c r="AI171" s="27"/>
      <c r="AJ171" s="27"/>
      <c r="AK171" s="27">
        <v>1</v>
      </c>
      <c r="AL171" s="27">
        <v>1</v>
      </c>
      <c r="AM171" s="168" t="s">
        <v>83</v>
      </c>
      <c r="AN171" s="27">
        <v>1</v>
      </c>
      <c r="AO171" s="27">
        <v>1</v>
      </c>
      <c r="AP171" s="27">
        <v>1</v>
      </c>
    </row>
    <row r="172" spans="1:42">
      <c r="A172" s="146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8" t="str">
        <f t="shared" si="78"/>
        <v>|Cff00FF7F特级大补丸|r</v>
      </c>
      <c r="K172" s="148" t="str">
        <f t="shared" si="79"/>
        <v>使用后增加|Cffffd24d500点|r境界经验。</v>
      </c>
      <c r="L172" s="27"/>
      <c r="M172" s="149" t="str">
        <f>VLOOKUP(LEFT(RIGHT(B172,5),4),物品!B:CU,20,FALSE)</f>
        <v>ReplaceableTextures\\CommandButtons\\BTNAM42.blp</v>
      </c>
      <c r="N172" s="168" t="s">
        <v>83</v>
      </c>
      <c r="O172" s="149" t="s">
        <v>95</v>
      </c>
      <c r="P172" s="27">
        <v>0</v>
      </c>
      <c r="Q172" s="27">
        <v>0</v>
      </c>
      <c r="R172" s="168" t="s">
        <v>83</v>
      </c>
      <c r="S172" s="168" t="s">
        <v>83</v>
      </c>
      <c r="T172" s="168" t="s">
        <v>83</v>
      </c>
      <c r="U172" s="168" t="s">
        <v>83</v>
      </c>
      <c r="V172" s="27"/>
      <c r="W172" s="27" t="s">
        <v>93</v>
      </c>
      <c r="X172" s="27">
        <v>0</v>
      </c>
      <c r="Y172" s="16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8" t="s">
        <v>83</v>
      </c>
      <c r="AF172" s="168" t="s">
        <v>83</v>
      </c>
      <c r="AG172" s="168" t="s">
        <v>83</v>
      </c>
      <c r="AH172" s="168" t="s">
        <v>83</v>
      </c>
      <c r="AI172" s="27"/>
      <c r="AJ172" s="27"/>
      <c r="AK172" s="27">
        <v>1</v>
      </c>
      <c r="AL172" s="27">
        <v>1</v>
      </c>
      <c r="AM172" s="168" t="s">
        <v>83</v>
      </c>
      <c r="AN172" s="27">
        <v>1</v>
      </c>
      <c r="AO172" s="27">
        <v>1</v>
      </c>
      <c r="AP172" s="27">
        <v>1</v>
      </c>
    </row>
    <row r="173" spans="1:42">
      <c r="A173" s="146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8" t="str">
        <f t="shared" si="72"/>
        <v>噬心劫</v>
      </c>
      <c r="K173" s="148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9" t="str">
        <f>VLOOKUP(LEFT(RIGHT(B173,5),4),物品!B:CU,20,FALSE)</f>
        <v>ReplaceableTextures\\CommandButtons\\BTNIT01.blp</v>
      </c>
      <c r="N173" s="168" t="s">
        <v>83</v>
      </c>
      <c r="O173" s="149" t="s">
        <v>95</v>
      </c>
      <c r="P173" s="27">
        <v>0</v>
      </c>
      <c r="Q173" s="27">
        <v>0</v>
      </c>
      <c r="R173" s="168" t="s">
        <v>83</v>
      </c>
      <c r="S173" s="168" t="s">
        <v>83</v>
      </c>
      <c r="T173" s="168" t="s">
        <v>83</v>
      </c>
      <c r="U173" s="168" t="s">
        <v>83</v>
      </c>
      <c r="V173" s="27"/>
      <c r="W173" s="27" t="s">
        <v>88</v>
      </c>
      <c r="X173" s="27">
        <v>3000</v>
      </c>
      <c r="Y173" s="168" t="s">
        <v>83</v>
      </c>
      <c r="Z173" s="27">
        <v>0</v>
      </c>
      <c r="AA173" s="27">
        <v>0</v>
      </c>
      <c r="AB173" s="148">
        <v>0</v>
      </c>
      <c r="AC173" s="27">
        <v>1</v>
      </c>
      <c r="AD173" s="27">
        <v>1</v>
      </c>
      <c r="AE173" s="168" t="s">
        <v>83</v>
      </c>
      <c r="AF173" s="168" t="s">
        <v>83</v>
      </c>
      <c r="AG173" s="168" t="s">
        <v>83</v>
      </c>
      <c r="AH173" s="168" t="s">
        <v>83</v>
      </c>
      <c r="AI173" s="27">
        <v>1</v>
      </c>
      <c r="AJ173" s="27"/>
      <c r="AK173" s="27">
        <v>1</v>
      </c>
      <c r="AL173" s="27">
        <v>1</v>
      </c>
      <c r="AM173" s="168" t="s">
        <v>83</v>
      </c>
      <c r="AN173" s="27">
        <v>1</v>
      </c>
      <c r="AO173" s="27">
        <v>1</v>
      </c>
      <c r="AP173" s="27">
        <v>1</v>
      </c>
    </row>
    <row r="174" spans="1:42">
      <c r="A174" s="146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8" t="str">
        <f t="shared" si="72"/>
        <v>三重轰雷劫</v>
      </c>
      <c r="K174" s="148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9" t="str">
        <f>VLOOKUP(LEFT(RIGHT(B174,5),4),物品!B:CU,20,FALSE)</f>
        <v>ReplaceableTextures\\CommandButtons\\BTNIT02.blp</v>
      </c>
      <c r="N174" s="168" t="s">
        <v>83</v>
      </c>
      <c r="O174" s="149" t="s">
        <v>95</v>
      </c>
      <c r="P174" s="27">
        <v>1</v>
      </c>
      <c r="Q174" s="27">
        <v>0</v>
      </c>
      <c r="R174" s="168" t="s">
        <v>83</v>
      </c>
      <c r="S174" s="168" t="s">
        <v>83</v>
      </c>
      <c r="T174" s="168" t="s">
        <v>83</v>
      </c>
      <c r="U174" s="168" t="s">
        <v>83</v>
      </c>
      <c r="V174" s="27"/>
      <c r="W174" s="27" t="s">
        <v>88</v>
      </c>
      <c r="X174" s="27">
        <v>3000</v>
      </c>
      <c r="Y174" s="168" t="s">
        <v>83</v>
      </c>
      <c r="Z174" s="27">
        <v>0</v>
      </c>
      <c r="AA174" s="27">
        <v>0</v>
      </c>
      <c r="AB174" s="148">
        <v>2</v>
      </c>
      <c r="AC174" s="27">
        <v>1</v>
      </c>
      <c r="AD174" s="27">
        <v>1</v>
      </c>
      <c r="AE174" s="168" t="s">
        <v>83</v>
      </c>
      <c r="AF174" s="168" t="s">
        <v>83</v>
      </c>
      <c r="AG174" s="168" t="s">
        <v>83</v>
      </c>
      <c r="AH174" s="168" t="s">
        <v>83</v>
      </c>
      <c r="AI174" s="27">
        <v>1</v>
      </c>
      <c r="AJ174" s="27"/>
      <c r="AK174" s="27">
        <v>1</v>
      </c>
      <c r="AL174" s="27">
        <v>1</v>
      </c>
      <c r="AM174" s="168" t="s">
        <v>83</v>
      </c>
      <c r="AN174" s="27">
        <v>1</v>
      </c>
      <c r="AO174" s="27">
        <v>1</v>
      </c>
      <c r="AP174" s="27">
        <v>1</v>
      </c>
    </row>
    <row r="175" spans="1:42">
      <c r="A175" s="146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8" t="str">
        <f t="shared" si="72"/>
        <v>|Cff00FF7F六重天雷劫|r</v>
      </c>
      <c r="K175" s="148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9" t="str">
        <f>VLOOKUP(LEFT(RIGHT(B175,5),4),物品!B:CU,20,FALSE)</f>
        <v>ReplaceableTextures\\CommandButtons\\BTNIT03.blp</v>
      </c>
      <c r="N175" s="168" t="s">
        <v>83</v>
      </c>
      <c r="O175" s="149" t="s">
        <v>95</v>
      </c>
      <c r="P175" s="27">
        <v>2</v>
      </c>
      <c r="Q175" s="27">
        <v>0</v>
      </c>
      <c r="R175" s="168" t="s">
        <v>83</v>
      </c>
      <c r="S175" s="168" t="s">
        <v>83</v>
      </c>
      <c r="T175" s="168" t="s">
        <v>83</v>
      </c>
      <c r="U175" s="168" t="s">
        <v>83</v>
      </c>
      <c r="V175" s="27"/>
      <c r="W175" s="27" t="s">
        <v>88</v>
      </c>
      <c r="X175" s="27">
        <v>5000</v>
      </c>
      <c r="Y175" s="168" t="s">
        <v>83</v>
      </c>
      <c r="Z175" s="27">
        <v>0</v>
      </c>
      <c r="AA175" s="27">
        <v>0</v>
      </c>
      <c r="AB175" s="148">
        <v>3</v>
      </c>
      <c r="AC175" s="27">
        <v>1</v>
      </c>
      <c r="AD175" s="27">
        <v>1</v>
      </c>
      <c r="AE175" s="168" t="s">
        <v>83</v>
      </c>
      <c r="AF175" s="168" t="s">
        <v>83</v>
      </c>
      <c r="AG175" s="168" t="s">
        <v>83</v>
      </c>
      <c r="AH175" s="168" t="s">
        <v>83</v>
      </c>
      <c r="AI175" s="27">
        <v>1</v>
      </c>
      <c r="AJ175" s="27"/>
      <c r="AK175" s="27">
        <v>1</v>
      </c>
      <c r="AL175" s="27">
        <v>1</v>
      </c>
      <c r="AM175" s="168" t="s">
        <v>83</v>
      </c>
      <c r="AN175" s="27">
        <v>1</v>
      </c>
      <c r="AO175" s="27">
        <v>1</v>
      </c>
      <c r="AP175" s="27">
        <v>1</v>
      </c>
    </row>
    <row r="176" spans="1:42">
      <c r="A176" s="146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8" t="str">
        <f t="shared" si="72"/>
        <v>|Cff00FF7F九重煅神劫|r</v>
      </c>
      <c r="K176" s="148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9" t="str">
        <f>VLOOKUP(LEFT(RIGHT(B176,5),4),物品!B:CU,20,FALSE)</f>
        <v>ReplaceableTextures\\CommandButtons\\BTNIT04.blp</v>
      </c>
      <c r="N176" s="168" t="s">
        <v>83</v>
      </c>
      <c r="O176" s="149" t="s">
        <v>95</v>
      </c>
      <c r="P176" s="27">
        <v>3</v>
      </c>
      <c r="Q176" s="27">
        <v>0</v>
      </c>
      <c r="R176" s="168" t="s">
        <v>83</v>
      </c>
      <c r="S176" s="168" t="s">
        <v>83</v>
      </c>
      <c r="T176" s="168" t="s">
        <v>83</v>
      </c>
      <c r="U176" s="168" t="s">
        <v>83</v>
      </c>
      <c r="V176" s="27"/>
      <c r="W176" s="27" t="s">
        <v>88</v>
      </c>
      <c r="X176" s="27">
        <v>7000</v>
      </c>
      <c r="Y176" s="168" t="s">
        <v>83</v>
      </c>
      <c r="Z176" s="27">
        <v>0</v>
      </c>
      <c r="AA176" s="27">
        <v>0</v>
      </c>
      <c r="AB176" s="148">
        <v>5</v>
      </c>
      <c r="AC176" s="27">
        <v>1</v>
      </c>
      <c r="AD176" s="27">
        <v>1</v>
      </c>
      <c r="AE176" s="168" t="s">
        <v>83</v>
      </c>
      <c r="AF176" s="168" t="s">
        <v>83</v>
      </c>
      <c r="AG176" s="168" t="s">
        <v>83</v>
      </c>
      <c r="AH176" s="168" t="s">
        <v>83</v>
      </c>
      <c r="AI176" s="27">
        <v>1</v>
      </c>
      <c r="AJ176" s="27"/>
      <c r="AK176" s="27">
        <v>1</v>
      </c>
      <c r="AL176" s="27">
        <v>1</v>
      </c>
      <c r="AM176" s="168" t="s">
        <v>83</v>
      </c>
      <c r="AN176" s="27">
        <v>1</v>
      </c>
      <c r="AO176" s="27">
        <v>1</v>
      </c>
      <c r="AP176" s="27">
        <v>1</v>
      </c>
    </row>
    <row r="177" spans="1:42">
      <c r="A177" s="146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8" t="str">
        <f t="shared" si="72"/>
        <v>|Cff00BFFF灭魄血煞劫|r</v>
      </c>
      <c r="K177" s="148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9" t="str">
        <f>VLOOKUP(LEFT(RIGHT(B177,5),4),物品!B:CU,20,FALSE)</f>
        <v>ReplaceableTextures\\CommandButtons\\BTNIT05.blp</v>
      </c>
      <c r="N177" s="168" t="s">
        <v>83</v>
      </c>
      <c r="O177" s="149" t="s">
        <v>95</v>
      </c>
      <c r="P177" s="27">
        <v>0</v>
      </c>
      <c r="Q177" s="27">
        <v>1</v>
      </c>
      <c r="R177" s="168" t="s">
        <v>83</v>
      </c>
      <c r="S177" s="168" t="s">
        <v>83</v>
      </c>
      <c r="T177" s="168" t="s">
        <v>83</v>
      </c>
      <c r="U177" s="168" t="s">
        <v>83</v>
      </c>
      <c r="V177" s="27"/>
      <c r="W177" s="27" t="s">
        <v>88</v>
      </c>
      <c r="X177" s="27">
        <v>10000</v>
      </c>
      <c r="Y177" s="168" t="s">
        <v>83</v>
      </c>
      <c r="Z177" s="27">
        <v>0</v>
      </c>
      <c r="AA177" s="27">
        <v>0</v>
      </c>
      <c r="AB177" s="148">
        <v>7</v>
      </c>
      <c r="AC177" s="27">
        <v>1</v>
      </c>
      <c r="AD177" s="27">
        <v>1</v>
      </c>
      <c r="AE177" s="168" t="s">
        <v>83</v>
      </c>
      <c r="AF177" s="168" t="s">
        <v>83</v>
      </c>
      <c r="AG177" s="168" t="s">
        <v>83</v>
      </c>
      <c r="AH177" s="168" t="s">
        <v>83</v>
      </c>
      <c r="AI177" s="27">
        <v>1</v>
      </c>
      <c r="AJ177" s="27"/>
      <c r="AK177" s="27">
        <v>1</v>
      </c>
      <c r="AL177" s="27">
        <v>1</v>
      </c>
      <c r="AM177" s="168" t="s">
        <v>83</v>
      </c>
      <c r="AN177" s="27">
        <v>1</v>
      </c>
      <c r="AO177" s="27">
        <v>1</v>
      </c>
      <c r="AP177" s="27">
        <v>1</v>
      </c>
    </row>
    <row r="178" spans="1:42">
      <c r="A178" s="146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8" t="str">
        <f t="shared" si="72"/>
        <v>|Cff00BFFF入微洞虚劫|r</v>
      </c>
      <c r="K178" s="148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9" t="str">
        <f>VLOOKUP(LEFT(RIGHT(B178,5),4),物品!B:CU,20,FALSE)</f>
        <v>ReplaceableTextures\\CommandButtons\\BTNIT06.blp</v>
      </c>
      <c r="N178" s="168" t="s">
        <v>83</v>
      </c>
      <c r="O178" s="149" t="s">
        <v>95</v>
      </c>
      <c r="P178" s="27">
        <v>1</v>
      </c>
      <c r="Q178" s="27">
        <v>1</v>
      </c>
      <c r="R178" s="168" t="s">
        <v>83</v>
      </c>
      <c r="S178" s="168" t="s">
        <v>83</v>
      </c>
      <c r="T178" s="168" t="s">
        <v>83</v>
      </c>
      <c r="U178" s="168" t="s">
        <v>83</v>
      </c>
      <c r="V178" s="27"/>
      <c r="W178" s="27" t="s">
        <v>88</v>
      </c>
      <c r="X178" s="27">
        <v>15000</v>
      </c>
      <c r="Y178" s="168" t="s">
        <v>83</v>
      </c>
      <c r="Z178" s="27">
        <v>0</v>
      </c>
      <c r="AA178" s="27">
        <v>0</v>
      </c>
      <c r="AB178" s="148">
        <v>10</v>
      </c>
      <c r="AC178" s="27">
        <v>1</v>
      </c>
      <c r="AD178" s="27">
        <v>1</v>
      </c>
      <c r="AE178" s="168" t="s">
        <v>83</v>
      </c>
      <c r="AF178" s="168" t="s">
        <v>83</v>
      </c>
      <c r="AG178" s="168" t="s">
        <v>83</v>
      </c>
      <c r="AH178" s="168" t="s">
        <v>83</v>
      </c>
      <c r="AI178" s="27">
        <v>1</v>
      </c>
      <c r="AJ178" s="27"/>
      <c r="AK178" s="27">
        <v>1</v>
      </c>
      <c r="AL178" s="27">
        <v>1</v>
      </c>
      <c r="AM178" s="168" t="s">
        <v>83</v>
      </c>
      <c r="AN178" s="27">
        <v>1</v>
      </c>
      <c r="AO178" s="27">
        <v>1</v>
      </c>
      <c r="AP178" s="27">
        <v>1</v>
      </c>
    </row>
    <row r="179" spans="1:42">
      <c r="A179" s="146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8" t="str">
        <f t="shared" si="72"/>
        <v>|CffFFD24D因果厄难劫|r</v>
      </c>
      <c r="K179" s="148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9" t="str">
        <f>VLOOKUP(LEFT(RIGHT(B179,5),4),物品!B:CU,20,FALSE)</f>
        <v>ReplaceableTextures\\CommandButtons\\BTNIT07.blp</v>
      </c>
      <c r="N179" s="168" t="s">
        <v>83</v>
      </c>
      <c r="O179" s="149" t="s">
        <v>95</v>
      </c>
      <c r="P179" s="27">
        <v>2</v>
      </c>
      <c r="Q179" s="27">
        <v>1</v>
      </c>
      <c r="R179" s="168" t="s">
        <v>83</v>
      </c>
      <c r="S179" s="168" t="s">
        <v>83</v>
      </c>
      <c r="T179" s="168" t="s">
        <v>83</v>
      </c>
      <c r="U179" s="168" t="s">
        <v>83</v>
      </c>
      <c r="V179" s="27"/>
      <c r="W179" s="27" t="s">
        <v>88</v>
      </c>
      <c r="X179" s="27">
        <v>20000</v>
      </c>
      <c r="Y179" s="168" t="s">
        <v>83</v>
      </c>
      <c r="Z179" s="27">
        <v>0</v>
      </c>
      <c r="AA179" s="27">
        <v>0</v>
      </c>
      <c r="AB179" s="148">
        <v>13</v>
      </c>
      <c r="AC179" s="27">
        <v>1</v>
      </c>
      <c r="AD179" s="27">
        <v>1</v>
      </c>
      <c r="AE179" s="168" t="s">
        <v>83</v>
      </c>
      <c r="AF179" s="168" t="s">
        <v>83</v>
      </c>
      <c r="AG179" s="168" t="s">
        <v>83</v>
      </c>
      <c r="AH179" s="168" t="s">
        <v>83</v>
      </c>
      <c r="AI179" s="27">
        <v>1</v>
      </c>
      <c r="AJ179" s="27"/>
      <c r="AK179" s="27">
        <v>1</v>
      </c>
      <c r="AL179" s="27">
        <v>1</v>
      </c>
      <c r="AM179" s="168" t="s">
        <v>83</v>
      </c>
      <c r="AN179" s="27">
        <v>1</v>
      </c>
      <c r="AO179" s="27">
        <v>1</v>
      </c>
      <c r="AP179" s="27">
        <v>1</v>
      </c>
    </row>
    <row r="180" spans="1:42">
      <c r="A180" s="146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8" t="str">
        <f t="shared" si="72"/>
        <v>|CffFFD24D迷魂幻世劫|r</v>
      </c>
      <c r="K180" s="148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9" t="str">
        <f>VLOOKUP(LEFT(RIGHT(B180,5),4),物品!B:CU,20,FALSE)</f>
        <v>ReplaceableTextures\\CommandButtons\\BTNIT08.blp</v>
      </c>
      <c r="N180" s="168" t="s">
        <v>83</v>
      </c>
      <c r="O180" s="149" t="s">
        <v>95</v>
      </c>
      <c r="P180" s="27">
        <v>3</v>
      </c>
      <c r="Q180" s="27">
        <v>1</v>
      </c>
      <c r="R180" s="168" t="s">
        <v>83</v>
      </c>
      <c r="S180" s="168" t="s">
        <v>83</v>
      </c>
      <c r="T180" s="168" t="s">
        <v>83</v>
      </c>
      <c r="U180" s="168" t="s">
        <v>83</v>
      </c>
      <c r="V180" s="27"/>
      <c r="W180" s="27" t="s">
        <v>88</v>
      </c>
      <c r="X180" s="27">
        <v>25000</v>
      </c>
      <c r="Y180" s="168" t="s">
        <v>83</v>
      </c>
      <c r="Z180" s="27">
        <v>0</v>
      </c>
      <c r="AA180" s="27">
        <v>0</v>
      </c>
      <c r="AB180" s="148">
        <v>16</v>
      </c>
      <c r="AC180" s="27">
        <v>1</v>
      </c>
      <c r="AD180" s="27">
        <v>1</v>
      </c>
      <c r="AE180" s="168" t="s">
        <v>83</v>
      </c>
      <c r="AF180" s="168" t="s">
        <v>83</v>
      </c>
      <c r="AG180" s="168" t="s">
        <v>83</v>
      </c>
      <c r="AH180" s="168" t="s">
        <v>83</v>
      </c>
      <c r="AI180" s="27">
        <v>1</v>
      </c>
      <c r="AJ180" s="27"/>
      <c r="AK180" s="27">
        <v>1</v>
      </c>
      <c r="AL180" s="27">
        <v>1</v>
      </c>
      <c r="AM180" s="168" t="s">
        <v>83</v>
      </c>
      <c r="AN180" s="27">
        <v>1</v>
      </c>
      <c r="AO180" s="27">
        <v>1</v>
      </c>
      <c r="AP180" s="27">
        <v>1</v>
      </c>
    </row>
    <row r="181" spans="1:42">
      <c r="A181" s="146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8" t="str">
        <f t="shared" si="72"/>
        <v>|CffFF0000天人五衰劫|r</v>
      </c>
      <c r="K181" s="148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9" t="str">
        <f>VLOOKUP(LEFT(RIGHT(B181,5),4),物品!B:CU,20,FALSE)</f>
        <v>ReplaceableTextures\\CommandButtons\\BTNIT09.blp</v>
      </c>
      <c r="N181" s="168" t="s">
        <v>83</v>
      </c>
      <c r="O181" s="149" t="s">
        <v>95</v>
      </c>
      <c r="P181" s="27">
        <v>0</v>
      </c>
      <c r="Q181" s="27">
        <v>2</v>
      </c>
      <c r="R181" s="168" t="s">
        <v>83</v>
      </c>
      <c r="S181" s="168" t="s">
        <v>83</v>
      </c>
      <c r="T181" s="168" t="s">
        <v>83</v>
      </c>
      <c r="U181" s="168" t="s">
        <v>83</v>
      </c>
      <c r="V181" s="27"/>
      <c r="W181" s="27" t="s">
        <v>88</v>
      </c>
      <c r="X181" s="27">
        <v>30000</v>
      </c>
      <c r="Y181" s="168" t="s">
        <v>83</v>
      </c>
      <c r="Z181" s="27">
        <v>0</v>
      </c>
      <c r="AA181" s="27">
        <v>0</v>
      </c>
      <c r="AB181" s="148">
        <v>20</v>
      </c>
      <c r="AC181" s="27">
        <v>1</v>
      </c>
      <c r="AD181" s="27">
        <v>1</v>
      </c>
      <c r="AE181" s="168" t="s">
        <v>83</v>
      </c>
      <c r="AF181" s="168" t="s">
        <v>83</v>
      </c>
      <c r="AG181" s="168" t="s">
        <v>83</v>
      </c>
      <c r="AH181" s="168" t="s">
        <v>83</v>
      </c>
      <c r="AI181" s="27">
        <v>1</v>
      </c>
      <c r="AJ181" s="27"/>
      <c r="AK181" s="27">
        <v>1</v>
      </c>
      <c r="AL181" s="27">
        <v>1</v>
      </c>
      <c r="AM181" s="168" t="s">
        <v>83</v>
      </c>
      <c r="AN181" s="27">
        <v>1</v>
      </c>
      <c r="AO181" s="27">
        <v>1</v>
      </c>
      <c r="AP181" s="27">
        <v>1</v>
      </c>
    </row>
    <row r="182" spans="1:42">
      <c r="A182" s="146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8" t="str">
        <f t="shared" si="72"/>
        <v>|CffFF0000混元灭世劫|r</v>
      </c>
      <c r="K182" s="148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9" t="str">
        <f>VLOOKUP(LEFT(RIGHT(B182,5),4),物品!B:CU,20,FALSE)</f>
        <v>ReplaceableTextures\\CommandButtons\\BTNIT10.blp</v>
      </c>
      <c r="N182" s="168" t="s">
        <v>83</v>
      </c>
      <c r="O182" s="149" t="s">
        <v>95</v>
      </c>
      <c r="P182" s="27">
        <v>1</v>
      </c>
      <c r="Q182" s="27">
        <v>2</v>
      </c>
      <c r="R182" s="168" t="s">
        <v>83</v>
      </c>
      <c r="S182" s="168" t="s">
        <v>83</v>
      </c>
      <c r="T182" s="168" t="s">
        <v>83</v>
      </c>
      <c r="U182" s="168" t="s">
        <v>83</v>
      </c>
      <c r="V182" s="27"/>
      <c r="W182" s="27" t="s">
        <v>88</v>
      </c>
      <c r="X182" s="27">
        <v>50000</v>
      </c>
      <c r="Y182" s="168" t="s">
        <v>83</v>
      </c>
      <c r="Z182" s="27">
        <v>0</v>
      </c>
      <c r="AA182" s="27">
        <v>0</v>
      </c>
      <c r="AB182" s="148">
        <v>25</v>
      </c>
      <c r="AC182" s="27">
        <v>1</v>
      </c>
      <c r="AD182" s="27">
        <v>1</v>
      </c>
      <c r="AE182" s="168" t="s">
        <v>83</v>
      </c>
      <c r="AF182" s="168" t="s">
        <v>83</v>
      </c>
      <c r="AG182" s="168" t="s">
        <v>83</v>
      </c>
      <c r="AH182" s="168" t="s">
        <v>83</v>
      </c>
      <c r="AI182" s="27">
        <v>1</v>
      </c>
      <c r="AJ182" s="27"/>
      <c r="AK182" s="27">
        <v>1</v>
      </c>
      <c r="AL182" s="27">
        <v>1</v>
      </c>
      <c r="AM182" s="168" t="s">
        <v>83</v>
      </c>
      <c r="AN182" s="27">
        <v>1</v>
      </c>
      <c r="AO182" s="27">
        <v>1</v>
      </c>
      <c r="AP182" s="27">
        <v>1</v>
      </c>
    </row>
    <row r="183" spans="1:42">
      <c r="A183" s="146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8" t="str">
        <f t="shared" si="72"/>
        <v>斩三尸</v>
      </c>
      <c r="K183" s="148" t="str">
        <f t="shared" si="73"/>
        <v>境界挑战11</v>
      </c>
      <c r="L183" s="27"/>
      <c r="M183" s="149" t="str">
        <f>VLOOKUP(LEFT(RIGHT(B183,5),4),物品!B:CU,20,FALSE)</f>
        <v>ReplaceableTextures\\CommandButtons\\BTNIT11.blp</v>
      </c>
      <c r="N183" s="168" t="s">
        <v>83</v>
      </c>
      <c r="O183" s="149" t="s">
        <v>95</v>
      </c>
      <c r="P183" s="27">
        <v>2</v>
      </c>
      <c r="Q183" s="27">
        <v>1</v>
      </c>
      <c r="R183" s="168" t="s">
        <v>83</v>
      </c>
      <c r="S183" s="168" t="s">
        <v>83</v>
      </c>
      <c r="T183" s="168" t="s">
        <v>83</v>
      </c>
      <c r="U183" s="168" t="s">
        <v>83</v>
      </c>
      <c r="V183" s="27"/>
      <c r="W183" s="27" t="s">
        <v>88</v>
      </c>
      <c r="X183" s="27">
        <v>0</v>
      </c>
      <c r="Y183" s="16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8" t="s">
        <v>83</v>
      </c>
      <c r="AF183" s="168" t="s">
        <v>83</v>
      </c>
      <c r="AG183" s="168" t="s">
        <v>83</v>
      </c>
      <c r="AH183" s="168" t="s">
        <v>83</v>
      </c>
      <c r="AI183" s="27">
        <v>1</v>
      </c>
      <c r="AJ183" s="27"/>
      <c r="AK183" s="27">
        <v>1</v>
      </c>
      <c r="AL183" s="27">
        <v>1</v>
      </c>
      <c r="AM183" s="168" t="s">
        <v>83</v>
      </c>
      <c r="AN183" s="27">
        <v>1</v>
      </c>
      <c r="AO183" s="27">
        <v>1</v>
      </c>
      <c r="AP183" s="27">
        <v>1</v>
      </c>
    </row>
    <row r="184" spans="1:42">
      <c r="A184" s="146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8" t="str">
        <f t="shared" si="72"/>
        <v>无量量劫</v>
      </c>
      <c r="K184" s="148" t="str">
        <f t="shared" si="73"/>
        <v>境界挑战12</v>
      </c>
      <c r="L184" s="27"/>
      <c r="M184" s="149" t="str">
        <f>VLOOKUP(LEFT(RIGHT(B184,5),4),物品!B:CU,20,FALSE)</f>
        <v>ReplaceableTextures\\CommandButtons\\BTNIT12.blp</v>
      </c>
      <c r="N184" s="168" t="s">
        <v>83</v>
      </c>
      <c r="O184" s="149" t="s">
        <v>95</v>
      </c>
      <c r="P184" s="27">
        <v>3</v>
      </c>
      <c r="Q184" s="27">
        <v>1</v>
      </c>
      <c r="R184" s="168" t="s">
        <v>83</v>
      </c>
      <c r="S184" s="168" t="s">
        <v>83</v>
      </c>
      <c r="T184" s="168" t="s">
        <v>83</v>
      </c>
      <c r="U184" s="168" t="s">
        <v>83</v>
      </c>
      <c r="V184" s="27"/>
      <c r="W184" s="27" t="s">
        <v>88</v>
      </c>
      <c r="X184" s="27">
        <v>0</v>
      </c>
      <c r="Y184" s="16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8" t="s">
        <v>83</v>
      </c>
      <c r="AF184" s="168" t="s">
        <v>83</v>
      </c>
      <c r="AG184" s="168" t="s">
        <v>83</v>
      </c>
      <c r="AH184" s="168" t="s">
        <v>83</v>
      </c>
      <c r="AI184" s="27">
        <v>1</v>
      </c>
      <c r="AJ184" s="27"/>
      <c r="AK184" s="27">
        <v>1</v>
      </c>
      <c r="AL184" s="27">
        <v>1</v>
      </c>
      <c r="AM184" s="168" t="s">
        <v>83</v>
      </c>
      <c r="AN184" s="27">
        <v>1</v>
      </c>
      <c r="AO184" s="27">
        <v>1</v>
      </c>
      <c r="AP184" s="27">
        <v>1</v>
      </c>
    </row>
    <row r="185" spans="1:42">
      <c r="A185" s="146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8" t="str">
        <f t="shared" si="72"/>
        <v>鸿钧对练</v>
      </c>
      <c r="K185" s="148" t="str">
        <f t="shared" si="73"/>
        <v>境界挑战13</v>
      </c>
      <c r="L185" s="27"/>
      <c r="M185" s="149" t="str">
        <f>VLOOKUP(LEFT(RIGHT(B185,5),4),物品!B:CU,20,FALSE)</f>
        <v>ReplaceableTextures\\CommandButtons\\BTNIT13.blp</v>
      </c>
      <c r="N185" s="168" t="s">
        <v>83</v>
      </c>
      <c r="O185" s="149" t="s">
        <v>95</v>
      </c>
      <c r="P185" s="27">
        <v>0</v>
      </c>
      <c r="Q185" s="27">
        <v>2</v>
      </c>
      <c r="R185" s="168" t="s">
        <v>83</v>
      </c>
      <c r="S185" s="168" t="s">
        <v>83</v>
      </c>
      <c r="T185" s="168" t="s">
        <v>83</v>
      </c>
      <c r="U185" s="168" t="s">
        <v>83</v>
      </c>
      <c r="V185" s="27"/>
      <c r="W185" s="27" t="s">
        <v>88</v>
      </c>
      <c r="X185" s="27">
        <v>0</v>
      </c>
      <c r="Y185" s="16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8" t="s">
        <v>83</v>
      </c>
      <c r="AF185" s="168" t="s">
        <v>83</v>
      </c>
      <c r="AG185" s="168" t="s">
        <v>83</v>
      </c>
      <c r="AH185" s="168" t="s">
        <v>83</v>
      </c>
      <c r="AI185" s="27">
        <v>1</v>
      </c>
      <c r="AJ185" s="27"/>
      <c r="AK185" s="27">
        <v>1</v>
      </c>
      <c r="AL185" s="27">
        <v>1</v>
      </c>
      <c r="AM185" s="168" t="s">
        <v>83</v>
      </c>
      <c r="AN185" s="27">
        <v>1</v>
      </c>
      <c r="AO185" s="27">
        <v>1</v>
      </c>
      <c r="AP185" s="27">
        <v>1</v>
      </c>
    </row>
    <row r="186" spans="1:42">
      <c r="A186" s="146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8" t="str">
        <f t="shared" si="72"/>
        <v>境界挑战14</v>
      </c>
      <c r="K186" s="148" t="str">
        <f t="shared" si="73"/>
        <v>境界挑战14</v>
      </c>
      <c r="L186" s="27"/>
      <c r="M186" s="149" t="str">
        <f>VLOOKUP(LEFT(RIGHT(B186,5),4),物品!B:CU,20,FALSE)</f>
        <v>ReplaceableTextures\\CommandButtons\\BTNIT14.blp</v>
      </c>
      <c r="N186" s="168" t="s">
        <v>83</v>
      </c>
      <c r="O186" s="149" t="s">
        <v>95</v>
      </c>
      <c r="P186" s="27">
        <v>1</v>
      </c>
      <c r="Q186" s="27">
        <v>2</v>
      </c>
      <c r="R186" s="168" t="s">
        <v>83</v>
      </c>
      <c r="S186" s="168" t="s">
        <v>83</v>
      </c>
      <c r="T186" s="168" t="s">
        <v>83</v>
      </c>
      <c r="U186" s="168" t="s">
        <v>83</v>
      </c>
      <c r="V186" s="27"/>
      <c r="W186" s="27" t="s">
        <v>88</v>
      </c>
      <c r="X186" s="27">
        <v>0</v>
      </c>
      <c r="Y186" s="16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8" t="s">
        <v>83</v>
      </c>
      <c r="AF186" s="168" t="s">
        <v>83</v>
      </c>
      <c r="AG186" s="168" t="s">
        <v>83</v>
      </c>
      <c r="AH186" s="168" t="s">
        <v>83</v>
      </c>
      <c r="AI186" s="27">
        <v>1</v>
      </c>
      <c r="AJ186" s="27"/>
      <c r="AK186" s="27">
        <v>1</v>
      </c>
      <c r="AL186" s="27">
        <v>1</v>
      </c>
      <c r="AM186" s="168" t="s">
        <v>83</v>
      </c>
      <c r="AN186" s="27">
        <v>1</v>
      </c>
      <c r="AO186" s="27">
        <v>1</v>
      </c>
      <c r="AP186" s="27">
        <v>1</v>
      </c>
    </row>
    <row r="187" spans="1:42">
      <c r="A187" s="146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8" t="str">
        <f t="shared" si="72"/>
        <v>暂停进攻</v>
      </c>
      <c r="K187" s="148" t="str">
        <f t="shared" si="73"/>
        <v>延缓敌军2分钟进攻时间。|n|n|Cff999999狗策划一直不想做这个功能，你们就省着点用吧~（逃|r</v>
      </c>
      <c r="L187" s="27"/>
      <c r="M187" s="150" t="s">
        <v>106</v>
      </c>
      <c r="N187" s="168" t="s">
        <v>83</v>
      </c>
      <c r="O187" s="149" t="s">
        <v>95</v>
      </c>
      <c r="P187" s="27">
        <v>0</v>
      </c>
      <c r="Q187" s="27">
        <v>0</v>
      </c>
      <c r="R187" s="168" t="s">
        <v>83</v>
      </c>
      <c r="S187" s="168" t="s">
        <v>83</v>
      </c>
      <c r="T187" s="168" t="s">
        <v>83</v>
      </c>
      <c r="U187" s="168" t="s">
        <v>83</v>
      </c>
      <c r="V187" s="27"/>
      <c r="W187" s="27" t="s">
        <v>88</v>
      </c>
      <c r="X187" s="27">
        <v>10000</v>
      </c>
      <c r="Y187" s="168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8" t="s">
        <v>83</v>
      </c>
      <c r="AF187" s="168" t="s">
        <v>83</v>
      </c>
      <c r="AG187" s="168" t="s">
        <v>83</v>
      </c>
      <c r="AH187" s="168" t="s">
        <v>83</v>
      </c>
      <c r="AI187" s="27">
        <v>1</v>
      </c>
      <c r="AJ187" s="27"/>
      <c r="AK187" s="27">
        <v>1</v>
      </c>
      <c r="AL187" s="27">
        <v>1</v>
      </c>
      <c r="AM187" s="168" t="s">
        <v>83</v>
      </c>
      <c r="AN187" s="27">
        <v>1</v>
      </c>
      <c r="AO187" s="27">
        <v>1</v>
      </c>
      <c r="AP187" s="27">
        <v>1</v>
      </c>
    </row>
    <row r="188" spans="1:42">
      <c r="A188" s="146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8" t="str">
        <f t="shared" ref="J188:J192" si="80">H188</f>
        <v>奇经八脉</v>
      </c>
      <c r="K188" s="148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9" t="str">
        <f>VLOOKUP(LEFT(RIGHT(B188,5),4),物品!B:CU,20,FALSE)</f>
        <v>ReplaceableTextures\\CommandButtons\\BTNIZ0B.blp</v>
      </c>
      <c r="N188" s="168" t="s">
        <v>83</v>
      </c>
      <c r="O188" s="149" t="s">
        <v>95</v>
      </c>
      <c r="P188" s="27">
        <v>2</v>
      </c>
      <c r="Q188" s="27">
        <v>2</v>
      </c>
      <c r="R188" s="168" t="s">
        <v>83</v>
      </c>
      <c r="S188" s="168" t="s">
        <v>83</v>
      </c>
      <c r="T188" s="168" t="s">
        <v>83</v>
      </c>
      <c r="U188" s="168" t="s">
        <v>83</v>
      </c>
      <c r="V188" s="27"/>
      <c r="W188" s="27" t="s">
        <v>88</v>
      </c>
      <c r="X188" s="27">
        <v>0</v>
      </c>
      <c r="Y188" s="168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8" t="s">
        <v>83</v>
      </c>
      <c r="AF188" s="168" t="s">
        <v>83</v>
      </c>
      <c r="AG188" s="168" t="s">
        <v>83</v>
      </c>
      <c r="AH188" s="168" t="s">
        <v>83</v>
      </c>
      <c r="AI188" s="27">
        <v>1</v>
      </c>
      <c r="AJ188" s="27"/>
      <c r="AK188" s="27">
        <v>1</v>
      </c>
      <c r="AL188" s="27">
        <v>1</v>
      </c>
      <c r="AM188" s="168" t="s">
        <v>83</v>
      </c>
      <c r="AN188" s="27">
        <v>1</v>
      </c>
      <c r="AO188" s="27">
        <v>1</v>
      </c>
      <c r="AP188" s="27">
        <v>1</v>
      </c>
    </row>
    <row r="189" spans="1:42">
      <c r="A189" s="146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8">
        <f t="shared" si="80"/>
        <v>0</v>
      </c>
      <c r="K189" s="148">
        <f t="shared" si="81"/>
        <v>0</v>
      </c>
      <c r="L189" s="27"/>
      <c r="M189" s="149" t="str">
        <f>VLOOKUP(LEFT(RIGHT(B189,5),4),物品!B:CU,20,FALSE)</f>
        <v>ReplaceableTextures\\CommandButtons\\BTNIZ0D.blp</v>
      </c>
      <c r="N189" s="168" t="s">
        <v>83</v>
      </c>
      <c r="O189" s="149" t="s">
        <v>95</v>
      </c>
      <c r="P189" s="27">
        <v>0</v>
      </c>
      <c r="Q189" s="27">
        <v>0</v>
      </c>
      <c r="R189" s="168" t="s">
        <v>83</v>
      </c>
      <c r="S189" s="168" t="s">
        <v>83</v>
      </c>
      <c r="T189" s="168" t="s">
        <v>83</v>
      </c>
      <c r="U189" s="168" t="s">
        <v>83</v>
      </c>
      <c r="V189" s="27"/>
      <c r="W189" s="27" t="s">
        <v>88</v>
      </c>
      <c r="X189" s="27">
        <v>0</v>
      </c>
      <c r="Y189" s="16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8" t="s">
        <v>83</v>
      </c>
      <c r="AF189" s="168" t="s">
        <v>83</v>
      </c>
      <c r="AG189" s="168" t="s">
        <v>83</v>
      </c>
      <c r="AH189" s="168" t="s">
        <v>83</v>
      </c>
      <c r="AI189" s="27">
        <v>1</v>
      </c>
      <c r="AJ189" s="27"/>
      <c r="AK189" s="27">
        <v>1</v>
      </c>
      <c r="AL189" s="27">
        <v>1</v>
      </c>
      <c r="AM189" s="168" t="s">
        <v>83</v>
      </c>
      <c r="AN189" s="27">
        <v>1</v>
      </c>
      <c r="AO189" s="27">
        <v>1</v>
      </c>
      <c r="AP189" s="27">
        <v>1</v>
      </c>
    </row>
    <row r="190" spans="1:42">
      <c r="A190" s="146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8">
        <f t="shared" si="80"/>
        <v>0</v>
      </c>
      <c r="K190" s="148">
        <f t="shared" si="81"/>
        <v>0</v>
      </c>
      <c r="L190" s="27"/>
      <c r="M190" s="149" t="str">
        <f>VLOOKUP(LEFT(RIGHT(B190,5),4),物品!B:CU,20,FALSE)</f>
        <v>ReplaceableTextures\\CommandButtons\\BTNIZ0E.blp</v>
      </c>
      <c r="N190" s="168" t="s">
        <v>83</v>
      </c>
      <c r="O190" s="149" t="s">
        <v>95</v>
      </c>
      <c r="P190" s="27">
        <v>0</v>
      </c>
      <c r="Q190" s="27">
        <v>0</v>
      </c>
      <c r="R190" s="168" t="s">
        <v>83</v>
      </c>
      <c r="S190" s="168" t="s">
        <v>83</v>
      </c>
      <c r="T190" s="168" t="s">
        <v>83</v>
      </c>
      <c r="U190" s="168" t="s">
        <v>83</v>
      </c>
      <c r="V190" s="27"/>
      <c r="W190" s="27" t="s">
        <v>88</v>
      </c>
      <c r="X190" s="27">
        <v>0</v>
      </c>
      <c r="Y190" s="16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8" t="s">
        <v>83</v>
      </c>
      <c r="AF190" s="168" t="s">
        <v>83</v>
      </c>
      <c r="AG190" s="168" t="s">
        <v>83</v>
      </c>
      <c r="AH190" s="168" t="s">
        <v>83</v>
      </c>
      <c r="AI190" s="27">
        <v>1</v>
      </c>
      <c r="AJ190" s="27"/>
      <c r="AK190" s="27">
        <v>1</v>
      </c>
      <c r="AL190" s="27">
        <v>1</v>
      </c>
      <c r="AM190" s="168" t="s">
        <v>83</v>
      </c>
      <c r="AN190" s="27">
        <v>1</v>
      </c>
      <c r="AO190" s="27">
        <v>1</v>
      </c>
      <c r="AP190" s="27">
        <v>1</v>
      </c>
    </row>
    <row r="191" spans="1:42">
      <c r="A191" s="146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8">
        <f t="shared" si="80"/>
        <v>0</v>
      </c>
      <c r="K191" s="148">
        <f t="shared" si="81"/>
        <v>0</v>
      </c>
      <c r="L191" s="27"/>
      <c r="M191" s="149" t="str">
        <f>VLOOKUP(LEFT(RIGHT(B191,5),4),物品!B:CU,20,FALSE)</f>
        <v>ReplaceableTextures\\CommandButtons\\BTNIZ0F.blp</v>
      </c>
      <c r="N191" s="168" t="s">
        <v>83</v>
      </c>
      <c r="O191" s="149" t="s">
        <v>95</v>
      </c>
      <c r="P191" s="27">
        <v>0</v>
      </c>
      <c r="Q191" s="27">
        <v>0</v>
      </c>
      <c r="R191" s="168" t="s">
        <v>83</v>
      </c>
      <c r="S191" s="168" t="s">
        <v>83</v>
      </c>
      <c r="T191" s="168" t="s">
        <v>83</v>
      </c>
      <c r="U191" s="168" t="s">
        <v>83</v>
      </c>
      <c r="V191" s="27"/>
      <c r="W191" s="27" t="s">
        <v>88</v>
      </c>
      <c r="X191" s="27">
        <v>0</v>
      </c>
      <c r="Y191" s="16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8" t="s">
        <v>83</v>
      </c>
      <c r="AF191" s="168" t="s">
        <v>83</v>
      </c>
      <c r="AG191" s="168" t="s">
        <v>83</v>
      </c>
      <c r="AH191" s="168" t="s">
        <v>83</v>
      </c>
      <c r="AI191" s="27">
        <v>1</v>
      </c>
      <c r="AJ191" s="27"/>
      <c r="AK191" s="27">
        <v>1</v>
      </c>
      <c r="AL191" s="27">
        <v>1</v>
      </c>
      <c r="AM191" s="168" t="s">
        <v>83</v>
      </c>
      <c r="AN191" s="27">
        <v>1</v>
      </c>
      <c r="AO191" s="27">
        <v>1</v>
      </c>
      <c r="AP191" s="27">
        <v>1</v>
      </c>
    </row>
    <row r="192" spans="1:42">
      <c r="A192" s="146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8">
        <f t="shared" si="80"/>
        <v>0</v>
      </c>
      <c r="K192" s="148">
        <f t="shared" si="81"/>
        <v>0</v>
      </c>
      <c r="L192" s="27"/>
      <c r="M192" s="149" t="str">
        <f>VLOOKUP(LEFT(RIGHT(B192,5),4),物品!B:CU,20,FALSE)</f>
        <v>ReplaceableTextures\\CommandButtons\\BTNIZ0G.blp</v>
      </c>
      <c r="N192" s="168" t="s">
        <v>83</v>
      </c>
      <c r="O192" s="149" t="s">
        <v>95</v>
      </c>
      <c r="P192" s="27">
        <v>0</v>
      </c>
      <c r="Q192" s="27">
        <v>0</v>
      </c>
      <c r="R192" s="168" t="s">
        <v>83</v>
      </c>
      <c r="S192" s="168" t="s">
        <v>83</v>
      </c>
      <c r="T192" s="168" t="s">
        <v>83</v>
      </c>
      <c r="U192" s="168" t="s">
        <v>83</v>
      </c>
      <c r="V192" s="27"/>
      <c r="W192" s="27" t="s">
        <v>88</v>
      </c>
      <c r="X192" s="27">
        <v>0</v>
      </c>
      <c r="Y192" s="16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8" t="s">
        <v>83</v>
      </c>
      <c r="AF192" s="168" t="s">
        <v>83</v>
      </c>
      <c r="AG192" s="168" t="s">
        <v>83</v>
      </c>
      <c r="AH192" s="168" t="s">
        <v>83</v>
      </c>
      <c r="AI192" s="27">
        <v>1</v>
      </c>
      <c r="AJ192" s="27"/>
      <c r="AK192" s="27">
        <v>1</v>
      </c>
      <c r="AL192" s="27">
        <v>1</v>
      </c>
      <c r="AM192" s="168" t="s">
        <v>83</v>
      </c>
      <c r="AN192" s="27">
        <v>1</v>
      </c>
      <c r="AO192" s="27">
        <v>1</v>
      </c>
      <c r="AP192" s="27">
        <v>1</v>
      </c>
    </row>
    <row r="193" spans="1:42">
      <c r="A193" s="146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8" t="str">
        <f t="shared" ref="J193:J194" si="82">H193</f>
        <v>|CffFF0000团队副本-万仙阵|r</v>
      </c>
      <c r="K193" s="148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9" t="str">
        <f>VLOOKUP(LEFT(RIGHT(B193,5),4),物品!B:CU,20,FALSE)</f>
        <v>ReplaceableTextures\\CommandButtons\\BTNIZ01.blp</v>
      </c>
      <c r="N193" s="168" t="s">
        <v>83</v>
      </c>
      <c r="O193" s="149" t="s">
        <v>95</v>
      </c>
      <c r="P193" s="27">
        <v>1</v>
      </c>
      <c r="Q193" s="27">
        <v>2</v>
      </c>
      <c r="R193" s="168" t="s">
        <v>83</v>
      </c>
      <c r="S193" s="168" t="s">
        <v>83</v>
      </c>
      <c r="T193" s="168" t="s">
        <v>83</v>
      </c>
      <c r="U193" s="168" t="s">
        <v>83</v>
      </c>
      <c r="V193" s="27"/>
      <c r="W193" s="27" t="s">
        <v>88</v>
      </c>
      <c r="X193" s="27">
        <v>0</v>
      </c>
      <c r="Y193" s="16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8" t="s">
        <v>83</v>
      </c>
      <c r="AF193" s="168" t="s">
        <v>83</v>
      </c>
      <c r="AG193" s="168" t="s">
        <v>83</v>
      </c>
      <c r="AH193" s="168" t="s">
        <v>83</v>
      </c>
      <c r="AI193" s="27">
        <v>1</v>
      </c>
      <c r="AJ193" s="27"/>
      <c r="AK193" s="27">
        <v>1</v>
      </c>
      <c r="AL193" s="27">
        <v>1</v>
      </c>
      <c r="AM193" s="168" t="s">
        <v>83</v>
      </c>
      <c r="AN193" s="27">
        <v>1</v>
      </c>
      <c r="AO193" s="27">
        <v>1</v>
      </c>
      <c r="AP193" s="27">
        <v>1</v>
      </c>
    </row>
    <row r="194" spans="1:42">
      <c r="A194" s="146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8" t="str">
        <f t="shared" si="82"/>
        <v>|Cff00FF7F学习Q技能|r</v>
      </c>
      <c r="K194" s="148" t="str">
        <f t="shared" si="83"/>
        <v>高概率获得D级技能，低概率获得|Cff00ff7fC级技能|r</v>
      </c>
      <c r="L194" s="27"/>
      <c r="M194" s="149" t="str">
        <f>VLOOKUP(LEFT(RIGHT(B194,5),4),物品!B:CU,20,FALSE)</f>
        <v>ReplaceableTextures\\CommandButtons\\BTN023.blp</v>
      </c>
      <c r="N194" s="168" t="s">
        <v>83</v>
      </c>
      <c r="O194" s="149" t="s">
        <v>95</v>
      </c>
      <c r="P194" s="27">
        <v>0</v>
      </c>
      <c r="Q194" s="27">
        <v>0</v>
      </c>
      <c r="R194" s="168" t="s">
        <v>83</v>
      </c>
      <c r="S194" s="168" t="s">
        <v>83</v>
      </c>
      <c r="T194" s="168" t="s">
        <v>83</v>
      </c>
      <c r="U194" s="168" t="s">
        <v>83</v>
      </c>
      <c r="V194" s="27"/>
      <c r="W194" s="27" t="s">
        <v>88</v>
      </c>
      <c r="X194" s="27">
        <v>0</v>
      </c>
      <c r="Y194" s="168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8" t="s">
        <v>83</v>
      </c>
      <c r="AF194" s="168" t="s">
        <v>83</v>
      </c>
      <c r="AG194" s="168" t="s">
        <v>83</v>
      </c>
      <c r="AH194" s="168" t="s">
        <v>83</v>
      </c>
      <c r="AI194" s="27">
        <v>1</v>
      </c>
      <c r="AJ194" s="27"/>
      <c r="AK194" s="27">
        <v>1</v>
      </c>
      <c r="AL194" s="27">
        <v>1</v>
      </c>
      <c r="AM194" s="168" t="s">
        <v>83</v>
      </c>
      <c r="AN194" s="27">
        <v>1</v>
      </c>
      <c r="AO194" s="27">
        <v>1</v>
      </c>
      <c r="AP194" s="27">
        <v>1</v>
      </c>
    </row>
    <row r="195" spans="1:42">
      <c r="A195" s="146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8" t="str">
        <f t="shared" ref="J195:J211" si="84">H195</f>
        <v>|Cff00BFFF学习Q技能|r</v>
      </c>
      <c r="K195" s="148" t="str">
        <f t="shared" ref="K195:K211" si="85">I195</f>
        <v>较高概率获得D级技能，高概率获得|Cff00ff7fC级技能|r，极低概率获得|Cff2693ffB级技能|r。</v>
      </c>
      <c r="L195" s="27"/>
      <c r="M195" s="149" t="str">
        <f>VLOOKUP(LEFT(RIGHT(B195,5),4),物品!B:CU,20,FALSE)</f>
        <v>ReplaceableTextures\\CommandButtons\\BTN020.blp</v>
      </c>
      <c r="N195" s="168" t="s">
        <v>83</v>
      </c>
      <c r="O195" s="149" t="s">
        <v>95</v>
      </c>
      <c r="P195" s="27">
        <v>1</v>
      </c>
      <c r="Q195" s="27">
        <v>0</v>
      </c>
      <c r="R195" s="168" t="s">
        <v>83</v>
      </c>
      <c r="S195" s="168" t="s">
        <v>83</v>
      </c>
      <c r="T195" s="168" t="s">
        <v>83</v>
      </c>
      <c r="U195" s="168" t="s">
        <v>83</v>
      </c>
      <c r="V195" s="27"/>
      <c r="W195" s="27" t="s">
        <v>88</v>
      </c>
      <c r="X195" s="27">
        <v>0</v>
      </c>
      <c r="Y195" s="168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8" t="s">
        <v>83</v>
      </c>
      <c r="AF195" s="168" t="s">
        <v>83</v>
      </c>
      <c r="AG195" s="168" t="s">
        <v>83</v>
      </c>
      <c r="AH195" s="168" t="s">
        <v>83</v>
      </c>
      <c r="AI195" s="27">
        <v>1</v>
      </c>
      <c r="AJ195" s="27"/>
      <c r="AK195" s="27">
        <v>1</v>
      </c>
      <c r="AL195" s="27">
        <v>1</v>
      </c>
      <c r="AM195" s="168" t="s">
        <v>83</v>
      </c>
      <c r="AN195" s="27">
        <v>1</v>
      </c>
      <c r="AO195" s="27">
        <v>1</v>
      </c>
      <c r="AP195" s="27">
        <v>1</v>
      </c>
    </row>
    <row r="196" spans="1:42">
      <c r="A196" s="146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8" t="str">
        <f t="shared" si="84"/>
        <v>|CffFFC926学习Q技能|r</v>
      </c>
      <c r="K196" s="148" t="str">
        <f t="shared" si="85"/>
        <v>低概率获得C级技能，高概率获得|Cff00ff7fB级技能|r，低概率获得|Cff2693ffA级技能|r。</v>
      </c>
      <c r="L196" s="27"/>
      <c r="M196" s="149" t="str">
        <f>VLOOKUP(LEFT(RIGHT(B196,5),4),物品!B:CU,20,FALSE)</f>
        <v>ReplaceableTextures\\CommandButtons\\BTN001.blp</v>
      </c>
      <c r="N196" s="168" t="s">
        <v>83</v>
      </c>
      <c r="O196" s="149" t="s">
        <v>95</v>
      </c>
      <c r="P196" s="27">
        <v>2</v>
      </c>
      <c r="Q196" s="27">
        <v>0</v>
      </c>
      <c r="R196" s="168" t="s">
        <v>83</v>
      </c>
      <c r="S196" s="168" t="s">
        <v>83</v>
      </c>
      <c r="T196" s="168" t="s">
        <v>83</v>
      </c>
      <c r="U196" s="168" t="s">
        <v>83</v>
      </c>
      <c r="V196" s="27"/>
      <c r="W196" s="27" t="s">
        <v>88</v>
      </c>
      <c r="X196" s="27">
        <v>0</v>
      </c>
      <c r="Y196" s="168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8" t="s">
        <v>83</v>
      </c>
      <c r="AF196" s="168" t="s">
        <v>83</v>
      </c>
      <c r="AG196" s="168" t="s">
        <v>83</v>
      </c>
      <c r="AH196" s="168" t="s">
        <v>83</v>
      </c>
      <c r="AI196" s="27">
        <v>1</v>
      </c>
      <c r="AJ196" s="27"/>
      <c r="AK196" s="27">
        <v>1</v>
      </c>
      <c r="AL196" s="27">
        <v>1</v>
      </c>
      <c r="AM196" s="168" t="s">
        <v>83</v>
      </c>
      <c r="AN196" s="27">
        <v>1</v>
      </c>
      <c r="AO196" s="27">
        <v>1</v>
      </c>
      <c r="AP196" s="27">
        <v>1</v>
      </c>
    </row>
    <row r="197" spans="1:42">
      <c r="A197" s="146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8" t="str">
        <f t="shared" si="84"/>
        <v>|Cff00FF7F学习W技能|r</v>
      </c>
      <c r="K197" s="148" t="str">
        <f t="shared" si="85"/>
        <v>高概率获得D级技能，低概率获得|Cff00ff7fC级技能|r</v>
      </c>
      <c r="L197" s="27"/>
      <c r="M197" s="149" t="str">
        <f>VLOOKUP(LEFT(RIGHT(B197,5),4),物品!B:CU,20,FALSE)</f>
        <v>ReplaceableTextures\\CommandButtons\\BTN024.blp</v>
      </c>
      <c r="N197" s="168" t="s">
        <v>83</v>
      </c>
      <c r="O197" s="149" t="s">
        <v>95</v>
      </c>
      <c r="P197" s="27">
        <v>0</v>
      </c>
      <c r="Q197" s="27">
        <v>1</v>
      </c>
      <c r="R197" s="168" t="s">
        <v>83</v>
      </c>
      <c r="S197" s="168" t="s">
        <v>83</v>
      </c>
      <c r="T197" s="168" t="s">
        <v>83</v>
      </c>
      <c r="U197" s="168" t="s">
        <v>83</v>
      </c>
      <c r="V197" s="27"/>
      <c r="W197" s="27" t="s">
        <v>88</v>
      </c>
      <c r="X197" s="27">
        <v>0</v>
      </c>
      <c r="Y197" s="168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8" t="s">
        <v>83</v>
      </c>
      <c r="AF197" s="168" t="s">
        <v>83</v>
      </c>
      <c r="AG197" s="168" t="s">
        <v>83</v>
      </c>
      <c r="AH197" s="168" t="s">
        <v>83</v>
      </c>
      <c r="AI197" s="27">
        <v>1</v>
      </c>
      <c r="AJ197" s="27"/>
      <c r="AK197" s="27">
        <v>1</v>
      </c>
      <c r="AL197" s="27">
        <v>1</v>
      </c>
      <c r="AM197" s="168" t="s">
        <v>83</v>
      </c>
      <c r="AN197" s="27">
        <v>1</v>
      </c>
      <c r="AO197" s="27">
        <v>1</v>
      </c>
      <c r="AP197" s="27">
        <v>1</v>
      </c>
    </row>
    <row r="198" spans="1:42">
      <c r="A198" s="146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8" t="str">
        <f t="shared" ref="J198:J199" si="86">H198</f>
        <v>|Cff00BFFF学习W技能|r</v>
      </c>
      <c r="K198" s="148" t="str">
        <f t="shared" ref="K198:K199" si="87">I198</f>
        <v>较高概率获得D级技能，高概率获得|Cff00ff7fC级技能|r，极低概率获得|Cff2693ffB级技能|r。</v>
      </c>
      <c r="L198" s="27"/>
      <c r="M198" s="149" t="str">
        <f>VLOOKUP(LEFT(RIGHT(B198,5),4),物品!B:CU,20,FALSE)</f>
        <v>ReplaceableTextures\\CommandButtons\\BTN021.blp</v>
      </c>
      <c r="N198" s="168" t="s">
        <v>83</v>
      </c>
      <c r="O198" s="149" t="s">
        <v>95</v>
      </c>
      <c r="P198" s="27">
        <v>1</v>
      </c>
      <c r="Q198" s="27">
        <v>1</v>
      </c>
      <c r="R198" s="168" t="s">
        <v>83</v>
      </c>
      <c r="S198" s="168" t="s">
        <v>83</v>
      </c>
      <c r="T198" s="168" t="s">
        <v>83</v>
      </c>
      <c r="U198" s="168" t="s">
        <v>83</v>
      </c>
      <c r="V198" s="27"/>
      <c r="W198" s="27" t="s">
        <v>88</v>
      </c>
      <c r="X198" s="27">
        <v>0</v>
      </c>
      <c r="Y198" s="168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8" t="s">
        <v>83</v>
      </c>
      <c r="AF198" s="168" t="s">
        <v>83</v>
      </c>
      <c r="AG198" s="168" t="s">
        <v>83</v>
      </c>
      <c r="AH198" s="168" t="s">
        <v>83</v>
      </c>
      <c r="AI198" s="27">
        <v>1</v>
      </c>
      <c r="AJ198" s="27"/>
      <c r="AK198" s="27">
        <v>1</v>
      </c>
      <c r="AL198" s="27">
        <v>1</v>
      </c>
      <c r="AM198" s="168" t="s">
        <v>83</v>
      </c>
      <c r="AN198" s="27">
        <v>1</v>
      </c>
      <c r="AO198" s="27">
        <v>1</v>
      </c>
      <c r="AP198" s="27">
        <v>1</v>
      </c>
    </row>
    <row r="199" spans="1:42">
      <c r="A199" s="146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8" t="str">
        <f t="shared" si="86"/>
        <v>|CffFFC926学习W技能|r</v>
      </c>
      <c r="K199" s="148" t="str">
        <f t="shared" si="87"/>
        <v>低概率获得C级技能，高概率获得|Cff00ff7fB级技能|r，低概率获得|Cff2693ffA级技能|r。</v>
      </c>
      <c r="L199" s="27"/>
      <c r="M199" s="149" t="str">
        <f>VLOOKUP(LEFT(RIGHT(B199,5),4),物品!B:CU,20,FALSE)</f>
        <v>ReplaceableTextures\\CommandButtons\\BTN002.blp</v>
      </c>
      <c r="N199" s="168" t="s">
        <v>83</v>
      </c>
      <c r="O199" s="149" t="s">
        <v>95</v>
      </c>
      <c r="P199" s="27">
        <v>2</v>
      </c>
      <c r="Q199" s="27">
        <v>1</v>
      </c>
      <c r="R199" s="168" t="s">
        <v>83</v>
      </c>
      <c r="S199" s="168" t="s">
        <v>83</v>
      </c>
      <c r="T199" s="168" t="s">
        <v>83</v>
      </c>
      <c r="U199" s="168" t="s">
        <v>83</v>
      </c>
      <c r="V199" s="27"/>
      <c r="W199" s="27" t="s">
        <v>88</v>
      </c>
      <c r="X199" s="27">
        <v>0</v>
      </c>
      <c r="Y199" s="168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8" t="s">
        <v>83</v>
      </c>
      <c r="AF199" s="168" t="s">
        <v>83</v>
      </c>
      <c r="AG199" s="168" t="s">
        <v>83</v>
      </c>
      <c r="AH199" s="168" t="s">
        <v>83</v>
      </c>
      <c r="AI199" s="27">
        <v>1</v>
      </c>
      <c r="AJ199" s="27"/>
      <c r="AK199" s="27">
        <v>1</v>
      </c>
      <c r="AL199" s="27">
        <v>1</v>
      </c>
      <c r="AM199" s="168" t="s">
        <v>83</v>
      </c>
      <c r="AN199" s="27">
        <v>1</v>
      </c>
      <c r="AO199" s="27">
        <v>1</v>
      </c>
      <c r="AP199" s="27">
        <v>1</v>
      </c>
    </row>
    <row r="200" spans="1:42">
      <c r="A200" s="146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8" t="str">
        <f t="shared" si="84"/>
        <v>Q技能附魔石</v>
      </c>
      <c r="K200" s="148" t="str">
        <f t="shared" si="85"/>
        <v>为|Cffffd24dQ技能|r附魔一条|Cffffd24d随机属性|r。</v>
      </c>
      <c r="L200" s="27"/>
      <c r="M200" s="149" t="str">
        <f>VLOOKUP(LEFT(RIGHT(B200,5),4),物品!B:CU,20,FALSE)</f>
        <v>ReplaceableTextures\\CommandButtons\\BTNIN01.blp</v>
      </c>
      <c r="N200" s="168" t="s">
        <v>83</v>
      </c>
      <c r="O200" s="149" t="s">
        <v>95</v>
      </c>
      <c r="P200" s="27">
        <v>0</v>
      </c>
      <c r="Q200" s="27">
        <v>2</v>
      </c>
      <c r="R200" s="168" t="s">
        <v>83</v>
      </c>
      <c r="S200" s="168" t="s">
        <v>83</v>
      </c>
      <c r="T200" s="168" t="s">
        <v>83</v>
      </c>
      <c r="U200" s="168" t="s">
        <v>83</v>
      </c>
      <c r="V200" s="27"/>
      <c r="W200" s="27" t="s">
        <v>93</v>
      </c>
      <c r="X200" s="27">
        <v>0</v>
      </c>
      <c r="Y200" s="16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8" t="s">
        <v>83</v>
      </c>
      <c r="AF200" s="168" t="s">
        <v>83</v>
      </c>
      <c r="AG200" s="168" t="s">
        <v>83</v>
      </c>
      <c r="AH200" s="168" t="s">
        <v>83</v>
      </c>
      <c r="AI200" s="27">
        <v>0</v>
      </c>
      <c r="AJ200" s="27"/>
      <c r="AK200" s="27">
        <v>1</v>
      </c>
      <c r="AL200" s="27">
        <v>1</v>
      </c>
      <c r="AM200" s="168" t="s">
        <v>83</v>
      </c>
      <c r="AN200" s="27">
        <v>1</v>
      </c>
      <c r="AO200" s="27">
        <v>1</v>
      </c>
      <c r="AP200" s="27">
        <v>1</v>
      </c>
    </row>
    <row r="201" spans="1:42">
      <c r="A201" s="146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8" t="str">
        <f t="shared" ref="J201:J203" si="88">H201</f>
        <v>W技能附魔石</v>
      </c>
      <c r="K201" s="148" t="str">
        <f t="shared" ref="K201:K203" si="89">I201</f>
        <v>为|Cffffd24dW技能|r附魔一条|Cffffd24d随机属性|r。</v>
      </c>
      <c r="L201" s="27"/>
      <c r="M201" s="149" t="str">
        <f>VLOOKUP(LEFT(RIGHT(B201,5),4),物品!B:CU,20,FALSE)</f>
        <v>ReplaceableTextures\\CommandButtons\\BTNIN02.blp</v>
      </c>
      <c r="N201" s="168" t="s">
        <v>83</v>
      </c>
      <c r="O201" s="149" t="s">
        <v>95</v>
      </c>
      <c r="P201" s="27">
        <v>1</v>
      </c>
      <c r="Q201" s="27">
        <v>2</v>
      </c>
      <c r="R201" s="168" t="s">
        <v>83</v>
      </c>
      <c r="S201" s="168" t="s">
        <v>83</v>
      </c>
      <c r="T201" s="168" t="s">
        <v>83</v>
      </c>
      <c r="U201" s="168" t="s">
        <v>83</v>
      </c>
      <c r="V201" s="27"/>
      <c r="W201" s="27" t="s">
        <v>93</v>
      </c>
      <c r="X201" s="27">
        <v>0</v>
      </c>
      <c r="Y201" s="16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8" t="s">
        <v>83</v>
      </c>
      <c r="AF201" s="168" t="s">
        <v>83</v>
      </c>
      <c r="AG201" s="168" t="s">
        <v>83</v>
      </c>
      <c r="AH201" s="168" t="s">
        <v>83</v>
      </c>
      <c r="AI201" s="27">
        <v>0</v>
      </c>
      <c r="AJ201" s="27"/>
      <c r="AK201" s="27">
        <v>1</v>
      </c>
      <c r="AL201" s="27">
        <v>1</v>
      </c>
      <c r="AM201" s="168" t="s">
        <v>83</v>
      </c>
      <c r="AN201" s="27">
        <v>1</v>
      </c>
      <c r="AO201" s="27">
        <v>1</v>
      </c>
      <c r="AP201" s="27">
        <v>1</v>
      </c>
    </row>
    <row r="202" spans="1:42">
      <c r="A202" s="146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8" t="str">
        <f t="shared" si="88"/>
        <v>E技能附魔石</v>
      </c>
      <c r="K202" s="148" t="str">
        <f t="shared" si="89"/>
        <v>为|Cffffd24dE技能|r附魔一条|Cffffd24d随机属性|r。</v>
      </c>
      <c r="L202" s="27"/>
      <c r="M202" s="149" t="str">
        <f>VLOOKUP(LEFT(RIGHT(B202,5),4),物品!B:CU,20,FALSE)</f>
        <v>ReplaceableTextures\\CommandButtons\\BTNIN03.blp</v>
      </c>
      <c r="N202" s="168" t="s">
        <v>83</v>
      </c>
      <c r="O202" s="149" t="s">
        <v>95</v>
      </c>
      <c r="P202" s="27">
        <v>2</v>
      </c>
      <c r="Q202" s="27">
        <v>2</v>
      </c>
      <c r="R202" s="168" t="s">
        <v>83</v>
      </c>
      <c r="S202" s="168" t="s">
        <v>83</v>
      </c>
      <c r="T202" s="168" t="s">
        <v>83</v>
      </c>
      <c r="U202" s="168" t="s">
        <v>83</v>
      </c>
      <c r="V202" s="27"/>
      <c r="W202" s="27" t="s">
        <v>93</v>
      </c>
      <c r="X202" s="27">
        <v>0</v>
      </c>
      <c r="Y202" s="16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8" t="s">
        <v>83</v>
      </c>
      <c r="AF202" s="168" t="s">
        <v>83</v>
      </c>
      <c r="AG202" s="168" t="s">
        <v>83</v>
      </c>
      <c r="AH202" s="168" t="s">
        <v>83</v>
      </c>
      <c r="AI202" s="27">
        <v>0</v>
      </c>
      <c r="AJ202" s="27"/>
      <c r="AK202" s="27">
        <v>1</v>
      </c>
      <c r="AL202" s="27">
        <v>1</v>
      </c>
      <c r="AM202" s="168" t="s">
        <v>83</v>
      </c>
      <c r="AN202" s="27">
        <v>1</v>
      </c>
      <c r="AO202" s="27">
        <v>1</v>
      </c>
      <c r="AP202" s="27">
        <v>1</v>
      </c>
    </row>
    <row r="203" spans="1:42">
      <c r="A203" s="146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8" t="str">
        <f t="shared" si="88"/>
        <v>|CffFFD24DQ强力附魔石|r</v>
      </c>
      <c r="K203" s="148" t="str">
        <f t="shared" si="89"/>
        <v>为|Cffffd24dQ技能|r附魔一条|Cffffd24d随机属性|r。</v>
      </c>
      <c r="L203" s="27"/>
      <c r="M203" s="149" t="str">
        <f>VLOOKUP(LEFT(RIGHT(B203,5),4),物品!B:CU,20,FALSE)</f>
        <v>ReplaceableTextures\\CommandButtons\\BTN009.blp</v>
      </c>
      <c r="N203" s="168" t="s">
        <v>83</v>
      </c>
      <c r="O203" s="149" t="s">
        <v>95</v>
      </c>
      <c r="P203" s="27">
        <v>0</v>
      </c>
      <c r="Q203" s="27">
        <v>2</v>
      </c>
      <c r="R203" s="168" t="s">
        <v>83</v>
      </c>
      <c r="S203" s="168" t="s">
        <v>83</v>
      </c>
      <c r="T203" s="168" t="s">
        <v>83</v>
      </c>
      <c r="U203" s="168" t="s">
        <v>83</v>
      </c>
      <c r="V203" s="27"/>
      <c r="W203" s="27" t="s">
        <v>93</v>
      </c>
      <c r="X203" s="27">
        <v>0</v>
      </c>
      <c r="Y203" s="168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8" t="s">
        <v>83</v>
      </c>
      <c r="AF203" s="168" t="s">
        <v>83</v>
      </c>
      <c r="AG203" s="168" t="s">
        <v>83</v>
      </c>
      <c r="AH203" s="168" t="s">
        <v>83</v>
      </c>
      <c r="AI203" s="27">
        <v>0</v>
      </c>
      <c r="AJ203" s="27"/>
      <c r="AK203" s="27">
        <v>1</v>
      </c>
      <c r="AL203" s="27">
        <v>1</v>
      </c>
      <c r="AM203" s="168" t="s">
        <v>83</v>
      </c>
      <c r="AN203" s="27">
        <v>1</v>
      </c>
      <c r="AO203" s="27">
        <v>1</v>
      </c>
      <c r="AP203" s="27">
        <v>1</v>
      </c>
    </row>
    <row r="204" spans="1:42">
      <c r="A204" s="146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8" t="str">
        <f t="shared" ref="J204:J205" si="90">H204</f>
        <v>|CffFFD24DW强力附魔石|r</v>
      </c>
      <c r="K204" s="148" t="str">
        <f t="shared" ref="K204:K205" si="91">I204</f>
        <v>为|Cffffd24dW技能|r附魔一条|Cffffd24d随机属性|r。</v>
      </c>
      <c r="L204" s="27"/>
      <c r="M204" s="149" t="str">
        <f>VLOOKUP(LEFT(RIGHT(B204,5),4),物品!B:CU,20,FALSE)</f>
        <v>ReplaceableTextures\\CommandButtons\\BTN010.blp</v>
      </c>
      <c r="N204" s="168" t="s">
        <v>83</v>
      </c>
      <c r="O204" s="149" t="s">
        <v>95</v>
      </c>
      <c r="P204" s="27">
        <v>1</v>
      </c>
      <c r="Q204" s="27">
        <v>2</v>
      </c>
      <c r="R204" s="168" t="s">
        <v>83</v>
      </c>
      <c r="S204" s="168" t="s">
        <v>83</v>
      </c>
      <c r="T204" s="168" t="s">
        <v>83</v>
      </c>
      <c r="U204" s="168" t="s">
        <v>83</v>
      </c>
      <c r="V204" s="27"/>
      <c r="W204" s="27" t="s">
        <v>93</v>
      </c>
      <c r="X204" s="27">
        <v>0</v>
      </c>
      <c r="Y204" s="168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8" t="s">
        <v>83</v>
      </c>
      <c r="AF204" s="168" t="s">
        <v>83</v>
      </c>
      <c r="AG204" s="168" t="s">
        <v>83</v>
      </c>
      <c r="AH204" s="168" t="s">
        <v>83</v>
      </c>
      <c r="AI204" s="27">
        <v>0</v>
      </c>
      <c r="AJ204" s="27"/>
      <c r="AK204" s="27">
        <v>1</v>
      </c>
      <c r="AL204" s="27">
        <v>1</v>
      </c>
      <c r="AM204" s="168" t="s">
        <v>83</v>
      </c>
      <c r="AN204" s="27">
        <v>1</v>
      </c>
      <c r="AO204" s="27">
        <v>1</v>
      </c>
      <c r="AP204" s="27">
        <v>1</v>
      </c>
    </row>
    <row r="205" spans="1:42">
      <c r="A205" s="146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8" t="str">
        <f t="shared" si="90"/>
        <v>|CffFFD24DE强力附魔石|r</v>
      </c>
      <c r="K205" s="148" t="str">
        <f t="shared" si="91"/>
        <v>为|Cffffd24dE技能|r附魔一条|Cffffd24d随机属性|r。</v>
      </c>
      <c r="L205" s="27"/>
      <c r="M205" s="149" t="str">
        <f>VLOOKUP(LEFT(RIGHT(B205,5),4),物品!B:CU,20,FALSE)</f>
        <v>ReplaceableTextures\\CommandButtons\\BTN011.blp</v>
      </c>
      <c r="N205" s="168" t="s">
        <v>83</v>
      </c>
      <c r="O205" s="149" t="s">
        <v>95</v>
      </c>
      <c r="P205" s="27">
        <v>2</v>
      </c>
      <c r="Q205" s="27">
        <v>2</v>
      </c>
      <c r="R205" s="168" t="s">
        <v>83</v>
      </c>
      <c r="S205" s="168" t="s">
        <v>83</v>
      </c>
      <c r="T205" s="168" t="s">
        <v>83</v>
      </c>
      <c r="U205" s="168" t="s">
        <v>83</v>
      </c>
      <c r="V205" s="27"/>
      <c r="W205" s="27" t="s">
        <v>93</v>
      </c>
      <c r="X205" s="27">
        <v>0</v>
      </c>
      <c r="Y205" s="168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8" t="s">
        <v>83</v>
      </c>
      <c r="AF205" s="168" t="s">
        <v>83</v>
      </c>
      <c r="AG205" s="168" t="s">
        <v>83</v>
      </c>
      <c r="AH205" s="168" t="s">
        <v>83</v>
      </c>
      <c r="AI205" s="27">
        <v>0</v>
      </c>
      <c r="AJ205" s="27"/>
      <c r="AK205" s="27">
        <v>1</v>
      </c>
      <c r="AL205" s="27">
        <v>1</v>
      </c>
      <c r="AM205" s="168" t="s">
        <v>83</v>
      </c>
      <c r="AN205" s="27">
        <v>1</v>
      </c>
      <c r="AO205" s="27">
        <v>1</v>
      </c>
      <c r="AP205" s="27">
        <v>1</v>
      </c>
    </row>
    <row r="206" spans="1:42">
      <c r="A206" s="146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8" t="str">
        <f t="shared" ref="J206" si="92">H206</f>
        <v>|CffFF0000占星|r</v>
      </c>
      <c r="K206" s="148" t="str">
        <f t="shared" ref="K206" si="93">I206</f>
        <v>|CffFF0000占星|r</v>
      </c>
      <c r="L206" s="27"/>
      <c r="M206" s="149" t="str">
        <f>VLOOKUP(LEFT(RIGHT(B206,5),4),物品!B:CU,20,FALSE)</f>
        <v>ReplaceableTextures\\CommandButtons\\BTNIS11.blp</v>
      </c>
      <c r="N206" s="168" t="s">
        <v>83</v>
      </c>
      <c r="O206" s="149" t="s">
        <v>95</v>
      </c>
      <c r="P206" s="27">
        <v>0</v>
      </c>
      <c r="Q206" s="27">
        <v>0</v>
      </c>
      <c r="R206" s="168" t="s">
        <v>83</v>
      </c>
      <c r="S206" s="168" t="s">
        <v>83</v>
      </c>
      <c r="T206" s="168" t="s">
        <v>83</v>
      </c>
      <c r="U206" s="168" t="s">
        <v>83</v>
      </c>
      <c r="V206" s="27"/>
      <c r="W206" s="27" t="s">
        <v>88</v>
      </c>
      <c r="X206" s="27">
        <v>0</v>
      </c>
      <c r="Y206" s="168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8" t="s">
        <v>83</v>
      </c>
      <c r="AF206" s="168" t="s">
        <v>83</v>
      </c>
      <c r="AG206" s="168" t="s">
        <v>83</v>
      </c>
      <c r="AH206" s="168" t="s">
        <v>83</v>
      </c>
      <c r="AI206" s="27">
        <v>1</v>
      </c>
      <c r="AJ206" s="27"/>
      <c r="AK206" s="27">
        <v>1</v>
      </c>
      <c r="AL206" s="27">
        <v>1</v>
      </c>
      <c r="AM206" s="168" t="s">
        <v>83</v>
      </c>
      <c r="AN206" s="27">
        <v>1</v>
      </c>
      <c r="AO206" s="27">
        <v>1</v>
      </c>
      <c r="AP206" s="27">
        <v>1</v>
      </c>
    </row>
    <row r="207" spans="1:42">
      <c r="A207" s="146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8" t="str">
        <f t="shared" si="84"/>
        <v>|CffFFD24D兽魂抽奖|r</v>
      </c>
      <c r="K207" s="148" t="str">
        <f t="shared" si="85"/>
        <v>|CffFFD24D兽魂抽奖|r</v>
      </c>
      <c r="L207" s="27"/>
      <c r="M207" s="149" t="str">
        <f>VLOOKUP(LEFT(RIGHT(B207,5),4),物品!B:CU,20,FALSE)</f>
        <v>ReplaceableTextures\\CommandButtons\\BTNIH00.blp</v>
      </c>
      <c r="N207" s="168" t="s">
        <v>83</v>
      </c>
      <c r="O207" s="149" t="s">
        <v>95</v>
      </c>
      <c r="P207" s="27">
        <v>0</v>
      </c>
      <c r="Q207" s="27">
        <v>0</v>
      </c>
      <c r="R207" s="168" t="s">
        <v>83</v>
      </c>
      <c r="S207" s="168" t="s">
        <v>83</v>
      </c>
      <c r="T207" s="168" t="s">
        <v>83</v>
      </c>
      <c r="U207" s="168" t="s">
        <v>83</v>
      </c>
      <c r="V207" s="27"/>
      <c r="W207" s="27" t="s">
        <v>88</v>
      </c>
      <c r="X207" s="27">
        <v>0</v>
      </c>
      <c r="Y207" s="168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8" t="s">
        <v>83</v>
      </c>
      <c r="AF207" s="168" t="s">
        <v>83</v>
      </c>
      <c r="AG207" s="168" t="s">
        <v>83</v>
      </c>
      <c r="AH207" s="168" t="s">
        <v>83</v>
      </c>
      <c r="AI207" s="27">
        <v>1</v>
      </c>
      <c r="AJ207" s="27"/>
      <c r="AK207" s="27">
        <v>1</v>
      </c>
      <c r="AL207" s="27">
        <v>1</v>
      </c>
      <c r="AM207" s="168" t="s">
        <v>83</v>
      </c>
      <c r="AN207" s="27">
        <v>1</v>
      </c>
      <c r="AO207" s="27">
        <v>1</v>
      </c>
      <c r="AP207" s="27">
        <v>1</v>
      </c>
    </row>
    <row r="208" spans="1:42">
      <c r="A208" s="146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8" t="str">
        <f t="shared" si="84"/>
        <v>|CffFFD24D兽魂抽奖|r</v>
      </c>
      <c r="K208" s="148" t="str">
        <f t="shared" si="85"/>
        <v>|CffFFD24D兽魂抽奖|r</v>
      </c>
      <c r="L208" s="27"/>
      <c r="M208" s="149" t="str">
        <f>VLOOKUP(LEFT(RIGHT(B208,5),4),物品!B:CU,20,FALSE)</f>
        <v>ReplaceableTextures\\CommandButtons\\BTNIH00.blp</v>
      </c>
      <c r="N208" s="168" t="s">
        <v>83</v>
      </c>
      <c r="O208" s="149" t="s">
        <v>95</v>
      </c>
      <c r="P208" s="27">
        <v>0</v>
      </c>
      <c r="Q208" s="27">
        <v>0</v>
      </c>
      <c r="R208" s="168" t="s">
        <v>83</v>
      </c>
      <c r="S208" s="168" t="s">
        <v>83</v>
      </c>
      <c r="T208" s="168" t="s">
        <v>83</v>
      </c>
      <c r="U208" s="168" t="s">
        <v>83</v>
      </c>
      <c r="V208" s="27"/>
      <c r="W208" s="27" t="s">
        <v>88</v>
      </c>
      <c r="X208" s="27">
        <v>0</v>
      </c>
      <c r="Y208" s="168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8" t="s">
        <v>83</v>
      </c>
      <c r="AF208" s="168" t="s">
        <v>83</v>
      </c>
      <c r="AG208" s="168" t="s">
        <v>83</v>
      </c>
      <c r="AH208" s="168" t="s">
        <v>83</v>
      </c>
      <c r="AI208" s="27">
        <v>1</v>
      </c>
      <c r="AJ208" s="27"/>
      <c r="AK208" s="27">
        <v>1</v>
      </c>
      <c r="AL208" s="27">
        <v>1</v>
      </c>
      <c r="AM208" s="168" t="s">
        <v>83</v>
      </c>
      <c r="AN208" s="27">
        <v>1</v>
      </c>
      <c r="AO208" s="27">
        <v>1</v>
      </c>
      <c r="AP208" s="27">
        <v>1</v>
      </c>
    </row>
    <row r="209" spans="1:42">
      <c r="A209" s="146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8" t="str">
        <f t="shared" si="84"/>
        <v>|CffFFD24D占星卜卦|r</v>
      </c>
      <c r="K209" s="148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9" t="str">
        <f>VLOOKUP(LEFT(RIGHT(B209,5),4),物品!B:CU,20,FALSE)</f>
        <v>ReplaceableTextures\\CommandButtons\\BTNIH00.blp</v>
      </c>
      <c r="N209" s="168" t="s">
        <v>83</v>
      </c>
      <c r="O209" s="149" t="s">
        <v>95</v>
      </c>
      <c r="P209" s="27">
        <v>0</v>
      </c>
      <c r="Q209" s="27">
        <v>0</v>
      </c>
      <c r="R209" s="168" t="s">
        <v>83</v>
      </c>
      <c r="S209" s="168" t="s">
        <v>83</v>
      </c>
      <c r="T209" s="168" t="s">
        <v>83</v>
      </c>
      <c r="U209" s="168" t="s">
        <v>83</v>
      </c>
      <c r="V209" s="27"/>
      <c r="W209" s="27" t="s">
        <v>88</v>
      </c>
      <c r="X209" s="27">
        <v>3888</v>
      </c>
      <c r="Y209" s="168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8" t="s">
        <v>83</v>
      </c>
      <c r="AF209" s="168" t="s">
        <v>83</v>
      </c>
      <c r="AG209" s="168" t="s">
        <v>83</v>
      </c>
      <c r="AH209" s="168" t="s">
        <v>83</v>
      </c>
      <c r="AI209" s="27">
        <v>1</v>
      </c>
      <c r="AJ209" s="27"/>
      <c r="AK209" s="27">
        <v>1</v>
      </c>
      <c r="AL209" s="27">
        <v>1</v>
      </c>
      <c r="AM209" s="168" t="s">
        <v>83</v>
      </c>
      <c r="AN209" s="27">
        <v>1</v>
      </c>
      <c r="AO209" s="27">
        <v>1</v>
      </c>
      <c r="AP209" s="27">
        <v>1</v>
      </c>
    </row>
    <row r="210" spans="1:42">
      <c r="A210" s="146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8" t="str">
        <f t="shared" si="84"/>
        <v>|CffFFD24D占星卜卦|r - [|cffffcc0010连|r]</v>
      </c>
      <c r="K210" s="148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9" t="str">
        <f>VLOOKUP(LEFT(RIGHT(B210,5),4),物品!B:CU,20,FALSE)</f>
        <v>ReplaceableTextures\\CommandButtons\\BTNIH00.blp</v>
      </c>
      <c r="N210" s="168" t="s">
        <v>83</v>
      </c>
      <c r="O210" s="149" t="s">
        <v>95</v>
      </c>
      <c r="P210" s="27">
        <v>0</v>
      </c>
      <c r="Q210" s="27">
        <v>0</v>
      </c>
      <c r="R210" s="168" t="s">
        <v>83</v>
      </c>
      <c r="S210" s="168" t="s">
        <v>83</v>
      </c>
      <c r="T210" s="168" t="s">
        <v>83</v>
      </c>
      <c r="U210" s="168" t="s">
        <v>83</v>
      </c>
      <c r="V210" s="27"/>
      <c r="W210" s="27" t="s">
        <v>88</v>
      </c>
      <c r="X210" s="27">
        <v>39999</v>
      </c>
      <c r="Y210" s="168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8" t="s">
        <v>83</v>
      </c>
      <c r="AF210" s="168" t="s">
        <v>83</v>
      </c>
      <c r="AG210" s="168" t="s">
        <v>83</v>
      </c>
      <c r="AH210" s="168" t="s">
        <v>83</v>
      </c>
      <c r="AI210" s="27">
        <v>1</v>
      </c>
      <c r="AJ210" s="27"/>
      <c r="AK210" s="27">
        <v>1</v>
      </c>
      <c r="AL210" s="27">
        <v>1</v>
      </c>
      <c r="AM210" s="168" t="s">
        <v>83</v>
      </c>
      <c r="AN210" s="27">
        <v>1</v>
      </c>
      <c r="AO210" s="27">
        <v>1</v>
      </c>
      <c r="AP210" s="27">
        <v>1</v>
      </c>
    </row>
    <row r="211" spans="1:42">
      <c r="A211" s="146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8" t="str">
        <f t="shared" si="84"/>
        <v>|cffffd24d强化饰品等级|n|r</v>
      </c>
      <c r="K211" s="148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9" t="str">
        <f>VLOOKUP(LEFT(RIGHT(B211,5),4),物品!B:CU,20,FALSE)</f>
        <v>ReplaceableTextures\\CommandButtons\\BTNZ10.blp</v>
      </c>
      <c r="N211" s="168" t="s">
        <v>83</v>
      </c>
      <c r="O211" s="149" t="s">
        <v>95</v>
      </c>
      <c r="P211" s="27">
        <v>1</v>
      </c>
      <c r="Q211" s="27">
        <v>0</v>
      </c>
      <c r="R211" s="168" t="s">
        <v>83</v>
      </c>
      <c r="S211" s="168" t="s">
        <v>83</v>
      </c>
      <c r="T211" s="168" t="s">
        <v>83</v>
      </c>
      <c r="U211" s="168" t="s">
        <v>83</v>
      </c>
      <c r="V211" s="27"/>
      <c r="W211" s="27" t="s">
        <v>88</v>
      </c>
      <c r="X211" s="27">
        <v>0</v>
      </c>
      <c r="Y211" s="168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8" t="s">
        <v>83</v>
      </c>
      <c r="AF211" s="168" t="s">
        <v>83</v>
      </c>
      <c r="AG211" s="168" t="s">
        <v>83</v>
      </c>
      <c r="AH211" s="168" t="s">
        <v>83</v>
      </c>
      <c r="AI211" s="27">
        <v>1</v>
      </c>
      <c r="AJ211" s="27"/>
      <c r="AK211" s="27">
        <v>1</v>
      </c>
      <c r="AL211" s="27">
        <v>1</v>
      </c>
      <c r="AM211" s="168" t="s">
        <v>83</v>
      </c>
      <c r="AN211" s="27">
        <v>1</v>
      </c>
      <c r="AO211" s="27">
        <v>1</v>
      </c>
      <c r="AP211" s="27">
        <v>1</v>
      </c>
    </row>
    <row r="212" spans="1:42">
      <c r="A212" s="146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8" t="str">
        <f t="shared" ref="J212" si="94">H212</f>
        <v>|CffFFD24D强化药品等级|r</v>
      </c>
      <c r="K212" s="148" t="str">
        <f t="shared" ref="K212" si="95">I212</f>
        <v>|cffffcc00升级消耗：|r150+等级*150杀敌数|n|n|cff00ff7f最高升至10级|r</v>
      </c>
      <c r="L212" s="27"/>
      <c r="M212" s="149" t="str">
        <f>VLOOKUP(LEFT(RIGHT(B212,5),4),物品!B:CU,20,FALSE)</f>
        <v>ReplaceableTextures\\CommandButtons\\BTNAG06.blp</v>
      </c>
      <c r="N212" s="168" t="s">
        <v>83</v>
      </c>
      <c r="O212" s="149" t="s">
        <v>95</v>
      </c>
      <c r="P212" s="27">
        <v>0</v>
      </c>
      <c r="Q212" s="27">
        <v>1</v>
      </c>
      <c r="R212" s="168" t="s">
        <v>83</v>
      </c>
      <c r="S212" s="168" t="s">
        <v>83</v>
      </c>
      <c r="T212" s="168" t="s">
        <v>83</v>
      </c>
      <c r="U212" s="168" t="s">
        <v>83</v>
      </c>
      <c r="V212" s="27"/>
      <c r="W212" s="27" t="s">
        <v>88</v>
      </c>
      <c r="X212" s="27">
        <v>0</v>
      </c>
      <c r="Y212" s="16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8" t="s">
        <v>83</v>
      </c>
      <c r="AF212" s="168" t="s">
        <v>83</v>
      </c>
      <c r="AG212" s="168" t="s">
        <v>83</v>
      </c>
      <c r="AH212" s="168" t="s">
        <v>83</v>
      </c>
      <c r="AI212" s="27">
        <v>1</v>
      </c>
      <c r="AJ212" s="27"/>
      <c r="AK212" s="27">
        <v>1</v>
      </c>
      <c r="AL212" s="27">
        <v>1</v>
      </c>
      <c r="AM212" s="168" t="s">
        <v>83</v>
      </c>
      <c r="AN212" s="27">
        <v>1</v>
      </c>
      <c r="AO212" s="27">
        <v>1</v>
      </c>
      <c r="AP212" s="27">
        <v>1</v>
      </c>
    </row>
    <row r="213" spans="1:42">
      <c r="A213" s="146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8" t="str">
        <f t="shared" ref="J213:K217" si="96">H213</f>
        <v>公众号礼包</v>
      </c>
      <c r="K213" s="148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49" t="str">
        <f>VLOOKUP(LEFT(RIGHT(B213,5),4),物品!B:CU,20,FALSE)</f>
        <v>ReplaceableTextures\\CommandButtons\\BTNIB01.blp</v>
      </c>
      <c r="N213" s="168" t="s">
        <v>83</v>
      </c>
      <c r="O213" s="149" t="s">
        <v>95</v>
      </c>
      <c r="P213" s="27">
        <v>0</v>
      </c>
      <c r="Q213" s="27">
        <v>0</v>
      </c>
      <c r="R213" s="168" t="s">
        <v>83</v>
      </c>
      <c r="S213" s="168" t="s">
        <v>83</v>
      </c>
      <c r="T213" s="168" t="s">
        <v>83</v>
      </c>
      <c r="U213" s="168" t="s">
        <v>83</v>
      </c>
      <c r="V213" s="27"/>
      <c r="W213" s="27" t="s">
        <v>88</v>
      </c>
      <c r="X213" s="27">
        <v>0</v>
      </c>
      <c r="Y213" s="16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8" t="s">
        <v>83</v>
      </c>
      <c r="AF213" s="168" t="s">
        <v>83</v>
      </c>
      <c r="AG213" s="168" t="s">
        <v>83</v>
      </c>
      <c r="AH213" s="168" t="s">
        <v>83</v>
      </c>
      <c r="AI213" s="27">
        <v>1</v>
      </c>
      <c r="AJ213" s="27"/>
      <c r="AK213" s="27">
        <v>1</v>
      </c>
      <c r="AL213" s="27">
        <v>1</v>
      </c>
      <c r="AM213" s="168" t="s">
        <v>83</v>
      </c>
      <c r="AN213" s="27">
        <v>1</v>
      </c>
      <c r="AO213" s="27">
        <v>1</v>
      </c>
      <c r="AP213" s="27">
        <v>1</v>
      </c>
    </row>
    <row r="214" spans="1:42">
      <c r="A214" s="146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48" t="str">
        <f t="shared" si="96"/>
        <v>入群礼包</v>
      </c>
      <c r="K214" s="148" t="str">
        <f t="shared" si="96"/>
        <v>加入《|cff00ffcc全民封神|r》官方QQ群，即可获得入群礼包码！|n|n输入礼包码即可获得：|n|cff00ff7f招魂幡Lv2|r</v>
      </c>
      <c r="L214" s="27"/>
      <c r="M214" s="149" t="str">
        <f>VLOOKUP(LEFT(RIGHT(B214,5),4),物品!B:CU,20,FALSE)</f>
        <v>ReplaceableTextures\\CommandButtons\\BTNIB02.blp</v>
      </c>
      <c r="N214" s="168" t="s">
        <v>83</v>
      </c>
      <c r="O214" s="149" t="s">
        <v>95</v>
      </c>
      <c r="P214" s="27">
        <v>1</v>
      </c>
      <c r="Q214" s="27">
        <v>0</v>
      </c>
      <c r="R214" s="168" t="s">
        <v>83</v>
      </c>
      <c r="S214" s="168" t="s">
        <v>83</v>
      </c>
      <c r="T214" s="168" t="s">
        <v>83</v>
      </c>
      <c r="U214" s="168" t="s">
        <v>83</v>
      </c>
      <c r="V214" s="27"/>
      <c r="W214" s="27" t="s">
        <v>88</v>
      </c>
      <c r="X214" s="27">
        <v>0</v>
      </c>
      <c r="Y214" s="16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8" t="s">
        <v>83</v>
      </c>
      <c r="AF214" s="168" t="s">
        <v>83</v>
      </c>
      <c r="AG214" s="168" t="s">
        <v>83</v>
      </c>
      <c r="AH214" s="168" t="s">
        <v>83</v>
      </c>
      <c r="AI214" s="27">
        <v>1</v>
      </c>
      <c r="AJ214" s="27"/>
      <c r="AK214" s="27">
        <v>1</v>
      </c>
      <c r="AL214" s="27">
        <v>1</v>
      </c>
      <c r="AM214" s="168" t="s">
        <v>83</v>
      </c>
      <c r="AN214" s="27">
        <v>1</v>
      </c>
      <c r="AO214" s="27">
        <v>1</v>
      </c>
      <c r="AP214" s="27">
        <v>1</v>
      </c>
    </row>
    <row r="215" spans="1:42">
      <c r="A215" s="146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48" t="str">
        <f t="shared" si="96"/>
        <v>拜年礼包</v>
      </c>
      <c r="K215" s="148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49" t="str">
        <f>VLOOKUP(LEFT(RIGHT(B215,5),4),物品!B:CU,20,FALSE)</f>
        <v>ReplaceableTextures\\CommandButtons\\BTNIB03.blp</v>
      </c>
      <c r="N215" s="168" t="s">
        <v>83</v>
      </c>
      <c r="O215" s="149" t="s">
        <v>95</v>
      </c>
      <c r="P215" s="27">
        <v>2</v>
      </c>
      <c r="Q215" s="27">
        <v>0</v>
      </c>
      <c r="R215" s="168" t="s">
        <v>83</v>
      </c>
      <c r="S215" s="168" t="s">
        <v>83</v>
      </c>
      <c r="T215" s="168" t="s">
        <v>83</v>
      </c>
      <c r="U215" s="168" t="s">
        <v>83</v>
      </c>
      <c r="V215" s="27"/>
      <c r="W215" s="27" t="s">
        <v>88</v>
      </c>
      <c r="X215" s="27">
        <v>0</v>
      </c>
      <c r="Y215" s="16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8" t="s">
        <v>83</v>
      </c>
      <c r="AF215" s="168" t="s">
        <v>83</v>
      </c>
      <c r="AG215" s="168" t="s">
        <v>83</v>
      </c>
      <c r="AH215" s="168" t="s">
        <v>83</v>
      </c>
      <c r="AI215" s="27">
        <v>1</v>
      </c>
      <c r="AJ215" s="27"/>
      <c r="AK215" s="27">
        <v>1</v>
      </c>
      <c r="AL215" s="27">
        <v>1</v>
      </c>
      <c r="AM215" s="168" t="s">
        <v>83</v>
      </c>
      <c r="AN215" s="27">
        <v>1</v>
      </c>
      <c r="AO215" s="27">
        <v>1</v>
      </c>
      <c r="AP215" s="27">
        <v>1</v>
      </c>
    </row>
    <row r="216" spans="1:42">
      <c r="A216" s="146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8" t="str">
        <f t="shared" si="96"/>
        <v>收藏礼包</v>
      </c>
      <c r="K216" s="148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9" t="str">
        <f>VLOOKUP(LEFT(RIGHT(B216,5),4),物品!B:CU,20,FALSE)</f>
        <v>ReplaceableTextures\\CommandButtons\\BTNIB04.blp</v>
      </c>
      <c r="N216" s="168" t="s">
        <v>83</v>
      </c>
      <c r="O216" s="149" t="s">
        <v>95</v>
      </c>
      <c r="P216" s="27">
        <v>3</v>
      </c>
      <c r="Q216" s="27">
        <v>0</v>
      </c>
      <c r="R216" s="168" t="s">
        <v>83</v>
      </c>
      <c r="S216" s="168" t="s">
        <v>83</v>
      </c>
      <c r="T216" s="168" t="s">
        <v>83</v>
      </c>
      <c r="U216" s="168" t="s">
        <v>83</v>
      </c>
      <c r="V216" s="27"/>
      <c r="W216" s="27" t="s">
        <v>88</v>
      </c>
      <c r="X216" s="27">
        <v>0</v>
      </c>
      <c r="Y216" s="16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8" t="s">
        <v>83</v>
      </c>
      <c r="AF216" s="168" t="s">
        <v>83</v>
      </c>
      <c r="AG216" s="168" t="s">
        <v>83</v>
      </c>
      <c r="AH216" s="168" t="s">
        <v>83</v>
      </c>
      <c r="AI216" s="27">
        <v>1</v>
      </c>
      <c r="AJ216" s="27"/>
      <c r="AK216" s="27">
        <v>1</v>
      </c>
      <c r="AL216" s="27">
        <v>1</v>
      </c>
      <c r="AM216" s="168" t="s">
        <v>83</v>
      </c>
      <c r="AN216" s="27">
        <v>1</v>
      </c>
      <c r="AO216" s="27">
        <v>1</v>
      </c>
      <c r="AP216" s="27">
        <v>1</v>
      </c>
    </row>
    <row r="217" spans="1:42">
      <c r="A217" s="146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48" t="str">
        <f t="shared" si="96"/>
        <v>重置版礼包</v>
      </c>
      <c r="K217" s="148" t="str">
        <f t="shared" si="96"/>
        <v>|cff33ff00购买魔兽重制版可领取该礼包！|n|n|r属性：|n|cffffcc33金币+1000|n每秒攻击+2|n每秒业力+1|r</v>
      </c>
      <c r="L217" s="27"/>
      <c r="M217" s="149" t="str">
        <f>VLOOKUP(LEFT(RIGHT(B217,5),4),物品!B:CU,20,FALSE)</f>
        <v>ReplaceableTextures\\CommandButtons\\BTNIB05.blp</v>
      </c>
      <c r="N217" s="168" t="s">
        <v>83</v>
      </c>
      <c r="O217" s="149" t="s">
        <v>95</v>
      </c>
      <c r="P217" s="27">
        <v>0</v>
      </c>
      <c r="Q217" s="27">
        <v>1</v>
      </c>
      <c r="R217" s="168" t="s">
        <v>83</v>
      </c>
      <c r="S217" s="168" t="s">
        <v>83</v>
      </c>
      <c r="T217" s="168" t="s">
        <v>83</v>
      </c>
      <c r="U217" s="168" t="s">
        <v>83</v>
      </c>
      <c r="V217" s="27"/>
      <c r="W217" s="27" t="s">
        <v>88</v>
      </c>
      <c r="X217" s="27">
        <v>0</v>
      </c>
      <c r="Y217" s="16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8" t="s">
        <v>83</v>
      </c>
      <c r="AF217" s="168" t="s">
        <v>83</v>
      </c>
      <c r="AG217" s="168" t="s">
        <v>83</v>
      </c>
      <c r="AH217" s="168" t="s">
        <v>83</v>
      </c>
      <c r="AI217" s="27">
        <v>1</v>
      </c>
      <c r="AJ217" s="27"/>
      <c r="AK217" s="27">
        <v>1</v>
      </c>
      <c r="AL217" s="27">
        <v>1</v>
      </c>
      <c r="AM217" s="168" t="s">
        <v>83</v>
      </c>
      <c r="AN217" s="27">
        <v>1</v>
      </c>
      <c r="AO217" s="27">
        <v>1</v>
      </c>
      <c r="AP217" s="27">
        <v>1</v>
      </c>
    </row>
    <row r="218" spans="1:42">
      <c r="A218" s="146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8" t="str">
        <f t="shared" ref="J218:J222" si="97">H218</f>
        <v>公会福利</v>
      </c>
      <c r="K218" s="148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49" t="str">
        <f>VLOOKUP(LEFT(RIGHT(B218,5),4),物品!B:CU,20,FALSE)</f>
        <v>ReplaceableTextures\\CommandButtons\\BTNIB06.blp</v>
      </c>
      <c r="N218" s="168" t="s">
        <v>83</v>
      </c>
      <c r="O218" s="149" t="s">
        <v>95</v>
      </c>
      <c r="P218" s="27">
        <v>1</v>
      </c>
      <c r="Q218" s="27">
        <v>1</v>
      </c>
      <c r="R218" s="168" t="s">
        <v>83</v>
      </c>
      <c r="S218" s="168" t="s">
        <v>83</v>
      </c>
      <c r="T218" s="168" t="s">
        <v>83</v>
      </c>
      <c r="U218" s="168" t="s">
        <v>83</v>
      </c>
      <c r="V218" s="27"/>
      <c r="W218" s="27" t="s">
        <v>88</v>
      </c>
      <c r="X218" s="27">
        <v>0</v>
      </c>
      <c r="Y218" s="16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8" t="s">
        <v>83</v>
      </c>
      <c r="AF218" s="168" t="s">
        <v>83</v>
      </c>
      <c r="AG218" s="168" t="s">
        <v>83</v>
      </c>
      <c r="AH218" s="168" t="s">
        <v>83</v>
      </c>
      <c r="AI218" s="27">
        <v>1</v>
      </c>
      <c r="AJ218" s="27"/>
      <c r="AK218" s="27">
        <v>1</v>
      </c>
      <c r="AL218" s="27">
        <v>1</v>
      </c>
      <c r="AM218" s="168" t="s">
        <v>83</v>
      </c>
      <c r="AN218" s="27">
        <v>1</v>
      </c>
      <c r="AO218" s="27">
        <v>1</v>
      </c>
      <c r="AP218" s="27">
        <v>1</v>
      </c>
    </row>
    <row r="219" spans="1:42">
      <c r="A219" s="146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8" t="str">
        <f t="shared" si="97"/>
        <v>星耀礼包</v>
      </c>
      <c r="K219" s="148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49" t="str">
        <f>VLOOKUP(LEFT(RIGHT(B219,5),4),物品!B:CU,20,FALSE)</f>
        <v>ReplaceableTextures\\CommandButtons\\BTNIB07.blp</v>
      </c>
      <c r="N219" s="168" t="s">
        <v>83</v>
      </c>
      <c r="O219" s="149" t="s">
        <v>95</v>
      </c>
      <c r="P219" s="27">
        <v>2</v>
      </c>
      <c r="Q219" s="27">
        <v>1</v>
      </c>
      <c r="R219" s="168" t="s">
        <v>83</v>
      </c>
      <c r="S219" s="168" t="s">
        <v>83</v>
      </c>
      <c r="T219" s="168" t="s">
        <v>83</v>
      </c>
      <c r="U219" s="168" t="s">
        <v>83</v>
      </c>
      <c r="V219" s="27"/>
      <c r="W219" s="27" t="s">
        <v>88</v>
      </c>
      <c r="X219" s="27">
        <v>0</v>
      </c>
      <c r="Y219" s="16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8" t="s">
        <v>83</v>
      </c>
      <c r="AF219" s="168" t="s">
        <v>83</v>
      </c>
      <c r="AG219" s="168" t="s">
        <v>83</v>
      </c>
      <c r="AH219" s="168" t="s">
        <v>83</v>
      </c>
      <c r="AI219" s="27">
        <v>1</v>
      </c>
      <c r="AJ219" s="27"/>
      <c r="AK219" s="27">
        <v>1</v>
      </c>
      <c r="AL219" s="27">
        <v>1</v>
      </c>
      <c r="AM219" s="168" t="s">
        <v>83</v>
      </c>
      <c r="AN219" s="27">
        <v>1</v>
      </c>
      <c r="AO219" s="27">
        <v>1</v>
      </c>
      <c r="AP219" s="27">
        <v>1</v>
      </c>
    </row>
    <row r="220" spans="1:42">
      <c r="A220" s="146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8" t="str">
        <f t="shared" si="97"/>
        <v>魔芝RPG礼包</v>
      </c>
      <c r="K220" s="148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9" t="str">
        <f>VLOOKUP(LEFT(RIGHT(B220,5),4),物品!B:CU,20,FALSE)</f>
        <v>ReplaceableTextures\\CommandButtons\\BTNIB08.blp</v>
      </c>
      <c r="N220" s="168" t="s">
        <v>83</v>
      </c>
      <c r="O220" s="149" t="s">
        <v>95</v>
      </c>
      <c r="P220" s="27">
        <v>2</v>
      </c>
      <c r="Q220" s="27">
        <v>0</v>
      </c>
      <c r="R220" s="168" t="s">
        <v>83</v>
      </c>
      <c r="S220" s="168" t="s">
        <v>83</v>
      </c>
      <c r="T220" s="168" t="s">
        <v>83</v>
      </c>
      <c r="U220" s="168" t="s">
        <v>83</v>
      </c>
      <c r="V220" s="27"/>
      <c r="W220" s="27" t="s">
        <v>88</v>
      </c>
      <c r="X220" s="27">
        <v>0</v>
      </c>
      <c r="Y220" s="16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8" t="s">
        <v>83</v>
      </c>
      <c r="AF220" s="168" t="s">
        <v>83</v>
      </c>
      <c r="AG220" s="168" t="s">
        <v>83</v>
      </c>
      <c r="AH220" s="168" t="s">
        <v>83</v>
      </c>
      <c r="AI220" s="27">
        <v>1</v>
      </c>
      <c r="AJ220" s="27"/>
      <c r="AK220" s="27">
        <v>1</v>
      </c>
      <c r="AL220" s="27">
        <v>1</v>
      </c>
      <c r="AM220" s="168" t="s">
        <v>83</v>
      </c>
      <c r="AN220" s="27">
        <v>1</v>
      </c>
      <c r="AO220" s="27">
        <v>1</v>
      </c>
      <c r="AP220" s="27">
        <v>1</v>
      </c>
    </row>
    <row r="221" spans="1:42">
      <c r="A221" s="146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8" t="str">
        <f t="shared" si="97"/>
        <v>老铁礼包</v>
      </c>
      <c r="K221" s="148">
        <f t="shared" si="98"/>
        <v>0</v>
      </c>
      <c r="L221" s="27"/>
      <c r="M221" s="149" t="str">
        <f>VLOOKUP(LEFT(RIGHT(B221,5),4),物品!B:CU,20,FALSE)</f>
        <v>ReplaceableTextures\\CommandButtons\\BTNIB09.blp</v>
      </c>
      <c r="N221" s="168" t="s">
        <v>83</v>
      </c>
      <c r="O221" s="149" t="s">
        <v>95</v>
      </c>
      <c r="P221" s="27">
        <v>0</v>
      </c>
      <c r="Q221" s="27">
        <v>0</v>
      </c>
      <c r="R221" s="168" t="s">
        <v>83</v>
      </c>
      <c r="S221" s="168" t="s">
        <v>83</v>
      </c>
      <c r="T221" s="168" t="s">
        <v>83</v>
      </c>
      <c r="U221" s="168" t="s">
        <v>83</v>
      </c>
      <c r="V221" s="27"/>
      <c r="W221" s="27" t="s">
        <v>88</v>
      </c>
      <c r="X221" s="27">
        <v>0</v>
      </c>
      <c r="Y221" s="16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8" t="s">
        <v>83</v>
      </c>
      <c r="AF221" s="168" t="s">
        <v>83</v>
      </c>
      <c r="AG221" s="168" t="s">
        <v>83</v>
      </c>
      <c r="AH221" s="168" t="s">
        <v>83</v>
      </c>
      <c r="AI221" s="27">
        <v>1</v>
      </c>
      <c r="AJ221" s="27"/>
      <c r="AK221" s="27">
        <v>1</v>
      </c>
      <c r="AL221" s="27">
        <v>1</v>
      </c>
      <c r="AM221" s="168" t="s">
        <v>83</v>
      </c>
      <c r="AN221" s="27">
        <v>1</v>
      </c>
      <c r="AO221" s="27">
        <v>1</v>
      </c>
      <c r="AP221" s="27">
        <v>1</v>
      </c>
    </row>
    <row r="222" spans="1:42">
      <c r="A222" s="146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8" t="str">
        <f t="shared" si="97"/>
        <v>已领取公众号礼包</v>
      </c>
      <c r="K222" s="148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49" t="str">
        <f>VLOOKUP(LEFT(RIGHT(B222,5),4),物品!B:CU,20,FALSE)</f>
        <v>ReplaceableTextures\\commandButtons\\BTNLBUI01.blp</v>
      </c>
      <c r="N222" s="168" t="s">
        <v>83</v>
      </c>
      <c r="O222" s="149" t="s">
        <v>95</v>
      </c>
      <c r="P222" s="27">
        <v>0</v>
      </c>
      <c r="Q222" s="27">
        <v>0</v>
      </c>
      <c r="R222" s="168" t="s">
        <v>83</v>
      </c>
      <c r="S222" s="168" t="s">
        <v>83</v>
      </c>
      <c r="T222" s="168" t="s">
        <v>83</v>
      </c>
      <c r="U222" s="168" t="s">
        <v>83</v>
      </c>
      <c r="V222" s="27"/>
      <c r="W222" s="27" t="s">
        <v>88</v>
      </c>
      <c r="X222" s="27">
        <v>0</v>
      </c>
      <c r="Y222" s="168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8" t="s">
        <v>83</v>
      </c>
      <c r="AF222" s="168" t="s">
        <v>83</v>
      </c>
      <c r="AG222" s="168" t="s">
        <v>83</v>
      </c>
      <c r="AH222" s="168" t="s">
        <v>83</v>
      </c>
      <c r="AI222" s="27">
        <v>1</v>
      </c>
      <c r="AJ222" s="27"/>
      <c r="AK222" s="27">
        <v>1</v>
      </c>
      <c r="AL222" s="27">
        <v>1</v>
      </c>
      <c r="AM222" s="168" t="s">
        <v>83</v>
      </c>
      <c r="AN222" s="27">
        <v>1</v>
      </c>
      <c r="AO222" s="27">
        <v>1</v>
      </c>
      <c r="AP222" s="27">
        <v>1</v>
      </c>
    </row>
    <row r="223" spans="1:42">
      <c r="A223" s="146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48" t="str">
        <f t="shared" ref="J223:J234" si="99">H223</f>
        <v>已领取入群礼包</v>
      </c>
      <c r="K223" s="148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49" t="str">
        <f>VLOOKUP(LEFT(RIGHT(B223,5),4),物品!B:CU,20,FALSE)</f>
        <v>ReplaceableTextures\\commandButtons\\BTNLBUI01.blp</v>
      </c>
      <c r="N223" s="168" t="s">
        <v>83</v>
      </c>
      <c r="O223" s="149" t="s">
        <v>95</v>
      </c>
      <c r="P223" s="27">
        <v>1</v>
      </c>
      <c r="Q223" s="27">
        <v>0</v>
      </c>
      <c r="R223" s="168" t="s">
        <v>83</v>
      </c>
      <c r="S223" s="168" t="s">
        <v>83</v>
      </c>
      <c r="T223" s="168" t="s">
        <v>83</v>
      </c>
      <c r="U223" s="168" t="s">
        <v>83</v>
      </c>
      <c r="V223" s="27"/>
      <c r="W223" s="27" t="s">
        <v>88</v>
      </c>
      <c r="X223" s="27">
        <v>0</v>
      </c>
      <c r="Y223" s="168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8" t="s">
        <v>83</v>
      </c>
      <c r="AF223" s="168" t="s">
        <v>83</v>
      </c>
      <c r="AG223" s="168" t="s">
        <v>83</v>
      </c>
      <c r="AH223" s="168" t="s">
        <v>83</v>
      </c>
      <c r="AI223" s="27">
        <v>1</v>
      </c>
      <c r="AJ223" s="27"/>
      <c r="AK223" s="27">
        <v>1</v>
      </c>
      <c r="AL223" s="27">
        <v>1</v>
      </c>
      <c r="AM223" s="168" t="s">
        <v>83</v>
      </c>
      <c r="AN223" s="27">
        <v>1</v>
      </c>
      <c r="AO223" s="27">
        <v>1</v>
      </c>
      <c r="AP223" s="27">
        <v>1</v>
      </c>
    </row>
    <row r="224" spans="1:42">
      <c r="A224" s="146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48" t="str">
        <f t="shared" si="99"/>
        <v>已领取拜年礼包</v>
      </c>
      <c r="K224" s="148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49" t="str">
        <f>VLOOKUP(LEFT(RIGHT(B224,5),4),物品!B:CU,20,FALSE)</f>
        <v>ReplaceableTextures\\commandButtons\\BTNLBUI01.blp</v>
      </c>
      <c r="N224" s="168" t="s">
        <v>83</v>
      </c>
      <c r="O224" s="149" t="s">
        <v>95</v>
      </c>
      <c r="P224" s="27">
        <v>2</v>
      </c>
      <c r="Q224" s="27">
        <v>0</v>
      </c>
      <c r="R224" s="168" t="s">
        <v>83</v>
      </c>
      <c r="S224" s="168" t="s">
        <v>83</v>
      </c>
      <c r="T224" s="168" t="s">
        <v>83</v>
      </c>
      <c r="U224" s="168" t="s">
        <v>83</v>
      </c>
      <c r="V224" s="27"/>
      <c r="W224" s="27" t="s">
        <v>88</v>
      </c>
      <c r="X224" s="27">
        <v>0</v>
      </c>
      <c r="Y224" s="168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8" t="s">
        <v>83</v>
      </c>
      <c r="AF224" s="168" t="s">
        <v>83</v>
      </c>
      <c r="AG224" s="168" t="s">
        <v>83</v>
      </c>
      <c r="AH224" s="168" t="s">
        <v>83</v>
      </c>
      <c r="AI224" s="27">
        <v>1</v>
      </c>
      <c r="AJ224" s="27"/>
      <c r="AK224" s="27">
        <v>1</v>
      </c>
      <c r="AL224" s="27">
        <v>1</v>
      </c>
      <c r="AM224" s="168" t="s">
        <v>83</v>
      </c>
      <c r="AN224" s="27">
        <v>1</v>
      </c>
      <c r="AO224" s="27">
        <v>1</v>
      </c>
      <c r="AP224" s="27">
        <v>1</v>
      </c>
    </row>
    <row r="225" spans="1:42">
      <c r="A225" s="146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48" t="str">
        <f t="shared" si="99"/>
        <v>已领取收藏礼包</v>
      </c>
      <c r="K225" s="148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49" t="str">
        <f>VLOOKUP(LEFT(RIGHT(B225,5),4),物品!B:CU,20,FALSE)</f>
        <v>ReplaceableTextures\\commandButtons\\BTNLBUI01.blp</v>
      </c>
      <c r="N225" s="168" t="s">
        <v>83</v>
      </c>
      <c r="O225" s="149" t="s">
        <v>95</v>
      </c>
      <c r="P225" s="27">
        <v>3</v>
      </c>
      <c r="Q225" s="27">
        <v>0</v>
      </c>
      <c r="R225" s="168" t="s">
        <v>83</v>
      </c>
      <c r="S225" s="168" t="s">
        <v>83</v>
      </c>
      <c r="T225" s="168" t="s">
        <v>83</v>
      </c>
      <c r="U225" s="168" t="s">
        <v>83</v>
      </c>
      <c r="V225" s="27"/>
      <c r="W225" s="27" t="s">
        <v>88</v>
      </c>
      <c r="X225" s="27">
        <v>0</v>
      </c>
      <c r="Y225" s="168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8" t="s">
        <v>83</v>
      </c>
      <c r="AF225" s="168" t="s">
        <v>83</v>
      </c>
      <c r="AG225" s="168" t="s">
        <v>83</v>
      </c>
      <c r="AH225" s="168" t="s">
        <v>83</v>
      </c>
      <c r="AI225" s="27">
        <v>1</v>
      </c>
      <c r="AJ225" s="27"/>
      <c r="AK225" s="27">
        <v>1</v>
      </c>
      <c r="AL225" s="27">
        <v>1</v>
      </c>
      <c r="AM225" s="168" t="s">
        <v>83</v>
      </c>
      <c r="AN225" s="27">
        <v>1</v>
      </c>
      <c r="AO225" s="27">
        <v>1</v>
      </c>
      <c r="AP225" s="27">
        <v>1</v>
      </c>
    </row>
    <row r="226" spans="1:42">
      <c r="A226" s="146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48" t="str">
        <f t="shared" si="99"/>
        <v>已领取重置版礼包</v>
      </c>
      <c r="K226" s="148" t="str">
        <f t="shared" si="100"/>
        <v>|cff33ff00购买魔兽重制版可领取该礼包！|n|n|r属性：|n|cffffcc33金币+1000|n每秒攻击+2|n每秒业力+1|r</v>
      </c>
      <c r="L226" s="27"/>
      <c r="M226" s="149" t="str">
        <f>VLOOKUP(LEFT(RIGHT(B226,5),4),物品!B:CU,20,FALSE)</f>
        <v>ReplaceableTextures\\commandButtons\\BTNLBUI01.blp</v>
      </c>
      <c r="N226" s="168" t="s">
        <v>83</v>
      </c>
      <c r="O226" s="149" t="s">
        <v>95</v>
      </c>
      <c r="P226" s="27">
        <v>0</v>
      </c>
      <c r="Q226" s="27">
        <v>1</v>
      </c>
      <c r="R226" s="168" t="s">
        <v>83</v>
      </c>
      <c r="S226" s="168" t="s">
        <v>83</v>
      </c>
      <c r="T226" s="168" t="s">
        <v>83</v>
      </c>
      <c r="U226" s="168" t="s">
        <v>83</v>
      </c>
      <c r="V226" s="27"/>
      <c r="W226" s="27" t="s">
        <v>88</v>
      </c>
      <c r="X226" s="27">
        <v>0</v>
      </c>
      <c r="Y226" s="168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8" t="s">
        <v>83</v>
      </c>
      <c r="AF226" s="168" t="s">
        <v>83</v>
      </c>
      <c r="AG226" s="168" t="s">
        <v>83</v>
      </c>
      <c r="AH226" s="168" t="s">
        <v>83</v>
      </c>
      <c r="AI226" s="27">
        <v>1</v>
      </c>
      <c r="AJ226" s="27"/>
      <c r="AK226" s="27">
        <v>1</v>
      </c>
      <c r="AL226" s="27">
        <v>1</v>
      </c>
      <c r="AM226" s="168" t="s">
        <v>83</v>
      </c>
      <c r="AN226" s="27">
        <v>1</v>
      </c>
      <c r="AO226" s="27">
        <v>1</v>
      </c>
      <c r="AP226" s="27">
        <v>1</v>
      </c>
    </row>
    <row r="227" spans="1:42">
      <c r="A227" s="146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8" t="str">
        <f t="shared" si="99"/>
        <v>已领取公会福利</v>
      </c>
      <c r="K227" s="148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49" t="str">
        <f>VLOOKUP(LEFT(RIGHT(B227,5),4),物品!B:CU,20,FALSE)</f>
        <v>ReplaceableTextures\\commandButtons\\BTNLBUI01.blp</v>
      </c>
      <c r="N227" s="168" t="s">
        <v>83</v>
      </c>
      <c r="O227" s="149" t="s">
        <v>95</v>
      </c>
      <c r="P227" s="27">
        <v>1</v>
      </c>
      <c r="Q227" s="27">
        <v>1</v>
      </c>
      <c r="R227" s="168" t="s">
        <v>83</v>
      </c>
      <c r="S227" s="168" t="s">
        <v>83</v>
      </c>
      <c r="T227" s="168" t="s">
        <v>83</v>
      </c>
      <c r="U227" s="168" t="s">
        <v>83</v>
      </c>
      <c r="V227" s="27"/>
      <c r="W227" s="27" t="s">
        <v>88</v>
      </c>
      <c r="X227" s="27">
        <v>0</v>
      </c>
      <c r="Y227" s="168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8" t="s">
        <v>83</v>
      </c>
      <c r="AF227" s="168" t="s">
        <v>83</v>
      </c>
      <c r="AG227" s="168" t="s">
        <v>83</v>
      </c>
      <c r="AH227" s="168" t="s">
        <v>83</v>
      </c>
      <c r="AI227" s="27">
        <v>1</v>
      </c>
      <c r="AJ227" s="27"/>
      <c r="AK227" s="27">
        <v>1</v>
      </c>
      <c r="AL227" s="27">
        <v>1</v>
      </c>
      <c r="AM227" s="168" t="s">
        <v>83</v>
      </c>
      <c r="AN227" s="27">
        <v>1</v>
      </c>
      <c r="AO227" s="27">
        <v>1</v>
      </c>
      <c r="AP227" s="27">
        <v>1</v>
      </c>
    </row>
    <row r="228" spans="1:42">
      <c r="A228" s="146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8" t="str">
        <f t="shared" si="99"/>
        <v>已领取星耀礼包</v>
      </c>
      <c r="K228" s="148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49" t="str">
        <f>VLOOKUP(LEFT(RIGHT(B228,5),4),物品!B:CU,20,FALSE)</f>
        <v>ReplaceableTextures\\commandButtons\\BTNLBUI01.blp</v>
      </c>
      <c r="N228" s="168" t="s">
        <v>83</v>
      </c>
      <c r="O228" s="149" t="s">
        <v>95</v>
      </c>
      <c r="P228" s="27">
        <v>2</v>
      </c>
      <c r="Q228" s="27">
        <v>1</v>
      </c>
      <c r="R228" s="168" t="s">
        <v>83</v>
      </c>
      <c r="S228" s="168" t="s">
        <v>83</v>
      </c>
      <c r="T228" s="168" t="s">
        <v>83</v>
      </c>
      <c r="U228" s="168" t="s">
        <v>83</v>
      </c>
      <c r="V228" s="27"/>
      <c r="W228" s="27" t="s">
        <v>88</v>
      </c>
      <c r="X228" s="27">
        <v>0</v>
      </c>
      <c r="Y228" s="168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8" t="s">
        <v>83</v>
      </c>
      <c r="AF228" s="168" t="s">
        <v>83</v>
      </c>
      <c r="AG228" s="168" t="s">
        <v>83</v>
      </c>
      <c r="AH228" s="168" t="s">
        <v>83</v>
      </c>
      <c r="AI228" s="27">
        <v>1</v>
      </c>
      <c r="AJ228" s="27"/>
      <c r="AK228" s="27">
        <v>1</v>
      </c>
      <c r="AL228" s="27">
        <v>1</v>
      </c>
      <c r="AM228" s="168" t="s">
        <v>83</v>
      </c>
      <c r="AN228" s="27">
        <v>1</v>
      </c>
      <c r="AO228" s="27">
        <v>1</v>
      </c>
      <c r="AP228" s="27">
        <v>1</v>
      </c>
    </row>
    <row r="229" spans="1:42">
      <c r="A229" s="146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8" t="str">
        <f t="shared" si="99"/>
        <v>已领取魔芝RPG礼包</v>
      </c>
      <c r="K229" s="148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49" t="str">
        <f>VLOOKUP(LEFT(RIGHT(B229,5),4),物品!B:CU,20,FALSE)</f>
        <v>ReplaceableTextures\\commandButtons\\BTNLBUI01.blp</v>
      </c>
      <c r="N229" s="168" t="s">
        <v>83</v>
      </c>
      <c r="O229" s="149" t="s">
        <v>95</v>
      </c>
      <c r="P229" s="27">
        <v>2</v>
      </c>
      <c r="Q229" s="27">
        <v>0</v>
      </c>
      <c r="R229" s="168" t="s">
        <v>83</v>
      </c>
      <c r="S229" s="168" t="s">
        <v>83</v>
      </c>
      <c r="T229" s="168" t="s">
        <v>83</v>
      </c>
      <c r="U229" s="168" t="s">
        <v>83</v>
      </c>
      <c r="V229" s="27"/>
      <c r="W229" s="27" t="s">
        <v>88</v>
      </c>
      <c r="X229" s="27">
        <v>0</v>
      </c>
      <c r="Y229" s="168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8" t="s">
        <v>83</v>
      </c>
      <c r="AF229" s="168" t="s">
        <v>83</v>
      </c>
      <c r="AG229" s="168" t="s">
        <v>83</v>
      </c>
      <c r="AH229" s="168" t="s">
        <v>83</v>
      </c>
      <c r="AI229" s="27">
        <v>1</v>
      </c>
      <c r="AJ229" s="27"/>
      <c r="AK229" s="27">
        <v>1</v>
      </c>
      <c r="AL229" s="27">
        <v>1</v>
      </c>
      <c r="AM229" s="168" t="s">
        <v>83</v>
      </c>
      <c r="AN229" s="27">
        <v>1</v>
      </c>
      <c r="AO229" s="27">
        <v>1</v>
      </c>
      <c r="AP229" s="27">
        <v>1</v>
      </c>
    </row>
    <row r="230" spans="1:42">
      <c r="A230" s="146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48" t="str">
        <f t="shared" si="99"/>
        <v>已领取老铁礼包</v>
      </c>
      <c r="K230" s="148" t="str">
        <f t="shared" si="100"/>
        <v>已领取老铁礼包</v>
      </c>
      <c r="L230" s="27"/>
      <c r="M230" s="149" t="str">
        <f>VLOOKUP(LEFT(RIGHT(B230,5),4),物品!B:CU,20,FALSE)</f>
        <v>ReplaceableTextures\\commandButtons\\BTNLBUI01.blp</v>
      </c>
      <c r="N230" s="168" t="s">
        <v>83</v>
      </c>
      <c r="O230" s="149" t="s">
        <v>95</v>
      </c>
      <c r="P230" s="27">
        <v>0</v>
      </c>
      <c r="Q230" s="27">
        <v>0</v>
      </c>
      <c r="R230" s="168" t="s">
        <v>83</v>
      </c>
      <c r="S230" s="168" t="s">
        <v>83</v>
      </c>
      <c r="T230" s="168" t="s">
        <v>83</v>
      </c>
      <c r="U230" s="168" t="s">
        <v>83</v>
      </c>
      <c r="V230" s="27"/>
      <c r="W230" s="27" t="s">
        <v>88</v>
      </c>
      <c r="X230" s="27">
        <v>0</v>
      </c>
      <c r="Y230" s="168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8" t="s">
        <v>83</v>
      </c>
      <c r="AF230" s="168" t="s">
        <v>83</v>
      </c>
      <c r="AG230" s="168" t="s">
        <v>83</v>
      </c>
      <c r="AH230" s="168" t="s">
        <v>83</v>
      </c>
      <c r="AI230" s="27">
        <v>1</v>
      </c>
      <c r="AJ230" s="27"/>
      <c r="AK230" s="27">
        <v>1</v>
      </c>
      <c r="AL230" s="27">
        <v>1</v>
      </c>
      <c r="AM230" s="168" t="s">
        <v>83</v>
      </c>
      <c r="AN230" s="27">
        <v>1</v>
      </c>
      <c r="AO230" s="27">
        <v>1</v>
      </c>
      <c r="AP230" s="27">
        <v>1</v>
      </c>
    </row>
    <row r="231" spans="1:42">
      <c r="A231" s="146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8" t="str">
        <f t="shared" si="99"/>
        <v>天乾地坤</v>
      </c>
      <c r="K231" s="148" t="str">
        <f t="shared" si="100"/>
        <v>代码生成</v>
      </c>
      <c r="L231" s="27"/>
      <c r="M231" s="149" t="str">
        <f>VLOOKUP(LEFT(RIGHT(B231,5),4),物品!B:CU,20,FALSE)</f>
        <v>ReplaceableTextures\\CommandButtons\\BTNRY1C.blp</v>
      </c>
      <c r="N231" s="168" t="s">
        <v>83</v>
      </c>
      <c r="O231" s="149" t="s">
        <v>95</v>
      </c>
      <c r="P231" s="27">
        <v>0</v>
      </c>
      <c r="Q231" s="27">
        <v>0</v>
      </c>
      <c r="R231" s="168" t="s">
        <v>83</v>
      </c>
      <c r="S231" s="168" t="s">
        <v>83</v>
      </c>
      <c r="T231" s="168" t="s">
        <v>83</v>
      </c>
      <c r="U231" s="168" t="s">
        <v>83</v>
      </c>
      <c r="V231" s="27"/>
      <c r="W231" s="27" t="s">
        <v>88</v>
      </c>
      <c r="X231" s="27">
        <v>0</v>
      </c>
      <c r="Y231" s="16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8" t="s">
        <v>83</v>
      </c>
      <c r="AF231" s="168" t="s">
        <v>83</v>
      </c>
      <c r="AG231" s="168" t="s">
        <v>83</v>
      </c>
      <c r="AH231" s="168" t="s">
        <v>83</v>
      </c>
      <c r="AI231" s="27">
        <v>1</v>
      </c>
      <c r="AJ231" s="27"/>
      <c r="AK231" s="27">
        <v>1</v>
      </c>
      <c r="AL231" s="27">
        <v>1</v>
      </c>
      <c r="AM231" s="168" t="s">
        <v>83</v>
      </c>
      <c r="AN231" s="27">
        <v>1</v>
      </c>
      <c r="AO231" s="27">
        <v>1</v>
      </c>
      <c r="AP231" s="27">
        <v>1</v>
      </c>
    </row>
    <row r="232" spans="1:42">
      <c r="A232" s="146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8" t="str">
        <f t="shared" si="99"/>
        <v>五彩凰翼</v>
      </c>
      <c r="K232" s="148" t="str">
        <f t="shared" si="100"/>
        <v>代码生成</v>
      </c>
      <c r="L232" s="27"/>
      <c r="M232" s="149" t="str">
        <f>VLOOKUP(LEFT(RIGHT(B232,5),4),物品!B:CU,20,FALSE)</f>
        <v>ReplaceableTextures\\CommandButtons\\BTNRY2C.blp</v>
      </c>
      <c r="N232" s="168" t="s">
        <v>83</v>
      </c>
      <c r="O232" s="149" t="s">
        <v>95</v>
      </c>
      <c r="P232" s="27">
        <v>0</v>
      </c>
      <c r="Q232" s="27">
        <v>0</v>
      </c>
      <c r="R232" s="168" t="s">
        <v>83</v>
      </c>
      <c r="S232" s="168" t="s">
        <v>83</v>
      </c>
      <c r="T232" s="168" t="s">
        <v>83</v>
      </c>
      <c r="U232" s="168" t="s">
        <v>83</v>
      </c>
      <c r="V232" s="27"/>
      <c r="W232" s="27" t="s">
        <v>88</v>
      </c>
      <c r="X232" s="27">
        <v>0</v>
      </c>
      <c r="Y232" s="16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8" t="s">
        <v>83</v>
      </c>
      <c r="AF232" s="168" t="s">
        <v>83</v>
      </c>
      <c r="AG232" s="168" t="s">
        <v>83</v>
      </c>
      <c r="AH232" s="168" t="s">
        <v>83</v>
      </c>
      <c r="AI232" s="27">
        <v>1</v>
      </c>
      <c r="AJ232" s="27"/>
      <c r="AK232" s="27">
        <v>1</v>
      </c>
      <c r="AL232" s="27">
        <v>1</v>
      </c>
      <c r="AM232" s="168" t="s">
        <v>83</v>
      </c>
      <c r="AN232" s="27">
        <v>1</v>
      </c>
      <c r="AO232" s="27">
        <v>1</v>
      </c>
      <c r="AP232" s="27">
        <v>1</v>
      </c>
    </row>
    <row r="233" spans="1:42">
      <c r="A233" s="146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8" t="str">
        <f t="shared" si="99"/>
        <v>崩鸣刃</v>
      </c>
      <c r="K233" s="148" t="str">
        <f t="shared" si="100"/>
        <v>代码生成</v>
      </c>
      <c r="L233" s="27"/>
      <c r="M233" s="149" t="str">
        <f>VLOOKUP(LEFT(RIGHT(B233,5),4),物品!B:CU,20,FALSE)</f>
        <v>ReplaceableTextures\\CommandButtons\\BTNRY3C.blp</v>
      </c>
      <c r="N233" s="168" t="s">
        <v>83</v>
      </c>
      <c r="O233" s="149" t="s">
        <v>95</v>
      </c>
      <c r="P233" s="27">
        <v>0</v>
      </c>
      <c r="Q233" s="27">
        <v>0</v>
      </c>
      <c r="R233" s="168" t="s">
        <v>83</v>
      </c>
      <c r="S233" s="168" t="s">
        <v>83</v>
      </c>
      <c r="T233" s="168" t="s">
        <v>83</v>
      </c>
      <c r="U233" s="168" t="s">
        <v>83</v>
      </c>
      <c r="V233" s="27"/>
      <c r="W233" s="27" t="s">
        <v>88</v>
      </c>
      <c r="X233" s="27">
        <v>0</v>
      </c>
      <c r="Y233" s="16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8" t="s">
        <v>83</v>
      </c>
      <c r="AF233" s="168" t="s">
        <v>83</v>
      </c>
      <c r="AG233" s="168" t="s">
        <v>83</v>
      </c>
      <c r="AH233" s="168" t="s">
        <v>83</v>
      </c>
      <c r="AI233" s="27">
        <v>1</v>
      </c>
      <c r="AJ233" s="27"/>
      <c r="AK233" s="27">
        <v>1</v>
      </c>
      <c r="AL233" s="27">
        <v>1</v>
      </c>
      <c r="AM233" s="168" t="s">
        <v>83</v>
      </c>
      <c r="AN233" s="27">
        <v>1</v>
      </c>
      <c r="AO233" s="27">
        <v>1</v>
      </c>
      <c r="AP233" s="27">
        <v>1</v>
      </c>
    </row>
    <row r="234" spans="1:42">
      <c r="A234" s="146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8" t="str">
        <f t="shared" si="99"/>
        <v>俯瞰寰宇</v>
      </c>
      <c r="K234" s="148" t="str">
        <f t="shared" si="100"/>
        <v>代码生成</v>
      </c>
      <c r="L234" s="27"/>
      <c r="M234" s="149" t="str">
        <f>VLOOKUP(LEFT(RIGHT(B234,5),4),物品!B:CU,20,FALSE)</f>
        <v>ReplaceableTextures\\CommandButtons\\BTNRY4C.blp</v>
      </c>
      <c r="N234" s="168" t="s">
        <v>83</v>
      </c>
      <c r="O234" s="149" t="s">
        <v>95</v>
      </c>
      <c r="P234" s="27">
        <v>0</v>
      </c>
      <c r="Q234" s="27">
        <v>0</v>
      </c>
      <c r="R234" s="168" t="s">
        <v>83</v>
      </c>
      <c r="S234" s="168" t="s">
        <v>83</v>
      </c>
      <c r="T234" s="168" t="s">
        <v>83</v>
      </c>
      <c r="U234" s="168" t="s">
        <v>83</v>
      </c>
      <c r="V234" s="27"/>
      <c r="W234" s="27" t="s">
        <v>88</v>
      </c>
      <c r="X234" s="27">
        <v>0</v>
      </c>
      <c r="Y234" s="16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8" t="s">
        <v>83</v>
      </c>
      <c r="AF234" s="168" t="s">
        <v>83</v>
      </c>
      <c r="AG234" s="168" t="s">
        <v>83</v>
      </c>
      <c r="AH234" s="168" t="s">
        <v>83</v>
      </c>
      <c r="AI234" s="27">
        <v>1</v>
      </c>
      <c r="AJ234" s="27"/>
      <c r="AK234" s="27">
        <v>1</v>
      </c>
      <c r="AL234" s="27">
        <v>1</v>
      </c>
      <c r="AM234" s="168" t="s">
        <v>83</v>
      </c>
      <c r="AN234" s="27">
        <v>1</v>
      </c>
      <c r="AO234" s="27">
        <v>1</v>
      </c>
      <c r="AP234" s="27">
        <v>1</v>
      </c>
    </row>
    <row r="235" spans="1:42">
      <c r="A235" s="146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8" t="str">
        <f t="shared" ref="J235" si="101">H235</f>
        <v>附魔</v>
      </c>
      <c r="K235" s="148">
        <f t="shared" ref="K235" si="102">I235</f>
        <v>0</v>
      </c>
      <c r="L235" s="27"/>
      <c r="M235" s="149">
        <f>VLOOKUP(LEFT(RIGHT(B235,5),4),物品!B:CU,20,FALSE)</f>
        <v>0</v>
      </c>
      <c r="N235" s="168" t="s">
        <v>83</v>
      </c>
      <c r="O235" s="149" t="s">
        <v>95</v>
      </c>
      <c r="P235" s="27">
        <v>0</v>
      </c>
      <c r="Q235" s="27">
        <v>0</v>
      </c>
      <c r="R235" s="168" t="s">
        <v>83</v>
      </c>
      <c r="S235" s="168" t="s">
        <v>83</v>
      </c>
      <c r="T235" s="168" t="s">
        <v>83</v>
      </c>
      <c r="U235" s="168" t="s">
        <v>83</v>
      </c>
      <c r="V235" s="27"/>
      <c r="W235" s="27" t="s">
        <v>88</v>
      </c>
      <c r="X235" s="27">
        <v>0</v>
      </c>
      <c r="Y235" s="16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8" t="s">
        <v>83</v>
      </c>
      <c r="AF235" s="168" t="s">
        <v>83</v>
      </c>
      <c r="AG235" s="168" t="s">
        <v>83</v>
      </c>
      <c r="AH235" s="168" t="s">
        <v>83</v>
      </c>
      <c r="AI235" s="27">
        <v>1</v>
      </c>
      <c r="AJ235" s="27"/>
      <c r="AK235" s="27">
        <v>1</v>
      </c>
      <c r="AL235" s="27">
        <v>1</v>
      </c>
      <c r="AM235" s="168" t="s">
        <v>83</v>
      </c>
      <c r="AN235" s="27">
        <v>1</v>
      </c>
      <c r="AO235" s="27">
        <v>1</v>
      </c>
      <c r="AP235" s="27">
        <v>1</v>
      </c>
    </row>
    <row r="236" spans="1:42">
      <c r="A236" s="146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8" t="str">
        <f t="shared" ref="J236:J261" si="103">H236</f>
        <v>附魔</v>
      </c>
      <c r="K236" s="148">
        <f t="shared" ref="K236:K261" si="104">I236</f>
        <v>0</v>
      </c>
      <c r="L236" s="27"/>
      <c r="M236" s="149">
        <f>VLOOKUP(LEFT(RIGHT(B236,5),4),物品!B:CU,20,FALSE)</f>
        <v>0</v>
      </c>
      <c r="N236" s="168" t="s">
        <v>83</v>
      </c>
      <c r="O236" s="149" t="s">
        <v>95</v>
      </c>
      <c r="P236" s="27">
        <v>0</v>
      </c>
      <c r="Q236" s="27">
        <v>0</v>
      </c>
      <c r="R236" s="168" t="s">
        <v>83</v>
      </c>
      <c r="S236" s="168" t="s">
        <v>83</v>
      </c>
      <c r="T236" s="168" t="s">
        <v>83</v>
      </c>
      <c r="U236" s="168" t="s">
        <v>83</v>
      </c>
      <c r="V236" s="27"/>
      <c r="W236" s="27" t="s">
        <v>88</v>
      </c>
      <c r="X236" s="27">
        <v>0</v>
      </c>
      <c r="Y236" s="16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8" t="s">
        <v>83</v>
      </c>
      <c r="AF236" s="168" t="s">
        <v>83</v>
      </c>
      <c r="AG236" s="168" t="s">
        <v>83</v>
      </c>
      <c r="AH236" s="168" t="s">
        <v>83</v>
      </c>
      <c r="AI236" s="27">
        <v>1</v>
      </c>
      <c r="AJ236" s="27"/>
      <c r="AK236" s="27">
        <v>1</v>
      </c>
      <c r="AL236" s="27">
        <v>1</v>
      </c>
      <c r="AM236" s="168" t="s">
        <v>83</v>
      </c>
      <c r="AN236" s="27">
        <v>1</v>
      </c>
      <c r="AO236" s="27">
        <v>1</v>
      </c>
      <c r="AP236" s="27">
        <v>1</v>
      </c>
    </row>
    <row r="237" spans="1:42">
      <c r="A237" s="146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8" t="str">
        <f t="shared" si="103"/>
        <v>附魔</v>
      </c>
      <c r="K237" s="148">
        <f t="shared" si="104"/>
        <v>0</v>
      </c>
      <c r="L237" s="27"/>
      <c r="M237" s="149">
        <f>VLOOKUP(LEFT(RIGHT(B237,5),4),物品!B:CU,20,FALSE)</f>
        <v>0</v>
      </c>
      <c r="N237" s="168" t="s">
        <v>83</v>
      </c>
      <c r="O237" s="149" t="s">
        <v>95</v>
      </c>
      <c r="P237" s="27">
        <v>0</v>
      </c>
      <c r="Q237" s="27">
        <v>0</v>
      </c>
      <c r="R237" s="168" t="s">
        <v>83</v>
      </c>
      <c r="S237" s="168" t="s">
        <v>83</v>
      </c>
      <c r="T237" s="168" t="s">
        <v>83</v>
      </c>
      <c r="U237" s="168" t="s">
        <v>83</v>
      </c>
      <c r="V237" s="27"/>
      <c r="W237" s="27" t="s">
        <v>88</v>
      </c>
      <c r="X237" s="27">
        <v>0</v>
      </c>
      <c r="Y237" s="16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8" t="s">
        <v>83</v>
      </c>
      <c r="AF237" s="168" t="s">
        <v>83</v>
      </c>
      <c r="AG237" s="168" t="s">
        <v>83</v>
      </c>
      <c r="AH237" s="168" t="s">
        <v>83</v>
      </c>
      <c r="AI237" s="27">
        <v>1</v>
      </c>
      <c r="AJ237" s="27"/>
      <c r="AK237" s="27">
        <v>1</v>
      </c>
      <c r="AL237" s="27">
        <v>1</v>
      </c>
      <c r="AM237" s="168" t="s">
        <v>83</v>
      </c>
      <c r="AN237" s="27">
        <v>1</v>
      </c>
      <c r="AO237" s="27">
        <v>1</v>
      </c>
      <c r="AP237" s="27">
        <v>1</v>
      </c>
    </row>
    <row r="238" spans="1:42">
      <c r="A238" s="146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8" t="str">
        <f t="shared" si="103"/>
        <v>附魔</v>
      </c>
      <c r="K238" s="148">
        <f t="shared" si="104"/>
        <v>0</v>
      </c>
      <c r="L238" s="27"/>
      <c r="M238" s="149">
        <f>VLOOKUP(LEFT(RIGHT(B238,5),4),物品!B:CU,20,FALSE)</f>
        <v>0</v>
      </c>
      <c r="N238" s="168" t="s">
        <v>83</v>
      </c>
      <c r="O238" s="149" t="s">
        <v>95</v>
      </c>
      <c r="P238" s="27">
        <v>0</v>
      </c>
      <c r="Q238" s="27">
        <v>0</v>
      </c>
      <c r="R238" s="168" t="s">
        <v>83</v>
      </c>
      <c r="S238" s="168" t="s">
        <v>83</v>
      </c>
      <c r="T238" s="168" t="s">
        <v>83</v>
      </c>
      <c r="U238" s="168" t="s">
        <v>83</v>
      </c>
      <c r="V238" s="27"/>
      <c r="W238" s="27" t="s">
        <v>88</v>
      </c>
      <c r="X238" s="27">
        <v>0</v>
      </c>
      <c r="Y238" s="16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8" t="s">
        <v>83</v>
      </c>
      <c r="AF238" s="168" t="s">
        <v>83</v>
      </c>
      <c r="AG238" s="168" t="s">
        <v>83</v>
      </c>
      <c r="AH238" s="168" t="s">
        <v>83</v>
      </c>
      <c r="AI238" s="27">
        <v>1</v>
      </c>
      <c r="AJ238" s="27"/>
      <c r="AK238" s="27">
        <v>1</v>
      </c>
      <c r="AL238" s="27">
        <v>1</v>
      </c>
      <c r="AM238" s="168" t="s">
        <v>83</v>
      </c>
      <c r="AN238" s="27">
        <v>1</v>
      </c>
      <c r="AO238" s="27">
        <v>1</v>
      </c>
      <c r="AP238" s="27">
        <v>1</v>
      </c>
    </row>
    <row r="239" spans="1:42">
      <c r="A239" s="146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8" t="str">
        <f t="shared" si="103"/>
        <v>附魔</v>
      </c>
      <c r="K239" s="148">
        <f t="shared" si="104"/>
        <v>0</v>
      </c>
      <c r="L239" s="27"/>
      <c r="M239" s="149">
        <f>VLOOKUP(LEFT(RIGHT(B239,5),4),物品!B:CU,20,FALSE)</f>
        <v>0</v>
      </c>
      <c r="N239" s="168" t="s">
        <v>83</v>
      </c>
      <c r="O239" s="149" t="s">
        <v>95</v>
      </c>
      <c r="P239" s="27">
        <v>0</v>
      </c>
      <c r="Q239" s="27">
        <v>0</v>
      </c>
      <c r="R239" s="168" t="s">
        <v>83</v>
      </c>
      <c r="S239" s="168" t="s">
        <v>83</v>
      </c>
      <c r="T239" s="168" t="s">
        <v>83</v>
      </c>
      <c r="U239" s="168" t="s">
        <v>83</v>
      </c>
      <c r="V239" s="27"/>
      <c r="W239" s="27" t="s">
        <v>88</v>
      </c>
      <c r="X239" s="27">
        <v>0</v>
      </c>
      <c r="Y239" s="16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8" t="s">
        <v>83</v>
      </c>
      <c r="AF239" s="168" t="s">
        <v>83</v>
      </c>
      <c r="AG239" s="168" t="s">
        <v>83</v>
      </c>
      <c r="AH239" s="168" t="s">
        <v>83</v>
      </c>
      <c r="AI239" s="27">
        <v>1</v>
      </c>
      <c r="AJ239" s="27"/>
      <c r="AK239" s="27">
        <v>1</v>
      </c>
      <c r="AL239" s="27">
        <v>1</v>
      </c>
      <c r="AM239" s="168" t="s">
        <v>83</v>
      </c>
      <c r="AN239" s="27">
        <v>1</v>
      </c>
      <c r="AO239" s="27">
        <v>1</v>
      </c>
      <c r="AP239" s="27">
        <v>1</v>
      </c>
    </row>
    <row r="240" spans="1:42">
      <c r="A240" s="146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8" t="str">
        <f t="shared" si="103"/>
        <v>附魔</v>
      </c>
      <c r="K240" s="148">
        <f t="shared" si="104"/>
        <v>0</v>
      </c>
      <c r="L240" s="27"/>
      <c r="M240" s="149">
        <f>VLOOKUP(LEFT(RIGHT(B240,5),4),物品!B:CU,20,FALSE)</f>
        <v>0</v>
      </c>
      <c r="N240" s="168" t="s">
        <v>83</v>
      </c>
      <c r="O240" s="149" t="s">
        <v>95</v>
      </c>
      <c r="P240" s="27">
        <v>0</v>
      </c>
      <c r="Q240" s="27">
        <v>0</v>
      </c>
      <c r="R240" s="168" t="s">
        <v>83</v>
      </c>
      <c r="S240" s="168" t="s">
        <v>83</v>
      </c>
      <c r="T240" s="168" t="s">
        <v>83</v>
      </c>
      <c r="U240" s="168" t="s">
        <v>83</v>
      </c>
      <c r="V240" s="27"/>
      <c r="W240" s="27" t="s">
        <v>88</v>
      </c>
      <c r="X240" s="27">
        <v>0</v>
      </c>
      <c r="Y240" s="16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8" t="s">
        <v>83</v>
      </c>
      <c r="AF240" s="168" t="s">
        <v>83</v>
      </c>
      <c r="AG240" s="168" t="s">
        <v>83</v>
      </c>
      <c r="AH240" s="168" t="s">
        <v>83</v>
      </c>
      <c r="AI240" s="27">
        <v>1</v>
      </c>
      <c r="AJ240" s="27"/>
      <c r="AK240" s="27">
        <v>1</v>
      </c>
      <c r="AL240" s="27">
        <v>1</v>
      </c>
      <c r="AM240" s="168" t="s">
        <v>83</v>
      </c>
      <c r="AN240" s="27">
        <v>1</v>
      </c>
      <c r="AO240" s="27">
        <v>1</v>
      </c>
      <c r="AP240" s="27">
        <v>1</v>
      </c>
    </row>
    <row r="241" spans="1:42">
      <c r="A241" s="146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8" t="str">
        <f t="shared" si="103"/>
        <v>附魔</v>
      </c>
      <c r="K241" s="148">
        <f t="shared" si="104"/>
        <v>0</v>
      </c>
      <c r="L241" s="27"/>
      <c r="M241" s="149">
        <f>VLOOKUP(LEFT(RIGHT(B241,5),4),物品!B:CU,20,FALSE)</f>
        <v>0</v>
      </c>
      <c r="N241" s="168" t="s">
        <v>83</v>
      </c>
      <c r="O241" s="149" t="s">
        <v>95</v>
      </c>
      <c r="P241" s="27">
        <v>0</v>
      </c>
      <c r="Q241" s="27">
        <v>0</v>
      </c>
      <c r="R241" s="168" t="s">
        <v>83</v>
      </c>
      <c r="S241" s="168" t="s">
        <v>83</v>
      </c>
      <c r="T241" s="168" t="s">
        <v>83</v>
      </c>
      <c r="U241" s="168" t="s">
        <v>83</v>
      </c>
      <c r="V241" s="27"/>
      <c r="W241" s="27" t="s">
        <v>88</v>
      </c>
      <c r="X241" s="27">
        <v>0</v>
      </c>
      <c r="Y241" s="16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8" t="s">
        <v>83</v>
      </c>
      <c r="AF241" s="168" t="s">
        <v>83</v>
      </c>
      <c r="AG241" s="168" t="s">
        <v>83</v>
      </c>
      <c r="AH241" s="168" t="s">
        <v>83</v>
      </c>
      <c r="AI241" s="27">
        <v>1</v>
      </c>
      <c r="AJ241" s="27"/>
      <c r="AK241" s="27">
        <v>1</v>
      </c>
      <c r="AL241" s="27">
        <v>1</v>
      </c>
      <c r="AM241" s="168" t="s">
        <v>83</v>
      </c>
      <c r="AN241" s="27">
        <v>1</v>
      </c>
      <c r="AO241" s="27">
        <v>1</v>
      </c>
      <c r="AP241" s="27">
        <v>1</v>
      </c>
    </row>
    <row r="242" spans="1:42">
      <c r="A242" s="146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8" t="str">
        <f t="shared" si="103"/>
        <v>附魔</v>
      </c>
      <c r="K242" s="148">
        <f t="shared" si="104"/>
        <v>0</v>
      </c>
      <c r="L242" s="27"/>
      <c r="M242" s="149">
        <f>VLOOKUP(LEFT(RIGHT(B242,5),4),物品!B:CU,20,FALSE)</f>
        <v>0</v>
      </c>
      <c r="N242" s="168" t="s">
        <v>83</v>
      </c>
      <c r="O242" s="149" t="s">
        <v>95</v>
      </c>
      <c r="P242" s="27">
        <v>0</v>
      </c>
      <c r="Q242" s="27">
        <v>0</v>
      </c>
      <c r="R242" s="168" t="s">
        <v>83</v>
      </c>
      <c r="S242" s="168" t="s">
        <v>83</v>
      </c>
      <c r="T242" s="168" t="s">
        <v>83</v>
      </c>
      <c r="U242" s="168" t="s">
        <v>83</v>
      </c>
      <c r="V242" s="27"/>
      <c r="W242" s="27" t="s">
        <v>88</v>
      </c>
      <c r="X242" s="27">
        <v>0</v>
      </c>
      <c r="Y242" s="16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8" t="s">
        <v>83</v>
      </c>
      <c r="AF242" s="168" t="s">
        <v>83</v>
      </c>
      <c r="AG242" s="168" t="s">
        <v>83</v>
      </c>
      <c r="AH242" s="168" t="s">
        <v>83</v>
      </c>
      <c r="AI242" s="27">
        <v>1</v>
      </c>
      <c r="AJ242" s="27"/>
      <c r="AK242" s="27">
        <v>1</v>
      </c>
      <c r="AL242" s="27">
        <v>1</v>
      </c>
      <c r="AM242" s="168" t="s">
        <v>83</v>
      </c>
      <c r="AN242" s="27">
        <v>1</v>
      </c>
      <c r="AO242" s="27">
        <v>1</v>
      </c>
      <c r="AP242" s="27">
        <v>1</v>
      </c>
    </row>
    <row r="243" spans="1:42">
      <c r="A243" s="146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8" t="str">
        <f t="shared" si="103"/>
        <v>附魔</v>
      </c>
      <c r="K243" s="148">
        <f t="shared" si="104"/>
        <v>0</v>
      </c>
      <c r="L243" s="27"/>
      <c r="M243" s="149">
        <f>VLOOKUP(LEFT(RIGHT(B243,5),4),物品!B:CU,20,FALSE)</f>
        <v>0</v>
      </c>
      <c r="N243" s="168" t="s">
        <v>83</v>
      </c>
      <c r="O243" s="149" t="s">
        <v>95</v>
      </c>
      <c r="P243" s="27">
        <v>0</v>
      </c>
      <c r="Q243" s="27">
        <v>0</v>
      </c>
      <c r="R243" s="168" t="s">
        <v>83</v>
      </c>
      <c r="S243" s="168" t="s">
        <v>83</v>
      </c>
      <c r="T243" s="168" t="s">
        <v>83</v>
      </c>
      <c r="U243" s="168" t="s">
        <v>83</v>
      </c>
      <c r="V243" s="27"/>
      <c r="W243" s="27" t="s">
        <v>88</v>
      </c>
      <c r="X243" s="27">
        <v>0</v>
      </c>
      <c r="Y243" s="16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8" t="s">
        <v>83</v>
      </c>
      <c r="AF243" s="168" t="s">
        <v>83</v>
      </c>
      <c r="AG243" s="168" t="s">
        <v>83</v>
      </c>
      <c r="AH243" s="168" t="s">
        <v>83</v>
      </c>
      <c r="AI243" s="27">
        <v>1</v>
      </c>
      <c r="AJ243" s="27"/>
      <c r="AK243" s="27">
        <v>1</v>
      </c>
      <c r="AL243" s="27">
        <v>1</v>
      </c>
      <c r="AM243" s="168" t="s">
        <v>83</v>
      </c>
      <c r="AN243" s="27">
        <v>1</v>
      </c>
      <c r="AO243" s="27">
        <v>1</v>
      </c>
      <c r="AP243" s="27">
        <v>1</v>
      </c>
    </row>
    <row r="244" spans="1:42">
      <c r="A244" s="146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8" t="str">
        <f t="shared" si="103"/>
        <v>附魔</v>
      </c>
      <c r="K244" s="148">
        <f t="shared" si="104"/>
        <v>0</v>
      </c>
      <c r="L244" s="27"/>
      <c r="M244" s="149">
        <f>VLOOKUP(LEFT(RIGHT(B244,5),4),物品!B:CU,20,FALSE)</f>
        <v>0</v>
      </c>
      <c r="N244" s="168" t="s">
        <v>83</v>
      </c>
      <c r="O244" s="149" t="s">
        <v>95</v>
      </c>
      <c r="P244" s="27">
        <v>0</v>
      </c>
      <c r="Q244" s="27">
        <v>0</v>
      </c>
      <c r="R244" s="168" t="s">
        <v>83</v>
      </c>
      <c r="S244" s="168" t="s">
        <v>83</v>
      </c>
      <c r="T244" s="168" t="s">
        <v>83</v>
      </c>
      <c r="U244" s="168" t="s">
        <v>83</v>
      </c>
      <c r="V244" s="27"/>
      <c r="W244" s="27" t="s">
        <v>88</v>
      </c>
      <c r="X244" s="27">
        <v>0</v>
      </c>
      <c r="Y244" s="16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8" t="s">
        <v>83</v>
      </c>
      <c r="AF244" s="168" t="s">
        <v>83</v>
      </c>
      <c r="AG244" s="168" t="s">
        <v>83</v>
      </c>
      <c r="AH244" s="168" t="s">
        <v>83</v>
      </c>
      <c r="AI244" s="27">
        <v>1</v>
      </c>
      <c r="AJ244" s="27"/>
      <c r="AK244" s="27">
        <v>1</v>
      </c>
      <c r="AL244" s="27">
        <v>1</v>
      </c>
      <c r="AM244" s="168" t="s">
        <v>83</v>
      </c>
      <c r="AN244" s="27">
        <v>1</v>
      </c>
      <c r="AO244" s="27">
        <v>1</v>
      </c>
      <c r="AP244" s="27">
        <v>1</v>
      </c>
    </row>
    <row r="245" spans="1:42">
      <c r="A245" s="146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8" t="str">
        <f t="shared" si="103"/>
        <v>附魔</v>
      </c>
      <c r="K245" s="148">
        <f t="shared" si="104"/>
        <v>0</v>
      </c>
      <c r="L245" s="27"/>
      <c r="M245" s="149">
        <f>VLOOKUP(LEFT(RIGHT(B245,5),4),物品!B:CU,20,FALSE)</f>
        <v>0</v>
      </c>
      <c r="N245" s="168" t="s">
        <v>83</v>
      </c>
      <c r="O245" s="149" t="s">
        <v>95</v>
      </c>
      <c r="P245" s="27">
        <v>0</v>
      </c>
      <c r="Q245" s="27">
        <v>0</v>
      </c>
      <c r="R245" s="168" t="s">
        <v>83</v>
      </c>
      <c r="S245" s="168" t="s">
        <v>83</v>
      </c>
      <c r="T245" s="168" t="s">
        <v>83</v>
      </c>
      <c r="U245" s="168" t="s">
        <v>83</v>
      </c>
      <c r="V245" s="27"/>
      <c r="W245" s="27" t="s">
        <v>88</v>
      </c>
      <c r="X245" s="27">
        <v>0</v>
      </c>
      <c r="Y245" s="16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8" t="s">
        <v>83</v>
      </c>
      <c r="AF245" s="168" t="s">
        <v>83</v>
      </c>
      <c r="AG245" s="168" t="s">
        <v>83</v>
      </c>
      <c r="AH245" s="168" t="s">
        <v>83</v>
      </c>
      <c r="AI245" s="27">
        <v>1</v>
      </c>
      <c r="AJ245" s="27"/>
      <c r="AK245" s="27">
        <v>1</v>
      </c>
      <c r="AL245" s="27">
        <v>1</v>
      </c>
      <c r="AM245" s="168" t="s">
        <v>83</v>
      </c>
      <c r="AN245" s="27">
        <v>1</v>
      </c>
      <c r="AO245" s="27">
        <v>1</v>
      </c>
      <c r="AP245" s="27">
        <v>1</v>
      </c>
    </row>
    <row r="246" spans="1:42">
      <c r="A246" s="146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8" t="str">
        <f t="shared" si="103"/>
        <v>附魔</v>
      </c>
      <c r="K246" s="148">
        <f t="shared" si="104"/>
        <v>0</v>
      </c>
      <c r="L246" s="27"/>
      <c r="M246" s="149">
        <f>VLOOKUP(LEFT(RIGHT(B246,5),4),物品!B:CU,20,FALSE)</f>
        <v>0</v>
      </c>
      <c r="N246" s="168" t="s">
        <v>83</v>
      </c>
      <c r="O246" s="149" t="s">
        <v>95</v>
      </c>
      <c r="P246" s="27">
        <v>0</v>
      </c>
      <c r="Q246" s="27">
        <v>0</v>
      </c>
      <c r="R246" s="168" t="s">
        <v>83</v>
      </c>
      <c r="S246" s="168" t="s">
        <v>83</v>
      </c>
      <c r="T246" s="168" t="s">
        <v>83</v>
      </c>
      <c r="U246" s="168" t="s">
        <v>83</v>
      </c>
      <c r="V246" s="27"/>
      <c r="W246" s="27" t="s">
        <v>88</v>
      </c>
      <c r="X246" s="27">
        <v>0</v>
      </c>
      <c r="Y246" s="16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8" t="s">
        <v>83</v>
      </c>
      <c r="AF246" s="168" t="s">
        <v>83</v>
      </c>
      <c r="AG246" s="168" t="s">
        <v>83</v>
      </c>
      <c r="AH246" s="168" t="s">
        <v>83</v>
      </c>
      <c r="AI246" s="27">
        <v>1</v>
      </c>
      <c r="AJ246" s="27"/>
      <c r="AK246" s="27">
        <v>1</v>
      </c>
      <c r="AL246" s="27">
        <v>1</v>
      </c>
      <c r="AM246" s="168" t="s">
        <v>83</v>
      </c>
      <c r="AN246" s="27">
        <v>1</v>
      </c>
      <c r="AO246" s="27">
        <v>1</v>
      </c>
      <c r="AP246" s="27">
        <v>1</v>
      </c>
    </row>
    <row r="247" spans="1:42">
      <c r="A247" s="146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8" t="str">
        <f t="shared" si="103"/>
        <v>附魔</v>
      </c>
      <c r="K247" s="148">
        <f t="shared" si="104"/>
        <v>0</v>
      </c>
      <c r="L247" s="27"/>
      <c r="M247" s="149">
        <f>VLOOKUP(LEFT(RIGHT(B247,5),4),物品!B:CU,20,FALSE)</f>
        <v>0</v>
      </c>
      <c r="N247" s="168" t="s">
        <v>83</v>
      </c>
      <c r="O247" s="149" t="s">
        <v>95</v>
      </c>
      <c r="P247" s="27">
        <v>0</v>
      </c>
      <c r="Q247" s="27">
        <v>0</v>
      </c>
      <c r="R247" s="168" t="s">
        <v>83</v>
      </c>
      <c r="S247" s="168" t="s">
        <v>83</v>
      </c>
      <c r="T247" s="168" t="s">
        <v>83</v>
      </c>
      <c r="U247" s="168" t="s">
        <v>83</v>
      </c>
      <c r="V247" s="27"/>
      <c r="W247" s="27" t="s">
        <v>88</v>
      </c>
      <c r="X247" s="27">
        <v>0</v>
      </c>
      <c r="Y247" s="16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8" t="s">
        <v>83</v>
      </c>
      <c r="AF247" s="168" t="s">
        <v>83</v>
      </c>
      <c r="AG247" s="168" t="s">
        <v>83</v>
      </c>
      <c r="AH247" s="168" t="s">
        <v>83</v>
      </c>
      <c r="AI247" s="27">
        <v>1</v>
      </c>
      <c r="AJ247" s="27"/>
      <c r="AK247" s="27">
        <v>1</v>
      </c>
      <c r="AL247" s="27">
        <v>1</v>
      </c>
      <c r="AM247" s="168" t="s">
        <v>83</v>
      </c>
      <c r="AN247" s="27">
        <v>1</v>
      </c>
      <c r="AO247" s="27">
        <v>1</v>
      </c>
      <c r="AP247" s="27">
        <v>1</v>
      </c>
    </row>
    <row r="248" spans="1:42">
      <c r="A248" s="146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8" t="str">
        <f t="shared" si="103"/>
        <v>附魔</v>
      </c>
      <c r="K248" s="148">
        <f t="shared" si="104"/>
        <v>0</v>
      </c>
      <c r="L248" s="27"/>
      <c r="M248" s="149">
        <f>VLOOKUP(LEFT(RIGHT(B248,5),4),物品!B:CU,20,FALSE)</f>
        <v>0</v>
      </c>
      <c r="N248" s="168" t="s">
        <v>83</v>
      </c>
      <c r="O248" s="149" t="s">
        <v>95</v>
      </c>
      <c r="P248" s="27">
        <v>0</v>
      </c>
      <c r="Q248" s="27">
        <v>0</v>
      </c>
      <c r="R248" s="168" t="s">
        <v>83</v>
      </c>
      <c r="S248" s="168" t="s">
        <v>83</v>
      </c>
      <c r="T248" s="168" t="s">
        <v>83</v>
      </c>
      <c r="U248" s="168" t="s">
        <v>83</v>
      </c>
      <c r="V248" s="27"/>
      <c r="W248" s="27" t="s">
        <v>88</v>
      </c>
      <c r="X248" s="27">
        <v>0</v>
      </c>
      <c r="Y248" s="16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8" t="s">
        <v>83</v>
      </c>
      <c r="AF248" s="168" t="s">
        <v>83</v>
      </c>
      <c r="AG248" s="168" t="s">
        <v>83</v>
      </c>
      <c r="AH248" s="168" t="s">
        <v>83</v>
      </c>
      <c r="AI248" s="27">
        <v>1</v>
      </c>
      <c r="AJ248" s="27"/>
      <c r="AK248" s="27">
        <v>1</v>
      </c>
      <c r="AL248" s="27">
        <v>1</v>
      </c>
      <c r="AM248" s="168" t="s">
        <v>83</v>
      </c>
      <c r="AN248" s="27">
        <v>1</v>
      </c>
      <c r="AO248" s="27">
        <v>1</v>
      </c>
      <c r="AP248" s="27">
        <v>1</v>
      </c>
    </row>
    <row r="249" spans="1:42">
      <c r="A249" s="146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8" t="str">
        <f t="shared" si="103"/>
        <v>附魔</v>
      </c>
      <c r="K249" s="148">
        <f t="shared" si="104"/>
        <v>0</v>
      </c>
      <c r="L249" s="27"/>
      <c r="M249" s="149">
        <f>VLOOKUP(LEFT(RIGHT(B249,5),4),物品!B:CU,20,FALSE)</f>
        <v>0</v>
      </c>
      <c r="N249" s="168" t="s">
        <v>83</v>
      </c>
      <c r="O249" s="149" t="s">
        <v>95</v>
      </c>
      <c r="P249" s="27">
        <v>0</v>
      </c>
      <c r="Q249" s="27">
        <v>0</v>
      </c>
      <c r="R249" s="168" t="s">
        <v>83</v>
      </c>
      <c r="S249" s="168" t="s">
        <v>83</v>
      </c>
      <c r="T249" s="168" t="s">
        <v>83</v>
      </c>
      <c r="U249" s="168" t="s">
        <v>83</v>
      </c>
      <c r="V249" s="27"/>
      <c r="W249" s="27" t="s">
        <v>88</v>
      </c>
      <c r="X249" s="27">
        <v>0</v>
      </c>
      <c r="Y249" s="16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8" t="s">
        <v>83</v>
      </c>
      <c r="AF249" s="168" t="s">
        <v>83</v>
      </c>
      <c r="AG249" s="168" t="s">
        <v>83</v>
      </c>
      <c r="AH249" s="168" t="s">
        <v>83</v>
      </c>
      <c r="AI249" s="27">
        <v>1</v>
      </c>
      <c r="AJ249" s="27"/>
      <c r="AK249" s="27">
        <v>1</v>
      </c>
      <c r="AL249" s="27">
        <v>1</v>
      </c>
      <c r="AM249" s="168" t="s">
        <v>83</v>
      </c>
      <c r="AN249" s="27">
        <v>1</v>
      </c>
      <c r="AO249" s="27">
        <v>1</v>
      </c>
      <c r="AP249" s="27">
        <v>1</v>
      </c>
    </row>
    <row r="250" spans="1:42">
      <c r="A250" s="146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8" t="str">
        <f t="shared" si="103"/>
        <v>附魔</v>
      </c>
      <c r="K250" s="148">
        <f t="shared" si="104"/>
        <v>0</v>
      </c>
      <c r="L250" s="27"/>
      <c r="M250" s="149">
        <f>VLOOKUP(LEFT(RIGHT(B250,5),4),物品!B:CU,20,FALSE)</f>
        <v>0</v>
      </c>
      <c r="N250" s="168" t="s">
        <v>83</v>
      </c>
      <c r="O250" s="149" t="s">
        <v>95</v>
      </c>
      <c r="P250" s="27">
        <v>0</v>
      </c>
      <c r="Q250" s="27">
        <v>0</v>
      </c>
      <c r="R250" s="168" t="s">
        <v>83</v>
      </c>
      <c r="S250" s="168" t="s">
        <v>83</v>
      </c>
      <c r="T250" s="168" t="s">
        <v>83</v>
      </c>
      <c r="U250" s="168" t="s">
        <v>83</v>
      </c>
      <c r="V250" s="27"/>
      <c r="W250" s="27" t="s">
        <v>88</v>
      </c>
      <c r="X250" s="27">
        <v>0</v>
      </c>
      <c r="Y250" s="16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8" t="s">
        <v>83</v>
      </c>
      <c r="AF250" s="168" t="s">
        <v>83</v>
      </c>
      <c r="AG250" s="168" t="s">
        <v>83</v>
      </c>
      <c r="AH250" s="168" t="s">
        <v>83</v>
      </c>
      <c r="AI250" s="27">
        <v>1</v>
      </c>
      <c r="AJ250" s="27"/>
      <c r="AK250" s="27">
        <v>1</v>
      </c>
      <c r="AL250" s="27">
        <v>1</v>
      </c>
      <c r="AM250" s="168" t="s">
        <v>83</v>
      </c>
      <c r="AN250" s="27">
        <v>1</v>
      </c>
      <c r="AO250" s="27">
        <v>1</v>
      </c>
      <c r="AP250" s="27">
        <v>1</v>
      </c>
    </row>
    <row r="251" spans="1:42">
      <c r="A251" s="146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8" t="str">
        <f t="shared" si="103"/>
        <v>附魔</v>
      </c>
      <c r="K251" s="148">
        <f t="shared" si="104"/>
        <v>0</v>
      </c>
      <c r="L251" s="27"/>
      <c r="M251" s="149">
        <f>VLOOKUP(LEFT(RIGHT(B251,5),4),物品!B:CU,20,FALSE)</f>
        <v>0</v>
      </c>
      <c r="N251" s="168" t="s">
        <v>83</v>
      </c>
      <c r="O251" s="149" t="s">
        <v>95</v>
      </c>
      <c r="P251" s="27">
        <v>0</v>
      </c>
      <c r="Q251" s="27">
        <v>0</v>
      </c>
      <c r="R251" s="168" t="s">
        <v>83</v>
      </c>
      <c r="S251" s="168" t="s">
        <v>83</v>
      </c>
      <c r="T251" s="168" t="s">
        <v>83</v>
      </c>
      <c r="U251" s="168" t="s">
        <v>83</v>
      </c>
      <c r="V251" s="27"/>
      <c r="W251" s="27" t="s">
        <v>88</v>
      </c>
      <c r="X251" s="27">
        <v>0</v>
      </c>
      <c r="Y251" s="16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8" t="s">
        <v>83</v>
      </c>
      <c r="AF251" s="168" t="s">
        <v>83</v>
      </c>
      <c r="AG251" s="168" t="s">
        <v>83</v>
      </c>
      <c r="AH251" s="168" t="s">
        <v>83</v>
      </c>
      <c r="AI251" s="27">
        <v>1</v>
      </c>
      <c r="AJ251" s="27"/>
      <c r="AK251" s="27">
        <v>1</v>
      </c>
      <c r="AL251" s="27">
        <v>1</v>
      </c>
      <c r="AM251" s="168" t="s">
        <v>83</v>
      </c>
      <c r="AN251" s="27">
        <v>1</v>
      </c>
      <c r="AO251" s="27">
        <v>1</v>
      </c>
      <c r="AP251" s="27">
        <v>1</v>
      </c>
    </row>
    <row r="252" spans="1:42">
      <c r="A252" s="146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8" t="str">
        <f t="shared" si="103"/>
        <v>附魔</v>
      </c>
      <c r="K252" s="148">
        <f t="shared" si="104"/>
        <v>0</v>
      </c>
      <c r="L252" s="27"/>
      <c r="M252" s="149">
        <f>VLOOKUP(LEFT(RIGHT(B252,5),4),物品!B:CU,20,FALSE)</f>
        <v>0</v>
      </c>
      <c r="N252" s="168" t="s">
        <v>83</v>
      </c>
      <c r="O252" s="149" t="s">
        <v>95</v>
      </c>
      <c r="P252" s="27">
        <v>0</v>
      </c>
      <c r="Q252" s="27">
        <v>0</v>
      </c>
      <c r="R252" s="168" t="s">
        <v>83</v>
      </c>
      <c r="S252" s="168" t="s">
        <v>83</v>
      </c>
      <c r="T252" s="168" t="s">
        <v>83</v>
      </c>
      <c r="U252" s="168" t="s">
        <v>83</v>
      </c>
      <c r="V252" s="27"/>
      <c r="W252" s="27" t="s">
        <v>88</v>
      </c>
      <c r="X252" s="27">
        <v>0</v>
      </c>
      <c r="Y252" s="16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8" t="s">
        <v>83</v>
      </c>
      <c r="AF252" s="168" t="s">
        <v>83</v>
      </c>
      <c r="AG252" s="168" t="s">
        <v>83</v>
      </c>
      <c r="AH252" s="168" t="s">
        <v>83</v>
      </c>
      <c r="AI252" s="27">
        <v>1</v>
      </c>
      <c r="AJ252" s="27"/>
      <c r="AK252" s="27">
        <v>1</v>
      </c>
      <c r="AL252" s="27">
        <v>1</v>
      </c>
      <c r="AM252" s="168" t="s">
        <v>83</v>
      </c>
      <c r="AN252" s="27">
        <v>1</v>
      </c>
      <c r="AO252" s="27">
        <v>1</v>
      </c>
      <c r="AP252" s="27">
        <v>1</v>
      </c>
    </row>
    <row r="253" spans="1:42">
      <c r="A253" s="146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8" t="str">
        <f t="shared" si="103"/>
        <v>附魔</v>
      </c>
      <c r="K253" s="148">
        <f t="shared" si="104"/>
        <v>0</v>
      </c>
      <c r="L253" s="27"/>
      <c r="M253" s="149">
        <f>VLOOKUP(LEFT(RIGHT(B253,5),4),物品!B:CU,20,FALSE)</f>
        <v>0</v>
      </c>
      <c r="N253" s="168" t="s">
        <v>83</v>
      </c>
      <c r="O253" s="149" t="s">
        <v>95</v>
      </c>
      <c r="P253" s="27">
        <v>0</v>
      </c>
      <c r="Q253" s="27">
        <v>0</v>
      </c>
      <c r="R253" s="168" t="s">
        <v>83</v>
      </c>
      <c r="S253" s="168" t="s">
        <v>83</v>
      </c>
      <c r="T253" s="168" t="s">
        <v>83</v>
      </c>
      <c r="U253" s="168" t="s">
        <v>83</v>
      </c>
      <c r="V253" s="27"/>
      <c r="W253" s="27" t="s">
        <v>88</v>
      </c>
      <c r="X253" s="27">
        <v>0</v>
      </c>
      <c r="Y253" s="16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8" t="s">
        <v>83</v>
      </c>
      <c r="AF253" s="168" t="s">
        <v>83</v>
      </c>
      <c r="AG253" s="168" t="s">
        <v>83</v>
      </c>
      <c r="AH253" s="168" t="s">
        <v>83</v>
      </c>
      <c r="AI253" s="27">
        <v>1</v>
      </c>
      <c r="AJ253" s="27"/>
      <c r="AK253" s="27">
        <v>1</v>
      </c>
      <c r="AL253" s="27">
        <v>1</v>
      </c>
      <c r="AM253" s="168" t="s">
        <v>83</v>
      </c>
      <c r="AN253" s="27">
        <v>1</v>
      </c>
      <c r="AO253" s="27">
        <v>1</v>
      </c>
      <c r="AP253" s="27">
        <v>1</v>
      </c>
    </row>
    <row r="254" spans="1:42">
      <c r="A254" s="146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8" t="str">
        <f t="shared" si="103"/>
        <v>附魔</v>
      </c>
      <c r="K254" s="148">
        <f t="shared" si="104"/>
        <v>0</v>
      </c>
      <c r="L254" s="27"/>
      <c r="M254" s="149">
        <f>VLOOKUP(LEFT(RIGHT(B254,5),4),物品!B:CU,20,FALSE)</f>
        <v>0</v>
      </c>
      <c r="N254" s="168" t="s">
        <v>83</v>
      </c>
      <c r="O254" s="149" t="s">
        <v>95</v>
      </c>
      <c r="P254" s="27">
        <v>0</v>
      </c>
      <c r="Q254" s="27">
        <v>0</v>
      </c>
      <c r="R254" s="168" t="s">
        <v>83</v>
      </c>
      <c r="S254" s="168" t="s">
        <v>83</v>
      </c>
      <c r="T254" s="168" t="s">
        <v>83</v>
      </c>
      <c r="U254" s="168" t="s">
        <v>83</v>
      </c>
      <c r="V254" s="27"/>
      <c r="W254" s="27" t="s">
        <v>88</v>
      </c>
      <c r="X254" s="27">
        <v>0</v>
      </c>
      <c r="Y254" s="16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8" t="s">
        <v>83</v>
      </c>
      <c r="AF254" s="168" t="s">
        <v>83</v>
      </c>
      <c r="AG254" s="168" t="s">
        <v>83</v>
      </c>
      <c r="AH254" s="168" t="s">
        <v>83</v>
      </c>
      <c r="AI254" s="27">
        <v>1</v>
      </c>
      <c r="AJ254" s="27"/>
      <c r="AK254" s="27">
        <v>1</v>
      </c>
      <c r="AL254" s="27">
        <v>1</v>
      </c>
      <c r="AM254" s="168" t="s">
        <v>83</v>
      </c>
      <c r="AN254" s="27">
        <v>1</v>
      </c>
      <c r="AO254" s="27">
        <v>1</v>
      </c>
      <c r="AP254" s="27">
        <v>1</v>
      </c>
    </row>
    <row r="255" spans="1:42">
      <c r="A255" s="146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8" t="str">
        <f t="shared" si="103"/>
        <v>附魔</v>
      </c>
      <c r="K255" s="148">
        <f t="shared" si="104"/>
        <v>0</v>
      </c>
      <c r="L255" s="27"/>
      <c r="M255" s="149">
        <f>VLOOKUP(LEFT(RIGHT(B255,5),4),物品!B:CU,20,FALSE)</f>
        <v>0</v>
      </c>
      <c r="N255" s="168" t="s">
        <v>83</v>
      </c>
      <c r="O255" s="149" t="s">
        <v>95</v>
      </c>
      <c r="P255" s="27">
        <v>0</v>
      </c>
      <c r="Q255" s="27">
        <v>0</v>
      </c>
      <c r="R255" s="168" t="s">
        <v>83</v>
      </c>
      <c r="S255" s="168" t="s">
        <v>83</v>
      </c>
      <c r="T255" s="168" t="s">
        <v>83</v>
      </c>
      <c r="U255" s="168" t="s">
        <v>83</v>
      </c>
      <c r="V255" s="27"/>
      <c r="W255" s="27" t="s">
        <v>88</v>
      </c>
      <c r="X255" s="27">
        <v>0</v>
      </c>
      <c r="Y255" s="168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8" t="s">
        <v>83</v>
      </c>
      <c r="AF255" s="168" t="s">
        <v>83</v>
      </c>
      <c r="AG255" s="168" t="s">
        <v>83</v>
      </c>
      <c r="AH255" s="168" t="s">
        <v>83</v>
      </c>
      <c r="AI255" s="27">
        <v>1</v>
      </c>
      <c r="AJ255" s="27"/>
      <c r="AK255" s="27">
        <v>1</v>
      </c>
      <c r="AL255" s="27">
        <v>1</v>
      </c>
      <c r="AM255" s="168" t="s">
        <v>83</v>
      </c>
      <c r="AN255" s="27">
        <v>1</v>
      </c>
      <c r="AO255" s="27">
        <v>1</v>
      </c>
      <c r="AP255" s="27">
        <v>1</v>
      </c>
    </row>
    <row r="256" spans="1:42">
      <c r="A256" s="146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8" t="str">
        <f t="shared" si="103"/>
        <v>附魔</v>
      </c>
      <c r="K256" s="148">
        <f t="shared" si="104"/>
        <v>0</v>
      </c>
      <c r="L256" s="27"/>
      <c r="M256" s="149">
        <f>VLOOKUP(LEFT(RIGHT(B256,5),4),物品!B:CU,20,FALSE)</f>
        <v>0</v>
      </c>
      <c r="N256" s="168" t="s">
        <v>83</v>
      </c>
      <c r="O256" s="149" t="s">
        <v>95</v>
      </c>
      <c r="P256" s="27">
        <v>0</v>
      </c>
      <c r="Q256" s="27">
        <v>0</v>
      </c>
      <c r="R256" s="168" t="s">
        <v>83</v>
      </c>
      <c r="S256" s="168" t="s">
        <v>83</v>
      </c>
      <c r="T256" s="168" t="s">
        <v>83</v>
      </c>
      <c r="U256" s="168" t="s">
        <v>83</v>
      </c>
      <c r="V256" s="27"/>
      <c r="W256" s="27" t="s">
        <v>88</v>
      </c>
      <c r="X256" s="27">
        <v>0</v>
      </c>
      <c r="Y256" s="168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8" t="s">
        <v>83</v>
      </c>
      <c r="AF256" s="168" t="s">
        <v>83</v>
      </c>
      <c r="AG256" s="168" t="s">
        <v>83</v>
      </c>
      <c r="AH256" s="168" t="s">
        <v>83</v>
      </c>
      <c r="AI256" s="27">
        <v>1</v>
      </c>
      <c r="AJ256" s="27"/>
      <c r="AK256" s="27">
        <v>1</v>
      </c>
      <c r="AL256" s="27">
        <v>1</v>
      </c>
      <c r="AM256" s="168" t="s">
        <v>83</v>
      </c>
      <c r="AN256" s="27">
        <v>1</v>
      </c>
      <c r="AO256" s="27">
        <v>1</v>
      </c>
      <c r="AP256" s="27">
        <v>1</v>
      </c>
    </row>
    <row r="257" spans="1:42">
      <c r="A257" s="146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8" t="str">
        <f t="shared" si="103"/>
        <v>附魔</v>
      </c>
      <c r="K257" s="148">
        <f t="shared" si="104"/>
        <v>0</v>
      </c>
      <c r="L257" s="27"/>
      <c r="M257" s="149">
        <f>VLOOKUP(LEFT(RIGHT(B257,5),4),物品!B:CU,20,FALSE)</f>
        <v>0</v>
      </c>
      <c r="N257" s="168" t="s">
        <v>83</v>
      </c>
      <c r="O257" s="149" t="s">
        <v>95</v>
      </c>
      <c r="P257" s="27">
        <v>0</v>
      </c>
      <c r="Q257" s="27">
        <v>0</v>
      </c>
      <c r="R257" s="168" t="s">
        <v>83</v>
      </c>
      <c r="S257" s="168" t="s">
        <v>83</v>
      </c>
      <c r="T257" s="168" t="s">
        <v>83</v>
      </c>
      <c r="U257" s="168" t="s">
        <v>83</v>
      </c>
      <c r="V257" s="27"/>
      <c r="W257" s="27" t="s">
        <v>88</v>
      </c>
      <c r="X257" s="27">
        <v>0</v>
      </c>
      <c r="Y257" s="168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8" t="s">
        <v>83</v>
      </c>
      <c r="AF257" s="168" t="s">
        <v>83</v>
      </c>
      <c r="AG257" s="168" t="s">
        <v>83</v>
      </c>
      <c r="AH257" s="168" t="s">
        <v>83</v>
      </c>
      <c r="AI257" s="27">
        <v>1</v>
      </c>
      <c r="AJ257" s="27"/>
      <c r="AK257" s="27">
        <v>1</v>
      </c>
      <c r="AL257" s="27">
        <v>1</v>
      </c>
      <c r="AM257" s="168" t="s">
        <v>83</v>
      </c>
      <c r="AN257" s="27">
        <v>1</v>
      </c>
      <c r="AO257" s="27">
        <v>1</v>
      </c>
      <c r="AP257" s="27">
        <v>1</v>
      </c>
    </row>
    <row r="258" spans="1:42">
      <c r="A258" s="146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8" t="str">
        <f t="shared" si="103"/>
        <v>附魔</v>
      </c>
      <c r="K258" s="148">
        <f t="shared" si="104"/>
        <v>0</v>
      </c>
      <c r="L258" s="27"/>
      <c r="M258" s="149">
        <f>VLOOKUP(LEFT(RIGHT(B258,5),4),物品!B:CU,20,FALSE)</f>
        <v>0</v>
      </c>
      <c r="N258" s="168" t="s">
        <v>83</v>
      </c>
      <c r="O258" s="149" t="s">
        <v>95</v>
      </c>
      <c r="P258" s="27">
        <v>0</v>
      </c>
      <c r="Q258" s="27">
        <v>0</v>
      </c>
      <c r="R258" s="168" t="s">
        <v>83</v>
      </c>
      <c r="S258" s="168" t="s">
        <v>83</v>
      </c>
      <c r="T258" s="168" t="s">
        <v>83</v>
      </c>
      <c r="U258" s="168" t="s">
        <v>83</v>
      </c>
      <c r="V258" s="27"/>
      <c r="W258" s="27" t="s">
        <v>88</v>
      </c>
      <c r="X258" s="27">
        <v>0</v>
      </c>
      <c r="Y258" s="168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8" t="s">
        <v>83</v>
      </c>
      <c r="AF258" s="168" t="s">
        <v>83</v>
      </c>
      <c r="AG258" s="168" t="s">
        <v>83</v>
      </c>
      <c r="AH258" s="168" t="s">
        <v>83</v>
      </c>
      <c r="AI258" s="27">
        <v>1</v>
      </c>
      <c r="AJ258" s="27"/>
      <c r="AK258" s="27">
        <v>1</v>
      </c>
      <c r="AL258" s="27">
        <v>1</v>
      </c>
      <c r="AM258" s="168" t="s">
        <v>83</v>
      </c>
      <c r="AN258" s="27">
        <v>1</v>
      </c>
      <c r="AO258" s="27">
        <v>1</v>
      </c>
      <c r="AP258" s="27">
        <v>1</v>
      </c>
    </row>
    <row r="259" spans="1:42">
      <c r="A259" s="146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8" t="str">
        <f t="shared" si="103"/>
        <v>附魔</v>
      </c>
      <c r="K259" s="148">
        <f t="shared" si="104"/>
        <v>0</v>
      </c>
      <c r="L259" s="27"/>
      <c r="M259" s="149">
        <f>VLOOKUP(LEFT(RIGHT(B259,5),4),物品!B:CU,20,FALSE)</f>
        <v>0</v>
      </c>
      <c r="N259" s="168" t="s">
        <v>83</v>
      </c>
      <c r="O259" s="149" t="s">
        <v>95</v>
      </c>
      <c r="P259" s="27">
        <v>0</v>
      </c>
      <c r="Q259" s="27">
        <v>0</v>
      </c>
      <c r="R259" s="168" t="s">
        <v>83</v>
      </c>
      <c r="S259" s="168" t="s">
        <v>83</v>
      </c>
      <c r="T259" s="168" t="s">
        <v>83</v>
      </c>
      <c r="U259" s="168" t="s">
        <v>83</v>
      </c>
      <c r="V259" s="27"/>
      <c r="W259" s="27" t="s">
        <v>88</v>
      </c>
      <c r="X259" s="27">
        <v>0</v>
      </c>
      <c r="Y259" s="168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8" t="s">
        <v>83</v>
      </c>
      <c r="AF259" s="168" t="s">
        <v>83</v>
      </c>
      <c r="AG259" s="168" t="s">
        <v>83</v>
      </c>
      <c r="AH259" s="168" t="s">
        <v>83</v>
      </c>
      <c r="AI259" s="27">
        <v>1</v>
      </c>
      <c r="AJ259" s="27"/>
      <c r="AK259" s="27">
        <v>1</v>
      </c>
      <c r="AL259" s="27">
        <v>1</v>
      </c>
      <c r="AM259" s="168" t="s">
        <v>83</v>
      </c>
      <c r="AN259" s="27">
        <v>1</v>
      </c>
      <c r="AO259" s="27">
        <v>1</v>
      </c>
      <c r="AP259" s="27">
        <v>1</v>
      </c>
    </row>
    <row r="260" spans="1:42">
      <c r="A260" s="146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8" t="str">
        <f t="shared" si="103"/>
        <v>附魔</v>
      </c>
      <c r="K260" s="148">
        <f t="shared" si="104"/>
        <v>0</v>
      </c>
      <c r="L260" s="27"/>
      <c r="M260" s="149">
        <f>VLOOKUP(LEFT(RIGHT(B260,5),4),物品!B:CU,20,FALSE)</f>
        <v>0</v>
      </c>
      <c r="N260" s="168" t="s">
        <v>83</v>
      </c>
      <c r="O260" s="149" t="s">
        <v>95</v>
      </c>
      <c r="P260" s="27">
        <v>0</v>
      </c>
      <c r="Q260" s="27">
        <v>0</v>
      </c>
      <c r="R260" s="168" t="s">
        <v>83</v>
      </c>
      <c r="S260" s="168" t="s">
        <v>83</v>
      </c>
      <c r="T260" s="168" t="s">
        <v>83</v>
      </c>
      <c r="U260" s="168" t="s">
        <v>83</v>
      </c>
      <c r="V260" s="27"/>
      <c r="W260" s="27" t="s">
        <v>88</v>
      </c>
      <c r="X260" s="27">
        <v>0</v>
      </c>
      <c r="Y260" s="16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8" t="s">
        <v>83</v>
      </c>
      <c r="AF260" s="168" t="s">
        <v>83</v>
      </c>
      <c r="AG260" s="168" t="s">
        <v>83</v>
      </c>
      <c r="AH260" s="168" t="s">
        <v>83</v>
      </c>
      <c r="AI260" s="27">
        <v>1</v>
      </c>
      <c r="AJ260" s="27"/>
      <c r="AK260" s="27">
        <v>1</v>
      </c>
      <c r="AL260" s="27">
        <v>1</v>
      </c>
      <c r="AM260" s="168" t="s">
        <v>83</v>
      </c>
      <c r="AN260" s="27">
        <v>1</v>
      </c>
      <c r="AO260" s="27">
        <v>1</v>
      </c>
      <c r="AP260" s="27">
        <v>1</v>
      </c>
    </row>
    <row r="261" spans="1:42">
      <c r="A261" s="146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8" t="str">
        <f t="shared" si="103"/>
        <v>附魔</v>
      </c>
      <c r="K261" s="148">
        <f t="shared" si="104"/>
        <v>0</v>
      </c>
      <c r="L261" s="27"/>
      <c r="M261" s="149">
        <f>VLOOKUP(LEFT(RIGHT(B261,5),4),物品!B:CU,20,FALSE)</f>
        <v>0</v>
      </c>
      <c r="N261" s="168" t="s">
        <v>83</v>
      </c>
      <c r="O261" s="149" t="s">
        <v>95</v>
      </c>
      <c r="P261" s="27">
        <v>0</v>
      </c>
      <c r="Q261" s="27">
        <v>0</v>
      </c>
      <c r="R261" s="168" t="s">
        <v>83</v>
      </c>
      <c r="S261" s="168" t="s">
        <v>83</v>
      </c>
      <c r="T261" s="168" t="s">
        <v>83</v>
      </c>
      <c r="U261" s="168" t="s">
        <v>83</v>
      </c>
      <c r="V261" s="27"/>
      <c r="W261" s="27" t="s">
        <v>88</v>
      </c>
      <c r="X261" s="27">
        <v>0</v>
      </c>
      <c r="Y261" s="16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8" t="s">
        <v>83</v>
      </c>
      <c r="AF261" s="168" t="s">
        <v>83</v>
      </c>
      <c r="AG261" s="168" t="s">
        <v>83</v>
      </c>
      <c r="AH261" s="168" t="s">
        <v>83</v>
      </c>
      <c r="AI261" s="27">
        <v>1</v>
      </c>
      <c r="AJ261" s="27"/>
      <c r="AK261" s="27">
        <v>1</v>
      </c>
      <c r="AL261" s="27">
        <v>1</v>
      </c>
      <c r="AM261" s="168" t="s">
        <v>83</v>
      </c>
      <c r="AN261" s="27">
        <v>1</v>
      </c>
      <c r="AO261" s="27">
        <v>1</v>
      </c>
      <c r="AP261" s="27">
        <v>1</v>
      </c>
    </row>
    <row r="262" spans="1:42">
      <c r="A262" s="146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8" t="str">
        <f t="shared" ref="J262:J264" si="105">H262</f>
        <v>附魔</v>
      </c>
      <c r="K262" s="148">
        <f t="shared" ref="K262:K264" si="106">I262</f>
        <v>0</v>
      </c>
      <c r="L262" s="27"/>
      <c r="M262" s="149">
        <f>VLOOKUP(LEFT(RIGHT(B262,5),4),物品!B:CU,20,FALSE)</f>
        <v>0</v>
      </c>
      <c r="N262" s="168" t="s">
        <v>83</v>
      </c>
      <c r="O262" s="149" t="s">
        <v>95</v>
      </c>
      <c r="P262" s="27">
        <v>0</v>
      </c>
      <c r="Q262" s="27">
        <v>0</v>
      </c>
      <c r="R262" s="168" t="s">
        <v>83</v>
      </c>
      <c r="S262" s="168" t="s">
        <v>83</v>
      </c>
      <c r="T262" s="168" t="s">
        <v>83</v>
      </c>
      <c r="U262" s="168" t="s">
        <v>83</v>
      </c>
      <c r="V262" s="27"/>
      <c r="W262" s="27" t="s">
        <v>88</v>
      </c>
      <c r="X262" s="27">
        <v>0</v>
      </c>
      <c r="Y262" s="16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8" t="s">
        <v>83</v>
      </c>
      <c r="AF262" s="168" t="s">
        <v>83</v>
      </c>
      <c r="AG262" s="168" t="s">
        <v>83</v>
      </c>
      <c r="AH262" s="168" t="s">
        <v>83</v>
      </c>
      <c r="AI262" s="27">
        <v>1</v>
      </c>
      <c r="AJ262" s="27"/>
      <c r="AK262" s="27">
        <v>1</v>
      </c>
      <c r="AL262" s="27">
        <v>1</v>
      </c>
      <c r="AM262" s="168" t="s">
        <v>83</v>
      </c>
      <c r="AN262" s="27">
        <v>1</v>
      </c>
      <c r="AO262" s="27">
        <v>1</v>
      </c>
      <c r="AP262" s="27">
        <v>1</v>
      </c>
    </row>
    <row r="263" spans="1:42">
      <c r="A263" s="146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8" t="str">
        <f t="shared" si="105"/>
        <v>附魔</v>
      </c>
      <c r="K263" s="148">
        <f t="shared" si="106"/>
        <v>0</v>
      </c>
      <c r="L263" s="27"/>
      <c r="M263" s="149">
        <f>VLOOKUP(LEFT(RIGHT(B263,5),4),物品!B:CU,20,FALSE)</f>
        <v>0</v>
      </c>
      <c r="N263" s="168" t="s">
        <v>83</v>
      </c>
      <c r="O263" s="149" t="s">
        <v>95</v>
      </c>
      <c r="P263" s="27">
        <v>0</v>
      </c>
      <c r="Q263" s="27">
        <v>0</v>
      </c>
      <c r="R263" s="168" t="s">
        <v>83</v>
      </c>
      <c r="S263" s="168" t="s">
        <v>83</v>
      </c>
      <c r="T263" s="168" t="s">
        <v>83</v>
      </c>
      <c r="U263" s="168" t="s">
        <v>83</v>
      </c>
      <c r="V263" s="27"/>
      <c r="W263" s="27" t="s">
        <v>88</v>
      </c>
      <c r="X263" s="27">
        <v>0</v>
      </c>
      <c r="Y263" s="16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8" t="s">
        <v>83</v>
      </c>
      <c r="AF263" s="168" t="s">
        <v>83</v>
      </c>
      <c r="AG263" s="168" t="s">
        <v>83</v>
      </c>
      <c r="AH263" s="168" t="s">
        <v>83</v>
      </c>
      <c r="AI263" s="27">
        <v>1</v>
      </c>
      <c r="AJ263" s="27"/>
      <c r="AK263" s="27">
        <v>1</v>
      </c>
      <c r="AL263" s="27">
        <v>1</v>
      </c>
      <c r="AM263" s="168" t="s">
        <v>83</v>
      </c>
      <c r="AN263" s="27">
        <v>1</v>
      </c>
      <c r="AO263" s="27">
        <v>1</v>
      </c>
      <c r="AP263" s="27">
        <v>1</v>
      </c>
    </row>
    <row r="264" spans="1:42">
      <c r="A264" s="146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8" t="str">
        <f t="shared" si="105"/>
        <v>附魔</v>
      </c>
      <c r="K264" s="148">
        <f t="shared" si="106"/>
        <v>0</v>
      </c>
      <c r="L264" s="27"/>
      <c r="M264" s="149">
        <f>VLOOKUP(LEFT(RIGHT(B264,5),4),物品!B:CU,20,FALSE)</f>
        <v>0</v>
      </c>
      <c r="N264" s="168" t="s">
        <v>83</v>
      </c>
      <c r="O264" s="149" t="s">
        <v>95</v>
      </c>
      <c r="P264" s="27">
        <v>0</v>
      </c>
      <c r="Q264" s="27">
        <v>0</v>
      </c>
      <c r="R264" s="168" t="s">
        <v>83</v>
      </c>
      <c r="S264" s="168" t="s">
        <v>83</v>
      </c>
      <c r="T264" s="168" t="s">
        <v>83</v>
      </c>
      <c r="U264" s="168" t="s">
        <v>83</v>
      </c>
      <c r="V264" s="27"/>
      <c r="W264" s="27" t="s">
        <v>88</v>
      </c>
      <c r="X264" s="27">
        <v>0</v>
      </c>
      <c r="Y264" s="16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8" t="s">
        <v>83</v>
      </c>
      <c r="AF264" s="168" t="s">
        <v>83</v>
      </c>
      <c r="AG264" s="168" t="s">
        <v>83</v>
      </c>
      <c r="AH264" s="168" t="s">
        <v>83</v>
      </c>
      <c r="AI264" s="27">
        <v>1</v>
      </c>
      <c r="AJ264" s="27"/>
      <c r="AK264" s="27">
        <v>1</v>
      </c>
      <c r="AL264" s="27">
        <v>1</v>
      </c>
      <c r="AM264" s="168" t="s">
        <v>83</v>
      </c>
      <c r="AN264" s="27">
        <v>1</v>
      </c>
      <c r="AO264" s="27">
        <v>1</v>
      </c>
      <c r="AP264" s="27">
        <v>1</v>
      </c>
    </row>
    <row r="265" spans="1:42">
      <c r="A265" s="146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8" t="str">
        <f t="shared" ref="J265:J278" si="107">H265</f>
        <v>附魔</v>
      </c>
      <c r="K265" s="148">
        <f t="shared" ref="K265:K278" si="108">I265</f>
        <v>0</v>
      </c>
      <c r="L265" s="27"/>
      <c r="M265" s="149">
        <f>VLOOKUP(LEFT(RIGHT(B265,5),4),物品!B:CU,20,FALSE)</f>
        <v>0</v>
      </c>
      <c r="N265" s="168" t="s">
        <v>83</v>
      </c>
      <c r="O265" s="149" t="s">
        <v>95</v>
      </c>
      <c r="P265" s="27">
        <v>0</v>
      </c>
      <c r="Q265" s="27">
        <v>0</v>
      </c>
      <c r="R265" s="168" t="s">
        <v>83</v>
      </c>
      <c r="S265" s="168" t="s">
        <v>83</v>
      </c>
      <c r="T265" s="168" t="s">
        <v>83</v>
      </c>
      <c r="U265" s="168" t="s">
        <v>83</v>
      </c>
      <c r="V265" s="27"/>
      <c r="W265" s="27" t="s">
        <v>88</v>
      </c>
      <c r="X265" s="27">
        <v>0</v>
      </c>
      <c r="Y265" s="16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8" t="s">
        <v>83</v>
      </c>
      <c r="AF265" s="168" t="s">
        <v>83</v>
      </c>
      <c r="AG265" s="168" t="s">
        <v>83</v>
      </c>
      <c r="AH265" s="168" t="s">
        <v>83</v>
      </c>
      <c r="AI265" s="27">
        <v>1</v>
      </c>
      <c r="AJ265" s="27"/>
      <c r="AK265" s="27">
        <v>1</v>
      </c>
      <c r="AL265" s="27">
        <v>1</v>
      </c>
      <c r="AM265" s="168" t="s">
        <v>83</v>
      </c>
      <c r="AN265" s="27">
        <v>1</v>
      </c>
      <c r="AO265" s="27">
        <v>1</v>
      </c>
      <c r="AP265" s="27">
        <v>1</v>
      </c>
    </row>
    <row r="266" spans="1:42">
      <c r="A266" s="146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8" t="str">
        <f t="shared" ref="J266" si="109">H266</f>
        <v>附魔</v>
      </c>
      <c r="K266" s="148">
        <f t="shared" ref="K266" si="110">I266</f>
        <v>0</v>
      </c>
      <c r="L266" s="27"/>
      <c r="M266" s="149">
        <f>VLOOKUP(LEFT(RIGHT(B266,5),4),物品!B:CU,20,FALSE)</f>
        <v>0</v>
      </c>
      <c r="N266" s="168" t="s">
        <v>83</v>
      </c>
      <c r="O266" s="149" t="s">
        <v>95</v>
      </c>
      <c r="P266" s="27">
        <v>0</v>
      </c>
      <c r="Q266" s="27">
        <v>0</v>
      </c>
      <c r="R266" s="168" t="s">
        <v>83</v>
      </c>
      <c r="S266" s="168" t="s">
        <v>83</v>
      </c>
      <c r="T266" s="168" t="s">
        <v>83</v>
      </c>
      <c r="U266" s="168" t="s">
        <v>83</v>
      </c>
      <c r="V266" s="27"/>
      <c r="W266" s="27" t="s">
        <v>88</v>
      </c>
      <c r="X266" s="27">
        <v>0</v>
      </c>
      <c r="Y266" s="16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8" t="s">
        <v>83</v>
      </c>
      <c r="AF266" s="168" t="s">
        <v>83</v>
      </c>
      <c r="AG266" s="168" t="s">
        <v>83</v>
      </c>
      <c r="AH266" s="168" t="s">
        <v>83</v>
      </c>
      <c r="AI266" s="27">
        <v>1</v>
      </c>
      <c r="AJ266" s="27"/>
      <c r="AK266" s="27">
        <v>1</v>
      </c>
      <c r="AL266" s="27">
        <v>1</v>
      </c>
      <c r="AM266" s="168" t="s">
        <v>83</v>
      </c>
      <c r="AN266" s="27">
        <v>1</v>
      </c>
      <c r="AO266" s="27">
        <v>1</v>
      </c>
      <c r="AP266" s="27">
        <v>1</v>
      </c>
    </row>
    <row r="267" spans="1:42">
      <c r="A267" s="146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8" t="str">
        <f t="shared" ref="J267" si="111">H267</f>
        <v>没抽到任何东西</v>
      </c>
      <c r="K267" s="148">
        <f t="shared" ref="K267" si="112">I267</f>
        <v>0</v>
      </c>
      <c r="L267" s="27"/>
      <c r="M267" s="149">
        <f>VLOOKUP(LEFT(RIGHT(B267,5),4),物品!B:CU,20,FALSE)</f>
        <v>0</v>
      </c>
      <c r="N267" s="168" t="s">
        <v>83</v>
      </c>
      <c r="O267" s="149" t="s">
        <v>95</v>
      </c>
      <c r="P267" s="27">
        <v>0</v>
      </c>
      <c r="Q267" s="27">
        <v>0</v>
      </c>
      <c r="R267" s="168" t="s">
        <v>83</v>
      </c>
      <c r="S267" s="168" t="s">
        <v>83</v>
      </c>
      <c r="T267" s="168" t="s">
        <v>83</v>
      </c>
      <c r="U267" s="168" t="s">
        <v>83</v>
      </c>
      <c r="V267" s="27"/>
      <c r="W267" s="27" t="s">
        <v>88</v>
      </c>
      <c r="X267" s="27">
        <v>0</v>
      </c>
      <c r="Y267" s="16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8" t="s">
        <v>83</v>
      </c>
      <c r="AF267" s="168" t="s">
        <v>83</v>
      </c>
      <c r="AG267" s="168" t="s">
        <v>83</v>
      </c>
      <c r="AH267" s="168" t="s">
        <v>83</v>
      </c>
      <c r="AI267" s="27">
        <v>1</v>
      </c>
      <c r="AJ267" s="27"/>
      <c r="AK267" s="27">
        <v>1</v>
      </c>
      <c r="AL267" s="27">
        <v>1</v>
      </c>
      <c r="AM267" s="168" t="s">
        <v>83</v>
      </c>
      <c r="AN267" s="27">
        <v>1</v>
      </c>
      <c r="AO267" s="27">
        <v>1</v>
      </c>
      <c r="AP267" s="27">
        <v>1</v>
      </c>
    </row>
    <row r="268" spans="1:42">
      <c r="A268" s="146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8" t="str">
        <f t="shared" si="107"/>
        <v>玄铁</v>
      </c>
      <c r="K268" s="148">
        <f t="shared" si="108"/>
        <v>0</v>
      </c>
      <c r="L268" s="27"/>
      <c r="M268" s="149">
        <f>VLOOKUP(LEFT(RIGHT(B268,5),4),物品!B:CU,20,FALSE)</f>
        <v>0</v>
      </c>
      <c r="N268" s="168" t="s">
        <v>83</v>
      </c>
      <c r="O268" s="149" t="s">
        <v>95</v>
      </c>
      <c r="P268" s="27">
        <v>0</v>
      </c>
      <c r="Q268" s="27">
        <v>0</v>
      </c>
      <c r="R268" s="168" t="s">
        <v>83</v>
      </c>
      <c r="S268" s="168" t="s">
        <v>83</v>
      </c>
      <c r="T268" s="168" t="s">
        <v>83</v>
      </c>
      <c r="U268" s="168" t="s">
        <v>83</v>
      </c>
      <c r="V268" s="27"/>
      <c r="W268" s="27" t="s">
        <v>88</v>
      </c>
      <c r="X268" s="27">
        <v>0</v>
      </c>
      <c r="Y268" s="16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8" t="s">
        <v>83</v>
      </c>
      <c r="AF268" s="168" t="s">
        <v>83</v>
      </c>
      <c r="AG268" s="168" t="s">
        <v>83</v>
      </c>
      <c r="AH268" s="168" t="s">
        <v>83</v>
      </c>
      <c r="AI268" s="27">
        <v>1</v>
      </c>
      <c r="AJ268" s="27"/>
      <c r="AK268" s="27">
        <v>1</v>
      </c>
      <c r="AL268" s="27">
        <v>1</v>
      </c>
      <c r="AM268" s="168" t="s">
        <v>83</v>
      </c>
      <c r="AN268" s="27">
        <v>1</v>
      </c>
      <c r="AO268" s="27">
        <v>1</v>
      </c>
      <c r="AP268" s="27">
        <v>1</v>
      </c>
    </row>
    <row r="269" spans="1:42">
      <c r="A269" s="146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8" t="str">
        <f t="shared" si="107"/>
        <v>杀敌数</v>
      </c>
      <c r="K269" s="148">
        <f t="shared" si="108"/>
        <v>0</v>
      </c>
      <c r="L269" s="27"/>
      <c r="M269" s="149">
        <f>VLOOKUP(LEFT(RIGHT(B269,5),4),物品!B:CU,20,FALSE)</f>
        <v>0</v>
      </c>
      <c r="N269" s="168" t="s">
        <v>83</v>
      </c>
      <c r="O269" s="149" t="s">
        <v>95</v>
      </c>
      <c r="P269" s="27">
        <v>0</v>
      </c>
      <c r="Q269" s="27">
        <v>0</v>
      </c>
      <c r="R269" s="168" t="s">
        <v>83</v>
      </c>
      <c r="S269" s="168" t="s">
        <v>83</v>
      </c>
      <c r="T269" s="168" t="s">
        <v>83</v>
      </c>
      <c r="U269" s="168" t="s">
        <v>83</v>
      </c>
      <c r="V269" s="27"/>
      <c r="W269" s="27" t="s">
        <v>88</v>
      </c>
      <c r="X269" s="27">
        <v>0</v>
      </c>
      <c r="Y269" s="16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8" t="s">
        <v>83</v>
      </c>
      <c r="AF269" s="168" t="s">
        <v>83</v>
      </c>
      <c r="AG269" s="168" t="s">
        <v>83</v>
      </c>
      <c r="AH269" s="168" t="s">
        <v>83</v>
      </c>
      <c r="AI269" s="27">
        <v>1</v>
      </c>
      <c r="AJ269" s="27"/>
      <c r="AK269" s="27">
        <v>1</v>
      </c>
      <c r="AL269" s="27">
        <v>1</v>
      </c>
      <c r="AM269" s="168" t="s">
        <v>83</v>
      </c>
      <c r="AN269" s="27">
        <v>1</v>
      </c>
      <c r="AO269" s="27">
        <v>1</v>
      </c>
      <c r="AP269" s="27">
        <v>1</v>
      </c>
    </row>
    <row r="270" spans="1:42">
      <c r="A270" s="146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8" t="str">
        <f t="shared" si="107"/>
        <v>攻击力低</v>
      </c>
      <c r="K270" s="148">
        <f t="shared" si="108"/>
        <v>0</v>
      </c>
      <c r="L270" s="27"/>
      <c r="M270" s="149">
        <f>VLOOKUP(LEFT(RIGHT(B270,5),4),物品!B:CU,20,FALSE)</f>
        <v>0</v>
      </c>
      <c r="N270" s="168" t="s">
        <v>83</v>
      </c>
      <c r="O270" s="149" t="s">
        <v>95</v>
      </c>
      <c r="P270" s="27">
        <v>0</v>
      </c>
      <c r="Q270" s="27">
        <v>0</v>
      </c>
      <c r="R270" s="168" t="s">
        <v>83</v>
      </c>
      <c r="S270" s="168" t="s">
        <v>83</v>
      </c>
      <c r="T270" s="168" t="s">
        <v>83</v>
      </c>
      <c r="U270" s="168" t="s">
        <v>83</v>
      </c>
      <c r="V270" s="27"/>
      <c r="W270" s="27" t="s">
        <v>88</v>
      </c>
      <c r="X270" s="27">
        <v>0</v>
      </c>
      <c r="Y270" s="16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8" t="s">
        <v>83</v>
      </c>
      <c r="AF270" s="168" t="s">
        <v>83</v>
      </c>
      <c r="AG270" s="168" t="s">
        <v>83</v>
      </c>
      <c r="AH270" s="168" t="s">
        <v>83</v>
      </c>
      <c r="AI270" s="27">
        <v>1</v>
      </c>
      <c r="AJ270" s="27"/>
      <c r="AK270" s="27">
        <v>1</v>
      </c>
      <c r="AL270" s="27">
        <v>1</v>
      </c>
      <c r="AM270" s="168" t="s">
        <v>83</v>
      </c>
      <c r="AN270" s="27">
        <v>1</v>
      </c>
      <c r="AO270" s="27">
        <v>1</v>
      </c>
      <c r="AP270" s="27">
        <v>1</v>
      </c>
    </row>
    <row r="271" spans="1:42">
      <c r="A271" s="146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8" t="str">
        <f t="shared" si="107"/>
        <v>攻击力中</v>
      </c>
      <c r="K271" s="148">
        <f t="shared" si="108"/>
        <v>0</v>
      </c>
      <c r="L271" s="27"/>
      <c r="M271" s="149">
        <f>VLOOKUP(LEFT(RIGHT(B271,5),4),物品!B:CU,20,FALSE)</f>
        <v>0</v>
      </c>
      <c r="N271" s="168" t="s">
        <v>83</v>
      </c>
      <c r="O271" s="149" t="s">
        <v>95</v>
      </c>
      <c r="P271" s="27">
        <v>0</v>
      </c>
      <c r="Q271" s="27">
        <v>0</v>
      </c>
      <c r="R271" s="168" t="s">
        <v>83</v>
      </c>
      <c r="S271" s="168" t="s">
        <v>83</v>
      </c>
      <c r="T271" s="168" t="s">
        <v>83</v>
      </c>
      <c r="U271" s="168" t="s">
        <v>83</v>
      </c>
      <c r="V271" s="27"/>
      <c r="W271" s="27" t="s">
        <v>88</v>
      </c>
      <c r="X271" s="27">
        <v>0</v>
      </c>
      <c r="Y271" s="16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8" t="s">
        <v>83</v>
      </c>
      <c r="AF271" s="168" t="s">
        <v>83</v>
      </c>
      <c r="AG271" s="168" t="s">
        <v>83</v>
      </c>
      <c r="AH271" s="168" t="s">
        <v>83</v>
      </c>
      <c r="AI271" s="27">
        <v>1</v>
      </c>
      <c r="AJ271" s="27"/>
      <c r="AK271" s="27">
        <v>1</v>
      </c>
      <c r="AL271" s="27">
        <v>1</v>
      </c>
      <c r="AM271" s="168" t="s">
        <v>83</v>
      </c>
      <c r="AN271" s="27">
        <v>1</v>
      </c>
      <c r="AO271" s="27">
        <v>1</v>
      </c>
      <c r="AP271" s="27">
        <v>1</v>
      </c>
    </row>
    <row r="272" spans="1:42">
      <c r="A272" s="146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8" t="str">
        <f t="shared" si="107"/>
        <v>攻击力高</v>
      </c>
      <c r="K272" s="148">
        <f t="shared" si="108"/>
        <v>0</v>
      </c>
      <c r="L272" s="27"/>
      <c r="M272" s="149">
        <f>VLOOKUP(LEFT(RIGHT(B272,5),4),物品!B:CU,20,FALSE)</f>
        <v>0</v>
      </c>
      <c r="N272" s="168" t="s">
        <v>83</v>
      </c>
      <c r="O272" s="149" t="s">
        <v>95</v>
      </c>
      <c r="P272" s="27">
        <v>0</v>
      </c>
      <c r="Q272" s="27">
        <v>0</v>
      </c>
      <c r="R272" s="168" t="s">
        <v>83</v>
      </c>
      <c r="S272" s="168" t="s">
        <v>83</v>
      </c>
      <c r="T272" s="168" t="s">
        <v>83</v>
      </c>
      <c r="U272" s="168" t="s">
        <v>83</v>
      </c>
      <c r="V272" s="27"/>
      <c r="W272" s="27" t="s">
        <v>88</v>
      </c>
      <c r="X272" s="27">
        <v>0</v>
      </c>
      <c r="Y272" s="16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8" t="s">
        <v>83</v>
      </c>
      <c r="AF272" s="168" t="s">
        <v>83</v>
      </c>
      <c r="AG272" s="168" t="s">
        <v>83</v>
      </c>
      <c r="AH272" s="168" t="s">
        <v>83</v>
      </c>
      <c r="AI272" s="27">
        <v>1</v>
      </c>
      <c r="AJ272" s="27"/>
      <c r="AK272" s="27">
        <v>1</v>
      </c>
      <c r="AL272" s="27">
        <v>1</v>
      </c>
      <c r="AM272" s="168" t="s">
        <v>83</v>
      </c>
      <c r="AN272" s="27">
        <v>1</v>
      </c>
      <c r="AO272" s="27">
        <v>1</v>
      </c>
      <c r="AP272" s="27">
        <v>1</v>
      </c>
    </row>
    <row r="273" spans="1:42">
      <c r="A273" s="146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8" t="str">
        <f t="shared" si="107"/>
        <v>生命值低</v>
      </c>
      <c r="K273" s="148">
        <f t="shared" si="108"/>
        <v>0</v>
      </c>
      <c r="L273" s="27"/>
      <c r="M273" s="149">
        <f>VLOOKUP(LEFT(RIGHT(B273,5),4),物品!B:CU,20,FALSE)</f>
        <v>0</v>
      </c>
      <c r="N273" s="168" t="s">
        <v>83</v>
      </c>
      <c r="O273" s="149" t="s">
        <v>95</v>
      </c>
      <c r="P273" s="27">
        <v>0</v>
      </c>
      <c r="Q273" s="27">
        <v>0</v>
      </c>
      <c r="R273" s="168" t="s">
        <v>83</v>
      </c>
      <c r="S273" s="168" t="s">
        <v>83</v>
      </c>
      <c r="T273" s="168" t="s">
        <v>83</v>
      </c>
      <c r="U273" s="168" t="s">
        <v>83</v>
      </c>
      <c r="V273" s="27"/>
      <c r="W273" s="27" t="s">
        <v>88</v>
      </c>
      <c r="X273" s="27">
        <v>0</v>
      </c>
      <c r="Y273" s="168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8" t="s">
        <v>83</v>
      </c>
      <c r="AF273" s="168" t="s">
        <v>83</v>
      </c>
      <c r="AG273" s="168" t="s">
        <v>83</v>
      </c>
      <c r="AH273" s="168" t="s">
        <v>83</v>
      </c>
      <c r="AI273" s="27">
        <v>1</v>
      </c>
      <c r="AJ273" s="27"/>
      <c r="AK273" s="27">
        <v>1</v>
      </c>
      <c r="AL273" s="27">
        <v>1</v>
      </c>
      <c r="AM273" s="168" t="s">
        <v>83</v>
      </c>
      <c r="AN273" s="27">
        <v>1</v>
      </c>
      <c r="AO273" s="27">
        <v>1</v>
      </c>
      <c r="AP273" s="27">
        <v>1</v>
      </c>
    </row>
    <row r="274" spans="1:42">
      <c r="A274" s="146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8" t="str">
        <f t="shared" si="107"/>
        <v>生命值中</v>
      </c>
      <c r="K274" s="148">
        <f t="shared" si="108"/>
        <v>0</v>
      </c>
      <c r="L274" s="27"/>
      <c r="M274" s="149">
        <f>VLOOKUP(LEFT(RIGHT(B274,5),4),物品!B:CU,20,FALSE)</f>
        <v>0</v>
      </c>
      <c r="N274" s="168" t="s">
        <v>83</v>
      </c>
      <c r="O274" s="149" t="s">
        <v>95</v>
      </c>
      <c r="P274" s="27">
        <v>0</v>
      </c>
      <c r="Q274" s="27">
        <v>0</v>
      </c>
      <c r="R274" s="168" t="s">
        <v>83</v>
      </c>
      <c r="S274" s="168" t="s">
        <v>83</v>
      </c>
      <c r="T274" s="168" t="s">
        <v>83</v>
      </c>
      <c r="U274" s="168" t="s">
        <v>83</v>
      </c>
      <c r="V274" s="27"/>
      <c r="W274" s="27" t="s">
        <v>88</v>
      </c>
      <c r="X274" s="27">
        <v>0</v>
      </c>
      <c r="Y274" s="168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8" t="s">
        <v>83</v>
      </c>
      <c r="AF274" s="168" t="s">
        <v>83</v>
      </c>
      <c r="AG274" s="168" t="s">
        <v>83</v>
      </c>
      <c r="AH274" s="168" t="s">
        <v>83</v>
      </c>
      <c r="AI274" s="27">
        <v>1</v>
      </c>
      <c r="AJ274" s="27"/>
      <c r="AK274" s="27">
        <v>1</v>
      </c>
      <c r="AL274" s="27">
        <v>1</v>
      </c>
      <c r="AM274" s="168" t="s">
        <v>83</v>
      </c>
      <c r="AN274" s="27">
        <v>1</v>
      </c>
      <c r="AO274" s="27">
        <v>1</v>
      </c>
      <c r="AP274" s="27">
        <v>1</v>
      </c>
    </row>
    <row r="275" spans="1:42">
      <c r="A275" s="146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8" t="str">
        <f t="shared" si="107"/>
        <v>生命值高</v>
      </c>
      <c r="K275" s="148">
        <f t="shared" si="108"/>
        <v>0</v>
      </c>
      <c r="L275" s="27"/>
      <c r="M275" s="149">
        <f>VLOOKUP(LEFT(RIGHT(B275,5),4),物品!B:CU,20,FALSE)</f>
        <v>0</v>
      </c>
      <c r="N275" s="168" t="s">
        <v>83</v>
      </c>
      <c r="O275" s="149" t="s">
        <v>95</v>
      </c>
      <c r="P275" s="27">
        <v>0</v>
      </c>
      <c r="Q275" s="27">
        <v>0</v>
      </c>
      <c r="R275" s="168" t="s">
        <v>83</v>
      </c>
      <c r="S275" s="168" t="s">
        <v>83</v>
      </c>
      <c r="T275" s="168" t="s">
        <v>83</v>
      </c>
      <c r="U275" s="168" t="s">
        <v>83</v>
      </c>
      <c r="V275" s="27"/>
      <c r="W275" s="27" t="s">
        <v>88</v>
      </c>
      <c r="X275" s="27">
        <v>0</v>
      </c>
      <c r="Y275" s="168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8" t="s">
        <v>83</v>
      </c>
      <c r="AF275" s="168" t="s">
        <v>83</v>
      </c>
      <c r="AG275" s="168" t="s">
        <v>83</v>
      </c>
      <c r="AH275" s="168" t="s">
        <v>83</v>
      </c>
      <c r="AI275" s="27">
        <v>1</v>
      </c>
      <c r="AJ275" s="27"/>
      <c r="AK275" s="27">
        <v>1</v>
      </c>
      <c r="AL275" s="27">
        <v>1</v>
      </c>
      <c r="AM275" s="168" t="s">
        <v>83</v>
      </c>
      <c r="AN275" s="27">
        <v>1</v>
      </c>
      <c r="AO275" s="27">
        <v>1</v>
      </c>
      <c r="AP275" s="27">
        <v>1</v>
      </c>
    </row>
    <row r="276" spans="1:42">
      <c r="A276" s="146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8" t="str">
        <f t="shared" si="107"/>
        <v>业力低</v>
      </c>
      <c r="K276" s="148">
        <f t="shared" si="108"/>
        <v>0</v>
      </c>
      <c r="L276" s="27"/>
      <c r="M276" s="149">
        <f>VLOOKUP(LEFT(RIGHT(B276,5),4),物品!B:CU,20,FALSE)</f>
        <v>0</v>
      </c>
      <c r="N276" s="168" t="s">
        <v>83</v>
      </c>
      <c r="O276" s="149" t="s">
        <v>95</v>
      </c>
      <c r="P276" s="27">
        <v>0</v>
      </c>
      <c r="Q276" s="27">
        <v>0</v>
      </c>
      <c r="R276" s="168" t="s">
        <v>83</v>
      </c>
      <c r="S276" s="168" t="s">
        <v>83</v>
      </c>
      <c r="T276" s="168" t="s">
        <v>83</v>
      </c>
      <c r="U276" s="168" t="s">
        <v>83</v>
      </c>
      <c r="V276" s="27"/>
      <c r="W276" s="27" t="s">
        <v>88</v>
      </c>
      <c r="X276" s="27">
        <v>0</v>
      </c>
      <c r="Y276" s="168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8" t="s">
        <v>83</v>
      </c>
      <c r="AF276" s="168" t="s">
        <v>83</v>
      </c>
      <c r="AG276" s="168" t="s">
        <v>83</v>
      </c>
      <c r="AH276" s="168" t="s">
        <v>83</v>
      </c>
      <c r="AI276" s="27">
        <v>1</v>
      </c>
      <c r="AJ276" s="27"/>
      <c r="AK276" s="27">
        <v>1</v>
      </c>
      <c r="AL276" s="27">
        <v>1</v>
      </c>
      <c r="AM276" s="168" t="s">
        <v>83</v>
      </c>
      <c r="AN276" s="27">
        <v>1</v>
      </c>
      <c r="AO276" s="27">
        <v>1</v>
      </c>
      <c r="AP276" s="27">
        <v>1</v>
      </c>
    </row>
    <row r="277" spans="1:42">
      <c r="A277" s="146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8" t="str">
        <f t="shared" si="107"/>
        <v>业力中</v>
      </c>
      <c r="K277" s="148">
        <f t="shared" si="108"/>
        <v>0</v>
      </c>
      <c r="L277" s="27"/>
      <c r="M277" s="149">
        <f>VLOOKUP(LEFT(RIGHT(B277,5),4),物品!B:CU,20,FALSE)</f>
        <v>0</v>
      </c>
      <c r="N277" s="168" t="s">
        <v>83</v>
      </c>
      <c r="O277" s="149" t="s">
        <v>95</v>
      </c>
      <c r="P277" s="27">
        <v>0</v>
      </c>
      <c r="Q277" s="27">
        <v>0</v>
      </c>
      <c r="R277" s="168" t="s">
        <v>83</v>
      </c>
      <c r="S277" s="168" t="s">
        <v>83</v>
      </c>
      <c r="T277" s="168" t="s">
        <v>83</v>
      </c>
      <c r="U277" s="168" t="s">
        <v>83</v>
      </c>
      <c r="V277" s="27"/>
      <c r="W277" s="27" t="s">
        <v>88</v>
      </c>
      <c r="X277" s="27">
        <v>0</v>
      </c>
      <c r="Y277" s="168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8" t="s">
        <v>83</v>
      </c>
      <c r="AF277" s="168" t="s">
        <v>83</v>
      </c>
      <c r="AG277" s="168" t="s">
        <v>83</v>
      </c>
      <c r="AH277" s="168" t="s">
        <v>83</v>
      </c>
      <c r="AI277" s="27">
        <v>1</v>
      </c>
      <c r="AJ277" s="27"/>
      <c r="AK277" s="27">
        <v>1</v>
      </c>
      <c r="AL277" s="27">
        <v>1</v>
      </c>
      <c r="AM277" s="168" t="s">
        <v>83</v>
      </c>
      <c r="AN277" s="27">
        <v>1</v>
      </c>
      <c r="AO277" s="27">
        <v>1</v>
      </c>
      <c r="AP277" s="27">
        <v>1</v>
      </c>
    </row>
    <row r="278" spans="1:42">
      <c r="A278" s="146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8" t="str">
        <f t="shared" si="107"/>
        <v>业力高</v>
      </c>
      <c r="K278" s="148">
        <f t="shared" si="108"/>
        <v>0</v>
      </c>
      <c r="L278" s="27"/>
      <c r="M278" s="149">
        <f>VLOOKUP(LEFT(RIGHT(B278,5),4),物品!B:CU,20,FALSE)</f>
        <v>0</v>
      </c>
      <c r="N278" s="168" t="s">
        <v>83</v>
      </c>
      <c r="O278" s="149" t="s">
        <v>95</v>
      </c>
      <c r="P278" s="27">
        <v>0</v>
      </c>
      <c r="Q278" s="27">
        <v>0</v>
      </c>
      <c r="R278" s="168" t="s">
        <v>83</v>
      </c>
      <c r="S278" s="168" t="s">
        <v>83</v>
      </c>
      <c r="T278" s="168" t="s">
        <v>83</v>
      </c>
      <c r="U278" s="168" t="s">
        <v>83</v>
      </c>
      <c r="V278" s="27"/>
      <c r="W278" s="27" t="s">
        <v>88</v>
      </c>
      <c r="X278" s="27">
        <v>0</v>
      </c>
      <c r="Y278" s="168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8" t="s">
        <v>83</v>
      </c>
      <c r="AF278" s="168" t="s">
        <v>83</v>
      </c>
      <c r="AG278" s="168" t="s">
        <v>83</v>
      </c>
      <c r="AH278" s="168" t="s">
        <v>83</v>
      </c>
      <c r="AI278" s="27">
        <v>1</v>
      </c>
      <c r="AJ278" s="27"/>
      <c r="AK278" s="27">
        <v>1</v>
      </c>
      <c r="AL278" s="27">
        <v>1</v>
      </c>
      <c r="AM278" s="168" t="s">
        <v>83</v>
      </c>
      <c r="AN278" s="27">
        <v>1</v>
      </c>
      <c r="AO278" s="27">
        <v>1</v>
      </c>
      <c r="AP278" s="27">
        <v>1</v>
      </c>
    </row>
    <row r="279" spans="1:42">
      <c r="A279" s="146"/>
      <c r="B279" s="27"/>
      <c r="C279" s="27"/>
      <c r="D279" s="27"/>
      <c r="E279" s="27"/>
      <c r="F279" s="27"/>
      <c r="G279" s="27"/>
      <c r="H279" s="27"/>
      <c r="I279" s="27"/>
      <c r="J279" s="148"/>
      <c r="K279" s="148"/>
      <c r="L279" s="27"/>
      <c r="M279" s="149"/>
      <c r="N279" s="27"/>
      <c r="O279" s="149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6"/>
      <c r="B280" s="27"/>
      <c r="C280" s="27"/>
      <c r="D280" s="27"/>
      <c r="E280" s="27"/>
      <c r="F280" s="27"/>
      <c r="G280" s="27"/>
      <c r="H280" s="27"/>
      <c r="I280" s="27"/>
      <c r="J280" s="148"/>
      <c r="K280" s="148"/>
      <c r="L280" s="27"/>
      <c r="M280" s="149"/>
      <c r="N280" s="27"/>
      <c r="O280" s="149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6"/>
      <c r="B281" s="27"/>
      <c r="C281" s="27"/>
      <c r="D281" s="27"/>
      <c r="E281" s="27"/>
      <c r="F281" s="27"/>
      <c r="G281" s="27"/>
      <c r="H281" s="27"/>
      <c r="I281" s="27"/>
      <c r="J281" s="148"/>
      <c r="K281" s="148"/>
      <c r="L281" s="27"/>
      <c r="M281" s="149"/>
      <c r="N281" s="27"/>
      <c r="O281" s="149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6"/>
      <c r="B282" s="27"/>
      <c r="C282" s="27"/>
      <c r="D282" s="27"/>
      <c r="E282" s="27"/>
      <c r="F282" s="27"/>
      <c r="G282" s="27"/>
      <c r="H282" s="27"/>
      <c r="I282" s="27"/>
      <c r="J282" s="148"/>
      <c r="K282" s="148"/>
      <c r="L282" s="27"/>
      <c r="M282" s="149"/>
      <c r="N282" s="27"/>
      <c r="O282" s="149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6"/>
      <c r="B283" s="27"/>
      <c r="C283" s="27"/>
      <c r="D283" s="27"/>
      <c r="E283" s="27"/>
      <c r="F283" s="27"/>
      <c r="G283" s="27"/>
      <c r="H283" s="27"/>
      <c r="I283" s="27"/>
      <c r="J283" s="148"/>
      <c r="K283" s="148"/>
      <c r="L283" s="27"/>
      <c r="M283" s="149"/>
      <c r="N283" s="27"/>
      <c r="O283" s="149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6"/>
      <c r="B284" s="27"/>
      <c r="C284" s="27"/>
      <c r="D284" s="27"/>
      <c r="E284" s="27"/>
      <c r="F284" s="27"/>
      <c r="G284" s="27"/>
      <c r="H284" s="27"/>
      <c r="I284" s="27"/>
      <c r="J284" s="148"/>
      <c r="K284" s="148"/>
      <c r="L284" s="27"/>
      <c r="M284" s="149"/>
      <c r="N284" s="27"/>
      <c r="O284" s="149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6"/>
      <c r="B285" s="27"/>
      <c r="C285" s="27"/>
      <c r="D285" s="27"/>
      <c r="E285" s="27"/>
      <c r="F285" s="27"/>
      <c r="G285" s="27"/>
      <c r="H285" s="27"/>
      <c r="I285" s="27"/>
      <c r="J285" s="148"/>
      <c r="K285" s="148"/>
      <c r="L285" s="27"/>
      <c r="M285" s="149"/>
      <c r="N285" s="27"/>
      <c r="O285" s="149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6"/>
      <c r="B286" s="27"/>
      <c r="C286" s="27"/>
      <c r="D286" s="27"/>
      <c r="E286" s="27"/>
      <c r="F286" s="27"/>
      <c r="G286" s="27"/>
      <c r="H286" s="27"/>
      <c r="I286" s="27"/>
      <c r="J286" s="148"/>
      <c r="K286" s="148"/>
      <c r="L286" s="27"/>
      <c r="M286" s="149"/>
      <c r="N286" s="27"/>
      <c r="O286" s="149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6"/>
      <c r="B287" s="27"/>
      <c r="C287" s="27"/>
      <c r="D287" s="27"/>
      <c r="E287" s="27"/>
      <c r="F287" s="27"/>
      <c r="G287" s="27"/>
      <c r="H287" s="27"/>
      <c r="I287" s="27"/>
      <c r="J287" s="148"/>
      <c r="K287" s="148"/>
      <c r="L287" s="27"/>
      <c r="M287" s="149"/>
      <c r="N287" s="27"/>
      <c r="O287" s="149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6"/>
      <c r="B288" s="27"/>
      <c r="C288" s="27"/>
      <c r="D288" s="27"/>
      <c r="E288" s="27"/>
      <c r="F288" s="27"/>
      <c r="G288" s="27"/>
      <c r="H288" s="27"/>
      <c r="I288" s="27"/>
      <c r="J288" s="148"/>
      <c r="K288" s="148"/>
      <c r="L288" s="27"/>
      <c r="M288" s="149"/>
      <c r="N288" s="27"/>
      <c r="O288" s="149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6"/>
      <c r="B289" s="27"/>
      <c r="C289" s="27"/>
      <c r="D289" s="27"/>
      <c r="E289" s="27"/>
      <c r="F289" s="27"/>
      <c r="G289" s="27"/>
      <c r="H289" s="27"/>
      <c r="I289" s="27"/>
      <c r="J289" s="148"/>
      <c r="K289" s="148"/>
      <c r="L289" s="27"/>
      <c r="M289" s="149"/>
      <c r="N289" s="27"/>
      <c r="O289" s="149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6"/>
      <c r="B290" s="27"/>
      <c r="C290" s="27"/>
      <c r="D290" s="27"/>
      <c r="E290" s="27"/>
      <c r="F290" s="27"/>
      <c r="G290" s="27"/>
      <c r="H290" s="27"/>
      <c r="I290" s="27"/>
      <c r="J290" s="148"/>
      <c r="K290" s="148"/>
      <c r="L290" s="27"/>
      <c r="M290" s="149"/>
      <c r="N290" s="27"/>
      <c r="O290" s="149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6"/>
      <c r="B291" s="27"/>
      <c r="C291" s="27"/>
      <c r="D291" s="27"/>
      <c r="E291" s="27"/>
      <c r="F291" s="27"/>
      <c r="G291" s="27"/>
      <c r="H291" s="27"/>
      <c r="I291" s="27"/>
      <c r="J291" s="148"/>
      <c r="K291" s="148"/>
      <c r="L291" s="27"/>
      <c r="M291" s="149"/>
      <c r="N291" s="27"/>
      <c r="O291" s="149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6"/>
      <c r="B292" s="27"/>
      <c r="C292" s="27"/>
      <c r="D292" s="27"/>
      <c r="E292" s="27"/>
      <c r="F292" s="27"/>
      <c r="G292" s="27"/>
      <c r="H292" s="27"/>
      <c r="I292" s="27"/>
      <c r="J292" s="148"/>
      <c r="K292" s="148"/>
      <c r="L292" s="27"/>
      <c r="M292" s="149"/>
      <c r="N292" s="27"/>
      <c r="O292" s="149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6"/>
      <c r="B293" s="27"/>
      <c r="C293" s="27"/>
      <c r="D293" s="27"/>
      <c r="E293" s="27"/>
      <c r="F293" s="27"/>
      <c r="G293" s="27"/>
      <c r="H293" s="27"/>
      <c r="I293" s="27"/>
      <c r="J293" s="148"/>
      <c r="K293" s="148"/>
      <c r="L293" s="27"/>
      <c r="M293" s="149"/>
      <c r="N293" s="27"/>
      <c r="O293" s="149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6"/>
      <c r="B294" s="27"/>
      <c r="C294" s="27"/>
      <c r="D294" s="27"/>
      <c r="E294" s="27"/>
      <c r="F294" s="27"/>
      <c r="G294" s="27"/>
      <c r="H294" s="27"/>
      <c r="I294" s="27"/>
      <c r="J294" s="148"/>
      <c r="K294" s="148"/>
      <c r="L294" s="27"/>
      <c r="M294" s="149"/>
      <c r="N294" s="27"/>
      <c r="O294" s="149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6"/>
      <c r="B295" s="27"/>
      <c r="C295" s="27"/>
      <c r="D295" s="27"/>
      <c r="E295" s="27"/>
      <c r="F295" s="27"/>
      <c r="G295" s="27"/>
      <c r="H295" s="27"/>
      <c r="I295" s="27"/>
      <c r="J295" s="148"/>
      <c r="K295" s="148"/>
      <c r="L295" s="27"/>
      <c r="M295" s="149"/>
      <c r="N295" s="27"/>
      <c r="O295" s="149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6"/>
      <c r="B296" s="27"/>
      <c r="C296" s="27"/>
      <c r="D296" s="27"/>
      <c r="E296" s="27"/>
      <c r="F296" s="27"/>
      <c r="G296" s="27"/>
      <c r="H296" s="27"/>
      <c r="I296" s="27"/>
      <c r="J296" s="148"/>
      <c r="K296" s="148"/>
      <c r="L296" s="27"/>
      <c r="M296" s="149"/>
      <c r="N296" s="27"/>
      <c r="O296" s="149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6"/>
      <c r="B297" s="27"/>
      <c r="C297" s="27"/>
      <c r="D297" s="27"/>
      <c r="E297" s="27"/>
      <c r="F297" s="27"/>
      <c r="G297" s="27"/>
      <c r="H297" s="27"/>
      <c r="I297" s="27"/>
      <c r="J297" s="148"/>
      <c r="K297" s="148"/>
      <c r="L297" s="27"/>
      <c r="M297" s="149"/>
      <c r="N297" s="27"/>
      <c r="O297" s="149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6"/>
      <c r="B298" s="27"/>
      <c r="C298" s="27"/>
      <c r="D298" s="27"/>
      <c r="E298" s="27"/>
      <c r="F298" s="27"/>
      <c r="G298" s="27"/>
      <c r="H298" s="27"/>
      <c r="I298" s="27"/>
      <c r="J298" s="148"/>
      <c r="K298" s="148"/>
      <c r="L298" s="27"/>
      <c r="M298" s="149"/>
      <c r="N298" s="27"/>
      <c r="O298" s="149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6"/>
      <c r="B299" s="27"/>
      <c r="C299" s="27"/>
      <c r="D299" s="27"/>
      <c r="E299" s="27"/>
      <c r="F299" s="27"/>
      <c r="G299" s="27"/>
      <c r="H299" s="27"/>
      <c r="I299" s="27"/>
      <c r="J299" s="148"/>
      <c r="K299" s="148"/>
      <c r="L299" s="27"/>
      <c r="M299" s="149"/>
      <c r="N299" s="27"/>
      <c r="O299" s="149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6"/>
      <c r="B300" s="27"/>
      <c r="C300" s="27"/>
      <c r="D300" s="27"/>
      <c r="E300" s="27"/>
      <c r="F300" s="27"/>
      <c r="G300" s="27"/>
      <c r="H300" s="27"/>
      <c r="I300" s="27"/>
      <c r="J300" s="148"/>
      <c r="K300" s="148"/>
      <c r="L300" s="27"/>
      <c r="M300" s="149"/>
      <c r="N300" s="27"/>
      <c r="O300" s="149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6"/>
      <c r="B301" s="27"/>
      <c r="C301" s="27"/>
      <c r="D301" s="27"/>
      <c r="E301" s="27"/>
      <c r="F301" s="27"/>
      <c r="G301" s="27"/>
      <c r="H301" s="27"/>
      <c r="I301" s="27"/>
      <c r="J301" s="148"/>
      <c r="K301" s="148"/>
      <c r="L301" s="27"/>
      <c r="M301" s="149"/>
      <c r="N301" s="27"/>
      <c r="O301" s="149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6"/>
      <c r="B302" s="27"/>
      <c r="C302" s="27"/>
      <c r="D302" s="27"/>
      <c r="E302" s="27"/>
      <c r="F302" s="27"/>
      <c r="G302" s="27"/>
      <c r="H302" s="27"/>
      <c r="I302" s="27"/>
      <c r="J302" s="148"/>
      <c r="K302" s="148"/>
      <c r="L302" s="27"/>
      <c r="M302" s="149"/>
      <c r="N302" s="27"/>
      <c r="O302" s="149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6"/>
      <c r="B303" s="27"/>
      <c r="C303" s="27"/>
      <c r="D303" s="27"/>
      <c r="E303" s="27"/>
      <c r="F303" s="27"/>
      <c r="G303" s="27"/>
      <c r="H303" s="27"/>
      <c r="I303" s="27"/>
      <c r="J303" s="148"/>
      <c r="K303" s="148"/>
      <c r="L303" s="27"/>
      <c r="M303" s="149"/>
      <c r="N303" s="27"/>
      <c r="O303" s="149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6"/>
      <c r="B304" s="27"/>
      <c r="C304" s="27"/>
      <c r="D304" s="27"/>
      <c r="E304" s="27"/>
      <c r="F304" s="27"/>
      <c r="G304" s="27"/>
      <c r="H304" s="27"/>
      <c r="I304" s="27"/>
      <c r="J304" s="148"/>
      <c r="K304" s="148"/>
      <c r="L304" s="27"/>
      <c r="M304" s="149"/>
      <c r="N304" s="27"/>
      <c r="O304" s="149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6"/>
      <c r="B305" s="27"/>
      <c r="C305" s="27"/>
      <c r="D305" s="27"/>
      <c r="E305" s="27"/>
      <c r="F305" s="27"/>
      <c r="G305" s="27"/>
      <c r="H305" s="27"/>
      <c r="I305" s="27"/>
      <c r="J305" s="148"/>
      <c r="K305" s="148"/>
      <c r="L305" s="27"/>
      <c r="M305" s="149"/>
      <c r="N305" s="27"/>
      <c r="O305" s="149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6"/>
      <c r="B306" s="27"/>
      <c r="C306" s="27"/>
      <c r="D306" s="27"/>
      <c r="E306" s="27"/>
      <c r="F306" s="27"/>
      <c r="G306" s="27"/>
      <c r="H306" s="27"/>
      <c r="I306" s="27"/>
      <c r="J306" s="148"/>
      <c r="K306" s="148"/>
      <c r="L306" s="27"/>
      <c r="M306" s="149"/>
      <c r="N306" s="27"/>
      <c r="O306" s="149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6"/>
      <c r="B307" s="27"/>
      <c r="C307" s="27"/>
      <c r="D307" s="27"/>
      <c r="E307" s="27"/>
      <c r="F307" s="27"/>
      <c r="G307" s="27"/>
      <c r="H307" s="27"/>
      <c r="I307" s="27"/>
      <c r="J307" s="148"/>
      <c r="K307" s="148"/>
      <c r="L307" s="27"/>
      <c r="M307" s="149"/>
      <c r="N307" s="27"/>
      <c r="O307" s="149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6"/>
      <c r="B308" s="27"/>
      <c r="C308" s="27"/>
      <c r="D308" s="27"/>
      <c r="E308" s="27"/>
      <c r="F308" s="27"/>
      <c r="G308" s="27"/>
      <c r="H308" s="27"/>
      <c r="I308" s="27"/>
      <c r="J308" s="148"/>
      <c r="K308" s="148"/>
      <c r="L308" s="27"/>
      <c r="M308" s="149"/>
      <c r="N308" s="27"/>
      <c r="O308" s="149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6"/>
      <c r="B309" s="27"/>
      <c r="C309" s="27"/>
      <c r="D309" s="27"/>
      <c r="E309" s="27"/>
      <c r="F309" s="27"/>
      <c r="G309" s="27"/>
      <c r="H309" s="27"/>
      <c r="I309" s="27"/>
      <c r="J309" s="148"/>
      <c r="K309" s="148"/>
      <c r="L309" s="27"/>
      <c r="M309" s="149"/>
      <c r="N309" s="27"/>
      <c r="O309" s="149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6"/>
      <c r="B310" s="27"/>
      <c r="C310" s="27"/>
      <c r="D310" s="27"/>
      <c r="E310" s="27"/>
      <c r="F310" s="27"/>
      <c r="G310" s="27"/>
      <c r="H310" s="27"/>
      <c r="I310" s="27"/>
      <c r="J310" s="148"/>
      <c r="K310" s="148"/>
      <c r="L310" s="27"/>
      <c r="M310" s="149"/>
      <c r="N310" s="27"/>
      <c r="O310" s="149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6"/>
      <c r="B311" s="27"/>
      <c r="C311" s="27"/>
      <c r="D311" s="27"/>
      <c r="E311" s="27"/>
      <c r="F311" s="27"/>
      <c r="G311" s="27"/>
      <c r="H311" s="27"/>
      <c r="I311" s="27"/>
      <c r="J311" s="148"/>
      <c r="K311" s="148"/>
      <c r="L311" s="27"/>
      <c r="M311" s="149"/>
      <c r="N311" s="27"/>
      <c r="O311" s="149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6"/>
      <c r="B312" s="27"/>
      <c r="C312" s="27"/>
      <c r="D312" s="27"/>
      <c r="E312" s="27"/>
      <c r="F312" s="27"/>
      <c r="G312" s="27"/>
      <c r="H312" s="27"/>
      <c r="I312" s="27"/>
      <c r="J312" s="148"/>
      <c r="K312" s="148"/>
      <c r="L312" s="27"/>
      <c r="M312" s="149"/>
      <c r="N312" s="27"/>
      <c r="O312" s="149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6"/>
      <c r="B313" s="27"/>
      <c r="C313" s="27"/>
      <c r="D313" s="27"/>
      <c r="E313" s="27"/>
      <c r="F313" s="27"/>
      <c r="G313" s="27"/>
      <c r="H313" s="27"/>
      <c r="I313" s="27"/>
      <c r="J313" s="148"/>
      <c r="K313" s="148"/>
      <c r="L313" s="27"/>
      <c r="M313" s="149"/>
      <c r="N313" s="27"/>
      <c r="O313" s="149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6"/>
      <c r="B314" s="27"/>
      <c r="C314" s="27"/>
      <c r="D314" s="27"/>
      <c r="E314" s="27"/>
      <c r="F314" s="27"/>
      <c r="G314" s="27"/>
      <c r="H314" s="27"/>
      <c r="I314" s="27"/>
      <c r="J314" s="148"/>
      <c r="K314" s="148"/>
      <c r="L314" s="27"/>
      <c r="M314" s="149"/>
      <c r="N314" s="27"/>
      <c r="O314" s="149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6"/>
      <c r="B315" s="27"/>
      <c r="C315" s="27"/>
      <c r="D315" s="27"/>
      <c r="E315" s="27"/>
      <c r="F315" s="27"/>
      <c r="G315" s="27"/>
      <c r="H315" s="27"/>
      <c r="I315" s="27"/>
      <c r="J315" s="148"/>
      <c r="K315" s="148"/>
      <c r="L315" s="27"/>
      <c r="M315" s="149"/>
      <c r="N315" s="27"/>
      <c r="O315" s="149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6"/>
      <c r="B316" s="27"/>
      <c r="C316" s="27"/>
      <c r="D316" s="27"/>
      <c r="E316" s="27"/>
      <c r="F316" s="27"/>
      <c r="G316" s="27"/>
      <c r="H316" s="27"/>
      <c r="I316" s="27"/>
      <c r="J316" s="148"/>
      <c r="K316" s="148"/>
      <c r="L316" s="27"/>
      <c r="M316" s="149"/>
      <c r="N316" s="27"/>
      <c r="O316" s="149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6"/>
      <c r="B317" s="27"/>
      <c r="C317" s="27"/>
      <c r="D317" s="27"/>
      <c r="E317" s="27"/>
      <c r="F317" s="27"/>
      <c r="G317" s="27"/>
      <c r="H317" s="27"/>
      <c r="I317" s="27"/>
      <c r="J317" s="148"/>
      <c r="K317" s="148"/>
      <c r="L317" s="27"/>
      <c r="M317" s="149"/>
      <c r="N317" s="27"/>
      <c r="O317" s="149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6"/>
      <c r="B318" s="27"/>
      <c r="C318" s="27"/>
      <c r="D318" s="27"/>
      <c r="E318" s="27"/>
      <c r="F318" s="27"/>
      <c r="G318" s="27"/>
      <c r="H318" s="27"/>
      <c r="I318" s="27"/>
      <c r="J318" s="148"/>
      <c r="K318" s="148"/>
      <c r="L318" s="27"/>
      <c r="M318" s="149"/>
      <c r="N318" s="27"/>
      <c r="O318" s="149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6"/>
      <c r="B319" s="27"/>
      <c r="C319" s="27"/>
      <c r="D319" s="27"/>
      <c r="E319" s="27"/>
      <c r="F319" s="27"/>
      <c r="G319" s="27"/>
      <c r="H319" s="27"/>
      <c r="I319" s="27"/>
      <c r="J319" s="148"/>
      <c r="K319" s="148"/>
      <c r="L319" s="27"/>
      <c r="M319" s="149"/>
      <c r="N319" s="27"/>
      <c r="O319" s="149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6"/>
      <c r="B320" s="27"/>
      <c r="C320" s="27"/>
      <c r="D320" s="27"/>
      <c r="E320" s="27"/>
      <c r="F320" s="27"/>
      <c r="G320" s="27"/>
      <c r="H320" s="27"/>
      <c r="I320" s="27"/>
      <c r="J320" s="148"/>
      <c r="K320" s="148"/>
      <c r="L320" s="27"/>
      <c r="M320" s="149"/>
      <c r="N320" s="27"/>
      <c r="O320" s="149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6"/>
      <c r="B321" s="27"/>
      <c r="C321" s="27"/>
      <c r="D321" s="27"/>
      <c r="E321" s="27"/>
      <c r="F321" s="27"/>
      <c r="G321" s="27"/>
      <c r="H321" s="27"/>
      <c r="I321" s="27"/>
      <c r="J321" s="148"/>
      <c r="K321" s="148"/>
      <c r="L321" s="27"/>
      <c r="M321" s="149"/>
      <c r="N321" s="27"/>
      <c r="O321" s="149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6"/>
      <c r="B322" s="27"/>
      <c r="C322" s="27"/>
      <c r="D322" s="27"/>
      <c r="E322" s="27"/>
      <c r="F322" s="27"/>
      <c r="G322" s="27"/>
      <c r="H322" s="27"/>
      <c r="I322" s="27"/>
      <c r="J322" s="148"/>
      <c r="K322" s="148"/>
      <c r="L322" s="27"/>
      <c r="M322" s="149"/>
      <c r="N322" s="27"/>
      <c r="O322" s="149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6"/>
      <c r="B323" s="27"/>
      <c r="C323" s="27"/>
      <c r="D323" s="27"/>
      <c r="E323" s="27"/>
      <c r="F323" s="27"/>
      <c r="G323" s="27"/>
      <c r="H323" s="27"/>
      <c r="I323" s="27"/>
      <c r="J323" s="148"/>
      <c r="K323" s="148"/>
      <c r="L323" s="27"/>
      <c r="M323" s="149"/>
      <c r="N323" s="27"/>
      <c r="O323" s="149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6"/>
      <c r="B324" s="27"/>
      <c r="C324" s="27"/>
      <c r="D324" s="27"/>
      <c r="E324" s="27"/>
      <c r="F324" s="27"/>
      <c r="G324" s="27"/>
      <c r="H324" s="27"/>
      <c r="I324" s="27"/>
      <c r="J324" s="148"/>
      <c r="K324" s="148"/>
      <c r="L324" s="27"/>
      <c r="M324" s="149"/>
      <c r="N324" s="27"/>
      <c r="O324" s="149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6"/>
      <c r="B325" s="27"/>
      <c r="C325" s="27"/>
      <c r="D325" s="27"/>
      <c r="E325" s="27"/>
      <c r="F325" s="27"/>
      <c r="G325" s="27"/>
      <c r="H325" s="27"/>
      <c r="I325" s="27"/>
      <c r="J325" s="148"/>
      <c r="K325" s="148"/>
      <c r="L325" s="27"/>
      <c r="M325" s="149"/>
      <c r="N325" s="27"/>
      <c r="O325" s="149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6"/>
      <c r="B326" s="27"/>
      <c r="C326" s="27"/>
      <c r="D326" s="27"/>
      <c r="E326" s="27"/>
      <c r="F326" s="27"/>
      <c r="G326" s="27"/>
      <c r="H326" s="27"/>
      <c r="I326" s="27"/>
      <c r="J326" s="148"/>
      <c r="K326" s="148"/>
      <c r="L326" s="27"/>
      <c r="M326" s="149"/>
      <c r="N326" s="27"/>
      <c r="O326" s="149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52"/>
      <c r="C327" s="27"/>
      <c r="D327" s="27"/>
      <c r="E327" s="27"/>
      <c r="H327" s="27"/>
      <c r="J327" s="148"/>
      <c r="K327" s="27"/>
      <c r="L327" s="27"/>
      <c r="O327" s="149"/>
      <c r="P327" s="27"/>
      <c r="Q327" s="27"/>
      <c r="W327" s="142"/>
      <c r="X327" s="142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52"/>
      <c r="C328" s="27"/>
      <c r="D328" s="27"/>
      <c r="E328" s="27"/>
      <c r="H328" s="27"/>
      <c r="J328" s="148"/>
      <c r="K328" s="27"/>
      <c r="L328" s="27"/>
      <c r="O328" s="149"/>
      <c r="P328" s="27"/>
      <c r="Q328" s="27"/>
      <c r="W328" s="142"/>
      <c r="X328" s="142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52"/>
      <c r="C329" s="27"/>
      <c r="D329" s="27"/>
      <c r="E329" s="27"/>
      <c r="H329" s="27"/>
      <c r="J329" s="148"/>
      <c r="K329" s="27"/>
      <c r="L329" s="27"/>
      <c r="O329" s="149"/>
      <c r="P329" s="27"/>
      <c r="Q329" s="27"/>
      <c r="W329" s="142"/>
      <c r="X329" s="142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52"/>
      <c r="C330" s="27"/>
      <c r="D330" s="27"/>
      <c r="E330" s="27"/>
      <c r="H330" s="27"/>
      <c r="J330" s="148"/>
      <c r="K330" s="27"/>
      <c r="L330" s="27"/>
      <c r="O330" s="149"/>
      <c r="P330" s="27"/>
      <c r="Q330" s="27"/>
      <c r="W330" s="142"/>
      <c r="X330" s="142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52"/>
      <c r="C331" s="27"/>
      <c r="D331" s="27"/>
      <c r="E331" s="27"/>
      <c r="H331" s="27"/>
      <c r="J331" s="148"/>
      <c r="K331" s="27"/>
      <c r="L331" s="27"/>
      <c r="O331" s="149"/>
      <c r="P331" s="27"/>
      <c r="Q331" s="27"/>
      <c r="W331" s="142"/>
      <c r="X331" s="142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52"/>
      <c r="C332" s="27"/>
      <c r="D332" s="27"/>
      <c r="E332" s="27"/>
      <c r="H332" s="27"/>
      <c r="J332" s="148"/>
      <c r="K332" s="27"/>
      <c r="L332" s="27"/>
      <c r="O332" s="149"/>
      <c r="P332" s="27"/>
      <c r="Q332" s="27"/>
      <c r="W332" s="142"/>
      <c r="X332" s="142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52"/>
      <c r="C333" s="27"/>
      <c r="D333" s="27"/>
      <c r="E333" s="27"/>
      <c r="H333" s="27"/>
      <c r="J333" s="148"/>
      <c r="K333" s="27"/>
      <c r="L333" s="27"/>
      <c r="O333" s="149"/>
      <c r="P333" s="27"/>
      <c r="Q333" s="27"/>
      <c r="W333" s="142"/>
      <c r="X333" s="142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52"/>
      <c r="C334" s="27"/>
      <c r="D334" s="27"/>
      <c r="E334" s="27"/>
      <c r="H334" s="27"/>
      <c r="J334" s="148"/>
      <c r="K334" s="27"/>
      <c r="L334" s="27"/>
      <c r="O334" s="149"/>
      <c r="P334" s="27"/>
      <c r="Q334" s="27"/>
      <c r="W334" s="142"/>
      <c r="X334" s="142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52"/>
      <c r="C335" s="27"/>
      <c r="D335" s="27"/>
      <c r="E335" s="27"/>
      <c r="H335" s="27"/>
      <c r="J335" s="148"/>
      <c r="K335" s="27"/>
      <c r="L335" s="27"/>
      <c r="O335" s="149"/>
      <c r="P335" s="27"/>
      <c r="Q335" s="27"/>
      <c r="W335" s="142"/>
      <c r="X335" s="142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52"/>
      <c r="C336" s="27"/>
      <c r="D336" s="27"/>
      <c r="E336" s="27"/>
      <c r="H336" s="27"/>
      <c r="J336" s="148"/>
      <c r="K336" s="27"/>
      <c r="L336" s="27"/>
      <c r="O336" s="149"/>
      <c r="P336" s="27"/>
      <c r="Q336" s="27"/>
      <c r="W336" s="142"/>
      <c r="X336" s="142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52"/>
      <c r="C337" s="27"/>
      <c r="D337" s="27"/>
      <c r="E337" s="27"/>
      <c r="H337" s="27"/>
      <c r="J337" s="148"/>
      <c r="K337" s="27"/>
      <c r="L337" s="27"/>
      <c r="O337" s="149"/>
      <c r="P337" s="27"/>
      <c r="Q337" s="27"/>
      <c r="W337" s="142"/>
      <c r="X337" s="142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52"/>
      <c r="C338" s="27"/>
      <c r="D338" s="27"/>
      <c r="E338" s="27"/>
      <c r="H338" s="27"/>
      <c r="J338" s="148"/>
      <c r="K338" s="27"/>
      <c r="L338" s="27"/>
      <c r="O338" s="149"/>
      <c r="P338" s="27"/>
      <c r="Q338" s="27"/>
      <c r="W338" s="142"/>
      <c r="X338" s="142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52"/>
      <c r="C339" s="27"/>
      <c r="D339" s="27"/>
      <c r="E339" s="27"/>
      <c r="H339" s="27"/>
      <c r="J339" s="148"/>
      <c r="K339" s="27"/>
      <c r="L339" s="27"/>
      <c r="O339" s="149"/>
      <c r="P339" s="27"/>
      <c r="Q339" s="27"/>
      <c r="W339" s="142"/>
      <c r="X339" s="142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52"/>
      <c r="C340" s="27"/>
      <c r="D340" s="27"/>
      <c r="E340" s="27"/>
      <c r="H340" s="27"/>
      <c r="J340" s="148"/>
      <c r="K340" s="27"/>
      <c r="L340" s="27"/>
      <c r="O340" s="149"/>
      <c r="P340" s="27"/>
      <c r="Q340" s="27"/>
      <c r="W340" s="142"/>
      <c r="X340" s="142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52"/>
      <c r="C341" s="27"/>
      <c r="D341" s="27"/>
      <c r="E341" s="27"/>
      <c r="H341" s="27"/>
      <c r="J341" s="148"/>
      <c r="K341" s="27"/>
      <c r="L341" s="27"/>
      <c r="O341" s="149"/>
      <c r="P341" s="27"/>
      <c r="Q341" s="27"/>
      <c r="W341" s="142"/>
      <c r="X341" s="142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52"/>
      <c r="C342" s="27"/>
      <c r="D342" s="27"/>
      <c r="E342" s="27"/>
      <c r="H342" s="27"/>
      <c r="J342" s="148"/>
      <c r="K342" s="27"/>
      <c r="L342" s="27"/>
      <c r="O342" s="149"/>
      <c r="P342" s="27"/>
      <c r="Q342" s="27"/>
      <c r="W342" s="142"/>
      <c r="X342" s="142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52"/>
      <c r="C343" s="27"/>
      <c r="D343" s="27"/>
      <c r="E343" s="27"/>
      <c r="H343" s="27"/>
      <c r="J343" s="148"/>
      <c r="K343" s="27"/>
      <c r="L343" s="27"/>
      <c r="O343" s="149"/>
      <c r="P343" s="27"/>
      <c r="Q343" s="27"/>
      <c r="W343" s="142"/>
      <c r="X343" s="142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52"/>
      <c r="C344" s="27"/>
      <c r="D344" s="27"/>
      <c r="E344" s="27"/>
      <c r="H344" s="27"/>
      <c r="J344" s="148"/>
      <c r="K344" s="27"/>
      <c r="L344" s="27"/>
      <c r="O344" s="149"/>
      <c r="P344" s="27"/>
      <c r="Q344" s="27"/>
      <c r="W344" s="142"/>
      <c r="X344" s="142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52"/>
      <c r="C345" s="27"/>
      <c r="D345" s="27"/>
      <c r="E345" s="27"/>
      <c r="H345" s="27"/>
      <c r="J345" s="148"/>
      <c r="K345" s="27"/>
      <c r="L345" s="27"/>
      <c r="O345" s="149"/>
      <c r="P345" s="27"/>
      <c r="Q345" s="27"/>
      <c r="W345" s="142"/>
      <c r="X345" s="142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52"/>
      <c r="C346" s="27"/>
      <c r="D346" s="27"/>
      <c r="E346" s="27"/>
      <c r="H346" s="27"/>
      <c r="J346" s="148"/>
      <c r="K346" s="27"/>
      <c r="L346" s="27"/>
      <c r="O346" s="149"/>
      <c r="P346" s="27"/>
      <c r="Q346" s="27"/>
      <c r="W346" s="142"/>
      <c r="X346" s="142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52"/>
      <c r="C347" s="27"/>
      <c r="D347" s="27"/>
      <c r="E347" s="27"/>
      <c r="H347" s="27"/>
      <c r="J347" s="148"/>
      <c r="K347" s="27"/>
      <c r="L347" s="27"/>
      <c r="O347" s="149"/>
      <c r="P347" s="27"/>
      <c r="Q347" s="27"/>
      <c r="W347" s="142"/>
      <c r="X347" s="142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52"/>
      <c r="C348" s="27"/>
      <c r="D348" s="27"/>
      <c r="E348" s="27"/>
      <c r="H348" s="27"/>
      <c r="J348" s="148"/>
      <c r="K348" s="27"/>
      <c r="L348" s="27"/>
      <c r="O348" s="149"/>
      <c r="P348" s="27"/>
      <c r="Q348" s="27"/>
      <c r="W348" s="142"/>
      <c r="X348" s="142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52"/>
      <c r="C349" s="27"/>
      <c r="D349" s="27"/>
      <c r="E349" s="27"/>
      <c r="H349" s="27"/>
      <c r="J349" s="148"/>
      <c r="K349" s="27"/>
      <c r="L349" s="27"/>
      <c r="O349" s="149"/>
      <c r="P349" s="27"/>
      <c r="Q349" s="27"/>
      <c r="W349" s="142"/>
      <c r="X349" s="142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52"/>
      <c r="C350" s="27"/>
      <c r="D350" s="27"/>
      <c r="E350" s="27"/>
      <c r="H350" s="27"/>
      <c r="J350" s="148"/>
      <c r="K350" s="27"/>
      <c r="L350" s="27"/>
      <c r="O350" s="149"/>
      <c r="P350" s="27"/>
      <c r="Q350" s="27"/>
      <c r="W350" s="142"/>
      <c r="X350" s="142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52"/>
      <c r="C351" s="27"/>
      <c r="D351" s="27"/>
      <c r="E351" s="27"/>
      <c r="H351" s="27"/>
      <c r="J351" s="148"/>
      <c r="K351" s="27"/>
      <c r="L351" s="27"/>
      <c r="O351" s="149"/>
      <c r="P351" s="27"/>
      <c r="Q351" s="27"/>
      <c r="W351" s="142"/>
      <c r="X351" s="142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52"/>
      <c r="C352" s="27"/>
      <c r="D352" s="27"/>
      <c r="E352" s="27"/>
      <c r="H352" s="27"/>
      <c r="J352" s="148"/>
      <c r="K352" s="27"/>
      <c r="L352" s="27"/>
      <c r="O352" s="149"/>
      <c r="P352" s="27"/>
      <c r="Q352" s="27"/>
      <c r="W352" s="142"/>
      <c r="X352" s="142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52"/>
      <c r="C353" s="27"/>
      <c r="D353" s="27"/>
      <c r="E353" s="27"/>
      <c r="H353" s="27"/>
      <c r="J353" s="148"/>
      <c r="K353" s="27"/>
      <c r="L353" s="27"/>
      <c r="O353" s="149"/>
      <c r="P353" s="27"/>
      <c r="Q353" s="27"/>
      <c r="W353" s="142"/>
      <c r="X353" s="142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52"/>
      <c r="C354" s="27"/>
      <c r="D354" s="27"/>
      <c r="E354" s="27"/>
      <c r="H354" s="27"/>
      <c r="J354" s="148"/>
      <c r="K354" s="27"/>
      <c r="L354" s="27"/>
      <c r="O354" s="149"/>
      <c r="P354" s="27"/>
      <c r="Q354" s="27"/>
      <c r="W354" s="142"/>
      <c r="X354" s="142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52"/>
      <c r="C355" s="27"/>
      <c r="D355" s="27"/>
      <c r="E355" s="27"/>
      <c r="H355" s="27"/>
      <c r="J355" s="148"/>
      <c r="K355" s="27"/>
      <c r="L355" s="27"/>
      <c r="O355" s="149"/>
      <c r="P355" s="27"/>
      <c r="Q355" s="27"/>
      <c r="W355" s="142"/>
      <c r="X355" s="142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52"/>
      <c r="C356" s="27"/>
      <c r="D356" s="27"/>
      <c r="E356" s="27"/>
      <c r="H356" s="27"/>
      <c r="J356" s="148"/>
      <c r="K356" s="27"/>
      <c r="L356" s="27"/>
      <c r="O356" s="149"/>
      <c r="P356" s="27"/>
      <c r="Q356" s="27"/>
      <c r="W356" s="142"/>
      <c r="X356" s="142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52"/>
      <c r="C357" s="27"/>
      <c r="D357" s="27"/>
      <c r="E357" s="27"/>
      <c r="H357" s="27"/>
      <c r="J357" s="148"/>
      <c r="K357" s="27"/>
      <c r="L357" s="27"/>
      <c r="O357" s="149"/>
      <c r="P357" s="27"/>
      <c r="Q357" s="27"/>
      <c r="W357" s="142"/>
      <c r="X357" s="142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52"/>
      <c r="C358" s="27"/>
      <c r="D358" s="27"/>
      <c r="E358" s="27"/>
      <c r="H358" s="27"/>
      <c r="J358" s="148"/>
      <c r="K358" s="27"/>
      <c r="L358" s="27"/>
      <c r="O358" s="149"/>
      <c r="P358" s="27"/>
      <c r="Q358" s="27"/>
      <c r="W358" s="142"/>
      <c r="X358" s="142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52"/>
      <c r="C359" s="27"/>
      <c r="D359" s="27"/>
      <c r="E359" s="27"/>
      <c r="H359" s="27"/>
      <c r="J359" s="148"/>
      <c r="K359" s="27"/>
      <c r="L359" s="27"/>
      <c r="O359" s="149"/>
      <c r="P359" s="27"/>
      <c r="Q359" s="27"/>
      <c r="W359" s="142"/>
      <c r="X359" s="142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52"/>
      <c r="C360" s="27"/>
      <c r="D360" s="27"/>
      <c r="E360" s="27"/>
      <c r="H360" s="27"/>
      <c r="J360" s="148"/>
      <c r="K360" s="27"/>
      <c r="L360" s="27"/>
      <c r="O360" s="149"/>
      <c r="P360" s="27"/>
      <c r="Q360" s="27"/>
      <c r="W360" s="142"/>
      <c r="X360" s="142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52"/>
      <c r="C361" s="27"/>
      <c r="D361" s="27"/>
      <c r="E361" s="27"/>
      <c r="H361" s="27"/>
      <c r="J361" s="148"/>
      <c r="K361" s="27"/>
      <c r="L361" s="27"/>
      <c r="O361" s="149"/>
      <c r="P361" s="27"/>
      <c r="Q361" s="27"/>
      <c r="W361" s="142"/>
      <c r="X361" s="142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52"/>
      <c r="C362" s="27"/>
      <c r="D362" s="27"/>
      <c r="E362" s="27"/>
      <c r="H362" s="27"/>
      <c r="J362" s="148"/>
      <c r="K362" s="27"/>
      <c r="L362" s="27"/>
      <c r="O362" s="149"/>
      <c r="P362" s="27"/>
      <c r="Q362" s="27"/>
      <c r="W362" s="142"/>
      <c r="X362" s="142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52"/>
      <c r="C363" s="27"/>
      <c r="D363" s="27"/>
      <c r="E363" s="27"/>
      <c r="H363" s="27"/>
      <c r="J363" s="148"/>
      <c r="K363" s="27"/>
      <c r="L363" s="27"/>
      <c r="O363" s="149"/>
      <c r="P363" s="27"/>
      <c r="Q363" s="27"/>
      <c r="W363" s="142"/>
      <c r="X363" s="142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52"/>
      <c r="C364" s="27"/>
      <c r="D364" s="27"/>
      <c r="E364" s="27"/>
      <c r="H364" s="27"/>
      <c r="J364" s="148"/>
      <c r="K364" s="27"/>
      <c r="L364" s="27"/>
      <c r="O364" s="149"/>
      <c r="P364" s="27"/>
      <c r="Q364" s="27"/>
      <c r="W364" s="142"/>
      <c r="X364" s="142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52"/>
      <c r="C365" s="27"/>
      <c r="D365" s="27"/>
      <c r="E365" s="27"/>
      <c r="H365" s="27"/>
      <c r="J365" s="148"/>
      <c r="K365" s="27"/>
      <c r="L365" s="27"/>
      <c r="O365" s="149"/>
      <c r="P365" s="27"/>
      <c r="Q365" s="27"/>
      <c r="W365" s="142"/>
      <c r="X365" s="142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52"/>
      <c r="C366" s="27"/>
      <c r="D366" s="27"/>
      <c r="E366" s="27"/>
      <c r="H366" s="27"/>
      <c r="J366" s="148"/>
      <c r="K366" s="27"/>
      <c r="L366" s="27"/>
      <c r="O366" s="149"/>
      <c r="P366" s="27"/>
      <c r="Q366" s="27"/>
      <c r="W366" s="142"/>
      <c r="X366" s="142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52"/>
      <c r="C367" s="27"/>
      <c r="D367" s="27"/>
      <c r="E367" s="27"/>
      <c r="H367" s="27"/>
      <c r="J367" s="148"/>
      <c r="K367" s="27"/>
      <c r="L367" s="27"/>
      <c r="O367" s="149"/>
      <c r="P367" s="27"/>
      <c r="Q367" s="27"/>
      <c r="W367" s="142"/>
      <c r="X367" s="142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52"/>
      <c r="C368" s="27"/>
      <c r="D368" s="27"/>
      <c r="E368" s="27"/>
      <c r="H368" s="27"/>
      <c r="J368" s="148"/>
      <c r="K368" s="27"/>
      <c r="L368" s="27"/>
      <c r="O368" s="149"/>
      <c r="P368" s="27"/>
      <c r="Q368" s="27"/>
      <c r="W368" s="142"/>
      <c r="X368" s="142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52"/>
      <c r="C369" s="27"/>
      <c r="D369" s="27"/>
      <c r="E369" s="27"/>
      <c r="H369" s="27"/>
      <c r="J369" s="148"/>
      <c r="K369" s="27"/>
      <c r="L369" s="27"/>
      <c r="O369" s="149"/>
      <c r="P369" s="27"/>
      <c r="Q369" s="27"/>
      <c r="W369" s="142"/>
      <c r="X369" s="142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52"/>
      <c r="C370" s="27"/>
      <c r="D370" s="27"/>
      <c r="E370" s="27"/>
      <c r="H370" s="27"/>
      <c r="J370" s="148"/>
      <c r="K370" s="27"/>
      <c r="L370" s="27"/>
      <c r="O370" s="149"/>
      <c r="P370" s="27"/>
      <c r="Q370" s="27"/>
      <c r="W370" s="142"/>
      <c r="X370" s="142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52"/>
      <c r="C371" s="27"/>
      <c r="D371" s="27"/>
      <c r="E371" s="27"/>
      <c r="H371" s="27"/>
      <c r="J371" s="148"/>
      <c r="K371" s="27"/>
      <c r="L371" s="27"/>
      <c r="O371" s="149"/>
      <c r="P371" s="27"/>
      <c r="Q371" s="27"/>
      <c r="W371" s="142"/>
      <c r="X371" s="142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52"/>
      <c r="C372" s="27"/>
      <c r="D372" s="27"/>
      <c r="E372" s="27"/>
      <c r="H372" s="27"/>
      <c r="J372" s="148"/>
      <c r="K372" s="27"/>
      <c r="L372" s="27"/>
      <c r="O372" s="149"/>
      <c r="P372" s="27"/>
      <c r="Q372" s="27"/>
      <c r="W372" s="142"/>
      <c r="X372" s="142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52"/>
      <c r="C373" s="27"/>
      <c r="D373" s="27"/>
      <c r="E373" s="27"/>
      <c r="H373" s="27"/>
      <c r="J373" s="148"/>
      <c r="K373" s="27"/>
      <c r="L373" s="27"/>
      <c r="O373" s="149"/>
      <c r="P373" s="27"/>
      <c r="Q373" s="27"/>
      <c r="W373" s="142"/>
      <c r="X373" s="142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52"/>
      <c r="C374" s="27"/>
      <c r="D374" s="27"/>
      <c r="E374" s="27"/>
      <c r="H374" s="27"/>
      <c r="J374" s="148"/>
      <c r="K374" s="27"/>
      <c r="L374" s="27"/>
      <c r="O374" s="149"/>
      <c r="P374" s="27"/>
      <c r="Q374" s="27"/>
      <c r="W374" s="142"/>
      <c r="X374" s="142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52"/>
      <c r="C375" s="27"/>
      <c r="D375" s="27"/>
      <c r="E375" s="27"/>
      <c r="H375" s="27"/>
      <c r="J375" s="148"/>
      <c r="K375" s="27"/>
      <c r="L375" s="27"/>
      <c r="O375" s="149"/>
      <c r="P375" s="27"/>
      <c r="Q375" s="27"/>
      <c r="W375" s="142"/>
      <c r="X375" s="142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52"/>
      <c r="C376" s="27"/>
      <c r="D376" s="27"/>
      <c r="E376" s="27"/>
      <c r="H376" s="27"/>
      <c r="J376" s="148"/>
      <c r="K376" s="27"/>
      <c r="L376" s="27"/>
      <c r="O376" s="149"/>
      <c r="P376" s="27"/>
      <c r="Q376" s="27"/>
      <c r="W376" s="142"/>
      <c r="X376" s="142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52"/>
      <c r="C377" s="27"/>
      <c r="D377" s="27"/>
      <c r="E377" s="27"/>
      <c r="H377" s="27"/>
      <c r="J377" s="148"/>
      <c r="K377" s="27"/>
      <c r="L377" s="27"/>
      <c r="O377" s="149"/>
      <c r="P377" s="27"/>
      <c r="Q377" s="27"/>
      <c r="W377" s="142"/>
      <c r="X377" s="142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52"/>
      <c r="C378" s="27"/>
      <c r="D378" s="27"/>
      <c r="E378" s="27"/>
      <c r="H378" s="27"/>
      <c r="J378" s="148"/>
      <c r="K378" s="27"/>
      <c r="L378" s="27"/>
      <c r="O378" s="149"/>
      <c r="P378" s="27"/>
      <c r="Q378" s="27"/>
      <c r="W378" s="142"/>
      <c r="X378" s="142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52"/>
      <c r="C379" s="27"/>
      <c r="D379" s="27"/>
      <c r="E379" s="27"/>
      <c r="H379" s="27"/>
      <c r="J379" s="148"/>
      <c r="K379" s="27"/>
      <c r="L379" s="27"/>
      <c r="O379" s="149"/>
      <c r="P379" s="27"/>
      <c r="Q379" s="27"/>
      <c r="W379" s="142"/>
      <c r="X379" s="142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2"/>
      <c r="C380" s="27"/>
      <c r="D380" s="27"/>
      <c r="E380" s="27"/>
      <c r="H380" s="27"/>
      <c r="J380" s="148"/>
      <c r="K380" s="27"/>
      <c r="L380" s="27"/>
      <c r="M380" s="153"/>
      <c r="O380" s="149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42"/>
      <c r="C381" s="27"/>
      <c r="D381" s="27"/>
      <c r="E381" s="27"/>
      <c r="H381" s="27"/>
      <c r="J381" s="148"/>
      <c r="K381" s="27"/>
      <c r="L381" s="27"/>
      <c r="M381" s="153"/>
      <c r="O381" s="149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42"/>
      <c r="C382" s="27"/>
      <c r="D382" s="27"/>
      <c r="E382" s="27"/>
      <c r="H382" s="27"/>
      <c r="J382" s="148"/>
      <c r="K382" s="27"/>
      <c r="L382" s="27"/>
      <c r="M382" s="153"/>
      <c r="O382" s="149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42"/>
      <c r="C383" s="27"/>
      <c r="D383" s="27"/>
      <c r="E383" s="27"/>
      <c r="H383" s="27"/>
      <c r="J383" s="148"/>
      <c r="K383" s="27"/>
      <c r="L383" s="27"/>
      <c r="M383" s="153"/>
      <c r="O383" s="149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42"/>
      <c r="C384" s="27"/>
      <c r="D384" s="27"/>
      <c r="E384" s="27"/>
      <c r="H384" s="27"/>
      <c r="J384" s="148"/>
      <c r="K384" s="27"/>
      <c r="L384" s="27"/>
      <c r="M384" s="153"/>
      <c r="O384" s="149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42"/>
      <c r="C385" s="27"/>
      <c r="D385" s="27"/>
      <c r="E385" s="27"/>
      <c r="H385" s="27"/>
      <c r="J385" s="148"/>
      <c r="K385" s="27"/>
      <c r="L385" s="27"/>
      <c r="M385" s="153"/>
      <c r="O385" s="149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42"/>
      <c r="C386" s="27"/>
      <c r="D386" s="27"/>
      <c r="E386" s="27"/>
      <c r="H386" s="27"/>
      <c r="J386" s="148"/>
      <c r="K386" s="27"/>
      <c r="L386" s="27"/>
      <c r="M386" s="153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42"/>
      <c r="C387" s="27"/>
      <c r="D387" s="27"/>
      <c r="E387" s="27"/>
      <c r="H387" s="27"/>
      <c r="J387" s="148"/>
      <c r="K387" s="27"/>
      <c r="L387" s="27"/>
      <c r="M387" s="153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42"/>
      <c r="C388" s="27"/>
      <c r="D388" s="27"/>
      <c r="E388" s="27"/>
      <c r="H388" s="27"/>
      <c r="J388" s="148"/>
      <c r="K388" s="27"/>
      <c r="L388" s="27"/>
      <c r="M388" s="153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42"/>
      <c r="C389" s="27"/>
      <c r="D389" s="27"/>
      <c r="E389" s="27"/>
      <c r="H389" s="27"/>
      <c r="J389" s="148"/>
      <c r="K389" s="27"/>
      <c r="L389" s="27"/>
      <c r="M389" s="153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42"/>
      <c r="C390" s="27"/>
      <c r="D390" s="27"/>
      <c r="E390" s="27"/>
      <c r="H390" s="27"/>
      <c r="J390" s="148"/>
      <c r="K390" s="27"/>
      <c r="L390" s="27"/>
      <c r="M390" s="153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42"/>
      <c r="C391" s="27"/>
      <c r="D391" s="27"/>
      <c r="E391" s="27"/>
      <c r="H391" s="27"/>
      <c r="J391" s="154"/>
      <c r="K391" s="142"/>
      <c r="L391" s="27"/>
      <c r="M391" s="153"/>
      <c r="O391" s="149"/>
      <c r="P391" s="27"/>
      <c r="Q391" s="27"/>
      <c r="W391" s="142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42"/>
      <c r="C392" s="27"/>
      <c r="D392" s="27"/>
      <c r="E392" s="27"/>
      <c r="H392" s="27"/>
      <c r="J392" s="154"/>
      <c r="K392" s="142"/>
      <c r="L392" s="27"/>
      <c r="M392" s="153"/>
      <c r="O392" s="149"/>
      <c r="P392" s="27"/>
      <c r="Q392" s="27"/>
      <c r="W392" s="142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42"/>
      <c r="C393" s="27"/>
      <c r="D393" s="27"/>
      <c r="E393" s="27"/>
      <c r="H393" s="27"/>
      <c r="J393" s="154"/>
      <c r="K393" s="142"/>
      <c r="L393" s="27"/>
      <c r="M393" s="153"/>
      <c r="O393" s="149"/>
      <c r="P393" s="27"/>
      <c r="Q393" s="27"/>
      <c r="W393" s="142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42"/>
      <c r="C394" s="27"/>
      <c r="D394" s="27"/>
      <c r="E394" s="27"/>
      <c r="H394" s="27"/>
      <c r="J394" s="154"/>
      <c r="K394" s="142"/>
      <c r="L394" s="27"/>
      <c r="M394" s="153"/>
      <c r="O394" s="149"/>
      <c r="P394" s="27"/>
      <c r="Q394" s="27"/>
      <c r="W394" s="142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42"/>
      <c r="C395" s="27"/>
      <c r="D395" s="27"/>
      <c r="E395" s="27"/>
      <c r="H395" s="27"/>
      <c r="J395" s="154"/>
      <c r="K395" s="142"/>
      <c r="L395" s="27"/>
      <c r="M395" s="153"/>
      <c r="O395" s="149"/>
      <c r="P395" s="27"/>
      <c r="Q395" s="27"/>
      <c r="R395" s="142"/>
      <c r="S395" s="142"/>
      <c r="T395" s="142"/>
      <c r="W395" s="142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42"/>
      <c r="C396" s="27"/>
      <c r="D396" s="27"/>
      <c r="E396" s="27"/>
      <c r="H396" s="27"/>
      <c r="J396" s="154"/>
      <c r="K396" s="142"/>
      <c r="L396" s="27"/>
      <c r="M396" s="153"/>
      <c r="O396" s="149"/>
      <c r="P396" s="27"/>
      <c r="Q396" s="27"/>
      <c r="R396" s="142"/>
      <c r="S396" s="142"/>
      <c r="T396" s="142"/>
      <c r="W396" s="142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42"/>
      <c r="C397" s="27"/>
      <c r="D397" s="27"/>
      <c r="E397" s="27"/>
      <c r="H397" s="27"/>
      <c r="J397" s="154"/>
      <c r="K397" s="142"/>
      <c r="L397" s="27"/>
      <c r="M397" s="153"/>
      <c r="O397" s="149"/>
      <c r="P397" s="27"/>
      <c r="Q397" s="27"/>
      <c r="R397" s="142"/>
      <c r="S397" s="142"/>
      <c r="T397" s="142"/>
      <c r="W397" s="142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42"/>
      <c r="C398" s="27"/>
      <c r="D398" s="27"/>
      <c r="E398" s="27"/>
      <c r="H398" s="27"/>
      <c r="J398" s="154"/>
      <c r="K398" s="142"/>
      <c r="L398" s="27"/>
      <c r="M398" s="153"/>
      <c r="O398" s="149"/>
      <c r="P398" s="27"/>
      <c r="Q398" s="27"/>
      <c r="R398" s="142"/>
      <c r="S398" s="142"/>
      <c r="T398" s="142"/>
      <c r="W398" s="142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42"/>
      <c r="C399" s="27"/>
      <c r="D399" s="27"/>
      <c r="E399" s="27"/>
      <c r="H399" s="27"/>
      <c r="J399" s="154"/>
      <c r="K399" s="142"/>
      <c r="L399" s="27"/>
      <c r="M399" s="153"/>
      <c r="O399" s="149"/>
      <c r="P399" s="27"/>
      <c r="Q399" s="27"/>
      <c r="R399" s="142"/>
      <c r="S399" s="142"/>
      <c r="T399" s="142"/>
      <c r="W399" s="142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42"/>
      <c r="C400" s="27"/>
      <c r="D400" s="27"/>
      <c r="E400" s="27"/>
      <c r="H400" s="27"/>
      <c r="J400" s="154"/>
      <c r="K400" s="142"/>
      <c r="L400" s="27"/>
      <c r="M400" s="153"/>
      <c r="O400" s="149"/>
      <c r="P400" s="27"/>
      <c r="Q400" s="27"/>
      <c r="R400" s="142"/>
      <c r="S400" s="142"/>
      <c r="T400" s="142"/>
      <c r="W400" s="142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42"/>
      <c r="C401" s="27"/>
      <c r="D401" s="27"/>
      <c r="E401" s="27"/>
      <c r="H401" s="27"/>
      <c r="J401" s="154"/>
      <c r="K401" s="142"/>
      <c r="L401" s="27"/>
      <c r="M401" s="153"/>
      <c r="O401" s="149"/>
      <c r="P401" s="27"/>
      <c r="Q401" s="27"/>
      <c r="R401" s="142"/>
      <c r="S401" s="142"/>
      <c r="T401" s="142"/>
      <c r="W401" s="142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42"/>
      <c r="C402" s="27"/>
      <c r="D402" s="27"/>
      <c r="E402" s="27"/>
      <c r="H402" s="27"/>
      <c r="J402" s="154"/>
      <c r="K402" s="142"/>
      <c r="L402" s="27"/>
      <c r="M402" s="153"/>
      <c r="O402" s="149"/>
      <c r="P402" s="27"/>
      <c r="Q402" s="27"/>
      <c r="R402" s="142"/>
      <c r="S402" s="142"/>
      <c r="T402" s="142"/>
      <c r="W402" s="142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42"/>
      <c r="C403" s="27"/>
      <c r="D403" s="27"/>
      <c r="E403" s="27"/>
      <c r="H403" s="27"/>
      <c r="J403" s="154"/>
      <c r="K403" s="142"/>
      <c r="L403" s="27"/>
      <c r="M403" s="153"/>
      <c r="O403" s="149"/>
      <c r="P403" s="27"/>
      <c r="Q403" s="27"/>
      <c r="R403" s="142"/>
      <c r="S403" s="142"/>
      <c r="T403" s="142"/>
      <c r="W403" s="142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42"/>
      <c r="C404" s="27"/>
      <c r="D404" s="27"/>
      <c r="E404" s="27"/>
      <c r="H404" s="27"/>
      <c r="J404" s="154"/>
      <c r="K404" s="142"/>
      <c r="L404" s="27"/>
      <c r="M404" s="153"/>
      <c r="O404" s="149"/>
      <c r="P404" s="27"/>
      <c r="Q404" s="27"/>
      <c r="R404" s="142"/>
      <c r="S404" s="142"/>
      <c r="T404" s="142"/>
      <c r="W404" s="142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42"/>
      <c r="C405" s="27"/>
      <c r="D405" s="27"/>
      <c r="E405" s="27"/>
      <c r="H405" s="27"/>
      <c r="J405" s="154"/>
      <c r="K405" s="142"/>
      <c r="L405" s="27"/>
      <c r="M405" s="153"/>
      <c r="O405" s="149"/>
      <c r="P405" s="27"/>
      <c r="Q405" s="27"/>
      <c r="R405" s="142"/>
      <c r="S405" s="142"/>
      <c r="T405" s="142"/>
      <c r="W405" s="142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42"/>
      <c r="C406" s="27"/>
      <c r="D406" s="27"/>
      <c r="E406" s="27"/>
      <c r="H406" s="27"/>
      <c r="J406" s="154"/>
      <c r="K406" s="142"/>
      <c r="L406" s="27"/>
      <c r="M406" s="153"/>
      <c r="O406" s="149"/>
      <c r="P406" s="27"/>
      <c r="Q406" s="27"/>
      <c r="R406" s="142"/>
      <c r="S406" s="142"/>
      <c r="T406" s="142"/>
      <c r="W406" s="142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42"/>
      <c r="C407" s="27"/>
      <c r="D407" s="27"/>
      <c r="E407" s="27"/>
      <c r="H407" s="27"/>
      <c r="J407" s="154"/>
      <c r="K407" s="142"/>
      <c r="L407" s="27"/>
      <c r="M407" s="153"/>
      <c r="O407" s="149"/>
      <c r="P407" s="27"/>
      <c r="Q407" s="27"/>
      <c r="R407" s="27"/>
      <c r="S407" s="27"/>
      <c r="T407" s="27"/>
      <c r="W407" s="142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42"/>
      <c r="C408" s="27"/>
      <c r="D408" s="27"/>
      <c r="E408" s="27"/>
      <c r="H408" s="27"/>
      <c r="J408" s="154"/>
      <c r="K408" s="142"/>
      <c r="L408" s="27"/>
      <c r="M408" s="153"/>
      <c r="O408" s="149"/>
      <c r="P408" s="27"/>
      <c r="Q408" s="27"/>
      <c r="R408" s="27"/>
      <c r="S408" s="27"/>
      <c r="T408" s="27"/>
      <c r="W408" s="142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43" customFormat="1">
      <c r="E409" s="27"/>
      <c r="H409" s="27"/>
      <c r="J409" s="148"/>
      <c r="AB409" s="27"/>
    </row>
    <row r="410" spans="2:42" s="143" customFormat="1">
      <c r="E410" s="27"/>
      <c r="H410" s="27"/>
      <c r="J410" s="148"/>
      <c r="AB410" s="27"/>
    </row>
    <row r="411" spans="2:42" s="143" customFormat="1">
      <c r="E411" s="27"/>
      <c r="H411" s="27"/>
      <c r="J411" s="148"/>
      <c r="AB411" s="27"/>
    </row>
    <row r="412" spans="2:42" s="143" customFormat="1">
      <c r="E412" s="27"/>
      <c r="H412" s="27"/>
      <c r="J412" s="148"/>
      <c r="AB412" s="27"/>
    </row>
    <row r="413" spans="2:42" s="143" customFormat="1">
      <c r="E413" s="27"/>
      <c r="H413" s="27"/>
      <c r="J413" s="148"/>
      <c r="AB413" s="27"/>
    </row>
    <row r="414" spans="2:42" s="143" customFormat="1">
      <c r="E414" s="27"/>
      <c r="H414" s="27"/>
      <c r="J414" s="148"/>
      <c r="AB414" s="27"/>
    </row>
    <row r="415" spans="2:42" s="143" customFormat="1">
      <c r="E415" s="27"/>
      <c r="H415" s="27"/>
      <c r="J415" s="148"/>
      <c r="AB415" s="27"/>
    </row>
    <row r="416" spans="2:42" s="143" customFormat="1">
      <c r="E416" s="27"/>
      <c r="H416" s="27"/>
      <c r="J416" s="148"/>
      <c r="AB416" s="27"/>
    </row>
    <row r="417" spans="2:42" s="143" customFormat="1">
      <c r="E417" s="27"/>
      <c r="H417" s="27"/>
      <c r="J417" s="148"/>
      <c r="AB417" s="27"/>
    </row>
    <row r="418" spans="2:42" s="143" customFormat="1">
      <c r="E418" s="27"/>
      <c r="H418" s="27"/>
      <c r="J418" s="148"/>
      <c r="AB418" s="27"/>
    </row>
    <row r="419" spans="2:42" s="143" customFormat="1">
      <c r="E419" s="27"/>
      <c r="H419" s="27"/>
      <c r="J419" s="148"/>
      <c r="AB419" s="27"/>
    </row>
    <row r="420" spans="2:42" s="143" customFormat="1">
      <c r="E420" s="27"/>
      <c r="H420" s="27"/>
      <c r="J420" s="148"/>
      <c r="AB420" s="27"/>
    </row>
    <row r="421" spans="2:42" s="143" customFormat="1">
      <c r="E421" s="27"/>
      <c r="H421" s="27"/>
      <c r="J421" s="148"/>
      <c r="AB421" s="27"/>
    </row>
    <row r="422" spans="2:42" s="143" customFormat="1">
      <c r="E422" s="27"/>
      <c r="H422" s="27"/>
      <c r="J422" s="148"/>
      <c r="AB422" s="27"/>
    </row>
    <row r="423" spans="2:42" s="143" customFormat="1">
      <c r="E423" s="27"/>
      <c r="H423" s="27"/>
      <c r="J423" s="148"/>
      <c r="AB423" s="27"/>
    </row>
    <row r="424" spans="2:42" s="143" customFormat="1">
      <c r="E424" s="27"/>
      <c r="H424" s="27"/>
      <c r="J424" s="148"/>
      <c r="AB424" s="27"/>
    </row>
    <row r="425" spans="2:42" s="143" customFormat="1">
      <c r="E425" s="27"/>
      <c r="H425" s="27"/>
      <c r="J425" s="148"/>
      <c r="AB425" s="27"/>
    </row>
    <row r="426" spans="2:42" s="143" customFormat="1">
      <c r="E426" s="27"/>
      <c r="H426" s="27"/>
      <c r="J426" s="148"/>
      <c r="AB426" s="27"/>
    </row>
    <row r="427" spans="2:42">
      <c r="B427" s="142"/>
      <c r="C427" s="27"/>
      <c r="D427" s="27"/>
      <c r="E427" s="27"/>
      <c r="H427" s="27"/>
      <c r="J427" s="148"/>
      <c r="K427" s="27"/>
      <c r="L427" s="27"/>
      <c r="O427" s="149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42"/>
      <c r="C428" s="27"/>
      <c r="D428" s="27"/>
      <c r="E428" s="27"/>
      <c r="H428" s="27"/>
      <c r="I428" s="143"/>
      <c r="J428" s="148"/>
      <c r="K428" s="27"/>
      <c r="L428" s="27"/>
      <c r="M428" s="143"/>
      <c r="O428" s="149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42"/>
      <c r="C429" s="27"/>
      <c r="D429" s="27"/>
      <c r="E429" s="27"/>
      <c r="H429" s="27"/>
      <c r="I429" s="143"/>
      <c r="J429" s="148"/>
      <c r="K429" s="27"/>
      <c r="L429" s="27"/>
      <c r="M429" s="143"/>
      <c r="O429" s="149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42"/>
      <c r="C430" s="27"/>
      <c r="D430" s="27"/>
      <c r="E430" s="27"/>
      <c r="H430" s="27"/>
      <c r="I430" s="143"/>
      <c r="J430" s="148"/>
      <c r="K430" s="27"/>
      <c r="L430" s="27"/>
      <c r="M430" s="143"/>
      <c r="O430" s="149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42"/>
      <c r="C431" s="27"/>
      <c r="D431" s="27"/>
      <c r="E431" s="27"/>
      <c r="H431" s="27"/>
      <c r="I431" s="143"/>
      <c r="J431" s="143"/>
      <c r="K431" s="27"/>
      <c r="L431" s="27"/>
      <c r="M431" s="143"/>
      <c r="O431" s="149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42"/>
      <c r="C432" s="27"/>
      <c r="D432" s="27"/>
      <c r="E432" s="27"/>
      <c r="H432" s="27"/>
      <c r="I432" s="143"/>
      <c r="J432" s="143"/>
      <c r="K432" s="27"/>
      <c r="L432" s="27"/>
      <c r="M432" s="143"/>
      <c r="O432" s="149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42"/>
      <c r="C433" s="27"/>
      <c r="D433" s="27"/>
      <c r="E433" s="27"/>
      <c r="H433" s="27"/>
      <c r="I433" s="143"/>
      <c r="J433" s="143"/>
      <c r="K433" s="27"/>
      <c r="L433" s="27"/>
      <c r="M433" s="143"/>
      <c r="O433" s="149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42"/>
      <c r="C434" s="27"/>
      <c r="D434" s="27"/>
      <c r="E434" s="27"/>
      <c r="H434" s="27"/>
      <c r="I434" s="143"/>
      <c r="J434" s="142"/>
      <c r="K434" s="27"/>
      <c r="L434" s="27"/>
      <c r="M434" s="143"/>
      <c r="O434" s="149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42"/>
      <c r="C435" s="27"/>
      <c r="D435" s="27"/>
      <c r="E435" s="27"/>
      <c r="H435" s="27"/>
      <c r="I435" s="143"/>
      <c r="J435" s="142"/>
      <c r="K435" s="27"/>
      <c r="L435" s="27"/>
      <c r="M435" s="143"/>
      <c r="O435" s="149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42"/>
      <c r="C436" s="27"/>
      <c r="D436" s="27"/>
      <c r="E436" s="27"/>
      <c r="H436" s="27"/>
      <c r="J436" s="148"/>
      <c r="K436" s="27"/>
      <c r="L436" s="27"/>
      <c r="M436" s="153"/>
      <c r="O436" s="149"/>
      <c r="P436" s="27"/>
      <c r="Q436" s="27"/>
      <c r="W436" s="142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42"/>
      <c r="C437" s="27"/>
      <c r="D437" s="27"/>
      <c r="E437" s="27"/>
      <c r="H437" s="27"/>
      <c r="J437" s="148"/>
      <c r="K437" s="27"/>
      <c r="L437" s="27"/>
      <c r="M437" s="153"/>
      <c r="O437" s="149"/>
      <c r="P437" s="27"/>
      <c r="Q437" s="27"/>
      <c r="W437" s="142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42"/>
      <c r="C438" s="27"/>
      <c r="D438" s="27"/>
      <c r="E438" s="27"/>
      <c r="H438" s="27"/>
      <c r="J438" s="148"/>
      <c r="K438" s="27"/>
      <c r="L438" s="27"/>
      <c r="M438" s="153"/>
      <c r="O438" s="149"/>
      <c r="P438" s="27"/>
      <c r="Q438" s="27"/>
      <c r="W438" s="142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42"/>
      <c r="C439" s="27"/>
      <c r="D439" s="27"/>
      <c r="E439" s="27"/>
      <c r="H439" s="27"/>
      <c r="J439" s="148"/>
      <c r="K439" s="27"/>
      <c r="L439" s="27"/>
      <c r="M439" s="153"/>
      <c r="O439" s="149"/>
      <c r="P439" s="27"/>
      <c r="Q439" s="27"/>
      <c r="W439" s="142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42"/>
      <c r="C440" s="27"/>
      <c r="D440" s="27"/>
      <c r="E440" s="27"/>
      <c r="H440" s="27"/>
      <c r="J440" s="148"/>
      <c r="K440" s="27"/>
      <c r="L440" s="27"/>
      <c r="M440" s="155"/>
      <c r="O440" s="149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42"/>
      <c r="C441" s="27"/>
      <c r="D441" s="27"/>
      <c r="E441" s="27"/>
      <c r="H441" s="27"/>
      <c r="J441" s="148"/>
      <c r="K441" s="27"/>
      <c r="L441" s="27"/>
      <c r="M441" s="155"/>
      <c r="O441" s="149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42"/>
      <c r="C442" s="27"/>
      <c r="D442" s="27"/>
      <c r="E442" s="27"/>
      <c r="H442" s="27"/>
      <c r="J442" s="148"/>
      <c r="K442" s="27"/>
      <c r="L442" s="27"/>
      <c r="M442" s="155"/>
      <c r="O442" s="149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42"/>
      <c r="C443" s="27"/>
      <c r="D443" s="27"/>
      <c r="E443" s="27"/>
      <c r="H443" s="27"/>
      <c r="J443" s="148"/>
      <c r="K443" s="27"/>
      <c r="L443" s="27"/>
      <c r="M443" s="155"/>
      <c r="O443" s="149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42"/>
      <c r="C444" s="27"/>
      <c r="D444" s="27"/>
      <c r="E444" s="27"/>
      <c r="H444" s="27"/>
      <c r="J444" s="148"/>
      <c r="K444" s="27"/>
      <c r="L444" s="27"/>
      <c r="M444" s="155"/>
      <c r="O444" s="149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42"/>
      <c r="C445" s="27"/>
      <c r="D445" s="27"/>
      <c r="E445" s="27"/>
      <c r="H445" s="27"/>
      <c r="J445" s="148"/>
      <c r="K445" s="27"/>
      <c r="L445" s="27"/>
      <c r="M445" s="155"/>
      <c r="O445" s="149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42"/>
      <c r="C446" s="27"/>
      <c r="D446" s="27"/>
      <c r="E446" s="27"/>
      <c r="H446" s="27"/>
      <c r="J446" s="148"/>
      <c r="K446" s="27"/>
      <c r="L446" s="27"/>
      <c r="M446" s="155"/>
      <c r="O446" s="149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42"/>
      <c r="C447" s="27"/>
      <c r="D447" s="27"/>
      <c r="E447" s="27"/>
      <c r="H447" s="27"/>
      <c r="J447" s="148"/>
      <c r="K447" s="27"/>
      <c r="L447" s="27"/>
      <c r="M447" s="155"/>
      <c r="O447" s="149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43"/>
      <c r="C448" s="27"/>
      <c r="D448" s="27"/>
      <c r="E448" s="27"/>
      <c r="H448" s="27"/>
      <c r="J448" s="148"/>
      <c r="K448" s="27"/>
      <c r="L448" s="27"/>
      <c r="M448" s="155"/>
      <c r="O448" s="149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43"/>
      <c r="C449" s="27"/>
      <c r="D449" s="27"/>
      <c r="E449" s="27"/>
      <c r="H449" s="27"/>
      <c r="J449" s="148"/>
      <c r="K449" s="27"/>
      <c r="L449" s="27"/>
      <c r="M449" s="155"/>
      <c r="O449" s="149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43"/>
      <c r="C450" s="27"/>
      <c r="D450" s="27"/>
      <c r="E450" s="27"/>
      <c r="H450" s="27"/>
      <c r="J450" s="148"/>
      <c r="K450" s="27"/>
      <c r="L450" s="27"/>
      <c r="M450" s="155"/>
      <c r="O450" s="149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42"/>
      <c r="C451" s="27"/>
      <c r="D451" s="27"/>
      <c r="E451" s="27"/>
      <c r="H451" s="27"/>
      <c r="I451" s="143"/>
      <c r="J451" s="148"/>
      <c r="K451" s="27"/>
      <c r="L451" s="27"/>
      <c r="M451" s="153"/>
      <c r="O451" s="149"/>
      <c r="P451" s="27"/>
      <c r="Q451" s="27"/>
      <c r="W451" s="142"/>
      <c r="X451" s="27"/>
      <c r="Z451" s="27"/>
      <c r="AA451" s="27"/>
      <c r="AC451" s="27"/>
      <c r="AD451" s="27"/>
      <c r="AJ451" s="27"/>
      <c r="AK451" s="27"/>
    </row>
    <row r="452" spans="2:42">
      <c r="B452" s="142"/>
      <c r="C452" s="27"/>
      <c r="D452" s="27"/>
      <c r="E452" s="27"/>
      <c r="H452" s="27"/>
      <c r="J452" s="148"/>
      <c r="K452" s="27"/>
      <c r="L452" s="27"/>
      <c r="M452" s="153"/>
      <c r="O452" s="149"/>
      <c r="P452" s="27"/>
      <c r="Q452" s="27"/>
      <c r="W452" s="142"/>
      <c r="X452" s="27"/>
      <c r="Z452" s="27"/>
      <c r="AA452" s="27"/>
      <c r="AC452" s="27"/>
      <c r="AD452" s="27"/>
      <c r="AJ452" s="27"/>
      <c r="AK452" s="27"/>
    </row>
    <row r="453" spans="2:42">
      <c r="B453" s="142"/>
      <c r="C453" s="27"/>
      <c r="D453" s="27"/>
      <c r="E453" s="27"/>
      <c r="H453" s="27"/>
      <c r="J453" s="148"/>
      <c r="K453" s="27"/>
      <c r="L453" s="27"/>
      <c r="M453" s="153"/>
      <c r="O453" s="149"/>
      <c r="P453" s="27"/>
      <c r="Q453" s="27"/>
      <c r="W453" s="142"/>
      <c r="X453" s="27"/>
      <c r="Z453" s="27"/>
      <c r="AA453" s="27"/>
      <c r="AC453" s="27"/>
      <c r="AD453" s="27"/>
      <c r="AJ453" s="27"/>
      <c r="AK453" s="27"/>
    </row>
    <row r="454" spans="2:42">
      <c r="B454" s="142"/>
      <c r="C454" s="27"/>
      <c r="D454" s="27"/>
      <c r="E454" s="27"/>
      <c r="H454" s="27"/>
      <c r="J454" s="148"/>
      <c r="K454" s="27"/>
      <c r="L454" s="27"/>
      <c r="M454" s="153"/>
      <c r="O454" s="149"/>
      <c r="P454" s="27"/>
      <c r="Q454" s="27"/>
      <c r="W454" s="142"/>
      <c r="X454" s="27"/>
      <c r="Z454" s="27"/>
      <c r="AA454" s="27"/>
      <c r="AC454" s="27"/>
      <c r="AD454" s="27"/>
      <c r="AJ454" s="27"/>
      <c r="AK454" s="27"/>
    </row>
    <row r="455" spans="2:42">
      <c r="B455" s="142"/>
      <c r="C455" s="27"/>
      <c r="D455" s="27"/>
      <c r="E455" s="27"/>
      <c r="H455" s="27"/>
      <c r="J455" s="148"/>
      <c r="K455" s="27"/>
      <c r="L455" s="27"/>
      <c r="P455" s="27"/>
      <c r="Q455" s="27"/>
      <c r="W455" s="142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42"/>
      <c r="C456" s="27"/>
      <c r="D456" s="27"/>
      <c r="E456" s="27"/>
      <c r="H456" s="27"/>
      <c r="J456" s="148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2"/>
      <c r="C457" s="27"/>
      <c r="D457" s="27"/>
      <c r="E457" s="27"/>
      <c r="H457" s="27"/>
      <c r="J457" s="148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2"/>
      <c r="C458" s="27"/>
      <c r="D458" s="27"/>
      <c r="E458" s="27"/>
      <c r="H458" s="27"/>
      <c r="J458" s="148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2"/>
      <c r="C459" s="27"/>
      <c r="D459" s="27"/>
      <c r="E459" s="27"/>
      <c r="H459" s="27"/>
      <c r="J459" s="148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2"/>
      <c r="C460" s="27"/>
      <c r="D460" s="27"/>
      <c r="E460" s="27"/>
      <c r="H460" s="27"/>
      <c r="J460" s="148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2"/>
      <c r="C461" s="27"/>
      <c r="D461" s="27"/>
      <c r="E461" s="27"/>
      <c r="H461" s="27"/>
      <c r="J461" s="148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2"/>
      <c r="C462" s="27"/>
      <c r="D462" s="27"/>
      <c r="E462" s="27"/>
      <c r="H462" s="27"/>
      <c r="J462" s="148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2"/>
      <c r="C463" s="27"/>
      <c r="D463" s="27"/>
      <c r="E463" s="27"/>
      <c r="H463" s="27"/>
      <c r="J463" s="148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2"/>
      <c r="C464" s="27"/>
      <c r="D464" s="27"/>
      <c r="E464" s="27"/>
      <c r="H464" s="27"/>
      <c r="J464" s="148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2"/>
      <c r="C465" s="27"/>
      <c r="D465" s="27"/>
      <c r="E465" s="27"/>
      <c r="H465" s="27"/>
      <c r="J465" s="148"/>
      <c r="K465" s="27"/>
      <c r="L465" s="27"/>
      <c r="O465" s="149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2"/>
      <c r="C466" s="27"/>
      <c r="D466" s="27"/>
      <c r="E466" s="27"/>
      <c r="H466" s="27"/>
      <c r="J466" s="148"/>
      <c r="K466" s="27"/>
      <c r="L466" s="27"/>
      <c r="O466" s="149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2"/>
      <c r="C467" s="27"/>
      <c r="D467" s="27"/>
      <c r="E467" s="27"/>
      <c r="H467" s="27"/>
      <c r="J467" s="148"/>
      <c r="K467" s="27"/>
      <c r="L467" s="27"/>
      <c r="O467" s="149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42"/>
      <c r="C468" s="27"/>
      <c r="D468" s="27"/>
      <c r="E468" s="27"/>
      <c r="H468" s="27"/>
      <c r="J468" s="148"/>
      <c r="K468" s="27"/>
      <c r="L468" s="27"/>
      <c r="M468"/>
      <c r="O468" s="149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42"/>
      <c r="C469" s="27"/>
      <c r="D469" s="27"/>
      <c r="E469" s="27"/>
      <c r="H469" s="27"/>
      <c r="J469" s="148"/>
      <c r="K469" s="27"/>
      <c r="L469" s="27"/>
      <c r="M469"/>
      <c r="O469" s="149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42"/>
      <c r="C470" s="27"/>
      <c r="D470" s="27"/>
      <c r="E470" s="27"/>
      <c r="H470" s="27"/>
      <c r="J470" s="148"/>
      <c r="K470" s="27"/>
      <c r="L470" s="27"/>
      <c r="M470"/>
      <c r="O470" s="149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42"/>
      <c r="C471" s="27"/>
      <c r="D471" s="27"/>
      <c r="E471" s="27"/>
      <c r="H471" s="27"/>
      <c r="J471" s="148"/>
      <c r="K471" s="27"/>
      <c r="L471" s="27"/>
      <c r="M471"/>
      <c r="O471" s="149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42"/>
      <c r="C472" s="27"/>
      <c r="D472" s="27"/>
      <c r="E472" s="27"/>
      <c r="H472" s="27"/>
      <c r="J472" s="148"/>
      <c r="K472" s="27"/>
      <c r="L472" s="27"/>
      <c r="M472"/>
      <c r="O472" s="149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42"/>
      <c r="C473" s="27"/>
      <c r="D473" s="27"/>
      <c r="E473" s="27"/>
      <c r="H473" s="27"/>
      <c r="J473" s="148"/>
      <c r="K473" s="27"/>
      <c r="L473" s="27"/>
      <c r="M473"/>
      <c r="O473" s="149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42"/>
      <c r="C474" s="27"/>
      <c r="D474" s="27"/>
      <c r="E474" s="27"/>
      <c r="H474" s="27"/>
      <c r="J474" s="148"/>
      <c r="K474" s="27"/>
      <c r="L474" s="27"/>
      <c r="M474"/>
      <c r="O474" s="149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42"/>
      <c r="C475" s="27"/>
      <c r="D475" s="27"/>
      <c r="E475" s="27"/>
      <c r="H475" s="27"/>
      <c r="J475" s="148"/>
      <c r="K475" s="27"/>
      <c r="L475" s="27"/>
      <c r="M475"/>
      <c r="O475" s="149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42"/>
      <c r="C476" s="27"/>
      <c r="D476" s="27"/>
      <c r="E476" s="27"/>
      <c r="H476" s="27"/>
      <c r="J476" s="148"/>
      <c r="K476" s="27"/>
      <c r="L476" s="27"/>
      <c r="M476"/>
      <c r="O476" s="149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42"/>
      <c r="C477" s="27"/>
      <c r="D477" s="27"/>
      <c r="E477" s="27"/>
      <c r="H477" s="27"/>
      <c r="J477" s="148"/>
      <c r="K477" s="27"/>
      <c r="L477" s="27"/>
      <c r="M477"/>
      <c r="O477" s="149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42"/>
      <c r="C478" s="27"/>
      <c r="D478" s="27"/>
      <c r="E478" s="27"/>
      <c r="H478" s="27"/>
      <c r="J478" s="148"/>
      <c r="K478" s="27"/>
      <c r="L478" s="27"/>
      <c r="M478"/>
      <c r="O478" s="149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42"/>
      <c r="C479" s="27"/>
      <c r="D479" s="27"/>
      <c r="E479" s="27"/>
      <c r="H479" s="27"/>
      <c r="J479" s="148"/>
      <c r="K479" s="27"/>
      <c r="L479" s="27"/>
      <c r="M479"/>
      <c r="O479" s="149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42"/>
      <c r="C480" s="27"/>
      <c r="D480" s="27"/>
      <c r="E480" s="27"/>
      <c r="H480" s="27"/>
      <c r="J480" s="148"/>
      <c r="K480" s="27"/>
      <c r="L480" s="27"/>
      <c r="M480"/>
      <c r="O480" s="149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42"/>
      <c r="C481" s="27"/>
      <c r="D481" s="27"/>
      <c r="E481" s="27"/>
      <c r="H481" s="27"/>
      <c r="J481" s="148"/>
      <c r="K481" s="27"/>
      <c r="L481" s="27"/>
      <c r="M481"/>
      <c r="O481" s="149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42"/>
      <c r="C482" s="27"/>
      <c r="D482" s="27"/>
      <c r="E482" s="27"/>
      <c r="H482" s="27"/>
      <c r="J482" s="148"/>
      <c r="K482" s="27"/>
      <c r="L482" s="27"/>
      <c r="M482"/>
      <c r="O482" s="149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42"/>
      <c r="C483" s="27"/>
      <c r="D483" s="27"/>
      <c r="E483" s="27"/>
      <c r="H483" s="27"/>
      <c r="J483" s="148"/>
      <c r="K483" s="27"/>
      <c r="L483" s="27"/>
      <c r="M483"/>
      <c r="O483" s="149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42"/>
      <c r="C484" s="27"/>
      <c r="D484" s="27"/>
      <c r="E484" s="27"/>
      <c r="H484" s="27"/>
      <c r="J484" s="148"/>
      <c r="K484" s="27"/>
      <c r="L484" s="27"/>
      <c r="M484"/>
      <c r="O484" s="149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42"/>
      <c r="C485" s="27"/>
      <c r="D485" s="27"/>
      <c r="E485" s="27"/>
      <c r="H485" s="27"/>
      <c r="J485" s="148"/>
      <c r="K485" s="27"/>
      <c r="L485" s="27"/>
      <c r="M485"/>
      <c r="O485" s="149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42"/>
      <c r="C486" s="27"/>
      <c r="D486" s="27"/>
      <c r="E486" s="27"/>
      <c r="H486" s="27"/>
      <c r="J486" s="148"/>
      <c r="K486" s="27"/>
      <c r="L486" s="27"/>
      <c r="M486"/>
      <c r="O486" s="149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42"/>
      <c r="C487" s="27"/>
      <c r="D487" s="27"/>
      <c r="E487" s="27"/>
      <c r="H487" s="27"/>
      <c r="J487" s="148"/>
      <c r="K487" s="27"/>
      <c r="L487" s="27"/>
      <c r="M487"/>
      <c r="O487" s="149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42"/>
      <c r="C488" s="27"/>
      <c r="D488" s="27"/>
      <c r="E488" s="27"/>
      <c r="H488" s="27"/>
      <c r="J488" s="148"/>
      <c r="K488" s="27"/>
      <c r="L488" s="27"/>
      <c r="M488"/>
      <c r="O488" s="149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42"/>
      <c r="C489" s="27"/>
      <c r="D489" s="27"/>
      <c r="E489" s="27"/>
      <c r="H489" s="27"/>
      <c r="J489" s="148"/>
      <c r="K489" s="27"/>
      <c r="L489" s="27"/>
      <c r="M489"/>
      <c r="O489" s="149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42"/>
      <c r="C490" s="27"/>
      <c r="D490" s="27"/>
      <c r="E490" s="27"/>
      <c r="H490" s="27"/>
      <c r="J490" s="148"/>
      <c r="K490" s="27"/>
      <c r="L490" s="27"/>
      <c r="M490"/>
      <c r="O490" s="149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42"/>
      <c r="C491" s="27"/>
      <c r="D491" s="27"/>
      <c r="E491" s="27"/>
      <c r="H491" s="27"/>
      <c r="J491" s="148"/>
      <c r="K491" s="27"/>
      <c r="L491" s="27"/>
      <c r="M491"/>
      <c r="O491" s="149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42"/>
      <c r="C492" s="27"/>
      <c r="D492" s="27"/>
      <c r="E492" s="27"/>
      <c r="H492" s="27"/>
      <c r="J492" s="148"/>
      <c r="K492" s="27"/>
      <c r="M492" s="156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42"/>
      <c r="C493" s="27"/>
      <c r="D493" s="27"/>
      <c r="E493" s="27"/>
      <c r="H493" s="27"/>
      <c r="J493" s="148"/>
      <c r="K493" s="27"/>
      <c r="M493" s="156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42"/>
      <c r="C494" s="27"/>
      <c r="D494" s="27"/>
      <c r="E494" s="27"/>
      <c r="H494" s="27"/>
      <c r="J494" s="148"/>
      <c r="K494" s="27"/>
      <c r="M494" s="156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42"/>
      <c r="C495" s="27"/>
      <c r="D495" s="27"/>
      <c r="E495" s="27"/>
      <c r="H495" s="27"/>
      <c r="J495" s="148"/>
      <c r="K495" s="27"/>
      <c r="M495" s="156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42"/>
      <c r="C496" s="27"/>
      <c r="D496" s="27"/>
      <c r="E496" s="27"/>
      <c r="H496" s="27"/>
      <c r="J496" s="148"/>
      <c r="K496" s="27"/>
      <c r="M496" s="156"/>
      <c r="P496" s="27"/>
      <c r="Q496" s="27"/>
      <c r="W496" s="142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2"/>
      <c r="C497" s="27"/>
      <c r="D497" s="27"/>
      <c r="E497" s="27"/>
      <c r="H497" s="27"/>
      <c r="J497" s="148"/>
      <c r="K497" s="27"/>
      <c r="M497" s="156"/>
      <c r="P497" s="27"/>
      <c r="Q497" s="27"/>
      <c r="W497" s="142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42"/>
      <c r="C498" s="27"/>
      <c r="D498" s="27"/>
      <c r="E498" s="27"/>
      <c r="H498" s="27"/>
      <c r="J498" s="148"/>
      <c r="K498" s="27"/>
      <c r="M498" s="156"/>
      <c r="P498" s="27"/>
      <c r="Q498" s="27"/>
      <c r="W498" s="142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42"/>
      <c r="C499" s="27"/>
      <c r="D499" s="27"/>
      <c r="E499" s="27"/>
      <c r="H499" s="27"/>
      <c r="J499" s="148"/>
      <c r="K499" s="27"/>
      <c r="M499" s="15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42"/>
      <c r="C500" s="27"/>
      <c r="D500" s="27"/>
      <c r="E500" s="27"/>
      <c r="H500" s="27"/>
      <c r="J500" s="148"/>
      <c r="K500" s="27"/>
      <c r="M500" s="15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42"/>
      <c r="C501" s="27"/>
      <c r="D501" s="27"/>
      <c r="E501" s="27"/>
      <c r="H501" s="27"/>
      <c r="J501" s="148"/>
      <c r="K501" s="27"/>
      <c r="M501" s="15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42"/>
      <c r="C502" s="27"/>
      <c r="D502" s="27"/>
      <c r="E502" s="27"/>
      <c r="H502" s="27"/>
      <c r="J502" s="148"/>
      <c r="K502" s="27"/>
      <c r="M502" s="156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42"/>
      <c r="C503" s="27"/>
      <c r="D503" s="27"/>
      <c r="E503" s="27"/>
      <c r="H503" s="27"/>
      <c r="J503" s="148"/>
      <c r="K503" s="27"/>
      <c r="M503" s="156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42"/>
      <c r="C504" s="27"/>
      <c r="D504" s="27"/>
      <c r="E504" s="27"/>
      <c r="H504" s="27"/>
      <c r="J504" s="148"/>
      <c r="K504" s="27"/>
      <c r="M504" s="156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42"/>
      <c r="C505" s="27"/>
      <c r="D505" s="27"/>
      <c r="E505" s="27"/>
      <c r="H505" s="27"/>
      <c r="J505" s="148"/>
      <c r="K505" s="27"/>
      <c r="M505" s="15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42"/>
      <c r="C506" s="27"/>
      <c r="D506" s="27"/>
      <c r="E506" s="27"/>
      <c r="H506" s="27"/>
      <c r="J506" s="148"/>
      <c r="K506" s="27"/>
      <c r="M506" s="15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42"/>
      <c r="C507" s="27"/>
      <c r="D507" s="27"/>
      <c r="E507" s="27"/>
      <c r="H507" s="27"/>
      <c r="J507" s="148"/>
      <c r="K507" s="27"/>
      <c r="M507" s="15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42"/>
      <c r="C508" s="27"/>
      <c r="D508" s="27"/>
      <c r="E508" s="27"/>
      <c r="H508" s="27"/>
      <c r="J508" s="148"/>
      <c r="K508" s="27"/>
      <c r="M508" s="15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42"/>
      <c r="C509" s="27"/>
      <c r="D509" s="27"/>
      <c r="E509" s="27"/>
      <c r="H509" s="27"/>
      <c r="J509" s="148"/>
      <c r="K509" s="27"/>
      <c r="M509" s="15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42"/>
      <c r="C510" s="27"/>
      <c r="D510" s="27"/>
      <c r="E510" s="27"/>
      <c r="H510" s="27"/>
      <c r="J510" s="148"/>
      <c r="K510" s="27"/>
      <c r="M510" s="15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42"/>
      <c r="C511" s="27"/>
      <c r="D511" s="27"/>
      <c r="E511" s="27"/>
      <c r="H511" s="27"/>
      <c r="J511" s="148"/>
      <c r="K511" s="27"/>
      <c r="M511" s="15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43"/>
      <c r="C512" s="27"/>
      <c r="D512" s="27"/>
      <c r="E512" s="27"/>
      <c r="H512" s="27"/>
      <c r="I512" s="143"/>
      <c r="J512" s="148"/>
      <c r="K512" s="27"/>
      <c r="L512" s="27"/>
      <c r="M512" s="156"/>
      <c r="O512" s="149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43"/>
      <c r="C513" s="27"/>
      <c r="D513" s="27"/>
      <c r="E513" s="27"/>
      <c r="H513" s="27"/>
      <c r="I513" s="143"/>
      <c r="J513" s="148"/>
      <c r="K513" s="27"/>
      <c r="L513" s="27"/>
      <c r="M513" s="156"/>
      <c r="O513" s="149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43"/>
      <c r="C514" s="27"/>
      <c r="D514" s="27"/>
      <c r="E514" s="27"/>
      <c r="H514" s="27"/>
      <c r="I514" s="143"/>
      <c r="J514" s="148"/>
      <c r="K514" s="27"/>
      <c r="L514" s="27"/>
      <c r="M514" s="156"/>
      <c r="O514" s="149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43"/>
      <c r="C515" s="27"/>
      <c r="D515" s="27"/>
      <c r="E515" s="27"/>
      <c r="H515" s="27"/>
      <c r="I515" s="143"/>
      <c r="J515" s="148"/>
      <c r="K515" s="27"/>
      <c r="L515" s="27"/>
      <c r="M515" s="156"/>
      <c r="O515" s="149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43"/>
      <c r="C516" s="27"/>
      <c r="D516" s="27"/>
      <c r="E516" s="27"/>
      <c r="H516" s="27"/>
      <c r="I516" s="143"/>
      <c r="J516" s="148"/>
      <c r="K516" s="27"/>
      <c r="L516" s="27"/>
      <c r="M516" s="156"/>
      <c r="O516" s="149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43"/>
      <c r="C517" s="27"/>
      <c r="D517" s="27"/>
      <c r="E517" s="27"/>
      <c r="H517" s="27"/>
      <c r="I517" s="143"/>
      <c r="J517" s="148"/>
      <c r="K517" s="27"/>
      <c r="L517" s="27"/>
      <c r="M517" s="156"/>
      <c r="O517" s="149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43"/>
      <c r="C518" s="27"/>
      <c r="D518" s="27"/>
      <c r="E518" s="27"/>
      <c r="H518" s="27"/>
      <c r="I518" s="143"/>
      <c r="J518" s="148"/>
      <c r="K518" s="27"/>
      <c r="L518" s="27"/>
      <c r="M518" s="156"/>
      <c r="O518" s="149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43"/>
      <c r="C519" s="27"/>
      <c r="D519" s="27"/>
      <c r="E519" s="27"/>
      <c r="H519" s="27"/>
      <c r="I519" s="143"/>
      <c r="J519" s="148"/>
      <c r="K519" s="27"/>
      <c r="L519" s="27"/>
      <c r="M519" s="156"/>
      <c r="O519" s="149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43"/>
      <c r="C520" s="27"/>
      <c r="D520" s="27"/>
      <c r="E520" s="27"/>
      <c r="H520" s="27"/>
      <c r="I520" s="143"/>
      <c r="J520" s="148"/>
      <c r="K520" s="27"/>
      <c r="L520" s="27"/>
      <c r="M520" s="156"/>
      <c r="O520" s="149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43"/>
      <c r="C521" s="27"/>
      <c r="D521" s="27"/>
      <c r="E521" s="27"/>
      <c r="H521" s="27"/>
      <c r="I521" s="143"/>
      <c r="J521" s="148"/>
      <c r="K521" s="27"/>
      <c r="L521" s="27"/>
      <c r="M521" s="156"/>
      <c r="O521" s="149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43"/>
      <c r="C522" s="27"/>
      <c r="D522" s="27"/>
      <c r="E522" s="27"/>
      <c r="H522" s="27"/>
      <c r="I522" s="143"/>
      <c r="J522" s="148"/>
      <c r="K522" s="27"/>
      <c r="L522" s="27"/>
      <c r="M522" s="156"/>
      <c r="O522" s="149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43"/>
      <c r="C523" s="27"/>
      <c r="D523" s="27"/>
      <c r="E523" s="27"/>
      <c r="H523" s="27"/>
      <c r="I523" s="143"/>
      <c r="J523" s="148"/>
      <c r="K523" s="27"/>
      <c r="L523" s="27"/>
      <c r="M523" s="156"/>
      <c r="O523" s="149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43"/>
      <c r="C524" s="27"/>
      <c r="D524" s="27"/>
      <c r="E524" s="27"/>
      <c r="H524" s="27"/>
      <c r="I524" s="143"/>
      <c r="J524" s="148"/>
      <c r="K524" s="27"/>
      <c r="L524" s="27"/>
      <c r="M524" s="156"/>
      <c r="O524" s="149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43"/>
      <c r="C525" s="27"/>
      <c r="D525" s="27"/>
      <c r="E525" s="27"/>
      <c r="H525" s="27"/>
      <c r="I525" s="143"/>
      <c r="J525" s="148"/>
      <c r="K525" s="27"/>
      <c r="L525" s="27"/>
      <c r="M525" s="156"/>
      <c r="O525" s="149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3"/>
      <c r="C526" s="27"/>
      <c r="D526" s="27"/>
      <c r="E526" s="27"/>
      <c r="H526" s="27"/>
      <c r="I526" s="143"/>
      <c r="J526" s="148"/>
      <c r="K526" s="27"/>
      <c r="L526" s="27"/>
      <c r="M526" s="156"/>
      <c r="O526" s="149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3"/>
      <c r="C527" s="27"/>
      <c r="D527" s="27"/>
      <c r="E527" s="27"/>
      <c r="H527" s="27"/>
      <c r="I527" s="143"/>
      <c r="J527" s="148"/>
      <c r="K527" s="27"/>
      <c r="L527" s="27"/>
      <c r="M527" s="156"/>
      <c r="O527" s="149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3"/>
      <c r="C528" s="27"/>
      <c r="D528" s="27"/>
      <c r="E528" s="27"/>
      <c r="H528" s="27"/>
      <c r="I528" s="143"/>
      <c r="J528" s="148"/>
      <c r="K528" s="27"/>
      <c r="L528" s="27"/>
      <c r="M528" s="156"/>
      <c r="O528" s="149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3"/>
      <c r="C529" s="27"/>
      <c r="D529" s="27"/>
      <c r="E529" s="27"/>
      <c r="H529" s="27"/>
      <c r="I529" s="143"/>
      <c r="J529" s="148"/>
      <c r="K529" s="27"/>
      <c r="L529" s="27"/>
      <c r="M529" s="156"/>
      <c r="O529" s="149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3"/>
      <c r="C530" s="27"/>
      <c r="D530" s="27"/>
      <c r="E530" s="27"/>
      <c r="H530" s="27"/>
      <c r="I530" s="143"/>
      <c r="J530" s="148"/>
      <c r="K530" s="27"/>
      <c r="L530" s="27"/>
      <c r="M530" s="156"/>
      <c r="O530" s="149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2"/>
      <c r="C531" s="27"/>
      <c r="D531" s="27"/>
      <c r="E531" s="27"/>
      <c r="H531" s="27"/>
      <c r="J531" s="148"/>
      <c r="K531" s="27"/>
      <c r="L531" s="27"/>
      <c r="O531" s="149"/>
      <c r="P531" s="27"/>
      <c r="Q531" s="27"/>
      <c r="W531" s="142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2"/>
      <c r="C532" s="27"/>
      <c r="D532" s="27"/>
      <c r="E532" s="27"/>
      <c r="H532" s="27"/>
      <c r="J532" s="148"/>
      <c r="K532" s="27"/>
      <c r="L532" s="27"/>
      <c r="O532" s="149"/>
      <c r="P532" s="27"/>
      <c r="Q532" s="27"/>
      <c r="W532" s="142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2"/>
      <c r="C533" s="27"/>
      <c r="D533" s="27"/>
      <c r="E533" s="27"/>
      <c r="H533" s="27"/>
      <c r="J533" s="148"/>
      <c r="K533" s="27"/>
      <c r="L533" s="27"/>
      <c r="O533" s="149"/>
      <c r="P533" s="27"/>
      <c r="Q533" s="27"/>
      <c r="W533" s="142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2"/>
      <c r="C534" s="27"/>
      <c r="D534" s="27"/>
      <c r="E534" s="27"/>
      <c r="H534" s="27"/>
      <c r="J534" s="148"/>
      <c r="K534" s="27"/>
      <c r="L534" s="27"/>
      <c r="O534" s="149"/>
      <c r="P534" s="27"/>
      <c r="Q534" s="27"/>
      <c r="W534" s="142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2"/>
      <c r="C535" s="27"/>
      <c r="D535" s="27"/>
      <c r="E535" s="27"/>
      <c r="H535" s="27"/>
      <c r="J535" s="148"/>
      <c r="K535" s="27"/>
      <c r="L535" s="27"/>
      <c r="O535" s="149"/>
      <c r="P535" s="27"/>
      <c r="Q535" s="27"/>
      <c r="W535" s="142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2"/>
      <c r="C536" s="27"/>
      <c r="D536" s="27"/>
      <c r="E536" s="27"/>
      <c r="H536" s="27"/>
      <c r="J536" s="148"/>
      <c r="K536" s="27"/>
      <c r="L536" s="27"/>
      <c r="O536" s="149"/>
      <c r="P536" s="27"/>
      <c r="Q536" s="27"/>
      <c r="W536" s="142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2"/>
      <c r="C537" s="27"/>
      <c r="D537" s="27"/>
      <c r="E537" s="27"/>
      <c r="H537" s="27"/>
      <c r="J537" s="148"/>
      <c r="K537" s="27"/>
      <c r="L537" s="27"/>
      <c r="O537" s="149"/>
      <c r="P537" s="27"/>
      <c r="Q537" s="27"/>
      <c r="W537" s="142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2"/>
      <c r="C538" s="27"/>
      <c r="D538" s="27"/>
      <c r="E538" s="27"/>
      <c r="H538" s="27"/>
      <c r="J538" s="148"/>
      <c r="K538" s="27"/>
      <c r="L538" s="27"/>
      <c r="O538" s="149"/>
      <c r="P538" s="27"/>
      <c r="Q538" s="27"/>
      <c r="W538" s="142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2"/>
      <c r="C539" s="27"/>
      <c r="D539" s="27"/>
      <c r="E539" s="27"/>
      <c r="H539" s="27"/>
      <c r="J539" s="148"/>
      <c r="K539" s="27"/>
      <c r="L539" s="27"/>
      <c r="O539" s="149"/>
      <c r="P539" s="27"/>
      <c r="Q539" s="27"/>
      <c r="W539" s="142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2"/>
      <c r="C540" s="27"/>
      <c r="D540" s="27"/>
      <c r="E540" s="27"/>
      <c r="H540" s="27"/>
      <c r="J540" s="148"/>
      <c r="K540" s="27"/>
      <c r="L540" s="27"/>
      <c r="O540" s="149"/>
      <c r="P540" s="27"/>
      <c r="Q540" s="27"/>
      <c r="W540" s="142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2"/>
      <c r="C541" s="27"/>
      <c r="D541" s="27"/>
      <c r="E541" s="27"/>
      <c r="H541" s="27"/>
      <c r="J541" s="148"/>
      <c r="K541" s="27"/>
      <c r="L541" s="27"/>
      <c r="O541" s="149"/>
      <c r="P541" s="27"/>
      <c r="Q541" s="27"/>
      <c r="W541" s="142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2"/>
      <c r="C542" s="27"/>
      <c r="D542" s="27"/>
      <c r="E542" s="27"/>
      <c r="H542" s="27"/>
      <c r="I542" s="27"/>
      <c r="J542" s="148"/>
      <c r="K542" s="27"/>
      <c r="L542" s="27"/>
      <c r="N542" s="142"/>
      <c r="O542" s="149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2"/>
      <c r="C543" s="27"/>
      <c r="D543" s="27"/>
      <c r="E543" s="27"/>
      <c r="H543" s="27"/>
      <c r="I543" s="27"/>
      <c r="J543" s="148"/>
      <c r="K543" s="27"/>
      <c r="L543" s="27"/>
      <c r="N543" s="142"/>
      <c r="O543" s="149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2"/>
      <c r="C544" s="27"/>
      <c r="D544" s="27"/>
      <c r="E544" s="27"/>
      <c r="H544" s="27"/>
      <c r="I544" s="27"/>
      <c r="J544" s="148"/>
      <c r="K544" s="27"/>
      <c r="L544" s="27"/>
      <c r="N544" s="142"/>
      <c r="O544" s="149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2"/>
      <c r="C545" s="27"/>
      <c r="D545" s="27"/>
      <c r="E545" s="27"/>
      <c r="H545" s="27"/>
      <c r="I545" s="27"/>
      <c r="J545" s="148"/>
      <c r="K545" s="27"/>
      <c r="L545" s="27"/>
      <c r="N545" s="142"/>
      <c r="O545" s="149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44" customFormat="1">
      <c r="B546" s="157"/>
      <c r="C546" s="158"/>
      <c r="D546" s="158"/>
      <c r="E546" s="27"/>
      <c r="H546" s="27"/>
      <c r="I546" s="158"/>
      <c r="J546" s="159"/>
      <c r="K546" s="158"/>
      <c r="L546" s="158"/>
      <c r="M546" s="153"/>
      <c r="P546" s="158"/>
      <c r="Q546" s="158"/>
      <c r="W546" s="158"/>
      <c r="X546" s="158"/>
      <c r="Z546" s="158"/>
      <c r="AA546" s="27"/>
      <c r="AB546" s="157"/>
      <c r="AC546" s="158"/>
      <c r="AD546" s="158"/>
      <c r="AI546" s="158"/>
      <c r="AJ546" s="158"/>
      <c r="AK546" s="158"/>
      <c r="AN546" s="157"/>
      <c r="AO546" s="158"/>
      <c r="AP546" s="158"/>
    </row>
    <row r="547" spans="2:42" s="144" customFormat="1">
      <c r="B547" s="157"/>
      <c r="C547" s="158"/>
      <c r="D547" s="158"/>
      <c r="E547" s="27"/>
      <c r="H547" s="27"/>
      <c r="I547" s="158"/>
      <c r="J547" s="159"/>
      <c r="K547" s="158"/>
      <c r="L547" s="158"/>
      <c r="M547" s="153"/>
      <c r="P547" s="158"/>
      <c r="Q547" s="158"/>
      <c r="W547" s="158"/>
      <c r="X547" s="158"/>
      <c r="Z547" s="158"/>
      <c r="AA547" s="27"/>
      <c r="AB547" s="157"/>
      <c r="AC547" s="158"/>
      <c r="AD547" s="158"/>
      <c r="AI547" s="158"/>
      <c r="AJ547" s="158"/>
      <c r="AK547" s="158"/>
      <c r="AN547" s="157"/>
      <c r="AO547" s="158"/>
      <c r="AP547" s="158"/>
    </row>
    <row r="548" spans="2:42">
      <c r="B548" s="142"/>
      <c r="C548" s="27"/>
      <c r="D548" s="27"/>
      <c r="E548" s="27"/>
      <c r="H548" s="27"/>
      <c r="I548" s="27"/>
      <c r="J548" s="148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2"/>
      <c r="C549" s="27"/>
      <c r="D549" s="27"/>
      <c r="E549" s="27"/>
      <c r="H549" s="27"/>
      <c r="I549" s="27"/>
      <c r="J549" s="148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2"/>
      <c r="C550" s="27"/>
      <c r="D550" s="27"/>
      <c r="E550" s="27"/>
      <c r="H550" s="27"/>
      <c r="I550" s="27"/>
      <c r="J550" s="148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2"/>
      <c r="C551" s="27"/>
      <c r="D551" s="27"/>
      <c r="E551" s="27"/>
      <c r="H551" s="27"/>
      <c r="I551" s="27"/>
      <c r="J551" s="148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2"/>
      <c r="C552" s="27"/>
      <c r="D552" s="27"/>
      <c r="E552" s="27"/>
      <c r="H552" s="27"/>
      <c r="I552" s="27"/>
      <c r="J552" s="148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2"/>
      <c r="C553" s="27"/>
      <c r="D553" s="27"/>
      <c r="E553" s="27"/>
      <c r="H553" s="27"/>
      <c r="I553" s="27"/>
      <c r="J553" s="148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2"/>
      <c r="C554" s="27"/>
      <c r="D554" s="27"/>
      <c r="E554" s="27"/>
      <c r="H554" s="27"/>
      <c r="I554" s="27"/>
      <c r="J554" s="148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2"/>
      <c r="C555" s="27"/>
      <c r="D555" s="27"/>
      <c r="E555" s="27"/>
      <c r="H555" s="27"/>
      <c r="I555" s="27"/>
      <c r="J555" s="148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2"/>
      <c r="C556" s="27"/>
      <c r="D556" s="27"/>
      <c r="E556" s="27"/>
      <c r="H556" s="27"/>
      <c r="I556" s="27"/>
      <c r="J556" s="148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2"/>
      <c r="C557" s="27"/>
      <c r="D557" s="27"/>
      <c r="E557" s="27"/>
      <c r="H557" s="27"/>
      <c r="I557" s="27"/>
      <c r="J557" s="148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2"/>
      <c r="C558" s="27"/>
      <c r="D558" s="27"/>
      <c r="E558" s="27"/>
      <c r="H558" s="27"/>
      <c r="I558" s="27"/>
      <c r="J558" s="148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2"/>
      <c r="C559" s="27"/>
      <c r="D559" s="27"/>
      <c r="E559" s="27"/>
      <c r="H559" s="27"/>
      <c r="I559" s="27"/>
      <c r="J559" s="148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2"/>
      <c r="C560" s="27"/>
      <c r="D560" s="27"/>
      <c r="E560" s="27"/>
      <c r="H560" s="27"/>
      <c r="I560" s="27"/>
      <c r="J560" s="148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2"/>
      <c r="C561" s="27"/>
      <c r="D561" s="27"/>
      <c r="E561" s="27"/>
      <c r="H561" s="27"/>
      <c r="I561" s="27"/>
      <c r="J561" s="148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2"/>
      <c r="C562" s="27"/>
      <c r="D562" s="27"/>
      <c r="E562" s="27"/>
      <c r="H562" s="27"/>
      <c r="I562" s="27"/>
      <c r="J562" s="148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42"/>
      <c r="C563" s="27"/>
      <c r="D563" s="27"/>
      <c r="E563" s="27"/>
      <c r="H563" s="27"/>
      <c r="I563" s="27"/>
      <c r="J563" s="148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42"/>
      <c r="C564" s="27"/>
      <c r="D564" s="27"/>
      <c r="E564" s="27"/>
      <c r="H564" s="27"/>
      <c r="I564" s="27"/>
      <c r="J564" s="148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42"/>
      <c r="C565" s="27"/>
      <c r="D565" s="27"/>
      <c r="E565" s="27"/>
      <c r="H565" s="27"/>
      <c r="I565" s="27"/>
      <c r="J565" s="148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2"/>
      <c r="C566" s="27"/>
      <c r="D566" s="27"/>
      <c r="E566" s="27"/>
      <c r="H566" s="27"/>
      <c r="I566" s="27"/>
      <c r="J566" s="148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2"/>
      <c r="C567" s="27"/>
      <c r="D567" s="27"/>
      <c r="E567" s="27"/>
      <c r="H567" s="27"/>
      <c r="I567" s="143"/>
      <c r="J567" s="148"/>
      <c r="K567" s="27"/>
      <c r="L567" s="27"/>
      <c r="P567" s="27"/>
      <c r="Q567" s="27"/>
      <c r="V567" s="27"/>
      <c r="W567" s="142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42"/>
      <c r="C568" s="27"/>
      <c r="D568" s="27"/>
      <c r="E568" s="27"/>
      <c r="H568" s="27"/>
      <c r="I568" s="148"/>
      <c r="J568" s="148"/>
      <c r="K568" s="27"/>
      <c r="L568" s="27"/>
      <c r="P568" s="27"/>
      <c r="Q568" s="27"/>
      <c r="V568" s="27"/>
      <c r="W568" s="142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42"/>
      <c r="C569" s="27"/>
      <c r="D569" s="27"/>
      <c r="E569" s="27"/>
      <c r="H569" s="27"/>
      <c r="I569" s="148"/>
      <c r="J569" s="148"/>
      <c r="K569" s="27"/>
      <c r="L569" s="27"/>
      <c r="P569" s="27"/>
      <c r="Q569" s="27"/>
      <c r="V569" s="27"/>
      <c r="W569" s="142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42"/>
      <c r="C570" s="27"/>
      <c r="D570" s="27"/>
      <c r="E570" s="27"/>
      <c r="H570" s="27"/>
      <c r="I570" s="148"/>
      <c r="J570" s="148"/>
      <c r="K570" s="27"/>
      <c r="L570" s="27"/>
      <c r="P570" s="27"/>
      <c r="Q570" s="27"/>
      <c r="V570" s="27"/>
      <c r="W570" s="142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42"/>
      <c r="C571" s="27"/>
      <c r="D571" s="27"/>
      <c r="E571" s="27"/>
      <c r="H571" s="27"/>
      <c r="I571" s="148"/>
      <c r="J571" s="148"/>
      <c r="K571" s="27"/>
      <c r="L571" s="27"/>
      <c r="P571" s="27"/>
      <c r="Q571" s="27"/>
      <c r="V571" s="27"/>
      <c r="W571" s="142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42"/>
      <c r="C572" s="27"/>
      <c r="D572" s="27"/>
      <c r="E572" s="27"/>
      <c r="H572" s="27"/>
      <c r="I572" s="148"/>
      <c r="J572" s="148"/>
      <c r="K572" s="27"/>
      <c r="L572" s="27"/>
      <c r="P572" s="27"/>
      <c r="Q572" s="27"/>
      <c r="V572" s="27"/>
      <c r="W572" s="142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42"/>
      <c r="C573" s="27"/>
      <c r="D573" s="27"/>
      <c r="E573" s="27"/>
      <c r="H573" s="27"/>
      <c r="I573" s="148"/>
      <c r="J573" s="148"/>
      <c r="K573" s="27"/>
      <c r="L573" s="27"/>
      <c r="P573" s="27"/>
      <c r="Q573" s="27"/>
      <c r="V573" s="27"/>
      <c r="W573" s="142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42"/>
      <c r="C574" s="27"/>
      <c r="D574" s="27"/>
      <c r="E574" s="27"/>
      <c r="H574" s="27"/>
      <c r="I574" s="148"/>
      <c r="J574" s="148"/>
      <c r="K574" s="27"/>
      <c r="L574" s="27"/>
      <c r="P574" s="27"/>
      <c r="Q574" s="27"/>
      <c r="V574" s="27"/>
      <c r="W574" s="142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42"/>
      <c r="C575" s="27"/>
      <c r="D575" s="27"/>
      <c r="E575" s="27"/>
      <c r="H575" s="27"/>
      <c r="I575" s="148"/>
      <c r="J575" s="148"/>
      <c r="K575" s="27"/>
      <c r="L575" s="27"/>
      <c r="P575" s="27"/>
      <c r="Q575" s="27"/>
      <c r="V575" s="27"/>
      <c r="W575" s="142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8"/>
      <c r="K576" s="148"/>
      <c r="L576" s="27"/>
      <c r="M576" s="149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8"/>
      <c r="K577" s="148"/>
      <c r="L577" s="27"/>
      <c r="M577" s="149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8"/>
      <c r="K578" s="148"/>
      <c r="L578" s="27"/>
      <c r="M578" s="149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8"/>
      <c r="K579" s="148"/>
      <c r="L579" s="27"/>
      <c r="M579" s="149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8"/>
      <c r="K580" s="148"/>
      <c r="L580" s="27"/>
      <c r="M580" s="149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8"/>
      <c r="K581" s="148"/>
      <c r="L581" s="27"/>
      <c r="M581" s="149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8"/>
      <c r="K582" s="148"/>
      <c r="L582" s="27"/>
      <c r="M582" s="149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8"/>
      <c r="J583" s="148"/>
      <c r="K583" s="27"/>
      <c r="L583" s="27"/>
      <c r="M583" s="160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8"/>
      <c r="J584" s="148"/>
      <c r="K584" s="27"/>
      <c r="L584" s="27"/>
      <c r="M584" s="160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8"/>
      <c r="J585" s="148"/>
      <c r="K585" s="27"/>
      <c r="L585" s="27"/>
      <c r="M585" s="161"/>
      <c r="O585" s="27"/>
      <c r="P585" s="27"/>
      <c r="Q585" s="27"/>
      <c r="W585" s="27"/>
      <c r="X585" s="27"/>
      <c r="Z585" s="27"/>
      <c r="AA585" s="27"/>
      <c r="AC585" s="27"/>
      <c r="AD585" s="27"/>
      <c r="AI585" s="142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8"/>
      <c r="J586" s="148"/>
      <c r="K586" s="27"/>
      <c r="L586" s="27"/>
      <c r="M586" s="160"/>
      <c r="O586" s="27"/>
      <c r="P586" s="27"/>
      <c r="Q586" s="27"/>
      <c r="W586" s="27"/>
      <c r="X586" s="27"/>
      <c r="Z586" s="27"/>
      <c r="AA586" s="27"/>
      <c r="AC586" s="27"/>
      <c r="AD586" s="27"/>
      <c r="AI586" s="142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8"/>
      <c r="J587" s="148"/>
      <c r="K587" s="27"/>
      <c r="L587" s="27"/>
      <c r="M587" s="160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8"/>
      <c r="K588" s="27"/>
      <c r="L588" s="27"/>
      <c r="M588" s="160"/>
      <c r="N588" s="142"/>
      <c r="O588" s="16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8"/>
      <c r="K589" s="27"/>
      <c r="L589" s="27"/>
      <c r="M589" s="160"/>
      <c r="N589" s="142"/>
      <c r="O589" s="16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8"/>
      <c r="K590" s="27"/>
      <c r="L590" s="27"/>
      <c r="M590" s="160"/>
      <c r="N590" s="142"/>
      <c r="O590" s="16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8"/>
      <c r="K591" s="27"/>
      <c r="L591" s="27"/>
      <c r="M591" s="160"/>
      <c r="N591" s="142"/>
      <c r="O591" s="16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8"/>
      <c r="K592" s="27"/>
      <c r="L592" s="27"/>
      <c r="M592" s="160"/>
      <c r="N592" s="142"/>
      <c r="O592" s="16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8"/>
      <c r="K593" s="27"/>
      <c r="L593" s="27"/>
      <c r="M593" s="160"/>
      <c r="N593" s="142"/>
      <c r="O593" s="16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8"/>
      <c r="K594" s="27"/>
      <c r="L594" s="27"/>
      <c r="M594" s="160"/>
      <c r="N594" s="142"/>
      <c r="O594" s="16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8"/>
      <c r="K595" s="27"/>
      <c r="L595" s="27"/>
      <c r="M595" s="160"/>
      <c r="N595" s="142"/>
      <c r="O595" s="16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8"/>
      <c r="K596" s="27"/>
      <c r="L596" s="27"/>
      <c r="M596" s="160"/>
      <c r="N596" s="142"/>
      <c r="O596" s="16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8"/>
      <c r="K597" s="27"/>
      <c r="L597" s="27"/>
      <c r="M597" s="160"/>
      <c r="N597" s="142"/>
      <c r="O597" s="16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8"/>
      <c r="K598" s="27"/>
      <c r="L598" s="27"/>
      <c r="M598" s="160"/>
      <c r="N598" s="142"/>
      <c r="O598" s="16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8"/>
      <c r="K599" s="27"/>
      <c r="L599" s="27"/>
      <c r="M599" s="160"/>
      <c r="N599" s="142"/>
      <c r="O599" s="16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8"/>
      <c r="K600" s="27"/>
      <c r="L600" s="27"/>
      <c r="M600" s="160"/>
      <c r="N600" s="142"/>
      <c r="O600" s="16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8"/>
      <c r="K601" s="27"/>
      <c r="L601" s="27"/>
      <c r="M601" s="160"/>
      <c r="N601" s="142"/>
      <c r="O601" s="16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8"/>
      <c r="K602" s="27"/>
      <c r="L602" s="27"/>
      <c r="M602" s="160"/>
      <c r="N602" s="142"/>
      <c r="O602" s="16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8"/>
      <c r="K603" s="27"/>
      <c r="L603" s="27"/>
      <c r="M603" s="160"/>
      <c r="N603" s="142"/>
      <c r="O603" s="16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8"/>
      <c r="K604" s="27"/>
      <c r="L604" s="27"/>
      <c r="M604" s="160"/>
      <c r="N604" s="142"/>
      <c r="O604" s="16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8"/>
      <c r="K605" s="27"/>
      <c r="L605" s="27"/>
      <c r="M605" s="160"/>
      <c r="N605" s="142"/>
      <c r="O605" s="16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8"/>
      <c r="K606" s="27"/>
      <c r="L606" s="27"/>
      <c r="M606" s="160"/>
      <c r="N606" s="142"/>
      <c r="O606" s="16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8"/>
      <c r="K607" s="27"/>
      <c r="L607" s="27"/>
      <c r="M607" s="160"/>
      <c r="N607" s="142"/>
      <c r="O607" s="16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8"/>
      <c r="K608" s="27"/>
      <c r="L608" s="27"/>
      <c r="M608" s="161"/>
      <c r="N608" s="142"/>
      <c r="O608" s="16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8"/>
      <c r="K609" s="27"/>
      <c r="L609" s="27"/>
      <c r="M609" s="161"/>
      <c r="N609" s="142"/>
      <c r="O609" s="16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8"/>
      <c r="K610" s="27"/>
      <c r="L610" s="27"/>
      <c r="M610" s="161"/>
      <c r="N610" s="142"/>
      <c r="O610" s="16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8"/>
      <c r="K611" s="27"/>
      <c r="L611" s="27"/>
      <c r="M611" s="161"/>
      <c r="N611" s="142"/>
      <c r="O611" s="16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8"/>
      <c r="K612" s="27"/>
      <c r="L612" s="27"/>
      <c r="M612" s="161"/>
      <c r="N612" s="142"/>
      <c r="O612" s="16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8"/>
      <c r="K613" s="27"/>
      <c r="L613" s="27"/>
      <c r="M613" s="161"/>
      <c r="N613" s="142"/>
      <c r="O613" s="16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8"/>
      <c r="K614" s="27"/>
      <c r="L614" s="27"/>
      <c r="M614" s="161"/>
      <c r="N614" s="142"/>
      <c r="O614" s="16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8"/>
      <c r="K615" s="27"/>
      <c r="L615" s="27"/>
      <c r="M615" s="161"/>
      <c r="N615" s="142"/>
      <c r="O615" s="162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8"/>
      <c r="K616" s="27"/>
      <c r="L616" s="27"/>
      <c r="M616" s="161"/>
      <c r="N616" s="142"/>
      <c r="O616" s="162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8"/>
      <c r="K617" s="27"/>
      <c r="L617" s="27"/>
      <c r="M617" s="161"/>
      <c r="N617" s="142"/>
      <c r="O617" s="162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8"/>
      <c r="K618" s="27"/>
      <c r="L618" s="27"/>
      <c r="M618" s="160"/>
      <c r="N618" s="142"/>
      <c r="O618" s="162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8"/>
      <c r="K619" s="27"/>
      <c r="L619" s="27"/>
      <c r="M619" s="160"/>
      <c r="N619" s="142"/>
      <c r="O619" s="162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8"/>
      <c r="K620" s="27"/>
      <c r="L620" s="27"/>
      <c r="M620" s="160"/>
      <c r="N620" s="142"/>
      <c r="O620" s="162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8"/>
      <c r="K621" s="27"/>
      <c r="L621" s="27"/>
      <c r="M621" s="160"/>
      <c r="N621" s="142"/>
      <c r="O621" s="162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8"/>
      <c r="K622" s="27"/>
      <c r="L622" s="27"/>
      <c r="M622" s="160"/>
      <c r="N622" s="142"/>
      <c r="O622" s="16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8"/>
      <c r="K623" s="27"/>
      <c r="L623" s="27"/>
      <c r="M623" s="160"/>
      <c r="N623" s="142"/>
      <c r="O623" s="16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8"/>
      <c r="K624" s="27"/>
      <c r="L624" s="27"/>
      <c r="M624" s="160"/>
      <c r="N624" s="142"/>
      <c r="O624" s="16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8"/>
      <c r="K625" s="27"/>
      <c r="L625" s="27"/>
      <c r="M625" s="160"/>
      <c r="N625" s="142"/>
      <c r="O625" s="16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8"/>
      <c r="K626" s="27"/>
      <c r="L626" s="27"/>
      <c r="M626" s="160"/>
      <c r="N626" s="142"/>
      <c r="O626" s="16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8"/>
      <c r="K627" s="27"/>
      <c r="L627" s="27"/>
      <c r="M627" s="160"/>
      <c r="N627" s="142"/>
      <c r="O627" s="16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8"/>
      <c r="K628" s="27"/>
      <c r="M628" s="160"/>
      <c r="N628" s="142"/>
      <c r="O628" s="16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8"/>
      <c r="K629" s="27"/>
      <c r="M629" s="160"/>
      <c r="N629" s="142"/>
      <c r="O629" s="16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8"/>
      <c r="K630" s="27"/>
      <c r="M630" s="160"/>
      <c r="N630" s="142"/>
      <c r="O630" s="16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8"/>
      <c r="K631" s="27"/>
      <c r="M631" s="160"/>
      <c r="N631" s="142"/>
      <c r="O631" s="16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8"/>
      <c r="K632" s="27"/>
      <c r="M632" s="160"/>
      <c r="N632" s="142"/>
      <c r="O632" s="16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8"/>
      <c r="K633" s="27"/>
      <c r="M633" s="160"/>
      <c r="N633" s="142"/>
      <c r="O633" s="16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8"/>
      <c r="K634" s="27"/>
      <c r="M634" s="160"/>
      <c r="N634" s="142"/>
      <c r="O634" s="16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8"/>
      <c r="K635" s="27"/>
      <c r="M635" s="160"/>
      <c r="N635" s="142"/>
      <c r="O635" s="16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8"/>
      <c r="K636" s="27"/>
      <c r="M636" s="160"/>
      <c r="N636" s="142"/>
      <c r="O636" s="16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8"/>
      <c r="K637" s="27"/>
      <c r="M637" s="160"/>
      <c r="N637" s="142"/>
      <c r="O637" s="16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8"/>
      <c r="K638" s="27"/>
      <c r="L638" s="27"/>
      <c r="M638" s="162"/>
      <c r="O638" s="146"/>
      <c r="P638" s="27"/>
      <c r="Q638" s="27"/>
      <c r="V638" s="27"/>
      <c r="W638" s="142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8"/>
      <c r="K639" s="27"/>
      <c r="L639" s="27"/>
      <c r="M639" s="162"/>
      <c r="O639" s="146"/>
      <c r="P639" s="27"/>
      <c r="Q639" s="27"/>
      <c r="V639" s="27"/>
      <c r="W639" s="142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8"/>
      <c r="K640" s="27"/>
      <c r="L640" s="27"/>
      <c r="M640" s="162"/>
      <c r="O640" s="146"/>
      <c r="P640" s="27"/>
      <c r="Q640" s="27"/>
      <c r="V640" s="27"/>
      <c r="W640" s="142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8"/>
      <c r="K641" s="27"/>
      <c r="L641" s="27"/>
      <c r="M641" s="162"/>
      <c r="O641" s="146"/>
      <c r="P641" s="27"/>
      <c r="Q641" s="27"/>
      <c r="V641" s="27"/>
      <c r="W641" s="142"/>
      <c r="X641" s="27"/>
      <c r="Z641" s="27"/>
      <c r="AA641" s="27"/>
      <c r="AB641" s="27"/>
      <c r="AC641" s="27"/>
      <c r="AD641" s="27"/>
      <c r="AJ641" s="27"/>
      <c r="AK641" s="27"/>
    </row>
    <row r="642" spans="2:42" s="145" customFormat="1">
      <c r="B642" s="163"/>
      <c r="C642" s="163"/>
      <c r="D642" s="163"/>
      <c r="E642" s="27"/>
      <c r="H642" s="27"/>
      <c r="I642" s="163"/>
      <c r="J642" s="164"/>
      <c r="K642" s="163"/>
      <c r="L642" s="163"/>
      <c r="M642" s="165"/>
      <c r="O642" s="166"/>
      <c r="P642" s="163"/>
      <c r="Q642" s="163"/>
      <c r="V642" s="163"/>
      <c r="W642" s="167"/>
      <c r="X642" s="163"/>
      <c r="Z642" s="163"/>
      <c r="AA642" s="163"/>
      <c r="AB642" s="167"/>
      <c r="AC642" s="163"/>
      <c r="AD642" s="163"/>
      <c r="AJ642" s="163"/>
      <c r="AK642" s="163"/>
      <c r="AN642" s="167"/>
    </row>
    <row r="643" spans="2:42" s="145" customFormat="1">
      <c r="B643" s="163"/>
      <c r="C643" s="163"/>
      <c r="D643" s="163"/>
      <c r="E643" s="27"/>
      <c r="H643" s="27"/>
      <c r="I643" s="163"/>
      <c r="J643" s="164"/>
      <c r="K643" s="163"/>
      <c r="L643" s="163"/>
      <c r="M643" s="165"/>
      <c r="O643" s="166"/>
      <c r="P643" s="163"/>
      <c r="Q643" s="163"/>
      <c r="V643" s="163"/>
      <c r="W643" s="167"/>
      <c r="X643" s="163"/>
      <c r="Z643" s="163"/>
      <c r="AA643" s="163"/>
      <c r="AB643" s="167"/>
      <c r="AC643" s="163"/>
      <c r="AD643" s="163"/>
      <c r="AJ643" s="163"/>
      <c r="AK643" s="163"/>
      <c r="AN643" s="167"/>
    </row>
    <row r="644" spans="2:42" s="145" customFormat="1">
      <c r="B644" s="163"/>
      <c r="C644" s="163"/>
      <c r="D644" s="163"/>
      <c r="E644" s="27"/>
      <c r="H644" s="27"/>
      <c r="I644" s="163"/>
      <c r="J644" s="164"/>
      <c r="K644" s="163"/>
      <c r="L644" s="163"/>
      <c r="M644" s="165"/>
      <c r="O644" s="166"/>
      <c r="P644" s="163"/>
      <c r="Q644" s="163"/>
      <c r="V644" s="163"/>
      <c r="W644" s="167"/>
      <c r="X644" s="163"/>
      <c r="Z644" s="163"/>
      <c r="AA644" s="163"/>
      <c r="AB644" s="167"/>
      <c r="AC644" s="163"/>
      <c r="AD644" s="163"/>
      <c r="AJ644" s="163"/>
      <c r="AK644" s="163"/>
      <c r="AN644" s="167"/>
    </row>
    <row r="645" spans="2:42" s="145" customFormat="1">
      <c r="B645" s="163"/>
      <c r="C645" s="163"/>
      <c r="D645" s="163"/>
      <c r="E645" s="27"/>
      <c r="H645" s="27"/>
      <c r="I645" s="163"/>
      <c r="J645" s="164"/>
      <c r="K645" s="163"/>
      <c r="L645" s="163"/>
      <c r="M645" s="165"/>
      <c r="O645" s="166"/>
      <c r="P645" s="163"/>
      <c r="Q645" s="163"/>
      <c r="V645" s="163"/>
      <c r="W645" s="167"/>
      <c r="X645" s="163"/>
      <c r="Z645" s="163"/>
      <c r="AA645" s="163"/>
      <c r="AB645" s="167"/>
      <c r="AC645" s="163"/>
      <c r="AD645" s="163"/>
      <c r="AJ645" s="163"/>
      <c r="AK645" s="163"/>
      <c r="AN645" s="167"/>
    </row>
    <row r="646" spans="2:42">
      <c r="B646" s="27"/>
      <c r="C646" s="27"/>
      <c r="D646" s="27"/>
      <c r="E646" s="27"/>
      <c r="H646" s="27"/>
      <c r="I646" s="27"/>
      <c r="J646" s="148"/>
      <c r="K646" s="27"/>
      <c r="L646" s="27"/>
      <c r="M646" s="162"/>
      <c r="O646" s="146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8"/>
      <c r="K647" s="27"/>
      <c r="L647" s="27"/>
      <c r="M647" s="162"/>
      <c r="O647" s="146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8"/>
      <c r="K648" s="27"/>
      <c r="L648" s="27"/>
      <c r="M648" s="162"/>
      <c r="O648" s="146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8"/>
      <c r="K649" s="27"/>
      <c r="L649" s="27"/>
      <c r="M649" s="162"/>
      <c r="O649" s="146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45" customFormat="1">
      <c r="B650" s="163"/>
      <c r="C650" s="163"/>
      <c r="D650" s="163"/>
      <c r="E650" s="27"/>
      <c r="H650" s="27"/>
      <c r="I650" s="163"/>
      <c r="J650" s="164"/>
      <c r="K650" s="163"/>
      <c r="L650" s="163"/>
      <c r="M650" s="165"/>
      <c r="O650" s="166"/>
      <c r="P650" s="163"/>
      <c r="Q650" s="163"/>
      <c r="W650" s="163"/>
      <c r="X650" s="163"/>
      <c r="Z650" s="163"/>
      <c r="AA650" s="163"/>
      <c r="AB650" s="167"/>
      <c r="AC650" s="163"/>
      <c r="AD650" s="163"/>
      <c r="AJ650" s="163"/>
      <c r="AK650" s="163"/>
      <c r="AN650" s="167"/>
      <c r="AO650" s="163"/>
      <c r="AP650" s="163"/>
    </row>
    <row r="651" spans="2:42" s="145" customFormat="1">
      <c r="B651" s="163"/>
      <c r="C651" s="163"/>
      <c r="D651" s="163"/>
      <c r="E651" s="27"/>
      <c r="H651" s="27"/>
      <c r="I651" s="163"/>
      <c r="J651" s="164"/>
      <c r="K651" s="163"/>
      <c r="L651" s="163"/>
      <c r="M651" s="165"/>
      <c r="O651" s="166"/>
      <c r="P651" s="163"/>
      <c r="Q651" s="163"/>
      <c r="W651" s="163"/>
      <c r="X651" s="163"/>
      <c r="Z651" s="163"/>
      <c r="AA651" s="163"/>
      <c r="AB651" s="167"/>
      <c r="AC651" s="163"/>
      <c r="AD651" s="163"/>
      <c r="AJ651" s="163"/>
      <c r="AK651" s="163"/>
      <c r="AN651" s="167"/>
      <c r="AO651" s="163"/>
      <c r="AP651" s="163"/>
    </row>
    <row r="652" spans="2:42" s="145" customFormat="1">
      <c r="B652" s="163"/>
      <c r="C652" s="163"/>
      <c r="D652" s="163"/>
      <c r="E652" s="27"/>
      <c r="H652" s="27"/>
      <c r="I652" s="163"/>
      <c r="J652" s="164"/>
      <c r="K652" s="163"/>
      <c r="L652" s="163"/>
      <c r="M652" s="165"/>
      <c r="O652" s="166"/>
      <c r="P652" s="163"/>
      <c r="Q652" s="163"/>
      <c r="W652" s="163"/>
      <c r="X652" s="163"/>
      <c r="Z652" s="163"/>
      <c r="AA652" s="163"/>
      <c r="AB652" s="167"/>
      <c r="AC652" s="163"/>
      <c r="AD652" s="163"/>
      <c r="AJ652" s="163"/>
      <c r="AK652" s="163"/>
      <c r="AN652" s="167"/>
      <c r="AO652" s="163"/>
      <c r="AP652" s="163"/>
    </row>
    <row r="653" spans="2:42" s="145" customFormat="1">
      <c r="B653" s="163"/>
      <c r="C653" s="163"/>
      <c r="D653" s="163"/>
      <c r="E653" s="27"/>
      <c r="H653" s="27"/>
      <c r="I653" s="163"/>
      <c r="J653" s="164"/>
      <c r="K653" s="163"/>
      <c r="L653" s="163"/>
      <c r="M653" s="165"/>
      <c r="O653" s="166"/>
      <c r="P653" s="163"/>
      <c r="Q653" s="163"/>
      <c r="W653" s="163"/>
      <c r="X653" s="163"/>
      <c r="Z653" s="163"/>
      <c r="AA653" s="163"/>
      <c r="AB653" s="167"/>
      <c r="AC653" s="163"/>
      <c r="AD653" s="163"/>
      <c r="AJ653" s="163"/>
      <c r="AK653" s="163"/>
      <c r="AN653" s="167"/>
      <c r="AO653" s="163"/>
      <c r="AP653" s="163"/>
    </row>
    <row r="654" spans="2:42">
      <c r="B654" s="27"/>
      <c r="C654" s="27"/>
      <c r="D654" s="27"/>
      <c r="E654" s="27"/>
      <c r="H654" s="27"/>
      <c r="I654" s="27"/>
      <c r="J654" s="148"/>
      <c r="K654" s="27"/>
      <c r="L654" s="27"/>
      <c r="M654" s="149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8"/>
      <c r="K655" s="27"/>
      <c r="L655" s="27"/>
      <c r="M655" s="149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8"/>
      <c r="K656" s="27"/>
      <c r="L656" s="27"/>
      <c r="M656" s="149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8"/>
      <c r="K657" s="27"/>
      <c r="L657" s="27"/>
      <c r="M657" s="149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8"/>
      <c r="K658" s="27"/>
      <c r="L658" s="27"/>
      <c r="M658" s="149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8"/>
      <c r="K659" s="27"/>
      <c r="L659" s="27"/>
      <c r="M659" s="149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8"/>
      <c r="K660" s="27"/>
      <c r="L660" s="27"/>
      <c r="M660" s="149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8"/>
      <c r="K661" s="27"/>
      <c r="L661" s="27"/>
      <c r="M661" s="149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8"/>
      <c r="K662" s="27"/>
      <c r="L662" s="27"/>
      <c r="M662" s="149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8"/>
      <c r="K663" s="27"/>
      <c r="L663" s="27"/>
      <c r="M663" s="149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8"/>
      <c r="K664" s="27"/>
      <c r="L664" s="27"/>
      <c r="M664" s="149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8"/>
      <c r="K665" s="27"/>
      <c r="L665" s="27"/>
      <c r="M665" s="149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8"/>
      <c r="K666" s="27"/>
      <c r="L666" s="27"/>
      <c r="M666" s="149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8"/>
      <c r="K667" s="27"/>
      <c r="L667" s="27"/>
      <c r="M667" s="149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8"/>
      <c r="C668" s="27"/>
      <c r="D668" s="27"/>
      <c r="E668" s="27"/>
      <c r="H668" s="27"/>
      <c r="I668" s="148"/>
      <c r="J668" s="148"/>
      <c r="K668" s="27"/>
      <c r="L668" s="27"/>
      <c r="M668" s="149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8"/>
      <c r="K669" s="27"/>
      <c r="L669" s="27"/>
      <c r="O669" s="146"/>
      <c r="P669" s="27"/>
      <c r="Q669" s="27"/>
      <c r="V669" s="27"/>
      <c r="W669" s="142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8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8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8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8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8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8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8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8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8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8"/>
      <c r="K679" s="27"/>
      <c r="L679" s="27"/>
      <c r="P679" s="27"/>
      <c r="Q679" s="27"/>
      <c r="R679" s="142"/>
      <c r="S679" s="142"/>
      <c r="T679" s="142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8"/>
      <c r="K680" s="27"/>
      <c r="L680" s="27"/>
      <c r="P680" s="27"/>
      <c r="Q680" s="27"/>
      <c r="R680" s="142"/>
      <c r="S680" s="142"/>
      <c r="T680" s="142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8"/>
      <c r="K681" s="27"/>
      <c r="L681" s="27"/>
      <c r="P681" s="27"/>
      <c r="Q681" s="27"/>
      <c r="R681" s="142"/>
      <c r="S681" s="142"/>
      <c r="T681" s="142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8"/>
      <c r="K682" s="27"/>
      <c r="L682" s="27"/>
      <c r="P682" s="27"/>
      <c r="Q682" s="27"/>
      <c r="R682" s="142"/>
      <c r="S682" s="142"/>
      <c r="T682" s="142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8"/>
      <c r="K683" s="27"/>
      <c r="L683" s="27"/>
      <c r="P683" s="27"/>
      <c r="Q683" s="27"/>
      <c r="R683" s="142"/>
      <c r="S683" s="142"/>
      <c r="T683" s="142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8"/>
      <c r="K684" s="27"/>
      <c r="L684" s="27"/>
      <c r="P684" s="27"/>
      <c r="Q684" s="27"/>
      <c r="R684" s="142"/>
      <c r="S684" s="142"/>
      <c r="T684" s="142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8"/>
      <c r="K685" s="27"/>
      <c r="L685" s="27"/>
      <c r="P685" s="27"/>
      <c r="Q685" s="27"/>
      <c r="R685" s="142"/>
      <c r="S685" s="142"/>
      <c r="T685" s="142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8"/>
      <c r="K686" s="27"/>
      <c r="L686" s="27"/>
      <c r="P686" s="27"/>
      <c r="Q686" s="27"/>
      <c r="R686" s="142"/>
      <c r="S686" s="142"/>
      <c r="T686" s="142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8"/>
      <c r="K687" s="27"/>
      <c r="L687" s="27"/>
      <c r="P687" s="27"/>
      <c r="Q687" s="27"/>
      <c r="R687" s="142"/>
      <c r="S687" s="142"/>
      <c r="T687" s="142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6"/>
      <c r="J688" s="148"/>
      <c r="K688" s="27"/>
      <c r="M688" s="156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6"/>
      <c r="J689" s="148"/>
      <c r="K689" s="27"/>
      <c r="M689" s="156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6"/>
      <c r="J690" s="148"/>
      <c r="K690" s="27"/>
      <c r="M690" s="156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6"/>
      <c r="J691" s="148"/>
      <c r="K691" s="27"/>
      <c r="M691" s="156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6"/>
      <c r="J692" s="148"/>
      <c r="K692" s="27"/>
      <c r="M692" s="156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6"/>
      <c r="J693" s="148"/>
      <c r="K693" s="27"/>
      <c r="M693" s="156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6"/>
      <c r="J694" s="148"/>
      <c r="K694" s="27"/>
      <c r="M694" s="156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6"/>
      <c r="J695" s="148"/>
      <c r="K695" s="27"/>
      <c r="M695" s="156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8"/>
      <c r="K696" s="27"/>
    </row>
    <row r="697" spans="2:41">
      <c r="B697" s="27"/>
      <c r="C697" s="27"/>
      <c r="D697" s="27"/>
      <c r="E697" s="27"/>
      <c r="H697" s="27"/>
      <c r="J697" s="148"/>
      <c r="K697" s="142"/>
    </row>
    <row r="698" spans="2:41">
      <c r="E698" s="27"/>
      <c r="J698" s="148"/>
    </row>
    <row r="699" spans="2:41">
      <c r="E699" s="27"/>
      <c r="J699" s="148"/>
    </row>
    <row r="700" spans="2:41">
      <c r="E700" s="27"/>
      <c r="J700" s="148"/>
    </row>
    <row r="701" spans="2:41">
      <c r="E701" s="27"/>
      <c r="J701" s="148"/>
    </row>
    <row r="702" spans="2:41">
      <c r="E702" s="27"/>
      <c r="J702" s="148"/>
    </row>
    <row r="703" spans="2:41">
      <c r="E703" s="27"/>
      <c r="J703" s="148"/>
    </row>
    <row r="704" spans="2:41">
      <c r="E704" s="27"/>
      <c r="J704" s="148"/>
    </row>
    <row r="705" spans="5:10">
      <c r="E705" s="27"/>
      <c r="J705" s="148"/>
    </row>
    <row r="706" spans="5:10">
      <c r="E706" s="27"/>
      <c r="J706" s="148"/>
    </row>
    <row r="707" spans="5:10">
      <c r="E707" s="27"/>
      <c r="J707" s="148"/>
    </row>
    <row r="708" spans="5:10">
      <c r="E708" s="27"/>
      <c r="J708" s="148"/>
    </row>
    <row r="709" spans="5:10">
      <c r="E709" s="27"/>
      <c r="J709" s="148"/>
    </row>
    <row r="710" spans="5:10">
      <c r="E710" s="27"/>
      <c r="J710" s="148"/>
    </row>
    <row r="711" spans="5:10">
      <c r="E711" s="27"/>
      <c r="J711" s="148"/>
    </row>
    <row r="712" spans="5:10">
      <c r="E712" s="27"/>
      <c r="J712" s="148"/>
    </row>
    <row r="713" spans="5:10">
      <c r="E713" s="27"/>
      <c r="J713" s="148"/>
    </row>
    <row r="714" spans="5:10">
      <c r="E714" s="27"/>
      <c r="J714" s="148"/>
    </row>
    <row r="715" spans="5:10">
      <c r="E715" s="27"/>
      <c r="J715" s="148"/>
    </row>
    <row r="716" spans="5:10">
      <c r="E716" s="27"/>
      <c r="J716" s="148"/>
    </row>
    <row r="717" spans="5:10">
      <c r="E717" s="27"/>
      <c r="J717" s="148"/>
    </row>
    <row r="718" spans="5:10">
      <c r="E718" s="27"/>
      <c r="J718" s="148"/>
    </row>
    <row r="719" spans="5:10">
      <c r="E719" s="27"/>
      <c r="J719" s="148"/>
    </row>
    <row r="720" spans="5:10">
      <c r="E720" s="27"/>
      <c r="J720" s="148"/>
    </row>
    <row r="721" spans="5:10">
      <c r="E721" s="27"/>
      <c r="J721" s="148"/>
    </row>
    <row r="722" spans="5:10">
      <c r="E722" s="27"/>
      <c r="J722" s="148"/>
    </row>
    <row r="723" spans="5:10">
      <c r="E723" s="27"/>
      <c r="J723" s="148"/>
    </row>
    <row r="724" spans="5:10">
      <c r="E724" s="27"/>
      <c r="J724" s="148"/>
    </row>
    <row r="725" spans="5:10">
      <c r="E725" s="27"/>
      <c r="J725" s="148"/>
    </row>
    <row r="726" spans="5:10">
      <c r="E726" s="27"/>
      <c r="J726" s="148"/>
    </row>
    <row r="727" spans="5:10">
      <c r="E727" s="27"/>
      <c r="J727" s="148"/>
    </row>
    <row r="728" spans="5:10">
      <c r="E728" s="27"/>
      <c r="J728" s="148"/>
    </row>
    <row r="729" spans="5:10">
      <c r="E729" s="27"/>
      <c r="J729" s="148"/>
    </row>
    <row r="730" spans="5:10">
      <c r="E730" s="27"/>
      <c r="J730" s="148"/>
    </row>
    <row r="731" spans="5:10">
      <c r="E731" s="27"/>
      <c r="J731" s="148"/>
    </row>
    <row r="732" spans="5:10">
      <c r="E732" s="27"/>
      <c r="J732" s="148"/>
    </row>
    <row r="733" spans="5:10">
      <c r="E733" s="27"/>
      <c r="J733" s="148"/>
    </row>
    <row r="734" spans="5:10">
      <c r="E734" s="27"/>
      <c r="J734" s="148"/>
    </row>
    <row r="735" spans="5:10">
      <c r="E735" s="27"/>
      <c r="J735" s="148"/>
    </row>
    <row r="736" spans="5:10">
      <c r="E736" s="27"/>
    </row>
    <row r="737" spans="5:5">
      <c r="E737" s="27"/>
    </row>
  </sheetData>
  <autoFilter ref="A1:AP735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tabSelected="1" workbookViewId="0">
      <pane xSplit="5" ySplit="2" topLeftCell="F183" activePane="bottomRight" state="frozen"/>
      <selection pane="topRight"/>
      <selection pane="bottomLeft"/>
      <selection pane="bottomRight" activeCell="U200" sqref="U200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5" t="s">
        <v>107</v>
      </c>
      <c r="G1" s="175"/>
      <c r="H1" s="175"/>
      <c r="I1" s="175"/>
      <c r="J1" s="175"/>
      <c r="K1" s="175"/>
      <c r="L1" s="175"/>
      <c r="M1" s="175"/>
      <c r="N1" s="175"/>
      <c r="O1" s="175"/>
      <c r="P1" s="176" t="s">
        <v>108</v>
      </c>
      <c r="Q1" s="177"/>
      <c r="R1" s="177"/>
      <c r="S1" s="178"/>
      <c r="T1" s="179" t="s">
        <v>7</v>
      </c>
      <c r="U1" s="17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71">
        <v>5000</v>
      </c>
      <c r="W78" s="172">
        <v>4000</v>
      </c>
      <c r="X78" s="172"/>
      <c r="Y78" s="172"/>
      <c r="Z78" s="171">
        <v>100000</v>
      </c>
      <c r="AA78" s="172"/>
      <c r="AB78" s="172">
        <v>2000</v>
      </c>
      <c r="AC78" s="172"/>
      <c r="AD78" s="172"/>
      <c r="AE78" s="172"/>
      <c r="AF78" s="172"/>
      <c r="AG78" s="173"/>
      <c r="AH78" s="172"/>
      <c r="AI78" s="172"/>
      <c r="AJ78" s="19">
        <v>9</v>
      </c>
      <c r="AK78" s="19">
        <v>8</v>
      </c>
      <c r="AL78" s="113"/>
      <c r="BC78" s="114"/>
      <c r="BD78" s="114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71">
        <v>7500</v>
      </c>
      <c r="W79" s="172">
        <v>6000</v>
      </c>
      <c r="X79" s="172"/>
      <c r="Y79" s="172"/>
      <c r="Z79" s="171">
        <v>150000</v>
      </c>
      <c r="AA79" s="172"/>
      <c r="AB79" s="172">
        <v>3000</v>
      </c>
      <c r="AC79" s="172"/>
      <c r="AD79" s="172"/>
      <c r="AE79" s="172"/>
      <c r="AF79" s="172"/>
      <c r="AG79" s="173"/>
      <c r="AH79" s="172"/>
      <c r="AI79" s="172"/>
      <c r="AJ79" s="19">
        <v>9</v>
      </c>
      <c r="AK79" s="19">
        <v>8</v>
      </c>
      <c r="AL79" s="113"/>
      <c r="BC79" s="114"/>
      <c r="BD79" s="114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71">
        <v>12500</v>
      </c>
      <c r="W80" s="172">
        <v>10000</v>
      </c>
      <c r="X80" s="172"/>
      <c r="Y80" s="172"/>
      <c r="Z80" s="171">
        <v>250000</v>
      </c>
      <c r="AA80" s="172"/>
      <c r="AB80" s="172">
        <v>5000</v>
      </c>
      <c r="AC80" s="172"/>
      <c r="AD80" s="172"/>
      <c r="AE80" s="172"/>
      <c r="AF80" s="172"/>
      <c r="AG80" s="173"/>
      <c r="AH80" s="172"/>
      <c r="AI80" s="172"/>
      <c r="AJ80" s="19">
        <v>9</v>
      </c>
      <c r="AK80" s="19">
        <v>8</v>
      </c>
      <c r="AL80" s="113"/>
      <c r="BC80" s="114"/>
      <c r="BD80" s="114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71">
        <v>21250</v>
      </c>
      <c r="W81" s="172">
        <v>17000</v>
      </c>
      <c r="X81" s="172"/>
      <c r="Y81" s="172"/>
      <c r="Z81" s="171">
        <v>425000</v>
      </c>
      <c r="AA81" s="172"/>
      <c r="AB81" s="172">
        <v>8500</v>
      </c>
      <c r="AC81" s="172"/>
      <c r="AD81" s="172"/>
      <c r="AE81" s="172"/>
      <c r="AF81" s="172"/>
      <c r="AG81" s="173"/>
      <c r="AH81" s="172"/>
      <c r="AI81" s="172"/>
      <c r="AJ81" s="172">
        <v>18</v>
      </c>
      <c r="AK81" s="172">
        <v>15</v>
      </c>
      <c r="AL81" s="113"/>
      <c r="BC81" s="114"/>
      <c r="BD81" s="114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71">
        <v>33750</v>
      </c>
      <c r="W82" s="172">
        <v>27000</v>
      </c>
      <c r="X82" s="172"/>
      <c r="Y82" s="172"/>
      <c r="Z82" s="171">
        <v>675000</v>
      </c>
      <c r="AA82" s="172"/>
      <c r="AB82" s="172">
        <v>13500</v>
      </c>
      <c r="AC82" s="172"/>
      <c r="AD82" s="172"/>
      <c r="AE82" s="172"/>
      <c r="AF82" s="172"/>
      <c r="AG82" s="173"/>
      <c r="AH82" s="172"/>
      <c r="AI82" s="172"/>
      <c r="AJ82" s="172">
        <v>18</v>
      </c>
      <c r="AK82" s="172">
        <v>15</v>
      </c>
      <c r="AL82" s="113"/>
      <c r="BC82" s="114"/>
      <c r="BD82" s="114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71">
        <v>50000</v>
      </c>
      <c r="W83" s="172">
        <v>40000</v>
      </c>
      <c r="X83" s="172"/>
      <c r="Y83" s="172"/>
      <c r="Z83" s="171">
        <v>1000000</v>
      </c>
      <c r="AA83" s="172"/>
      <c r="AB83" s="172">
        <v>20000</v>
      </c>
      <c r="AC83" s="172"/>
      <c r="AD83" s="172"/>
      <c r="AE83" s="172"/>
      <c r="AF83" s="172"/>
      <c r="AG83" s="173"/>
      <c r="AH83" s="172"/>
      <c r="AI83" s="172"/>
      <c r="AJ83" s="172">
        <v>18</v>
      </c>
      <c r="AK83" s="172">
        <v>15</v>
      </c>
      <c r="AL83" s="113"/>
      <c r="BC83" s="114"/>
      <c r="BD83" s="114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71">
        <v>72500</v>
      </c>
      <c r="W84" s="172">
        <v>58000</v>
      </c>
      <c r="X84" s="172"/>
      <c r="Y84" s="172"/>
      <c r="Z84" s="171">
        <v>1450000</v>
      </c>
      <c r="AA84" s="172"/>
      <c r="AB84" s="172">
        <v>29000</v>
      </c>
      <c r="AC84" s="172"/>
      <c r="AD84" s="172"/>
      <c r="AE84" s="172"/>
      <c r="AF84" s="172"/>
      <c r="AG84" s="173"/>
      <c r="AH84" s="172"/>
      <c r="AI84" s="172"/>
      <c r="AJ84" s="172">
        <v>24</v>
      </c>
      <c r="AK84" s="172">
        <v>20</v>
      </c>
      <c r="AL84" s="113"/>
      <c r="BC84" s="114"/>
      <c r="BD84" s="114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71">
        <v>102500</v>
      </c>
      <c r="W85" s="172">
        <v>82000</v>
      </c>
      <c r="X85" s="172"/>
      <c r="Y85" s="172"/>
      <c r="Z85" s="171">
        <v>2050000</v>
      </c>
      <c r="AA85" s="172"/>
      <c r="AB85" s="172">
        <v>41000</v>
      </c>
      <c r="AC85" s="172"/>
      <c r="AD85" s="172"/>
      <c r="AE85" s="172"/>
      <c r="AF85" s="172"/>
      <c r="AG85" s="173"/>
      <c r="AH85" s="172"/>
      <c r="AI85" s="172"/>
      <c r="AJ85" s="172">
        <v>24</v>
      </c>
      <c r="AK85" s="172">
        <v>20</v>
      </c>
      <c r="AL85" s="113"/>
      <c r="BC85" s="114"/>
      <c r="BD85" s="114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71">
        <v>141250</v>
      </c>
      <c r="W86" s="172">
        <v>113000</v>
      </c>
      <c r="X86" s="172"/>
      <c r="Y86" s="172"/>
      <c r="Z86" s="171">
        <v>2825000</v>
      </c>
      <c r="AA86" s="172"/>
      <c r="AB86" s="172">
        <v>56500</v>
      </c>
      <c r="AC86" s="172"/>
      <c r="AD86" s="172"/>
      <c r="AE86" s="172"/>
      <c r="AF86" s="172"/>
      <c r="AG86" s="173"/>
      <c r="AH86" s="172"/>
      <c r="AI86" s="172"/>
      <c r="AJ86" s="172">
        <v>24</v>
      </c>
      <c r="AK86" s="172">
        <v>20</v>
      </c>
      <c r="AL86" s="113"/>
      <c r="BC86" s="114"/>
      <c r="BD86" s="114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71">
        <v>191250</v>
      </c>
      <c r="W87" s="172">
        <v>153000</v>
      </c>
      <c r="X87" s="172"/>
      <c r="Y87" s="172"/>
      <c r="Z87" s="171">
        <v>3825000</v>
      </c>
      <c r="AA87" s="172"/>
      <c r="AB87" s="172">
        <v>76500</v>
      </c>
      <c r="AC87" s="172"/>
      <c r="AD87" s="172"/>
      <c r="AE87" s="172"/>
      <c r="AF87" s="172"/>
      <c r="AG87" s="173"/>
      <c r="AH87" s="172"/>
      <c r="AI87" s="172"/>
      <c r="AJ87" s="172">
        <v>36</v>
      </c>
      <c r="AK87" s="172">
        <v>30</v>
      </c>
      <c r="AL87" s="113"/>
      <c r="BC87" s="114"/>
      <c r="BD87" s="114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70" t="s">
        <v>983</v>
      </c>
      <c r="T114" s="170" t="s">
        <v>984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10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11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11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11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11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11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2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2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2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2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2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2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10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5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5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5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5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5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5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5" t="s">
        <v>532</v>
      </c>
      <c r="C137" s="22" t="s">
        <v>533</v>
      </c>
      <c r="T137" s="117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28.5">
      <c r="A138" s="104"/>
      <c r="B138" s="115" t="s">
        <v>535</v>
      </c>
      <c r="C138" s="22" t="s">
        <v>536</v>
      </c>
      <c r="T138" s="117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42.75">
      <c r="A139" s="104"/>
      <c r="B139" s="115" t="s">
        <v>538</v>
      </c>
      <c r="C139" s="115" t="s">
        <v>539</v>
      </c>
      <c r="T139" s="117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5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5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5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5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5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5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6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6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6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6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6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6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6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6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5" t="s">
        <v>594</v>
      </c>
      <c r="C156" s="22" t="s">
        <v>595</v>
      </c>
      <c r="T156" s="70" t="s">
        <v>596</v>
      </c>
      <c r="U156" s="86" t="str">
        <f t="shared" ref="U156:U166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5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5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5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79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">
        <v>630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631</v>
      </c>
      <c r="C168" s="79" t="s">
        <v>632</v>
      </c>
      <c r="T168" s="106" t="s">
        <v>633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634</v>
      </c>
      <c r="C169" s="79" t="s">
        <v>635</v>
      </c>
      <c r="T169" s="118" t="s">
        <v>636</v>
      </c>
      <c r="U169" s="86" t="s">
        <v>637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638</v>
      </c>
      <c r="C170" s="79" t="s">
        <v>639</v>
      </c>
      <c r="T170" s="106" t="s">
        <v>640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641</v>
      </c>
      <c r="C171" s="79" t="s">
        <v>642</v>
      </c>
      <c r="T171" s="106" t="s">
        <v>643</v>
      </c>
      <c r="U171" s="86" t="s">
        <v>644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645</v>
      </c>
      <c r="C172" s="79" t="s">
        <v>646</v>
      </c>
      <c r="T172" s="118" t="s">
        <v>647</v>
      </c>
      <c r="U172" s="86" t="s">
        <v>648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71.25">
      <c r="A173" s="79"/>
      <c r="B173" s="104" t="s">
        <v>649</v>
      </c>
      <c r="C173" s="79" t="s">
        <v>650</v>
      </c>
      <c r="R173" s="63">
        <v>-8086</v>
      </c>
      <c r="S173" s="63">
        <v>-3245</v>
      </c>
      <c r="T173" s="119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71.25">
      <c r="A174" s="79"/>
      <c r="B174" s="104" t="s">
        <v>651</v>
      </c>
      <c r="C174" s="79" t="s">
        <v>652</v>
      </c>
      <c r="R174" s="63">
        <v>-7991</v>
      </c>
      <c r="S174" s="63">
        <v>-2312</v>
      </c>
      <c r="T174" s="119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653</v>
      </c>
      <c r="C175" s="79" t="s">
        <v>654</v>
      </c>
      <c r="R175" s="63">
        <v>-8089</v>
      </c>
      <c r="S175" s="63">
        <v>-1230</v>
      </c>
      <c r="T175" s="79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655</v>
      </c>
      <c r="C176" s="79" t="s">
        <v>656</v>
      </c>
      <c r="R176" s="63">
        <v>-7794</v>
      </c>
      <c r="S176" s="63">
        <v>195</v>
      </c>
      <c r="T176" s="79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657</v>
      </c>
      <c r="C177" s="79" t="s">
        <v>658</v>
      </c>
      <c r="R177" s="63">
        <v>-8110</v>
      </c>
      <c r="S177" s="63">
        <v>1810</v>
      </c>
      <c r="T177" s="79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659</v>
      </c>
      <c r="C178" s="79" t="s">
        <v>660</v>
      </c>
      <c r="R178" s="63">
        <v>-7896</v>
      </c>
      <c r="S178" s="63">
        <v>3839</v>
      </c>
      <c r="T178" s="79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661</v>
      </c>
      <c r="C179" s="79" t="s">
        <v>662</v>
      </c>
      <c r="R179" s="63">
        <v>-7896</v>
      </c>
      <c r="S179" s="63">
        <v>5906</v>
      </c>
      <c r="T179" s="79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663</v>
      </c>
      <c r="B180" s="104" t="s">
        <v>664</v>
      </c>
      <c r="C180" s="79" t="s">
        <v>665</v>
      </c>
      <c r="R180" s="63">
        <v>-7970</v>
      </c>
      <c r="S180" s="63">
        <v>7965</v>
      </c>
      <c r="T180" s="79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666</v>
      </c>
      <c r="C181" s="79" t="s">
        <v>667</v>
      </c>
      <c r="R181" s="63">
        <v>2100</v>
      </c>
      <c r="S181" s="63">
        <v>-5120</v>
      </c>
      <c r="T181" s="79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668</v>
      </c>
      <c r="C182" s="79" t="s">
        <v>669</v>
      </c>
      <c r="R182" s="63">
        <v>2268</v>
      </c>
      <c r="S182" s="63">
        <v>-8065</v>
      </c>
      <c r="T182" s="79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663</v>
      </c>
      <c r="B183" s="104" t="s">
        <v>670</v>
      </c>
      <c r="C183" s="79" t="s">
        <v>671</v>
      </c>
      <c r="T183" s="79" t="s">
        <v>672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673</v>
      </c>
      <c r="C184" s="79" t="s">
        <v>674</v>
      </c>
      <c r="T184" s="79" t="s">
        <v>675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676</v>
      </c>
      <c r="C185" s="79" t="s">
        <v>677</v>
      </c>
      <c r="T185" s="79" t="s">
        <v>678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679</v>
      </c>
      <c r="C186" s="79" t="s">
        <v>680</v>
      </c>
      <c r="T186" s="79" t="s">
        <v>680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681</v>
      </c>
      <c r="C187" s="79" t="s">
        <v>682</v>
      </c>
      <c r="T187" s="79" t="s">
        <v>683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684</v>
      </c>
      <c r="C188" s="79" t="s">
        <v>685</v>
      </c>
      <c r="T188" s="79" t="s">
        <v>686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687</v>
      </c>
      <c r="C189" s="79"/>
      <c r="T189" s="79" t="s">
        <v>683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688</v>
      </c>
      <c r="C190" s="79"/>
      <c r="T190" s="79" t="s">
        <v>683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689</v>
      </c>
      <c r="C191" s="79"/>
      <c r="T191" s="79" t="s">
        <v>683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690</v>
      </c>
      <c r="C192" s="79"/>
      <c r="T192" s="79" t="s">
        <v>683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691</v>
      </c>
      <c r="C193" s="79" t="s">
        <v>692</v>
      </c>
      <c r="T193" s="126" t="s">
        <v>693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694</v>
      </c>
      <c r="C194" s="79" t="s">
        <v>695</v>
      </c>
      <c r="T194" s="127" t="s">
        <v>696</v>
      </c>
      <c r="U194" s="174" t="s">
        <v>985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697</v>
      </c>
      <c r="C195" s="79" t="s">
        <v>698</v>
      </c>
      <c r="T195" s="127" t="s">
        <v>699</v>
      </c>
      <c r="U195" s="174" t="s">
        <v>986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700</v>
      </c>
      <c r="C196" s="79" t="s">
        <v>701</v>
      </c>
      <c r="T196" s="127" t="s">
        <v>702</v>
      </c>
      <c r="U196" s="174" t="s">
        <v>989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703</v>
      </c>
      <c r="C197" s="79" t="s">
        <v>704</v>
      </c>
      <c r="T197" s="127" t="s">
        <v>696</v>
      </c>
      <c r="U197" s="174" t="s">
        <v>987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705</v>
      </c>
      <c r="C198" s="79" t="s">
        <v>706</v>
      </c>
      <c r="T198" s="127" t="s">
        <v>699</v>
      </c>
      <c r="U198" s="174" t="s">
        <v>988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707</v>
      </c>
      <c r="C199" s="79" t="s">
        <v>708</v>
      </c>
      <c r="T199" s="127" t="s">
        <v>702</v>
      </c>
      <c r="U199" s="174" t="s">
        <v>990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709</v>
      </c>
      <c r="C200" s="79" t="s">
        <v>710</v>
      </c>
      <c r="T200" s="79" t="s">
        <v>711</v>
      </c>
      <c r="U200" s="86" t="s">
        <v>712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713</v>
      </c>
      <c r="C201" s="79" t="s">
        <v>714</v>
      </c>
      <c r="T201" s="79" t="s">
        <v>715</v>
      </c>
      <c r="U201" s="86" t="s">
        <v>716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717</v>
      </c>
      <c r="C202" s="79" t="s">
        <v>718</v>
      </c>
      <c r="T202" s="79" t="s">
        <v>719</v>
      </c>
      <c r="U202" s="86" t="s">
        <v>720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721</v>
      </c>
      <c r="C203" s="79" t="s">
        <v>722</v>
      </c>
      <c r="T203" s="79" t="s">
        <v>711</v>
      </c>
      <c r="U203" s="86" t="s">
        <v>723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724</v>
      </c>
      <c r="C204" s="104" t="s">
        <v>725</v>
      </c>
      <c r="T204" s="79" t="s">
        <v>715</v>
      </c>
      <c r="U204" s="86" t="s">
        <v>726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727</v>
      </c>
      <c r="C205" s="104" t="s">
        <v>728</v>
      </c>
      <c r="T205" s="79" t="s">
        <v>719</v>
      </c>
      <c r="U205" s="86" t="s">
        <v>729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730</v>
      </c>
      <c r="C206" s="79" t="s">
        <v>731</v>
      </c>
      <c r="T206" s="79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732</v>
      </c>
      <c r="C207" s="79" t="s">
        <v>733</v>
      </c>
      <c r="T207" s="79" t="str">
        <f t="shared" si="3189"/>
        <v>|CffFFD24D兽魂抽奖|r</v>
      </c>
      <c r="U207" s="86" t="s">
        <v>734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735</v>
      </c>
      <c r="C208" s="79" t="s">
        <v>733</v>
      </c>
      <c r="T208" s="79" t="str">
        <f t="shared" si="3189"/>
        <v>|CffFFD24D兽魂抽奖|r</v>
      </c>
      <c r="U208" s="86" t="s">
        <v>734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736</v>
      </c>
      <c r="C209" s="79" t="s">
        <v>737</v>
      </c>
      <c r="T209" s="79" t="s">
        <v>738</v>
      </c>
      <c r="U209" s="86" t="s">
        <v>734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739</v>
      </c>
      <c r="C210" s="79" t="s">
        <v>740</v>
      </c>
      <c r="T210" s="79" t="s">
        <v>741</v>
      </c>
      <c r="U210" s="86" t="s">
        <v>734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742</v>
      </c>
      <c r="C211" s="79" t="s">
        <v>743</v>
      </c>
      <c r="T211" s="104" t="s">
        <v>744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745</v>
      </c>
      <c r="C212" s="79" t="s">
        <v>746</v>
      </c>
      <c r="T212" s="128" t="s">
        <v>747</v>
      </c>
      <c r="U212" s="109" t="s">
        <v>748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>
      <c r="A213" s="79"/>
      <c r="B213" s="80" t="s">
        <v>749</v>
      </c>
      <c r="C213" s="111" t="s">
        <v>750</v>
      </c>
      <c r="T213" s="129" t="s">
        <v>751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>
      <c r="A214" s="79"/>
      <c r="B214" s="80" t="s">
        <v>752</v>
      </c>
      <c r="C214" s="111" t="s">
        <v>753</v>
      </c>
      <c r="T214" s="129" t="s">
        <v>754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>
      <c r="A215" s="79"/>
      <c r="B215" s="80" t="s">
        <v>755</v>
      </c>
      <c r="C215" s="111" t="s">
        <v>756</v>
      </c>
      <c r="T215" s="70" t="s">
        <v>757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>
      <c r="A216" s="79"/>
      <c r="B216" s="80" t="s">
        <v>758</v>
      </c>
      <c r="C216" s="111" t="s">
        <v>759</v>
      </c>
      <c r="T216" s="70" t="s">
        <v>760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>
      <c r="A217" s="79"/>
      <c r="B217" s="80" t="s">
        <v>761</v>
      </c>
      <c r="C217" s="111" t="s">
        <v>762</v>
      </c>
      <c r="T217" s="70" t="s">
        <v>763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>
      <c r="A218" s="79"/>
      <c r="B218" s="80" t="s">
        <v>764</v>
      </c>
      <c r="C218" s="111" t="s">
        <v>765</v>
      </c>
      <c r="T218" s="70" t="s">
        <v>766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>
      <c r="A219" s="79"/>
      <c r="B219" s="80" t="s">
        <v>767</v>
      </c>
      <c r="C219" s="111" t="s">
        <v>768</v>
      </c>
      <c r="T219" s="129" t="s">
        <v>769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>
      <c r="A220" s="79"/>
      <c r="B220" s="80" t="s">
        <v>770</v>
      </c>
      <c r="C220" s="111" t="s">
        <v>771</v>
      </c>
      <c r="T220" s="129" t="s">
        <v>772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773</v>
      </c>
      <c r="C221" s="111" t="s">
        <v>774</v>
      </c>
      <c r="T221" s="111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>
      <c r="A222" s="79"/>
      <c r="B222" s="120" t="s">
        <v>775</v>
      </c>
      <c r="C222" s="111" t="str">
        <f>"已领取"&amp;C213</f>
        <v>已领取公众号礼包</v>
      </c>
      <c r="T222" s="111" t="s">
        <v>751</v>
      </c>
      <c r="U222" s="79" t="s">
        <v>776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>
      <c r="A223" s="79"/>
      <c r="B223" s="120" t="s">
        <v>777</v>
      </c>
      <c r="C223" s="111" t="str">
        <f t="shared" ref="C223:C230" si="3506">"已领取"&amp;C214</f>
        <v>已领取入群礼包</v>
      </c>
      <c r="T223" s="111" t="s">
        <v>754</v>
      </c>
      <c r="U223" s="79" t="s">
        <v>776</v>
      </c>
      <c r="CN223" s="69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>
      <c r="A224" s="79"/>
      <c r="B224" s="120" t="s">
        <v>778</v>
      </c>
      <c r="C224" s="111" t="str">
        <f t="shared" si="3506"/>
        <v>已领取拜年礼包</v>
      </c>
      <c r="T224" s="111" t="s">
        <v>779</v>
      </c>
      <c r="U224" s="79" t="s">
        <v>776</v>
      </c>
      <c r="CN224" s="69" t="str">
        <f t="shared" si="3507"/>
        <v>InitUnitState('IB53',,,,,,,,,,)</v>
      </c>
      <c r="CO224" s="69" t="str">
        <f t="shared" si="3508"/>
        <v>InitUnitNormal('IB53',,,,,,,,,,)</v>
      </c>
      <c r="CP224" s="69" t="str">
        <f t="shared" si="3509"/>
        <v>InitUnitMagic('IB53',,,,,,,,,,)</v>
      </c>
      <c r="CQ224" s="69" t="str">
        <f t="shared" si="3510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>
      <c r="A225" s="79"/>
      <c r="B225" s="120" t="s">
        <v>780</v>
      </c>
      <c r="C225" s="111" t="str">
        <f t="shared" si="3506"/>
        <v>已领取收藏礼包</v>
      </c>
      <c r="T225" s="111" t="s">
        <v>760</v>
      </c>
      <c r="U225" s="79" t="s">
        <v>776</v>
      </c>
      <c r="CN225" s="69" t="str">
        <f t="shared" si="3507"/>
        <v>InitUnitState('IB54',,,,,,,,,,)</v>
      </c>
      <c r="CO225" s="69" t="str">
        <f t="shared" si="3508"/>
        <v>InitUnitNormal('IB54',,,,,,,,,,)</v>
      </c>
      <c r="CP225" s="69" t="str">
        <f t="shared" si="3509"/>
        <v>InitUnitMagic('IB54',,,,,,,,,,)</v>
      </c>
      <c r="CQ225" s="69" t="str">
        <f t="shared" si="3510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>
      <c r="A226" s="79"/>
      <c r="B226" s="120" t="s">
        <v>781</v>
      </c>
      <c r="C226" s="111" t="str">
        <f t="shared" si="3506"/>
        <v>已领取重置版礼包</v>
      </c>
      <c r="T226" s="111" t="s">
        <v>763</v>
      </c>
      <c r="U226" s="79" t="s">
        <v>776</v>
      </c>
      <c r="CN226" s="69" t="str">
        <f t="shared" si="3507"/>
        <v>InitUnitState('IB55',,,,,,,,,,)</v>
      </c>
      <c r="CO226" s="69" t="str">
        <f t="shared" si="3508"/>
        <v>InitUnitNormal('IB55',,,,,,,,,,)</v>
      </c>
      <c r="CP226" s="69" t="str">
        <f t="shared" si="3509"/>
        <v>InitUnitMagic('IB55',,,,,,,,,,)</v>
      </c>
      <c r="CQ226" s="69" t="str">
        <f t="shared" si="3510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>
      <c r="A227" s="79"/>
      <c r="B227" s="120" t="s">
        <v>782</v>
      </c>
      <c r="C227" s="111" t="str">
        <f t="shared" si="3506"/>
        <v>已领取公会福利</v>
      </c>
      <c r="T227" s="111" t="s">
        <v>766</v>
      </c>
      <c r="U227" s="79" t="s">
        <v>776</v>
      </c>
      <c r="CN227" s="69" t="str">
        <f t="shared" si="3507"/>
        <v>InitUnitState('IB56',,,,,,,,,,)</v>
      </c>
      <c r="CO227" s="69" t="str">
        <f t="shared" si="3508"/>
        <v>InitUnitNormal('IB56',,,,,,,,,,)</v>
      </c>
      <c r="CP227" s="69" t="str">
        <f t="shared" si="3509"/>
        <v>InitUnitMagic('IB56',,,,,,,,,,)</v>
      </c>
      <c r="CQ227" s="69" t="str">
        <f t="shared" si="3510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>
      <c r="A228" s="79"/>
      <c r="B228" s="120" t="s">
        <v>783</v>
      </c>
      <c r="C228" s="111" t="str">
        <f t="shared" si="3506"/>
        <v>已领取星耀礼包</v>
      </c>
      <c r="T228" s="111" t="s">
        <v>769</v>
      </c>
      <c r="U228" s="79" t="s">
        <v>776</v>
      </c>
      <c r="CN228" s="69" t="str">
        <f t="shared" si="3507"/>
        <v>InitUnitState('IB57',,,,,,,,,,)</v>
      </c>
      <c r="CO228" s="69" t="str">
        <f t="shared" si="3508"/>
        <v>InitUnitNormal('IB57',,,,,,,,,,)</v>
      </c>
      <c r="CP228" s="69" t="str">
        <f t="shared" si="3509"/>
        <v>InitUnitMagic('IB57',,,,,,,,,,)</v>
      </c>
      <c r="CQ228" s="69" t="str">
        <f t="shared" si="3510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>
      <c r="A229" s="79"/>
      <c r="B229" s="120" t="s">
        <v>784</v>
      </c>
      <c r="C229" s="111" t="str">
        <f t="shared" si="3506"/>
        <v>已领取魔芝RPG礼包</v>
      </c>
      <c r="T229" s="111" t="s">
        <v>772</v>
      </c>
      <c r="U229" s="79" t="s">
        <v>776</v>
      </c>
      <c r="CN229" s="69" t="str">
        <f t="shared" si="3507"/>
        <v>InitUnitState('IB58',,,,,,,,,,)</v>
      </c>
      <c r="CO229" s="69" t="str">
        <f t="shared" si="3508"/>
        <v>InitUnitNormal('IB58',,,,,,,,,,)</v>
      </c>
      <c r="CP229" s="69" t="str">
        <f t="shared" si="3509"/>
        <v>InitUnitMagic('IB58',,,,,,,,,,)</v>
      </c>
      <c r="CQ229" s="69" t="str">
        <f t="shared" si="3510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>
      <c r="A230" s="79"/>
      <c r="B230" s="120" t="s">
        <v>785</v>
      </c>
      <c r="C230" s="111" t="str">
        <f t="shared" si="3506"/>
        <v>已领取老铁礼包</v>
      </c>
      <c r="T230" s="111" t="s">
        <v>786</v>
      </c>
      <c r="U230" s="79" t="s">
        <v>776</v>
      </c>
      <c r="CN230" s="69" t="str">
        <f t="shared" si="3507"/>
        <v>InitUnitState('IB59',,,,,,,,,,)</v>
      </c>
      <c r="CO230" s="69" t="str">
        <f t="shared" si="3508"/>
        <v>InitUnitNormal('IB59',,,,,,,,,,)</v>
      </c>
      <c r="CP230" s="69" t="str">
        <f t="shared" si="3509"/>
        <v>InitUnitMagic('IB59',,,,,,,,,,)</v>
      </c>
      <c r="CQ230" s="69" t="str">
        <f t="shared" si="3510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70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spans="1:175" ht="16.5">
      <c r="A231" s="72"/>
      <c r="B231" s="121" t="s">
        <v>787</v>
      </c>
      <c r="C231" s="121" t="s">
        <v>788</v>
      </c>
      <c r="E231" s="103"/>
      <c r="F231" s="102"/>
      <c r="S231" s="108"/>
      <c r="T231" s="70" t="s">
        <v>789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3"/>
      <c r="AL231" s="113"/>
      <c r="BC231" s="114"/>
      <c r="BD231" s="114"/>
      <c r="CU231" s="98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spans="1:175" ht="17.25">
      <c r="A232" s="72"/>
      <c r="B232" s="122" t="s">
        <v>790</v>
      </c>
      <c r="C232" s="123" t="s">
        <v>791</v>
      </c>
      <c r="E232" s="103"/>
      <c r="F232" s="102"/>
      <c r="S232" s="108"/>
      <c r="T232" s="70" t="s">
        <v>789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3"/>
      <c r="AL232" s="113"/>
      <c r="BC232" s="114"/>
      <c r="BD232" s="114"/>
      <c r="CU232" s="98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spans="1:175" ht="16.5">
      <c r="A233" s="72"/>
      <c r="B233" s="122" t="s">
        <v>792</v>
      </c>
      <c r="C233" s="122" t="s">
        <v>793</v>
      </c>
      <c r="E233" s="103"/>
      <c r="F233" s="102"/>
      <c r="S233" s="108"/>
      <c r="T233" s="70" t="s">
        <v>789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3"/>
      <c r="AL233" s="113"/>
      <c r="BC233" s="114"/>
      <c r="BD233" s="114"/>
      <c r="CU233" s="98" t="str">
        <f t="shared" si="3515"/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spans="1:175" ht="16.5">
      <c r="A234" s="72"/>
      <c r="B234" s="122" t="s">
        <v>794</v>
      </c>
      <c r="C234" s="122" t="s">
        <v>795</v>
      </c>
      <c r="E234" s="103"/>
      <c r="F234" s="102"/>
      <c r="S234" s="108"/>
      <c r="T234" s="70" t="s">
        <v>789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3"/>
      <c r="AL234" s="113"/>
      <c r="BC234" s="114"/>
      <c r="BD234" s="114"/>
      <c r="CU234" s="98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spans="1:175" ht="16.5">
      <c r="A235" s="124"/>
      <c r="B235" s="80" t="s">
        <v>796</v>
      </c>
      <c r="C235" s="70" t="s">
        <v>797</v>
      </c>
      <c r="T235" s="130"/>
      <c r="U235" s="86"/>
      <c r="CN235" s="69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69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69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69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69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spans="1:175" ht="16.5">
      <c r="A236" s="124"/>
      <c r="B236" s="80" t="s">
        <v>798</v>
      </c>
      <c r="C236" s="70" t="s">
        <v>797</v>
      </c>
      <c r="T236" s="130"/>
      <c r="U236" s="86"/>
      <c r="CN236" s="69" t="str">
        <f t="shared" si="3658"/>
        <v>InitUnitState('IF02',,,,,,,,,,)</v>
      </c>
      <c r="CO236" s="69" t="str">
        <f t="shared" si="3659"/>
        <v>InitUnitNormal('IF02',,,,,,,,,,)</v>
      </c>
      <c r="CP236" s="69" t="str">
        <f t="shared" si="3660"/>
        <v>InitUnitMagic('IF02',,,,,,,,,,)</v>
      </c>
      <c r="CQ236" s="69" t="str">
        <f t="shared" si="3661"/>
        <v>InitUnitAdd('IF02',,,,,,,,,,)</v>
      </c>
      <c r="CR236" s="69" t="str">
        <f t="shared" si="3662"/>
        <v>InitEquipData('IF02',,"",,,,,'','','','','','',"")</v>
      </c>
      <c r="CU236" s="98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spans="1:175" ht="16.5">
      <c r="A237" s="125"/>
      <c r="B237" s="80" t="s">
        <v>799</v>
      </c>
      <c r="C237" s="70" t="s">
        <v>797</v>
      </c>
      <c r="T237" s="131"/>
      <c r="U237" s="86"/>
      <c r="CN237" s="69" t="str">
        <f t="shared" si="3658"/>
        <v>InitUnitState('IF03',,,,,,,,,,)</v>
      </c>
      <c r="CO237" s="69" t="str">
        <f t="shared" si="3659"/>
        <v>InitUnitNormal('IF03',,,,,,,,,,)</v>
      </c>
      <c r="CP237" s="69" t="str">
        <f t="shared" si="3660"/>
        <v>InitUnitMagic('IF03',,,,,,,,,,)</v>
      </c>
      <c r="CQ237" s="69" t="str">
        <f t="shared" si="3661"/>
        <v>InitUnitAdd('IF03',,,,,,,,,,)</v>
      </c>
      <c r="CR237" s="69" t="str">
        <f t="shared" si="3662"/>
        <v>InitEquipData('IF03',,"",,,,,'','','','','','',"")</v>
      </c>
      <c r="CU237" s="98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spans="1:175" ht="16.5">
      <c r="A238" s="125"/>
      <c r="B238" s="80" t="s">
        <v>800</v>
      </c>
      <c r="C238" s="70" t="s">
        <v>797</v>
      </c>
      <c r="T238" s="131"/>
      <c r="U238" s="86"/>
      <c r="CN238" s="69" t="str">
        <f t="shared" si="3658"/>
        <v>InitUnitState('IF04',,,,,,,,,,)</v>
      </c>
      <c r="CO238" s="69" t="str">
        <f t="shared" si="3659"/>
        <v>InitUnitNormal('IF04',,,,,,,,,,)</v>
      </c>
      <c r="CP238" s="69" t="str">
        <f t="shared" si="3660"/>
        <v>InitUnitMagic('IF04',,,,,,,,,,)</v>
      </c>
      <c r="CQ238" s="69" t="str">
        <f t="shared" si="3661"/>
        <v>InitUnitAdd('IF04',,,,,,,,,,)</v>
      </c>
      <c r="CR238" s="69" t="str">
        <f t="shared" si="3662"/>
        <v>InitEquipData('IF04',,"",,,,,'','','','','','',"")</v>
      </c>
      <c r="CU238" s="98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spans="1:175" ht="16.5">
      <c r="A239" s="125"/>
      <c r="B239" s="80" t="s">
        <v>801</v>
      </c>
      <c r="C239" s="70" t="s">
        <v>797</v>
      </c>
      <c r="T239" s="131"/>
      <c r="U239" s="86"/>
      <c r="CN239" s="69" t="str">
        <f t="shared" si="3658"/>
        <v>InitUnitState('IF05',,,,,,,,,,)</v>
      </c>
      <c r="CO239" s="69" t="str">
        <f t="shared" si="3659"/>
        <v>InitUnitNormal('IF05',,,,,,,,,,)</v>
      </c>
      <c r="CP239" s="69" t="str">
        <f t="shared" si="3660"/>
        <v>InitUnitMagic('IF05',,,,,,,,,,)</v>
      </c>
      <c r="CQ239" s="69" t="str">
        <f t="shared" si="3661"/>
        <v>InitUnitAdd('IF05',,,,,,,,,,)</v>
      </c>
      <c r="CR239" s="69" t="str">
        <f t="shared" si="3662"/>
        <v>InitEquipData('IF05',,"",,,,,'','','','','','',"")</v>
      </c>
      <c r="CU239" s="98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spans="1:175" ht="16.5">
      <c r="A240" s="125"/>
      <c r="B240" s="80" t="s">
        <v>802</v>
      </c>
      <c r="C240" s="70" t="s">
        <v>797</v>
      </c>
      <c r="T240" s="131"/>
      <c r="U240" s="86"/>
      <c r="CN240" s="69" t="str">
        <f t="shared" si="3658"/>
        <v>InitUnitState('IF06',,,,,,,,,,)</v>
      </c>
      <c r="CO240" s="69" t="str">
        <f t="shared" si="3659"/>
        <v>InitUnitNormal('IF06',,,,,,,,,,)</v>
      </c>
      <c r="CP240" s="69" t="str">
        <f t="shared" si="3660"/>
        <v>InitUnitMagic('IF06',,,,,,,,,,)</v>
      </c>
      <c r="CQ240" s="69" t="str">
        <f t="shared" si="3661"/>
        <v>InitUnitAdd('IF06',,,,,,,,,,)</v>
      </c>
      <c r="CR240" s="69" t="str">
        <f t="shared" si="3662"/>
        <v>InitEquipData('IF06',,"",,,,,'','','','','','',"")</v>
      </c>
      <c r="CU240" s="98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spans="1:175" ht="16.5">
      <c r="A241" s="125"/>
      <c r="B241" s="80" t="s">
        <v>803</v>
      </c>
      <c r="C241" s="70" t="s">
        <v>797</v>
      </c>
      <c r="T241" s="131"/>
      <c r="U241" s="86"/>
      <c r="CN241" s="69" t="str">
        <f t="shared" si="3658"/>
        <v>InitUnitState('IF07',,,,,,,,,,)</v>
      </c>
      <c r="CO241" s="69" t="str">
        <f t="shared" si="3659"/>
        <v>InitUnitNormal('IF07',,,,,,,,,,)</v>
      </c>
      <c r="CP241" s="69" t="str">
        <f t="shared" si="3660"/>
        <v>InitUnitMagic('IF07',,,,,,,,,,)</v>
      </c>
      <c r="CQ241" s="69" t="str">
        <f t="shared" si="3661"/>
        <v>InitUnitAdd('IF07',,,,,,,,,,)</v>
      </c>
      <c r="CR241" s="69" t="str">
        <f t="shared" si="3662"/>
        <v>InitEquipData('IF07',,"",,,,,'','','','','','',"")</v>
      </c>
      <c r="CU241" s="98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spans="1:175" ht="16.5">
      <c r="A242" s="125"/>
      <c r="B242" s="80" t="s">
        <v>804</v>
      </c>
      <c r="C242" s="70" t="s">
        <v>797</v>
      </c>
      <c r="T242" s="131"/>
      <c r="U242" s="86"/>
      <c r="CN242" s="69" t="str">
        <f t="shared" si="3658"/>
        <v>InitUnitState('IF08',,,,,,,,,,)</v>
      </c>
      <c r="CO242" s="69" t="str">
        <f t="shared" si="3659"/>
        <v>InitUnitNormal('IF08',,,,,,,,,,)</v>
      </c>
      <c r="CP242" s="69" t="str">
        <f t="shared" si="3660"/>
        <v>InitUnitMagic('IF08',,,,,,,,,,)</v>
      </c>
      <c r="CQ242" s="69" t="str">
        <f t="shared" si="3661"/>
        <v>InitUnitAdd('IF08',,,,,,,,,,)</v>
      </c>
      <c r="CR242" s="69" t="str">
        <f t="shared" si="3662"/>
        <v>InitEquipData('IF08',,"",,,,,'','','','','','',"")</v>
      </c>
      <c r="CU242" s="98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spans="1:175" ht="16.5">
      <c r="A243" s="125"/>
      <c r="B243" s="80" t="s">
        <v>805</v>
      </c>
      <c r="C243" s="70" t="s">
        <v>797</v>
      </c>
      <c r="T243" s="131"/>
      <c r="U243" s="86"/>
      <c r="CN243" s="69" t="str">
        <f t="shared" si="3658"/>
        <v>InitUnitState('IF09',,,,,,,,,,)</v>
      </c>
      <c r="CO243" s="69" t="str">
        <f t="shared" si="3659"/>
        <v>InitUnitNormal('IF09',,,,,,,,,,)</v>
      </c>
      <c r="CP243" s="69" t="str">
        <f t="shared" si="3660"/>
        <v>InitUnitMagic('IF09',,,,,,,,,,)</v>
      </c>
      <c r="CQ243" s="69" t="str">
        <f t="shared" si="3661"/>
        <v>InitUnitAdd('IF09',,,,,,,,,,)</v>
      </c>
      <c r="CR243" s="69" t="str">
        <f t="shared" si="3662"/>
        <v>InitEquipData('IF09',,"",,,,,'','','','','','',"")</v>
      </c>
      <c r="CU243" s="98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spans="1:175" ht="16.5">
      <c r="A244" s="125"/>
      <c r="B244" s="80" t="s">
        <v>806</v>
      </c>
      <c r="C244" s="70" t="s">
        <v>797</v>
      </c>
      <c r="T244" s="131"/>
      <c r="U244" s="86"/>
      <c r="CN244" s="69" t="str">
        <f t="shared" si="3658"/>
        <v>InitUnitState('IF10',,,,,,,,,,)</v>
      </c>
      <c r="CO244" s="69" t="str">
        <f t="shared" si="3659"/>
        <v>InitUnitNormal('IF10',,,,,,,,,,)</v>
      </c>
      <c r="CP244" s="69" t="str">
        <f t="shared" si="3660"/>
        <v>InitUnitMagic('IF10',,,,,,,,,,)</v>
      </c>
      <c r="CQ244" s="69" t="str">
        <f t="shared" si="3661"/>
        <v>InitUnitAdd('IF10',,,,,,,,,,)</v>
      </c>
      <c r="CR244" s="69" t="str">
        <f t="shared" si="3662"/>
        <v>InitEquipData('IF10',,"",,,,,'','','','','','',"")</v>
      </c>
      <c r="CU244" s="98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spans="1:175" ht="16.5">
      <c r="A245" s="125"/>
      <c r="B245" s="80" t="s">
        <v>807</v>
      </c>
      <c r="C245" s="70" t="s">
        <v>797</v>
      </c>
      <c r="T245" s="131"/>
      <c r="U245" s="86"/>
      <c r="CN245" s="69" t="str">
        <f t="shared" si="3658"/>
        <v>InitUnitState('IF11',,,,,,,,,,)</v>
      </c>
      <c r="CO245" s="69" t="str">
        <f t="shared" si="3659"/>
        <v>InitUnitNormal('IF11',,,,,,,,,,)</v>
      </c>
      <c r="CP245" s="69" t="str">
        <f t="shared" si="3660"/>
        <v>InitUnitMagic('IF11',,,,,,,,,,)</v>
      </c>
      <c r="CQ245" s="69" t="str">
        <f t="shared" si="3661"/>
        <v>InitUnitAdd('IF11',,,,,,,,,,)</v>
      </c>
      <c r="CR245" s="69" t="str">
        <f t="shared" si="3662"/>
        <v>InitEquipData('IF11',,"",,,,,'','','','','','',"")</v>
      </c>
      <c r="CU245" s="98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spans="1:175" ht="16.5">
      <c r="A246" s="124"/>
      <c r="B246" s="80" t="s">
        <v>808</v>
      </c>
      <c r="C246" s="70" t="s">
        <v>797</v>
      </c>
      <c r="T246" s="132"/>
      <c r="U246" s="86"/>
      <c r="CN246" s="69" t="str">
        <f t="shared" si="3658"/>
        <v>InitUnitState('IF12',,,,,,,,,,)</v>
      </c>
      <c r="CO246" s="69" t="str">
        <f t="shared" si="3659"/>
        <v>InitUnitNormal('IF12',,,,,,,,,,)</v>
      </c>
      <c r="CP246" s="69" t="str">
        <f t="shared" si="3660"/>
        <v>InitUnitMagic('IF12',,,,,,,,,,)</v>
      </c>
      <c r="CQ246" s="69" t="str">
        <f t="shared" si="3661"/>
        <v>InitUnitAdd('IF12',,,,,,,,,,)</v>
      </c>
      <c r="CR246" s="69" t="str">
        <f t="shared" si="3662"/>
        <v>InitEquipData('IF12',,"",,,,,'','','','','','',"")</v>
      </c>
      <c r="CU246" s="98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spans="1:175" ht="16.5">
      <c r="A247" s="124"/>
      <c r="B247" s="80" t="s">
        <v>809</v>
      </c>
      <c r="C247" s="70" t="s">
        <v>797</v>
      </c>
      <c r="T247" s="132"/>
      <c r="U247" s="86"/>
      <c r="CN247" s="69" t="str">
        <f t="shared" si="3658"/>
        <v>InitUnitState('IF13',,,,,,,,,,)</v>
      </c>
      <c r="CO247" s="69" t="str">
        <f t="shared" si="3659"/>
        <v>InitUnitNormal('IF13',,,,,,,,,,)</v>
      </c>
      <c r="CP247" s="69" t="str">
        <f t="shared" si="3660"/>
        <v>InitUnitMagic('IF13',,,,,,,,,,)</v>
      </c>
      <c r="CQ247" s="69" t="str">
        <f t="shared" si="3661"/>
        <v>InitUnitAdd('IF13',,,,,,,,,,)</v>
      </c>
      <c r="CR247" s="69" t="str">
        <f t="shared" si="3662"/>
        <v>InitEquipData('IF13',,"",,,,,'','','','','','',"")</v>
      </c>
      <c r="CU247" s="98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spans="1:175" ht="16.5">
      <c r="A248" s="124"/>
      <c r="B248" s="80" t="s">
        <v>810</v>
      </c>
      <c r="C248" s="70" t="s">
        <v>797</v>
      </c>
      <c r="T248" s="132"/>
      <c r="U248" s="86"/>
      <c r="CN248" s="69" t="str">
        <f t="shared" si="3658"/>
        <v>InitUnitState('IF14',,,,,,,,,,)</v>
      </c>
      <c r="CO248" s="69" t="str">
        <f t="shared" si="3659"/>
        <v>InitUnitNormal('IF14',,,,,,,,,,)</v>
      </c>
      <c r="CP248" s="69" t="str">
        <f t="shared" si="3660"/>
        <v>InitUnitMagic('IF14',,,,,,,,,,)</v>
      </c>
      <c r="CQ248" s="69" t="str">
        <f t="shared" si="3661"/>
        <v>InitUnitAdd('IF14',,,,,,,,,,)</v>
      </c>
      <c r="CR248" s="69" t="str">
        <f t="shared" si="3662"/>
        <v>InitEquipData('IF14',,"",,,,,'','','','','','',"")</v>
      </c>
      <c r="CU248" s="98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spans="1:175" ht="16.5">
      <c r="A249" s="124"/>
      <c r="B249" s="80" t="s">
        <v>811</v>
      </c>
      <c r="C249" s="70" t="s">
        <v>797</v>
      </c>
      <c r="T249" s="132"/>
      <c r="U249" s="86"/>
      <c r="CN249" s="69" t="str">
        <f t="shared" si="3658"/>
        <v>InitUnitState('IF15',,,,,,,,,,)</v>
      </c>
      <c r="CO249" s="69" t="str">
        <f t="shared" si="3659"/>
        <v>InitUnitNormal('IF15',,,,,,,,,,)</v>
      </c>
      <c r="CP249" s="69" t="str">
        <f t="shared" si="3660"/>
        <v>InitUnitMagic('IF15',,,,,,,,,,)</v>
      </c>
      <c r="CQ249" s="69" t="str">
        <f t="shared" si="3661"/>
        <v>InitUnitAdd('IF15',,,,,,,,,,)</v>
      </c>
      <c r="CR249" s="69" t="str">
        <f t="shared" si="3662"/>
        <v>InitEquipData('IF15',,"",,,,,'','','','','','',"")</v>
      </c>
      <c r="CU249" s="98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spans="1:175" ht="16.5">
      <c r="A250" s="124"/>
      <c r="B250" s="80" t="s">
        <v>812</v>
      </c>
      <c r="C250" s="70" t="s">
        <v>797</v>
      </c>
      <c r="T250" s="132"/>
      <c r="U250" s="86"/>
      <c r="CN250" s="69" t="str">
        <f t="shared" si="3658"/>
        <v>InitUnitState('IF16',,,,,,,,,,)</v>
      </c>
      <c r="CO250" s="69" t="str">
        <f t="shared" si="3659"/>
        <v>InitUnitNormal('IF16',,,,,,,,,,)</v>
      </c>
      <c r="CP250" s="69" t="str">
        <f t="shared" si="3660"/>
        <v>InitUnitMagic('IF16',,,,,,,,,,)</v>
      </c>
      <c r="CQ250" s="69" t="str">
        <f t="shared" si="3661"/>
        <v>InitUnitAdd('IF16',,,,,,,,,,)</v>
      </c>
      <c r="CR250" s="69" t="str">
        <f t="shared" si="3662"/>
        <v>InitEquipData('IF16',,"",,,,,'','','','','','',"")</v>
      </c>
      <c r="CU250" s="98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spans="1:175" ht="16.5">
      <c r="A251" s="124"/>
      <c r="B251" s="80" t="s">
        <v>813</v>
      </c>
      <c r="C251" s="70" t="s">
        <v>797</v>
      </c>
      <c r="T251" s="132"/>
      <c r="U251" s="86"/>
      <c r="CN251" s="69" t="str">
        <f t="shared" si="3658"/>
        <v>InitUnitState('IF17',,,,,,,,,,)</v>
      </c>
      <c r="CO251" s="69" t="str">
        <f t="shared" si="3659"/>
        <v>InitUnitNormal('IF17',,,,,,,,,,)</v>
      </c>
      <c r="CP251" s="69" t="str">
        <f t="shared" si="3660"/>
        <v>InitUnitMagic('IF17',,,,,,,,,,)</v>
      </c>
      <c r="CQ251" s="69" t="str">
        <f t="shared" si="3661"/>
        <v>InitUnitAdd('IF17',,,,,,,,,,)</v>
      </c>
      <c r="CR251" s="69" t="str">
        <f t="shared" si="3662"/>
        <v>InitEquipData('IF17',,"",,,,,'','','','','','',"")</v>
      </c>
      <c r="CU251" s="98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spans="1:175" ht="16.5">
      <c r="A252" s="124"/>
      <c r="B252" s="80" t="s">
        <v>814</v>
      </c>
      <c r="C252" s="70" t="s">
        <v>797</v>
      </c>
      <c r="T252" s="133"/>
      <c r="U252" s="86"/>
      <c r="CN252" s="69" t="str">
        <f t="shared" si="3658"/>
        <v>InitUnitState('IF18',,,,,,,,,,)</v>
      </c>
      <c r="CO252" s="69" t="str">
        <f t="shared" si="3659"/>
        <v>InitUnitNormal('IF18',,,,,,,,,,)</v>
      </c>
      <c r="CP252" s="69" t="str">
        <f t="shared" si="3660"/>
        <v>InitUnitMagic('IF18',,,,,,,,,,)</v>
      </c>
      <c r="CQ252" s="69" t="str">
        <f t="shared" si="3661"/>
        <v>InitUnitAdd('IF18',,,,,,,,,,)</v>
      </c>
      <c r="CR252" s="69" t="str">
        <f t="shared" si="3662"/>
        <v>InitEquipData('IF18',,"",,,,,'','','','','','',"")</v>
      </c>
      <c r="CU252" s="98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spans="1:175" ht="16.5">
      <c r="A253" s="124"/>
      <c r="B253" s="80" t="s">
        <v>815</v>
      </c>
      <c r="C253" s="70" t="s">
        <v>797</v>
      </c>
      <c r="T253" s="133"/>
      <c r="U253" s="86"/>
      <c r="CN253" s="69" t="str">
        <f t="shared" si="3658"/>
        <v>InitUnitState('IF19',,,,,,,,,,)</v>
      </c>
      <c r="CO253" s="69" t="str">
        <f t="shared" si="3659"/>
        <v>InitUnitNormal('IF19',,,,,,,,,,)</v>
      </c>
      <c r="CP253" s="69" t="str">
        <f t="shared" si="3660"/>
        <v>InitUnitMagic('IF19',,,,,,,,,,)</v>
      </c>
      <c r="CQ253" s="69" t="str">
        <f t="shared" si="3661"/>
        <v>InitUnitAdd('IF19',,,,,,,,,,)</v>
      </c>
      <c r="CR253" s="69" t="str">
        <f t="shared" si="3662"/>
        <v>InitEquipData('IF19',,"",,,,,'','','','','','',"")</v>
      </c>
      <c r="CU253" s="98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spans="1:175" ht="16.5">
      <c r="A254" s="124"/>
      <c r="B254" s="80" t="s">
        <v>816</v>
      </c>
      <c r="C254" s="70" t="s">
        <v>797</v>
      </c>
      <c r="T254" s="133"/>
      <c r="U254" s="86"/>
      <c r="CN254" s="69" t="str">
        <f t="shared" si="3658"/>
        <v>InitUnitState('IF20',,,,,,,,,,)</v>
      </c>
      <c r="CO254" s="69" t="str">
        <f t="shared" si="3659"/>
        <v>InitUnitNormal('IF20',,,,,,,,,,)</v>
      </c>
      <c r="CP254" s="69" t="str">
        <f t="shared" si="3660"/>
        <v>InitUnitMagic('IF20',,,,,,,,,,)</v>
      </c>
      <c r="CQ254" s="69" t="str">
        <f t="shared" si="3661"/>
        <v>InitUnitAdd('IF20',,,,,,,,,,)</v>
      </c>
      <c r="CR254" s="69" t="str">
        <f t="shared" si="3662"/>
        <v>InitEquipData('IF20',,"",,,,,'','','','','','',"")</v>
      </c>
      <c r="CU254" s="98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0"/>
      <c r="B255" s="80" t="s">
        <v>817</v>
      </c>
      <c r="C255" s="70" t="s">
        <v>797</v>
      </c>
      <c r="T255" s="134"/>
      <c r="U255" s="86"/>
      <c r="CN255" s="69" t="str">
        <f t="shared" si="3658"/>
        <v>InitUnitState('IF21',,,,,,,,,,)</v>
      </c>
      <c r="CO255" s="69" t="str">
        <f t="shared" si="3659"/>
        <v>InitUnitNormal('IF21',,,,,,,,,,)</v>
      </c>
      <c r="CP255" s="69" t="str">
        <f t="shared" si="3660"/>
        <v>InitUnitMagic('IF21',,,,,,,,,,)</v>
      </c>
      <c r="CQ255" s="69" t="str">
        <f t="shared" si="3661"/>
        <v>InitUnitAdd('IF21',,,,,,,,,,)</v>
      </c>
      <c r="CR255" s="69" t="str">
        <f t="shared" si="3662"/>
        <v>InitEquipData('IF21',,"",,,,,'','','','','','',"")</v>
      </c>
      <c r="CU255" s="98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0"/>
      <c r="B256" s="80" t="s">
        <v>818</v>
      </c>
      <c r="C256" s="70" t="s">
        <v>797</v>
      </c>
      <c r="T256" s="134"/>
      <c r="U256" s="86"/>
      <c r="CN256" s="69" t="str">
        <f t="shared" si="3658"/>
        <v>InitUnitState('IF22',,,,,,,,,,)</v>
      </c>
      <c r="CO256" s="69" t="str">
        <f t="shared" si="3659"/>
        <v>InitUnitNormal('IF22',,,,,,,,,,)</v>
      </c>
      <c r="CP256" s="69" t="str">
        <f t="shared" si="3660"/>
        <v>InitUnitMagic('IF22',,,,,,,,,,)</v>
      </c>
      <c r="CQ256" s="69" t="str">
        <f t="shared" si="3661"/>
        <v>InitUnitAdd('IF22',,,,,,,,,,)</v>
      </c>
      <c r="CR256" s="69" t="str">
        <f t="shared" si="3662"/>
        <v>InitEquipData('IF22',,"",,,,,'','','','','','',"")</v>
      </c>
      <c r="CU256" s="98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0"/>
      <c r="B257" s="80" t="s">
        <v>819</v>
      </c>
      <c r="C257" s="70" t="s">
        <v>797</v>
      </c>
      <c r="T257" s="134"/>
      <c r="U257" s="86"/>
      <c r="CN257" s="69" t="str">
        <f t="shared" si="3658"/>
        <v>InitUnitState('IF23',,,,,,,,,,)</v>
      </c>
      <c r="CO257" s="69" t="str">
        <f t="shared" si="3659"/>
        <v>InitUnitNormal('IF23',,,,,,,,,,)</v>
      </c>
      <c r="CP257" s="69" t="str">
        <f t="shared" si="3660"/>
        <v>InitUnitMagic('IF23',,,,,,,,,,)</v>
      </c>
      <c r="CQ257" s="69" t="str">
        <f t="shared" si="3661"/>
        <v>InitUnitAdd('IF23',,,,,,,,,,)</v>
      </c>
      <c r="CR257" s="69" t="str">
        <f t="shared" si="3662"/>
        <v>InitEquipData('IF23',,"",,,,,'','','','','','',"")</v>
      </c>
      <c r="CU257" s="98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0"/>
      <c r="B258" s="80" t="s">
        <v>820</v>
      </c>
      <c r="C258" s="70" t="s">
        <v>797</v>
      </c>
      <c r="T258" s="134"/>
      <c r="U258" s="86"/>
      <c r="CN258" s="69" t="str">
        <f t="shared" si="3658"/>
        <v>InitUnitState('IF24',,,,,,,,,,)</v>
      </c>
      <c r="CO258" s="69" t="str">
        <f t="shared" si="3659"/>
        <v>InitUnitNormal('IF24',,,,,,,,,,)</v>
      </c>
      <c r="CP258" s="69" t="str">
        <f t="shared" si="3660"/>
        <v>InitUnitMagic('IF24',,,,,,,,,,)</v>
      </c>
      <c r="CQ258" s="69" t="str">
        <f t="shared" si="3661"/>
        <v>InitUnitAdd('IF24',,,,,,,,,,)</v>
      </c>
      <c r="CR258" s="69" t="str">
        <f t="shared" si="3662"/>
        <v>InitEquipData('IF24',,"",,,,,'','','','','','',"")</v>
      </c>
      <c r="CU258" s="98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0"/>
      <c r="B259" s="80" t="s">
        <v>821</v>
      </c>
      <c r="C259" s="70" t="s">
        <v>797</v>
      </c>
      <c r="T259" s="134"/>
      <c r="U259" s="86"/>
      <c r="CN259" s="69" t="str">
        <f t="shared" si="3658"/>
        <v>InitUnitState('IF25',,,,,,,,,,)</v>
      </c>
      <c r="CO259" s="69" t="str">
        <f t="shared" si="3659"/>
        <v>InitUnitNormal('IF25',,,,,,,,,,)</v>
      </c>
      <c r="CP259" s="69" t="str">
        <f t="shared" si="3660"/>
        <v>InitUnitMagic('IF25',,,,,,,,,,)</v>
      </c>
      <c r="CQ259" s="69" t="str">
        <f t="shared" si="3661"/>
        <v>InitUnitAdd('IF25',,,,,,,,,,)</v>
      </c>
      <c r="CR259" s="69" t="str">
        <f t="shared" si="3662"/>
        <v>InitEquipData('IF25',,"",,,,,'','','','','','',"")</v>
      </c>
      <c r="CU259" s="98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0"/>
      <c r="B260" s="80" t="s">
        <v>822</v>
      </c>
      <c r="C260" s="70" t="s">
        <v>797</v>
      </c>
      <c r="T260" s="134"/>
      <c r="U260" s="86"/>
      <c r="CN260" s="69" t="str">
        <f t="shared" si="3658"/>
        <v>InitUnitState('IF26',,,,,,,,,,)</v>
      </c>
      <c r="CO260" s="69" t="str">
        <f t="shared" si="3659"/>
        <v>InitUnitNormal('IF26',,,,,,,,,,)</v>
      </c>
      <c r="CP260" s="69" t="str">
        <f t="shared" si="3660"/>
        <v>InitUnitMagic('IF26',,,,,,,,,,)</v>
      </c>
      <c r="CQ260" s="69" t="str">
        <f t="shared" si="3661"/>
        <v>InitUnitAdd('IF26',,,,,,,,,,)</v>
      </c>
      <c r="CR260" s="69" t="str">
        <f t="shared" si="3662"/>
        <v>InitEquipData('IF26',,"",,,,,'','','','','','',"")</v>
      </c>
      <c r="CU260" s="98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0"/>
      <c r="B261" s="80" t="s">
        <v>823</v>
      </c>
      <c r="C261" s="70" t="s">
        <v>797</v>
      </c>
      <c r="T261" s="134"/>
      <c r="U261" s="86"/>
      <c r="CN261" s="69" t="str">
        <f t="shared" si="3658"/>
        <v>InitUnitState('IF27',,,,,,,,,,)</v>
      </c>
      <c r="CO261" s="69" t="str">
        <f t="shared" si="3659"/>
        <v>InitUnitNormal('IF27',,,,,,,,,,)</v>
      </c>
      <c r="CP261" s="69" t="str">
        <f t="shared" si="3660"/>
        <v>InitUnitMagic('IF27',,,,,,,,,,)</v>
      </c>
      <c r="CQ261" s="69" t="str">
        <f t="shared" si="3661"/>
        <v>InitUnitAdd('IF27',,,,,,,,,,)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0"/>
      <c r="B262" s="80" t="s">
        <v>824</v>
      </c>
      <c r="C262" s="70" t="s">
        <v>797</v>
      </c>
      <c r="T262" s="134"/>
      <c r="U262" s="86"/>
      <c r="CN262" s="69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69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69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69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69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0"/>
      <c r="B263" s="80" t="s">
        <v>825</v>
      </c>
      <c r="C263" s="70" t="s">
        <v>797</v>
      </c>
      <c r="T263" s="134"/>
      <c r="U263" s="86"/>
      <c r="CN263" s="69" t="str">
        <f t="shared" si="3805"/>
        <v>InitUnitState('IF29',,,,,,,,,,)</v>
      </c>
      <c r="CO263" s="69" t="str">
        <f t="shared" si="3806"/>
        <v>InitUnitNormal('IF29',,,,,,,,,,)</v>
      </c>
      <c r="CP263" s="69" t="str">
        <f t="shared" si="3807"/>
        <v>InitUnitMagic('IF29',,,,,,,,,,)</v>
      </c>
      <c r="CQ263" s="69" t="str">
        <f t="shared" si="3808"/>
        <v>InitUnitAdd('IF29',,,,,,,,,,)</v>
      </c>
      <c r="CR263" s="69" t="str">
        <f t="shared" si="3809"/>
        <v>InitEquipData('IF29',,"",,,,,'','','','','','',"")</v>
      </c>
      <c r="CU263" s="98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0"/>
      <c r="B264" s="80" t="s">
        <v>826</v>
      </c>
      <c r="C264" s="70" t="s">
        <v>797</v>
      </c>
      <c r="T264" s="134"/>
      <c r="U264" s="86"/>
      <c r="CN264" s="69" t="str">
        <f t="shared" si="3805"/>
        <v>InitUnitState('IF30',,,,,,,,,,)</v>
      </c>
      <c r="CO264" s="69" t="str">
        <f t="shared" si="3806"/>
        <v>InitUnitNormal('IF30',,,,,,,,,,)</v>
      </c>
      <c r="CP264" s="69" t="str">
        <f t="shared" si="3807"/>
        <v>InitUnitMagic('IF30',,,,,,,,,,)</v>
      </c>
      <c r="CQ264" s="69" t="str">
        <f t="shared" si="3808"/>
        <v>InitUnitAdd('IF30',,,,,,,,,,)</v>
      </c>
      <c r="CR264" s="69" t="str">
        <f t="shared" si="3809"/>
        <v>InitEquipData('IF30',,"",,,,,'','','','','','',"")</v>
      </c>
      <c r="CU264" s="98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0"/>
      <c r="B265" s="80" t="s">
        <v>827</v>
      </c>
      <c r="C265" s="70" t="s">
        <v>797</v>
      </c>
      <c r="T265" s="134"/>
      <c r="U265" s="86"/>
      <c r="CN265" s="69" t="str">
        <f t="shared" si="3805"/>
        <v>InitUnitState('IF31',,,,,,,,,,)</v>
      </c>
      <c r="CO265" s="69" t="str">
        <f t="shared" si="3806"/>
        <v>InitUnitNormal('IF31',,,,,,,,,,)</v>
      </c>
      <c r="CP265" s="69" t="str">
        <f t="shared" si="3807"/>
        <v>InitUnitMagic('IF31',,,,,,,,,,)</v>
      </c>
      <c r="CQ265" s="69" t="str">
        <f t="shared" si="3808"/>
        <v>InitUnitAdd('IF31',,,,,,,,,,)</v>
      </c>
      <c r="CR265" s="69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0"/>
      <c r="B266" s="80" t="s">
        <v>828</v>
      </c>
      <c r="C266" s="70" t="s">
        <v>797</v>
      </c>
      <c r="T266" s="134"/>
      <c r="U266" s="86"/>
      <c r="CN266" s="69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69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69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69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spans="1:175" ht="16.5">
      <c r="A267" s="124"/>
      <c r="B267" s="104" t="s">
        <v>829</v>
      </c>
      <c r="C267" s="104" t="s">
        <v>830</v>
      </c>
      <c r="T267" s="130"/>
      <c r="U267" s="86"/>
      <c r="CN267" s="69" t="str">
        <f t="shared" si="3805"/>
        <v>InitUnitState('IC00',,,,,,,,,,)</v>
      </c>
      <c r="CO267" s="69" t="str">
        <f t="shared" si="3806"/>
        <v>InitUnitNormal('IC00',,,,,,,,,,)</v>
      </c>
      <c r="CP267" s="69" t="str">
        <f t="shared" si="3807"/>
        <v>InitUnitMagic('IC00',,,,,,,,,,)</v>
      </c>
      <c r="CQ267" s="69" t="str">
        <f t="shared" si="3808"/>
        <v>InitUnitAdd('IC00',,,,,,,,,,)</v>
      </c>
      <c r="CR267" s="69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spans="1:175" ht="16.5">
      <c r="A268" s="124"/>
      <c r="B268" s="104" t="s">
        <v>831</v>
      </c>
      <c r="C268" s="104" t="s">
        <v>832</v>
      </c>
      <c r="T268" s="130"/>
      <c r="U268" s="86"/>
      <c r="CN268" s="69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69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69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69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69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spans="1:175" ht="16.5">
      <c r="A269" s="80"/>
      <c r="B269" s="104" t="s">
        <v>833</v>
      </c>
      <c r="C269" s="104" t="s">
        <v>116</v>
      </c>
      <c r="T269" s="134"/>
      <c r="U269" s="86"/>
      <c r="CN269" s="69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69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69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69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69" t="str">
        <f t="shared" si="3662"/>
        <v>InitEquipData('IC02',,"",,,,,'','','','','','',"")</v>
      </c>
      <c r="CU269" s="98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pans="1:175" s="60" customFormat="1" ht="16.5">
      <c r="A270" s="135"/>
      <c r="B270" s="104" t="s">
        <v>834</v>
      </c>
      <c r="C270" s="104" t="s">
        <v>835</v>
      </c>
      <c r="D270" s="74"/>
      <c r="E270" s="75"/>
      <c r="F270" s="136"/>
      <c r="G270" s="137"/>
      <c r="H270" s="137"/>
      <c r="I270" s="137"/>
      <c r="J270" s="137"/>
      <c r="K270" s="137"/>
      <c r="L270" s="137"/>
      <c r="M270" s="137"/>
      <c r="N270" s="137"/>
      <c r="O270" s="137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2"/>
        <v>InitUnitState('IC03',,,,,,,,,,)</v>
      </c>
      <c r="CO270" s="96" t="str">
        <f t="shared" si="3963"/>
        <v>InitUnitNormal('IC03',,,,,,,,,,)</v>
      </c>
      <c r="CP270" s="96" t="str">
        <f t="shared" si="3964"/>
        <v>InitUnitMagic('IC03',,,,,,,,,,)</v>
      </c>
      <c r="CQ270" s="96" t="str">
        <f t="shared" si="3965"/>
        <v>InitUnitAdd('IC03',,,,,,,,,,)</v>
      </c>
      <c r="CR270" s="96" t="str">
        <f t="shared" si="3662"/>
        <v>InitEquipData('IC03',,"",,,,,'','','','','','',"")</v>
      </c>
      <c r="CS270" s="96"/>
      <c r="CT270" s="96"/>
      <c r="CU270" s="98" t="str">
        <f t="shared" si="3734"/>
        <v>|n</v>
      </c>
      <c r="CV270" s="70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pans="1:175" s="60" customFormat="1" ht="16.5">
      <c r="A271" s="135"/>
      <c r="B271" s="104" t="s">
        <v>836</v>
      </c>
      <c r="C271" s="104" t="s">
        <v>837</v>
      </c>
      <c r="D271" s="74"/>
      <c r="E271" s="75"/>
      <c r="F271" s="136"/>
      <c r="G271" s="137"/>
      <c r="H271" s="137"/>
      <c r="I271" s="137"/>
      <c r="J271" s="137"/>
      <c r="K271" s="137"/>
      <c r="L271" s="137"/>
      <c r="M271" s="137"/>
      <c r="N271" s="137"/>
      <c r="O271" s="137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2"/>
        <v>InitUnitState('IC04',,,,,,,,,,)</v>
      </c>
      <c r="CO271" s="96" t="str">
        <f t="shared" si="3963"/>
        <v>InitUnitNormal('IC04',,,,,,,,,,)</v>
      </c>
      <c r="CP271" s="96" t="str">
        <f t="shared" si="3964"/>
        <v>InitUnitMagic('IC04',,,,,,,,,,)</v>
      </c>
      <c r="CQ271" s="96" t="str">
        <f t="shared" si="3965"/>
        <v>InitUnitAdd('IC04',,,,,,,,,,)</v>
      </c>
      <c r="CR271" s="96" t="str">
        <f t="shared" si="3662"/>
        <v>InitEquipData('IC04',,"",,,,,'','','','','','',"")</v>
      </c>
      <c r="CS271" s="96"/>
      <c r="CT271" s="96"/>
      <c r="CU271" s="98" t="str">
        <f t="shared" si="3734"/>
        <v>|n</v>
      </c>
      <c r="CV271" s="70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pans="1:175" s="60" customFormat="1" ht="16.5">
      <c r="A272" s="135"/>
      <c r="B272" s="104" t="s">
        <v>838</v>
      </c>
      <c r="C272" s="104" t="s">
        <v>839</v>
      </c>
      <c r="D272" s="74"/>
      <c r="E272" s="75"/>
      <c r="F272" s="136"/>
      <c r="G272" s="137"/>
      <c r="H272" s="137"/>
      <c r="I272" s="137"/>
      <c r="J272" s="137"/>
      <c r="K272" s="137"/>
      <c r="L272" s="137"/>
      <c r="M272" s="137"/>
      <c r="N272" s="137"/>
      <c r="O272" s="137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2"/>
        <v>InitUnitState('IC05',,,,,,,,,,)</v>
      </c>
      <c r="CO272" s="96" t="str">
        <f t="shared" si="3963"/>
        <v>InitUnitNormal('IC05',,,,,,,,,,)</v>
      </c>
      <c r="CP272" s="96" t="str">
        <f t="shared" si="3964"/>
        <v>InitUnitMagic('IC05',,,,,,,,,,)</v>
      </c>
      <c r="CQ272" s="96" t="str">
        <f t="shared" si="3965"/>
        <v>InitUnitAdd('IC05',,,,,,,,,,)</v>
      </c>
      <c r="CR272" s="96" t="str">
        <f t="shared" si="3662"/>
        <v>InitEquipData('IC05',,"",,,,,'','','','','','',"")</v>
      </c>
      <c r="CS272" s="96"/>
      <c r="CT272" s="96"/>
      <c r="CU272" s="98" t="str">
        <f t="shared" si="3734"/>
        <v>|n</v>
      </c>
      <c r="CV272" s="70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pans="1:175" s="60" customFormat="1" ht="16.5">
      <c r="A273" s="135"/>
      <c r="B273" s="104" t="s">
        <v>840</v>
      </c>
      <c r="C273" s="104" t="s">
        <v>841</v>
      </c>
      <c r="D273" s="74"/>
      <c r="E273" s="75"/>
      <c r="F273" s="136"/>
      <c r="G273" s="137"/>
      <c r="H273" s="137"/>
      <c r="I273" s="137"/>
      <c r="J273" s="137"/>
      <c r="K273" s="137"/>
      <c r="L273" s="137"/>
      <c r="M273" s="137"/>
      <c r="N273" s="137"/>
      <c r="O273" s="137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2"/>
        <v>InitUnitState('IC06',,,,,,,,,,)</v>
      </c>
      <c r="CO273" s="96" t="str">
        <f t="shared" si="3963"/>
        <v>InitUnitNormal('IC06',,,,,,,,,,)</v>
      </c>
      <c r="CP273" s="96" t="str">
        <f t="shared" si="3964"/>
        <v>InitUnitMagic('IC06',,,,,,,,,,)</v>
      </c>
      <c r="CQ273" s="96" t="str">
        <f t="shared" si="3965"/>
        <v>InitUnitAdd('IC06',,,,,,,,,,)</v>
      </c>
      <c r="CR273" s="96" t="str">
        <f t="shared" si="3662"/>
        <v>InitEquipData('IC06',,"",,,,,'','','','','','',"")</v>
      </c>
      <c r="CS273" s="96"/>
      <c r="CT273" s="96"/>
      <c r="CU273" s="98" t="str">
        <f t="shared" si="3734"/>
        <v>|n</v>
      </c>
      <c r="CV273" s="70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pans="1:175" s="60" customFormat="1" ht="16.5">
      <c r="A274" s="135"/>
      <c r="B274" s="104" t="s">
        <v>842</v>
      </c>
      <c r="C274" s="104" t="s">
        <v>843</v>
      </c>
      <c r="D274" s="74"/>
      <c r="E274" s="75"/>
      <c r="F274" s="136"/>
      <c r="G274" s="137"/>
      <c r="H274" s="137"/>
      <c r="I274" s="137"/>
      <c r="J274" s="137"/>
      <c r="K274" s="137"/>
      <c r="L274" s="137"/>
      <c r="M274" s="137"/>
      <c r="N274" s="137"/>
      <c r="O274" s="137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2"/>
        <v>InitUnitState('IC07',,,,,,,,,,)</v>
      </c>
      <c r="CO274" s="96" t="str">
        <f t="shared" si="3963"/>
        <v>InitUnitNormal('IC07',,,,,,,,,,)</v>
      </c>
      <c r="CP274" s="96" t="str">
        <f t="shared" si="3964"/>
        <v>InitUnitMagic('IC07',,,,,,,,,,)</v>
      </c>
      <c r="CQ274" s="96" t="str">
        <f t="shared" si="3965"/>
        <v>InitUnitAdd('IC07',,,,,,,,,,)</v>
      </c>
      <c r="CR274" s="96" t="str">
        <f t="shared" si="3662"/>
        <v>InitEquipData('IC07',,"",,,,,'','','','','','',"")</v>
      </c>
      <c r="CS274" s="96"/>
      <c r="CT274" s="96"/>
      <c r="CU274" s="98" t="str">
        <f t="shared" si="3734"/>
        <v>|n</v>
      </c>
      <c r="CV274" s="70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pans="1:175" s="60" customFormat="1" ht="16.5">
      <c r="A275" s="135"/>
      <c r="B275" s="104" t="s">
        <v>844</v>
      </c>
      <c r="C275" s="104" t="s">
        <v>845</v>
      </c>
      <c r="D275" s="74"/>
      <c r="E275" s="75"/>
      <c r="F275" s="136"/>
      <c r="G275" s="137"/>
      <c r="H275" s="137"/>
      <c r="I275" s="137"/>
      <c r="J275" s="137"/>
      <c r="K275" s="137"/>
      <c r="L275" s="137"/>
      <c r="M275" s="137"/>
      <c r="N275" s="137"/>
      <c r="O275" s="137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2"/>
        <v>InitUnitState('IC08',,,,,,,,,,)</v>
      </c>
      <c r="CO275" s="96" t="str">
        <f t="shared" si="3963"/>
        <v>InitUnitNormal('IC08',,,,,,,,,,)</v>
      </c>
      <c r="CP275" s="96" t="str">
        <f t="shared" si="3964"/>
        <v>InitUnitMagic('IC08',,,,,,,,,,)</v>
      </c>
      <c r="CQ275" s="96" t="str">
        <f t="shared" si="3965"/>
        <v>InitUnitAdd('IC08',,,,,,,,,,)</v>
      </c>
      <c r="CR275" s="96" t="str">
        <f t="shared" si="3662"/>
        <v>InitEquipData('IC08',,"",,,,,'','','','','','',"")</v>
      </c>
      <c r="CS275" s="96"/>
      <c r="CT275" s="96"/>
      <c r="CU275" s="98" t="str">
        <f t="shared" si="3734"/>
        <v>|n</v>
      </c>
      <c r="CV275" s="70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pans="1:175" s="60" customFormat="1" ht="16.5">
      <c r="A276" s="135"/>
      <c r="B276" s="104" t="s">
        <v>846</v>
      </c>
      <c r="C276" s="104" t="s">
        <v>847</v>
      </c>
      <c r="D276" s="74"/>
      <c r="E276" s="75"/>
      <c r="F276" s="136"/>
      <c r="G276" s="137"/>
      <c r="H276" s="137"/>
      <c r="I276" s="137"/>
      <c r="J276" s="137"/>
      <c r="K276" s="137"/>
      <c r="L276" s="137"/>
      <c r="M276" s="137"/>
      <c r="N276" s="137"/>
      <c r="O276" s="137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2"/>
        <v>InitUnitState('IC09',,,,,,,,,,)</v>
      </c>
      <c r="CO276" s="96" t="str">
        <f t="shared" si="3963"/>
        <v>InitUnitNormal('IC09',,,,,,,,,,)</v>
      </c>
      <c r="CP276" s="96" t="str">
        <f t="shared" si="3964"/>
        <v>InitUnitMagic('IC09',,,,,,,,,,)</v>
      </c>
      <c r="CQ276" s="96" t="str">
        <f t="shared" si="3965"/>
        <v>InitUnitAdd('IC09',,,,,,,,,,)</v>
      </c>
      <c r="CR276" s="96" t="str">
        <f t="shared" si="3662"/>
        <v>InitEquipData('IC09',,"",,,,,'','','','','','',"")</v>
      </c>
      <c r="CS276" s="96"/>
      <c r="CT276" s="96"/>
      <c r="CU276" s="98" t="str">
        <f t="shared" si="3734"/>
        <v>|n</v>
      </c>
      <c r="CV276" s="70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pans="1:175" s="60" customFormat="1" ht="16.5">
      <c r="A277" s="135"/>
      <c r="B277" s="104" t="s">
        <v>848</v>
      </c>
      <c r="C277" s="104" t="s">
        <v>849</v>
      </c>
      <c r="D277" s="74"/>
      <c r="E277" s="75"/>
      <c r="F277" s="136"/>
      <c r="G277" s="137"/>
      <c r="H277" s="137"/>
      <c r="I277" s="137"/>
      <c r="J277" s="137"/>
      <c r="K277" s="137"/>
      <c r="L277" s="137"/>
      <c r="M277" s="137"/>
      <c r="N277" s="137"/>
      <c r="O277" s="137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2"/>
        <v>InitUnitState('IC10',,,,,,,,,,)</v>
      </c>
      <c r="CO277" s="96" t="str">
        <f t="shared" si="3963"/>
        <v>InitUnitNormal('IC10',,,,,,,,,,)</v>
      </c>
      <c r="CP277" s="96" t="str">
        <f t="shared" si="3964"/>
        <v>InitUnitMagic('IC10',,,,,,,,,,)</v>
      </c>
      <c r="CQ277" s="96" t="str">
        <f t="shared" si="3965"/>
        <v>InitUnitAdd('IC10',,,,,,,,,,)</v>
      </c>
      <c r="CR277" s="96" t="str">
        <f t="shared" si="3662"/>
        <v>InitEquipData('IC10',,"",,,,,'','','','','','',"")</v>
      </c>
      <c r="CS277" s="96"/>
      <c r="CT277" s="96"/>
      <c r="CU277" s="98" t="str">
        <f t="shared" si="3734"/>
        <v>|n</v>
      </c>
      <c r="CV277" s="70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spans="1:175" ht="16.5">
      <c r="A278" s="72"/>
      <c r="B278" s="104" t="s">
        <v>850</v>
      </c>
      <c r="C278" s="104" t="s">
        <v>851</v>
      </c>
      <c r="E278" s="138"/>
      <c r="T278" s="140"/>
      <c r="U278" s="86"/>
      <c r="CU278" s="98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spans="1:175" ht="16.5">
      <c r="A279" s="72"/>
      <c r="B279" s="73"/>
      <c r="C279" s="72"/>
      <c r="E279" s="138"/>
      <c r="T279" s="140"/>
      <c r="U279" s="86"/>
      <c r="CU279" s="98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spans="1:175" ht="16.5">
      <c r="A280" s="72"/>
      <c r="B280" s="73"/>
      <c r="C280" s="72"/>
      <c r="E280" s="138"/>
      <c r="T280" s="140"/>
      <c r="U280" s="86"/>
      <c r="CU280" s="98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spans="1:175" ht="16.5">
      <c r="A281" s="72"/>
      <c r="B281" s="73"/>
      <c r="C281" s="72"/>
      <c r="E281" s="138"/>
      <c r="T281" s="140"/>
      <c r="U281" s="86"/>
      <c r="CU281" s="98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spans="1:175" ht="16.5">
      <c r="A282" s="72"/>
      <c r="B282" s="73"/>
      <c r="C282" s="72"/>
      <c r="E282" s="138"/>
      <c r="T282" s="140"/>
      <c r="U282" s="86"/>
      <c r="CU282" s="98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spans="1:175" ht="16.5">
      <c r="A283" s="72"/>
      <c r="B283" s="73"/>
      <c r="C283" s="72"/>
      <c r="E283" s="138"/>
      <c r="T283" s="140"/>
      <c r="U283" s="86"/>
      <c r="CU283" s="98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spans="1:175" ht="16.5">
      <c r="A284" s="72"/>
      <c r="B284" s="73"/>
      <c r="C284" s="72"/>
      <c r="E284" s="138"/>
      <c r="T284" s="140"/>
      <c r="U284" s="86"/>
      <c r="CU284" s="98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spans="1:175" ht="16.5">
      <c r="A285" s="72"/>
      <c r="B285" s="73"/>
      <c r="C285" s="72"/>
      <c r="E285" s="138"/>
      <c r="T285" s="140"/>
      <c r="U285" s="86"/>
      <c r="CU285" s="98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0"/>
      <c r="B286" s="80"/>
      <c r="C286" s="80"/>
      <c r="E286" s="138"/>
      <c r="T286" s="134"/>
      <c r="U286" s="86"/>
      <c r="CU286" s="98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0"/>
      <c r="B287" s="80"/>
      <c r="C287" s="80"/>
      <c r="E287" s="138"/>
      <c r="T287" s="134"/>
      <c r="U287" s="86"/>
      <c r="CU287" s="98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pans="1:175" s="60" customFormat="1" ht="16.5">
      <c r="A288" s="135"/>
      <c r="B288" s="73"/>
      <c r="C288" s="135"/>
      <c r="D288" s="74"/>
      <c r="E288" s="75"/>
      <c r="F288" s="136"/>
      <c r="G288" s="137"/>
      <c r="H288" s="137"/>
      <c r="I288" s="137"/>
      <c r="J288" s="137"/>
      <c r="K288" s="137"/>
      <c r="L288" s="137"/>
      <c r="M288" s="137"/>
      <c r="N288" s="137"/>
      <c r="O288" s="137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4"/>
        <v>|n</v>
      </c>
      <c r="CV288" s="70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pans="1:175" s="60" customFormat="1" ht="16.5">
      <c r="A289" s="135"/>
      <c r="B289" s="73"/>
      <c r="C289" s="135"/>
      <c r="D289" s="74"/>
      <c r="E289" s="75"/>
      <c r="F289" s="136"/>
      <c r="G289" s="137"/>
      <c r="H289" s="137"/>
      <c r="I289" s="137"/>
      <c r="J289" s="137"/>
      <c r="K289" s="137"/>
      <c r="L289" s="137"/>
      <c r="M289" s="137"/>
      <c r="N289" s="137"/>
      <c r="O289" s="137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6"/>
        <v>InitUnitState('',,,,,,,,,,)</v>
      </c>
      <c r="CO289" s="96" t="str">
        <f t="shared" si="3967"/>
        <v>InitUnitNormal('',,,,,,,,,,)</v>
      </c>
      <c r="CP289" s="96" t="str">
        <f t="shared" si="3968"/>
        <v>InitUnitMagic('',,,,,,,,,,)</v>
      </c>
      <c r="CQ289" s="96" t="str">
        <f t="shared" si="3969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4"/>
        <v>|n</v>
      </c>
      <c r="CV289" s="70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pans="1:175" s="60" customFormat="1" ht="16.5">
      <c r="A290" s="135"/>
      <c r="B290" s="73"/>
      <c r="C290" s="135"/>
      <c r="D290" s="74"/>
      <c r="E290" s="75"/>
      <c r="F290" s="136"/>
      <c r="G290" s="137"/>
      <c r="H290" s="137"/>
      <c r="I290" s="137"/>
      <c r="J290" s="137"/>
      <c r="K290" s="137"/>
      <c r="L290" s="137"/>
      <c r="M290" s="137"/>
      <c r="N290" s="137"/>
      <c r="O290" s="137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6"/>
        <v>InitUnitState('',,,,,,,,,,)</v>
      </c>
      <c r="CO290" s="96" t="str">
        <f t="shared" si="3967"/>
        <v>InitUnitNormal('',,,,,,,,,,)</v>
      </c>
      <c r="CP290" s="96" t="str">
        <f t="shared" si="3968"/>
        <v>InitUnitMagic('',,,,,,,,,,)</v>
      </c>
      <c r="CQ290" s="96" t="str">
        <f t="shared" si="3969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4"/>
        <v>|n</v>
      </c>
      <c r="CV290" s="70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pans="1:175" s="60" customFormat="1" ht="16.5">
      <c r="A291" s="135"/>
      <c r="B291" s="73"/>
      <c r="C291" s="135"/>
      <c r="D291" s="74"/>
      <c r="E291" s="75"/>
      <c r="F291" s="136"/>
      <c r="G291" s="137"/>
      <c r="H291" s="137"/>
      <c r="I291" s="137"/>
      <c r="J291" s="137"/>
      <c r="K291" s="137"/>
      <c r="L291" s="137"/>
      <c r="M291" s="137"/>
      <c r="N291" s="137"/>
      <c r="O291" s="137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6"/>
        <v>InitUnitState('',,,,,,,,,,)</v>
      </c>
      <c r="CO291" s="96" t="str">
        <f t="shared" si="3967"/>
        <v>InitUnitNormal('',,,,,,,,,,)</v>
      </c>
      <c r="CP291" s="96" t="str">
        <f t="shared" si="3968"/>
        <v>InitUnitMagic('',,,,,,,,,,)</v>
      </c>
      <c r="CQ291" s="96" t="str">
        <f t="shared" si="3969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4"/>
        <v>|n</v>
      </c>
      <c r="CV291" s="70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spans="1:175" ht="16.5">
      <c r="A292" s="72"/>
      <c r="B292" s="139"/>
      <c r="C292" s="72"/>
      <c r="E292" s="138"/>
      <c r="T292" s="141"/>
      <c r="U292" s="86"/>
      <c r="CU292" s="98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spans="1:175" ht="16.5">
      <c r="A293" s="72"/>
      <c r="B293" s="139"/>
      <c r="C293" s="72"/>
      <c r="E293" s="138"/>
      <c r="T293" s="141"/>
      <c r="U293" s="86"/>
      <c r="CU293" s="98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spans="1:175" ht="16.5">
      <c r="A294" s="72"/>
      <c r="B294" s="139"/>
      <c r="C294" s="72"/>
      <c r="E294" s="138"/>
      <c r="T294" s="141"/>
      <c r="U294" s="86"/>
      <c r="CU294" s="98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spans="1:175" ht="16.5">
      <c r="A295" s="72"/>
      <c r="B295" s="139"/>
      <c r="C295" s="72"/>
      <c r="E295" s="138"/>
      <c r="T295" s="141"/>
      <c r="U295" s="86"/>
      <c r="CU295" s="98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spans="1:175" ht="16.5">
      <c r="A296" s="72"/>
      <c r="B296" s="139"/>
      <c r="C296" s="72"/>
      <c r="E296" s="138"/>
      <c r="T296" s="141"/>
      <c r="U296" s="86"/>
      <c r="CU296" s="98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spans="1:175" ht="16.5">
      <c r="A297" s="72"/>
      <c r="B297" s="139"/>
      <c r="C297" s="72"/>
      <c r="E297" s="138"/>
      <c r="T297" s="141"/>
      <c r="U297" s="86"/>
      <c r="CU297" s="98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spans="1:175" ht="16.5">
      <c r="A298" s="72"/>
      <c r="B298" s="139"/>
      <c r="C298" s="72"/>
      <c r="E298" s="138"/>
      <c r="T298" s="141"/>
      <c r="U298" s="86"/>
      <c r="CU298" s="98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spans="1:175" ht="16.5">
      <c r="A299" s="72"/>
      <c r="B299" s="139"/>
      <c r="C299" s="72"/>
      <c r="E299" s="138"/>
      <c r="T299" s="141"/>
      <c r="U299" s="86"/>
      <c r="CU299" s="98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spans="1:175" ht="16.5">
      <c r="A300" s="72"/>
      <c r="B300" s="139"/>
      <c r="C300" s="72"/>
      <c r="E300" s="138"/>
      <c r="T300" s="141"/>
      <c r="U300" s="86"/>
      <c r="CU300" s="98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spans="1:175" ht="16.5">
      <c r="A301" s="72"/>
      <c r="B301" s="139"/>
      <c r="C301" s="72"/>
      <c r="E301" s="138"/>
      <c r="T301" s="141"/>
      <c r="U301" s="86"/>
      <c r="CU301" s="98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spans="1:175" ht="16.5">
      <c r="A302" s="72"/>
      <c r="B302" s="139"/>
      <c r="C302" s="72"/>
      <c r="E302" s="138"/>
      <c r="T302" s="141"/>
      <c r="U302" s="86"/>
      <c r="CU302" s="98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spans="1:175" ht="16.5">
      <c r="A303" s="72"/>
      <c r="B303" s="139"/>
      <c r="C303" s="72"/>
      <c r="E303" s="138"/>
      <c r="T303" s="141"/>
      <c r="U303" s="86"/>
      <c r="CU303" s="98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spans="1:175" ht="16.5">
      <c r="A304" s="72"/>
      <c r="B304" s="139"/>
      <c r="C304" s="72"/>
      <c r="E304" s="138"/>
      <c r="T304" s="141"/>
      <c r="U304" s="86"/>
      <c r="CU304" s="98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spans="1:175" ht="16.5">
      <c r="A305" s="72"/>
      <c r="B305" s="139"/>
      <c r="C305" s="72"/>
      <c r="E305" s="138"/>
      <c r="T305" s="141"/>
      <c r="U305" s="86"/>
      <c r="CU305" s="98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1:175">
      <c r="CN306" s="69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69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69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69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69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70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1:175">
      <c r="CN307" s="69" t="str">
        <f t="shared" si="3970"/>
        <v>InitUnitState('',,,,,,,,,,)</v>
      </c>
      <c r="CO307" s="69" t="str">
        <f t="shared" si="3971"/>
        <v>InitUnitNormal('',,,,,,,,,,)</v>
      </c>
      <c r="CP307" s="69" t="str">
        <f t="shared" si="3972"/>
        <v>InitUnitMagic('',,,,,,,,,,)</v>
      </c>
      <c r="CQ307" s="69" t="str">
        <f t="shared" si="3973"/>
        <v>InitUnitAdd('',,,,,,,,,,)</v>
      </c>
      <c r="CR307" s="69" t="str">
        <f t="shared" si="3974"/>
        <v>InitEquipData('',,"",,,,,'','','','','','',"")</v>
      </c>
      <c r="CU307" s="70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1:175">
      <c r="CN308" s="69" t="str">
        <f t="shared" si="3970"/>
        <v>InitUnitState('',,,,,,,,,,)</v>
      </c>
      <c r="CO308" s="69" t="str">
        <f t="shared" si="3971"/>
        <v>InitUnitNormal('',,,,,,,,,,)</v>
      </c>
      <c r="CP308" s="69" t="str">
        <f t="shared" si="3972"/>
        <v>InitUnitMagic('',,,,,,,,,,)</v>
      </c>
      <c r="CQ308" s="69" t="str">
        <f t="shared" si="3973"/>
        <v>InitUnitAdd('',,,,,,,,,,)</v>
      </c>
      <c r="CR308" s="69" t="str">
        <f t="shared" si="3974"/>
        <v>InitEquipData('',,"",,,,,'','','','','','',"")</v>
      </c>
      <c r="CU308" s="70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1:175">
      <c r="CN309" s="69" t="str">
        <f t="shared" si="3970"/>
        <v>InitUnitState('',,,,,,,,,,)</v>
      </c>
      <c r="CO309" s="69" t="str">
        <f t="shared" si="3971"/>
        <v>InitUnitNormal('',,,,,,,,,,)</v>
      </c>
      <c r="CP309" s="69" t="str">
        <f t="shared" si="3972"/>
        <v>InitUnitMagic('',,,,,,,,,,)</v>
      </c>
      <c r="CQ309" s="69" t="str">
        <f t="shared" si="3973"/>
        <v>InitUnitAdd('',,,,,,,,,,)</v>
      </c>
      <c r="CR309" s="69" t="str">
        <f t="shared" si="3974"/>
        <v>InitEquipData('',,"",,,,,'','','','','','',"")</v>
      </c>
      <c r="CU309" s="70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1:175">
      <c r="CN310" s="69" t="str">
        <f t="shared" si="3970"/>
        <v>InitUnitState('',,,,,,,,,,)</v>
      </c>
      <c r="CO310" s="69" t="str">
        <f t="shared" si="3971"/>
        <v>InitUnitNormal('',,,,,,,,,,)</v>
      </c>
      <c r="CP310" s="69" t="str">
        <f t="shared" si="3972"/>
        <v>InitUnitMagic('',,,,,,,,,,)</v>
      </c>
      <c r="CQ310" s="69" t="str">
        <f t="shared" si="3973"/>
        <v>InitUnitAdd('',,,,,,,,,,)</v>
      </c>
      <c r="CR310" s="69" t="str">
        <f t="shared" si="3974"/>
        <v>InitEquipData('',,"",,,,,'','','','','','',"")</v>
      </c>
      <c r="CU310" s="70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1:175">
      <c r="CN311" s="69" t="str">
        <f t="shared" si="3970"/>
        <v>InitUnitState('',,,,,,,,,,)</v>
      </c>
      <c r="CO311" s="69" t="str">
        <f t="shared" si="3971"/>
        <v>InitUnitNormal('',,,,,,,,,,)</v>
      </c>
      <c r="CP311" s="69" t="str">
        <f t="shared" si="3972"/>
        <v>InitUnitMagic('',,,,,,,,,,)</v>
      </c>
      <c r="CQ311" s="69" t="str">
        <f t="shared" si="3973"/>
        <v>InitUnitAdd('',,,,,,,,,,)</v>
      </c>
      <c r="CR311" s="69" t="str">
        <f t="shared" si="3974"/>
        <v>InitEquipData('',,"",,,,,'','','','','','',"")</v>
      </c>
      <c r="CU311" s="70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1:175">
      <c r="CN312" s="69" t="str">
        <f t="shared" si="3970"/>
        <v>InitUnitState('',,,,,,,,,,)</v>
      </c>
      <c r="CO312" s="69" t="str">
        <f t="shared" si="3971"/>
        <v>InitUnitNormal('',,,,,,,,,,)</v>
      </c>
      <c r="CP312" s="69" t="str">
        <f t="shared" si="3972"/>
        <v>InitUnitMagic('',,,,,,,,,,)</v>
      </c>
      <c r="CQ312" s="69" t="str">
        <f t="shared" si="3973"/>
        <v>InitUnitAdd('',,,,,,,,,,)</v>
      </c>
      <c r="CR312" s="69" t="str">
        <f t="shared" si="3974"/>
        <v>InitEquipData('',,"",,,,,'','','','','','',"")</v>
      </c>
      <c r="CU312" s="70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1:175">
      <c r="CN313" s="69" t="str">
        <f t="shared" si="3970"/>
        <v>InitUnitState('',,,,,,,,,,)</v>
      </c>
      <c r="CO313" s="69" t="str">
        <f t="shared" si="3971"/>
        <v>InitUnitNormal('',,,,,,,,,,)</v>
      </c>
      <c r="CP313" s="69" t="str">
        <f t="shared" si="3972"/>
        <v>InitUnitMagic('',,,,,,,,,,)</v>
      </c>
      <c r="CQ313" s="69" t="str">
        <f t="shared" si="3973"/>
        <v>InitUnitAdd('',,,,,,,,,,)</v>
      </c>
      <c r="CR313" s="69" t="str">
        <f t="shared" si="3974"/>
        <v>InitEquipData('',,"",,,,,'','','','','','',"")</v>
      </c>
      <c r="CU313" s="70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1:175">
      <c r="CN314" s="69" t="str">
        <f t="shared" si="3970"/>
        <v>InitUnitState('',,,,,,,,,,)</v>
      </c>
      <c r="CO314" s="69" t="str">
        <f t="shared" si="3971"/>
        <v>InitUnitNormal('',,,,,,,,,,)</v>
      </c>
      <c r="CP314" s="69" t="str">
        <f t="shared" si="3972"/>
        <v>InitUnitMagic('',,,,,,,,,,)</v>
      </c>
      <c r="CQ314" s="69" t="str">
        <f t="shared" si="3973"/>
        <v>InitUnitAdd('',,,,,,,,,,)</v>
      </c>
      <c r="CR314" s="69" t="str">
        <f t="shared" si="3974"/>
        <v>InitEquipData('',,"",,,,,'','','','','','',"")</v>
      </c>
      <c r="CU314" s="70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1:175">
      <c r="CN315" s="69" t="str">
        <f t="shared" si="3970"/>
        <v>InitUnitState('',,,,,,,,,,)</v>
      </c>
      <c r="CO315" s="69" t="str">
        <f t="shared" si="3971"/>
        <v>InitUnitNormal('',,,,,,,,,,)</v>
      </c>
      <c r="CP315" s="69" t="str">
        <f t="shared" si="3972"/>
        <v>InitUnitMagic('',,,,,,,,,,)</v>
      </c>
      <c r="CQ315" s="69" t="str">
        <f t="shared" si="3973"/>
        <v>InitUnitAdd('',,,,,,,,,,)</v>
      </c>
      <c r="CR315" s="69" t="str">
        <f t="shared" si="3974"/>
        <v>InitEquipData('',,"",,,,,'','','','','','',"")</v>
      </c>
      <c r="CU315" s="70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1:175">
      <c r="CN316" s="69" t="str">
        <f t="shared" si="3970"/>
        <v>InitUnitState('',,,,,,,,,,)</v>
      </c>
      <c r="CO316" s="69" t="str">
        <f t="shared" si="3971"/>
        <v>InitUnitNormal('',,,,,,,,,,)</v>
      </c>
      <c r="CP316" s="69" t="str">
        <f t="shared" si="3972"/>
        <v>InitUnitMagic('',,,,,,,,,,)</v>
      </c>
      <c r="CQ316" s="69" t="str">
        <f t="shared" si="3973"/>
        <v>InitUnitAdd('',,,,,,,,,,)</v>
      </c>
      <c r="CR316" s="69" t="str">
        <f t="shared" si="3974"/>
        <v>InitEquipData('',,"",,,,,'','','','','','',"")</v>
      </c>
      <c r="CU316" s="70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1:175">
      <c r="CN317" s="69" t="str">
        <f t="shared" si="3970"/>
        <v>InitUnitState('',,,,,,,,,,)</v>
      </c>
      <c r="CO317" s="69" t="str">
        <f t="shared" si="3971"/>
        <v>InitUnitNormal('',,,,,,,,,,)</v>
      </c>
      <c r="CP317" s="69" t="str">
        <f t="shared" si="3972"/>
        <v>InitUnitMagic('',,,,,,,,,,)</v>
      </c>
      <c r="CQ317" s="69" t="str">
        <f t="shared" si="3973"/>
        <v>InitUnitAdd('',,,,,,,,,,)</v>
      </c>
      <c r="CR317" s="69" t="str">
        <f t="shared" si="3974"/>
        <v>InitEquipData('',,"",,,,,'','','','','','',"")</v>
      </c>
      <c r="CU317" s="70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1:175">
      <c r="CN318" s="69" t="str">
        <f t="shared" si="3970"/>
        <v>InitUnitState('',,,,,,,,,,)</v>
      </c>
      <c r="CO318" s="69" t="str">
        <f t="shared" si="3971"/>
        <v>InitUnitNormal('',,,,,,,,,,)</v>
      </c>
      <c r="CP318" s="69" t="str">
        <f t="shared" si="3972"/>
        <v>InitUnitMagic('',,,,,,,,,,)</v>
      </c>
      <c r="CQ318" s="69" t="str">
        <f t="shared" si="3973"/>
        <v>InitUnitAdd('',,,,,,,,,,)</v>
      </c>
      <c r="CR318" s="69" t="str">
        <f t="shared" si="3974"/>
        <v>InitEquipData('',,"",,,,,'','','','','','',"")</v>
      </c>
      <c r="CU318" s="70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1:175">
      <c r="CN319" s="69" t="str">
        <f t="shared" si="3970"/>
        <v>InitUnitState('',,,,,,,,,,)</v>
      </c>
      <c r="CO319" s="69" t="str">
        <f t="shared" si="3971"/>
        <v>InitUnitNormal('',,,,,,,,,,)</v>
      </c>
      <c r="CP319" s="69" t="str">
        <f t="shared" si="3972"/>
        <v>InitUnitMagic('',,,,,,,,,,)</v>
      </c>
      <c r="CQ319" s="69" t="str">
        <f t="shared" si="3973"/>
        <v>InitUnitAdd('',,,,,,,,,,)</v>
      </c>
      <c r="CR319" s="69" t="str">
        <f t="shared" si="3974"/>
        <v>InitEquipData('',,"",,,,,'','','','','','',"")</v>
      </c>
      <c r="CU319" s="70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1:175">
      <c r="CN320" s="69" t="str">
        <f t="shared" si="3970"/>
        <v>InitUnitState('',,,,,,,,,,)</v>
      </c>
      <c r="CO320" s="69" t="str">
        <f t="shared" si="3971"/>
        <v>InitUnitNormal('',,,,,,,,,,)</v>
      </c>
      <c r="CP320" s="69" t="str">
        <f t="shared" si="3972"/>
        <v>InitUnitMagic('',,,,,,,,,,)</v>
      </c>
      <c r="CQ320" s="69" t="str">
        <f t="shared" si="3973"/>
        <v>InitUnitAdd('',,,,,,,,,,)</v>
      </c>
      <c r="CR320" s="69" t="str">
        <f t="shared" si="3974"/>
        <v>InitEquipData('',,"",,,,,'','','','','','',"")</v>
      </c>
      <c r="CU320" s="70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69" t="str">
        <f t="shared" si="3970"/>
        <v>InitUnitState('',,,,,,,,,,)</v>
      </c>
      <c r="CO321" s="69" t="str">
        <f t="shared" si="3971"/>
        <v>InitUnitNormal('',,,,,,,,,,)</v>
      </c>
      <c r="CP321" s="69" t="str">
        <f t="shared" si="3972"/>
        <v>InitUnitMagic('',,,,,,,,,,)</v>
      </c>
      <c r="CQ321" s="69" t="str">
        <f t="shared" si="3973"/>
        <v>InitUnitAdd('',,,,,,,,,,)</v>
      </c>
      <c r="CR321" s="69" t="str">
        <f t="shared" si="3974"/>
        <v>InitEquipData('',,"",,,,,'','','','','','',"")</v>
      </c>
      <c r="CU321" s="70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69" t="str">
        <f t="shared" si="3970"/>
        <v>InitUnitState('',,,,,,,,,,)</v>
      </c>
      <c r="CO322" s="69" t="str">
        <f t="shared" si="3971"/>
        <v>InitUnitNormal('',,,,,,,,,,)</v>
      </c>
      <c r="CP322" s="69" t="str">
        <f t="shared" si="3972"/>
        <v>InitUnitMagic('',,,,,,,,,,)</v>
      </c>
      <c r="CQ322" s="69" t="str">
        <f t="shared" si="3973"/>
        <v>InitUnitAdd('',,,,,,,,,,)</v>
      </c>
      <c r="CR322" s="69" t="str">
        <f t="shared" si="3974"/>
        <v>InitEquipData('',,"",,,,,'','','','','','',"")</v>
      </c>
      <c r="CU322" s="70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69" t="str">
        <f t="shared" si="3970"/>
        <v>InitUnitState('',,,,,,,,,,)</v>
      </c>
      <c r="CO323" s="69" t="str">
        <f t="shared" si="3971"/>
        <v>InitUnitNormal('',,,,,,,,,,)</v>
      </c>
      <c r="CP323" s="69" t="str">
        <f t="shared" si="3972"/>
        <v>InitUnitMagic('',,,,,,,,,,)</v>
      </c>
      <c r="CQ323" s="69" t="str">
        <f t="shared" si="3973"/>
        <v>InitUnitAdd('',,,,,,,,,,)</v>
      </c>
      <c r="CR323" s="69" t="str">
        <f t="shared" si="3974"/>
        <v>InitEquipData('',,"",,,,,'','','','','','',"")</v>
      </c>
      <c r="CU323" s="70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69" t="str">
        <f t="shared" si="3970"/>
        <v>InitUnitState('',,,,,,,,,,)</v>
      </c>
      <c r="CO324" s="69" t="str">
        <f t="shared" si="3971"/>
        <v>InitUnitNormal('',,,,,,,,,,)</v>
      </c>
      <c r="CP324" s="69" t="str">
        <f t="shared" si="3972"/>
        <v>InitUnitMagic('',,,,,,,,,,)</v>
      </c>
      <c r="CQ324" s="69" t="str">
        <f t="shared" si="3973"/>
        <v>InitUnitAdd('',,,,,,,,,,)</v>
      </c>
      <c r="CR324" s="69" t="str">
        <f t="shared" si="3974"/>
        <v>InitEquipData('',,"",,,,,'','','','','','',"")</v>
      </c>
      <c r="CU324" s="70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69" t="str">
        <f t="shared" si="3970"/>
        <v>InitUnitState('',,,,,,,,,,)</v>
      </c>
      <c r="CO325" s="69" t="str">
        <f t="shared" si="3971"/>
        <v>InitUnitNormal('',,,,,,,,,,)</v>
      </c>
      <c r="CP325" s="69" t="str">
        <f t="shared" si="3972"/>
        <v>InitUnitMagic('',,,,,,,,,,)</v>
      </c>
      <c r="CQ325" s="69" t="str">
        <f t="shared" si="3973"/>
        <v>InitUnitAdd('',,,,,,,,,,)</v>
      </c>
      <c r="CR325" s="69" t="str">
        <f t="shared" si="3974"/>
        <v>InitEquipData('',,"",,,,,'','','','','','',"")</v>
      </c>
      <c r="CU325" s="70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69" t="str">
        <f t="shared" si="3970"/>
        <v>InitUnitState('',,,,,,,,,,)</v>
      </c>
      <c r="CO326" s="69" t="str">
        <f t="shared" si="3971"/>
        <v>InitUnitNormal('',,,,,,,,,,)</v>
      </c>
      <c r="CP326" s="69" t="str">
        <f t="shared" si="3972"/>
        <v>InitUnitMagic('',,,,,,,,,,)</v>
      </c>
      <c r="CQ326" s="69" t="str">
        <f t="shared" si="3973"/>
        <v>InitUnitAdd('',,,,,,,,,,)</v>
      </c>
      <c r="CR326" s="69" t="str">
        <f t="shared" si="3974"/>
        <v>InitEquipData('',,"",,,,,'','','','','','',"")</v>
      </c>
      <c r="CU326" s="70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75">
      <c r="CN327" s="69" t="str">
        <f t="shared" si="3970"/>
        <v>InitUnitState('',,,,,,,,,,)</v>
      </c>
      <c r="CO327" s="69" t="str">
        <f t="shared" si="3971"/>
        <v>InitUnitNormal('',,,,,,,,,,)</v>
      </c>
      <c r="CP327" s="69" t="str">
        <f t="shared" si="3972"/>
        <v>InitUnitMagic('',,,,,,,,,,)</v>
      </c>
      <c r="CQ327" s="69" t="str">
        <f t="shared" si="3973"/>
        <v>InitUnitAdd('',,,,,,,,,,)</v>
      </c>
      <c r="CR327" s="69" t="str">
        <f t="shared" si="3974"/>
        <v>InitEquipData('',,"",,,,,'','','','','','',"")</v>
      </c>
      <c r="CU327" s="70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69" t="str">
        <f t="shared" si="3970"/>
        <v>InitUnitState('',,,,,,,,,,)</v>
      </c>
      <c r="CO328" s="69" t="str">
        <f t="shared" si="3971"/>
        <v>InitUnitNormal('',,,,,,,,,,)</v>
      </c>
      <c r="CP328" s="69" t="str">
        <f t="shared" si="3972"/>
        <v>InitUnitMagic('',,,,,,,,,,)</v>
      </c>
      <c r="CQ328" s="69" t="str">
        <f t="shared" si="3973"/>
        <v>InitUnitAdd('',,,,,,,,,,)</v>
      </c>
      <c r="CR328" s="69" t="str">
        <f t="shared" si="3974"/>
        <v>InitEquipData('',,"",,,,,'','','','','','',"")</v>
      </c>
      <c r="CU328" s="70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3970"/>
        <v>InitUnitState('',,,,,,,,,,)</v>
      </c>
      <c r="CO329" s="69" t="str">
        <f t="shared" si="3971"/>
        <v>InitUnitNormal('',,,,,,,,,,)</v>
      </c>
      <c r="CP329" s="69" t="str">
        <f t="shared" si="3972"/>
        <v>InitUnitMagic('',,,,,,,,,,)</v>
      </c>
      <c r="CQ329" s="69" t="str">
        <f t="shared" si="3973"/>
        <v>InitUnitAdd('',,,,,,,,,,)</v>
      </c>
      <c r="CR329" s="69" t="str">
        <f t="shared" si="3974"/>
        <v>InitEquipData('',,"",,,,,'','','','','','',"")</v>
      </c>
      <c r="CU329" s="70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3970"/>
        <v>InitUnitState('',,,,,,,,,,)</v>
      </c>
      <c r="CO330" s="69" t="str">
        <f t="shared" si="3971"/>
        <v>InitUnitNormal('',,,,,,,,,,)</v>
      </c>
      <c r="CP330" s="69" t="str">
        <f t="shared" si="3972"/>
        <v>InitUnitMagic('',,,,,,,,,,)</v>
      </c>
      <c r="CQ330" s="69" t="str">
        <f t="shared" si="3973"/>
        <v>InitUnitAdd('',,,,,,,,,,)</v>
      </c>
      <c r="CR330" s="69" t="str">
        <f t="shared" si="3974"/>
        <v>InitEquipData('',,"",,,,,'','','','','','',"")</v>
      </c>
      <c r="CU330" s="70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3970"/>
        <v>InitUnitState('',,,,,,,,,,)</v>
      </c>
      <c r="CO331" s="69" t="str">
        <f t="shared" si="3971"/>
        <v>InitUnitNormal('',,,,,,,,,,)</v>
      </c>
      <c r="CP331" s="69" t="str">
        <f t="shared" si="3972"/>
        <v>InitUnitMagic('',,,,,,,,,,)</v>
      </c>
      <c r="CQ331" s="69" t="str">
        <f t="shared" si="3973"/>
        <v>InitUnitAdd('',,,,,,,,,,)</v>
      </c>
      <c r="CR331" s="69" t="str">
        <f t="shared" si="3974"/>
        <v>InitEquipData('',,"",,,,,'','','','','','',"")</v>
      </c>
      <c r="CU331" s="70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3970"/>
        <v>InitUnitState('',,,,,,,,,,)</v>
      </c>
      <c r="CO332" s="69" t="str">
        <f t="shared" si="3971"/>
        <v>InitUnitNormal('',,,,,,,,,,)</v>
      </c>
      <c r="CP332" s="69" t="str">
        <f t="shared" si="3972"/>
        <v>InitUnitMagic('',,,,,,,,,,)</v>
      </c>
      <c r="CQ332" s="69" t="str">
        <f t="shared" si="3973"/>
        <v>InitUnitAdd('',,,,,,,,,,)</v>
      </c>
      <c r="CR332" s="69" t="str">
        <f t="shared" si="3974"/>
        <v>InitEquipData('',,"",,,,,'','','','','','',"")</v>
      </c>
      <c r="CU332" s="70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3970"/>
        <v>InitUnitState('',,,,,,,,,,)</v>
      </c>
      <c r="CO333" s="69" t="str">
        <f t="shared" si="3971"/>
        <v>InitUnitNormal('',,,,,,,,,,)</v>
      </c>
      <c r="CP333" s="69" t="str">
        <f t="shared" si="3972"/>
        <v>InitUnitMagic('',,,,,,,,,,)</v>
      </c>
      <c r="CQ333" s="69" t="str">
        <f t="shared" si="3973"/>
        <v>InitUnitAdd('',,,,,,,,,,)</v>
      </c>
      <c r="CR333" s="69" t="str">
        <f t="shared" si="3974"/>
        <v>InitEquipData('',,"",,,,,'','','','','','',"")</v>
      </c>
      <c r="CU333" s="70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3970"/>
        <v>InitUnitState('',,,,,,,,,,)</v>
      </c>
      <c r="CO334" s="69" t="str">
        <f t="shared" si="3971"/>
        <v>InitUnitNormal('',,,,,,,,,,)</v>
      </c>
      <c r="CP334" s="69" t="str">
        <f t="shared" si="3972"/>
        <v>InitUnitMagic('',,,,,,,,,,)</v>
      </c>
      <c r="CQ334" s="69" t="str">
        <f t="shared" si="3973"/>
        <v>InitUnitAdd('',,,,,,,,,,)</v>
      </c>
      <c r="CR334" s="69" t="str">
        <f t="shared" si="3974"/>
        <v>InitEquipData('',,"",,,,,'','','','','','',"")</v>
      </c>
      <c r="CU334" s="70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3970"/>
        <v>InitUnitState('',,,,,,,,,,)</v>
      </c>
      <c r="CO335" s="69" t="str">
        <f t="shared" si="3971"/>
        <v>InitUnitNormal('',,,,,,,,,,)</v>
      </c>
      <c r="CP335" s="69" t="str">
        <f t="shared" si="3972"/>
        <v>InitUnitMagic('',,,,,,,,,,)</v>
      </c>
      <c r="CQ335" s="69" t="str">
        <f t="shared" si="3973"/>
        <v>InitUnitAdd('',,,,,,,,,,)</v>
      </c>
      <c r="CR335" s="69" t="str">
        <f t="shared" si="3974"/>
        <v>InitEquipData('',,"",,,,,'','','','','','',"")</v>
      </c>
      <c r="CU335" s="70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3970"/>
        <v>InitUnitState('',,,,,,,,,,)</v>
      </c>
      <c r="CO336" s="69" t="str">
        <f t="shared" si="3971"/>
        <v>InitUnitNormal('',,,,,,,,,,)</v>
      </c>
      <c r="CP336" s="69" t="str">
        <f t="shared" si="3972"/>
        <v>InitUnitMagic('',,,,,,,,,,)</v>
      </c>
      <c r="CQ336" s="69" t="str">
        <f t="shared" si="3973"/>
        <v>InitUnitAdd('',,,,,,,,,,)</v>
      </c>
      <c r="CR336" s="69" t="str">
        <f t="shared" si="3974"/>
        <v>InitEquipData('',,"",,,,,'','','','','','',"")</v>
      </c>
      <c r="CU336" s="70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3970"/>
        <v>InitUnitState('',,,,,,,,,,)</v>
      </c>
      <c r="CO337" s="69" t="str">
        <f t="shared" si="3971"/>
        <v>InitUnitNormal('',,,,,,,,,,)</v>
      </c>
      <c r="CP337" s="69" t="str">
        <f t="shared" si="3972"/>
        <v>InitUnitMagic('',,,,,,,,,,)</v>
      </c>
      <c r="CQ337" s="69" t="str">
        <f t="shared" si="3973"/>
        <v>InitUnitAdd('',,,,,,,,,,)</v>
      </c>
      <c r="CR337" s="69" t="str">
        <f t="shared" si="3974"/>
        <v>InitEquipData('',,"",,,,,'','','','','','',"")</v>
      </c>
      <c r="CU337" s="70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69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69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69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69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70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47"/>
        <v>InitUnitState('',,,,,,,,,,)</v>
      </c>
      <c r="CO339" s="69" t="str">
        <f t="shared" si="4048"/>
        <v>InitUnitNormal('',,,,,,,,,,)</v>
      </c>
      <c r="CP339" s="69" t="str">
        <f t="shared" si="4049"/>
        <v>InitUnitMagic('',,,,,,,,,,)</v>
      </c>
      <c r="CQ339" s="69" t="str">
        <f t="shared" si="4050"/>
        <v>InitUnitAdd('',,,,,,,,,,)</v>
      </c>
      <c r="CR339" s="69" t="str">
        <f t="shared" si="4051"/>
        <v>InitEquipData('',,"",,,,,'','','','','','',"")</v>
      </c>
      <c r="CU339" s="70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47"/>
        <v>InitUnitState('',,,,,,,,,,)</v>
      </c>
      <c r="CO340" s="69" t="str">
        <f t="shared" si="4048"/>
        <v>InitUnitNormal('',,,,,,,,,,)</v>
      </c>
      <c r="CP340" s="69" t="str">
        <f t="shared" si="4049"/>
        <v>InitUnitMagic('',,,,,,,,,,)</v>
      </c>
      <c r="CQ340" s="69" t="str">
        <f t="shared" si="4050"/>
        <v>InitUnitAdd('',,,,,,,,,,)</v>
      </c>
      <c r="CR340" s="69" t="str">
        <f t="shared" si="4051"/>
        <v>InitEquipData('',,"",,,,,'','','','','','',"")</v>
      </c>
      <c r="CU340" s="70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047"/>
        <v>InitUnitState('',,,,,,,,,,)</v>
      </c>
      <c r="CO341" s="69" t="str">
        <f t="shared" si="4048"/>
        <v>InitUnitNormal('',,,,,,,,,,)</v>
      </c>
      <c r="CP341" s="69" t="str">
        <f t="shared" si="4049"/>
        <v>InitUnitMagic('',,,,,,,,,,)</v>
      </c>
      <c r="CQ341" s="69" t="str">
        <f t="shared" si="4050"/>
        <v>InitUnitAdd('',,,,,,,,,,)</v>
      </c>
      <c r="CR341" s="69" t="str">
        <f t="shared" si="4051"/>
        <v>InitEquipData('',,"",,,,,'','','','','','',"")</v>
      </c>
      <c r="CU341" s="70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047"/>
        <v>InitUnitState('',,,,,,,,,,)</v>
      </c>
      <c r="CO342" s="69" t="str">
        <f t="shared" si="4048"/>
        <v>InitUnitNormal('',,,,,,,,,,)</v>
      </c>
      <c r="CP342" s="69" t="str">
        <f t="shared" si="4049"/>
        <v>InitUnitMagic('',,,,,,,,,,)</v>
      </c>
      <c r="CQ342" s="69" t="str">
        <f t="shared" si="4050"/>
        <v>InitUnitAdd('',,,,,,,,,,)</v>
      </c>
      <c r="CR342" s="69" t="str">
        <f t="shared" si="4051"/>
        <v>InitEquipData('',,"",,,,,'','','','','','',"")</v>
      </c>
      <c r="CU342" s="70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047"/>
        <v>InitUnitState('',,,,,,,,,,)</v>
      </c>
      <c r="CO343" s="69" t="str">
        <f t="shared" si="4048"/>
        <v>InitUnitNormal('',,,,,,,,,,)</v>
      </c>
      <c r="CP343" s="69" t="str">
        <f t="shared" si="4049"/>
        <v>InitUnitMagic('',,,,,,,,,,)</v>
      </c>
      <c r="CQ343" s="69" t="str">
        <f t="shared" si="4050"/>
        <v>InitUnitAdd('',,,,,,,,,,)</v>
      </c>
      <c r="CR343" s="69" t="str">
        <f t="shared" si="4051"/>
        <v>InitEquipData('',,"",,,,,'','','','','','',"")</v>
      </c>
      <c r="CU343" s="70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047"/>
        <v>InitUnitState('',,,,,,,,,,)</v>
      </c>
      <c r="CO344" s="69" t="str">
        <f t="shared" si="4048"/>
        <v>InitUnitNormal('',,,,,,,,,,)</v>
      </c>
      <c r="CP344" s="69" t="str">
        <f t="shared" si="4049"/>
        <v>InitUnitMagic('',,,,,,,,,,)</v>
      </c>
      <c r="CQ344" s="69" t="str">
        <f t="shared" si="4050"/>
        <v>InitUnitAdd('',,,,,,,,,,)</v>
      </c>
      <c r="CR344" s="69" t="str">
        <f t="shared" si="4051"/>
        <v>InitEquipData('',,"",,,,,'','','','','','',"")</v>
      </c>
      <c r="CU344" s="70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047"/>
        <v>InitUnitState('',,,,,,,,,,)</v>
      </c>
      <c r="CO345" s="69" t="str">
        <f t="shared" si="4048"/>
        <v>InitUnitNormal('',,,,,,,,,,)</v>
      </c>
      <c r="CP345" s="69" t="str">
        <f t="shared" si="4049"/>
        <v>InitUnitMagic('',,,,,,,,,,)</v>
      </c>
      <c r="CQ345" s="69" t="str">
        <f t="shared" si="4050"/>
        <v>InitUnitAdd('',,,,,,,,,,)</v>
      </c>
      <c r="CR345" s="69" t="str">
        <f t="shared" si="4051"/>
        <v>InitEquipData('',,"",,,,,'','','','','','',"")</v>
      </c>
      <c r="CU345" s="70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047"/>
        <v>InitUnitState('',,,,,,,,,,)</v>
      </c>
      <c r="CO346" s="69" t="str">
        <f t="shared" si="4048"/>
        <v>InitUnitNormal('',,,,,,,,,,)</v>
      </c>
      <c r="CP346" s="69" t="str">
        <f t="shared" si="4049"/>
        <v>InitUnitMagic('',,,,,,,,,,)</v>
      </c>
      <c r="CQ346" s="69" t="str">
        <f t="shared" si="4050"/>
        <v>InitUnitAdd('',,,,,,,,,,)</v>
      </c>
      <c r="CR346" s="69" t="str">
        <f t="shared" si="4051"/>
        <v>InitEquipData('',,"",,,,,'','','','','','',"")</v>
      </c>
      <c r="CU346" s="70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047"/>
        <v>InitUnitState('',,,,,,,,,,)</v>
      </c>
      <c r="CO347" s="69" t="str">
        <f t="shared" si="4048"/>
        <v>InitUnitNormal('',,,,,,,,,,)</v>
      </c>
      <c r="CP347" s="69" t="str">
        <f t="shared" si="4049"/>
        <v>InitUnitMagic('',,,,,,,,,,)</v>
      </c>
      <c r="CQ347" s="69" t="str">
        <f t="shared" si="4050"/>
        <v>InitUnitAdd('',,,,,,,,,,)</v>
      </c>
      <c r="CR347" s="69" t="str">
        <f t="shared" si="4051"/>
        <v>InitEquipData('',,"",,,,,'','','','','','',"")</v>
      </c>
      <c r="CU347" s="70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047"/>
        <v>InitUnitState('',,,,,,,,,,)</v>
      </c>
      <c r="CO348" s="69" t="str">
        <f t="shared" si="4048"/>
        <v>InitUnitNormal('',,,,,,,,,,)</v>
      </c>
      <c r="CP348" s="69" t="str">
        <f t="shared" si="4049"/>
        <v>InitUnitMagic('',,,,,,,,,,)</v>
      </c>
      <c r="CQ348" s="69" t="str">
        <f t="shared" si="4050"/>
        <v>InitUnitAdd('',,,,,,,,,,)</v>
      </c>
      <c r="CR348" s="69" t="str">
        <f t="shared" si="4051"/>
        <v>InitEquipData('',,"",,,,,'','','','','','',"")</v>
      </c>
      <c r="CU348" s="70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047"/>
        <v>InitUnitState('',,,,,,,,,,)</v>
      </c>
      <c r="CO349" s="69" t="str">
        <f t="shared" si="4048"/>
        <v>InitUnitNormal('',,,,,,,,,,)</v>
      </c>
      <c r="CP349" s="69" t="str">
        <f t="shared" si="4049"/>
        <v>InitUnitMagic('',,,,,,,,,,)</v>
      </c>
      <c r="CQ349" s="69" t="str">
        <f t="shared" si="4050"/>
        <v>InitUnitAdd('',,,,,,,,,,)</v>
      </c>
      <c r="CR349" s="69" t="str">
        <f t="shared" si="4051"/>
        <v>InitEquipData('',,"",,,,,'','','','','','',"")</v>
      </c>
      <c r="CU349" s="70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047"/>
        <v>InitUnitState('',,,,,,,,,,)</v>
      </c>
      <c r="CO350" s="69" t="str">
        <f t="shared" si="4048"/>
        <v>InitUnitNormal('',,,,,,,,,,)</v>
      </c>
      <c r="CP350" s="69" t="str">
        <f t="shared" si="4049"/>
        <v>InitUnitMagic('',,,,,,,,,,)</v>
      </c>
      <c r="CQ350" s="69" t="str">
        <f t="shared" si="4050"/>
        <v>InitUnitAdd('',,,,,,,,,,)</v>
      </c>
      <c r="CR350" s="69" t="str">
        <f t="shared" si="4051"/>
        <v>InitEquipData('',,"",,,,,'','','','','','',"")</v>
      </c>
      <c r="CU350" s="70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047"/>
        <v>InitUnitState('',,,,,,,,,,)</v>
      </c>
      <c r="CO351" s="69" t="str">
        <f t="shared" si="4048"/>
        <v>InitUnitNormal('',,,,,,,,,,)</v>
      </c>
      <c r="CP351" s="69" t="str">
        <f t="shared" si="4049"/>
        <v>InitUnitMagic('',,,,,,,,,,)</v>
      </c>
      <c r="CQ351" s="69" t="str">
        <f t="shared" si="4050"/>
        <v>InitUnitAdd('',,,,,,,,,,)</v>
      </c>
      <c r="CR351" s="69" t="str">
        <f t="shared" si="4051"/>
        <v>InitEquipData('',,"",,,,,'','','','','','',"")</v>
      </c>
      <c r="CU351" s="70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047"/>
        <v>InitUnitState('',,,,,,,,,,)</v>
      </c>
      <c r="CO352" s="69" t="str">
        <f t="shared" si="4048"/>
        <v>InitUnitNormal('',,,,,,,,,,)</v>
      </c>
      <c r="CP352" s="69" t="str">
        <f t="shared" si="4049"/>
        <v>InitUnitMagic('',,,,,,,,,,)</v>
      </c>
      <c r="CQ352" s="69" t="str">
        <f t="shared" si="4050"/>
        <v>InitUnitAdd('',,,,,,,,,,)</v>
      </c>
      <c r="CR352" s="69" t="str">
        <f t="shared" si="4051"/>
        <v>InitEquipData('',,"",,,,,'','','','','','',"")</v>
      </c>
      <c r="CU352" s="70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047"/>
        <v>InitUnitState('',,,,,,,,,,)</v>
      </c>
      <c r="CO353" s="69" t="str">
        <f t="shared" si="4048"/>
        <v>InitUnitNormal('',,,,,,,,,,)</v>
      </c>
      <c r="CP353" s="69" t="str">
        <f t="shared" si="4049"/>
        <v>InitUnitMagic('',,,,,,,,,,)</v>
      </c>
      <c r="CQ353" s="69" t="str">
        <f t="shared" si="4050"/>
        <v>InitUnitAdd('',,,,,,,,,,)</v>
      </c>
      <c r="CR353" s="69" t="str">
        <f t="shared" si="4051"/>
        <v>InitEquipData('',,"",,,,,'','','','','','',"")</v>
      </c>
      <c r="CU353" s="70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047"/>
        <v>InitUnitState('',,,,,,,,,,)</v>
      </c>
      <c r="CO354" s="69" t="str">
        <f t="shared" si="4048"/>
        <v>InitUnitNormal('',,,,,,,,,,)</v>
      </c>
      <c r="CP354" s="69" t="str">
        <f t="shared" si="4049"/>
        <v>InitUnitMagic('',,,,,,,,,,)</v>
      </c>
      <c r="CQ354" s="69" t="str">
        <f t="shared" si="4050"/>
        <v>InitUnitAdd('',,,,,,,,,,)</v>
      </c>
      <c r="CR354" s="69" t="str">
        <f t="shared" si="4051"/>
        <v>InitEquipData('',,"",,,,,'','','','','','',"")</v>
      </c>
      <c r="CU354" s="70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047"/>
        <v>InitUnitState('',,,,,,,,,,)</v>
      </c>
      <c r="CO355" s="69" t="str">
        <f t="shared" si="4048"/>
        <v>InitUnitNormal('',,,,,,,,,,)</v>
      </c>
      <c r="CP355" s="69" t="str">
        <f t="shared" si="4049"/>
        <v>InitUnitMagic('',,,,,,,,,,)</v>
      </c>
      <c r="CQ355" s="69" t="str">
        <f t="shared" si="4050"/>
        <v>InitUnitAdd('',,,,,,,,,,)</v>
      </c>
      <c r="CR355" s="69" t="str">
        <f t="shared" si="4051"/>
        <v>InitEquipData('',,"",,,,,'','','','','','',"")</v>
      </c>
      <c r="CU355" s="70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047"/>
        <v>InitUnitState('',,,,,,,,,,)</v>
      </c>
      <c r="CO356" s="69" t="str">
        <f t="shared" si="4048"/>
        <v>InitUnitNormal('',,,,,,,,,,)</v>
      </c>
      <c r="CP356" s="69" t="str">
        <f t="shared" si="4049"/>
        <v>InitUnitMagic('',,,,,,,,,,)</v>
      </c>
      <c r="CQ356" s="69" t="str">
        <f t="shared" si="4050"/>
        <v>InitUnitAdd('',,,,,,,,,,)</v>
      </c>
      <c r="CR356" s="69" t="str">
        <f t="shared" si="4051"/>
        <v>InitEquipData('',,"",,,,,'','','','','','',"")</v>
      </c>
      <c r="CU356" s="70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047"/>
        <v>InitUnitState('',,,,,,,,,,)</v>
      </c>
      <c r="CO357" s="69" t="str">
        <f t="shared" si="4048"/>
        <v>InitUnitNormal('',,,,,,,,,,)</v>
      </c>
      <c r="CP357" s="69" t="str">
        <f t="shared" si="4049"/>
        <v>InitUnitMagic('',,,,,,,,,,)</v>
      </c>
      <c r="CQ357" s="69" t="str">
        <f t="shared" si="4050"/>
        <v>InitUnitAdd('',,,,,,,,,,)</v>
      </c>
      <c r="CR357" s="69" t="str">
        <f t="shared" si="4051"/>
        <v>InitEquipData('',,"",,,,,'','','','','','',"")</v>
      </c>
      <c r="CU357" s="70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852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853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854</v>
      </c>
      <c r="H1" s="39" t="s">
        <v>855</v>
      </c>
      <c r="I1" s="43" t="s">
        <v>856</v>
      </c>
      <c r="J1" s="44" t="s">
        <v>852</v>
      </c>
      <c r="K1" s="45" t="s">
        <v>127</v>
      </c>
      <c r="L1" s="46" t="s">
        <v>128</v>
      </c>
      <c r="M1" s="47" t="s">
        <v>857</v>
      </c>
      <c r="N1" s="48" t="s">
        <v>858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859</v>
      </c>
      <c r="CD1" s="10" t="s">
        <v>859</v>
      </c>
      <c r="CE1" s="10" t="s">
        <v>859</v>
      </c>
      <c r="CF1" s="10" t="s">
        <v>859</v>
      </c>
      <c r="CH1" s="10" t="s">
        <v>859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860</v>
      </c>
      <c r="CC2" s="10" t="s">
        <v>861</v>
      </c>
      <c r="CD2" s="10" t="s">
        <v>862</v>
      </c>
      <c r="CE2" s="10" t="s">
        <v>863</v>
      </c>
      <c r="CF2" s="10" t="s">
        <v>864</v>
      </c>
      <c r="CG2" s="10" t="s">
        <v>865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866</v>
      </c>
      <c r="B1" s="10" t="s">
        <v>867</v>
      </c>
      <c r="C1" s="10" t="s">
        <v>868</v>
      </c>
      <c r="D1" s="10" t="s">
        <v>869</v>
      </c>
      <c r="E1" s="10" t="s">
        <v>870</v>
      </c>
    </row>
    <row r="2" spans="1:11" ht="16.5">
      <c r="A2" s="9">
        <v>1</v>
      </c>
      <c r="B2" s="9" t="s">
        <v>871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872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873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874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875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876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796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798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799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800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801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802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803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804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805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806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807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808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809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810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811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812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813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814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815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816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817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818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819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820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821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822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823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877</v>
      </c>
      <c r="G1" t="s">
        <v>878</v>
      </c>
      <c r="I1" t="s">
        <v>879</v>
      </c>
      <c r="J1">
        <v>11</v>
      </c>
      <c r="P1" t="s">
        <v>880</v>
      </c>
      <c r="U1" t="s">
        <v>881</v>
      </c>
      <c r="V1" t="s">
        <v>882</v>
      </c>
      <c r="X1" s="10" t="s">
        <v>883</v>
      </c>
    </row>
    <row r="2" spans="1:25">
      <c r="A2" t="s">
        <v>884</v>
      </c>
      <c r="D2">
        <v>800</v>
      </c>
      <c r="E2" s="30">
        <v>1</v>
      </c>
      <c r="F2" s="31">
        <f>D2/E2</f>
        <v>800</v>
      </c>
      <c r="I2" t="s">
        <v>885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886</v>
      </c>
      <c r="D3">
        <v>800</v>
      </c>
      <c r="E3" s="30">
        <v>1</v>
      </c>
      <c r="F3" s="31">
        <f t="shared" ref="F3:F25" si="1">D3/E3</f>
        <v>800</v>
      </c>
      <c r="I3" t="s">
        <v>887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888</v>
      </c>
      <c r="D4">
        <v>800</v>
      </c>
      <c r="E4" s="30">
        <v>1</v>
      </c>
      <c r="F4" s="31">
        <f t="shared" si="1"/>
        <v>800</v>
      </c>
      <c r="I4" t="s">
        <v>889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890</v>
      </c>
      <c r="D5">
        <v>800</v>
      </c>
      <c r="E5" s="30">
        <v>1</v>
      </c>
      <c r="F5" s="31">
        <f t="shared" si="1"/>
        <v>800</v>
      </c>
      <c r="I5" t="s">
        <v>891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892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893</v>
      </c>
      <c r="D7">
        <v>2500</v>
      </c>
      <c r="E7" s="30">
        <v>0.85</v>
      </c>
      <c r="F7" s="31">
        <f t="shared" si="1"/>
        <v>2941.1764705882401</v>
      </c>
      <c r="J7" t="s">
        <v>894</v>
      </c>
      <c r="K7" s="10" t="s">
        <v>895</v>
      </c>
      <c r="L7" s="10" t="s">
        <v>896</v>
      </c>
      <c r="M7" t="s">
        <v>897</v>
      </c>
      <c r="N7" t="s">
        <v>898</v>
      </c>
      <c r="P7">
        <f t="shared" si="0"/>
        <v>85</v>
      </c>
    </row>
    <row r="8" spans="1:25">
      <c r="A8" t="s">
        <v>899</v>
      </c>
      <c r="D8">
        <v>2500</v>
      </c>
      <c r="E8" s="30">
        <v>0.85</v>
      </c>
      <c r="F8" s="31">
        <f t="shared" si="1"/>
        <v>2941.1764705882401</v>
      </c>
      <c r="I8" t="s">
        <v>900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901</v>
      </c>
      <c r="D9">
        <v>2500</v>
      </c>
      <c r="E9" s="30">
        <v>0.85</v>
      </c>
      <c r="F9" s="31">
        <f t="shared" si="1"/>
        <v>2941.1764705882401</v>
      </c>
      <c r="I9" t="s">
        <v>902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903</v>
      </c>
      <c r="D10">
        <v>2500</v>
      </c>
      <c r="E10" s="30">
        <v>0.85</v>
      </c>
      <c r="F10" s="31">
        <f t="shared" si="1"/>
        <v>2941.1764705882401</v>
      </c>
      <c r="I10" t="s">
        <v>904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905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906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907</v>
      </c>
      <c r="D12">
        <v>8000</v>
      </c>
      <c r="E12" s="30">
        <v>0.7</v>
      </c>
      <c r="F12" s="31">
        <f t="shared" si="1"/>
        <v>11428.5714285714</v>
      </c>
      <c r="I12" t="s">
        <v>908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910</v>
      </c>
      <c r="N13">
        <f>SUM(N8:N12)</f>
        <v>1061280</v>
      </c>
      <c r="P13">
        <f t="shared" si="0"/>
        <v>70</v>
      </c>
    </row>
    <row r="14" spans="1:25">
      <c r="A14" t="s">
        <v>911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912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913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914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915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916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917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918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920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922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923</v>
      </c>
      <c r="E26" t="s">
        <v>924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925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926</v>
      </c>
      <c r="B31" s="10" t="s">
        <v>114</v>
      </c>
      <c r="C31" s="10" t="s">
        <v>124</v>
      </c>
      <c r="F31" s="10" t="s">
        <v>927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928</v>
      </c>
      <c r="G32" s="10" t="s">
        <v>929</v>
      </c>
      <c r="H32" s="10" t="s">
        <v>877</v>
      </c>
      <c r="J32" s="10" t="s">
        <v>930</v>
      </c>
      <c r="K32" s="10" t="s">
        <v>931</v>
      </c>
      <c r="L32" s="10" t="s">
        <v>1</v>
      </c>
      <c r="M32" s="10" t="s">
        <v>877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924</v>
      </c>
      <c r="N41">
        <f>SUM(N33:N40)</f>
        <v>28860</v>
      </c>
      <c r="O41">
        <f>SUM(O33:O40)</f>
        <v>9600</v>
      </c>
    </row>
    <row r="42" spans="1:15">
      <c r="A42" s="10" t="s">
        <v>924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932</v>
      </c>
      <c r="B45" s="10" t="s">
        <v>933</v>
      </c>
      <c r="C45" s="10" t="s">
        <v>934</v>
      </c>
      <c r="F45" s="10" t="s">
        <v>935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936</v>
      </c>
      <c r="G46" s="32" t="s">
        <v>937</v>
      </c>
      <c r="H46" s="32" t="s">
        <v>165</v>
      </c>
      <c r="I46" s="10" t="s">
        <v>938</v>
      </c>
      <c r="K46" s="10"/>
    </row>
    <row r="47" spans="1:15">
      <c r="A47">
        <v>2</v>
      </c>
      <c r="B47">
        <f t="shared" si="11"/>
        <v>200</v>
      </c>
      <c r="C47" s="10" t="s">
        <v>939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940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924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834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836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840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842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846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848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634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641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645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941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829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942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836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838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842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844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848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850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941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634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641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829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641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645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641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645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831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833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834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836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838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840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842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844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846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848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850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638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829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943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944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834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840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846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709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713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717</v>
      </c>
      <c r="H121" t="str">
        <f t="shared" si="1"/>
        <v>E技能附魔卷</v>
      </c>
    </row>
    <row r="122" spans="1:8" ht="16.5">
      <c r="A122" s="9" t="s">
        <v>508</v>
      </c>
      <c r="B122" s="9" t="s">
        <v>945</v>
      </c>
      <c r="G122" s="9" t="s">
        <v>721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946</v>
      </c>
      <c r="G123" s="9" t="s">
        <v>724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947</v>
      </c>
      <c r="G124" s="9" t="s">
        <v>727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948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949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950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951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952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953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954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955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956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957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958</v>
      </c>
      <c r="G137" s="9" t="s">
        <v>709</v>
      </c>
      <c r="H137" t="str">
        <f t="shared" si="2"/>
        <v>Q技能附魔卷</v>
      </c>
    </row>
    <row r="138" spans="1:8" ht="16.5">
      <c r="A138" s="9" t="s">
        <v>557</v>
      </c>
      <c r="B138" s="23" t="s">
        <v>959</v>
      </c>
      <c r="G138" s="9" t="s">
        <v>721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960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961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796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798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799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800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801</v>
      </c>
      <c r="H145" t="str">
        <f t="shared" si="2"/>
        <v>附魔</v>
      </c>
    </row>
    <row r="146" spans="1:8" ht="16.5">
      <c r="A146" s="24" t="s">
        <v>585</v>
      </c>
      <c r="B146" s="20" t="s">
        <v>962</v>
      </c>
      <c r="G146" s="9" t="s">
        <v>802</v>
      </c>
      <c r="H146" t="str">
        <f t="shared" si="2"/>
        <v>附魔</v>
      </c>
    </row>
    <row r="147" spans="1:8" ht="16.5">
      <c r="A147" s="24" t="s">
        <v>589</v>
      </c>
      <c r="B147" s="20" t="s">
        <v>963</v>
      </c>
      <c r="G147" s="9" t="s">
        <v>803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804</v>
      </c>
      <c r="H148" t="str">
        <f t="shared" si="2"/>
        <v>附魔</v>
      </c>
    </row>
    <row r="149" spans="1:8" ht="16.5">
      <c r="A149" s="9" t="s">
        <v>618</v>
      </c>
      <c r="B149" s="9" t="s">
        <v>964</v>
      </c>
      <c r="G149" s="9" t="s">
        <v>805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806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807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808</v>
      </c>
      <c r="H152" t="str">
        <f t="shared" si="2"/>
        <v>附魔</v>
      </c>
    </row>
    <row r="153" spans="1:8" ht="16.5">
      <c r="A153" s="9" t="s">
        <v>631</v>
      </c>
      <c r="B153" s="15" t="s">
        <v>632</v>
      </c>
      <c r="G153" s="9" t="s">
        <v>809</v>
      </c>
      <c r="H153" t="str">
        <f t="shared" si="2"/>
        <v>附魔</v>
      </c>
    </row>
    <row r="154" spans="1:8" ht="16.5">
      <c r="A154" s="9" t="s">
        <v>634</v>
      </c>
      <c r="B154" s="25" t="s">
        <v>635</v>
      </c>
      <c r="G154" s="9" t="s">
        <v>810</v>
      </c>
      <c r="H154" t="str">
        <f t="shared" si="2"/>
        <v>附魔</v>
      </c>
    </row>
    <row r="155" spans="1:8" ht="16.5">
      <c r="A155" s="9" t="s">
        <v>638</v>
      </c>
      <c r="B155" s="25" t="s">
        <v>639</v>
      </c>
      <c r="G155" s="9" t="s">
        <v>811</v>
      </c>
      <c r="H155" t="str">
        <f t="shared" si="2"/>
        <v>附魔</v>
      </c>
    </row>
    <row r="156" spans="1:8" ht="16.5">
      <c r="A156" s="9" t="s">
        <v>641</v>
      </c>
      <c r="B156" s="25" t="s">
        <v>642</v>
      </c>
      <c r="G156" s="9" t="s">
        <v>812</v>
      </c>
      <c r="H156" t="str">
        <f t="shared" si="2"/>
        <v>附魔</v>
      </c>
    </row>
    <row r="157" spans="1:8" ht="16.5">
      <c r="A157" s="9" t="s">
        <v>645</v>
      </c>
      <c r="B157" s="25" t="s">
        <v>646</v>
      </c>
      <c r="G157" s="11"/>
      <c r="H157" t="str">
        <f t="shared" si="2"/>
        <v/>
      </c>
    </row>
    <row r="158" spans="1:8" ht="16.5">
      <c r="A158" s="9" t="s">
        <v>649</v>
      </c>
      <c r="B158" s="15" t="s">
        <v>650</v>
      </c>
      <c r="G158" s="8"/>
      <c r="H158" t="str">
        <f t="shared" si="2"/>
        <v/>
      </c>
    </row>
    <row r="159" spans="1:8" ht="16.5">
      <c r="A159" s="9" t="s">
        <v>651</v>
      </c>
      <c r="B159" s="15" t="s">
        <v>652</v>
      </c>
      <c r="G159" s="9" t="s">
        <v>813</v>
      </c>
      <c r="H159" t="str">
        <f t="shared" si="2"/>
        <v>附魔</v>
      </c>
    </row>
    <row r="160" spans="1:8" ht="16.5">
      <c r="A160" s="9" t="s">
        <v>653</v>
      </c>
      <c r="B160" s="15" t="s">
        <v>654</v>
      </c>
      <c r="G160" s="9" t="s">
        <v>814</v>
      </c>
      <c r="H160" t="str">
        <f t="shared" si="2"/>
        <v>附魔</v>
      </c>
    </row>
    <row r="161" spans="1:8" ht="16.5">
      <c r="A161" s="9" t="s">
        <v>655</v>
      </c>
      <c r="B161" s="15" t="s">
        <v>656</v>
      </c>
      <c r="G161" s="9" t="s">
        <v>815</v>
      </c>
      <c r="H161" t="str">
        <f t="shared" si="2"/>
        <v>附魔</v>
      </c>
    </row>
    <row r="162" spans="1:8" ht="16.5">
      <c r="A162" s="9" t="s">
        <v>657</v>
      </c>
      <c r="B162" s="15" t="s">
        <v>658</v>
      </c>
      <c r="G162" s="9" t="s">
        <v>816</v>
      </c>
      <c r="H162" t="str">
        <f t="shared" si="2"/>
        <v>附魔</v>
      </c>
    </row>
    <row r="163" spans="1:8" ht="16.5">
      <c r="A163" s="9" t="s">
        <v>659</v>
      </c>
      <c r="B163" s="15" t="s">
        <v>660</v>
      </c>
      <c r="G163" s="9" t="s">
        <v>817</v>
      </c>
      <c r="H163" t="str">
        <f t="shared" si="2"/>
        <v>附魔</v>
      </c>
    </row>
    <row r="164" spans="1:8" ht="16.5">
      <c r="A164" s="9" t="s">
        <v>661</v>
      </c>
      <c r="B164" s="15" t="s">
        <v>662</v>
      </c>
      <c r="G164" s="9" t="s">
        <v>818</v>
      </c>
      <c r="H164" t="str">
        <f t="shared" si="2"/>
        <v>附魔</v>
      </c>
    </row>
    <row r="165" spans="1:8" ht="16.5">
      <c r="A165" s="9" t="s">
        <v>664</v>
      </c>
      <c r="B165" s="15" t="s">
        <v>665</v>
      </c>
      <c r="G165" s="9" t="s">
        <v>819</v>
      </c>
      <c r="H165" t="str">
        <f t="shared" si="2"/>
        <v>附魔</v>
      </c>
    </row>
    <row r="166" spans="1:8" ht="16.5">
      <c r="A166" s="9" t="s">
        <v>666</v>
      </c>
      <c r="B166" s="15" t="s">
        <v>667</v>
      </c>
      <c r="G166" s="9" t="s">
        <v>820</v>
      </c>
      <c r="H166" t="str">
        <f t="shared" si="2"/>
        <v>附魔</v>
      </c>
    </row>
    <row r="167" spans="1:8" ht="16.5">
      <c r="A167" s="9" t="s">
        <v>668</v>
      </c>
      <c r="B167" s="15" t="s">
        <v>669</v>
      </c>
      <c r="G167" s="9" t="s">
        <v>821</v>
      </c>
      <c r="H167" t="str">
        <f t="shared" si="2"/>
        <v>附魔</v>
      </c>
    </row>
    <row r="168" spans="1:8" ht="16.5">
      <c r="A168" s="9" t="s">
        <v>670</v>
      </c>
      <c r="B168" s="15" t="s">
        <v>671</v>
      </c>
      <c r="G168" s="9" t="s">
        <v>822</v>
      </c>
      <c r="H168" t="str">
        <f t="shared" si="2"/>
        <v>附魔</v>
      </c>
    </row>
    <row r="169" spans="1:8" ht="16.5">
      <c r="A169" s="9" t="s">
        <v>673</v>
      </c>
      <c r="B169" s="15" t="s">
        <v>674</v>
      </c>
      <c r="G169" s="9" t="s">
        <v>823</v>
      </c>
      <c r="H169" t="str">
        <f t="shared" si="2"/>
        <v>附魔</v>
      </c>
    </row>
    <row r="170" spans="1:8" ht="16.5">
      <c r="A170" s="9" t="s">
        <v>676</v>
      </c>
      <c r="B170" s="15" t="s">
        <v>677</v>
      </c>
      <c r="G170" s="9" t="s">
        <v>824</v>
      </c>
      <c r="H170" t="str">
        <f t="shared" si="2"/>
        <v>附魔</v>
      </c>
    </row>
    <row r="171" spans="1:8" ht="16.5">
      <c r="A171" s="9" t="s">
        <v>679</v>
      </c>
      <c r="B171" s="15" t="s">
        <v>680</v>
      </c>
      <c r="G171" s="9" t="s">
        <v>825</v>
      </c>
      <c r="H171" t="str">
        <f t="shared" si="2"/>
        <v>附魔</v>
      </c>
    </row>
    <row r="172" spans="1:8" ht="16.5">
      <c r="A172" s="9" t="s">
        <v>681</v>
      </c>
      <c r="B172" s="15" t="s">
        <v>682</v>
      </c>
      <c r="G172" s="9" t="s">
        <v>826</v>
      </c>
      <c r="H172" t="str">
        <f t="shared" si="2"/>
        <v>附魔</v>
      </c>
    </row>
    <row r="173" spans="1:8" ht="16.5">
      <c r="A173" s="9" t="s">
        <v>684</v>
      </c>
      <c r="B173" s="15" t="s">
        <v>685</v>
      </c>
      <c r="G173" s="9" t="s">
        <v>827</v>
      </c>
      <c r="H173" t="str">
        <f t="shared" si="2"/>
        <v>附魔</v>
      </c>
    </row>
    <row r="174" spans="1:8" ht="16.5">
      <c r="A174" s="9" t="s">
        <v>691</v>
      </c>
      <c r="B174" s="15" t="s">
        <v>692</v>
      </c>
      <c r="G174" s="9" t="s">
        <v>828</v>
      </c>
      <c r="H174" t="e">
        <f t="shared" si="2"/>
        <v>#N/A</v>
      </c>
    </row>
    <row r="175" spans="1:8" ht="16.5">
      <c r="A175" s="9" t="s">
        <v>694</v>
      </c>
      <c r="B175" s="15" t="s">
        <v>965</v>
      </c>
    </row>
    <row r="176" spans="1:8" ht="16.5">
      <c r="A176" s="9" t="s">
        <v>697</v>
      </c>
      <c r="B176" s="15" t="s">
        <v>966</v>
      </c>
    </row>
    <row r="177" spans="1:2" ht="16.5">
      <c r="A177" s="9" t="s">
        <v>700</v>
      </c>
      <c r="B177" s="15" t="s">
        <v>967</v>
      </c>
    </row>
    <row r="178" spans="1:2" ht="16.5">
      <c r="A178" s="9" t="s">
        <v>709</v>
      </c>
      <c r="B178" s="15" t="s">
        <v>968</v>
      </c>
    </row>
    <row r="179" spans="1:2" ht="16.5">
      <c r="A179" s="9" t="s">
        <v>713</v>
      </c>
      <c r="B179" s="15" t="s">
        <v>969</v>
      </c>
    </row>
    <row r="180" spans="1:2" ht="16.5">
      <c r="A180" s="9" t="s">
        <v>717</v>
      </c>
      <c r="B180" s="15" t="s">
        <v>970</v>
      </c>
    </row>
    <row r="181" spans="1:2" ht="16.5">
      <c r="A181" s="9" t="s">
        <v>721</v>
      </c>
      <c r="B181" s="25" t="s">
        <v>971</v>
      </c>
    </row>
    <row r="182" spans="1:2" ht="16.5">
      <c r="A182" s="9" t="s">
        <v>724</v>
      </c>
      <c r="B182" s="26" t="s">
        <v>972</v>
      </c>
    </row>
    <row r="183" spans="1:2" ht="16.5">
      <c r="A183" s="9" t="s">
        <v>727</v>
      </c>
      <c r="B183" s="26" t="s">
        <v>973</v>
      </c>
    </row>
    <row r="184" spans="1:2" ht="16.5">
      <c r="A184" s="9" t="s">
        <v>730</v>
      </c>
      <c r="B184" s="15" t="s">
        <v>731</v>
      </c>
    </row>
    <row r="185" spans="1:2" ht="16.5">
      <c r="A185" s="9" t="s">
        <v>732</v>
      </c>
      <c r="B185" s="15" t="s">
        <v>733</v>
      </c>
    </row>
    <row r="186" spans="1:2" ht="16.5">
      <c r="A186" s="9" t="s">
        <v>742</v>
      </c>
      <c r="B186" s="15" t="s">
        <v>743</v>
      </c>
    </row>
    <row r="187" spans="1:2" ht="16.5">
      <c r="A187" s="9" t="s">
        <v>745</v>
      </c>
      <c r="B187" s="15" t="s">
        <v>746</v>
      </c>
    </row>
    <row r="188" spans="1:2">
      <c r="A188" s="27" t="s">
        <v>749</v>
      </c>
      <c r="B188" s="28" t="s">
        <v>750</v>
      </c>
    </row>
    <row r="189" spans="1:2">
      <c r="A189" s="27" t="s">
        <v>752</v>
      </c>
      <c r="B189" s="28" t="s">
        <v>753</v>
      </c>
    </row>
    <row r="190" spans="1:2">
      <c r="A190" s="27" t="s">
        <v>755</v>
      </c>
      <c r="B190" s="28" t="s">
        <v>756</v>
      </c>
    </row>
    <row r="191" spans="1:2">
      <c r="A191" s="27" t="s">
        <v>758</v>
      </c>
      <c r="B191" s="28" t="s">
        <v>759</v>
      </c>
    </row>
    <row r="192" spans="1:2">
      <c r="A192" s="27" t="s">
        <v>761</v>
      </c>
      <c r="B192" s="28" t="s">
        <v>762</v>
      </c>
    </row>
    <row r="193" spans="1:2">
      <c r="A193" s="27" t="s">
        <v>764</v>
      </c>
      <c r="B193" s="28" t="s">
        <v>765</v>
      </c>
    </row>
    <row r="194" spans="1:2">
      <c r="A194" s="27" t="s">
        <v>767</v>
      </c>
      <c r="B194" s="28" t="s">
        <v>768</v>
      </c>
    </row>
    <row r="195" spans="1:2">
      <c r="A195" s="27" t="s">
        <v>770</v>
      </c>
      <c r="B195" s="28" t="s">
        <v>771</v>
      </c>
    </row>
    <row r="196" spans="1:2">
      <c r="A196" s="27" t="s">
        <v>773</v>
      </c>
      <c r="B196" s="28" t="s">
        <v>774</v>
      </c>
    </row>
    <row r="197" spans="1:2">
      <c r="A197" s="27" t="s">
        <v>974</v>
      </c>
      <c r="B197" s="28" t="str">
        <f>"已领取"&amp;B188</f>
        <v>已领取公众号礼包</v>
      </c>
    </row>
    <row r="198" spans="1:2">
      <c r="A198" s="27" t="s">
        <v>975</v>
      </c>
      <c r="B198" s="28" t="str">
        <f t="shared" ref="B198:B205" si="3">"已领取"&amp;B189</f>
        <v>已领取入群礼包</v>
      </c>
    </row>
    <row r="199" spans="1:2">
      <c r="A199" s="27" t="s">
        <v>976</v>
      </c>
      <c r="B199" s="28" t="str">
        <f t="shared" si="3"/>
        <v>已领取拜年礼包</v>
      </c>
    </row>
    <row r="200" spans="1:2">
      <c r="A200" s="27" t="s">
        <v>977</v>
      </c>
      <c r="B200" s="28" t="str">
        <f t="shared" si="3"/>
        <v>已领取收藏礼包</v>
      </c>
    </row>
    <row r="201" spans="1:2">
      <c r="A201" s="27" t="s">
        <v>978</v>
      </c>
      <c r="B201" s="28" t="str">
        <f t="shared" si="3"/>
        <v>已领取重置版礼包</v>
      </c>
    </row>
    <row r="202" spans="1:2">
      <c r="A202" s="27" t="s">
        <v>979</v>
      </c>
      <c r="B202" s="28" t="str">
        <f t="shared" si="3"/>
        <v>已领取公会福利</v>
      </c>
    </row>
    <row r="203" spans="1:2">
      <c r="A203" s="27" t="s">
        <v>980</v>
      </c>
      <c r="B203" s="28" t="str">
        <f t="shared" si="3"/>
        <v>已领取星耀礼包</v>
      </c>
    </row>
    <row r="204" spans="1:2">
      <c r="A204" s="27" t="s">
        <v>981</v>
      </c>
      <c r="B204" s="28" t="str">
        <f t="shared" si="3"/>
        <v>已领取魔芝RPG礼包</v>
      </c>
    </row>
    <row r="205" spans="1:2">
      <c r="A205" s="27" t="s">
        <v>982</v>
      </c>
      <c r="B205" s="28" t="str">
        <f t="shared" si="3"/>
        <v>已领取老铁礼包</v>
      </c>
    </row>
    <row r="206" spans="1:2">
      <c r="A206" s="27" t="s">
        <v>796</v>
      </c>
      <c r="B206" s="29" t="s">
        <v>797</v>
      </c>
    </row>
    <row r="207" spans="1:2">
      <c r="A207" s="27" t="s">
        <v>798</v>
      </c>
      <c r="B207" s="29" t="s">
        <v>797</v>
      </c>
    </row>
    <row r="208" spans="1:2">
      <c r="A208" s="27" t="s">
        <v>799</v>
      </c>
      <c r="B208" s="29" t="s">
        <v>797</v>
      </c>
    </row>
    <row r="209" spans="1:2">
      <c r="A209" s="27" t="s">
        <v>800</v>
      </c>
      <c r="B209" s="29" t="s">
        <v>797</v>
      </c>
    </row>
    <row r="210" spans="1:2">
      <c r="A210" s="27" t="s">
        <v>801</v>
      </c>
      <c r="B210" s="29" t="s">
        <v>797</v>
      </c>
    </row>
    <row r="211" spans="1:2">
      <c r="A211" s="27" t="s">
        <v>802</v>
      </c>
      <c r="B211" s="29" t="s">
        <v>797</v>
      </c>
    </row>
    <row r="212" spans="1:2">
      <c r="A212" s="27" t="s">
        <v>803</v>
      </c>
      <c r="B212" s="29" t="s">
        <v>797</v>
      </c>
    </row>
    <row r="213" spans="1:2">
      <c r="A213" s="27" t="s">
        <v>804</v>
      </c>
      <c r="B213" s="29" t="s">
        <v>797</v>
      </c>
    </row>
    <row r="214" spans="1:2">
      <c r="A214" s="27" t="s">
        <v>805</v>
      </c>
      <c r="B214" s="29" t="s">
        <v>797</v>
      </c>
    </row>
    <row r="215" spans="1:2">
      <c r="A215" s="27" t="s">
        <v>806</v>
      </c>
      <c r="B215" s="29" t="s">
        <v>797</v>
      </c>
    </row>
    <row r="216" spans="1:2">
      <c r="A216" s="27" t="s">
        <v>807</v>
      </c>
      <c r="B216" s="29" t="s">
        <v>797</v>
      </c>
    </row>
    <row r="217" spans="1:2">
      <c r="A217" s="27" t="s">
        <v>808</v>
      </c>
      <c r="B217" s="29" t="s">
        <v>797</v>
      </c>
    </row>
    <row r="218" spans="1:2">
      <c r="A218" s="27" t="s">
        <v>809</v>
      </c>
      <c r="B218" s="29" t="s">
        <v>797</v>
      </c>
    </row>
    <row r="219" spans="1:2">
      <c r="A219" s="27" t="s">
        <v>810</v>
      </c>
      <c r="B219" s="29" t="s">
        <v>797</v>
      </c>
    </row>
    <row r="220" spans="1:2">
      <c r="A220" s="27" t="s">
        <v>811</v>
      </c>
      <c r="B220" s="29" t="s">
        <v>797</v>
      </c>
    </row>
    <row r="221" spans="1:2">
      <c r="A221" s="27" t="s">
        <v>812</v>
      </c>
      <c r="B221" s="29" t="s">
        <v>797</v>
      </c>
    </row>
    <row r="222" spans="1:2">
      <c r="A222" s="27" t="s">
        <v>813</v>
      </c>
      <c r="B222" s="29" t="s">
        <v>797</v>
      </c>
    </row>
    <row r="223" spans="1:2">
      <c r="A223" s="27" t="s">
        <v>814</v>
      </c>
      <c r="B223" s="29" t="s">
        <v>797</v>
      </c>
    </row>
    <row r="224" spans="1:2">
      <c r="A224" s="27" t="s">
        <v>815</v>
      </c>
      <c r="B224" s="29" t="s">
        <v>797</v>
      </c>
    </row>
    <row r="225" spans="1:2">
      <c r="A225" s="27" t="s">
        <v>816</v>
      </c>
      <c r="B225" s="29" t="s">
        <v>797</v>
      </c>
    </row>
    <row r="226" spans="1:2">
      <c r="A226" s="27" t="s">
        <v>817</v>
      </c>
      <c r="B226" s="29" t="s">
        <v>797</v>
      </c>
    </row>
    <row r="227" spans="1:2">
      <c r="A227" s="27" t="s">
        <v>818</v>
      </c>
      <c r="B227" s="29" t="s">
        <v>797</v>
      </c>
    </row>
    <row r="228" spans="1:2">
      <c r="A228" s="27" t="s">
        <v>819</v>
      </c>
      <c r="B228" s="29" t="s">
        <v>797</v>
      </c>
    </row>
    <row r="229" spans="1:2">
      <c r="A229" s="27" t="s">
        <v>820</v>
      </c>
      <c r="B229" s="29" t="s">
        <v>797</v>
      </c>
    </row>
    <row r="230" spans="1:2">
      <c r="A230" s="27" t="s">
        <v>821</v>
      </c>
      <c r="B230" s="29" t="s">
        <v>797</v>
      </c>
    </row>
    <row r="231" spans="1:2">
      <c r="A231" s="27" t="s">
        <v>822</v>
      </c>
      <c r="B231" s="29" t="s">
        <v>797</v>
      </c>
    </row>
    <row r="232" spans="1:2">
      <c r="A232" s="27" t="s">
        <v>823</v>
      </c>
      <c r="B232" s="29" t="s">
        <v>797</v>
      </c>
    </row>
    <row r="233" spans="1:2">
      <c r="A233" s="27" t="s">
        <v>824</v>
      </c>
      <c r="B233" s="29" t="s">
        <v>797</v>
      </c>
    </row>
    <row r="234" spans="1:2">
      <c r="A234" s="27" t="s">
        <v>825</v>
      </c>
      <c r="B234" s="29" t="s">
        <v>797</v>
      </c>
    </row>
    <row r="235" spans="1:2">
      <c r="A235" s="27" t="s">
        <v>826</v>
      </c>
      <c r="B235" s="29" t="s">
        <v>797</v>
      </c>
    </row>
    <row r="236" spans="1:2">
      <c r="A236" s="27" t="s">
        <v>827</v>
      </c>
      <c r="B236" s="29" t="s">
        <v>797</v>
      </c>
    </row>
    <row r="237" spans="1:2" ht="16.5">
      <c r="A237" s="9" t="s">
        <v>829</v>
      </c>
      <c r="B237" s="9" t="s">
        <v>830</v>
      </c>
    </row>
    <row r="238" spans="1:2" ht="16.5">
      <c r="A238" s="9" t="s">
        <v>831</v>
      </c>
      <c r="B238" s="9" t="s">
        <v>832</v>
      </c>
    </row>
    <row r="239" spans="1:2" ht="16.5">
      <c r="A239" s="9" t="s">
        <v>833</v>
      </c>
      <c r="B239" s="9" t="s">
        <v>116</v>
      </c>
    </row>
    <row r="240" spans="1:2" ht="16.5">
      <c r="A240" s="9" t="s">
        <v>834</v>
      </c>
      <c r="B240" s="9" t="s">
        <v>835</v>
      </c>
    </row>
    <row r="241" spans="1:2" ht="16.5">
      <c r="A241" s="9" t="s">
        <v>836</v>
      </c>
      <c r="B241" s="9" t="s">
        <v>837</v>
      </c>
    </row>
    <row r="242" spans="1:2" ht="16.5">
      <c r="A242" s="9" t="s">
        <v>838</v>
      </c>
      <c r="B242" s="9" t="s">
        <v>839</v>
      </c>
    </row>
    <row r="243" spans="1:2" ht="16.5">
      <c r="A243" s="9" t="s">
        <v>840</v>
      </c>
      <c r="B243" s="9" t="s">
        <v>841</v>
      </c>
    </row>
    <row r="244" spans="1:2" ht="16.5">
      <c r="A244" s="9" t="s">
        <v>842</v>
      </c>
      <c r="B244" s="9" t="s">
        <v>843</v>
      </c>
    </row>
    <row r="245" spans="1:2" ht="16.5">
      <c r="A245" s="9" t="s">
        <v>844</v>
      </c>
      <c r="B245" s="9" t="s">
        <v>845</v>
      </c>
    </row>
    <row r="246" spans="1:2" ht="16.5">
      <c r="A246" s="9" t="s">
        <v>846</v>
      </c>
      <c r="B246" s="9" t="s">
        <v>847</v>
      </c>
    </row>
    <row r="247" spans="1:2" ht="16.5">
      <c r="A247" s="9" t="s">
        <v>848</v>
      </c>
      <c r="B247" s="9" t="s">
        <v>849</v>
      </c>
    </row>
    <row r="248" spans="1:2" ht="16.5">
      <c r="A248" s="9" t="s">
        <v>850</v>
      </c>
      <c r="B248" s="9" t="s">
        <v>851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2020-03-10T09:06:43Z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