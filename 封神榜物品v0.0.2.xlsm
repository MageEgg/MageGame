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P000!$A$1:$AP$664</definedName>
  </definedNames>
  <calcPr calcId="125725"/>
</workbook>
</file>

<file path=xl/calcChain.xml><?xml version="1.0" encoding="utf-8"?>
<calcChain xmlns="http://schemas.openxmlformats.org/spreadsheetml/2006/main">
  <c r="M146" i="1"/>
  <c r="I146"/>
  <c r="K146" s="1"/>
  <c r="B146"/>
  <c r="H146" s="1"/>
  <c r="J146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R146"/>
  <c r="CQ146"/>
  <c r="CP146"/>
  <c r="CO146"/>
  <c r="CN146"/>
  <c r="U146"/>
  <c r="B110" i="1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I103"/>
  <c r="K103" s="1"/>
  <c r="B103"/>
  <c r="M103" s="1"/>
  <c r="B118"/>
  <c r="H118" s="1"/>
  <c r="J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10" i="1"/>
  <c r="M210" s="1"/>
  <c r="B209"/>
  <c r="H209" s="1"/>
  <c r="J209" s="1"/>
  <c r="B208"/>
  <c r="M208" s="1"/>
  <c r="B207"/>
  <c r="H207" s="1"/>
  <c r="J207" s="1"/>
  <c r="B206"/>
  <c r="M206" s="1"/>
  <c r="B205"/>
  <c r="H205" s="1"/>
  <c r="J205" s="1"/>
  <c r="B204"/>
  <c r="M204" s="1"/>
  <c r="B203"/>
  <c r="H203" s="1"/>
  <c r="J203" s="1"/>
  <c r="B202"/>
  <c r="M202" s="1"/>
  <c r="B201"/>
  <c r="H201" s="1"/>
  <c r="J201" s="1"/>
  <c r="B200"/>
  <c r="M200" s="1"/>
  <c r="B199"/>
  <c r="H199" s="1"/>
  <c r="J199" s="1"/>
  <c r="B198"/>
  <c r="M198" s="1"/>
  <c r="B197"/>
  <c r="H197" s="1"/>
  <c r="J197" s="1"/>
  <c r="B196"/>
  <c r="M196" s="1"/>
  <c r="B195"/>
  <c r="H195" s="1"/>
  <c r="J195" s="1"/>
  <c r="B194"/>
  <c r="M194" s="1"/>
  <c r="B193"/>
  <c r="H193" s="1"/>
  <c r="J193" s="1"/>
  <c r="B192"/>
  <c r="M192" s="1"/>
  <c r="B191"/>
  <c r="H191" s="1"/>
  <c r="J191" s="1"/>
  <c r="B190"/>
  <c r="M190" s="1"/>
  <c r="B189"/>
  <c r="H189" s="1"/>
  <c r="J189" s="1"/>
  <c r="B188"/>
  <c r="M188" s="1"/>
  <c r="B187"/>
  <c r="H187" s="1"/>
  <c r="J187" s="1"/>
  <c r="B186"/>
  <c r="M186" s="1"/>
  <c r="B185"/>
  <c r="H185" s="1"/>
  <c r="J185" s="1"/>
  <c r="B184"/>
  <c r="H184" s="1"/>
  <c r="J184" s="1"/>
  <c r="U184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4" i="1"/>
  <c r="H164" s="1"/>
  <c r="J164" s="1"/>
  <c r="B88"/>
  <c r="H88" s="1"/>
  <c r="J88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9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3" i="1"/>
  <c r="H163" s="1"/>
  <c r="J163" s="1"/>
  <c r="B162"/>
  <c r="H162" s="1"/>
  <c r="J162" s="1"/>
  <c r="B161"/>
  <c r="H161" s="1"/>
  <c r="J161" s="1"/>
  <c r="B160"/>
  <c r="H160" s="1"/>
  <c r="J160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B183" i="1"/>
  <c r="B182"/>
  <c r="M182" s="1"/>
  <c r="B181"/>
  <c r="B180"/>
  <c r="M180" s="1"/>
  <c r="B179"/>
  <c r="B178"/>
  <c r="M178" s="1"/>
  <c r="B177"/>
  <c r="B176"/>
  <c r="M176" s="1"/>
  <c r="B175"/>
  <c r="B174"/>
  <c r="M174" s="1"/>
  <c r="B173"/>
  <c r="H173" s="1"/>
  <c r="J173" s="1"/>
  <c r="B172"/>
  <c r="M172" s="1"/>
  <c r="B171"/>
  <c r="B170"/>
  <c r="M170" s="1"/>
  <c r="B168"/>
  <c r="B167"/>
  <c r="M167" s="1"/>
  <c r="B166"/>
  <c r="B165"/>
  <c r="M165" s="1"/>
  <c r="B159"/>
  <c r="B158"/>
  <c r="M158" s="1"/>
  <c r="B157"/>
  <c r="B156"/>
  <c r="M156" s="1"/>
  <c r="B155"/>
  <c r="B154"/>
  <c r="M154" s="1"/>
  <c r="B153"/>
  <c r="B152"/>
  <c r="M152" s="1"/>
  <c r="B15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M116" i="1" l="1"/>
  <c r="H116"/>
  <c r="J116" s="1"/>
  <c r="M105"/>
  <c r="I105"/>
  <c r="K105" s="1"/>
  <c r="M114"/>
  <c r="H103"/>
  <c r="J103" s="1"/>
  <c r="M107"/>
  <c r="I107"/>
  <c r="K107" s="1"/>
  <c r="M118"/>
  <c r="I118"/>
  <c r="K118" s="1"/>
  <c r="M109"/>
  <c r="I109"/>
  <c r="K109" s="1"/>
  <c r="I120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2"/>
  <c r="J202" s="1"/>
  <c r="I202"/>
  <c r="K202" s="1"/>
  <c r="I190"/>
  <c r="K190" s="1"/>
  <c r="I208"/>
  <c r="K208" s="1"/>
  <c r="H190"/>
  <c r="J190" s="1"/>
  <c r="H208"/>
  <c r="J208" s="1"/>
  <c r="I196"/>
  <c r="K196" s="1"/>
  <c r="H196"/>
  <c r="J196" s="1"/>
  <c r="I186"/>
  <c r="K186" s="1"/>
  <c r="I192"/>
  <c r="K192" s="1"/>
  <c r="I198"/>
  <c r="K198" s="1"/>
  <c r="I204"/>
  <c r="K204" s="1"/>
  <c r="I210"/>
  <c r="K210" s="1"/>
  <c r="H186"/>
  <c r="J186" s="1"/>
  <c r="H192"/>
  <c r="J192" s="1"/>
  <c r="H198"/>
  <c r="J198" s="1"/>
  <c r="H204"/>
  <c r="J204" s="1"/>
  <c r="H210"/>
  <c r="J210" s="1"/>
  <c r="I143"/>
  <c r="K143" s="1"/>
  <c r="I188"/>
  <c r="K188" s="1"/>
  <c r="I194"/>
  <c r="K194" s="1"/>
  <c r="I200"/>
  <c r="K200" s="1"/>
  <c r="I206"/>
  <c r="K206" s="1"/>
  <c r="H188"/>
  <c r="J188" s="1"/>
  <c r="H194"/>
  <c r="J194" s="1"/>
  <c r="H200"/>
  <c r="J200" s="1"/>
  <c r="H206"/>
  <c r="J206" s="1"/>
  <c r="M185"/>
  <c r="M187"/>
  <c r="M189"/>
  <c r="M191"/>
  <c r="M193"/>
  <c r="M195"/>
  <c r="M197"/>
  <c r="M199"/>
  <c r="M201"/>
  <c r="M203"/>
  <c r="M205"/>
  <c r="M207"/>
  <c r="M209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M184"/>
  <c r="I184"/>
  <c r="K184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4"/>
  <c r="I138" i="1"/>
  <c r="K138" s="1"/>
  <c r="CU131" i="2"/>
  <c r="CU98"/>
  <c r="CU132"/>
  <c r="CU161"/>
  <c r="CU143"/>
  <c r="CU128"/>
  <c r="CU138"/>
  <c r="CU137"/>
  <c r="CU134"/>
  <c r="M135" i="1"/>
  <c r="I169"/>
  <c r="K169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4"/>
  <c r="I164"/>
  <c r="K164" s="1"/>
  <c r="M88"/>
  <c r="H102"/>
  <c r="J102" s="1"/>
  <c r="I88"/>
  <c r="K88" s="1"/>
  <c r="M102"/>
  <c r="I100"/>
  <c r="K100" s="1"/>
  <c r="M101"/>
  <c r="I101"/>
  <c r="K101" s="1"/>
  <c r="M100"/>
  <c r="H169"/>
  <c r="J169" s="1"/>
  <c r="M169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1"/>
  <c r="K181" s="1"/>
  <c r="CU182" i="2"/>
  <c r="CU94"/>
  <c r="CU97"/>
  <c r="I179" i="1"/>
  <c r="K179" s="1"/>
  <c r="CU160" i="2"/>
  <c r="CU163"/>
  <c r="CU179"/>
  <c r="CU181"/>
  <c r="CU169"/>
  <c r="CU162"/>
  <c r="CU99"/>
  <c r="CU180"/>
  <c r="CU183"/>
  <c r="I183" i="1"/>
  <c r="K183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6" i="1"/>
  <c r="J176" s="1"/>
  <c r="M161"/>
  <c r="M163"/>
  <c r="I161"/>
  <c r="K161" s="1"/>
  <c r="I163"/>
  <c r="K163" s="1"/>
  <c r="I182"/>
  <c r="K182" s="1"/>
  <c r="M160"/>
  <c r="M162"/>
  <c r="I160"/>
  <c r="K160" s="1"/>
  <c r="I162"/>
  <c r="K162" s="1"/>
  <c r="H166"/>
  <c r="J166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7" i="1"/>
  <c r="J167" s="1"/>
  <c r="H178"/>
  <c r="J178" s="1"/>
  <c r="H165"/>
  <c r="J165" s="1"/>
  <c r="H172"/>
  <c r="J172" s="1"/>
  <c r="H171"/>
  <c r="J171" s="1"/>
  <c r="H179"/>
  <c r="J179" s="1"/>
  <c r="H157"/>
  <c r="J157" s="1"/>
  <c r="H168"/>
  <c r="J168" s="1"/>
  <c r="H155"/>
  <c r="J155" s="1"/>
  <c r="H174"/>
  <c r="J174" s="1"/>
  <c r="H154"/>
  <c r="J154" s="1"/>
  <c r="I180"/>
  <c r="K180" s="1"/>
  <c r="H153"/>
  <c r="J153" s="1"/>
  <c r="H158"/>
  <c r="J158" s="1"/>
  <c r="H183"/>
  <c r="J183" s="1"/>
  <c r="H152"/>
  <c r="J152" s="1"/>
  <c r="H177"/>
  <c r="J177" s="1"/>
  <c r="H182"/>
  <c r="J182" s="1"/>
  <c r="H151"/>
  <c r="J151" s="1"/>
  <c r="H156"/>
  <c r="J156" s="1"/>
  <c r="H181"/>
  <c r="J181" s="1"/>
  <c r="H175"/>
  <c r="J175" s="1"/>
  <c r="H180"/>
  <c r="J180" s="1"/>
  <c r="H159"/>
  <c r="J159" s="1"/>
  <c r="H170"/>
  <c r="J170" s="1"/>
  <c r="M151"/>
  <c r="M153"/>
  <c r="M155"/>
  <c r="M157"/>
  <c r="M159"/>
  <c r="M166"/>
  <c r="M168"/>
  <c r="M171"/>
  <c r="M173"/>
  <c r="M175"/>
  <c r="M177"/>
  <c r="M179"/>
  <c r="M181"/>
  <c r="M183"/>
  <c r="CN172" i="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CN178"/>
  <c r="CO178"/>
  <c r="CP178"/>
  <c r="CQ178"/>
  <c r="CR178"/>
  <c r="CV178"/>
  <c r="I178" i="1" s="1"/>
  <c r="K178" s="1"/>
  <c r="DB178" i="2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I171" i="1" s="1"/>
  <c r="K171" s="1"/>
  <c r="CR171" i="2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I168" i="1" s="1"/>
  <c r="K168" s="1"/>
  <c r="CR168" i="2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CN159"/>
  <c r="CO159"/>
  <c r="CP159"/>
  <c r="CQ159"/>
  <c r="CR159"/>
  <c r="CV159"/>
  <c r="I159" i="1" s="1"/>
  <c r="K159" s="1"/>
  <c r="DB159" i="2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CU178" l="1"/>
  <c r="CU175"/>
  <c r="CU174"/>
  <c r="CU172"/>
  <c r="CU153"/>
  <c r="CU165"/>
  <c r="CU166"/>
  <c r="CU159"/>
  <c r="CU168"/>
  <c r="CU157"/>
  <c r="CU151"/>
  <c r="CU156"/>
  <c r="CU171"/>
  <c r="CU173"/>
  <c r="CU150"/>
  <c r="CU154"/>
  <c r="CU167"/>
  <c r="CU158"/>
  <c r="CU152"/>
  <c r="CU177"/>
  <c r="CU176"/>
  <c r="CU155"/>
  <c r="CU170"/>
  <c r="B150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9" i="1"/>
  <c r="B148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B147" i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L53" i="4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50"/>
  <c r="J150" s="1"/>
  <c r="I150"/>
  <c r="K150" s="1"/>
  <c r="M86"/>
  <c r="M85"/>
  <c r="M84"/>
  <c r="M83"/>
  <c r="M147"/>
  <c r="I147"/>
  <c r="K147" s="1"/>
  <c r="M82"/>
  <c r="M81"/>
  <c r="M149"/>
  <c r="I149"/>
  <c r="K149" s="1"/>
  <c r="M80"/>
  <c r="M148"/>
  <c r="I148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7"/>
  <c r="J147" s="1"/>
  <c r="H81"/>
  <c r="J81" s="1"/>
  <c r="M90"/>
  <c r="H148"/>
  <c r="J148" s="1"/>
  <c r="H82"/>
  <c r="J82" s="1"/>
  <c r="M91"/>
  <c r="M78"/>
  <c r="H149"/>
  <c r="J149" s="1"/>
  <c r="H83"/>
  <c r="J83" s="1"/>
  <c r="H84"/>
  <c r="J84" s="1"/>
  <c r="H85"/>
  <c r="J85" s="1"/>
  <c r="H86"/>
  <c r="J86" s="1"/>
  <c r="H87"/>
  <c r="J87" s="1"/>
  <c r="M150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9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8"/>
  <c r="CU147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8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L62" i="4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L61" i="4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L60" i="4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L59" i="4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L58" i="4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L57" i="4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L56" i="4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L54" i="4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L55" i="4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L77" i="4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L76" i="4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L75" i="4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L74" i="4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L73" i="4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L72" i="4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L71" i="4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L68" i="4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L67" i="4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L66" i="4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L65" i="4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L64" i="4"/>
  <c r="N64" s="1"/>
  <c r="L63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L52" i="4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L51" i="4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L50" i="4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L49" i="4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L48" i="4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L47" i="4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L46" i="4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L45" i="4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L44" i="4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L43" i="4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L42" i="4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L41" i="4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L40" i="4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L39" i="4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L38" i="4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L28" i="4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L27" i="4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L26" i="4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L25" i="4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L24" i="4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L23" i="4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L22" i="4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L21" i="4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L20" i="4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L19" i="4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L18" i="4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L17" i="4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L16" i="4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L15" i="4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L14" i="4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L13" i="4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L12" i="4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L11" i="4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L10" i="4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L9" i="4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L8" i="4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L7" i="4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L6" i="4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L5" i="4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L4" i="4"/>
  <c r="N4" s="1"/>
  <c r="M11" i="1" l="1"/>
  <c r="H11"/>
  <c r="J11" s="1"/>
  <c r="H29"/>
  <c r="J29" s="1"/>
  <c r="M29"/>
  <c r="H41"/>
  <c r="J41" s="1"/>
  <c r="M41"/>
  <c r="H53"/>
  <c r="M53"/>
  <c r="M10"/>
  <c r="H10"/>
  <c r="H28"/>
  <c r="J28" s="1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CU45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L3" i="4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7"/>
  <c r="CU203"/>
  <c r="CU191"/>
  <c r="CU185"/>
  <c r="CU245"/>
  <c r="CU239"/>
  <c r="CU233"/>
  <c r="CU221"/>
  <c r="CU215"/>
  <c r="CU209"/>
  <c r="CU197"/>
  <c r="CU83"/>
  <c r="CU244"/>
  <c r="CU238"/>
  <c r="CU232"/>
  <c r="CU226"/>
  <c r="CU220"/>
  <c r="CU214"/>
  <c r="CU208"/>
  <c r="CU202"/>
  <c r="CU196"/>
  <c r="CU190"/>
  <c r="CU184"/>
  <c r="CU82"/>
  <c r="CU243"/>
  <c r="CU237"/>
  <c r="CU231"/>
  <c r="CU225"/>
  <c r="CU219"/>
  <c r="CU213"/>
  <c r="CU207"/>
  <c r="CU201"/>
  <c r="CU195"/>
  <c r="CU189"/>
  <c r="CU248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85"/>
  <c r="CU79"/>
  <c r="CU3"/>
  <c r="CU246"/>
  <c r="CU240"/>
  <c r="CU234"/>
  <c r="CU228"/>
  <c r="CU222"/>
  <c r="CU216"/>
  <c r="CU210"/>
  <c r="CU204"/>
  <c r="CU198"/>
  <c r="CU192"/>
  <c r="CU18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4" i="2"/>
  <c r="CO234"/>
  <c r="CP234"/>
  <c r="CQ23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1" i="2"/>
  <c r="CO231"/>
  <c r="CP231"/>
  <c r="CQ231"/>
  <c r="CN232"/>
  <c r="CO232"/>
  <c r="CP232"/>
  <c r="CQ232"/>
  <c r="CN233"/>
  <c r="CO233"/>
  <c r="CP233"/>
  <c r="CQ233"/>
  <c r="CR233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DB269"/>
  <c r="DC269"/>
  <c r="DD269"/>
  <c r="DE269"/>
  <c r="DF269"/>
  <c r="DG269"/>
  <c r="DH269"/>
  <c r="DI269"/>
  <c r="DJ269"/>
  <c r="DK269"/>
  <c r="DL269"/>
  <c r="DM269"/>
  <c r="DN269"/>
  <c r="DO269"/>
  <c r="DP269"/>
  <c r="DQ269"/>
  <c r="DR269"/>
  <c r="DS269"/>
  <c r="DT269"/>
  <c r="DU269"/>
  <c r="DV269"/>
  <c r="DW269"/>
  <c r="DX269"/>
  <c r="DY269"/>
  <c r="DZ269"/>
  <c r="EA269"/>
  <c r="EB269"/>
  <c r="EC269"/>
  <c r="ED269"/>
  <c r="EE269"/>
  <c r="EF269"/>
  <c r="EG269"/>
  <c r="EH269"/>
  <c r="EI269"/>
  <c r="EJ269"/>
  <c r="EK269"/>
  <c r="EL269"/>
  <c r="EM269"/>
  <c r="EN269"/>
  <c r="EO269"/>
  <c r="EP269"/>
  <c r="EQ269"/>
  <c r="ER269"/>
  <c r="ES269"/>
  <c r="ET269"/>
  <c r="EU269"/>
  <c r="EV269"/>
  <c r="EW269"/>
  <c r="EX269"/>
  <c r="EY269"/>
  <c r="EZ269"/>
  <c r="FA269"/>
  <c r="FB269"/>
  <c r="FC269"/>
  <c r="FD269"/>
  <c r="FE269"/>
  <c r="FF269"/>
  <c r="FG269"/>
  <c r="FH269"/>
  <c r="FI269"/>
  <c r="FJ269"/>
  <c r="FK269"/>
  <c r="FL269"/>
  <c r="FM269"/>
  <c r="FN269"/>
  <c r="FO269"/>
  <c r="FP269"/>
  <c r="FQ269"/>
  <c r="FR269"/>
  <c r="FS269"/>
  <c r="CR231" l="1"/>
  <c r="CR23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4" i="2"/>
  <c r="CO214"/>
  <c r="CP214"/>
  <c r="CQ214"/>
  <c r="CN215"/>
  <c r="CO215"/>
  <c r="CP215"/>
  <c r="CQ215"/>
  <c r="CN216"/>
  <c r="CO216"/>
  <c r="CP216"/>
  <c r="CQ216"/>
  <c r="CN217"/>
  <c r="CO217"/>
  <c r="CP217"/>
  <c r="CQ217"/>
  <c r="CR217"/>
  <c r="CN218"/>
  <c r="CO218"/>
  <c r="CP218"/>
  <c r="CQ218"/>
  <c r="CN219"/>
  <c r="CO219"/>
  <c r="CP219"/>
  <c r="CQ219"/>
  <c r="CN220"/>
  <c r="CO220"/>
  <c r="CP220"/>
  <c r="CQ220"/>
  <c r="CR22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3" i="2"/>
  <c r="CQ213"/>
  <c r="CP213"/>
  <c r="CO213"/>
  <c r="CN213"/>
  <c r="CR219" l="1"/>
  <c r="CR214"/>
  <c r="CR216"/>
  <c r="CR218"/>
  <c r="CR21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300" i="2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U255"/>
  <c r="CR255"/>
  <c r="CQ255"/>
  <c r="CP255"/>
  <c r="CO255"/>
  <c r="CN255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7" i="2"/>
  <c r="CU295"/>
  <c r="CU296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1" i="2"/>
  <c r="CU252"/>
  <c r="CU253"/>
  <c r="CU254"/>
  <c r="CU271"/>
  <c r="CU259"/>
  <c r="CU267"/>
  <c r="CU269"/>
  <c r="CU270"/>
  <c r="CU263"/>
  <c r="CU264"/>
  <c r="CU275"/>
  <c r="CU283"/>
  <c r="CU285"/>
  <c r="CU286"/>
  <c r="CU279"/>
  <c r="CU280"/>
  <c r="CU291"/>
  <c r="CU29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9" i="2"/>
  <c r="CU250"/>
  <c r="CU260"/>
  <c r="CU265"/>
  <c r="CU266"/>
  <c r="CU276"/>
  <c r="CU281"/>
  <c r="CU282"/>
  <c r="CU292"/>
  <c r="CU297"/>
  <c r="CU298"/>
  <c r="G59" i="5"/>
  <c r="M59" s="1"/>
  <c r="CB59" s="1"/>
  <c r="CR3" i="2"/>
  <c r="CU257"/>
  <c r="CU258"/>
  <c r="CU268"/>
  <c r="CU273"/>
  <c r="CU274"/>
  <c r="CU284"/>
  <c r="CU289"/>
  <c r="CU290"/>
  <c r="CU300"/>
  <c r="CU256"/>
  <c r="CU261"/>
  <c r="CU262"/>
  <c r="CU272"/>
  <c r="CU277"/>
  <c r="CU278"/>
  <c r="CU288"/>
  <c r="CU293"/>
  <c r="CU29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<sst xmlns="http://schemas.openxmlformats.org/spreadsheetml/2006/main" count="4128" uniqueCount="615">
  <si>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</si>
  <si>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</si>
  <si>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</si>
  <si>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</si>
  <si>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</si>
  <si>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</si>
  <si>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</si>
  <si>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</si>
  <si>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</si>
  <si>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</si>
  <si>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</si>
  <si>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</si>
  <si>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</si>
  <si>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</si>
  <si>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</si>
  <si>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</si>
  <si>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</si>
  <si>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</si>
  <si>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</si>
  <si>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</si>
  <si>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</si>
  <si>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</si>
  <si>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</si>
  <si>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</si>
  <si>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</si>
  <si>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</si>
  <si>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</si>
  <si>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</si>
  <si>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</si>
  <si>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</si>
  <si>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</si>
  <si>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</si>
  <si>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</si>
  <si>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</si>
  <si>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</si>
  <si>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</si>
  <si>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</si>
  <si>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</si>
  <si>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</si>
  <si>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</si>
  <si>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</si>
  <si>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</si>
  <si>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</si>
  <si>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</si>
  <si>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</si>
  <si>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</si>
  <si>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</si>
  <si>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</si>
  <si>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</si>
  <si>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</si>
  <si>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</si>
  <si>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</si>
  <si>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</si>
  <si>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</si>
  <si>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</si>
  <si>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</si>
  <si>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</si>
  <si>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</si>
  <si>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</si>
  <si>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</si>
  <si>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</si>
  <si>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</si>
  <si>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</si>
  <si>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</si>
  <si>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</si>
  <si>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</si>
  <si>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</si>
  <si>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</si>
  <si>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</si>
  <si>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</si>
  <si>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</si>
  <si>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</si>
  <si>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</si>
  <si>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</si>
  <si>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</si>
  <si>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</si>
  <si>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</si>
  <si>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</si>
  <si>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</si>
  <si>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</si>
  <si>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</si>
  <si>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</si>
  <si>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</si>
  <si>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</si>
  <si>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</si>
  <si>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</si>
  <si>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</si>
  <si>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</si>
  <si>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</si>
  <si>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</si>
  <si>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</si>
  <si>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</si>
  <si>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</si>
  <si>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</si>
  <si>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</si>
  <si>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</si>
  <si>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</si>
  <si>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</si>
  <si>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</si>
  <si>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</si>
  <si>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</si>
  <si>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</si>
  <si>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</si>
  <si>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</si>
  <si>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</si>
  <si>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</si>
  <si>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</si>
  <si>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</si>
  <si>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</si>
  <si>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</si>
  <si>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</si>
  <si>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</si>
  <si>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</si>
  <si>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</si>
  <si>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</si>
  <si>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</si>
  <si>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</si>
  <si>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</si>
  <si>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</si>
  <si>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</si>
  <si>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</si>
  <si>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</si>
  <si>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</si>
  <si>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</si>
  <si>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</si>
  <si>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</si>
  <si>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</si>
  <si>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</si>
  <si>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</si>
  <si>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</si>
  <si>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</si>
  <si>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</si>
  <si>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</si>
  <si>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</si>
  <si>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</si>
  <si>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</si>
  <si>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</si>
  <si>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</si>
  <si>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</si>
  <si>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</si>
  <si>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</si>
  <si>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</si>
  <si>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</si>
  <si>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</si>
  <si>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</si>
  <si>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</si>
  <si>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</si>
  <si>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</si>
  <si>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</si>
  <si>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</si>
  <si>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</si>
  <si>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</si>
  <si>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</si>
  <si>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</si>
  <si>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</si>
  <si>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</si>
  <si>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</si>
  <si>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</si>
  <si>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</si>
  <si>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</si>
  <si>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</si>
  <si>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</si>
  <si>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</si>
  <si>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</si>
  <si>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</si>
  <si>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</si>
  <si>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</si>
  <si>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</si>
  <si>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</si>
  <si>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</si>
  <si>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</si>
  <si>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</si>
  <si>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</si>
  <si>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</si>
  <si>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</si>
  <si>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</si>
  <si>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</si>
  <si>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</si>
  <si>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</si>
  <si>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</si>
  <si>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</si>
  <si>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</si>
  <si>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</si>
  <si>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</si>
  <si>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</si>
  <si>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</si>
  <si>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</si>
  <si>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</si>
  <si>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</si>
  <si>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</si>
  <si>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</si>
  <si>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</si>
  <si>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</si>
  <si>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</si>
  <si>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</si>
  <si>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</si>
  <si>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</si>
  <si>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</si>
  <si>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</si>
  <si>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</si>
  <si>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</si>
  <si>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</si>
  <si>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</si>
  <si>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</si>
  <si>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</si>
  <si>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</si>
  <si>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</si>
  <si>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</si>
  <si>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</si>
  <si>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</si>
  <si>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</si>
  <si>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</si>
  <si>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</si>
  <si>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</si>
  <si>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</si>
  <si>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</si>
  <si>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</si>
  <si>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</si>
  <si>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</si>
  <si>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</si>
  <si>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</si>
  <si>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</si>
  <si>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</si>
  <si>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</si>
  <si>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</si>
  <si>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</si>
  <si>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</si>
  <si>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</si>
  <si>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</si>
  <si>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</si>
  <si>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</si>
  <si>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</si>
  <si>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</si>
  <si>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</si>
  <si>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</si>
  <si>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</si>
  <si>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</si>
  <si>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</si>
  <si>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</si>
  <si>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</si>
  <si>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</si>
  <si>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</si>
  <si>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</si>
  <si>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</si>
  <si>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</si>
  <si>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</si>
  <si>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</si>
  <si>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</si>
  <si>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</si>
  <si>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</si>
  <si>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</si>
  <si>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</si>
  <si>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</si>
  <si>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</si>
  <si>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</si>
  <si>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</si>
  <si>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</si>
  <si>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</si>
  <si>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</si>
  <si>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</si>
  <si>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</si>
  <si>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</si>
  <si>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</si>
  <si>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</si>
  <si>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</si>
  <si>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</si>
  <si>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</si>
  <si>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</si>
  <si>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</si>
  <si>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</si>
  <si>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</si>
  <si>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</si>
  <si>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</si>
  <si>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</si>
  <si>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</si>
  <si>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</si>
  <si>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</si>
  <si>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</si>
  <si>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</si>
  <si>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</si>
  <si>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</si>
  <si>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</si>
  <si>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</si>
  <si>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</si>
  <si>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</si>
  <si>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</si>
  <si>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</si>
  <si>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</si>
  <si>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</si>
  <si>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</si>
  <si>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</si>
  <si>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</si>
  <si>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</si>
  <si>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</si>
  <si>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</si>
  <si>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</si>
  <si>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</si>
  <si>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</si>
  <si>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</si>
  <si>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</si>
  <si>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</si>
  <si>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</si>
  <si>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</si>
  <si>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</si>
  <si>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</si>
  <si>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</si>
  <si>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</si>
  <si>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</si>
  <si>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</si>
  <si>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</si>
  <si>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</si>
  <si>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</si>
  <si>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</si>
  <si>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</si>
  <si>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</si>
  <si>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</si>
  <si>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</si>
  <si>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</si>
  <si>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</si>
  <si>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</si>
  <si>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</si>
  <si>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</si>
  <si>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</si>
  <si>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</si>
  <si>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</si>
  <si>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</si>
  <si>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</si>
  <si>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</si>
  <si>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</si>
  <si>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</si>
  <si>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</si>
  <si>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</si>
  <si>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</si>
  <si>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</si>
  <si>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</si>
  <si>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</si>
  <si>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</si>
  <si>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</si>
  <si>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</si>
  <si>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</si>
  <si>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</si>
  <si>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</si>
  <si>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</si>
  <si>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</si>
  <si>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</si>
  <si>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</si>
  <si>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</si>
  <si>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</si>
  <si>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</si>
  <si>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</si>
  <si>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</si>
  <si>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</si>
  <si>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</si>
  <si>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</si>
  <si>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</si>
  <si>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</si>
  <si>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</si>
  <si>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</si>
  <si>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</si>
  <si>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</si>
  <si>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</si>
  <si>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</si>
  <si>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</si>
  <si>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</si>
  <si>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</si>
  <si>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</si>
  <si>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</si>
  <si>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</si>
  <si>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</si>
  <si>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</si>
  <si>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</si>
  <si>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</si>
  <si>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</si>
  <si>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</si>
  <si>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</si>
  <si>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</si>
  <si>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</si>
  <si>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</si>
  <si>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</si>
  <si>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</si>
  <si>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</si>
  <si>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</si>
  <si>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</si>
  <si>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</si>
  <si>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</si>
  <si>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</si>
  <si>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</si>
  <si>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</si>
  <si>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</si>
  <si>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</si>
  <si>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</si>
  <si>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</si>
  <si>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</si>
  <si>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</si>
  <si>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</si>
  <si>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</si>
  <si>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</si>
  <si>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</si>
  <si>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</si>
  <si>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</si>
  <si>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</si>
  <si>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</si>
  <si>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</si>
  <si>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</si>
  <si>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</si>
  <si>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</si>
  <si>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</si>
  <si>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</si>
  <si>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</si>
  <si>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</si>
  <si>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</si>
  <si>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</si>
  <si>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</si>
  <si>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</si>
  <si>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</si>
  <si>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</si>
  <si>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</si>
  <si>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</si>
  <si>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</si>
  <si>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</si>
  <si>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</si>
  <si>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</si>
  <si>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</si>
  <si>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</si>
  <si>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</si>
  <si>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</si>
  <si>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</si>
  <si>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</si>
  <si>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</si>
  <si>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</si>
  <si>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</si>
  <si>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</si>
  <si>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</si>
  <si>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</si>
  <si>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</si>
  <si>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</si>
  <si>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</si>
  <si>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</si>
  <si>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</si>
  <si>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</si>
  <si>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</si>
  <si>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</si>
  <si>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</si>
  <si>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</si>
  <si>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</si>
  <si>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</si>
  <si>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</si>
  <si>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</si>
  <si>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</si>
  <si>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</si>
  <si>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</si>
  <si>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</si>
  <si>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</si>
  <si>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</si>
  <si>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</si>
  <si>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</si>
  <si>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</si>
  <si>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</si>
  <si>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</si>
  <si>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</si>
  <si>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</si>
  <si>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</si>
  <si>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</si>
  <si>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</si>
  <si>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</si>
  <si>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</si>
  <si>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</si>
  <si>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</si>
  <si>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</si>
  <si>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</si>
  <si>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</si>
  <si>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</si>
  <si>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</si>
  <si>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</si>
  <si>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</si>
  <si>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</si>
  <si>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</si>
  <si>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</si>
  <si>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</si>
  <si>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</si>
  <si>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</si>
  <si>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</si>
  <si>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</si>
  <si>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</si>
  <si>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</si>
  <si>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</si>
  <si>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</si>
  <si>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</si>
  <si>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</si>
  <si>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</si>
  <si>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</si>
  <si>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</si>
  <si>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</si>
  <si>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</si>
  <si>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</si>
  <si>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</si>
  <si>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</si>
  <si>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</si>
  <si>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</si>
  <si>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</si>
  <si>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</si>
  <si>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</si>
  <si>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</si>
  <si>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</si>
  <si>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</si>
  <si>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</si>
  <si>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</si>
  <si>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</si>
  <si>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</si>
  <si>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</si>
  <si>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</si>
  <si>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</si>
  <si>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</si>
  <si>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</si>
  <si>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</si>
  <si>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</si>
  <si>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</si>
  <si>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</si>
  <si>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</si>
  <si>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</si>
  <si>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</si>
  <si>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</si>
  <si>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</si>
  <si>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</si>
  <si>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</si>
  <si>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</si>
  <si>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</si>
  <si>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</si>
  <si>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</si>
  <si>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</si>
  <si>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</si>
  <si>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</si>
  <si>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</si>
  <si>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</si>
  <si>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</si>
  <si>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</si>
  <si>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</si>
  <si>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</si>
  <si>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</si>
  <si>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</si>
  <si>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</si>
  <si>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</si>
  <si>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</si>
  <si>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</si>
  <si>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</si>
  <si>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</si>
  <si>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</si>
  <si>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</si>
  <si>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</si>
  <si>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</si>
  <si>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</si>
  <si>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</si>
  <si>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</si>
  <si>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</si>
  <si>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</si>
  <si>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</si>
  <si>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</si>
  <si>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</si>
  <si>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</si>
  <si>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</si>
  <si>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</si>
  <si>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</si>
  <si>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</si>
  <si>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</si>
  <si>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</si>
  <si>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</si>
  <si>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</si>
  <si>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</si>
  <si>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</si>
  <si>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</si>
  <si>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</si>
  <si>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</si>
  <si>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</si>
  <si>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</si>
  <si>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</si>
  <si>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</si>
  <si>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</si>
  <si>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</si>
  <si>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</si>
  <si>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</si>
  <si>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</si>
  <si>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</si>
  <si>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</si>
  <si>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</si>
  <si>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</si>
  <si>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</si>
  <si>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</si>
  <si>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</si>
  <si>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</si>
  <si>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</si>
  <si>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</si>
  <si>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</si>
  <si>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</si>
  <si>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</si>
  <si>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</si>
  <si>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ReplaceableTextures\\CommandButtons\\BTNZ01.blp</t>
    <phoneticPr fontId="14" type="noConversion"/>
  </si>
  <si>
    <t>ReplaceableTextures\\CommandButtons\\BTNZ02.blp</t>
    <phoneticPr fontId="14" type="noConversion"/>
  </si>
  <si>
    <t>ReplaceableTextures\\CommandButtons\\BTNZ03.blp</t>
    <phoneticPr fontId="14" type="noConversion"/>
  </si>
  <si>
    <t>ReplaceableTextures\\CommandButtons\\BTNZ04.blp</t>
    <phoneticPr fontId="14" type="noConversion"/>
  </si>
  <si>
    <t>ReplaceableTextures\\CommandButtons\\BTNZ06.blp</t>
    <phoneticPr fontId="14" type="noConversion"/>
  </si>
  <si>
    <t>ReplaceableTextures\\CommandButtons\\BTNZ07.blp</t>
    <phoneticPr fontId="14" type="noConversion"/>
  </si>
  <si>
    <t>ReplaceableTextures\\CommandButtons\\BTNZ08.blp</t>
    <phoneticPr fontId="14" type="noConversion"/>
  </si>
  <si>
    <t>ReplaceableTextures\\CommandButtons\\BTNZ10.blp</t>
    <phoneticPr fontId="14" type="noConversion"/>
  </si>
  <si>
    <t>ReplaceableTextures\\CommandButtons\\BTNZ09.blp</t>
    <phoneticPr fontId="14" type="noConversion"/>
  </si>
  <si>
    <t>ReplaceableTextures\\CommandButtons\\BTNZ11.blp</t>
    <phoneticPr fontId="14" type="noConversion"/>
  </si>
  <si>
    <t>ReplaceableTextures\\CommandButtons\\BTNZ12.blp</t>
    <phoneticPr fontId="14" type="noConversion"/>
  </si>
  <si>
    <t>ReplaceableTextures\\CommandButtons\\BTNZ13.blp</t>
    <phoneticPr fontId="14" type="noConversion"/>
  </si>
  <si>
    <t>ReplaceableTextures\\CommandButtons\\BTNZ14.blp</t>
    <phoneticPr fontId="14" type="noConversion"/>
  </si>
  <si>
    <t>ReplaceableTextures\\CommandButtons\\BTNZ05.blp</t>
    <phoneticPr fontId="14" type="noConversion"/>
  </si>
  <si>
    <t>ReplaceableTextures\\CommandButtons\\BTNZ15.blp</t>
    <phoneticPr fontId="14" type="noConversion"/>
  </si>
  <si>
    <t>幸运星盒</t>
  </si>
  <si>
    <t>炽星魔盒</t>
  </si>
  <si>
    <t>IN19</t>
    <phoneticPr fontId="14" type="noConversion"/>
  </si>
  <si>
    <t>技能附魔券</t>
    <phoneticPr fontId="14" type="noConversion"/>
  </si>
  <si>
    <t>使用获得随机类型技能附魔卡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</si>
</sst>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  <font>
      <sz val="10"/>
      <color rgb="FF91D05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21" fillId="0" borderId="0" xfId="0" applyFont="1"/>
    <xf numFmtId="0" fontId="22" fillId="0" borderId="0" xfId="0" applyFont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6"/>
  <sheetViews>
    <sheetView zoomScaleNormal="100" workbookViewId="0">
      <pane xSplit="8" ySplit="2" topLeftCell="M123" activePane="bottomRight" state="frozen"/>
      <selection pane="topRight"/>
      <selection pane="bottomLeft"/>
      <selection pane="bottomRight" activeCell="H138" sqref="H138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210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ReplaceableTextures\\CommandButtons\\BTNZ01.blp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ReplaceableTextures\\CommandButtons\\BTNZ01.blp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ReplaceableTextures\\CommandButtons\\BTNZ01.blp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ReplaceableTextures\\CommandButtons\\BTNZ01.blp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ReplaceableTextures\\CommandButtons\\BTNZ01.blp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ReplaceableTextures\\CommandButtons\\BTNZ02.blp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ReplaceableTextures\\CommandButtons\\BTNZ02.blp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ReplaceableTextures\\CommandButtons\\BTNZ02.blp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ReplaceableTextures\\CommandButtons\\BTNZ02.blp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ReplaceableTextures\\CommandButtons\\BTNZ02.blp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ReplaceableTextures\\CommandButtons\\BTNZ03.blp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ReplaceableTextures\\CommandButtons\\BTNZ03.blp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ReplaceableTextures\\CommandButtons\\BTNZ03.blp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ReplaceableTextures\\CommandButtons\\BTNZ03.blp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ReplaceableTextures\\CommandButtons\\BTNZ03.blp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ReplaceableTextures\\CommandButtons\\BTNZ04.blp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ReplaceableTextures\\CommandButtons\\BTNZ04.blp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ReplaceableTextures\\CommandButtons\\BTNZ04.blp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ReplaceableTextures\\CommandButtons\\BTNZ04.blp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ReplaceableTextures\\CommandButtons\\BTNZ04.blp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ReplaceableTextures\\CommandButtons\\BTNZ05.blp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ReplaceableTextures\\CommandButtons\\BTNZ05.blp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ReplaceableTextures\\CommandButtons\\BTNZ05.blp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ReplaceableTextures\\CommandButtons\\BTNZ05.blp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ReplaceableTextures\\CommandButtons\\BTNZ05.blp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ReplaceableTextures\\CommandButtons\\BTNZ06.blp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ReplaceableTextures\\CommandButtons\\BTNZ06.blp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ReplaceableTextures\\CommandButtons\\BTNZ06.blp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ReplaceableTextures\\CommandButtons\\BTNZ06.blp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ReplaceableTextures\\CommandButtons\\BTNZ06.blp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ReplaceableTextures\\CommandButtons\\BTNZ07.blp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ReplaceableTextures\\CommandButtons\\BTNZ07.blp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ReplaceableTextures\\CommandButtons\\BTNZ07.blp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ReplaceableTextures\\CommandButtons\\BTNZ07.blp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ReplaceableTextures\\CommandButtons\\BTNZ07.blp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ReplaceableTextures\\CommandButtons\\BTNZ08.blp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ReplaceableTextures\\CommandButtons\\BTNZ08.blp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ReplaceableTextures\\CommandButtons\\BTNZ08.blp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ReplaceableTextures\\CommandButtons\\BTNZ08.blp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ReplaceableTextures\\CommandButtons\\BTNZ08.blp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ReplaceableTextures\\CommandButtons\\BTNZ09.blp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ReplaceableTextures\\CommandButtons\\BTNZ09.blp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ReplaceableTextures\\CommandButtons\\BTNZ09.blp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ReplaceableTextures\\CommandButtons\\BTNZ09.blp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ReplaceableTextures\\CommandButtons\\BTNZ09.blp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ReplaceableTextures\\CommandButtons\\BTNZ10.blp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ReplaceableTextures\\CommandButtons\\BTNZ10.blp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ReplaceableTextures\\CommandButtons\\BTNZ10.blp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ReplaceableTextures\\CommandButtons\\BTNZ10.blp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ReplaceableTextures\\CommandButtons\\BTNZ10.blp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ReplaceableTextures\\CommandButtons\\BTNZ11.blp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ReplaceableTextures\\CommandButtons\\BTNZ11.blp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ReplaceableTextures\\CommandButtons\\BTNZ11.blp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ReplaceableTextures\\CommandButtons\\BTNZ11.blp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ReplaceableTextures\\CommandButtons\\BTNZ11.blp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ReplaceableTextures\\CommandButtons\\BTNZ12.blp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ReplaceableTextures\\CommandButtons\\BTNZ12.blp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ReplaceableTextures\\CommandButtons\\BTNZ12.blp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ReplaceableTextures\\CommandButtons\\BTNZ12.blp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ReplaceableTextures\\CommandButtons\\BTNZ12.blp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ReplaceableTextures\\CommandButtons\\BTNZ13.blp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ReplaceableTextures\\CommandButtons\\BTNZ13.blp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ReplaceableTextures\\CommandButtons\\BTNZ13.blp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ReplaceableTextures\\CommandButtons\\BTNZ13.blp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ReplaceableTextures\\CommandButtons\\BTNZ13.blp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ReplaceableTextures\\CommandButtons\\BTNZ14.blp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ReplaceableTextures\\CommandButtons\\BTNZ14.blp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ReplaceableTextures\\CommandButtons\\BTNZ14.blp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ReplaceableTextures\\CommandButtons\\BTNZ14.blp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ReplaceableTextures\\CommandButtons\\BTNZ14.blp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ReplaceableTextures\\CommandButtons\\BTNZ15.blp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ReplaceableTextures\\CommandButtons\\BTNZ15.blp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ReplaceableTextures\\CommandButtons\\BTNZ15.blp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ReplaceableTextures\\CommandButtons\\BTNZ15.blp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ReplaceableTextures\\CommandButtons\\BTNZ15.blp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幸运星盒</v>
      </c>
      <c r="I103" s="63" t="str">
        <f>VLOOKUP(B103,装备!B:CV,99,FALSE)</f>
        <v>开出一个随机锦囊</v>
      </c>
      <c r="J103" s="56" t="str">
        <f t="shared" si="32"/>
        <v>幸运星盒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幸运星盒</v>
      </c>
      <c r="I104" s="63" t="str">
        <f>VLOOKUP(B104,装备!B:CV,99,FALSE)</f>
        <v>开出一个随机锦囊</v>
      </c>
      <c r="J104" s="56" t="str">
        <f t="shared" si="32"/>
        <v>幸运星盒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幸运星盒</v>
      </c>
      <c r="I105" s="63" t="str">
        <f>VLOOKUP(B105,装备!B:CV,99,FALSE)</f>
        <v>开出一个随机锦囊</v>
      </c>
      <c r="J105" s="56" t="str">
        <f t="shared" si="32"/>
        <v>幸运星盒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幸运星盒</v>
      </c>
      <c r="I106" s="63" t="str">
        <f>VLOOKUP(B106,装备!B:CV,99,FALSE)</f>
        <v>开出一个随机锦囊</v>
      </c>
      <c r="J106" s="56" t="str">
        <f t="shared" si="32"/>
        <v>幸运星盒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幸运星盒</v>
      </c>
      <c r="I107" s="63" t="str">
        <f>VLOOKUP(B107,装备!B:CV,99,FALSE)</f>
        <v>开出一个随机锦囊</v>
      </c>
      <c r="J107" s="56" t="str">
        <f t="shared" si="32"/>
        <v>幸运星盒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炽星魔盒</v>
      </c>
      <c r="I108" s="63" t="str">
        <f>VLOOKUP(B108,装备!B:CV,99,FALSE)</f>
        <v>开出一个随机锦囊</v>
      </c>
      <c r="J108" s="56" t="str">
        <f t="shared" si="32"/>
        <v>炽星魔盒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幸运星盒</v>
      </c>
      <c r="I109" s="63" t="str">
        <f>VLOOKUP(B109,装备!B:CV,99,FALSE)</f>
        <v>开出一个随机锦囊</v>
      </c>
      <c r="J109" s="56" t="str">
        <f t="shared" si="32"/>
        <v>幸运星盒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幸运星盒</v>
      </c>
      <c r="I110" s="63" t="str">
        <f>VLOOKUP(B110,装备!B:CV,99,FALSE)</f>
        <v>开出一个随机锦囊</v>
      </c>
      <c r="J110" s="56" t="str">
        <f t="shared" si="32"/>
        <v>幸运星盒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幸运星盒</v>
      </c>
      <c r="I111" s="63" t="str">
        <f>VLOOKUP(B111,装备!B:CV,99,FALSE)</f>
        <v>开出一个随机锦囊</v>
      </c>
      <c r="J111" s="56" t="str">
        <f t="shared" ref="J111:J118" si="34">H111</f>
        <v>幸运星盒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幸运星盒</v>
      </c>
      <c r="I112" s="63" t="str">
        <f>VLOOKUP(B112,装备!B:CV,99,FALSE)</f>
        <v>开出一个随机锦囊</v>
      </c>
      <c r="J112" s="56" t="str">
        <f t="shared" si="34"/>
        <v>幸运星盒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幸运星盒</v>
      </c>
      <c r="I113" s="63" t="str">
        <f>VLOOKUP(B113,装备!B:CV,99,FALSE)</f>
        <v>开出一个随机锦囊</v>
      </c>
      <c r="J113" s="56" t="str">
        <f t="shared" si="34"/>
        <v>幸运星盒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炽星魔盒</v>
      </c>
      <c r="I114" s="63" t="str">
        <f>VLOOKUP(B114,装备!B:CV,99,FALSE)</f>
        <v>开出一个随机锦囊</v>
      </c>
      <c r="J114" s="56" t="str">
        <f t="shared" si="34"/>
        <v>炽星魔盒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幸运星盒</v>
      </c>
      <c r="I115" s="63" t="str">
        <f>VLOOKUP(B115,装备!B:CV,99,FALSE)</f>
        <v>开出一个随机锦囊</v>
      </c>
      <c r="J115" s="56" t="str">
        <f t="shared" si="34"/>
        <v>幸运星盒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幸运星盒</v>
      </c>
      <c r="I116" s="63" t="str">
        <f>VLOOKUP(B116,装备!B:CV,99,FALSE)</f>
        <v>开出一个随机锦囊</v>
      </c>
      <c r="J116" s="56" t="str">
        <f t="shared" si="34"/>
        <v>幸运星盒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幸运星盒</v>
      </c>
      <c r="I117" s="63" t="str">
        <f>VLOOKUP(B117,装备!B:CV,99,FALSE)</f>
        <v>开出一个随机锦囊</v>
      </c>
      <c r="J117" s="56" t="str">
        <f t="shared" si="34"/>
        <v>幸运星盒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幸运星盒</v>
      </c>
      <c r="I118" s="63" t="str">
        <f>VLOOKUP(B118,装备!B:CV,99,FALSE)</f>
        <v>开出一个随机锦囊</v>
      </c>
      <c r="J118" s="56" t="str">
        <f t="shared" si="34"/>
        <v>幸运星盒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幸运星盒</v>
      </c>
      <c r="I119" s="63" t="str">
        <f>VLOOKUP(B119,装备!B:CV,99,FALSE)</f>
        <v>开出一个随机锦囊</v>
      </c>
      <c r="J119" s="56" t="str">
        <f t="shared" si="32"/>
        <v>幸运星盒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炽星魔盒</v>
      </c>
      <c r="I120" s="63" t="str">
        <f>VLOOKUP(B120,装备!B:CV,99,FALSE)</f>
        <v>开出一个随机锦囊</v>
      </c>
      <c r="J120" s="56" t="str">
        <f t="shared" si="32"/>
        <v>炽星魔盒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幸运星盒</v>
      </c>
      <c r="I121" s="63" t="str">
        <f>VLOOKUP(B121,装备!B:CV,99,FALSE)</f>
        <v>开出一个随机锦囊</v>
      </c>
      <c r="J121" s="56" t="str">
        <f t="shared" ref="J121:J122" si="36">H121</f>
        <v>幸运星盒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幸运星盒</v>
      </c>
      <c r="I122" s="63" t="str">
        <f>VLOOKUP(B122,装备!B:CV,99,FALSE)</f>
        <v>开出一个随机锦囊</v>
      </c>
      <c r="J122" s="56" t="str">
        <f t="shared" si="36"/>
        <v>幸运星盒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幸运星盒</v>
      </c>
      <c r="I123" s="63" t="str">
        <f>VLOOKUP(B123,装备!B:CV,99,FALSE)</f>
        <v>开出一个随机锦囊</v>
      </c>
      <c r="J123" s="56" t="str">
        <f t="shared" ref="J123:J124" si="38">H123</f>
        <v>幸运星盒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幸运星盒</v>
      </c>
      <c r="I124" s="63" t="str">
        <f>VLOOKUP(B124,装备!B:CV,99,FALSE)</f>
        <v>开出一个随机锦囊</v>
      </c>
      <c r="J124" s="56" t="str">
        <f t="shared" si="38"/>
        <v>幸运星盒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幸运星盒</v>
      </c>
      <c r="I125" s="63" t="str">
        <f>VLOOKUP(B125,装备!B:CV,99,FALSE)</f>
        <v>开出一个随机锦囊</v>
      </c>
      <c r="J125" s="56" t="str">
        <f t="shared" si="32"/>
        <v>幸运星盒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炽星魔盒</v>
      </c>
      <c r="I126" s="63" t="str">
        <f>VLOOKUP(B126,装备!B:CV,99,FALSE)</f>
        <v>开出一个随机锦囊</v>
      </c>
      <c r="J126" s="56" t="str">
        <f t="shared" ref="J126" si="40">H126</f>
        <v>炽星魔盒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IN19</v>
      </c>
      <c r="C146" s="63" t="s">
        <v>36</v>
      </c>
      <c r="D146" s="63" t="s">
        <v>76</v>
      </c>
      <c r="E146" s="66" t="s">
        <v>174</v>
      </c>
      <c r="F146" s="63"/>
      <c r="G146" s="63"/>
      <c r="H146" s="63" t="str">
        <f>VLOOKUP(LEFT(RIGHT(B146,5),4),装备!B:CU,2,FALSE)</f>
        <v>技能附魔券</v>
      </c>
      <c r="I146" s="63" t="str">
        <f>VLOOKUP(B146,装备!B:CV,99,FALSE)</f>
        <v>使用获得随机类型技能附魔卡</v>
      </c>
      <c r="J146" s="56" t="str">
        <f t="shared" ref="J146" si="50">H146</f>
        <v>技能附魔券</v>
      </c>
      <c r="K146" s="56" t="str">
        <f t="shared" ref="K146" si="51">I146</f>
        <v>使用获得随机类型技能附魔卡</v>
      </c>
      <c r="L146" s="63"/>
      <c r="M146" s="65" t="str">
        <f>VLOOKUP(LEFT(RIGHT(B146,5),4),装备!B:CU,20,FALSE)</f>
        <v>ReplaceableTextures\\CommandButtons\\BTNIN19.blp</v>
      </c>
      <c r="N146" s="83" t="s">
        <v>77</v>
      </c>
      <c r="O146" s="112" t="s">
        <v>326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342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/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IP01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时渊碎片</v>
      </c>
      <c r="I147" s="63" t="str">
        <f>VLOOKUP(B147,装备!B:CV,99,FALSE)</f>
        <v>进入时渊副本消耗时渊碎片</v>
      </c>
      <c r="J147" s="56" t="str">
        <f t="shared" ref="J147" si="52">H147</f>
        <v>时渊碎片</v>
      </c>
      <c r="K147" s="56" t="str">
        <f t="shared" ref="K147" si="53">I147</f>
        <v>进入时渊副本消耗时渊碎片</v>
      </c>
      <c r="L147" s="63"/>
      <c r="M147" s="65" t="str">
        <f>VLOOKUP(LEFT(RIGHT(B147,5),4),装备!B:CU,20,FALSE)</f>
        <v>ReplaceableTextures\\CommandButtons\\BTNIP01.blp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IP02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补天石</v>
      </c>
      <c r="I148" s="63" t="str">
        <f>VLOOKUP(B148,装备!B:CV,99,FALSE)</f>
        <v>消耗补天石，可重铸指定法宝</v>
      </c>
      <c r="J148" s="56" t="str">
        <f t="shared" ref="J148:J150" si="54">H148</f>
        <v>补天石</v>
      </c>
      <c r="K148" s="56" t="str">
        <f t="shared" ref="K148:K150" si="55">I148</f>
        <v>消耗补天石，可重铸指定法宝</v>
      </c>
      <c r="L148" s="63"/>
      <c r="M148" s="65" t="str">
        <f>VLOOKUP(LEFT(RIGHT(B148,5),4),装备!B:CU,20,FALSE)</f>
        <v>ReplaceableTextures\\CommandButtons\\BTNIP02.blp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IP03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鸿蒙结晶</v>
      </c>
      <c r="I149" s="63" t="str">
        <f>VLOOKUP(B149,装备!B:CV,99,FALSE)</f>
        <v>消耗鸿蒙结晶，可将指定法宝锻造为高一品阶的随机法宝。</v>
      </c>
      <c r="J149" s="56" t="str">
        <f t="shared" si="54"/>
        <v>鸿蒙结晶</v>
      </c>
      <c r="K149" s="56" t="str">
        <f t="shared" si="55"/>
        <v>消耗鸿蒙结晶，可将指定法宝锻造为高一品阶的随机法宝。</v>
      </c>
      <c r="L149" s="63"/>
      <c r="M149" s="65" t="str">
        <f>VLOOKUP(LEFT(RIGHT(B149,5),4),装备!B:CU,20,FALSE)</f>
        <v>ReplaceableTextures\\CommandButtons\\BTNIP03.blp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IT01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境界挑战1</v>
      </c>
      <c r="I150" s="63" t="str">
        <f>VLOOKUP(B150,装备!B:CV,99,FALSE)</f>
        <v>境界挑战1</v>
      </c>
      <c r="J150" s="56" t="str">
        <f t="shared" si="54"/>
        <v>境界挑战1</v>
      </c>
      <c r="K150" s="56" t="str">
        <f t="shared" si="55"/>
        <v>境界挑战1</v>
      </c>
      <c r="L150" s="63"/>
      <c r="M150" s="65" t="str">
        <f>VLOOKUP(LEFT(RIGHT(B150,5),4),装备!B:CU,20,FALSE)</f>
        <v>ReplaceableTextures\\CommandButtons\\BTNIT01.blp</v>
      </c>
      <c r="N150" s="83" t="s">
        <v>77</v>
      </c>
      <c r="O150" s="112" t="s">
        <v>335</v>
      </c>
      <c r="P150" s="63">
        <v>0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100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IT02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境界挑战2</v>
      </c>
      <c r="I151" s="63" t="str">
        <f>VLOOKUP(B151,装备!B:CV,99,FALSE)</f>
        <v>境界挑战2</v>
      </c>
      <c r="J151" s="56" t="str">
        <f t="shared" ref="J151:J183" si="56">H151</f>
        <v>境界挑战2</v>
      </c>
      <c r="K151" s="56" t="str">
        <f t="shared" ref="K151:K183" si="57">I151</f>
        <v>境界挑战2</v>
      </c>
      <c r="L151" s="63"/>
      <c r="M151" s="65" t="str">
        <f>VLOOKUP(LEFT(RIGHT(B151,5),4),装备!B:CU,20,FALSE)</f>
        <v>ReplaceableTextures\\CommandButtons\\BTNIT02.blp</v>
      </c>
      <c r="N151" s="83" t="s">
        <v>77</v>
      </c>
      <c r="O151" s="112" t="s">
        <v>335</v>
      </c>
      <c r="P151" s="63">
        <v>1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200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IT03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境界挑战3</v>
      </c>
      <c r="I152" s="63" t="str">
        <f>VLOOKUP(B152,装备!B:CV,99,FALSE)</f>
        <v>境界挑战3</v>
      </c>
      <c r="J152" s="56" t="str">
        <f t="shared" si="56"/>
        <v>境界挑战3</v>
      </c>
      <c r="K152" s="56" t="str">
        <f t="shared" si="57"/>
        <v>境界挑战3</v>
      </c>
      <c r="L152" s="63"/>
      <c r="M152" s="65" t="str">
        <f>VLOOKUP(LEFT(RIGHT(B152,5),4),装备!B:CU,20,FALSE)</f>
        <v>ReplaceableTextures\\CommandButtons\\BTNIT03.blp</v>
      </c>
      <c r="N152" s="83" t="s">
        <v>77</v>
      </c>
      <c r="O152" s="112" t="s">
        <v>335</v>
      </c>
      <c r="P152" s="63">
        <v>2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300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IT04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境界挑战4</v>
      </c>
      <c r="I153" s="63" t="str">
        <f>VLOOKUP(B153,装备!B:CV,99,FALSE)</f>
        <v>境界挑战4</v>
      </c>
      <c r="J153" s="56" t="str">
        <f t="shared" si="56"/>
        <v>境界挑战4</v>
      </c>
      <c r="K153" s="56" t="str">
        <f t="shared" si="57"/>
        <v>境界挑战4</v>
      </c>
      <c r="L153" s="63"/>
      <c r="M153" s="65" t="str">
        <f>VLOOKUP(LEFT(RIGHT(B153,5),4),装备!B:CU,20,FALSE)</f>
        <v>ReplaceableTextures\\CommandButtons\\BTNIT04.blp</v>
      </c>
      <c r="N153" s="83" t="s">
        <v>77</v>
      </c>
      <c r="O153" s="112" t="s">
        <v>335</v>
      </c>
      <c r="P153" s="63">
        <v>3</v>
      </c>
      <c r="Q153" s="63">
        <v>0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400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IT05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境界挑战5</v>
      </c>
      <c r="I154" s="63" t="str">
        <f>VLOOKUP(B154,装备!B:CV,99,FALSE)</f>
        <v>境界挑战5</v>
      </c>
      <c r="J154" s="56" t="str">
        <f t="shared" si="56"/>
        <v>境界挑战5</v>
      </c>
      <c r="K154" s="56" t="str">
        <f t="shared" si="57"/>
        <v>境界挑战5</v>
      </c>
      <c r="L154" s="63"/>
      <c r="M154" s="65" t="str">
        <f>VLOOKUP(LEFT(RIGHT(B154,5),4),装备!B:CU,20,FALSE)</f>
        <v>ReplaceableTextures\\CommandButtons\\BTNIT05.blp</v>
      </c>
      <c r="N154" s="83" t="s">
        <v>77</v>
      </c>
      <c r="O154" s="112" t="s">
        <v>335</v>
      </c>
      <c r="P154" s="63">
        <v>0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500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IT06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境界挑战6</v>
      </c>
      <c r="I155" s="63" t="str">
        <f>VLOOKUP(B155,装备!B:CV,99,FALSE)</f>
        <v>境界挑战6</v>
      </c>
      <c r="J155" s="56" t="str">
        <f t="shared" si="56"/>
        <v>境界挑战6</v>
      </c>
      <c r="K155" s="56" t="str">
        <f t="shared" si="57"/>
        <v>境界挑战6</v>
      </c>
      <c r="L155" s="63"/>
      <c r="M155" s="65" t="str">
        <f>VLOOKUP(LEFT(RIGHT(B155,5),4),装备!B:CU,20,FALSE)</f>
        <v>ReplaceableTextures\\CommandButtons\\BTNIT06.blp</v>
      </c>
      <c r="N155" s="83" t="s">
        <v>77</v>
      </c>
      <c r="O155" s="112" t="s">
        <v>335</v>
      </c>
      <c r="P155" s="63">
        <v>1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600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IT07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境界挑战7</v>
      </c>
      <c r="I156" s="63" t="str">
        <f>VLOOKUP(B156,装备!B:CV,99,FALSE)</f>
        <v>境界挑战7</v>
      </c>
      <c r="J156" s="56" t="str">
        <f t="shared" si="56"/>
        <v>境界挑战7</v>
      </c>
      <c r="K156" s="56" t="str">
        <f t="shared" si="57"/>
        <v>境界挑战7</v>
      </c>
      <c r="L156" s="63"/>
      <c r="M156" s="65" t="str">
        <f>VLOOKUP(LEFT(RIGHT(B156,5),4),装备!B:CU,20,FALSE)</f>
        <v>ReplaceableTextures\\CommandButtons\\BTNIT07.blp</v>
      </c>
      <c r="N156" s="83" t="s">
        <v>77</v>
      </c>
      <c r="O156" s="112" t="s">
        <v>335</v>
      </c>
      <c r="P156" s="63">
        <v>2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700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IT08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境界挑战8</v>
      </c>
      <c r="I157" s="63" t="str">
        <f>VLOOKUP(B157,装备!B:CV,99,FALSE)</f>
        <v>境界挑战8</v>
      </c>
      <c r="J157" s="56" t="str">
        <f t="shared" si="56"/>
        <v>境界挑战8</v>
      </c>
      <c r="K157" s="56" t="str">
        <f t="shared" si="57"/>
        <v>境界挑战8</v>
      </c>
      <c r="L157" s="63"/>
      <c r="M157" s="65" t="str">
        <f>VLOOKUP(LEFT(RIGHT(B157,5),4),装备!B:CU,20,FALSE)</f>
        <v>ReplaceableTextures\\CommandButtons\\BTNIT08.blp</v>
      </c>
      <c r="N157" s="83" t="s">
        <v>77</v>
      </c>
      <c r="O157" s="112" t="s">
        <v>335</v>
      </c>
      <c r="P157" s="63">
        <v>3</v>
      </c>
      <c r="Q157" s="63">
        <v>1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800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IT09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境界挑战9</v>
      </c>
      <c r="I158" s="63" t="str">
        <f>VLOOKUP(B158,装备!B:CV,99,FALSE)</f>
        <v>境界挑战9</v>
      </c>
      <c r="J158" s="56" t="str">
        <f t="shared" si="56"/>
        <v>境界挑战9</v>
      </c>
      <c r="K158" s="56" t="str">
        <f t="shared" si="57"/>
        <v>境界挑战9</v>
      </c>
      <c r="L158" s="63"/>
      <c r="M158" s="65" t="str">
        <f>VLOOKUP(LEFT(RIGHT(B158,5),4),装备!B:CU,20,FALSE)</f>
        <v>ReplaceableTextures\\CommandButtons\\BTNIT09.blp</v>
      </c>
      <c r="N158" s="83" t="s">
        <v>77</v>
      </c>
      <c r="O158" s="112" t="s">
        <v>335</v>
      </c>
      <c r="P158" s="63">
        <v>0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900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IT10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境界挑战10</v>
      </c>
      <c r="I159" s="63" t="str">
        <f>VLOOKUP(B159,装备!B:CV,99,FALSE)</f>
        <v>境界挑战10</v>
      </c>
      <c r="J159" s="56" t="str">
        <f t="shared" si="56"/>
        <v>境界挑战10</v>
      </c>
      <c r="K159" s="56" t="str">
        <f t="shared" si="57"/>
        <v>境界挑战10</v>
      </c>
      <c r="L159" s="63"/>
      <c r="M159" s="65" t="str">
        <f>VLOOKUP(LEFT(RIGHT(B159,5),4),装备!B:CU,20,FALSE)</f>
        <v>ReplaceableTextures\\CommandButtons\\BTNIT10.blp</v>
      </c>
      <c r="N159" s="83" t="s">
        <v>77</v>
      </c>
      <c r="O159" s="112" t="s">
        <v>335</v>
      </c>
      <c r="P159" s="63">
        <v>1</v>
      </c>
      <c r="Q159" s="63">
        <v>2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29">
        <v>1000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IT11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境界挑战11</v>
      </c>
      <c r="I160" s="63" t="str">
        <f>VLOOKUP(B160,装备!B:CV,99,FALSE)</f>
        <v>境界挑战11</v>
      </c>
      <c r="J160" s="56" t="str">
        <f t="shared" ref="J160:J164" si="58">H160</f>
        <v>境界挑战11</v>
      </c>
      <c r="K160" s="56" t="str">
        <f t="shared" ref="K160:K164" si="59">I160</f>
        <v>境界挑战11</v>
      </c>
      <c r="L160" s="63"/>
      <c r="M160" s="65" t="str">
        <f>VLOOKUP(LEFT(RIGHT(B160,5),4),装备!B:CU,20,FALSE)</f>
        <v>ReplaceableTextures\\CommandButtons\\BTNIT11.blp</v>
      </c>
      <c r="N160" s="83" t="s">
        <v>77</v>
      </c>
      <c r="O160" s="112" t="s">
        <v>335</v>
      </c>
      <c r="P160" s="63">
        <v>2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IT12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境界挑战12</v>
      </c>
      <c r="I161" s="63" t="str">
        <f>VLOOKUP(B161,装备!B:CV,99,FALSE)</f>
        <v>境界挑战12</v>
      </c>
      <c r="J161" s="56" t="str">
        <f t="shared" si="58"/>
        <v>境界挑战12</v>
      </c>
      <c r="K161" s="56" t="str">
        <f t="shared" si="59"/>
        <v>境界挑战12</v>
      </c>
      <c r="L161" s="63"/>
      <c r="M161" s="65" t="str">
        <f>VLOOKUP(LEFT(RIGHT(B161,5),4),装备!B:CU,20,FALSE)</f>
        <v>ReplaceableTextures\\CommandButtons\\BTNIT12.blp</v>
      </c>
      <c r="N161" s="83" t="s">
        <v>77</v>
      </c>
      <c r="O161" s="112" t="s">
        <v>335</v>
      </c>
      <c r="P161" s="63">
        <v>3</v>
      </c>
      <c r="Q161" s="63">
        <v>1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IT13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境界挑战13</v>
      </c>
      <c r="I162" s="63" t="str">
        <f>VLOOKUP(B162,装备!B:CV,99,FALSE)</f>
        <v>境界挑战13</v>
      </c>
      <c r="J162" s="56" t="str">
        <f t="shared" si="58"/>
        <v>境界挑战13</v>
      </c>
      <c r="K162" s="56" t="str">
        <f t="shared" si="59"/>
        <v>境界挑战13</v>
      </c>
      <c r="L162" s="63"/>
      <c r="M162" s="65" t="str">
        <f>VLOOKUP(LEFT(RIGHT(B162,5),4),装备!B:CU,20,FALSE)</f>
        <v>ReplaceableTextures\\CommandButtons\\BTNIT13.blp</v>
      </c>
      <c r="N162" s="83" t="s">
        <v>77</v>
      </c>
      <c r="O162" s="112" t="s">
        <v>335</v>
      </c>
      <c r="P162" s="63">
        <v>0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IT14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境界挑战14</v>
      </c>
      <c r="I163" s="63" t="str">
        <f>VLOOKUP(B163,装备!B:CV,99,FALSE)</f>
        <v>境界挑战14</v>
      </c>
      <c r="J163" s="56" t="str">
        <f t="shared" si="58"/>
        <v>境界挑战14</v>
      </c>
      <c r="K163" s="56" t="str">
        <f t="shared" si="59"/>
        <v>境界挑战14</v>
      </c>
      <c r="L163" s="63"/>
      <c r="M163" s="65" t="str">
        <f>VLOOKUP(LEFT(RIGHT(B163,5),4),装备!B:CU,20,FALSE)</f>
        <v>ReplaceableTextures\\CommandButtons\\BTNIT14.blp</v>
      </c>
      <c r="N163" s="83" t="s">
        <v>77</v>
      </c>
      <c r="O163" s="112" t="s">
        <v>335</v>
      </c>
      <c r="P163" s="63">
        <v>1</v>
      </c>
      <c r="Q163" s="63">
        <v>2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IS01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抽技能D</v>
      </c>
      <c r="I164" s="63" t="str">
        <f>VLOOKUP(B164,装备!B:CV,99,FALSE)</f>
        <v>需求50杀敌数</v>
      </c>
      <c r="J164" s="56" t="str">
        <f t="shared" si="58"/>
        <v>抽技能D</v>
      </c>
      <c r="K164" s="56" t="str">
        <f t="shared" si="59"/>
        <v>需求50杀敌数</v>
      </c>
      <c r="L164" s="63"/>
      <c r="M164" s="65" t="str">
        <f>VLOOKUP(LEFT(RIGHT(B164,5),4),装备!B:CU,20,FALSE)</f>
        <v>ReplaceableTextures\\CommandButtons\\BTNIS01.blp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IS02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抽技能C</v>
      </c>
      <c r="I165" s="63" t="str">
        <f>VLOOKUP(B165,装备!B:CV,99,FALSE)</f>
        <v>需求100杀敌数</v>
      </c>
      <c r="J165" s="56" t="str">
        <f t="shared" si="56"/>
        <v>抽技能C</v>
      </c>
      <c r="K165" s="56" t="str">
        <f t="shared" si="57"/>
        <v>需求100杀敌数</v>
      </c>
      <c r="L165" s="63"/>
      <c r="M165" s="65" t="str">
        <f>VLOOKUP(LEFT(RIGHT(B165,5),4),装备!B:CU,20,FALSE)</f>
        <v>ReplaceableTextures\\CommandButtons\\BTNIS02.blp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480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IS03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抽技能B</v>
      </c>
      <c r="I166" s="63" t="str">
        <f>VLOOKUP(B166,装备!B:CV,99,FALSE)</f>
        <v>需求360杀敌数</v>
      </c>
      <c r="J166" s="56" t="str">
        <f t="shared" si="56"/>
        <v>抽技能B</v>
      </c>
      <c r="K166" s="56" t="str">
        <f t="shared" si="57"/>
        <v>需求360杀敌数</v>
      </c>
      <c r="L166" s="63"/>
      <c r="M166" s="65" t="str">
        <f>VLOOKUP(LEFT(RIGHT(B166,5),4),装备!B:CU,20,FALSE)</f>
        <v>ReplaceableTextures\\CommandButtons\\BTNIS03.blp</v>
      </c>
      <c r="N166" s="83" t="s">
        <v>77</v>
      </c>
      <c r="O166" s="112" t="s">
        <v>335</v>
      </c>
      <c r="P166" s="63">
        <v>1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960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IS04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抽技能A</v>
      </c>
      <c r="I167" s="63" t="str">
        <f>VLOOKUP(B167,装备!B:CV,99,FALSE)</f>
        <v>需求1080杀敌数</v>
      </c>
      <c r="J167" s="56" t="str">
        <f t="shared" si="56"/>
        <v>抽技能A</v>
      </c>
      <c r="K167" s="56" t="str">
        <f t="shared" si="57"/>
        <v>需求1080杀敌数</v>
      </c>
      <c r="L167" s="63"/>
      <c r="M167" s="65" t="str">
        <f>VLOOKUP(LEFT(RIGHT(B167,5),4),装备!B:CU,20,FALSE)</f>
        <v>ReplaceableTextures\\CommandButtons\\BTNIS04.blp</v>
      </c>
      <c r="N167" s="83" t="s">
        <v>77</v>
      </c>
      <c r="O167" s="112" t="s">
        <v>335</v>
      </c>
      <c r="P167" s="63">
        <v>2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1620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IS05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抽技能S</v>
      </c>
      <c r="I168" s="63" t="str">
        <f>VLOOKUP(B168,装备!B:CV,99,FALSE)</f>
        <v>抽技能S</v>
      </c>
      <c r="J168" s="56" t="str">
        <f t="shared" si="56"/>
        <v>抽技能S</v>
      </c>
      <c r="K168" s="56" t="str">
        <f t="shared" si="57"/>
        <v>抽技能S</v>
      </c>
      <c r="L168" s="63"/>
      <c r="M168" s="65" t="str">
        <f>VLOOKUP(LEFT(RIGHT(B168,5),4),装备!B:CU,20,FALSE)</f>
        <v>ReplaceableTextures\\CommandButtons\\BTNIS05.blp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1800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IS11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占星</v>
      </c>
      <c r="I169" s="63" t="str">
        <f>VLOOKUP(B169,装备!B:CV,99,FALSE)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9" s="56" t="str">
        <f t="shared" ref="J169" si="60">H169</f>
        <v>占星</v>
      </c>
      <c r="K169" s="56" t="str">
        <f t="shared" ref="K169" si="61">I169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9" s="63"/>
      <c r="M169" s="65" t="str">
        <f>VLOOKUP(LEFT(RIGHT(B169,5),4),装备!B:CU,20,FALSE)</f>
        <v>ReplaceableTextures\\CommandButtons\\BTNIS11.blp</v>
      </c>
      <c r="N169" s="83" t="s">
        <v>77</v>
      </c>
      <c r="O169" s="112" t="s">
        <v>335</v>
      </c>
      <c r="P169" s="63">
        <v>3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240</v>
      </c>
      <c r="AA169" s="63">
        <v>240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IH00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觉醒兽魂</v>
      </c>
      <c r="I170" s="63" t="str">
        <f>VLOOKUP(B170,装备!B:CV,99,FALSE)</f>
        <v>觉醒兽魂</v>
      </c>
      <c r="J170" s="56" t="str">
        <f t="shared" si="56"/>
        <v>觉醒兽魂</v>
      </c>
      <c r="K170" s="56" t="str">
        <f t="shared" si="57"/>
        <v>觉醒兽魂</v>
      </c>
      <c r="L170" s="63"/>
      <c r="M170" s="65" t="str">
        <f>VLOOKUP(LEFT(RIGHT(B170,5),4),装备!B:CU,20,FALSE)</f>
        <v>ReplaceableTextures\\CommandButtons\\BTNIH00.blp</v>
      </c>
      <c r="N170" s="83" t="s">
        <v>77</v>
      </c>
      <c r="O170" s="112" t="s">
        <v>335</v>
      </c>
      <c r="P170" s="63">
        <v>3</v>
      </c>
      <c r="Q170" s="63">
        <v>2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IH01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兽魂1</v>
      </c>
      <c r="I171" s="63" t="str">
        <f>VLOOKUP(B171,装备!B:CV,99,FALSE)</f>
        <v>觉醒兽魂</v>
      </c>
      <c r="J171" s="56" t="str">
        <f t="shared" si="56"/>
        <v>兽魂1</v>
      </c>
      <c r="K171" s="56" t="str">
        <f t="shared" si="57"/>
        <v>觉醒兽魂</v>
      </c>
      <c r="L171" s="63"/>
      <c r="M171" s="65" t="str">
        <f>VLOOKUP(LEFT(RIGHT(B171,5),4),装备!B:CU,20,FALSE)</f>
        <v>ReplaceableTextures\\CommandButtons\\BTNIH01.blp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IH02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兽魂2</v>
      </c>
      <c r="I172" s="63" t="str">
        <f>VLOOKUP(B172,装备!B:CV,99,FALSE)</f>
        <v>觉醒兽魂</v>
      </c>
      <c r="J172" s="56" t="str">
        <f t="shared" si="56"/>
        <v>兽魂2</v>
      </c>
      <c r="K172" s="56" t="str">
        <f t="shared" si="57"/>
        <v>觉醒兽魂</v>
      </c>
      <c r="L172" s="63"/>
      <c r="M172" s="65" t="str">
        <f>VLOOKUP(LEFT(RIGHT(B172,5),4),装备!B:CU,20,FALSE)</f>
        <v>ReplaceableTextures\\CommandButtons\\BTNIH02.blp</v>
      </c>
      <c r="N172" s="83" t="s">
        <v>77</v>
      </c>
      <c r="O172" s="112" t="s">
        <v>335</v>
      </c>
      <c r="P172" s="63">
        <v>1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IH03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兽魂3</v>
      </c>
      <c r="I173" s="63" t="str">
        <f>VLOOKUP(B173,装备!B:CV,99,FALSE)</f>
        <v>觉醒兽魂</v>
      </c>
      <c r="J173" s="56" t="str">
        <f t="shared" si="56"/>
        <v>兽魂3</v>
      </c>
      <c r="K173" s="56" t="str">
        <f t="shared" si="57"/>
        <v>觉醒兽魂</v>
      </c>
      <c r="L173" s="63"/>
      <c r="M173" s="65" t="str">
        <f>VLOOKUP(LEFT(RIGHT(B173,5),4),装备!B:CU,20,FALSE)</f>
        <v>ReplaceableTextures\\CommandButtons\\BTNIH03.blp</v>
      </c>
      <c r="N173" s="83" t="s">
        <v>77</v>
      </c>
      <c r="O173" s="112" t="s">
        <v>335</v>
      </c>
      <c r="P173" s="63">
        <v>2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IH04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兽魂4</v>
      </c>
      <c r="I174" s="63" t="str">
        <f>VLOOKUP(B174,装备!B:CV,99,FALSE)</f>
        <v>觉醒兽魂</v>
      </c>
      <c r="J174" s="56" t="str">
        <f t="shared" si="56"/>
        <v>兽魂4</v>
      </c>
      <c r="K174" s="56" t="str">
        <f t="shared" si="57"/>
        <v>觉醒兽魂</v>
      </c>
      <c r="L174" s="63"/>
      <c r="M174" s="65" t="str">
        <f>VLOOKUP(LEFT(RIGHT(B174,5),4),装备!B:CU,20,FALSE)</f>
        <v>ReplaceableTextures\\CommandButtons\\BTNIH04.blp</v>
      </c>
      <c r="N174" s="83" t="s">
        <v>77</v>
      </c>
      <c r="O174" s="112" t="s">
        <v>335</v>
      </c>
      <c r="P174" s="63">
        <v>3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IH05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兽魂5</v>
      </c>
      <c r="I175" s="63" t="str">
        <f>VLOOKUP(B175,装备!B:CV,99,FALSE)</f>
        <v>觉醒兽魂</v>
      </c>
      <c r="J175" s="56" t="str">
        <f t="shared" si="56"/>
        <v>兽魂5</v>
      </c>
      <c r="K175" s="56" t="str">
        <f t="shared" si="57"/>
        <v>觉醒兽魂</v>
      </c>
      <c r="L175" s="63"/>
      <c r="M175" s="65" t="str">
        <f>VLOOKUP(LEFT(RIGHT(B175,5),4),装备!B:CU,20,FALSE)</f>
        <v>ReplaceableTextures\\CommandButtons\\BTNIH05.blp</v>
      </c>
      <c r="N175" s="83" t="s">
        <v>77</v>
      </c>
      <c r="O175" s="112" t="s">
        <v>335</v>
      </c>
      <c r="P175" s="63">
        <v>0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IH06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兽魂6</v>
      </c>
      <c r="I176" s="63" t="str">
        <f>VLOOKUP(B176,装备!B:CV,99,FALSE)</f>
        <v>觉醒兽魂</v>
      </c>
      <c r="J176" s="56" t="str">
        <f t="shared" si="56"/>
        <v>兽魂6</v>
      </c>
      <c r="K176" s="56" t="str">
        <f t="shared" si="57"/>
        <v>觉醒兽魂</v>
      </c>
      <c r="L176" s="63"/>
      <c r="M176" s="65" t="str">
        <f>VLOOKUP(LEFT(RIGHT(B176,5),4),装备!B:CU,20,FALSE)</f>
        <v>ReplaceableTextures\\CommandButtons\\BTNIH06.blp</v>
      </c>
      <c r="N176" s="83" t="s">
        <v>77</v>
      </c>
      <c r="O176" s="112" t="s">
        <v>335</v>
      </c>
      <c r="P176" s="63">
        <v>1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IH07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兽魂7</v>
      </c>
      <c r="I177" s="63" t="str">
        <f>VLOOKUP(B177,装备!B:CV,99,FALSE)</f>
        <v>觉醒兽魂</v>
      </c>
      <c r="J177" s="56" t="str">
        <f t="shared" si="56"/>
        <v>兽魂7</v>
      </c>
      <c r="K177" s="56" t="str">
        <f t="shared" si="57"/>
        <v>觉醒兽魂</v>
      </c>
      <c r="L177" s="63"/>
      <c r="M177" s="65" t="str">
        <f>VLOOKUP(LEFT(RIGHT(B177,5),4),装备!B:CU,20,FALSE)</f>
        <v>ReplaceableTextures\\CommandButtons\\BTNIH07.blp</v>
      </c>
      <c r="N177" s="83" t="s">
        <v>77</v>
      </c>
      <c r="O177" s="112" t="s">
        <v>335</v>
      </c>
      <c r="P177" s="63">
        <v>2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IH08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兽魂8</v>
      </c>
      <c r="I178" s="63" t="str">
        <f>VLOOKUP(B178,装备!B:CV,99,FALSE)</f>
        <v>觉醒兽魂</v>
      </c>
      <c r="J178" s="56" t="str">
        <f t="shared" si="56"/>
        <v>兽魂8</v>
      </c>
      <c r="K178" s="56" t="str">
        <f t="shared" si="57"/>
        <v>觉醒兽魂</v>
      </c>
      <c r="L178" s="63"/>
      <c r="M178" s="65" t="str">
        <f>VLOOKUP(LEFT(RIGHT(B178,5),4),装备!B:CU,20,FALSE)</f>
        <v>ReplaceableTextures\\CommandButtons\\BTNIH08.blp</v>
      </c>
      <c r="N178" s="83" t="s">
        <v>77</v>
      </c>
      <c r="O178" s="112" t="s">
        <v>335</v>
      </c>
      <c r="P178" s="63">
        <v>3</v>
      </c>
      <c r="Q178" s="63">
        <v>1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入群礼包</v>
      </c>
      <c r="I179" s="63" t="str">
        <f>VLOOKUP(B179,装备!B:CV,99,FALSE)</f>
        <v>入群礼包</v>
      </c>
      <c r="J179" s="56" t="str">
        <f t="shared" si="56"/>
        <v>入群礼包</v>
      </c>
      <c r="K179" s="56" t="str">
        <f t="shared" si="57"/>
        <v>入群礼包</v>
      </c>
      <c r="L179" s="63"/>
      <c r="M179" s="65" t="str">
        <f>VLOOKUP(LEFT(RIGHT(B179,5),4),装备!B:CU,20,FALSE)</f>
        <v>ReplaceableTextures\\CommandButtons\\BTNIB01.blp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公众号礼包</v>
      </c>
      <c r="I180" s="63" t="str">
        <f>VLOOKUP(B180,装备!B:CV,99,FALSE)</f>
        <v>公众号礼包</v>
      </c>
      <c r="J180" s="56" t="str">
        <f t="shared" si="56"/>
        <v>公众号礼包</v>
      </c>
      <c r="K180" s="56" t="str">
        <f t="shared" si="57"/>
        <v>公众号礼包</v>
      </c>
      <c r="L180" s="63"/>
      <c r="M180" s="65" t="str">
        <f>VLOOKUP(LEFT(RIGHT(B180,5),4),装备!B:CU,20,FALSE)</f>
        <v>ReplaceableTextures\\CommandButtons\\BTNIB02.blp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好评礼包</v>
      </c>
      <c r="I181" s="63" t="str">
        <f>VLOOKUP(B181,装备!B:CV,99,FALSE)</f>
        <v>好评礼包</v>
      </c>
      <c r="J181" s="56" t="str">
        <f t="shared" si="56"/>
        <v>好评礼包</v>
      </c>
      <c r="K181" s="56" t="str">
        <f t="shared" si="57"/>
        <v>好评礼包</v>
      </c>
      <c r="L181" s="63"/>
      <c r="M181" s="65" t="str">
        <f>VLOOKUP(LEFT(RIGHT(B181,5),4),装备!B:CU,20,FALSE)</f>
        <v>ReplaceableTextures\\CommandButtons\\BTNIB03.blp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老铁礼包</v>
      </c>
      <c r="I182" s="63" t="str">
        <f>VLOOKUP(B182,装备!B:CV,99,FALSE)</f>
        <v>老铁礼包</v>
      </c>
      <c r="J182" s="56" t="str">
        <f t="shared" si="56"/>
        <v>老铁礼包</v>
      </c>
      <c r="K182" s="56" t="str">
        <f t="shared" si="57"/>
        <v>老铁礼包</v>
      </c>
      <c r="L182" s="63"/>
      <c r="M182" s="65" t="str">
        <f>VLOOKUP(LEFT(RIGHT(B182,5),4),装备!B:CU,20,FALSE)</f>
        <v>ReplaceableTextures\\CommandButtons\\BTNIB04.blp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IB05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工会礼包</v>
      </c>
      <c r="I183" s="63" t="str">
        <f>VLOOKUP(B183,装备!B:CV,99,FALSE)</f>
        <v>工会礼包</v>
      </c>
      <c r="J183" s="56" t="str">
        <f t="shared" si="56"/>
        <v>工会礼包</v>
      </c>
      <c r="K183" s="56" t="str">
        <f t="shared" si="57"/>
        <v>工会礼包</v>
      </c>
      <c r="L183" s="63"/>
      <c r="M183" s="65" t="str">
        <f>VLOOKUP(LEFT(RIGHT(B183,5),4),装备!B:CU,20,FALSE)</f>
        <v>ReplaceableTextures\\CommandButtons\\BTNIB05.blp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IF01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攻击</v>
      </c>
      <c r="I184" s="63">
        <f>VLOOKUP(B184,装备!B:CV,99,FALSE)</f>
        <v>0</v>
      </c>
      <c r="J184" s="56" t="str">
        <f t="shared" ref="J184" si="62">H184</f>
        <v>攻击</v>
      </c>
      <c r="K184" s="56">
        <f t="shared" ref="K184" si="63">I184</f>
        <v>0</v>
      </c>
      <c r="L184" s="63"/>
      <c r="M184" s="65" t="str">
        <f>VLOOKUP(LEFT(RIGHT(B184,5),4),装备!B:CU,20,FALSE)</f>
        <v>ReplaceableTextures\\CommandButtons\\BTNIF01.blp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IF02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法强</v>
      </c>
      <c r="I185" s="63">
        <f>VLOOKUP(B185,装备!B:CV,99,FALSE)</f>
        <v>0</v>
      </c>
      <c r="J185" s="56" t="str">
        <f t="shared" ref="J185:J210" si="64">H185</f>
        <v>法强</v>
      </c>
      <c r="K185" s="56">
        <f t="shared" ref="K185:K210" si="65">I185</f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IF03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攻击</v>
      </c>
      <c r="I186" s="63">
        <f>VLOOKUP(B186,装备!B:CV,99,FALSE)</f>
        <v>0</v>
      </c>
      <c r="J186" s="56" t="str">
        <f t="shared" si="64"/>
        <v>攻击</v>
      </c>
      <c r="K186" s="56">
        <f t="shared" si="65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IF04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法强</v>
      </c>
      <c r="I187" s="63">
        <f>VLOOKUP(B187,装备!B:CV,99,FALSE)</f>
        <v>0</v>
      </c>
      <c r="J187" s="56" t="str">
        <f t="shared" si="64"/>
        <v>法强</v>
      </c>
      <c r="K187" s="56">
        <f t="shared" si="65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IF05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攻击</v>
      </c>
      <c r="I188" s="63">
        <f>VLOOKUP(B188,装备!B:CV,99,FALSE)</f>
        <v>0</v>
      </c>
      <c r="J188" s="56" t="str">
        <f t="shared" si="64"/>
        <v>攻击</v>
      </c>
      <c r="K188" s="56">
        <f t="shared" si="65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IF06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法强</v>
      </c>
      <c r="I189" s="63">
        <f>VLOOKUP(B189,装备!B:CV,99,FALSE)</f>
        <v>0</v>
      </c>
      <c r="J189" s="56" t="str">
        <f t="shared" si="64"/>
        <v>法强</v>
      </c>
      <c r="K189" s="56">
        <f t="shared" si="65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IF07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攻击</v>
      </c>
      <c r="I190" s="63">
        <f>VLOOKUP(B190,装备!B:CV,99,FALSE)</f>
        <v>0</v>
      </c>
      <c r="J190" s="56" t="str">
        <f t="shared" si="64"/>
        <v>攻击</v>
      </c>
      <c r="K190" s="56">
        <f t="shared" si="65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IF08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法强</v>
      </c>
      <c r="I191" s="63">
        <f>VLOOKUP(B191,装备!B:CV,99,FALSE)</f>
        <v>0</v>
      </c>
      <c r="J191" s="56" t="str">
        <f t="shared" si="64"/>
        <v>法强</v>
      </c>
      <c r="K191" s="56">
        <f t="shared" si="65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IF09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攻击</v>
      </c>
      <c r="I192" s="63">
        <f>VLOOKUP(B192,装备!B:CV,99,FALSE)</f>
        <v>0</v>
      </c>
      <c r="J192" s="56" t="str">
        <f t="shared" si="64"/>
        <v>攻击</v>
      </c>
      <c r="K192" s="56">
        <f t="shared" si="65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IF10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法强</v>
      </c>
      <c r="I193" s="63">
        <f>VLOOKUP(B193,装备!B:CV,99,FALSE)</f>
        <v>0</v>
      </c>
      <c r="J193" s="56" t="str">
        <f t="shared" si="64"/>
        <v>法强</v>
      </c>
      <c r="K193" s="56">
        <f t="shared" si="65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IF11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攻击和法强</v>
      </c>
      <c r="I194" s="63">
        <f>VLOOKUP(B194,装备!B:CV,99,FALSE)</f>
        <v>0</v>
      </c>
      <c r="J194" s="56" t="str">
        <f t="shared" si="64"/>
        <v>攻击和法强</v>
      </c>
      <c r="K194" s="56">
        <f t="shared" si="65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IF12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暴击</v>
      </c>
      <c r="I195" s="63">
        <f>VLOOKUP(B195,装备!B:CV,99,FALSE)</f>
        <v>0</v>
      </c>
      <c r="J195" s="56" t="str">
        <f t="shared" si="64"/>
        <v>暴击</v>
      </c>
      <c r="K195" s="56">
        <f t="shared" si="65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IF13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4"/>
        <v>爆伤</v>
      </c>
      <c r="K196" s="56">
        <f t="shared" si="65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IF14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4"/>
        <v>爆伤</v>
      </c>
      <c r="K197" s="56">
        <f t="shared" si="65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IF15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爆伤</v>
      </c>
      <c r="I198" s="63">
        <f>VLOOKUP(B198,装备!B:CV,99,FALSE)</f>
        <v>0</v>
      </c>
      <c r="J198" s="56" t="str">
        <f t="shared" si="64"/>
        <v>爆伤</v>
      </c>
      <c r="K198" s="56">
        <f t="shared" si="65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IF16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4"/>
        <v>冷却缩减</v>
      </c>
      <c r="K199" s="56">
        <f t="shared" si="65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IF17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冷却缩减</v>
      </c>
      <c r="I200" s="63">
        <f>VLOOKUP(B200,装备!B:CV,99,FALSE)</f>
        <v>0</v>
      </c>
      <c r="J200" s="56" t="str">
        <f t="shared" si="64"/>
        <v>冷却缩减</v>
      </c>
      <c r="K200" s="56">
        <f t="shared" si="65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IF18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4"/>
        <v>攻击速度</v>
      </c>
      <c r="K201" s="56">
        <f t="shared" si="65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IF19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攻击速度</v>
      </c>
      <c r="I202" s="63">
        <f>VLOOKUP(B202,装备!B:CV,99,FALSE)</f>
        <v>0</v>
      </c>
      <c r="J202" s="56" t="str">
        <f t="shared" si="64"/>
        <v>攻击速度</v>
      </c>
      <c r="K202" s="56">
        <f t="shared" si="65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IF20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4"/>
        <v>普攻伤害</v>
      </c>
      <c r="K203" s="56">
        <f t="shared" si="65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IF21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普攻伤害</v>
      </c>
      <c r="I204" s="63">
        <f>VLOOKUP(B204,装备!B:CV,99,FALSE)</f>
        <v>0</v>
      </c>
      <c r="J204" s="56" t="str">
        <f t="shared" si="64"/>
        <v>普攻伤害</v>
      </c>
      <c r="K204" s="56">
        <f t="shared" si="65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IF22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4"/>
        <v>回蓝</v>
      </c>
      <c r="K205" s="56">
        <f t="shared" si="65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IF23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回蓝</v>
      </c>
      <c r="I206" s="63">
        <f>VLOOKUP(B206,装备!B:CV,99,FALSE)</f>
        <v>0</v>
      </c>
      <c r="J206" s="56" t="str">
        <f t="shared" si="64"/>
        <v>回蓝</v>
      </c>
      <c r="K206" s="56">
        <f t="shared" si="65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IF24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生命回复</v>
      </c>
      <c r="I207" s="63">
        <f>VLOOKUP(B207,装备!B:CV,99,FALSE)</f>
        <v>0</v>
      </c>
      <c r="J207" s="56" t="str">
        <f t="shared" si="64"/>
        <v>生命回复</v>
      </c>
      <c r="K207" s="56">
        <f t="shared" si="65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IF25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伤害吸血</v>
      </c>
      <c r="I208" s="63">
        <f>VLOOKUP(B208,装备!B:CV,99,FALSE)</f>
        <v>0</v>
      </c>
      <c r="J208" s="56" t="str">
        <f t="shared" si="64"/>
        <v>伤害吸血</v>
      </c>
      <c r="K208" s="56">
        <f t="shared" si="65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IF26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闪避</v>
      </c>
      <c r="I209" s="63">
        <f>VLOOKUP(B209,装备!B:CV,99,FALSE)</f>
        <v>0</v>
      </c>
      <c r="J209" s="56" t="str">
        <f t="shared" si="64"/>
        <v>闪避</v>
      </c>
      <c r="K209" s="56">
        <f t="shared" si="65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 t="str">
        <f>装备!B210</f>
        <v>IF27</v>
      </c>
      <c r="C210" s="63" t="s">
        <v>36</v>
      </c>
      <c r="D210" s="63" t="s">
        <v>76</v>
      </c>
      <c r="E210" s="66"/>
      <c r="F210" s="63"/>
      <c r="G210" s="63"/>
      <c r="H210" s="63" t="str">
        <f>VLOOKUP(LEFT(RIGHT(B210,5),4),装备!B:CU,2,FALSE)</f>
        <v>伤害减免</v>
      </c>
      <c r="I210" s="63">
        <f>VLOOKUP(B210,装备!B:CV,99,FALSE)</f>
        <v>0</v>
      </c>
      <c r="J210" s="56" t="str">
        <f t="shared" si="64"/>
        <v>伤害减免</v>
      </c>
      <c r="K210" s="56">
        <f t="shared" si="65"/>
        <v>0</v>
      </c>
      <c r="L210" s="63"/>
      <c r="M210" s="65">
        <f>VLOOKUP(LEFT(RIGHT(B210,5),4),装备!B:CU,20,FALSE)</f>
        <v>0</v>
      </c>
      <c r="N210" s="83" t="s">
        <v>77</v>
      </c>
      <c r="O210" s="112" t="s">
        <v>335</v>
      </c>
      <c r="P210" s="63">
        <v>0</v>
      </c>
      <c r="Q210" s="63">
        <v>0</v>
      </c>
      <c r="R210" s="83" t="s">
        <v>77</v>
      </c>
      <c r="S210" s="83" t="s">
        <v>77</v>
      </c>
      <c r="T210" s="83" t="s">
        <v>77</v>
      </c>
      <c r="U210" s="83" t="s">
        <v>77</v>
      </c>
      <c r="V210" s="63"/>
      <c r="W210" s="66" t="s">
        <v>334</v>
      </c>
      <c r="X210" s="63">
        <v>0</v>
      </c>
      <c r="Y210" s="83" t="s">
        <v>77</v>
      </c>
      <c r="Z210" s="63">
        <v>0</v>
      </c>
      <c r="AA210" s="63">
        <v>0</v>
      </c>
      <c r="AB210" s="63">
        <v>0</v>
      </c>
      <c r="AC210" s="63">
        <v>1</v>
      </c>
      <c r="AD210" s="63">
        <v>1</v>
      </c>
      <c r="AE210" s="83" t="s">
        <v>77</v>
      </c>
      <c r="AF210" s="83" t="s">
        <v>77</v>
      </c>
      <c r="AG210" s="83" t="s">
        <v>77</v>
      </c>
      <c r="AH210" s="83" t="s">
        <v>77</v>
      </c>
      <c r="AI210" s="83">
        <v>1</v>
      </c>
      <c r="AJ210" s="63"/>
      <c r="AK210" s="63">
        <v>1</v>
      </c>
      <c r="AL210" s="63">
        <v>1</v>
      </c>
      <c r="AM210" s="83" t="s">
        <v>77</v>
      </c>
      <c r="AN210" s="83">
        <v>1</v>
      </c>
      <c r="AO210" s="83">
        <v>1</v>
      </c>
      <c r="AP210" s="83">
        <v>1</v>
      </c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66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83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66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A255" s="62"/>
      <c r="B255" s="63"/>
      <c r="C255" s="63"/>
      <c r="D255" s="63"/>
      <c r="E255" s="66"/>
      <c r="F255" s="63"/>
      <c r="G255" s="63"/>
      <c r="H255" s="63"/>
      <c r="I255" s="63"/>
      <c r="J255" s="56"/>
      <c r="K255" s="56"/>
      <c r="L255" s="63"/>
      <c r="M255" s="65"/>
      <c r="N255" s="83"/>
      <c r="O255" s="84"/>
      <c r="P255" s="63"/>
      <c r="Q255" s="63"/>
      <c r="R255" s="83"/>
      <c r="S255" s="83"/>
      <c r="T255" s="83"/>
      <c r="U255" s="83"/>
      <c r="V255" s="63"/>
      <c r="W255" s="83"/>
      <c r="X255" s="63"/>
      <c r="Y255" s="8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67"/>
      <c r="C308" s="63"/>
      <c r="D308" s="63"/>
      <c r="E308" s="66"/>
      <c r="H308" s="63"/>
      <c r="J308" s="56"/>
      <c r="K308" s="63"/>
      <c r="L308" s="63"/>
      <c r="O308" s="65"/>
      <c r="P308" s="63"/>
      <c r="Q308" s="63"/>
      <c r="W308" s="58"/>
      <c r="X308" s="58"/>
      <c r="Z308" s="63"/>
      <c r="AA308" s="63"/>
      <c r="AB308" s="58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63"/>
      <c r="X314" s="63"/>
      <c r="Z314" s="63"/>
      <c r="AA314" s="63"/>
      <c r="AB314" s="58"/>
      <c r="AC314" s="63"/>
      <c r="AD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68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58"/>
      <c r="S335" s="58"/>
      <c r="T335" s="58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69"/>
      <c r="K337" s="58"/>
      <c r="L337" s="63"/>
      <c r="M337" s="68"/>
      <c r="O337" s="65"/>
      <c r="P337" s="63"/>
      <c r="Q337" s="63"/>
      <c r="R337" s="63"/>
      <c r="S337" s="63"/>
      <c r="T337" s="63"/>
      <c r="W337" s="58"/>
      <c r="X337" s="63"/>
      <c r="Z337" s="63"/>
      <c r="AA337" s="63"/>
      <c r="AB337" s="63"/>
      <c r="AC337" s="63"/>
      <c r="AD337" s="63"/>
      <c r="AI337" s="63"/>
      <c r="AJ337" s="63"/>
      <c r="AK337" s="63"/>
      <c r="AO337" s="63"/>
      <c r="AP337" s="63"/>
    </row>
    <row r="338" spans="2:42" s="57" customFormat="1">
      <c r="E338" s="66"/>
      <c r="H338" s="63"/>
      <c r="J338" s="56"/>
      <c r="AB338" s="63"/>
    </row>
    <row r="339" spans="2:42" s="57" customFormat="1">
      <c r="E339" s="66"/>
      <c r="H339" s="63"/>
      <c r="J339" s="56"/>
      <c r="AB339" s="63"/>
    </row>
    <row r="340" spans="2:42" s="57" customFormat="1">
      <c r="E340" s="66"/>
      <c r="H340" s="63"/>
      <c r="J340" s="56"/>
      <c r="AB340" s="63"/>
    </row>
    <row r="341" spans="2:42" s="57" customFormat="1">
      <c r="E341" s="66"/>
      <c r="H341" s="63"/>
      <c r="J341" s="56"/>
      <c r="AB341" s="63"/>
    </row>
    <row r="342" spans="2:42" s="57" customFormat="1">
      <c r="E342" s="66"/>
      <c r="H342" s="63"/>
      <c r="J342" s="56"/>
      <c r="AB342" s="63"/>
    </row>
    <row r="343" spans="2:42" s="57" customFormat="1">
      <c r="E343" s="66"/>
      <c r="H343" s="63"/>
      <c r="J343" s="56"/>
      <c r="AB343" s="63"/>
    </row>
    <row r="344" spans="2:42" s="57" customFormat="1">
      <c r="E344" s="66"/>
      <c r="H344" s="63"/>
      <c r="J344" s="56"/>
      <c r="AB344" s="63"/>
    </row>
    <row r="345" spans="2:42" s="57" customFormat="1">
      <c r="E345" s="66"/>
      <c r="H345" s="63"/>
      <c r="J345" s="56"/>
      <c r="AB345" s="63"/>
    </row>
    <row r="346" spans="2:42" s="57" customFormat="1">
      <c r="E346" s="66"/>
      <c r="H346" s="63"/>
      <c r="J346" s="56"/>
      <c r="AB346" s="63"/>
    </row>
    <row r="347" spans="2:42" s="57" customFormat="1">
      <c r="E347" s="66"/>
      <c r="H347" s="63"/>
      <c r="J347" s="56"/>
      <c r="AB347" s="63"/>
    </row>
    <row r="348" spans="2:42" s="57" customFormat="1">
      <c r="E348" s="66"/>
      <c r="H348" s="63"/>
      <c r="J348" s="56"/>
      <c r="AB348" s="63"/>
    </row>
    <row r="349" spans="2:42" s="57" customFormat="1">
      <c r="E349" s="66"/>
      <c r="H349" s="63"/>
      <c r="J349" s="56"/>
      <c r="AB349" s="63"/>
    </row>
    <row r="350" spans="2:42" s="57" customFormat="1">
      <c r="E350" s="66"/>
      <c r="H350" s="63"/>
      <c r="J350" s="56"/>
      <c r="AB350" s="63"/>
    </row>
    <row r="351" spans="2:42" s="57" customFormat="1">
      <c r="E351" s="66"/>
      <c r="H351" s="63"/>
      <c r="J351" s="56"/>
      <c r="AB351" s="63"/>
    </row>
    <row r="352" spans="2:42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 s="57" customFormat="1">
      <c r="E355" s="66"/>
      <c r="H355" s="63"/>
      <c r="J355" s="56"/>
      <c r="AB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6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7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I364" s="57"/>
      <c r="J364" s="58"/>
      <c r="K364" s="63"/>
      <c r="L364" s="63"/>
      <c r="M364" s="57"/>
      <c r="O364" s="65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68"/>
      <c r="O368" s="65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7"/>
      <c r="C379" s="63"/>
      <c r="D379" s="63"/>
      <c r="E379" s="66"/>
      <c r="H379" s="63"/>
      <c r="J379" s="56"/>
      <c r="K379" s="63"/>
      <c r="L379" s="63"/>
      <c r="M379" s="70"/>
      <c r="O379" s="65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I380" s="57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 s="68"/>
      <c r="O383" s="65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58"/>
      <c r="X384" s="63"/>
      <c r="Z384" s="63"/>
      <c r="AA384" s="63"/>
      <c r="AC384" s="63"/>
      <c r="AD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M420"/>
      <c r="O420" s="65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63"/>
      <c r="X424" s="63"/>
      <c r="Z424" s="63"/>
      <c r="AA424" s="63"/>
      <c r="AB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M440" s="71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7"/>
      <c r="C459" s="63"/>
      <c r="D459" s="63"/>
      <c r="E459" s="66"/>
      <c r="H459" s="63"/>
      <c r="I459" s="57"/>
      <c r="J459" s="56"/>
      <c r="K459" s="63"/>
      <c r="L459" s="63"/>
      <c r="M459" s="71"/>
      <c r="O459" s="65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J470" s="56"/>
      <c r="K470" s="63"/>
      <c r="L470" s="63"/>
      <c r="O470" s="65"/>
      <c r="P470" s="63"/>
      <c r="Q470" s="63"/>
      <c r="W470" s="58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63"/>
      <c r="J474" s="56"/>
      <c r="K474" s="63"/>
      <c r="L474" s="63"/>
      <c r="N474" s="58"/>
      <c r="O474" s="65"/>
      <c r="P474" s="63"/>
      <c r="Q474" s="63"/>
      <c r="W474" s="63"/>
      <c r="X474" s="63"/>
      <c r="Z474" s="63"/>
      <c r="AA474" s="63"/>
      <c r="AC474" s="63"/>
      <c r="AD474" s="63"/>
      <c r="AI474" s="63"/>
      <c r="AJ474" s="63"/>
      <c r="AK474" s="63"/>
      <c r="AO474" s="63"/>
      <c r="AP474" s="6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 s="59" customFormat="1">
      <c r="B476" s="72"/>
      <c r="C476" s="73"/>
      <c r="D476" s="73"/>
      <c r="E476" s="66"/>
      <c r="H476" s="63"/>
      <c r="I476" s="73"/>
      <c r="J476" s="74"/>
      <c r="K476" s="73"/>
      <c r="L476" s="73"/>
      <c r="M476" s="68"/>
      <c r="P476" s="73"/>
      <c r="Q476" s="73"/>
      <c r="W476" s="73"/>
      <c r="X476" s="73"/>
      <c r="Z476" s="73"/>
      <c r="AA476" s="63"/>
      <c r="AC476" s="73"/>
      <c r="AD476" s="73"/>
      <c r="AI476" s="73"/>
      <c r="AJ476" s="73"/>
      <c r="AK476" s="73"/>
      <c r="AN476" s="72"/>
      <c r="AO476" s="73"/>
      <c r="AP476" s="7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63"/>
      <c r="J495" s="56"/>
      <c r="K495" s="63"/>
      <c r="L495" s="63"/>
      <c r="P495" s="63"/>
      <c r="Q495" s="63"/>
      <c r="W495" s="63"/>
      <c r="X495" s="63"/>
      <c r="Z495" s="63"/>
      <c r="AA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7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58"/>
      <c r="C504" s="63"/>
      <c r="D504" s="63"/>
      <c r="E504" s="66"/>
      <c r="H504" s="63"/>
      <c r="I504" s="56"/>
      <c r="J504" s="56"/>
      <c r="K504" s="63"/>
      <c r="L504" s="63"/>
      <c r="P504" s="63"/>
      <c r="Q504" s="63"/>
      <c r="V504" s="63"/>
      <c r="W504" s="58"/>
      <c r="X504" s="63"/>
      <c r="Z504" s="63"/>
      <c r="AA504" s="63"/>
      <c r="AB504" s="63"/>
      <c r="AC504" s="63"/>
      <c r="AD504" s="63"/>
      <c r="AI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F511" s="63"/>
      <c r="G511" s="63"/>
      <c r="H511" s="63"/>
      <c r="I511" s="63"/>
      <c r="J511" s="56"/>
      <c r="K511" s="56"/>
      <c r="L511" s="63"/>
      <c r="M511" s="65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5"/>
      <c r="O513" s="63"/>
      <c r="P513" s="63"/>
      <c r="Q513" s="63"/>
      <c r="W513" s="63"/>
      <c r="X513" s="63"/>
      <c r="Z513" s="63"/>
      <c r="AA513" s="63"/>
      <c r="AC513" s="63"/>
      <c r="AD513" s="63"/>
      <c r="AI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6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58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56"/>
      <c r="J516" s="56"/>
      <c r="K516" s="63"/>
      <c r="L516" s="63"/>
      <c r="M516" s="75"/>
      <c r="O516" s="63"/>
      <c r="P516" s="63"/>
      <c r="Q516" s="63"/>
      <c r="W516" s="63"/>
      <c r="X516" s="63"/>
      <c r="Z516" s="63"/>
      <c r="AA516" s="63"/>
      <c r="AC516" s="63"/>
      <c r="AD516" s="63"/>
      <c r="AI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6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M566" s="75"/>
      <c r="N566" s="58"/>
      <c r="O566" s="77"/>
      <c r="P566" s="63"/>
      <c r="Q566" s="63"/>
      <c r="W566" s="63"/>
      <c r="X566" s="63"/>
      <c r="Z566" s="63"/>
      <c r="AA566" s="63"/>
      <c r="AB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77"/>
      <c r="O570" s="62"/>
      <c r="P570" s="63"/>
      <c r="Q570" s="63"/>
      <c r="V570" s="63"/>
      <c r="W570" s="58"/>
      <c r="X570" s="63"/>
      <c r="Z570" s="63"/>
      <c r="AA570" s="63"/>
      <c r="AB570" s="63"/>
      <c r="AC570" s="63"/>
      <c r="AD570" s="63"/>
      <c r="AJ570" s="63"/>
      <c r="AK570" s="63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 s="60" customFormat="1">
      <c r="B574" s="78"/>
      <c r="C574" s="78"/>
      <c r="D574" s="78"/>
      <c r="E574" s="66"/>
      <c r="H574" s="63"/>
      <c r="I574" s="78"/>
      <c r="J574" s="79"/>
      <c r="K574" s="78"/>
      <c r="L574" s="78"/>
      <c r="M574" s="80"/>
      <c r="O574" s="81"/>
      <c r="P574" s="78"/>
      <c r="Q574" s="78"/>
      <c r="V574" s="78"/>
      <c r="W574" s="82"/>
      <c r="X574" s="78"/>
      <c r="Z574" s="78"/>
      <c r="AA574" s="78"/>
      <c r="AC574" s="78"/>
      <c r="AD574" s="78"/>
      <c r="AJ574" s="78"/>
      <c r="AK574" s="78"/>
      <c r="AN574" s="82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M578" s="77"/>
      <c r="O578" s="62"/>
      <c r="P578" s="63"/>
      <c r="Q578" s="63"/>
      <c r="W578" s="63"/>
      <c r="X578" s="63"/>
      <c r="Z578" s="63"/>
      <c r="AA578" s="63"/>
      <c r="AB578" s="63"/>
      <c r="AC578" s="63"/>
      <c r="AD578" s="63"/>
      <c r="AJ578" s="63"/>
      <c r="AK578" s="63"/>
      <c r="AO578" s="63"/>
      <c r="AP578" s="63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 s="60" customFormat="1">
      <c r="B582" s="78"/>
      <c r="C582" s="78"/>
      <c r="D582" s="78"/>
      <c r="E582" s="66"/>
      <c r="H582" s="63"/>
      <c r="I582" s="78"/>
      <c r="J582" s="79"/>
      <c r="K582" s="78"/>
      <c r="L582" s="78"/>
      <c r="M582" s="80"/>
      <c r="O582" s="81"/>
      <c r="P582" s="78"/>
      <c r="Q582" s="78"/>
      <c r="W582" s="78"/>
      <c r="X582" s="78"/>
      <c r="Z582" s="78"/>
      <c r="AA582" s="78"/>
      <c r="AC582" s="78"/>
      <c r="AD582" s="78"/>
      <c r="AJ582" s="78"/>
      <c r="AK582" s="78"/>
      <c r="AN582" s="82"/>
      <c r="AO582" s="78"/>
      <c r="AP582" s="78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63"/>
      <c r="C596" s="63"/>
      <c r="D596" s="63"/>
      <c r="E596" s="66"/>
      <c r="H596" s="63"/>
      <c r="I596" s="63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56"/>
      <c r="C597" s="63"/>
      <c r="D597" s="63"/>
      <c r="E597" s="66"/>
      <c r="H597" s="63"/>
      <c r="I597" s="56"/>
      <c r="J597" s="56"/>
      <c r="K597" s="63"/>
      <c r="L597" s="63"/>
      <c r="M597" s="65"/>
      <c r="O597" s="63"/>
      <c r="P597" s="63"/>
      <c r="Q597" s="63"/>
      <c r="W597" s="63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O598" s="62"/>
      <c r="P598" s="63"/>
      <c r="Q598" s="63"/>
      <c r="V598" s="63"/>
      <c r="W598" s="58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  <c r="AO606" s="63"/>
      <c r="AP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W607" s="63"/>
      <c r="X607" s="63"/>
      <c r="Z607" s="63"/>
      <c r="AA607" s="63"/>
      <c r="AC607" s="63"/>
      <c r="AD607" s="63"/>
      <c r="AI607" s="63"/>
      <c r="AJ607" s="63"/>
      <c r="AK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I608" s="63"/>
      <c r="AJ608" s="63"/>
      <c r="AK608" s="63"/>
      <c r="AO608" s="63"/>
      <c r="AP608" s="63"/>
    </row>
    <row r="609" spans="2:42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  <c r="AO609" s="63"/>
      <c r="AP609" s="63"/>
    </row>
    <row r="610" spans="2:42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2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2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2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2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2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2">
      <c r="B616" s="63"/>
      <c r="C616" s="63"/>
      <c r="D616" s="63"/>
      <c r="E616" s="66"/>
      <c r="H616" s="63"/>
      <c r="I616" s="63"/>
      <c r="J616" s="56"/>
      <c r="K616" s="63"/>
      <c r="L616" s="63"/>
      <c r="P616" s="63"/>
      <c r="Q616" s="63"/>
      <c r="R616" s="58"/>
      <c r="S616" s="58"/>
      <c r="T616" s="58"/>
      <c r="W616" s="63"/>
      <c r="X616" s="63"/>
      <c r="Z616" s="63"/>
      <c r="AA616" s="63"/>
      <c r="AC616" s="63"/>
      <c r="AD616" s="63"/>
      <c r="AJ616" s="63"/>
      <c r="AK616" s="63"/>
    </row>
    <row r="617" spans="2:42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2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2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2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2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2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2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2">
      <c r="B624" s="63"/>
      <c r="C624" s="63"/>
      <c r="D624" s="63"/>
      <c r="E624" s="66"/>
      <c r="H624" s="63"/>
      <c r="I624" s="62"/>
      <c r="J624" s="56"/>
      <c r="K624" s="63"/>
      <c r="M624" s="71"/>
      <c r="W624" s="63"/>
      <c r="Z624" s="63"/>
      <c r="AA624" s="63"/>
      <c r="AC624" s="63"/>
      <c r="AD624" s="63"/>
      <c r="AI624" s="63"/>
      <c r="AO624" s="63"/>
    </row>
    <row r="625" spans="2:11">
      <c r="B625" s="63"/>
      <c r="C625" s="63"/>
      <c r="D625" s="63"/>
      <c r="E625" s="66"/>
      <c r="H625" s="63"/>
      <c r="J625" s="56"/>
      <c r="K625" s="63"/>
    </row>
    <row r="626" spans="2:11">
      <c r="B626" s="63"/>
      <c r="C626" s="63"/>
      <c r="D626" s="63"/>
      <c r="E626" s="66"/>
      <c r="H626" s="63"/>
      <c r="J626" s="56"/>
      <c r="K626" s="58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  <c r="J664" s="56"/>
    </row>
    <row r="665" spans="5:10">
      <c r="E665" s="66"/>
    </row>
    <row r="666" spans="5:10">
      <c r="E666" s="66"/>
    </row>
  </sheetData>
  <autoFilter ref="A1:AP664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0"/>
  <sheetViews>
    <sheetView tabSelected="1" zoomScaleNormal="100" workbookViewId="0">
      <pane xSplit="5" ySplit="2" topLeftCell="F123" activePane="bottomRight" state="frozen"/>
      <selection pane="topRight"/>
      <selection pane="bottomLeft"/>
      <selection pane="bottomRight" activeCell="T134" sqref="A134:T134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6" t="s">
        <v>79</v>
      </c>
      <c r="G1" s="126"/>
      <c r="H1" s="126"/>
      <c r="I1" s="126"/>
      <c r="J1" s="126"/>
      <c r="K1" s="126"/>
      <c r="L1" s="126"/>
      <c r="M1" s="126"/>
      <c r="N1" s="126"/>
      <c r="O1" s="126"/>
      <c r="P1" s="127" t="s">
        <v>80</v>
      </c>
      <c r="Q1" s="128"/>
      <c r="R1" s="128"/>
      <c r="S1" s="129"/>
      <c r="T1" s="130" t="s">
        <v>7</v>
      </c>
      <c r="U1" s="13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">
        <v>595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44"/>
      <c r="CT3" s="44"/>
      <c r="CU3" s="45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8">IF(V3="","","|n"&amp;DB$2&amp;"+"&amp;V3&amp;DB$1)</f>
        <v>|n攻击+1000</v>
      </c>
      <c r="DC3" s="30" t="str">
        <f t="shared" ref="DC3" si="9">IF(W3="","","|n"&amp;DC$2&amp;"+"&amp;W3&amp;DC$1)</f>
        <v/>
      </c>
      <c r="DD3" s="30" t="str">
        <f t="shared" ref="DD3" si="10">IF(X3="","","|n"&amp;DD$2&amp;"+"&amp;X3&amp;DD$1)</f>
        <v/>
      </c>
      <c r="DE3" s="30" t="str">
        <f t="shared" ref="DE3" si="11">IF(Y3="","","|n"&amp;DE$2&amp;"+"&amp;Y3&amp;DE$1)</f>
        <v/>
      </c>
      <c r="DF3" s="30" t="str">
        <f t="shared" ref="DF3" si="12">IF(Z3="","","|n"&amp;DF$2&amp;"+"&amp;Z3&amp;DF$1)</f>
        <v/>
      </c>
      <c r="DG3" s="30" t="str">
        <f t="shared" ref="DG3" si="13">IF(AA3="","","|n"&amp;DG$2&amp;"+"&amp;AA3&amp;DG$1)</f>
        <v/>
      </c>
      <c r="DH3" s="30" t="str">
        <f t="shared" ref="DH3" si="14">IF(AB3="","","|n"&amp;DH$2&amp;"+"&amp;AB3&amp;DH$1)</f>
        <v/>
      </c>
      <c r="DI3" s="30" t="str">
        <f t="shared" ref="DI3" si="15">IF(AC3="","","|n"&amp;DI$2&amp;"+"&amp;AC3&amp;DI$1)</f>
        <v/>
      </c>
      <c r="DJ3" s="30" t="str">
        <f t="shared" ref="DJ3" si="16">IF(AD3="","","|n"&amp;DJ$2&amp;"+"&amp;AD3&amp;DJ$1)</f>
        <v/>
      </c>
      <c r="DK3" s="30" t="str">
        <f t="shared" ref="DK3" si="17">IF(AE3="","","|n"&amp;DK$2&amp;"+"&amp;AE3&amp;DK$1)</f>
        <v/>
      </c>
      <c r="DL3" s="30" t="str">
        <f t="shared" ref="DL3" si="18">IF(AF3="","","|n"&amp;DL$2&amp;"+"&amp;AF3&amp;DL$1)</f>
        <v/>
      </c>
      <c r="DM3" s="30" t="str">
        <f t="shared" ref="DM3" si="19">IF(AG3="","","|n"&amp;DM$2&amp;"+"&amp;AG3&amp;DM$1)</f>
        <v/>
      </c>
      <c r="DN3" s="30" t="str">
        <f t="shared" ref="DN3" si="20">IF(AH3="","","|n"&amp;DN$2&amp;"+"&amp;AH3&amp;DN$1)</f>
        <v/>
      </c>
      <c r="DO3" s="30" t="str">
        <f t="shared" ref="DO3" si="21">IF(AI3="","","|n"&amp;DO$2&amp;"+"&amp;AI3&amp;DO$1)</f>
        <v/>
      </c>
      <c r="DP3" s="30" t="str">
        <f t="shared" ref="DP3" si="22">IF(AJ3="","","|n"&amp;DP$2&amp;"+"&amp;AJ3&amp;DP$1)</f>
        <v/>
      </c>
      <c r="DQ3" s="30" t="str">
        <f t="shared" ref="DQ3" si="23">IF(AK3="","","|n"&amp;DQ$2&amp;"+"&amp;AK3&amp;DQ$1)</f>
        <v/>
      </c>
      <c r="DR3" s="30" t="str">
        <f t="shared" ref="DR3" si="24">IF(AL3="","","|n"&amp;DR$2&amp;"+"&amp;AL3&amp;DR$1)</f>
        <v/>
      </c>
      <c r="DS3" s="30" t="str">
        <f t="shared" ref="DS3" si="25">IF(AM3="","","|n"&amp;DS$2&amp;"+"&amp;AM3&amp;DS$1)</f>
        <v/>
      </c>
      <c r="DT3" s="30" t="str">
        <f t="shared" ref="DT3" si="26">IF(AN3="","","|n"&amp;DT$2&amp;"+"&amp;AN3&amp;DT$1)</f>
        <v/>
      </c>
      <c r="DU3" s="30" t="str">
        <f t="shared" ref="DU3" si="27">IF(AO3="","","|n"&amp;DU$2&amp;"+"&amp;AO3&amp;DU$1)</f>
        <v/>
      </c>
      <c r="DV3" s="30" t="str">
        <f t="shared" ref="DV3" si="28">IF(AP3="","","|n"&amp;DV$2&amp;"+"&amp;AP3&amp;DV$1)</f>
        <v/>
      </c>
      <c r="DW3" s="30" t="str">
        <f t="shared" ref="DW3" si="29">IF(AQ3="","","|n"&amp;DW$2&amp;"+"&amp;AQ3&amp;DW$1)</f>
        <v/>
      </c>
      <c r="DX3" s="30" t="str">
        <f t="shared" ref="DX3" si="30">IF(AR3="","","|n"&amp;DX$2&amp;"+"&amp;AR3&amp;DX$1)</f>
        <v/>
      </c>
      <c r="DY3" s="30" t="str">
        <f t="shared" ref="DY3" si="31">IF(AS3="","","|n"&amp;DY$2&amp;"+"&amp;AS3&amp;DY$1)</f>
        <v/>
      </c>
      <c r="DZ3" s="30" t="str">
        <f t="shared" ref="DZ3" si="32">IF(AT3="","","|n"&amp;DZ$2&amp;"+"&amp;AT3&amp;DZ$1)</f>
        <v/>
      </c>
      <c r="EA3" s="30" t="str">
        <f t="shared" ref="EA3" si="33">IF(AU3="","","|n"&amp;EA$2&amp;"+"&amp;AU3&amp;EA$1)</f>
        <v/>
      </c>
      <c r="EB3" s="30" t="str">
        <f t="shared" ref="EB3" si="34">IF(AV3="","","|n"&amp;EB$2&amp;"+"&amp;AV3&amp;EB$1)</f>
        <v/>
      </c>
      <c r="EC3" s="30" t="str">
        <f t="shared" ref="EC3" si="35">IF(AW3="","","|n"&amp;EC$2&amp;"+"&amp;AW3&amp;EC$1)</f>
        <v/>
      </c>
      <c r="ED3" s="30" t="str">
        <f t="shared" ref="ED3" si="36">IF(AX3="","","|n"&amp;ED$2&amp;"+"&amp;AX3&amp;ED$1)</f>
        <v/>
      </c>
      <c r="EE3" s="30" t="str">
        <f t="shared" ref="EE3" si="37">IF(AY3="","","|n"&amp;EE$2&amp;"+"&amp;AY3&amp;EE$1)</f>
        <v/>
      </c>
      <c r="EF3" s="30" t="str">
        <f t="shared" ref="EF3" si="38">IF(AZ3="","","|n"&amp;EF$2&amp;"+"&amp;AZ3&amp;EF$1)</f>
        <v/>
      </c>
      <c r="EG3" s="30" t="str">
        <f t="shared" ref="EG3" si="39">IF(BA3="","","|n"&amp;EG$2&amp;"+"&amp;BA3&amp;EG$1)</f>
        <v/>
      </c>
      <c r="EH3" s="30" t="str">
        <f t="shared" ref="EH3" si="40">IF(BB3="","","|n"&amp;EH$2&amp;"+"&amp;BB3&amp;EH$1)</f>
        <v/>
      </c>
      <c r="EI3" s="30" t="str">
        <f t="shared" ref="EI3" si="41">IF(BC3="","","|n"&amp;EI$2&amp;"+"&amp;BC3&amp;EI$1)</f>
        <v/>
      </c>
      <c r="EJ3" s="30" t="str">
        <f t="shared" ref="EJ3" si="42">IF(BD3="","","|n"&amp;EJ$2&amp;"+"&amp;BD3&amp;EJ$1)</f>
        <v/>
      </c>
      <c r="EK3" s="30" t="str">
        <f t="shared" ref="EK3" si="43">IF(BE3="","","|n"&amp;EK$2&amp;"+"&amp;BE3&amp;EK$1)</f>
        <v/>
      </c>
      <c r="EL3" s="30" t="str">
        <f t="shared" ref="EL3" si="44">IF(BF3="","","|n"&amp;EL$2&amp;"+"&amp;BF3&amp;EL$1)</f>
        <v/>
      </c>
      <c r="EM3" s="30" t="str">
        <f t="shared" ref="EM3" si="45">IF(BG3="","","|n"&amp;EM$2&amp;"+"&amp;BG3&amp;EM$1)</f>
        <v/>
      </c>
      <c r="EN3" s="30" t="str">
        <f t="shared" ref="EN3" si="46">IF(BH3="","","|n"&amp;EN$2&amp;"+"&amp;BH3&amp;EN$1)</f>
        <v/>
      </c>
      <c r="EO3" s="30" t="str">
        <f t="shared" ref="EO3" si="47">IF(BI3="","","|n"&amp;EO$2&amp;"+"&amp;BI3&amp;EO$1)</f>
        <v/>
      </c>
      <c r="EP3" s="30" t="str">
        <f t="shared" ref="EP3" si="48">IF(BJ3="","","|n"&amp;EP$2&amp;"+"&amp;BJ3&amp;EP$1)</f>
        <v/>
      </c>
      <c r="EQ3" s="30" t="str">
        <f t="shared" ref="EQ3" si="49">IF(BK3="","","|n"&amp;EQ$2&amp;"+"&amp;BK3&amp;EQ$1)</f>
        <v/>
      </c>
      <c r="ER3" s="30" t="str">
        <f t="shared" ref="ER3" si="50">IF(BL3="","","|n"&amp;ER$2&amp;"+"&amp;BL3&amp;ER$1)</f>
        <v/>
      </c>
      <c r="ES3" s="30" t="str">
        <f t="shared" ref="ES3" si="51">IF(BM3="","","|n"&amp;ES$2&amp;"+"&amp;BM3&amp;ES$1)</f>
        <v/>
      </c>
      <c r="ET3" s="30" t="str">
        <f t="shared" ref="ET3" si="52">IF(BN3="","","|n"&amp;ET$2&amp;"+"&amp;BN3&amp;ET$1)</f>
        <v/>
      </c>
      <c r="EU3" s="30" t="str">
        <f t="shared" ref="EU3" si="53">IF(BO3="","","|n"&amp;EU$2&amp;"+"&amp;BO3&amp;EU$1)</f>
        <v/>
      </c>
      <c r="EV3" s="30" t="str">
        <f t="shared" ref="EV3" si="54">IF(BP3="","","|n"&amp;EV$2&amp;"+"&amp;BP3&amp;EV$1)</f>
        <v/>
      </c>
      <c r="EW3" s="30" t="str">
        <f t="shared" ref="EW3" si="55">IF(BQ3="","","|n"&amp;EW$2&amp;"+"&amp;BQ3&amp;EW$1)</f>
        <v/>
      </c>
      <c r="EX3" s="30" t="str">
        <f t="shared" ref="EX3" si="56">IF(BR3="","","|n"&amp;EX$2&amp;"+"&amp;BR3&amp;EX$1)</f>
        <v/>
      </c>
      <c r="EY3" s="30" t="str">
        <f t="shared" ref="EY3" si="57">IF(BS3="","","|n"&amp;EY$2&amp;"+"&amp;BS3&amp;EY$1)</f>
        <v/>
      </c>
      <c r="EZ3" s="30" t="str">
        <f t="shared" ref="EZ3" si="58">IF(BT3="","","|n"&amp;EZ$2&amp;"+"&amp;BT3&amp;EZ$1)</f>
        <v/>
      </c>
      <c r="FA3" s="30" t="str">
        <f t="shared" ref="FA3" si="59">IF(BU3="","","|n"&amp;FA$2&amp;"+"&amp;BU3&amp;FA$1)</f>
        <v/>
      </c>
      <c r="FB3" s="30" t="str">
        <f t="shared" ref="FB3" si="60">IF(BV3="","","|n"&amp;FB$2&amp;"+"&amp;BV3&amp;FB$1)</f>
        <v/>
      </c>
      <c r="FC3" s="30" t="str">
        <f t="shared" ref="FC3" si="61">IF(BW3="","","|n"&amp;FC$2&amp;"+"&amp;BW3&amp;FC$1)</f>
        <v/>
      </c>
      <c r="FD3" s="30" t="str">
        <f t="shared" ref="FD3" si="62">IF(BX3="","","|n"&amp;FD$2&amp;"+"&amp;BX3&amp;FD$1)</f>
        <v/>
      </c>
      <c r="FE3" s="30" t="str">
        <f t="shared" ref="FE3" si="63">IF(BY3="","","|n"&amp;FE$2&amp;"+"&amp;BY3&amp;FE$1)</f>
        <v/>
      </c>
      <c r="FF3" s="30" t="str">
        <f t="shared" ref="FF3" si="64">IF(BZ3="","","|n"&amp;FF$2&amp;"+"&amp;BZ3&amp;FF$1)</f>
        <v/>
      </c>
      <c r="FG3" s="30" t="str">
        <f t="shared" ref="FG3" si="65">IF(CA3="","","|n"&amp;FG$2&amp;"+"&amp;CA3&amp;FG$1)</f>
        <v/>
      </c>
      <c r="FH3" s="30" t="str">
        <f t="shared" ref="FH3" si="66">IF(CB3="","","|n"&amp;FH$2&amp;"+"&amp;CB3&amp;FH$1)</f>
        <v/>
      </c>
      <c r="FI3" s="30" t="str">
        <f t="shared" ref="FI3" si="67">IF(CC3="","","|n"&amp;FI$2&amp;"+"&amp;CC3&amp;FI$1)</f>
        <v/>
      </c>
      <c r="FJ3" s="30" t="str">
        <f t="shared" ref="FJ3" si="68">IF(CD3="","","|n"&amp;FJ$2&amp;"+"&amp;CD3&amp;FJ$1)</f>
        <v/>
      </c>
      <c r="FK3" s="30" t="str">
        <f t="shared" ref="FK3" si="69">IF(CE3="","","|n"&amp;FK$2&amp;"+"&amp;CE3&amp;FK$1)</f>
        <v/>
      </c>
      <c r="FL3" s="30" t="str">
        <f t="shared" ref="FL3" si="70">IF(CF3="","","|n"&amp;FL$2&amp;"+"&amp;CF3&amp;FL$1)</f>
        <v/>
      </c>
      <c r="FM3" s="30" t="str">
        <f t="shared" ref="FM3" si="71">IF(CG3="","","|n"&amp;FM$2&amp;"+"&amp;CG3&amp;FM$1)</f>
        <v/>
      </c>
      <c r="FN3" s="30" t="str">
        <f t="shared" ref="FN3" si="72">IF(CH3="","","|n"&amp;FN$2&amp;"+"&amp;CH3&amp;FN$1)</f>
        <v/>
      </c>
      <c r="FO3" s="30" t="str">
        <f t="shared" ref="FO3" si="73">IF(CI3="","","|n"&amp;FO$2&amp;"+"&amp;CI3&amp;FO$1)</f>
        <v/>
      </c>
      <c r="FP3" s="30" t="str">
        <f t="shared" ref="FP3" si="74">IF(CJ3="","","|n"&amp;FP$2&amp;"+"&amp;CJ3&amp;FP$1)</f>
        <v/>
      </c>
      <c r="FQ3" s="30" t="str">
        <f t="shared" ref="FQ3" si="75">IF(CK3="","","|n"&amp;FQ$2&amp;"+"&amp;CK3&amp;FQ$1)</f>
        <v/>
      </c>
      <c r="FR3" s="30" t="str">
        <f t="shared" ref="FR3" si="76">IF(CL3="","","|n"&amp;FR$2&amp;"+"&amp;CL3&amp;FR$1)</f>
        <v/>
      </c>
      <c r="FS3" s="30" t="str">
        <f t="shared" ref="FS3" si="77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8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">
        <v>595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2"/>
        <v>InitUnitState('E002',1512,,,,,,,,,)</v>
      </c>
      <c r="CO4" s="44" t="str">
        <f t="shared" si="3"/>
        <v>InitUnitNormal('E002',,,,,,,,,,)</v>
      </c>
      <c r="CP4" s="44" t="str">
        <f t="shared" si="4"/>
        <v>InitUnitMagic('E002',,,,,,,,,,)</v>
      </c>
      <c r="CQ4" s="44" t="str">
        <f t="shared" si="5"/>
        <v>InitUnitAdd('E002',,,,,,,,,,)</v>
      </c>
      <c r="CR4" s="44" t="str">
        <f t="shared" si="6"/>
        <v>InitEquipData('E002',,"",,E003,1000,,'','','','','','',"ReplaceableTextures\\CommandButtons\\BTNZ01.blp")</v>
      </c>
      <c r="CS4" s="44"/>
      <c r="CT4" s="44"/>
      <c r="CU4" s="45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0">IF(V4="","","|n"&amp;DB$2&amp;"+"&amp;V4&amp;DB$1)</f>
        <v>|n攻击+1512</v>
      </c>
      <c r="DC4" s="30" t="str">
        <f t="shared" ref="DC4:DC7" si="81">IF(W4="","","|n"&amp;DC$2&amp;"+"&amp;W4&amp;DC$1)</f>
        <v/>
      </c>
      <c r="DD4" s="30" t="str">
        <f t="shared" ref="DD4:DD7" si="82">IF(X4="","","|n"&amp;DD$2&amp;"+"&amp;X4&amp;DD$1)</f>
        <v/>
      </c>
      <c r="DE4" s="30" t="str">
        <f t="shared" ref="DE4:DE7" si="83">IF(Y4="","","|n"&amp;DE$2&amp;"+"&amp;Y4&amp;DE$1)</f>
        <v/>
      </c>
      <c r="DF4" s="30" t="str">
        <f t="shared" ref="DF4:DF7" si="84">IF(Z4="","","|n"&amp;DF$2&amp;"+"&amp;Z4&amp;DF$1)</f>
        <v/>
      </c>
      <c r="DG4" s="30" t="str">
        <f t="shared" ref="DG4:DG7" si="85">IF(AA4="","","|n"&amp;DG$2&amp;"+"&amp;AA4&amp;DG$1)</f>
        <v/>
      </c>
      <c r="DH4" s="30" t="str">
        <f t="shared" ref="DH4:DH7" si="86">IF(AB4="","","|n"&amp;DH$2&amp;"+"&amp;AB4&amp;DH$1)</f>
        <v/>
      </c>
      <c r="DI4" s="30" t="str">
        <f t="shared" ref="DI4:DI7" si="87">IF(AC4="","","|n"&amp;DI$2&amp;"+"&amp;AC4&amp;DI$1)</f>
        <v/>
      </c>
      <c r="DJ4" s="30" t="str">
        <f t="shared" ref="DJ4:DJ7" si="88">IF(AD4="","","|n"&amp;DJ$2&amp;"+"&amp;AD4&amp;DJ$1)</f>
        <v/>
      </c>
      <c r="DK4" s="30" t="str">
        <f t="shared" ref="DK4:DK7" si="89">IF(AE4="","","|n"&amp;DK$2&amp;"+"&amp;AE4&amp;DK$1)</f>
        <v/>
      </c>
      <c r="DL4" s="30" t="str">
        <f t="shared" ref="DL4:DL7" si="90">IF(AF4="","","|n"&amp;DL$2&amp;"+"&amp;AF4&amp;DL$1)</f>
        <v/>
      </c>
      <c r="DM4" s="30" t="str">
        <f t="shared" ref="DM4:DM7" si="91">IF(AG4="","","|n"&amp;DM$2&amp;"+"&amp;AG4&amp;DM$1)</f>
        <v/>
      </c>
      <c r="DN4" s="30" t="str">
        <f t="shared" ref="DN4:DN7" si="92">IF(AH4="","","|n"&amp;DN$2&amp;"+"&amp;AH4&amp;DN$1)</f>
        <v/>
      </c>
      <c r="DO4" s="30" t="str">
        <f t="shared" ref="DO4:DO7" si="93">IF(AI4="","","|n"&amp;DO$2&amp;"+"&amp;AI4&amp;DO$1)</f>
        <v/>
      </c>
      <c r="DP4" s="30" t="str">
        <f t="shared" ref="DP4:DP7" si="94">IF(AJ4="","","|n"&amp;DP$2&amp;"+"&amp;AJ4&amp;DP$1)</f>
        <v/>
      </c>
      <c r="DQ4" s="30" t="str">
        <f t="shared" ref="DQ4:DQ7" si="95">IF(AK4="","","|n"&amp;DQ$2&amp;"+"&amp;AK4&amp;DQ$1)</f>
        <v/>
      </c>
      <c r="DR4" s="30" t="str">
        <f t="shared" ref="DR4:DR7" si="96">IF(AL4="","","|n"&amp;DR$2&amp;"+"&amp;AL4&amp;DR$1)</f>
        <v/>
      </c>
      <c r="DS4" s="30" t="str">
        <f t="shared" ref="DS4:DS7" si="97">IF(AM4="","","|n"&amp;DS$2&amp;"+"&amp;AM4&amp;DS$1)</f>
        <v/>
      </c>
      <c r="DT4" s="30" t="str">
        <f t="shared" ref="DT4:DT7" si="98">IF(AN4="","","|n"&amp;DT$2&amp;"+"&amp;AN4&amp;DT$1)</f>
        <v/>
      </c>
      <c r="DU4" s="30" t="str">
        <f t="shared" ref="DU4:DU7" si="99">IF(AO4="","","|n"&amp;DU$2&amp;"+"&amp;AO4&amp;DU$1)</f>
        <v/>
      </c>
      <c r="DV4" s="30" t="str">
        <f t="shared" ref="DV4:DV7" si="100">IF(AP4="","","|n"&amp;DV$2&amp;"+"&amp;AP4&amp;DV$1)</f>
        <v/>
      </c>
      <c r="DW4" s="30" t="str">
        <f t="shared" ref="DW4:DW7" si="101">IF(AQ4="","","|n"&amp;DW$2&amp;"+"&amp;AQ4&amp;DW$1)</f>
        <v/>
      </c>
      <c r="DX4" s="30" t="str">
        <f t="shared" ref="DX4:DX7" si="102">IF(AR4="","","|n"&amp;DX$2&amp;"+"&amp;AR4&amp;DX$1)</f>
        <v/>
      </c>
      <c r="DY4" s="30" t="str">
        <f t="shared" ref="DY4:DY7" si="103">IF(AS4="","","|n"&amp;DY$2&amp;"+"&amp;AS4&amp;DY$1)</f>
        <v/>
      </c>
      <c r="DZ4" s="30" t="str">
        <f t="shared" ref="DZ4:DZ7" si="104">IF(AT4="","","|n"&amp;DZ$2&amp;"+"&amp;AT4&amp;DZ$1)</f>
        <v/>
      </c>
      <c r="EA4" s="30" t="str">
        <f t="shared" ref="EA4:EA7" si="105">IF(AU4="","","|n"&amp;EA$2&amp;"+"&amp;AU4&amp;EA$1)</f>
        <v/>
      </c>
      <c r="EB4" s="30" t="str">
        <f t="shared" ref="EB4:EB7" si="106">IF(AV4="","","|n"&amp;EB$2&amp;"+"&amp;AV4&amp;EB$1)</f>
        <v/>
      </c>
      <c r="EC4" s="30" t="str">
        <f t="shared" ref="EC4:EC7" si="107">IF(AW4="","","|n"&amp;EC$2&amp;"+"&amp;AW4&amp;EC$1)</f>
        <v/>
      </c>
      <c r="ED4" s="30" t="str">
        <f t="shared" ref="ED4:ED7" si="108">IF(AX4="","","|n"&amp;ED$2&amp;"+"&amp;AX4&amp;ED$1)</f>
        <v/>
      </c>
      <c r="EE4" s="30" t="str">
        <f t="shared" ref="EE4:EE7" si="109">IF(AY4="","","|n"&amp;EE$2&amp;"+"&amp;AY4&amp;EE$1)</f>
        <v/>
      </c>
      <c r="EF4" s="30" t="str">
        <f t="shared" ref="EF4:EF7" si="110">IF(AZ4="","","|n"&amp;EF$2&amp;"+"&amp;AZ4&amp;EF$1)</f>
        <v/>
      </c>
      <c r="EG4" s="30" t="str">
        <f t="shared" ref="EG4:EG7" si="111">IF(BA4="","","|n"&amp;EG$2&amp;"+"&amp;BA4&amp;EG$1)</f>
        <v/>
      </c>
      <c r="EH4" s="30" t="str">
        <f t="shared" ref="EH4:EH7" si="112">IF(BB4="","","|n"&amp;EH$2&amp;"+"&amp;BB4&amp;EH$1)</f>
        <v/>
      </c>
      <c r="EI4" s="30" t="str">
        <f t="shared" ref="EI4:EI7" si="113">IF(BC4="","","|n"&amp;EI$2&amp;"+"&amp;BC4&amp;EI$1)</f>
        <v/>
      </c>
      <c r="EJ4" s="30" t="str">
        <f t="shared" ref="EJ4:EJ7" si="114">IF(BD4="","","|n"&amp;EJ$2&amp;"+"&amp;BD4&amp;EJ$1)</f>
        <v/>
      </c>
      <c r="EK4" s="30" t="str">
        <f t="shared" ref="EK4:EK7" si="115">IF(BE4="","","|n"&amp;EK$2&amp;"+"&amp;BE4&amp;EK$1)</f>
        <v/>
      </c>
      <c r="EL4" s="30" t="str">
        <f t="shared" ref="EL4:EL7" si="116">IF(BF4="","","|n"&amp;EL$2&amp;"+"&amp;BF4&amp;EL$1)</f>
        <v/>
      </c>
      <c r="EM4" s="30" t="str">
        <f t="shared" ref="EM4:EM7" si="117">IF(BG4="","","|n"&amp;EM$2&amp;"+"&amp;BG4&amp;EM$1)</f>
        <v/>
      </c>
      <c r="EN4" s="30" t="str">
        <f t="shared" ref="EN4:EN7" si="118">IF(BH4="","","|n"&amp;EN$2&amp;"+"&amp;BH4&amp;EN$1)</f>
        <v/>
      </c>
      <c r="EO4" s="30" t="str">
        <f t="shared" ref="EO4:EO7" si="119">IF(BI4="","","|n"&amp;EO$2&amp;"+"&amp;BI4&amp;EO$1)</f>
        <v/>
      </c>
      <c r="EP4" s="30" t="str">
        <f t="shared" ref="EP4:EP7" si="120">IF(BJ4="","","|n"&amp;EP$2&amp;"+"&amp;BJ4&amp;EP$1)</f>
        <v/>
      </c>
      <c r="EQ4" s="30" t="str">
        <f t="shared" ref="EQ4:EQ7" si="121">IF(BK4="","","|n"&amp;EQ$2&amp;"+"&amp;BK4&amp;EQ$1)</f>
        <v/>
      </c>
      <c r="ER4" s="30" t="str">
        <f t="shared" ref="ER4:ER7" si="122">IF(BL4="","","|n"&amp;ER$2&amp;"+"&amp;BL4&amp;ER$1)</f>
        <v/>
      </c>
      <c r="ES4" s="30" t="str">
        <f t="shared" ref="ES4:ES7" si="123">IF(BM4="","","|n"&amp;ES$2&amp;"+"&amp;BM4&amp;ES$1)</f>
        <v/>
      </c>
      <c r="ET4" s="30" t="str">
        <f t="shared" ref="ET4:ET7" si="124">IF(BN4="","","|n"&amp;ET$2&amp;"+"&amp;BN4&amp;ET$1)</f>
        <v/>
      </c>
      <c r="EU4" s="30" t="str">
        <f t="shared" ref="EU4:EU7" si="125">IF(BO4="","","|n"&amp;EU$2&amp;"+"&amp;BO4&amp;EU$1)</f>
        <v/>
      </c>
      <c r="EV4" s="30" t="str">
        <f t="shared" ref="EV4:EV7" si="126">IF(BP4="","","|n"&amp;EV$2&amp;"+"&amp;BP4&amp;EV$1)</f>
        <v/>
      </c>
      <c r="EW4" s="30" t="str">
        <f t="shared" ref="EW4:EW7" si="127">IF(BQ4="","","|n"&amp;EW$2&amp;"+"&amp;BQ4&amp;EW$1)</f>
        <v/>
      </c>
      <c r="EX4" s="30" t="str">
        <f t="shared" ref="EX4:EX7" si="128">IF(BR4="","","|n"&amp;EX$2&amp;"+"&amp;BR4&amp;EX$1)</f>
        <v/>
      </c>
      <c r="EY4" s="30" t="str">
        <f t="shared" ref="EY4:EY7" si="129">IF(BS4="","","|n"&amp;EY$2&amp;"+"&amp;BS4&amp;EY$1)</f>
        <v/>
      </c>
      <c r="EZ4" s="30" t="str">
        <f t="shared" ref="EZ4:EZ7" si="130">IF(BT4="","","|n"&amp;EZ$2&amp;"+"&amp;BT4&amp;EZ$1)</f>
        <v/>
      </c>
      <c r="FA4" s="30" t="str">
        <f t="shared" ref="FA4:FA7" si="131">IF(BU4="","","|n"&amp;FA$2&amp;"+"&amp;BU4&amp;FA$1)</f>
        <v/>
      </c>
      <c r="FB4" s="30" t="str">
        <f t="shared" ref="FB4:FB7" si="132">IF(BV4="","","|n"&amp;FB$2&amp;"+"&amp;BV4&amp;FB$1)</f>
        <v/>
      </c>
      <c r="FC4" s="30" t="str">
        <f t="shared" ref="FC4:FC7" si="133">IF(BW4="","","|n"&amp;FC$2&amp;"+"&amp;BW4&amp;FC$1)</f>
        <v/>
      </c>
      <c r="FD4" s="30" t="str">
        <f t="shared" ref="FD4:FD7" si="134">IF(BX4="","","|n"&amp;FD$2&amp;"+"&amp;BX4&amp;FD$1)</f>
        <v/>
      </c>
      <c r="FE4" s="30" t="str">
        <f t="shared" ref="FE4:FE7" si="135">IF(BY4="","","|n"&amp;FE$2&amp;"+"&amp;BY4&amp;FE$1)</f>
        <v/>
      </c>
      <c r="FF4" s="30" t="str">
        <f t="shared" ref="FF4:FF7" si="136">IF(BZ4="","","|n"&amp;FF$2&amp;"+"&amp;BZ4&amp;FF$1)</f>
        <v/>
      </c>
      <c r="FG4" s="30" t="str">
        <f t="shared" ref="FG4:FG7" si="137">IF(CA4="","","|n"&amp;FG$2&amp;"+"&amp;CA4&amp;FG$1)</f>
        <v/>
      </c>
      <c r="FH4" s="30" t="str">
        <f t="shared" ref="FH4:FH7" si="138">IF(CB4="","","|n"&amp;FH$2&amp;"+"&amp;CB4&amp;FH$1)</f>
        <v/>
      </c>
      <c r="FI4" s="30" t="str">
        <f t="shared" ref="FI4:FI7" si="139">IF(CC4="","","|n"&amp;FI$2&amp;"+"&amp;CC4&amp;FI$1)</f>
        <v/>
      </c>
      <c r="FJ4" s="30" t="str">
        <f t="shared" ref="FJ4:FJ7" si="140">IF(CD4="","","|n"&amp;FJ$2&amp;"+"&amp;CD4&amp;FJ$1)</f>
        <v/>
      </c>
      <c r="FK4" s="30" t="str">
        <f t="shared" ref="FK4:FK7" si="141">IF(CE4="","","|n"&amp;FK$2&amp;"+"&amp;CE4&amp;FK$1)</f>
        <v/>
      </c>
      <c r="FL4" s="30" t="str">
        <f t="shared" ref="FL4:FL7" si="142">IF(CF4="","","|n"&amp;FL$2&amp;"+"&amp;CF4&amp;FL$1)</f>
        <v/>
      </c>
      <c r="FM4" s="30" t="str">
        <f t="shared" ref="FM4:FM7" si="143">IF(CG4="","","|n"&amp;FM$2&amp;"+"&amp;CG4&amp;FM$1)</f>
        <v/>
      </c>
      <c r="FN4" s="30" t="str">
        <f t="shared" ref="FN4:FN7" si="144">IF(CH4="","","|n"&amp;FN$2&amp;"+"&amp;CH4&amp;FN$1)</f>
        <v/>
      </c>
      <c r="FO4" s="30" t="str">
        <f t="shared" ref="FO4:FO7" si="145">IF(CI4="","","|n"&amp;FO$2&amp;"+"&amp;CI4&amp;FO$1)</f>
        <v/>
      </c>
      <c r="FP4" s="30" t="str">
        <f t="shared" ref="FP4:FP7" si="146">IF(CJ4="","","|n"&amp;FP$2&amp;"+"&amp;CJ4&amp;FP$1)</f>
        <v/>
      </c>
      <c r="FQ4" s="30" t="str">
        <f t="shared" ref="FQ4:FQ7" si="147">IF(CK4="","","|n"&amp;FQ$2&amp;"+"&amp;CK4&amp;FQ$1)</f>
        <v/>
      </c>
      <c r="FR4" s="30" t="str">
        <f t="shared" ref="FR4:FR7" si="148">IF(CL4="","","|n"&amp;FR$2&amp;"+"&amp;CL4&amp;FR$1)</f>
        <v/>
      </c>
      <c r="FS4" s="30" t="str">
        <f t="shared" ref="FS4:FS7" si="149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8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">
        <v>595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2"/>
        <v>InitUnitState('E003',2024,,,,,,,,,)</v>
      </c>
      <c r="CO5" s="44" t="str">
        <f t="shared" si="3"/>
        <v>InitUnitNormal('E003',,,,,,,,,,)</v>
      </c>
      <c r="CP5" s="44" t="str">
        <f t="shared" si="4"/>
        <v>InitUnitMagic('E003',,,,,,,,,,)</v>
      </c>
      <c r="CQ5" s="44" t="str">
        <f t="shared" si="5"/>
        <v>InitUnitAdd('E003',,,,,,,,,,)</v>
      </c>
      <c r="CR5" s="44" t="str">
        <f t="shared" si="6"/>
        <v>InitEquipData('E003',,"",,E004,1000,,'','','','','','',"ReplaceableTextures\\CommandButtons\\BTNZ01.blp")</v>
      </c>
      <c r="CS5" s="44"/>
      <c r="CT5" s="44"/>
      <c r="CU5" s="45" t="str">
        <f t="shared" si="79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0"/>
        <v>|n攻击+2024</v>
      </c>
      <c r="DC5" s="30" t="str">
        <f t="shared" si="81"/>
        <v/>
      </c>
      <c r="DD5" s="30" t="str">
        <f t="shared" si="82"/>
        <v/>
      </c>
      <c r="DE5" s="30" t="str">
        <f t="shared" si="83"/>
        <v/>
      </c>
      <c r="DF5" s="30" t="str">
        <f t="shared" si="84"/>
        <v/>
      </c>
      <c r="DG5" s="30" t="str">
        <f t="shared" si="85"/>
        <v/>
      </c>
      <c r="DH5" s="30" t="str">
        <f t="shared" si="86"/>
        <v/>
      </c>
      <c r="DI5" s="30" t="str">
        <f t="shared" si="87"/>
        <v/>
      </c>
      <c r="DJ5" s="30" t="str">
        <f t="shared" si="88"/>
        <v/>
      </c>
      <c r="DK5" s="30" t="str">
        <f t="shared" si="89"/>
        <v/>
      </c>
      <c r="DL5" s="30" t="str">
        <f t="shared" si="90"/>
        <v/>
      </c>
      <c r="DM5" s="30" t="str">
        <f t="shared" si="91"/>
        <v/>
      </c>
      <c r="DN5" s="30" t="str">
        <f t="shared" si="92"/>
        <v/>
      </c>
      <c r="DO5" s="30" t="str">
        <f t="shared" si="93"/>
        <v/>
      </c>
      <c r="DP5" s="30" t="str">
        <f t="shared" si="94"/>
        <v/>
      </c>
      <c r="DQ5" s="30" t="str">
        <f t="shared" si="95"/>
        <v/>
      </c>
      <c r="DR5" s="30" t="str">
        <f t="shared" si="96"/>
        <v/>
      </c>
      <c r="DS5" s="30" t="str">
        <f t="shared" si="97"/>
        <v/>
      </c>
      <c r="DT5" s="30" t="str">
        <f t="shared" si="98"/>
        <v/>
      </c>
      <c r="DU5" s="30" t="str">
        <f t="shared" si="99"/>
        <v/>
      </c>
      <c r="DV5" s="30" t="str">
        <f t="shared" si="100"/>
        <v/>
      </c>
      <c r="DW5" s="30" t="str">
        <f t="shared" si="101"/>
        <v/>
      </c>
      <c r="DX5" s="30" t="str">
        <f t="shared" si="102"/>
        <v/>
      </c>
      <c r="DY5" s="30" t="str">
        <f t="shared" si="103"/>
        <v/>
      </c>
      <c r="DZ5" s="30" t="str">
        <f t="shared" si="104"/>
        <v/>
      </c>
      <c r="EA5" s="30" t="str">
        <f t="shared" si="105"/>
        <v/>
      </c>
      <c r="EB5" s="30" t="str">
        <f t="shared" si="106"/>
        <v/>
      </c>
      <c r="EC5" s="30" t="str">
        <f t="shared" si="107"/>
        <v/>
      </c>
      <c r="ED5" s="30" t="str">
        <f t="shared" si="108"/>
        <v/>
      </c>
      <c r="EE5" s="30" t="str">
        <f t="shared" si="109"/>
        <v/>
      </c>
      <c r="EF5" s="30" t="str">
        <f t="shared" si="110"/>
        <v/>
      </c>
      <c r="EG5" s="30" t="str">
        <f t="shared" si="111"/>
        <v/>
      </c>
      <c r="EH5" s="30" t="str">
        <f t="shared" si="112"/>
        <v/>
      </c>
      <c r="EI5" s="30" t="str">
        <f t="shared" si="113"/>
        <v/>
      </c>
      <c r="EJ5" s="30" t="str">
        <f t="shared" si="114"/>
        <v/>
      </c>
      <c r="EK5" s="30" t="str">
        <f t="shared" si="115"/>
        <v/>
      </c>
      <c r="EL5" s="30" t="str">
        <f t="shared" si="116"/>
        <v/>
      </c>
      <c r="EM5" s="30" t="str">
        <f t="shared" si="117"/>
        <v/>
      </c>
      <c r="EN5" s="30" t="str">
        <f t="shared" si="118"/>
        <v/>
      </c>
      <c r="EO5" s="30" t="str">
        <f t="shared" si="119"/>
        <v/>
      </c>
      <c r="EP5" s="30" t="str">
        <f t="shared" si="120"/>
        <v/>
      </c>
      <c r="EQ5" s="30" t="str">
        <f t="shared" si="121"/>
        <v/>
      </c>
      <c r="ER5" s="30" t="str">
        <f t="shared" si="122"/>
        <v/>
      </c>
      <c r="ES5" s="30" t="str">
        <f t="shared" si="123"/>
        <v/>
      </c>
      <c r="ET5" s="30" t="str">
        <f t="shared" si="124"/>
        <v/>
      </c>
      <c r="EU5" s="30" t="str">
        <f t="shared" si="125"/>
        <v/>
      </c>
      <c r="EV5" s="30" t="str">
        <f t="shared" si="126"/>
        <v/>
      </c>
      <c r="EW5" s="30" t="str">
        <f t="shared" si="127"/>
        <v/>
      </c>
      <c r="EX5" s="30" t="str">
        <f t="shared" si="128"/>
        <v/>
      </c>
      <c r="EY5" s="30" t="str">
        <f t="shared" si="129"/>
        <v/>
      </c>
      <c r="EZ5" s="30" t="str">
        <f t="shared" si="130"/>
        <v/>
      </c>
      <c r="FA5" s="30" t="str">
        <f t="shared" si="131"/>
        <v/>
      </c>
      <c r="FB5" s="30" t="str">
        <f t="shared" si="132"/>
        <v/>
      </c>
      <c r="FC5" s="30" t="str">
        <f t="shared" si="133"/>
        <v/>
      </c>
      <c r="FD5" s="30" t="str">
        <f t="shared" si="134"/>
        <v/>
      </c>
      <c r="FE5" s="30" t="str">
        <f t="shared" si="135"/>
        <v/>
      </c>
      <c r="FF5" s="30" t="str">
        <f t="shared" si="136"/>
        <v/>
      </c>
      <c r="FG5" s="30" t="str">
        <f t="shared" si="137"/>
        <v/>
      </c>
      <c r="FH5" s="30" t="str">
        <f t="shared" si="138"/>
        <v/>
      </c>
      <c r="FI5" s="30" t="str">
        <f t="shared" si="139"/>
        <v/>
      </c>
      <c r="FJ5" s="30" t="str">
        <f t="shared" si="140"/>
        <v/>
      </c>
      <c r="FK5" s="30" t="str">
        <f t="shared" si="141"/>
        <v/>
      </c>
      <c r="FL5" s="30" t="str">
        <f t="shared" si="142"/>
        <v/>
      </c>
      <c r="FM5" s="30" t="str">
        <f t="shared" si="143"/>
        <v/>
      </c>
      <c r="FN5" s="30" t="str">
        <f t="shared" si="144"/>
        <v/>
      </c>
      <c r="FO5" s="30" t="str">
        <f t="shared" si="145"/>
        <v/>
      </c>
      <c r="FP5" s="30" t="str">
        <f t="shared" si="146"/>
        <v/>
      </c>
      <c r="FQ5" s="30" t="str">
        <f t="shared" si="147"/>
        <v/>
      </c>
      <c r="FR5" s="30" t="str">
        <f t="shared" si="148"/>
        <v/>
      </c>
      <c r="FS5" s="30" t="str">
        <f t="shared" si="149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8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">
        <v>595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2"/>
        <v>InitUnitState('E004',2536,,,,,,,,,)</v>
      </c>
      <c r="CO6" s="44" t="str">
        <f t="shared" si="3"/>
        <v>InitUnitNormal('E004',,,,,,,,,,)</v>
      </c>
      <c r="CP6" s="44" t="str">
        <f t="shared" si="4"/>
        <v>InitUnitMagic('E004',,,,,,,,,,)</v>
      </c>
      <c r="CQ6" s="44" t="str">
        <f t="shared" si="5"/>
        <v>InitUnitAdd('E004',,,,,,,,,,)</v>
      </c>
      <c r="CR6" s="44" t="str">
        <f t="shared" si="6"/>
        <v>InitEquipData('E004',,"",,E005,1000,,'','','','','','',"ReplaceableTextures\\CommandButtons\\BTNZ01.blp")</v>
      </c>
      <c r="CS6" s="44"/>
      <c r="CT6" s="44"/>
      <c r="CU6" s="45" t="str">
        <f t="shared" si="79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0"/>
        <v>|n攻击+2536</v>
      </c>
      <c r="DC6" s="30" t="str">
        <f t="shared" si="81"/>
        <v/>
      </c>
      <c r="DD6" s="30" t="str">
        <f t="shared" si="82"/>
        <v/>
      </c>
      <c r="DE6" s="30" t="str">
        <f t="shared" si="83"/>
        <v/>
      </c>
      <c r="DF6" s="30" t="str">
        <f t="shared" si="84"/>
        <v/>
      </c>
      <c r="DG6" s="30" t="str">
        <f t="shared" si="85"/>
        <v/>
      </c>
      <c r="DH6" s="30" t="str">
        <f t="shared" si="86"/>
        <v/>
      </c>
      <c r="DI6" s="30" t="str">
        <f t="shared" si="87"/>
        <v/>
      </c>
      <c r="DJ6" s="30" t="str">
        <f t="shared" si="88"/>
        <v/>
      </c>
      <c r="DK6" s="30" t="str">
        <f t="shared" si="89"/>
        <v/>
      </c>
      <c r="DL6" s="30" t="str">
        <f t="shared" si="90"/>
        <v/>
      </c>
      <c r="DM6" s="30" t="str">
        <f t="shared" si="91"/>
        <v/>
      </c>
      <c r="DN6" s="30" t="str">
        <f t="shared" si="92"/>
        <v/>
      </c>
      <c r="DO6" s="30" t="str">
        <f t="shared" si="93"/>
        <v/>
      </c>
      <c r="DP6" s="30" t="str">
        <f t="shared" si="94"/>
        <v/>
      </c>
      <c r="DQ6" s="30" t="str">
        <f t="shared" si="95"/>
        <v/>
      </c>
      <c r="DR6" s="30" t="str">
        <f t="shared" si="96"/>
        <v/>
      </c>
      <c r="DS6" s="30" t="str">
        <f t="shared" si="97"/>
        <v/>
      </c>
      <c r="DT6" s="30" t="str">
        <f t="shared" si="98"/>
        <v/>
      </c>
      <c r="DU6" s="30" t="str">
        <f t="shared" si="99"/>
        <v/>
      </c>
      <c r="DV6" s="30" t="str">
        <f t="shared" si="100"/>
        <v/>
      </c>
      <c r="DW6" s="30" t="str">
        <f t="shared" si="101"/>
        <v/>
      </c>
      <c r="DX6" s="30" t="str">
        <f t="shared" si="102"/>
        <v/>
      </c>
      <c r="DY6" s="30" t="str">
        <f t="shared" si="103"/>
        <v/>
      </c>
      <c r="DZ6" s="30" t="str">
        <f t="shared" si="104"/>
        <v/>
      </c>
      <c r="EA6" s="30" t="str">
        <f t="shared" si="105"/>
        <v/>
      </c>
      <c r="EB6" s="30" t="str">
        <f t="shared" si="106"/>
        <v/>
      </c>
      <c r="EC6" s="30" t="str">
        <f t="shared" si="107"/>
        <v/>
      </c>
      <c r="ED6" s="30" t="str">
        <f t="shared" si="108"/>
        <v/>
      </c>
      <c r="EE6" s="30" t="str">
        <f t="shared" si="109"/>
        <v/>
      </c>
      <c r="EF6" s="30" t="str">
        <f t="shared" si="110"/>
        <v/>
      </c>
      <c r="EG6" s="30" t="str">
        <f t="shared" si="111"/>
        <v/>
      </c>
      <c r="EH6" s="30" t="str">
        <f t="shared" si="112"/>
        <v/>
      </c>
      <c r="EI6" s="30" t="str">
        <f t="shared" si="113"/>
        <v/>
      </c>
      <c r="EJ6" s="30" t="str">
        <f t="shared" si="114"/>
        <v/>
      </c>
      <c r="EK6" s="30" t="str">
        <f t="shared" si="115"/>
        <v/>
      </c>
      <c r="EL6" s="30" t="str">
        <f t="shared" si="116"/>
        <v/>
      </c>
      <c r="EM6" s="30" t="str">
        <f t="shared" si="117"/>
        <v/>
      </c>
      <c r="EN6" s="30" t="str">
        <f t="shared" si="118"/>
        <v/>
      </c>
      <c r="EO6" s="30" t="str">
        <f t="shared" si="119"/>
        <v/>
      </c>
      <c r="EP6" s="30" t="str">
        <f t="shared" si="120"/>
        <v/>
      </c>
      <c r="EQ6" s="30" t="str">
        <f t="shared" si="121"/>
        <v/>
      </c>
      <c r="ER6" s="30" t="str">
        <f t="shared" si="122"/>
        <v/>
      </c>
      <c r="ES6" s="30" t="str">
        <f t="shared" si="123"/>
        <v/>
      </c>
      <c r="ET6" s="30" t="str">
        <f t="shared" si="124"/>
        <v/>
      </c>
      <c r="EU6" s="30" t="str">
        <f t="shared" si="125"/>
        <v/>
      </c>
      <c r="EV6" s="30" t="str">
        <f t="shared" si="126"/>
        <v/>
      </c>
      <c r="EW6" s="30" t="str">
        <f t="shared" si="127"/>
        <v/>
      </c>
      <c r="EX6" s="30" t="str">
        <f t="shared" si="128"/>
        <v/>
      </c>
      <c r="EY6" s="30" t="str">
        <f t="shared" si="129"/>
        <v/>
      </c>
      <c r="EZ6" s="30" t="str">
        <f t="shared" si="130"/>
        <v/>
      </c>
      <c r="FA6" s="30" t="str">
        <f t="shared" si="131"/>
        <v/>
      </c>
      <c r="FB6" s="30" t="str">
        <f t="shared" si="132"/>
        <v/>
      </c>
      <c r="FC6" s="30" t="str">
        <f t="shared" si="133"/>
        <v/>
      </c>
      <c r="FD6" s="30" t="str">
        <f t="shared" si="134"/>
        <v/>
      </c>
      <c r="FE6" s="30" t="str">
        <f t="shared" si="135"/>
        <v/>
      </c>
      <c r="FF6" s="30" t="str">
        <f t="shared" si="136"/>
        <v/>
      </c>
      <c r="FG6" s="30" t="str">
        <f t="shared" si="137"/>
        <v/>
      </c>
      <c r="FH6" s="30" t="str">
        <f t="shared" si="138"/>
        <v/>
      </c>
      <c r="FI6" s="30" t="str">
        <f t="shared" si="139"/>
        <v/>
      </c>
      <c r="FJ6" s="30" t="str">
        <f t="shared" si="140"/>
        <v/>
      </c>
      <c r="FK6" s="30" t="str">
        <f t="shared" si="141"/>
        <v/>
      </c>
      <c r="FL6" s="30" t="str">
        <f t="shared" si="142"/>
        <v/>
      </c>
      <c r="FM6" s="30" t="str">
        <f t="shared" si="143"/>
        <v/>
      </c>
      <c r="FN6" s="30" t="str">
        <f t="shared" si="144"/>
        <v/>
      </c>
      <c r="FO6" s="30" t="str">
        <f t="shared" si="145"/>
        <v/>
      </c>
      <c r="FP6" s="30" t="str">
        <f t="shared" si="146"/>
        <v/>
      </c>
      <c r="FQ6" s="30" t="str">
        <f t="shared" si="147"/>
        <v/>
      </c>
      <c r="FR6" s="30" t="str">
        <f t="shared" si="148"/>
        <v/>
      </c>
      <c r="FS6" s="30" t="str">
        <f t="shared" si="149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8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">
        <v>595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2"/>
        <v>InitUnitState('E005',3048,,,,,,,,,)</v>
      </c>
      <c r="CO7" s="44" t="str">
        <f t="shared" si="3"/>
        <v>InitUnitNormal('E005',,,,,,,,,,)</v>
      </c>
      <c r="CP7" s="44" t="str">
        <f t="shared" si="4"/>
        <v>InitUnitMagic('E005',,,,,,,,,,)</v>
      </c>
      <c r="CQ7" s="44" t="str">
        <f t="shared" si="5"/>
        <v>InitUnitAdd('E005',,,,,,,,,,)</v>
      </c>
      <c r="CR7" s="44" t="str">
        <f t="shared" si="6"/>
        <v>InitEquipData('E005',,"",,E006,5000,,'','','','','','',"ReplaceableTextures\\CommandButtons\\BTNZ02.blp")</v>
      </c>
      <c r="CS7" s="44"/>
      <c r="CT7" s="44"/>
      <c r="CU7" s="45" t="str">
        <f t="shared" si="79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0"/>
        <v>|n攻击+3048</v>
      </c>
      <c r="DC7" s="30" t="str">
        <f t="shared" si="81"/>
        <v/>
      </c>
      <c r="DD7" s="30" t="str">
        <f t="shared" si="82"/>
        <v/>
      </c>
      <c r="DE7" s="30" t="str">
        <f t="shared" si="83"/>
        <v/>
      </c>
      <c r="DF7" s="30" t="str">
        <f t="shared" si="84"/>
        <v/>
      </c>
      <c r="DG7" s="30" t="str">
        <f t="shared" si="85"/>
        <v/>
      </c>
      <c r="DH7" s="30" t="str">
        <f t="shared" si="86"/>
        <v/>
      </c>
      <c r="DI7" s="30" t="str">
        <f t="shared" si="87"/>
        <v/>
      </c>
      <c r="DJ7" s="30" t="str">
        <f t="shared" si="88"/>
        <v/>
      </c>
      <c r="DK7" s="30" t="str">
        <f t="shared" si="89"/>
        <v/>
      </c>
      <c r="DL7" s="30" t="str">
        <f t="shared" si="90"/>
        <v/>
      </c>
      <c r="DM7" s="30" t="str">
        <f t="shared" si="91"/>
        <v/>
      </c>
      <c r="DN7" s="30" t="str">
        <f t="shared" si="92"/>
        <v/>
      </c>
      <c r="DO7" s="30" t="str">
        <f t="shared" si="93"/>
        <v/>
      </c>
      <c r="DP7" s="30" t="str">
        <f t="shared" si="94"/>
        <v/>
      </c>
      <c r="DQ7" s="30" t="str">
        <f t="shared" si="95"/>
        <v/>
      </c>
      <c r="DR7" s="30" t="str">
        <f t="shared" si="96"/>
        <v/>
      </c>
      <c r="DS7" s="30" t="str">
        <f t="shared" si="97"/>
        <v/>
      </c>
      <c r="DT7" s="30" t="str">
        <f t="shared" si="98"/>
        <v/>
      </c>
      <c r="DU7" s="30" t="str">
        <f t="shared" si="99"/>
        <v/>
      </c>
      <c r="DV7" s="30" t="str">
        <f t="shared" si="100"/>
        <v/>
      </c>
      <c r="DW7" s="30" t="str">
        <f t="shared" si="101"/>
        <v/>
      </c>
      <c r="DX7" s="30" t="str">
        <f t="shared" si="102"/>
        <v/>
      </c>
      <c r="DY7" s="30" t="str">
        <f t="shared" si="103"/>
        <v/>
      </c>
      <c r="DZ7" s="30" t="str">
        <f t="shared" si="104"/>
        <v/>
      </c>
      <c r="EA7" s="30" t="str">
        <f t="shared" si="105"/>
        <v/>
      </c>
      <c r="EB7" s="30" t="str">
        <f t="shared" si="106"/>
        <v/>
      </c>
      <c r="EC7" s="30" t="str">
        <f t="shared" si="107"/>
        <v/>
      </c>
      <c r="ED7" s="30" t="str">
        <f t="shared" si="108"/>
        <v/>
      </c>
      <c r="EE7" s="30" t="str">
        <f t="shared" si="109"/>
        <v/>
      </c>
      <c r="EF7" s="30" t="str">
        <f t="shared" si="110"/>
        <v/>
      </c>
      <c r="EG7" s="30" t="str">
        <f t="shared" si="111"/>
        <v/>
      </c>
      <c r="EH7" s="30" t="str">
        <f t="shared" si="112"/>
        <v/>
      </c>
      <c r="EI7" s="30" t="str">
        <f t="shared" si="113"/>
        <v/>
      </c>
      <c r="EJ7" s="30" t="str">
        <f t="shared" si="114"/>
        <v/>
      </c>
      <c r="EK7" s="30" t="str">
        <f t="shared" si="115"/>
        <v/>
      </c>
      <c r="EL7" s="30" t="str">
        <f t="shared" si="116"/>
        <v/>
      </c>
      <c r="EM7" s="30" t="str">
        <f t="shared" si="117"/>
        <v/>
      </c>
      <c r="EN7" s="30" t="str">
        <f t="shared" si="118"/>
        <v/>
      </c>
      <c r="EO7" s="30" t="str">
        <f t="shared" si="119"/>
        <v/>
      </c>
      <c r="EP7" s="30" t="str">
        <f t="shared" si="120"/>
        <v/>
      </c>
      <c r="EQ7" s="30" t="str">
        <f t="shared" si="121"/>
        <v/>
      </c>
      <c r="ER7" s="30" t="str">
        <f t="shared" si="122"/>
        <v/>
      </c>
      <c r="ES7" s="30" t="str">
        <f t="shared" si="123"/>
        <v/>
      </c>
      <c r="ET7" s="30" t="str">
        <f t="shared" si="124"/>
        <v/>
      </c>
      <c r="EU7" s="30" t="str">
        <f t="shared" si="125"/>
        <v/>
      </c>
      <c r="EV7" s="30" t="str">
        <f t="shared" si="126"/>
        <v/>
      </c>
      <c r="EW7" s="30" t="str">
        <f t="shared" si="127"/>
        <v/>
      </c>
      <c r="EX7" s="30" t="str">
        <f t="shared" si="128"/>
        <v/>
      </c>
      <c r="EY7" s="30" t="str">
        <f t="shared" si="129"/>
        <v/>
      </c>
      <c r="EZ7" s="30" t="str">
        <f t="shared" si="130"/>
        <v/>
      </c>
      <c r="FA7" s="30" t="str">
        <f t="shared" si="131"/>
        <v/>
      </c>
      <c r="FB7" s="30" t="str">
        <f t="shared" si="132"/>
        <v/>
      </c>
      <c r="FC7" s="30" t="str">
        <f t="shared" si="133"/>
        <v/>
      </c>
      <c r="FD7" s="30" t="str">
        <f t="shared" si="134"/>
        <v/>
      </c>
      <c r="FE7" s="30" t="str">
        <f t="shared" si="135"/>
        <v/>
      </c>
      <c r="FF7" s="30" t="str">
        <f t="shared" si="136"/>
        <v/>
      </c>
      <c r="FG7" s="30" t="str">
        <f t="shared" si="137"/>
        <v/>
      </c>
      <c r="FH7" s="30" t="str">
        <f t="shared" si="138"/>
        <v/>
      </c>
      <c r="FI7" s="30" t="str">
        <f t="shared" si="139"/>
        <v/>
      </c>
      <c r="FJ7" s="30" t="str">
        <f t="shared" si="140"/>
        <v/>
      </c>
      <c r="FK7" s="30" t="str">
        <f t="shared" si="141"/>
        <v/>
      </c>
      <c r="FL7" s="30" t="str">
        <f t="shared" si="142"/>
        <v/>
      </c>
      <c r="FM7" s="30" t="str">
        <f t="shared" si="143"/>
        <v/>
      </c>
      <c r="FN7" s="30" t="str">
        <f t="shared" si="144"/>
        <v/>
      </c>
      <c r="FO7" s="30" t="str">
        <f t="shared" si="145"/>
        <v/>
      </c>
      <c r="FP7" s="30" t="str">
        <f t="shared" si="146"/>
        <v/>
      </c>
      <c r="FQ7" s="30" t="str">
        <f t="shared" si="147"/>
        <v/>
      </c>
      <c r="FR7" s="30" t="str">
        <f t="shared" si="148"/>
        <v/>
      </c>
      <c r="FS7" s="30" t="str">
        <f t="shared" si="149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8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">
        <v>596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2"/>
        <v>InitUnitState('E006',3816,,,,,,,,26,)</v>
      </c>
      <c r="CO8" s="44" t="str">
        <f t="shared" si="3"/>
        <v>InitUnitNormal('E006',,,,,,,,,,)</v>
      </c>
      <c r="CP8" s="44" t="str">
        <f t="shared" si="4"/>
        <v>InitUnitMagic('E006',,,,,,,,,,)</v>
      </c>
      <c r="CQ8" s="44" t="str">
        <f t="shared" si="5"/>
        <v>InitUnitAdd('E006',,,,,,,,,,)</v>
      </c>
      <c r="CR8" s="44" t="str">
        <f t="shared" si="6"/>
        <v>InitEquipData('E006',,"",,E007,7000,,'','','','','','',"ReplaceableTextures\\CommandButtons\\BTNZ02.blp")</v>
      </c>
      <c r="CS8" s="44"/>
      <c r="CT8" s="44"/>
      <c r="CU8" s="45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1">IF(V8="","","|n"&amp;DB$2&amp;"+"&amp;V8&amp;DB$1)</f>
        <v>|n攻击+3816</v>
      </c>
      <c r="DC8" s="30" t="str">
        <f t="shared" ref="DC8:DC18" si="152">IF(W8="","","|n"&amp;DC$2&amp;"+"&amp;W8&amp;DC$1)</f>
        <v/>
      </c>
      <c r="DD8" s="30" t="str">
        <f t="shared" ref="DD8:DD18" si="153">IF(X8="","","|n"&amp;DD$2&amp;"+"&amp;X8&amp;DD$1)</f>
        <v/>
      </c>
      <c r="DE8" s="30" t="str">
        <f t="shared" ref="DE8:DE18" si="154">IF(Y8="","","|n"&amp;DE$2&amp;"+"&amp;Y8&amp;DE$1)</f>
        <v/>
      </c>
      <c r="DF8" s="30" t="str">
        <f t="shared" ref="DF8:DF18" si="155">IF(Z8="","","|n"&amp;DF$2&amp;"+"&amp;Z8&amp;DF$1)</f>
        <v/>
      </c>
      <c r="DG8" s="30" t="str">
        <f t="shared" ref="DG8:DG18" si="156">IF(AA8="","","|n"&amp;DG$2&amp;"+"&amp;AA8&amp;DG$1)</f>
        <v/>
      </c>
      <c r="DH8" s="30" t="str">
        <f t="shared" ref="DH8:DH18" si="157">IF(AB8="","","|n"&amp;DH$2&amp;"+"&amp;AB8&amp;DH$1)</f>
        <v/>
      </c>
      <c r="DI8" s="30" t="str">
        <f t="shared" ref="DI8:DI18" si="158">IF(AC8="","","|n"&amp;DI$2&amp;"+"&amp;AC8&amp;DI$1)</f>
        <v/>
      </c>
      <c r="DJ8" s="30" t="str">
        <f t="shared" ref="DJ8:DJ18" si="159">IF(AD8="","","|n"&amp;DJ$2&amp;"+"&amp;AD8&amp;DJ$1)</f>
        <v>|n攻速+26%</v>
      </c>
      <c r="DK8" s="30" t="str">
        <f t="shared" ref="DK8:DK18" si="160">IF(AE8="","","|n"&amp;DK$2&amp;"+"&amp;AE8&amp;DK$1)</f>
        <v/>
      </c>
      <c r="DL8" s="30" t="str">
        <f t="shared" ref="DL8:DL18" si="161">IF(AF8="","","|n"&amp;DL$2&amp;"+"&amp;AF8&amp;DL$1)</f>
        <v/>
      </c>
      <c r="DM8" s="30" t="str">
        <f t="shared" ref="DM8:DM18" si="162">IF(AG8="","","|n"&amp;DM$2&amp;"+"&amp;AG8&amp;DM$1)</f>
        <v/>
      </c>
      <c r="DN8" s="30" t="str">
        <f t="shared" ref="DN8:DN18" si="163">IF(AH8="","","|n"&amp;DN$2&amp;"+"&amp;AH8&amp;DN$1)</f>
        <v/>
      </c>
      <c r="DO8" s="30" t="str">
        <f t="shared" ref="DO8:DO18" si="164">IF(AI8="","","|n"&amp;DO$2&amp;"+"&amp;AI8&amp;DO$1)</f>
        <v/>
      </c>
      <c r="DP8" s="30" t="str">
        <f t="shared" ref="DP8:DP18" si="165">IF(AJ8="","","|n"&amp;DP$2&amp;"+"&amp;AJ8&amp;DP$1)</f>
        <v/>
      </c>
      <c r="DQ8" s="30" t="str">
        <f t="shared" ref="DQ8:DQ18" si="166">IF(AK8="","","|n"&amp;DQ$2&amp;"+"&amp;AK8&amp;DQ$1)</f>
        <v/>
      </c>
      <c r="DR8" s="30" t="str">
        <f t="shared" ref="DR8:DR18" si="167">IF(AL8="","","|n"&amp;DR$2&amp;"+"&amp;AL8&amp;DR$1)</f>
        <v/>
      </c>
      <c r="DS8" s="30" t="str">
        <f t="shared" ref="DS8:DS18" si="168">IF(AM8="","","|n"&amp;DS$2&amp;"+"&amp;AM8&amp;DS$1)</f>
        <v/>
      </c>
      <c r="DT8" s="30" t="str">
        <f t="shared" ref="DT8:DT18" si="169">IF(AN8="","","|n"&amp;DT$2&amp;"+"&amp;AN8&amp;DT$1)</f>
        <v/>
      </c>
      <c r="DU8" s="30" t="str">
        <f t="shared" ref="DU8:DU18" si="170">IF(AO8="","","|n"&amp;DU$2&amp;"+"&amp;AO8&amp;DU$1)</f>
        <v/>
      </c>
      <c r="DV8" s="30" t="str">
        <f t="shared" ref="DV8:DV18" si="171">IF(AP8="","","|n"&amp;DV$2&amp;"+"&amp;AP8&amp;DV$1)</f>
        <v/>
      </c>
      <c r="DW8" s="30" t="str">
        <f t="shared" ref="DW8:DW18" si="172">IF(AQ8="","","|n"&amp;DW$2&amp;"+"&amp;AQ8&amp;DW$1)</f>
        <v/>
      </c>
      <c r="DX8" s="30" t="str">
        <f t="shared" ref="DX8:DX18" si="173">IF(AR8="","","|n"&amp;DX$2&amp;"+"&amp;AR8&amp;DX$1)</f>
        <v/>
      </c>
      <c r="DY8" s="30" t="str">
        <f t="shared" ref="DY8:DY18" si="174">IF(AS8="","","|n"&amp;DY$2&amp;"+"&amp;AS8&amp;DY$1)</f>
        <v/>
      </c>
      <c r="DZ8" s="30" t="str">
        <f t="shared" ref="DZ8:DZ18" si="175">IF(AT8="","","|n"&amp;DZ$2&amp;"+"&amp;AT8&amp;DZ$1)</f>
        <v/>
      </c>
      <c r="EA8" s="30" t="str">
        <f t="shared" ref="EA8:EA18" si="176">IF(AU8="","","|n"&amp;EA$2&amp;"+"&amp;AU8&amp;EA$1)</f>
        <v/>
      </c>
      <c r="EB8" s="30" t="str">
        <f t="shared" ref="EB8:EB18" si="177">IF(AV8="","","|n"&amp;EB$2&amp;"+"&amp;AV8&amp;EB$1)</f>
        <v/>
      </c>
      <c r="EC8" s="30" t="str">
        <f t="shared" ref="EC8:EC18" si="178">IF(AW8="","","|n"&amp;EC$2&amp;"+"&amp;AW8&amp;EC$1)</f>
        <v/>
      </c>
      <c r="ED8" s="30" t="str">
        <f t="shared" ref="ED8:ED18" si="179">IF(AX8="","","|n"&amp;ED$2&amp;"+"&amp;AX8&amp;ED$1)</f>
        <v/>
      </c>
      <c r="EE8" s="30" t="str">
        <f t="shared" ref="EE8:EE18" si="180">IF(AY8="","","|n"&amp;EE$2&amp;"+"&amp;AY8&amp;EE$1)</f>
        <v/>
      </c>
      <c r="EF8" s="30" t="str">
        <f t="shared" ref="EF8:EF18" si="181">IF(AZ8="","","|n"&amp;EF$2&amp;"+"&amp;AZ8&amp;EF$1)</f>
        <v/>
      </c>
      <c r="EG8" s="30" t="str">
        <f t="shared" ref="EG8:EG18" si="182">IF(BA8="","","|n"&amp;EG$2&amp;"+"&amp;BA8&amp;EG$1)</f>
        <v/>
      </c>
      <c r="EH8" s="30" t="str">
        <f t="shared" ref="EH8:EH18" si="183">IF(BB8="","","|n"&amp;EH$2&amp;"+"&amp;BB8&amp;EH$1)</f>
        <v/>
      </c>
      <c r="EI8" s="30" t="str">
        <f t="shared" ref="EI8:EI18" si="184">IF(BC8="","","|n"&amp;EI$2&amp;"+"&amp;BC8&amp;EI$1)</f>
        <v/>
      </c>
      <c r="EJ8" s="30" t="str">
        <f t="shared" ref="EJ8:EJ18" si="185">IF(BD8="","","|n"&amp;EJ$2&amp;"+"&amp;BD8&amp;EJ$1)</f>
        <v/>
      </c>
      <c r="EK8" s="30" t="str">
        <f t="shared" ref="EK8:EK18" si="186">IF(BE8="","","|n"&amp;EK$2&amp;"+"&amp;BE8&amp;EK$1)</f>
        <v/>
      </c>
      <c r="EL8" s="30" t="str">
        <f t="shared" ref="EL8:EL18" si="187">IF(BF8="","","|n"&amp;EL$2&amp;"+"&amp;BF8&amp;EL$1)</f>
        <v/>
      </c>
      <c r="EM8" s="30" t="str">
        <f t="shared" ref="EM8:EM18" si="188">IF(BG8="","","|n"&amp;EM$2&amp;"+"&amp;BG8&amp;EM$1)</f>
        <v/>
      </c>
      <c r="EN8" s="30" t="str">
        <f t="shared" ref="EN8:EN18" si="189">IF(BH8="","","|n"&amp;EN$2&amp;"+"&amp;BH8&amp;EN$1)</f>
        <v/>
      </c>
      <c r="EO8" s="30" t="str">
        <f t="shared" ref="EO8:EO18" si="190">IF(BI8="","","|n"&amp;EO$2&amp;"+"&amp;BI8&amp;EO$1)</f>
        <v/>
      </c>
      <c r="EP8" s="30" t="str">
        <f t="shared" ref="EP8:EP18" si="191">IF(BJ8="","","|n"&amp;EP$2&amp;"+"&amp;BJ8&amp;EP$1)</f>
        <v/>
      </c>
      <c r="EQ8" s="30" t="str">
        <f t="shared" ref="EQ8:EQ18" si="192">IF(BK8="","","|n"&amp;EQ$2&amp;"+"&amp;BK8&amp;EQ$1)</f>
        <v/>
      </c>
      <c r="ER8" s="30" t="str">
        <f t="shared" ref="ER8:ER18" si="193">IF(BL8="","","|n"&amp;ER$2&amp;"+"&amp;BL8&amp;ER$1)</f>
        <v/>
      </c>
      <c r="ES8" s="30" t="str">
        <f t="shared" ref="ES8:ES18" si="194">IF(BM8="","","|n"&amp;ES$2&amp;"+"&amp;BM8&amp;ES$1)</f>
        <v/>
      </c>
      <c r="ET8" s="30" t="str">
        <f t="shared" ref="ET8:ET18" si="195">IF(BN8="","","|n"&amp;ET$2&amp;"+"&amp;BN8&amp;ET$1)</f>
        <v/>
      </c>
      <c r="EU8" s="30" t="str">
        <f t="shared" ref="EU8:EU18" si="196">IF(BO8="","","|n"&amp;EU$2&amp;"+"&amp;BO8&amp;EU$1)</f>
        <v/>
      </c>
      <c r="EV8" s="30" t="str">
        <f t="shared" ref="EV8:EV18" si="197">IF(BP8="","","|n"&amp;EV$2&amp;"+"&amp;BP8&amp;EV$1)</f>
        <v/>
      </c>
      <c r="EW8" s="30" t="str">
        <f t="shared" ref="EW8:EW18" si="198">IF(BQ8="","","|n"&amp;EW$2&amp;"+"&amp;BQ8&amp;EW$1)</f>
        <v/>
      </c>
      <c r="EX8" s="30" t="str">
        <f t="shared" ref="EX8:EX18" si="199">IF(BR8="","","|n"&amp;EX$2&amp;"+"&amp;BR8&amp;EX$1)</f>
        <v/>
      </c>
      <c r="EY8" s="30" t="str">
        <f t="shared" ref="EY8:EY18" si="200">IF(BS8="","","|n"&amp;EY$2&amp;"+"&amp;BS8&amp;EY$1)</f>
        <v/>
      </c>
      <c r="EZ8" s="30" t="str">
        <f t="shared" ref="EZ8:EZ18" si="201">IF(BT8="","","|n"&amp;EZ$2&amp;"+"&amp;BT8&amp;EZ$1)</f>
        <v/>
      </c>
      <c r="FA8" s="30" t="str">
        <f t="shared" ref="FA8:FA18" si="202">IF(BU8="","","|n"&amp;FA$2&amp;"+"&amp;BU8&amp;FA$1)</f>
        <v/>
      </c>
      <c r="FB8" s="30" t="str">
        <f t="shared" ref="FB8:FB18" si="203">IF(BV8="","","|n"&amp;FB$2&amp;"+"&amp;BV8&amp;FB$1)</f>
        <v/>
      </c>
      <c r="FC8" s="30" t="str">
        <f t="shared" ref="FC8:FC18" si="204">IF(BW8="","","|n"&amp;FC$2&amp;"+"&amp;BW8&amp;FC$1)</f>
        <v/>
      </c>
      <c r="FD8" s="30" t="str">
        <f t="shared" ref="FD8:FD18" si="205">IF(BX8="","","|n"&amp;FD$2&amp;"+"&amp;BX8&amp;FD$1)</f>
        <v/>
      </c>
      <c r="FE8" s="30" t="str">
        <f t="shared" ref="FE8:FE18" si="206">IF(BY8="","","|n"&amp;FE$2&amp;"+"&amp;BY8&amp;FE$1)</f>
        <v/>
      </c>
      <c r="FF8" s="30" t="str">
        <f t="shared" ref="FF8:FF18" si="207">IF(BZ8="","","|n"&amp;FF$2&amp;"+"&amp;BZ8&amp;FF$1)</f>
        <v/>
      </c>
      <c r="FG8" s="30" t="str">
        <f t="shared" ref="FG8:FG18" si="208">IF(CA8="","","|n"&amp;FG$2&amp;"+"&amp;CA8&amp;FG$1)</f>
        <v/>
      </c>
      <c r="FH8" s="30" t="str">
        <f t="shared" ref="FH8:FH18" si="209">IF(CB8="","","|n"&amp;FH$2&amp;"+"&amp;CB8&amp;FH$1)</f>
        <v/>
      </c>
      <c r="FI8" s="30" t="str">
        <f t="shared" ref="FI8:FI18" si="210">IF(CC8="","","|n"&amp;FI$2&amp;"+"&amp;CC8&amp;FI$1)</f>
        <v/>
      </c>
      <c r="FJ8" s="30" t="str">
        <f t="shared" ref="FJ8:FJ18" si="211">IF(CD8="","","|n"&amp;FJ$2&amp;"+"&amp;CD8&amp;FJ$1)</f>
        <v/>
      </c>
      <c r="FK8" s="30" t="str">
        <f t="shared" ref="FK8:FK18" si="212">IF(CE8="","","|n"&amp;FK$2&amp;"+"&amp;CE8&amp;FK$1)</f>
        <v/>
      </c>
      <c r="FL8" s="30" t="str">
        <f t="shared" ref="FL8:FL18" si="213">IF(CF8="","","|n"&amp;FL$2&amp;"+"&amp;CF8&amp;FL$1)</f>
        <v/>
      </c>
      <c r="FM8" s="30" t="str">
        <f t="shared" ref="FM8:FM18" si="214">IF(CG8="","","|n"&amp;FM$2&amp;"+"&amp;CG8&amp;FM$1)</f>
        <v/>
      </c>
      <c r="FN8" s="30" t="str">
        <f t="shared" ref="FN8:FN18" si="215">IF(CH8="","","|n"&amp;FN$2&amp;"+"&amp;CH8&amp;FN$1)</f>
        <v/>
      </c>
      <c r="FO8" s="30" t="str">
        <f t="shared" ref="FO8:FO18" si="216">IF(CI8="","","|n"&amp;FO$2&amp;"+"&amp;CI8&amp;FO$1)</f>
        <v/>
      </c>
      <c r="FP8" s="30" t="str">
        <f t="shared" ref="FP8:FP18" si="217">IF(CJ8="","","|n"&amp;FP$2&amp;"+"&amp;CJ8&amp;FP$1)</f>
        <v/>
      </c>
      <c r="FQ8" s="30" t="str">
        <f t="shared" ref="FQ8:FQ18" si="218">IF(CK8="","","|n"&amp;FQ$2&amp;"+"&amp;CK8&amp;FQ$1)</f>
        <v/>
      </c>
      <c r="FR8" s="30" t="str">
        <f t="shared" ref="FR8:FR18" si="219">IF(CL8="","","|n"&amp;FR$2&amp;"+"&amp;CL8&amp;FR$1)</f>
        <v/>
      </c>
      <c r="FS8" s="30" t="str">
        <f t="shared" ref="FS8:FS18" si="220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8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">
        <v>596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2"/>
        <v>InitUnitState('E007',4584,,,,,,,,26,)</v>
      </c>
      <c r="CO9" s="44" t="str">
        <f t="shared" si="3"/>
        <v>InitUnitNormal('E007',,,,,,,,,,)</v>
      </c>
      <c r="CP9" s="44" t="str">
        <f t="shared" si="4"/>
        <v>InitUnitMagic('E007',,,,,,,,,,)</v>
      </c>
      <c r="CQ9" s="44" t="str">
        <f t="shared" si="5"/>
        <v>InitUnitAdd('E007',,,,,,,,,,)</v>
      </c>
      <c r="CR9" s="44" t="str">
        <f t="shared" si="6"/>
        <v>InitEquipData('E007',,"",,E008,7000,,'','','','','','',"ReplaceableTextures\\CommandButtons\\BTNZ02.blp")</v>
      </c>
      <c r="CS9" s="44"/>
      <c r="CT9" s="44"/>
      <c r="CU9" s="45" t="str">
        <f t="shared" si="150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1"/>
        <v>|n攻击+4584</v>
      </c>
      <c r="DC9" s="30" t="str">
        <f t="shared" si="152"/>
        <v/>
      </c>
      <c r="DD9" s="30" t="str">
        <f t="shared" si="153"/>
        <v/>
      </c>
      <c r="DE9" s="30" t="str">
        <f t="shared" si="154"/>
        <v/>
      </c>
      <c r="DF9" s="30" t="str">
        <f t="shared" si="155"/>
        <v/>
      </c>
      <c r="DG9" s="30" t="str">
        <f t="shared" si="156"/>
        <v/>
      </c>
      <c r="DH9" s="30" t="str">
        <f t="shared" si="157"/>
        <v/>
      </c>
      <c r="DI9" s="30" t="str">
        <f t="shared" si="158"/>
        <v/>
      </c>
      <c r="DJ9" s="30" t="str">
        <f t="shared" si="159"/>
        <v>|n攻速+26%</v>
      </c>
      <c r="DK9" s="30" t="str">
        <f t="shared" si="160"/>
        <v/>
      </c>
      <c r="DL9" s="30" t="str">
        <f t="shared" si="161"/>
        <v/>
      </c>
      <c r="DM9" s="30" t="str">
        <f t="shared" si="162"/>
        <v/>
      </c>
      <c r="DN9" s="30" t="str">
        <f t="shared" si="163"/>
        <v/>
      </c>
      <c r="DO9" s="30" t="str">
        <f t="shared" si="164"/>
        <v/>
      </c>
      <c r="DP9" s="30" t="str">
        <f t="shared" si="165"/>
        <v/>
      </c>
      <c r="DQ9" s="30" t="str">
        <f t="shared" si="166"/>
        <v/>
      </c>
      <c r="DR9" s="30" t="str">
        <f t="shared" si="167"/>
        <v/>
      </c>
      <c r="DS9" s="30" t="str">
        <f t="shared" si="168"/>
        <v/>
      </c>
      <c r="DT9" s="30" t="str">
        <f t="shared" si="169"/>
        <v/>
      </c>
      <c r="DU9" s="30" t="str">
        <f t="shared" si="170"/>
        <v/>
      </c>
      <c r="DV9" s="30" t="str">
        <f t="shared" si="171"/>
        <v/>
      </c>
      <c r="DW9" s="30" t="str">
        <f t="shared" si="172"/>
        <v/>
      </c>
      <c r="DX9" s="30" t="str">
        <f t="shared" si="173"/>
        <v/>
      </c>
      <c r="DY9" s="30" t="str">
        <f t="shared" si="174"/>
        <v/>
      </c>
      <c r="DZ9" s="30" t="str">
        <f t="shared" si="175"/>
        <v/>
      </c>
      <c r="EA9" s="30" t="str">
        <f t="shared" si="176"/>
        <v/>
      </c>
      <c r="EB9" s="30" t="str">
        <f t="shared" si="177"/>
        <v/>
      </c>
      <c r="EC9" s="30" t="str">
        <f t="shared" si="178"/>
        <v/>
      </c>
      <c r="ED9" s="30" t="str">
        <f t="shared" si="179"/>
        <v/>
      </c>
      <c r="EE9" s="30" t="str">
        <f t="shared" si="180"/>
        <v/>
      </c>
      <c r="EF9" s="30" t="str">
        <f t="shared" si="181"/>
        <v/>
      </c>
      <c r="EG9" s="30" t="str">
        <f t="shared" si="182"/>
        <v/>
      </c>
      <c r="EH9" s="30" t="str">
        <f t="shared" si="183"/>
        <v/>
      </c>
      <c r="EI9" s="30" t="str">
        <f t="shared" si="184"/>
        <v/>
      </c>
      <c r="EJ9" s="30" t="str">
        <f t="shared" si="185"/>
        <v/>
      </c>
      <c r="EK9" s="30" t="str">
        <f t="shared" si="186"/>
        <v/>
      </c>
      <c r="EL9" s="30" t="str">
        <f t="shared" si="187"/>
        <v/>
      </c>
      <c r="EM9" s="30" t="str">
        <f t="shared" si="188"/>
        <v/>
      </c>
      <c r="EN9" s="30" t="str">
        <f t="shared" si="189"/>
        <v/>
      </c>
      <c r="EO9" s="30" t="str">
        <f t="shared" si="190"/>
        <v/>
      </c>
      <c r="EP9" s="30" t="str">
        <f t="shared" si="191"/>
        <v/>
      </c>
      <c r="EQ9" s="30" t="str">
        <f t="shared" si="192"/>
        <v/>
      </c>
      <c r="ER9" s="30" t="str">
        <f t="shared" si="193"/>
        <v/>
      </c>
      <c r="ES9" s="30" t="str">
        <f t="shared" si="194"/>
        <v/>
      </c>
      <c r="ET9" s="30" t="str">
        <f t="shared" si="195"/>
        <v/>
      </c>
      <c r="EU9" s="30" t="str">
        <f t="shared" si="196"/>
        <v/>
      </c>
      <c r="EV9" s="30" t="str">
        <f t="shared" si="197"/>
        <v/>
      </c>
      <c r="EW9" s="30" t="str">
        <f t="shared" si="198"/>
        <v/>
      </c>
      <c r="EX9" s="30" t="str">
        <f t="shared" si="199"/>
        <v/>
      </c>
      <c r="EY9" s="30" t="str">
        <f t="shared" si="200"/>
        <v/>
      </c>
      <c r="EZ9" s="30" t="str">
        <f t="shared" si="201"/>
        <v/>
      </c>
      <c r="FA9" s="30" t="str">
        <f t="shared" si="202"/>
        <v/>
      </c>
      <c r="FB9" s="30" t="str">
        <f t="shared" si="203"/>
        <v/>
      </c>
      <c r="FC9" s="30" t="str">
        <f t="shared" si="204"/>
        <v/>
      </c>
      <c r="FD9" s="30" t="str">
        <f t="shared" si="205"/>
        <v/>
      </c>
      <c r="FE9" s="30" t="str">
        <f t="shared" si="206"/>
        <v/>
      </c>
      <c r="FF9" s="30" t="str">
        <f t="shared" si="207"/>
        <v/>
      </c>
      <c r="FG9" s="30" t="str">
        <f t="shared" si="208"/>
        <v/>
      </c>
      <c r="FH9" s="30" t="str">
        <f t="shared" si="209"/>
        <v/>
      </c>
      <c r="FI9" s="30" t="str">
        <f t="shared" si="210"/>
        <v/>
      </c>
      <c r="FJ9" s="30" t="str">
        <f t="shared" si="211"/>
        <v/>
      </c>
      <c r="FK9" s="30" t="str">
        <f t="shared" si="212"/>
        <v/>
      </c>
      <c r="FL9" s="30" t="str">
        <f t="shared" si="213"/>
        <v/>
      </c>
      <c r="FM9" s="30" t="str">
        <f t="shared" si="214"/>
        <v/>
      </c>
      <c r="FN9" s="30" t="str">
        <f t="shared" si="215"/>
        <v/>
      </c>
      <c r="FO9" s="30" t="str">
        <f t="shared" si="216"/>
        <v/>
      </c>
      <c r="FP9" s="30" t="str">
        <f t="shared" si="217"/>
        <v/>
      </c>
      <c r="FQ9" s="30" t="str">
        <f t="shared" si="218"/>
        <v/>
      </c>
      <c r="FR9" s="30" t="str">
        <f t="shared" si="219"/>
        <v/>
      </c>
      <c r="FS9" s="30" t="str">
        <f t="shared" si="220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8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">
        <v>596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2"/>
        <v>InitUnitState('E008',5352,,,,,,,,26,)</v>
      </c>
      <c r="CO10" s="44" t="str">
        <f t="shared" si="3"/>
        <v>InitUnitNormal('E008',,,,,,,,,,)</v>
      </c>
      <c r="CP10" s="44" t="str">
        <f t="shared" si="4"/>
        <v>InitUnitMagic('E008',,,,,,,,,,)</v>
      </c>
      <c r="CQ10" s="44" t="str">
        <f t="shared" si="5"/>
        <v>InitUnitAdd('E008',,,,,,,,,,)</v>
      </c>
      <c r="CR10" s="44" t="str">
        <f t="shared" si="6"/>
        <v>InitEquipData('E008',,"",,E009,7000,,'','','','','','',"ReplaceableTextures\\CommandButtons\\BTNZ02.blp")</v>
      </c>
      <c r="CS10" s="44"/>
      <c r="CT10" s="44"/>
      <c r="CU10" s="45" t="str">
        <f t="shared" si="150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1"/>
        <v>|n攻击+5352</v>
      </c>
      <c r="DC10" s="30" t="str">
        <f t="shared" si="152"/>
        <v/>
      </c>
      <c r="DD10" s="30" t="str">
        <f t="shared" si="153"/>
        <v/>
      </c>
      <c r="DE10" s="30" t="str">
        <f t="shared" si="154"/>
        <v/>
      </c>
      <c r="DF10" s="30" t="str">
        <f t="shared" si="155"/>
        <v/>
      </c>
      <c r="DG10" s="30" t="str">
        <f t="shared" si="156"/>
        <v/>
      </c>
      <c r="DH10" s="30" t="str">
        <f t="shared" si="157"/>
        <v/>
      </c>
      <c r="DI10" s="30" t="str">
        <f t="shared" si="158"/>
        <v/>
      </c>
      <c r="DJ10" s="30" t="str">
        <f t="shared" si="159"/>
        <v>|n攻速+26%</v>
      </c>
      <c r="DK10" s="30" t="str">
        <f t="shared" si="160"/>
        <v/>
      </c>
      <c r="DL10" s="30" t="str">
        <f t="shared" si="161"/>
        <v/>
      </c>
      <c r="DM10" s="30" t="str">
        <f t="shared" si="162"/>
        <v/>
      </c>
      <c r="DN10" s="30" t="str">
        <f t="shared" si="163"/>
        <v/>
      </c>
      <c r="DO10" s="30" t="str">
        <f t="shared" si="164"/>
        <v/>
      </c>
      <c r="DP10" s="30" t="str">
        <f t="shared" si="165"/>
        <v/>
      </c>
      <c r="DQ10" s="30" t="str">
        <f t="shared" si="166"/>
        <v/>
      </c>
      <c r="DR10" s="30" t="str">
        <f t="shared" si="167"/>
        <v/>
      </c>
      <c r="DS10" s="30" t="str">
        <f t="shared" si="168"/>
        <v/>
      </c>
      <c r="DT10" s="30" t="str">
        <f t="shared" si="169"/>
        <v/>
      </c>
      <c r="DU10" s="30" t="str">
        <f t="shared" si="170"/>
        <v/>
      </c>
      <c r="DV10" s="30" t="str">
        <f t="shared" si="171"/>
        <v/>
      </c>
      <c r="DW10" s="30" t="str">
        <f t="shared" si="172"/>
        <v/>
      </c>
      <c r="DX10" s="30" t="str">
        <f t="shared" si="173"/>
        <v/>
      </c>
      <c r="DY10" s="30" t="str">
        <f t="shared" si="174"/>
        <v/>
      </c>
      <c r="DZ10" s="30" t="str">
        <f t="shared" si="175"/>
        <v/>
      </c>
      <c r="EA10" s="30" t="str">
        <f t="shared" si="176"/>
        <v/>
      </c>
      <c r="EB10" s="30" t="str">
        <f t="shared" si="177"/>
        <v/>
      </c>
      <c r="EC10" s="30" t="str">
        <f t="shared" si="178"/>
        <v/>
      </c>
      <c r="ED10" s="30" t="str">
        <f t="shared" si="179"/>
        <v/>
      </c>
      <c r="EE10" s="30" t="str">
        <f t="shared" si="180"/>
        <v/>
      </c>
      <c r="EF10" s="30" t="str">
        <f t="shared" si="181"/>
        <v/>
      </c>
      <c r="EG10" s="30" t="str">
        <f t="shared" si="182"/>
        <v/>
      </c>
      <c r="EH10" s="30" t="str">
        <f t="shared" si="183"/>
        <v/>
      </c>
      <c r="EI10" s="30" t="str">
        <f t="shared" si="184"/>
        <v/>
      </c>
      <c r="EJ10" s="30" t="str">
        <f t="shared" si="185"/>
        <v/>
      </c>
      <c r="EK10" s="30" t="str">
        <f t="shared" si="186"/>
        <v/>
      </c>
      <c r="EL10" s="30" t="str">
        <f t="shared" si="187"/>
        <v/>
      </c>
      <c r="EM10" s="30" t="str">
        <f t="shared" si="188"/>
        <v/>
      </c>
      <c r="EN10" s="30" t="str">
        <f t="shared" si="189"/>
        <v/>
      </c>
      <c r="EO10" s="30" t="str">
        <f t="shared" si="190"/>
        <v/>
      </c>
      <c r="EP10" s="30" t="str">
        <f t="shared" si="191"/>
        <v/>
      </c>
      <c r="EQ10" s="30" t="str">
        <f t="shared" si="192"/>
        <v/>
      </c>
      <c r="ER10" s="30" t="str">
        <f t="shared" si="193"/>
        <v/>
      </c>
      <c r="ES10" s="30" t="str">
        <f t="shared" si="194"/>
        <v/>
      </c>
      <c r="ET10" s="30" t="str">
        <f t="shared" si="195"/>
        <v/>
      </c>
      <c r="EU10" s="30" t="str">
        <f t="shared" si="196"/>
        <v/>
      </c>
      <c r="EV10" s="30" t="str">
        <f t="shared" si="197"/>
        <v/>
      </c>
      <c r="EW10" s="30" t="str">
        <f t="shared" si="198"/>
        <v/>
      </c>
      <c r="EX10" s="30" t="str">
        <f t="shared" si="199"/>
        <v/>
      </c>
      <c r="EY10" s="30" t="str">
        <f t="shared" si="200"/>
        <v/>
      </c>
      <c r="EZ10" s="30" t="str">
        <f t="shared" si="201"/>
        <v/>
      </c>
      <c r="FA10" s="30" t="str">
        <f t="shared" si="202"/>
        <v/>
      </c>
      <c r="FB10" s="30" t="str">
        <f t="shared" si="203"/>
        <v/>
      </c>
      <c r="FC10" s="30" t="str">
        <f t="shared" si="204"/>
        <v/>
      </c>
      <c r="FD10" s="30" t="str">
        <f t="shared" si="205"/>
        <v/>
      </c>
      <c r="FE10" s="30" t="str">
        <f t="shared" si="206"/>
        <v/>
      </c>
      <c r="FF10" s="30" t="str">
        <f t="shared" si="207"/>
        <v/>
      </c>
      <c r="FG10" s="30" t="str">
        <f t="shared" si="208"/>
        <v/>
      </c>
      <c r="FH10" s="30" t="str">
        <f t="shared" si="209"/>
        <v/>
      </c>
      <c r="FI10" s="30" t="str">
        <f t="shared" si="210"/>
        <v/>
      </c>
      <c r="FJ10" s="30" t="str">
        <f t="shared" si="211"/>
        <v/>
      </c>
      <c r="FK10" s="30" t="str">
        <f t="shared" si="212"/>
        <v/>
      </c>
      <c r="FL10" s="30" t="str">
        <f t="shared" si="213"/>
        <v/>
      </c>
      <c r="FM10" s="30" t="str">
        <f t="shared" si="214"/>
        <v/>
      </c>
      <c r="FN10" s="30" t="str">
        <f t="shared" si="215"/>
        <v/>
      </c>
      <c r="FO10" s="30" t="str">
        <f t="shared" si="216"/>
        <v/>
      </c>
      <c r="FP10" s="30" t="str">
        <f t="shared" si="217"/>
        <v/>
      </c>
      <c r="FQ10" s="30" t="str">
        <f t="shared" si="218"/>
        <v/>
      </c>
      <c r="FR10" s="30" t="str">
        <f t="shared" si="219"/>
        <v/>
      </c>
      <c r="FS10" s="30" t="str">
        <f t="shared" si="220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8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">
        <v>596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2"/>
        <v>InitUnitState('E009',6120,,,,,,,,26,)</v>
      </c>
      <c r="CO11" s="44" t="str">
        <f t="shared" si="3"/>
        <v>InitUnitNormal('E009',,,,,,,,,,)</v>
      </c>
      <c r="CP11" s="44" t="str">
        <f t="shared" si="4"/>
        <v>InitUnitMagic('E009',,,,,,,,,,)</v>
      </c>
      <c r="CQ11" s="44" t="str">
        <f t="shared" si="5"/>
        <v>InitUnitAdd('E009',,,,,,,,,,)</v>
      </c>
      <c r="CR11" s="44" t="str">
        <f t="shared" si="6"/>
        <v>InitEquipData('E009',,"",,E010,7000,,'','','','','','',"ReplaceableTextures\\CommandButtons\\BTNZ02.blp")</v>
      </c>
      <c r="CS11" s="44"/>
      <c r="CT11" s="44"/>
      <c r="CU11" s="45" t="str">
        <f t="shared" si="150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1"/>
        <v>|n攻击+6120</v>
      </c>
      <c r="DC11" s="30" t="str">
        <f t="shared" si="152"/>
        <v/>
      </c>
      <c r="DD11" s="30" t="str">
        <f t="shared" si="153"/>
        <v/>
      </c>
      <c r="DE11" s="30" t="str">
        <f t="shared" si="154"/>
        <v/>
      </c>
      <c r="DF11" s="30" t="str">
        <f t="shared" si="155"/>
        <v/>
      </c>
      <c r="DG11" s="30" t="str">
        <f t="shared" si="156"/>
        <v/>
      </c>
      <c r="DH11" s="30" t="str">
        <f t="shared" si="157"/>
        <v/>
      </c>
      <c r="DI11" s="30" t="str">
        <f t="shared" si="158"/>
        <v/>
      </c>
      <c r="DJ11" s="30" t="str">
        <f t="shared" si="159"/>
        <v>|n攻速+26%</v>
      </c>
      <c r="DK11" s="30" t="str">
        <f t="shared" si="160"/>
        <v/>
      </c>
      <c r="DL11" s="30" t="str">
        <f t="shared" si="161"/>
        <v/>
      </c>
      <c r="DM11" s="30" t="str">
        <f t="shared" si="162"/>
        <v/>
      </c>
      <c r="DN11" s="30" t="str">
        <f t="shared" si="163"/>
        <v/>
      </c>
      <c r="DO11" s="30" t="str">
        <f t="shared" si="164"/>
        <v/>
      </c>
      <c r="DP11" s="30" t="str">
        <f t="shared" si="165"/>
        <v/>
      </c>
      <c r="DQ11" s="30" t="str">
        <f t="shared" si="166"/>
        <v/>
      </c>
      <c r="DR11" s="30" t="str">
        <f t="shared" si="167"/>
        <v/>
      </c>
      <c r="DS11" s="30" t="str">
        <f t="shared" si="168"/>
        <v/>
      </c>
      <c r="DT11" s="30" t="str">
        <f t="shared" si="169"/>
        <v/>
      </c>
      <c r="DU11" s="30" t="str">
        <f t="shared" si="170"/>
        <v/>
      </c>
      <c r="DV11" s="30" t="str">
        <f t="shared" si="171"/>
        <v/>
      </c>
      <c r="DW11" s="30" t="str">
        <f t="shared" si="172"/>
        <v/>
      </c>
      <c r="DX11" s="30" t="str">
        <f t="shared" si="173"/>
        <v/>
      </c>
      <c r="DY11" s="30" t="str">
        <f t="shared" si="174"/>
        <v/>
      </c>
      <c r="DZ11" s="30" t="str">
        <f t="shared" si="175"/>
        <v/>
      </c>
      <c r="EA11" s="30" t="str">
        <f t="shared" si="176"/>
        <v/>
      </c>
      <c r="EB11" s="30" t="str">
        <f t="shared" si="177"/>
        <v/>
      </c>
      <c r="EC11" s="30" t="str">
        <f t="shared" si="178"/>
        <v/>
      </c>
      <c r="ED11" s="30" t="str">
        <f t="shared" si="179"/>
        <v/>
      </c>
      <c r="EE11" s="30" t="str">
        <f t="shared" si="180"/>
        <v/>
      </c>
      <c r="EF11" s="30" t="str">
        <f t="shared" si="181"/>
        <v/>
      </c>
      <c r="EG11" s="30" t="str">
        <f t="shared" si="182"/>
        <v/>
      </c>
      <c r="EH11" s="30" t="str">
        <f t="shared" si="183"/>
        <v/>
      </c>
      <c r="EI11" s="30" t="str">
        <f t="shared" si="184"/>
        <v/>
      </c>
      <c r="EJ11" s="30" t="str">
        <f t="shared" si="185"/>
        <v/>
      </c>
      <c r="EK11" s="30" t="str">
        <f t="shared" si="186"/>
        <v/>
      </c>
      <c r="EL11" s="30" t="str">
        <f t="shared" si="187"/>
        <v/>
      </c>
      <c r="EM11" s="30" t="str">
        <f t="shared" si="188"/>
        <v/>
      </c>
      <c r="EN11" s="30" t="str">
        <f t="shared" si="189"/>
        <v/>
      </c>
      <c r="EO11" s="30" t="str">
        <f t="shared" si="190"/>
        <v/>
      </c>
      <c r="EP11" s="30" t="str">
        <f t="shared" si="191"/>
        <v/>
      </c>
      <c r="EQ11" s="30" t="str">
        <f t="shared" si="192"/>
        <v/>
      </c>
      <c r="ER11" s="30" t="str">
        <f t="shared" si="193"/>
        <v/>
      </c>
      <c r="ES11" s="30" t="str">
        <f t="shared" si="194"/>
        <v/>
      </c>
      <c r="ET11" s="30" t="str">
        <f t="shared" si="195"/>
        <v/>
      </c>
      <c r="EU11" s="30" t="str">
        <f t="shared" si="196"/>
        <v/>
      </c>
      <c r="EV11" s="30" t="str">
        <f t="shared" si="197"/>
        <v/>
      </c>
      <c r="EW11" s="30" t="str">
        <f t="shared" si="198"/>
        <v/>
      </c>
      <c r="EX11" s="30" t="str">
        <f t="shared" si="199"/>
        <v/>
      </c>
      <c r="EY11" s="30" t="str">
        <f t="shared" si="200"/>
        <v/>
      </c>
      <c r="EZ11" s="30" t="str">
        <f t="shared" si="201"/>
        <v/>
      </c>
      <c r="FA11" s="30" t="str">
        <f t="shared" si="202"/>
        <v/>
      </c>
      <c r="FB11" s="30" t="str">
        <f t="shared" si="203"/>
        <v/>
      </c>
      <c r="FC11" s="30" t="str">
        <f t="shared" si="204"/>
        <v/>
      </c>
      <c r="FD11" s="30" t="str">
        <f t="shared" si="205"/>
        <v/>
      </c>
      <c r="FE11" s="30" t="str">
        <f t="shared" si="206"/>
        <v/>
      </c>
      <c r="FF11" s="30" t="str">
        <f t="shared" si="207"/>
        <v/>
      </c>
      <c r="FG11" s="30" t="str">
        <f t="shared" si="208"/>
        <v/>
      </c>
      <c r="FH11" s="30" t="str">
        <f t="shared" si="209"/>
        <v/>
      </c>
      <c r="FI11" s="30" t="str">
        <f t="shared" si="210"/>
        <v/>
      </c>
      <c r="FJ11" s="30" t="str">
        <f t="shared" si="211"/>
        <v/>
      </c>
      <c r="FK11" s="30" t="str">
        <f t="shared" si="212"/>
        <v/>
      </c>
      <c r="FL11" s="30" t="str">
        <f t="shared" si="213"/>
        <v/>
      </c>
      <c r="FM11" s="30" t="str">
        <f t="shared" si="214"/>
        <v/>
      </c>
      <c r="FN11" s="30" t="str">
        <f t="shared" si="215"/>
        <v/>
      </c>
      <c r="FO11" s="30" t="str">
        <f t="shared" si="216"/>
        <v/>
      </c>
      <c r="FP11" s="30" t="str">
        <f t="shared" si="217"/>
        <v/>
      </c>
      <c r="FQ11" s="30" t="str">
        <f t="shared" si="218"/>
        <v/>
      </c>
      <c r="FR11" s="30" t="str">
        <f t="shared" si="219"/>
        <v/>
      </c>
      <c r="FS11" s="30" t="str">
        <f t="shared" si="220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8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">
        <v>596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2"/>
        <v>InitUnitState('E010',6888,,,,,,,,26,)</v>
      </c>
      <c r="CO12" s="44" t="str">
        <f t="shared" si="3"/>
        <v>InitUnitNormal('E010',,,,,,,,,,)</v>
      </c>
      <c r="CP12" s="44" t="str">
        <f t="shared" si="4"/>
        <v>InitUnitMagic('E010',,,,,,,,,,)</v>
      </c>
      <c r="CQ12" s="44" t="str">
        <f t="shared" si="5"/>
        <v>InitUnitAdd('E010',,,,,,,,,,)</v>
      </c>
      <c r="CR12" s="44" t="str">
        <f t="shared" si="6"/>
        <v>InitEquipData('E010',,"",,E011,30000,,'','','','','','',"ReplaceableTextures\\CommandButtons\\BTNZ03.blp")</v>
      </c>
      <c r="CS12" s="44"/>
      <c r="CT12" s="44"/>
      <c r="CU12" s="45" t="str">
        <f t="shared" si="150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1"/>
        <v>|n攻击+6888</v>
      </c>
      <c r="DC12" s="30" t="str">
        <f t="shared" si="152"/>
        <v/>
      </c>
      <c r="DD12" s="30" t="str">
        <f t="shared" si="153"/>
        <v/>
      </c>
      <c r="DE12" s="30" t="str">
        <f t="shared" si="154"/>
        <v/>
      </c>
      <c r="DF12" s="30" t="str">
        <f t="shared" si="155"/>
        <v/>
      </c>
      <c r="DG12" s="30" t="str">
        <f t="shared" si="156"/>
        <v/>
      </c>
      <c r="DH12" s="30" t="str">
        <f t="shared" si="157"/>
        <v/>
      </c>
      <c r="DI12" s="30" t="str">
        <f t="shared" si="158"/>
        <v/>
      </c>
      <c r="DJ12" s="30" t="str">
        <f t="shared" si="159"/>
        <v>|n攻速+26%</v>
      </c>
      <c r="DK12" s="30" t="str">
        <f t="shared" si="160"/>
        <v/>
      </c>
      <c r="DL12" s="30" t="str">
        <f t="shared" si="161"/>
        <v/>
      </c>
      <c r="DM12" s="30" t="str">
        <f t="shared" si="162"/>
        <v/>
      </c>
      <c r="DN12" s="30" t="str">
        <f t="shared" si="163"/>
        <v/>
      </c>
      <c r="DO12" s="30" t="str">
        <f t="shared" si="164"/>
        <v/>
      </c>
      <c r="DP12" s="30" t="str">
        <f t="shared" si="165"/>
        <v/>
      </c>
      <c r="DQ12" s="30" t="str">
        <f t="shared" si="166"/>
        <v/>
      </c>
      <c r="DR12" s="30" t="str">
        <f t="shared" si="167"/>
        <v/>
      </c>
      <c r="DS12" s="30" t="str">
        <f t="shared" si="168"/>
        <v/>
      </c>
      <c r="DT12" s="30" t="str">
        <f t="shared" si="169"/>
        <v/>
      </c>
      <c r="DU12" s="30" t="str">
        <f t="shared" si="170"/>
        <v/>
      </c>
      <c r="DV12" s="30" t="str">
        <f t="shared" si="171"/>
        <v/>
      </c>
      <c r="DW12" s="30" t="str">
        <f t="shared" si="172"/>
        <v/>
      </c>
      <c r="DX12" s="30" t="str">
        <f t="shared" si="173"/>
        <v/>
      </c>
      <c r="DY12" s="30" t="str">
        <f t="shared" si="174"/>
        <v/>
      </c>
      <c r="DZ12" s="30" t="str">
        <f t="shared" si="175"/>
        <v/>
      </c>
      <c r="EA12" s="30" t="str">
        <f t="shared" si="176"/>
        <v/>
      </c>
      <c r="EB12" s="30" t="str">
        <f t="shared" si="177"/>
        <v/>
      </c>
      <c r="EC12" s="30" t="str">
        <f t="shared" si="178"/>
        <v/>
      </c>
      <c r="ED12" s="30" t="str">
        <f t="shared" si="179"/>
        <v/>
      </c>
      <c r="EE12" s="30" t="str">
        <f t="shared" si="180"/>
        <v/>
      </c>
      <c r="EF12" s="30" t="str">
        <f t="shared" si="181"/>
        <v/>
      </c>
      <c r="EG12" s="30" t="str">
        <f t="shared" si="182"/>
        <v/>
      </c>
      <c r="EH12" s="30" t="str">
        <f t="shared" si="183"/>
        <v/>
      </c>
      <c r="EI12" s="30" t="str">
        <f t="shared" si="184"/>
        <v/>
      </c>
      <c r="EJ12" s="30" t="str">
        <f t="shared" si="185"/>
        <v/>
      </c>
      <c r="EK12" s="30" t="str">
        <f t="shared" si="186"/>
        <v/>
      </c>
      <c r="EL12" s="30" t="str">
        <f t="shared" si="187"/>
        <v/>
      </c>
      <c r="EM12" s="30" t="str">
        <f t="shared" si="188"/>
        <v/>
      </c>
      <c r="EN12" s="30" t="str">
        <f t="shared" si="189"/>
        <v/>
      </c>
      <c r="EO12" s="30" t="str">
        <f t="shared" si="190"/>
        <v/>
      </c>
      <c r="EP12" s="30" t="str">
        <f t="shared" si="191"/>
        <v/>
      </c>
      <c r="EQ12" s="30" t="str">
        <f t="shared" si="192"/>
        <v/>
      </c>
      <c r="ER12" s="30" t="str">
        <f t="shared" si="193"/>
        <v/>
      </c>
      <c r="ES12" s="30" t="str">
        <f t="shared" si="194"/>
        <v/>
      </c>
      <c r="ET12" s="30" t="str">
        <f t="shared" si="195"/>
        <v/>
      </c>
      <c r="EU12" s="30" t="str">
        <f t="shared" si="196"/>
        <v/>
      </c>
      <c r="EV12" s="30" t="str">
        <f t="shared" si="197"/>
        <v/>
      </c>
      <c r="EW12" s="30" t="str">
        <f t="shared" si="198"/>
        <v/>
      </c>
      <c r="EX12" s="30" t="str">
        <f t="shared" si="199"/>
        <v/>
      </c>
      <c r="EY12" s="30" t="str">
        <f t="shared" si="200"/>
        <v/>
      </c>
      <c r="EZ12" s="30" t="str">
        <f t="shared" si="201"/>
        <v/>
      </c>
      <c r="FA12" s="30" t="str">
        <f t="shared" si="202"/>
        <v/>
      </c>
      <c r="FB12" s="30" t="str">
        <f t="shared" si="203"/>
        <v/>
      </c>
      <c r="FC12" s="30" t="str">
        <f t="shared" si="204"/>
        <v/>
      </c>
      <c r="FD12" s="30" t="str">
        <f t="shared" si="205"/>
        <v/>
      </c>
      <c r="FE12" s="30" t="str">
        <f t="shared" si="206"/>
        <v/>
      </c>
      <c r="FF12" s="30" t="str">
        <f t="shared" si="207"/>
        <v/>
      </c>
      <c r="FG12" s="30" t="str">
        <f t="shared" si="208"/>
        <v/>
      </c>
      <c r="FH12" s="30" t="str">
        <f t="shared" si="209"/>
        <v/>
      </c>
      <c r="FI12" s="30" t="str">
        <f t="shared" si="210"/>
        <v/>
      </c>
      <c r="FJ12" s="30" t="str">
        <f t="shared" si="211"/>
        <v/>
      </c>
      <c r="FK12" s="30" t="str">
        <f t="shared" si="212"/>
        <v/>
      </c>
      <c r="FL12" s="30" t="str">
        <f t="shared" si="213"/>
        <v/>
      </c>
      <c r="FM12" s="30" t="str">
        <f t="shared" si="214"/>
        <v/>
      </c>
      <c r="FN12" s="30" t="str">
        <f t="shared" si="215"/>
        <v/>
      </c>
      <c r="FO12" s="30" t="str">
        <f t="shared" si="216"/>
        <v/>
      </c>
      <c r="FP12" s="30" t="str">
        <f t="shared" si="217"/>
        <v/>
      </c>
      <c r="FQ12" s="30" t="str">
        <f t="shared" si="218"/>
        <v/>
      </c>
      <c r="FR12" s="30" t="str">
        <f t="shared" si="219"/>
        <v/>
      </c>
      <c r="FS12" s="30" t="str">
        <f t="shared" si="220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8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">
        <v>597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2"/>
        <v>InitUnitState('E011',8808,,,,,,,,35,)</v>
      </c>
      <c r="CO13" s="44" t="str">
        <f t="shared" si="3"/>
        <v>InitUnitNormal('E011',,,,,,,,,6,)</v>
      </c>
      <c r="CP13" s="44" t="str">
        <f t="shared" si="4"/>
        <v>InitUnitMagic('E011',,,,,,,,,,)</v>
      </c>
      <c r="CQ13" s="44" t="str">
        <f t="shared" si="5"/>
        <v>InitUnitAdd('E011',,,,,,,,,,)</v>
      </c>
      <c r="CR13" s="44" t="str">
        <f t="shared" si="6"/>
        <v>InitEquipData('E011',,"",,E012,10000,,'','','','','','',"ReplaceableTextures\\CommandButtons\\BTNZ03.blp")</v>
      </c>
      <c r="CS13" s="44"/>
      <c r="CT13" s="44"/>
      <c r="CU13" s="45" t="str">
        <f t="shared" si="150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1"/>
        <v>|n攻击+8808</v>
      </c>
      <c r="DC13" s="30" t="str">
        <f t="shared" si="152"/>
        <v/>
      </c>
      <c r="DD13" s="30" t="str">
        <f t="shared" si="153"/>
        <v/>
      </c>
      <c r="DE13" s="30" t="str">
        <f t="shared" si="154"/>
        <v/>
      </c>
      <c r="DF13" s="30" t="str">
        <f t="shared" si="155"/>
        <v/>
      </c>
      <c r="DG13" s="30" t="str">
        <f t="shared" si="156"/>
        <v/>
      </c>
      <c r="DH13" s="30" t="str">
        <f t="shared" si="157"/>
        <v/>
      </c>
      <c r="DI13" s="30" t="str">
        <f t="shared" si="158"/>
        <v/>
      </c>
      <c r="DJ13" s="30" t="str">
        <f t="shared" si="159"/>
        <v>|n攻速+35%</v>
      </c>
      <c r="DK13" s="30" t="str">
        <f t="shared" si="160"/>
        <v/>
      </c>
      <c r="DL13" s="30" t="str">
        <f t="shared" si="161"/>
        <v/>
      </c>
      <c r="DM13" s="30" t="str">
        <f t="shared" si="162"/>
        <v/>
      </c>
      <c r="DN13" s="30" t="str">
        <f t="shared" si="163"/>
        <v/>
      </c>
      <c r="DO13" s="30" t="str">
        <f t="shared" si="164"/>
        <v/>
      </c>
      <c r="DP13" s="30" t="str">
        <f t="shared" si="165"/>
        <v/>
      </c>
      <c r="DQ13" s="30" t="str">
        <f t="shared" si="166"/>
        <v/>
      </c>
      <c r="DR13" s="30" t="str">
        <f t="shared" si="167"/>
        <v/>
      </c>
      <c r="DS13" s="30" t="str">
        <f t="shared" si="168"/>
        <v/>
      </c>
      <c r="DT13" s="30" t="str">
        <f t="shared" si="169"/>
        <v>|n暴击+6%</v>
      </c>
      <c r="DU13" s="30" t="str">
        <f t="shared" si="170"/>
        <v/>
      </c>
      <c r="DV13" s="30" t="str">
        <f t="shared" si="171"/>
        <v/>
      </c>
      <c r="DW13" s="30" t="str">
        <f t="shared" si="172"/>
        <v/>
      </c>
      <c r="DX13" s="30" t="str">
        <f t="shared" si="173"/>
        <v/>
      </c>
      <c r="DY13" s="30" t="str">
        <f t="shared" si="174"/>
        <v/>
      </c>
      <c r="DZ13" s="30" t="str">
        <f t="shared" si="175"/>
        <v/>
      </c>
      <c r="EA13" s="30" t="str">
        <f t="shared" si="176"/>
        <v/>
      </c>
      <c r="EB13" s="30" t="str">
        <f t="shared" si="177"/>
        <v/>
      </c>
      <c r="EC13" s="30" t="str">
        <f t="shared" si="178"/>
        <v/>
      </c>
      <c r="ED13" s="30" t="str">
        <f t="shared" si="179"/>
        <v/>
      </c>
      <c r="EE13" s="30" t="str">
        <f t="shared" si="180"/>
        <v/>
      </c>
      <c r="EF13" s="30" t="str">
        <f t="shared" si="181"/>
        <v/>
      </c>
      <c r="EG13" s="30" t="str">
        <f t="shared" si="182"/>
        <v/>
      </c>
      <c r="EH13" s="30" t="str">
        <f t="shared" si="183"/>
        <v/>
      </c>
      <c r="EI13" s="30" t="str">
        <f t="shared" si="184"/>
        <v/>
      </c>
      <c r="EJ13" s="30" t="str">
        <f t="shared" si="185"/>
        <v/>
      </c>
      <c r="EK13" s="30" t="str">
        <f t="shared" si="186"/>
        <v/>
      </c>
      <c r="EL13" s="30" t="str">
        <f t="shared" si="187"/>
        <v/>
      </c>
      <c r="EM13" s="30" t="str">
        <f t="shared" si="188"/>
        <v/>
      </c>
      <c r="EN13" s="30" t="str">
        <f t="shared" si="189"/>
        <v/>
      </c>
      <c r="EO13" s="30" t="str">
        <f t="shared" si="190"/>
        <v/>
      </c>
      <c r="EP13" s="30" t="str">
        <f t="shared" si="191"/>
        <v/>
      </c>
      <c r="EQ13" s="30" t="str">
        <f t="shared" si="192"/>
        <v/>
      </c>
      <c r="ER13" s="30" t="str">
        <f t="shared" si="193"/>
        <v/>
      </c>
      <c r="ES13" s="30" t="str">
        <f t="shared" si="194"/>
        <v/>
      </c>
      <c r="ET13" s="30" t="str">
        <f t="shared" si="195"/>
        <v/>
      </c>
      <c r="EU13" s="30" t="str">
        <f t="shared" si="196"/>
        <v/>
      </c>
      <c r="EV13" s="30" t="str">
        <f t="shared" si="197"/>
        <v/>
      </c>
      <c r="EW13" s="30" t="str">
        <f t="shared" si="198"/>
        <v/>
      </c>
      <c r="EX13" s="30" t="str">
        <f t="shared" si="199"/>
        <v/>
      </c>
      <c r="EY13" s="30" t="str">
        <f t="shared" si="200"/>
        <v/>
      </c>
      <c r="EZ13" s="30" t="str">
        <f t="shared" si="201"/>
        <v/>
      </c>
      <c r="FA13" s="30" t="str">
        <f t="shared" si="202"/>
        <v/>
      </c>
      <c r="FB13" s="30" t="str">
        <f t="shared" si="203"/>
        <v/>
      </c>
      <c r="FC13" s="30" t="str">
        <f t="shared" si="204"/>
        <v/>
      </c>
      <c r="FD13" s="30" t="str">
        <f t="shared" si="205"/>
        <v/>
      </c>
      <c r="FE13" s="30" t="str">
        <f t="shared" si="206"/>
        <v/>
      </c>
      <c r="FF13" s="30" t="str">
        <f t="shared" si="207"/>
        <v/>
      </c>
      <c r="FG13" s="30" t="str">
        <f t="shared" si="208"/>
        <v/>
      </c>
      <c r="FH13" s="30" t="str">
        <f t="shared" si="209"/>
        <v/>
      </c>
      <c r="FI13" s="30" t="str">
        <f t="shared" si="210"/>
        <v/>
      </c>
      <c r="FJ13" s="30" t="str">
        <f t="shared" si="211"/>
        <v/>
      </c>
      <c r="FK13" s="30" t="str">
        <f t="shared" si="212"/>
        <v/>
      </c>
      <c r="FL13" s="30" t="str">
        <f t="shared" si="213"/>
        <v/>
      </c>
      <c r="FM13" s="30" t="str">
        <f t="shared" si="214"/>
        <v/>
      </c>
      <c r="FN13" s="30" t="str">
        <f t="shared" si="215"/>
        <v/>
      </c>
      <c r="FO13" s="30" t="str">
        <f t="shared" si="216"/>
        <v/>
      </c>
      <c r="FP13" s="30" t="str">
        <f t="shared" si="217"/>
        <v/>
      </c>
      <c r="FQ13" s="30" t="str">
        <f t="shared" si="218"/>
        <v/>
      </c>
      <c r="FR13" s="30" t="str">
        <f t="shared" si="219"/>
        <v/>
      </c>
      <c r="FS13" s="30" t="str">
        <f t="shared" si="220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8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">
        <v>597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2"/>
        <v>InitUnitState('E012',10728,,,,,,,,35,)</v>
      </c>
      <c r="CO14" s="44" t="str">
        <f t="shared" si="3"/>
        <v>InitUnitNormal('E012',,,,,,,,,6,)</v>
      </c>
      <c r="CP14" s="44" t="str">
        <f t="shared" si="4"/>
        <v>InitUnitMagic('E012',,,,,,,,,,)</v>
      </c>
      <c r="CQ14" s="44" t="str">
        <f t="shared" si="5"/>
        <v>InitUnitAdd('E012',,,,,,,,,,)</v>
      </c>
      <c r="CR14" s="44" t="str">
        <f t="shared" si="6"/>
        <v>InitEquipData('E012',,"",,E013,10000,,'','','','','','',"ReplaceableTextures\\CommandButtons\\BTNZ03.blp")</v>
      </c>
      <c r="CS14" s="44"/>
      <c r="CT14" s="44"/>
      <c r="CU14" s="45" t="str">
        <f t="shared" si="150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1"/>
        <v>|n攻击+10728</v>
      </c>
      <c r="DC14" s="30" t="str">
        <f t="shared" si="152"/>
        <v/>
      </c>
      <c r="DD14" s="30" t="str">
        <f t="shared" si="153"/>
        <v/>
      </c>
      <c r="DE14" s="30" t="str">
        <f t="shared" si="154"/>
        <v/>
      </c>
      <c r="DF14" s="30" t="str">
        <f t="shared" si="155"/>
        <v/>
      </c>
      <c r="DG14" s="30" t="str">
        <f t="shared" si="156"/>
        <v/>
      </c>
      <c r="DH14" s="30" t="str">
        <f t="shared" si="157"/>
        <v/>
      </c>
      <c r="DI14" s="30" t="str">
        <f t="shared" si="158"/>
        <v/>
      </c>
      <c r="DJ14" s="30" t="str">
        <f t="shared" si="159"/>
        <v>|n攻速+35%</v>
      </c>
      <c r="DK14" s="30" t="str">
        <f t="shared" si="160"/>
        <v/>
      </c>
      <c r="DL14" s="30" t="str">
        <f t="shared" si="161"/>
        <v/>
      </c>
      <c r="DM14" s="30" t="str">
        <f t="shared" si="162"/>
        <v/>
      </c>
      <c r="DN14" s="30" t="str">
        <f t="shared" si="163"/>
        <v/>
      </c>
      <c r="DO14" s="30" t="str">
        <f t="shared" si="164"/>
        <v/>
      </c>
      <c r="DP14" s="30" t="str">
        <f t="shared" si="165"/>
        <v/>
      </c>
      <c r="DQ14" s="30" t="str">
        <f t="shared" si="166"/>
        <v/>
      </c>
      <c r="DR14" s="30" t="str">
        <f t="shared" si="167"/>
        <v/>
      </c>
      <c r="DS14" s="30" t="str">
        <f t="shared" si="168"/>
        <v/>
      </c>
      <c r="DT14" s="30" t="str">
        <f t="shared" si="169"/>
        <v>|n暴击+6%</v>
      </c>
      <c r="DU14" s="30" t="str">
        <f t="shared" si="170"/>
        <v/>
      </c>
      <c r="DV14" s="30" t="str">
        <f t="shared" si="171"/>
        <v/>
      </c>
      <c r="DW14" s="30" t="str">
        <f t="shared" si="172"/>
        <v/>
      </c>
      <c r="DX14" s="30" t="str">
        <f t="shared" si="173"/>
        <v/>
      </c>
      <c r="DY14" s="30" t="str">
        <f t="shared" si="174"/>
        <v/>
      </c>
      <c r="DZ14" s="30" t="str">
        <f t="shared" si="175"/>
        <v/>
      </c>
      <c r="EA14" s="30" t="str">
        <f t="shared" si="176"/>
        <v/>
      </c>
      <c r="EB14" s="30" t="str">
        <f t="shared" si="177"/>
        <v/>
      </c>
      <c r="EC14" s="30" t="str">
        <f t="shared" si="178"/>
        <v/>
      </c>
      <c r="ED14" s="30" t="str">
        <f t="shared" si="179"/>
        <v/>
      </c>
      <c r="EE14" s="30" t="str">
        <f t="shared" si="180"/>
        <v/>
      </c>
      <c r="EF14" s="30" t="str">
        <f t="shared" si="181"/>
        <v/>
      </c>
      <c r="EG14" s="30" t="str">
        <f t="shared" si="182"/>
        <v/>
      </c>
      <c r="EH14" s="30" t="str">
        <f t="shared" si="183"/>
        <v/>
      </c>
      <c r="EI14" s="30" t="str">
        <f t="shared" si="184"/>
        <v/>
      </c>
      <c r="EJ14" s="30" t="str">
        <f t="shared" si="185"/>
        <v/>
      </c>
      <c r="EK14" s="30" t="str">
        <f t="shared" si="186"/>
        <v/>
      </c>
      <c r="EL14" s="30" t="str">
        <f t="shared" si="187"/>
        <v/>
      </c>
      <c r="EM14" s="30" t="str">
        <f t="shared" si="188"/>
        <v/>
      </c>
      <c r="EN14" s="30" t="str">
        <f t="shared" si="189"/>
        <v/>
      </c>
      <c r="EO14" s="30" t="str">
        <f t="shared" si="190"/>
        <v/>
      </c>
      <c r="EP14" s="30" t="str">
        <f t="shared" si="191"/>
        <v/>
      </c>
      <c r="EQ14" s="30" t="str">
        <f t="shared" si="192"/>
        <v/>
      </c>
      <c r="ER14" s="30" t="str">
        <f t="shared" si="193"/>
        <v/>
      </c>
      <c r="ES14" s="30" t="str">
        <f t="shared" si="194"/>
        <v/>
      </c>
      <c r="ET14" s="30" t="str">
        <f t="shared" si="195"/>
        <v/>
      </c>
      <c r="EU14" s="30" t="str">
        <f t="shared" si="196"/>
        <v/>
      </c>
      <c r="EV14" s="30" t="str">
        <f t="shared" si="197"/>
        <v/>
      </c>
      <c r="EW14" s="30" t="str">
        <f t="shared" si="198"/>
        <v/>
      </c>
      <c r="EX14" s="30" t="str">
        <f t="shared" si="199"/>
        <v/>
      </c>
      <c r="EY14" s="30" t="str">
        <f t="shared" si="200"/>
        <v/>
      </c>
      <c r="EZ14" s="30" t="str">
        <f t="shared" si="201"/>
        <v/>
      </c>
      <c r="FA14" s="30" t="str">
        <f t="shared" si="202"/>
        <v/>
      </c>
      <c r="FB14" s="30" t="str">
        <f t="shared" si="203"/>
        <v/>
      </c>
      <c r="FC14" s="30" t="str">
        <f t="shared" si="204"/>
        <v/>
      </c>
      <c r="FD14" s="30" t="str">
        <f t="shared" si="205"/>
        <v/>
      </c>
      <c r="FE14" s="30" t="str">
        <f t="shared" si="206"/>
        <v/>
      </c>
      <c r="FF14" s="30" t="str">
        <f t="shared" si="207"/>
        <v/>
      </c>
      <c r="FG14" s="30" t="str">
        <f t="shared" si="208"/>
        <v/>
      </c>
      <c r="FH14" s="30" t="str">
        <f t="shared" si="209"/>
        <v/>
      </c>
      <c r="FI14" s="30" t="str">
        <f t="shared" si="210"/>
        <v/>
      </c>
      <c r="FJ14" s="30" t="str">
        <f t="shared" si="211"/>
        <v/>
      </c>
      <c r="FK14" s="30" t="str">
        <f t="shared" si="212"/>
        <v/>
      </c>
      <c r="FL14" s="30" t="str">
        <f t="shared" si="213"/>
        <v/>
      </c>
      <c r="FM14" s="30" t="str">
        <f t="shared" si="214"/>
        <v/>
      </c>
      <c r="FN14" s="30" t="str">
        <f t="shared" si="215"/>
        <v/>
      </c>
      <c r="FO14" s="30" t="str">
        <f t="shared" si="216"/>
        <v/>
      </c>
      <c r="FP14" s="30" t="str">
        <f t="shared" si="217"/>
        <v/>
      </c>
      <c r="FQ14" s="30" t="str">
        <f t="shared" si="218"/>
        <v/>
      </c>
      <c r="FR14" s="30" t="str">
        <f t="shared" si="219"/>
        <v/>
      </c>
      <c r="FS14" s="30" t="str">
        <f t="shared" si="220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8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">
        <v>597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2"/>
        <v>InitUnitState('E013',12648,,,,,,,,35,)</v>
      </c>
      <c r="CO15" s="44" t="str">
        <f t="shared" si="3"/>
        <v>InitUnitNormal('E013',,,,,,,,,6,)</v>
      </c>
      <c r="CP15" s="44" t="str">
        <f t="shared" si="4"/>
        <v>InitUnitMagic('E013',,,,,,,,,,)</v>
      </c>
      <c r="CQ15" s="44" t="str">
        <f t="shared" si="5"/>
        <v>InitUnitAdd('E013',,,,,,,,,,)</v>
      </c>
      <c r="CR15" s="44" t="str">
        <f t="shared" si="6"/>
        <v>InitEquipData('E013',,"",,E014,10000,,'','','','','','',"ReplaceableTextures\\CommandButtons\\BTNZ03.blp")</v>
      </c>
      <c r="CS15" s="44"/>
      <c r="CT15" s="44"/>
      <c r="CU15" s="45" t="str">
        <f t="shared" si="150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1"/>
        <v>|n攻击+12648</v>
      </c>
      <c r="DC15" s="30" t="str">
        <f t="shared" si="152"/>
        <v/>
      </c>
      <c r="DD15" s="30" t="str">
        <f t="shared" si="153"/>
        <v/>
      </c>
      <c r="DE15" s="30" t="str">
        <f t="shared" si="154"/>
        <v/>
      </c>
      <c r="DF15" s="30" t="str">
        <f t="shared" si="155"/>
        <v/>
      </c>
      <c r="DG15" s="30" t="str">
        <f t="shared" si="156"/>
        <v/>
      </c>
      <c r="DH15" s="30" t="str">
        <f t="shared" si="157"/>
        <v/>
      </c>
      <c r="DI15" s="30" t="str">
        <f t="shared" si="158"/>
        <v/>
      </c>
      <c r="DJ15" s="30" t="str">
        <f t="shared" si="159"/>
        <v>|n攻速+35%</v>
      </c>
      <c r="DK15" s="30" t="str">
        <f t="shared" si="160"/>
        <v/>
      </c>
      <c r="DL15" s="30" t="str">
        <f t="shared" si="161"/>
        <v/>
      </c>
      <c r="DM15" s="30" t="str">
        <f t="shared" si="162"/>
        <v/>
      </c>
      <c r="DN15" s="30" t="str">
        <f t="shared" si="163"/>
        <v/>
      </c>
      <c r="DO15" s="30" t="str">
        <f t="shared" si="164"/>
        <v/>
      </c>
      <c r="DP15" s="30" t="str">
        <f t="shared" si="165"/>
        <v/>
      </c>
      <c r="DQ15" s="30" t="str">
        <f t="shared" si="166"/>
        <v/>
      </c>
      <c r="DR15" s="30" t="str">
        <f t="shared" si="167"/>
        <v/>
      </c>
      <c r="DS15" s="30" t="str">
        <f t="shared" si="168"/>
        <v/>
      </c>
      <c r="DT15" s="30" t="str">
        <f t="shared" si="169"/>
        <v>|n暴击+6%</v>
      </c>
      <c r="DU15" s="30" t="str">
        <f t="shared" si="170"/>
        <v/>
      </c>
      <c r="DV15" s="30" t="str">
        <f t="shared" si="171"/>
        <v/>
      </c>
      <c r="DW15" s="30" t="str">
        <f t="shared" si="172"/>
        <v/>
      </c>
      <c r="DX15" s="30" t="str">
        <f t="shared" si="173"/>
        <v/>
      </c>
      <c r="DY15" s="30" t="str">
        <f t="shared" si="174"/>
        <v/>
      </c>
      <c r="DZ15" s="30" t="str">
        <f t="shared" si="175"/>
        <v/>
      </c>
      <c r="EA15" s="30" t="str">
        <f t="shared" si="176"/>
        <v/>
      </c>
      <c r="EB15" s="30" t="str">
        <f t="shared" si="177"/>
        <v/>
      </c>
      <c r="EC15" s="30" t="str">
        <f t="shared" si="178"/>
        <v/>
      </c>
      <c r="ED15" s="30" t="str">
        <f t="shared" si="179"/>
        <v/>
      </c>
      <c r="EE15" s="30" t="str">
        <f t="shared" si="180"/>
        <v/>
      </c>
      <c r="EF15" s="30" t="str">
        <f t="shared" si="181"/>
        <v/>
      </c>
      <c r="EG15" s="30" t="str">
        <f t="shared" si="182"/>
        <v/>
      </c>
      <c r="EH15" s="30" t="str">
        <f t="shared" si="183"/>
        <v/>
      </c>
      <c r="EI15" s="30" t="str">
        <f t="shared" si="184"/>
        <v/>
      </c>
      <c r="EJ15" s="30" t="str">
        <f t="shared" si="185"/>
        <v/>
      </c>
      <c r="EK15" s="30" t="str">
        <f t="shared" si="186"/>
        <v/>
      </c>
      <c r="EL15" s="30" t="str">
        <f t="shared" si="187"/>
        <v/>
      </c>
      <c r="EM15" s="30" t="str">
        <f t="shared" si="188"/>
        <v/>
      </c>
      <c r="EN15" s="30" t="str">
        <f t="shared" si="189"/>
        <v/>
      </c>
      <c r="EO15" s="30" t="str">
        <f t="shared" si="190"/>
        <v/>
      </c>
      <c r="EP15" s="30" t="str">
        <f t="shared" si="191"/>
        <v/>
      </c>
      <c r="EQ15" s="30" t="str">
        <f t="shared" si="192"/>
        <v/>
      </c>
      <c r="ER15" s="30" t="str">
        <f t="shared" si="193"/>
        <v/>
      </c>
      <c r="ES15" s="30" t="str">
        <f t="shared" si="194"/>
        <v/>
      </c>
      <c r="ET15" s="30" t="str">
        <f t="shared" si="195"/>
        <v/>
      </c>
      <c r="EU15" s="30" t="str">
        <f t="shared" si="196"/>
        <v/>
      </c>
      <c r="EV15" s="30" t="str">
        <f t="shared" si="197"/>
        <v/>
      </c>
      <c r="EW15" s="30" t="str">
        <f t="shared" si="198"/>
        <v/>
      </c>
      <c r="EX15" s="30" t="str">
        <f t="shared" si="199"/>
        <v/>
      </c>
      <c r="EY15" s="30" t="str">
        <f t="shared" si="200"/>
        <v/>
      </c>
      <c r="EZ15" s="30" t="str">
        <f t="shared" si="201"/>
        <v/>
      </c>
      <c r="FA15" s="30" t="str">
        <f t="shared" si="202"/>
        <v/>
      </c>
      <c r="FB15" s="30" t="str">
        <f t="shared" si="203"/>
        <v/>
      </c>
      <c r="FC15" s="30" t="str">
        <f t="shared" si="204"/>
        <v/>
      </c>
      <c r="FD15" s="30" t="str">
        <f t="shared" si="205"/>
        <v/>
      </c>
      <c r="FE15" s="30" t="str">
        <f t="shared" si="206"/>
        <v/>
      </c>
      <c r="FF15" s="30" t="str">
        <f t="shared" si="207"/>
        <v/>
      </c>
      <c r="FG15" s="30" t="str">
        <f t="shared" si="208"/>
        <v/>
      </c>
      <c r="FH15" s="30" t="str">
        <f t="shared" si="209"/>
        <v/>
      </c>
      <c r="FI15" s="30" t="str">
        <f t="shared" si="210"/>
        <v/>
      </c>
      <c r="FJ15" s="30" t="str">
        <f t="shared" si="211"/>
        <v/>
      </c>
      <c r="FK15" s="30" t="str">
        <f t="shared" si="212"/>
        <v/>
      </c>
      <c r="FL15" s="30" t="str">
        <f t="shared" si="213"/>
        <v/>
      </c>
      <c r="FM15" s="30" t="str">
        <f t="shared" si="214"/>
        <v/>
      </c>
      <c r="FN15" s="30" t="str">
        <f t="shared" si="215"/>
        <v/>
      </c>
      <c r="FO15" s="30" t="str">
        <f t="shared" si="216"/>
        <v/>
      </c>
      <c r="FP15" s="30" t="str">
        <f t="shared" si="217"/>
        <v/>
      </c>
      <c r="FQ15" s="30" t="str">
        <f t="shared" si="218"/>
        <v/>
      </c>
      <c r="FR15" s="30" t="str">
        <f t="shared" si="219"/>
        <v/>
      </c>
      <c r="FS15" s="30" t="str">
        <f t="shared" si="220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8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">
        <v>597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2"/>
        <v>InitUnitState('E014',14568,,,,,,,,35,)</v>
      </c>
      <c r="CO16" s="44" t="str">
        <f t="shared" si="3"/>
        <v>InitUnitNormal('E014',,,,,,,,,6,)</v>
      </c>
      <c r="CP16" s="44" t="str">
        <f t="shared" si="4"/>
        <v>InitUnitMagic('E014',,,,,,,,,,)</v>
      </c>
      <c r="CQ16" s="44" t="str">
        <f t="shared" si="5"/>
        <v>InitUnitAdd('E014',,,,,,,,,,)</v>
      </c>
      <c r="CR16" s="44" t="str">
        <f t="shared" si="6"/>
        <v>InitEquipData('E014',,"",,E015,10000,,'','','','','','',"ReplaceableTextures\\CommandButtons\\BTNZ03.blp")</v>
      </c>
      <c r="CS16" s="44"/>
      <c r="CT16" s="44"/>
      <c r="CU16" s="45" t="str">
        <f t="shared" si="150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1"/>
        <v>|n攻击+14568</v>
      </c>
      <c r="DC16" s="30" t="str">
        <f t="shared" si="152"/>
        <v/>
      </c>
      <c r="DD16" s="30" t="str">
        <f t="shared" si="153"/>
        <v/>
      </c>
      <c r="DE16" s="30" t="str">
        <f t="shared" si="154"/>
        <v/>
      </c>
      <c r="DF16" s="30" t="str">
        <f t="shared" si="155"/>
        <v/>
      </c>
      <c r="DG16" s="30" t="str">
        <f t="shared" si="156"/>
        <v/>
      </c>
      <c r="DH16" s="30" t="str">
        <f t="shared" si="157"/>
        <v/>
      </c>
      <c r="DI16" s="30" t="str">
        <f t="shared" si="158"/>
        <v/>
      </c>
      <c r="DJ16" s="30" t="str">
        <f t="shared" si="159"/>
        <v>|n攻速+35%</v>
      </c>
      <c r="DK16" s="30" t="str">
        <f t="shared" si="160"/>
        <v/>
      </c>
      <c r="DL16" s="30" t="str">
        <f t="shared" si="161"/>
        <v/>
      </c>
      <c r="DM16" s="30" t="str">
        <f t="shared" si="162"/>
        <v/>
      </c>
      <c r="DN16" s="30" t="str">
        <f t="shared" si="163"/>
        <v/>
      </c>
      <c r="DO16" s="30" t="str">
        <f t="shared" si="164"/>
        <v/>
      </c>
      <c r="DP16" s="30" t="str">
        <f t="shared" si="165"/>
        <v/>
      </c>
      <c r="DQ16" s="30" t="str">
        <f t="shared" si="166"/>
        <v/>
      </c>
      <c r="DR16" s="30" t="str">
        <f t="shared" si="167"/>
        <v/>
      </c>
      <c r="DS16" s="30" t="str">
        <f t="shared" si="168"/>
        <v/>
      </c>
      <c r="DT16" s="30" t="str">
        <f t="shared" si="169"/>
        <v>|n暴击+6%</v>
      </c>
      <c r="DU16" s="30" t="str">
        <f t="shared" si="170"/>
        <v/>
      </c>
      <c r="DV16" s="30" t="str">
        <f t="shared" si="171"/>
        <v/>
      </c>
      <c r="DW16" s="30" t="str">
        <f t="shared" si="172"/>
        <v/>
      </c>
      <c r="DX16" s="30" t="str">
        <f t="shared" si="173"/>
        <v/>
      </c>
      <c r="DY16" s="30" t="str">
        <f t="shared" si="174"/>
        <v/>
      </c>
      <c r="DZ16" s="30" t="str">
        <f t="shared" si="175"/>
        <v/>
      </c>
      <c r="EA16" s="30" t="str">
        <f t="shared" si="176"/>
        <v/>
      </c>
      <c r="EB16" s="30" t="str">
        <f t="shared" si="177"/>
        <v/>
      </c>
      <c r="EC16" s="30" t="str">
        <f t="shared" si="178"/>
        <v/>
      </c>
      <c r="ED16" s="30" t="str">
        <f t="shared" si="179"/>
        <v/>
      </c>
      <c r="EE16" s="30" t="str">
        <f t="shared" si="180"/>
        <v/>
      </c>
      <c r="EF16" s="30" t="str">
        <f t="shared" si="181"/>
        <v/>
      </c>
      <c r="EG16" s="30" t="str">
        <f t="shared" si="182"/>
        <v/>
      </c>
      <c r="EH16" s="30" t="str">
        <f t="shared" si="183"/>
        <v/>
      </c>
      <c r="EI16" s="30" t="str">
        <f t="shared" si="184"/>
        <v/>
      </c>
      <c r="EJ16" s="30" t="str">
        <f t="shared" si="185"/>
        <v/>
      </c>
      <c r="EK16" s="30" t="str">
        <f t="shared" si="186"/>
        <v/>
      </c>
      <c r="EL16" s="30" t="str">
        <f t="shared" si="187"/>
        <v/>
      </c>
      <c r="EM16" s="30" t="str">
        <f t="shared" si="188"/>
        <v/>
      </c>
      <c r="EN16" s="30" t="str">
        <f t="shared" si="189"/>
        <v/>
      </c>
      <c r="EO16" s="30" t="str">
        <f t="shared" si="190"/>
        <v/>
      </c>
      <c r="EP16" s="30" t="str">
        <f t="shared" si="191"/>
        <v/>
      </c>
      <c r="EQ16" s="30" t="str">
        <f t="shared" si="192"/>
        <v/>
      </c>
      <c r="ER16" s="30" t="str">
        <f t="shared" si="193"/>
        <v/>
      </c>
      <c r="ES16" s="30" t="str">
        <f t="shared" si="194"/>
        <v/>
      </c>
      <c r="ET16" s="30" t="str">
        <f t="shared" si="195"/>
        <v/>
      </c>
      <c r="EU16" s="30" t="str">
        <f t="shared" si="196"/>
        <v/>
      </c>
      <c r="EV16" s="30" t="str">
        <f t="shared" si="197"/>
        <v/>
      </c>
      <c r="EW16" s="30" t="str">
        <f t="shared" si="198"/>
        <v/>
      </c>
      <c r="EX16" s="30" t="str">
        <f t="shared" si="199"/>
        <v/>
      </c>
      <c r="EY16" s="30" t="str">
        <f t="shared" si="200"/>
        <v/>
      </c>
      <c r="EZ16" s="30" t="str">
        <f t="shared" si="201"/>
        <v/>
      </c>
      <c r="FA16" s="30" t="str">
        <f t="shared" si="202"/>
        <v/>
      </c>
      <c r="FB16" s="30" t="str">
        <f t="shared" si="203"/>
        <v/>
      </c>
      <c r="FC16" s="30" t="str">
        <f t="shared" si="204"/>
        <v/>
      </c>
      <c r="FD16" s="30" t="str">
        <f t="shared" si="205"/>
        <v/>
      </c>
      <c r="FE16" s="30" t="str">
        <f t="shared" si="206"/>
        <v/>
      </c>
      <c r="FF16" s="30" t="str">
        <f t="shared" si="207"/>
        <v/>
      </c>
      <c r="FG16" s="30" t="str">
        <f t="shared" si="208"/>
        <v/>
      </c>
      <c r="FH16" s="30" t="str">
        <f t="shared" si="209"/>
        <v/>
      </c>
      <c r="FI16" s="30" t="str">
        <f t="shared" si="210"/>
        <v/>
      </c>
      <c r="FJ16" s="30" t="str">
        <f t="shared" si="211"/>
        <v/>
      </c>
      <c r="FK16" s="30" t="str">
        <f t="shared" si="212"/>
        <v/>
      </c>
      <c r="FL16" s="30" t="str">
        <f t="shared" si="213"/>
        <v/>
      </c>
      <c r="FM16" s="30" t="str">
        <f t="shared" si="214"/>
        <v/>
      </c>
      <c r="FN16" s="30" t="str">
        <f t="shared" si="215"/>
        <v/>
      </c>
      <c r="FO16" s="30" t="str">
        <f t="shared" si="216"/>
        <v/>
      </c>
      <c r="FP16" s="30" t="str">
        <f t="shared" si="217"/>
        <v/>
      </c>
      <c r="FQ16" s="30" t="str">
        <f t="shared" si="218"/>
        <v/>
      </c>
      <c r="FR16" s="30" t="str">
        <f t="shared" si="219"/>
        <v/>
      </c>
      <c r="FS16" s="30" t="str">
        <f t="shared" si="220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8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">
        <v>597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2"/>
        <v>InitUnitState('E015',16488,,,,,,,,35,)</v>
      </c>
      <c r="CO17" s="44" t="str">
        <f t="shared" si="3"/>
        <v>InitUnitNormal('E015',,,,,,,,,6,)</v>
      </c>
      <c r="CP17" s="44" t="str">
        <f t="shared" si="4"/>
        <v>InitUnitMagic('E015',,,,,,,,,,)</v>
      </c>
      <c r="CQ17" s="44" t="str">
        <f t="shared" si="5"/>
        <v>InitUnitAdd('E015',,,,,,,,,,)</v>
      </c>
      <c r="CR17" s="44" t="str">
        <f t="shared" si="6"/>
        <v>InitEquipData('E015',,"",,E016,50000,,'','','','','','',"ReplaceableTextures\\CommandButtons\\BTNZ04.blp")</v>
      </c>
      <c r="CS17" s="44"/>
      <c r="CT17" s="44"/>
      <c r="CU17" s="45" t="str">
        <f t="shared" si="150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1"/>
        <v>|n攻击+16488</v>
      </c>
      <c r="DC17" s="30" t="str">
        <f t="shared" si="152"/>
        <v/>
      </c>
      <c r="DD17" s="30" t="str">
        <f t="shared" si="153"/>
        <v/>
      </c>
      <c r="DE17" s="30" t="str">
        <f t="shared" si="154"/>
        <v/>
      </c>
      <c r="DF17" s="30" t="str">
        <f t="shared" si="155"/>
        <v/>
      </c>
      <c r="DG17" s="30" t="str">
        <f t="shared" si="156"/>
        <v/>
      </c>
      <c r="DH17" s="30" t="str">
        <f t="shared" si="157"/>
        <v/>
      </c>
      <c r="DI17" s="30" t="str">
        <f t="shared" si="158"/>
        <v/>
      </c>
      <c r="DJ17" s="30" t="str">
        <f t="shared" si="159"/>
        <v>|n攻速+35%</v>
      </c>
      <c r="DK17" s="30" t="str">
        <f t="shared" si="160"/>
        <v/>
      </c>
      <c r="DL17" s="30" t="str">
        <f t="shared" si="161"/>
        <v/>
      </c>
      <c r="DM17" s="30" t="str">
        <f t="shared" si="162"/>
        <v/>
      </c>
      <c r="DN17" s="30" t="str">
        <f t="shared" si="163"/>
        <v/>
      </c>
      <c r="DO17" s="30" t="str">
        <f t="shared" si="164"/>
        <v/>
      </c>
      <c r="DP17" s="30" t="str">
        <f t="shared" si="165"/>
        <v/>
      </c>
      <c r="DQ17" s="30" t="str">
        <f t="shared" si="166"/>
        <v/>
      </c>
      <c r="DR17" s="30" t="str">
        <f t="shared" si="167"/>
        <v/>
      </c>
      <c r="DS17" s="30" t="str">
        <f t="shared" si="168"/>
        <v/>
      </c>
      <c r="DT17" s="30" t="str">
        <f t="shared" si="169"/>
        <v>|n暴击+6%</v>
      </c>
      <c r="DU17" s="30" t="str">
        <f t="shared" si="170"/>
        <v/>
      </c>
      <c r="DV17" s="30" t="str">
        <f t="shared" si="171"/>
        <v/>
      </c>
      <c r="DW17" s="30" t="str">
        <f t="shared" si="172"/>
        <v/>
      </c>
      <c r="DX17" s="30" t="str">
        <f t="shared" si="173"/>
        <v/>
      </c>
      <c r="DY17" s="30" t="str">
        <f t="shared" si="174"/>
        <v/>
      </c>
      <c r="DZ17" s="30" t="str">
        <f t="shared" si="175"/>
        <v/>
      </c>
      <c r="EA17" s="30" t="str">
        <f t="shared" si="176"/>
        <v/>
      </c>
      <c r="EB17" s="30" t="str">
        <f t="shared" si="177"/>
        <v/>
      </c>
      <c r="EC17" s="30" t="str">
        <f t="shared" si="178"/>
        <v/>
      </c>
      <c r="ED17" s="30" t="str">
        <f t="shared" si="179"/>
        <v/>
      </c>
      <c r="EE17" s="30" t="str">
        <f t="shared" si="180"/>
        <v/>
      </c>
      <c r="EF17" s="30" t="str">
        <f t="shared" si="181"/>
        <v/>
      </c>
      <c r="EG17" s="30" t="str">
        <f t="shared" si="182"/>
        <v/>
      </c>
      <c r="EH17" s="30" t="str">
        <f t="shared" si="183"/>
        <v/>
      </c>
      <c r="EI17" s="30" t="str">
        <f t="shared" si="184"/>
        <v/>
      </c>
      <c r="EJ17" s="30" t="str">
        <f t="shared" si="185"/>
        <v/>
      </c>
      <c r="EK17" s="30" t="str">
        <f t="shared" si="186"/>
        <v/>
      </c>
      <c r="EL17" s="30" t="str">
        <f t="shared" si="187"/>
        <v/>
      </c>
      <c r="EM17" s="30" t="str">
        <f t="shared" si="188"/>
        <v/>
      </c>
      <c r="EN17" s="30" t="str">
        <f t="shared" si="189"/>
        <v/>
      </c>
      <c r="EO17" s="30" t="str">
        <f t="shared" si="190"/>
        <v/>
      </c>
      <c r="EP17" s="30" t="str">
        <f t="shared" si="191"/>
        <v/>
      </c>
      <c r="EQ17" s="30" t="str">
        <f t="shared" si="192"/>
        <v/>
      </c>
      <c r="ER17" s="30" t="str">
        <f t="shared" si="193"/>
        <v/>
      </c>
      <c r="ES17" s="30" t="str">
        <f t="shared" si="194"/>
        <v/>
      </c>
      <c r="ET17" s="30" t="str">
        <f t="shared" si="195"/>
        <v/>
      </c>
      <c r="EU17" s="30" t="str">
        <f t="shared" si="196"/>
        <v/>
      </c>
      <c r="EV17" s="30" t="str">
        <f t="shared" si="197"/>
        <v/>
      </c>
      <c r="EW17" s="30" t="str">
        <f t="shared" si="198"/>
        <v/>
      </c>
      <c r="EX17" s="30" t="str">
        <f t="shared" si="199"/>
        <v/>
      </c>
      <c r="EY17" s="30" t="str">
        <f t="shared" si="200"/>
        <v/>
      </c>
      <c r="EZ17" s="30" t="str">
        <f t="shared" si="201"/>
        <v/>
      </c>
      <c r="FA17" s="30" t="str">
        <f t="shared" si="202"/>
        <v/>
      </c>
      <c r="FB17" s="30" t="str">
        <f t="shared" si="203"/>
        <v/>
      </c>
      <c r="FC17" s="30" t="str">
        <f t="shared" si="204"/>
        <v/>
      </c>
      <c r="FD17" s="30" t="str">
        <f t="shared" si="205"/>
        <v/>
      </c>
      <c r="FE17" s="30" t="str">
        <f t="shared" si="206"/>
        <v/>
      </c>
      <c r="FF17" s="30" t="str">
        <f t="shared" si="207"/>
        <v/>
      </c>
      <c r="FG17" s="30" t="str">
        <f t="shared" si="208"/>
        <v/>
      </c>
      <c r="FH17" s="30" t="str">
        <f t="shared" si="209"/>
        <v/>
      </c>
      <c r="FI17" s="30" t="str">
        <f t="shared" si="210"/>
        <v/>
      </c>
      <c r="FJ17" s="30" t="str">
        <f t="shared" si="211"/>
        <v/>
      </c>
      <c r="FK17" s="30" t="str">
        <f t="shared" si="212"/>
        <v/>
      </c>
      <c r="FL17" s="30" t="str">
        <f t="shared" si="213"/>
        <v/>
      </c>
      <c r="FM17" s="30" t="str">
        <f t="shared" si="214"/>
        <v/>
      </c>
      <c r="FN17" s="30" t="str">
        <f t="shared" si="215"/>
        <v/>
      </c>
      <c r="FO17" s="30" t="str">
        <f t="shared" si="216"/>
        <v/>
      </c>
      <c r="FP17" s="30" t="str">
        <f t="shared" si="217"/>
        <v/>
      </c>
      <c r="FQ17" s="30" t="str">
        <f t="shared" si="218"/>
        <v/>
      </c>
      <c r="FR17" s="30" t="str">
        <f t="shared" si="219"/>
        <v/>
      </c>
      <c r="FS17" s="30" t="str">
        <f t="shared" si="220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8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">
        <v>598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2"/>
        <v>InitUnitState('E016',21288,,,,,,,,44,)</v>
      </c>
      <c r="CO18" s="44" t="str">
        <f t="shared" si="3"/>
        <v>InitUnitNormal('E016',,,,,,,,,9,)</v>
      </c>
      <c r="CP18" s="44" t="str">
        <f t="shared" si="4"/>
        <v>InitUnitMagic('E016',,,,,,,,,,)</v>
      </c>
      <c r="CQ18" s="44" t="str">
        <f t="shared" si="5"/>
        <v>InitUnitAdd('E016',,,,,,,,,,)</v>
      </c>
      <c r="CR18" s="44" t="str">
        <f t="shared" si="6"/>
        <v>InitEquipData('E016',,"",,E017,35000,,'','','','','','',"ReplaceableTextures\\CommandButtons\\BTNZ04.blp")</v>
      </c>
      <c r="CS18" s="44"/>
      <c r="CT18" s="44"/>
      <c r="CU18" s="45" t="str">
        <f t="shared" si="150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1"/>
        <v>|n攻击+21288</v>
      </c>
      <c r="DC18" s="30" t="str">
        <f t="shared" si="152"/>
        <v/>
      </c>
      <c r="DD18" s="30" t="str">
        <f t="shared" si="153"/>
        <v/>
      </c>
      <c r="DE18" s="30" t="str">
        <f t="shared" si="154"/>
        <v/>
      </c>
      <c r="DF18" s="30" t="str">
        <f t="shared" si="155"/>
        <v/>
      </c>
      <c r="DG18" s="30" t="str">
        <f t="shared" si="156"/>
        <v/>
      </c>
      <c r="DH18" s="30" t="str">
        <f t="shared" si="157"/>
        <v/>
      </c>
      <c r="DI18" s="30" t="str">
        <f t="shared" si="158"/>
        <v/>
      </c>
      <c r="DJ18" s="30" t="str">
        <f t="shared" si="159"/>
        <v>|n攻速+44%</v>
      </c>
      <c r="DK18" s="30" t="str">
        <f t="shared" si="160"/>
        <v/>
      </c>
      <c r="DL18" s="30" t="str">
        <f t="shared" si="161"/>
        <v/>
      </c>
      <c r="DM18" s="30" t="str">
        <f t="shared" si="162"/>
        <v/>
      </c>
      <c r="DN18" s="30" t="str">
        <f t="shared" si="163"/>
        <v/>
      </c>
      <c r="DO18" s="30" t="str">
        <f t="shared" si="164"/>
        <v/>
      </c>
      <c r="DP18" s="30" t="str">
        <f t="shared" si="165"/>
        <v/>
      </c>
      <c r="DQ18" s="30" t="str">
        <f t="shared" si="166"/>
        <v/>
      </c>
      <c r="DR18" s="30" t="str">
        <f t="shared" si="167"/>
        <v/>
      </c>
      <c r="DS18" s="30" t="str">
        <f t="shared" si="168"/>
        <v/>
      </c>
      <c r="DT18" s="30" t="str">
        <f t="shared" si="169"/>
        <v>|n暴击+9%</v>
      </c>
      <c r="DU18" s="30" t="str">
        <f t="shared" si="170"/>
        <v/>
      </c>
      <c r="DV18" s="30" t="str">
        <f t="shared" si="171"/>
        <v/>
      </c>
      <c r="DW18" s="30" t="str">
        <f t="shared" si="172"/>
        <v/>
      </c>
      <c r="DX18" s="30" t="str">
        <f t="shared" si="173"/>
        <v/>
      </c>
      <c r="DY18" s="30" t="str">
        <f t="shared" si="174"/>
        <v/>
      </c>
      <c r="DZ18" s="30" t="str">
        <f t="shared" si="175"/>
        <v/>
      </c>
      <c r="EA18" s="30" t="str">
        <f t="shared" si="176"/>
        <v/>
      </c>
      <c r="EB18" s="30" t="str">
        <f t="shared" si="177"/>
        <v/>
      </c>
      <c r="EC18" s="30" t="str">
        <f t="shared" si="178"/>
        <v/>
      </c>
      <c r="ED18" s="30" t="str">
        <f t="shared" si="179"/>
        <v/>
      </c>
      <c r="EE18" s="30" t="str">
        <f t="shared" si="180"/>
        <v/>
      </c>
      <c r="EF18" s="30" t="str">
        <f t="shared" si="181"/>
        <v/>
      </c>
      <c r="EG18" s="30" t="str">
        <f t="shared" si="182"/>
        <v/>
      </c>
      <c r="EH18" s="30" t="str">
        <f t="shared" si="183"/>
        <v/>
      </c>
      <c r="EI18" s="30" t="str">
        <f t="shared" si="184"/>
        <v/>
      </c>
      <c r="EJ18" s="30" t="str">
        <f t="shared" si="185"/>
        <v/>
      </c>
      <c r="EK18" s="30" t="str">
        <f t="shared" si="186"/>
        <v/>
      </c>
      <c r="EL18" s="30" t="str">
        <f t="shared" si="187"/>
        <v/>
      </c>
      <c r="EM18" s="30" t="str">
        <f t="shared" si="188"/>
        <v/>
      </c>
      <c r="EN18" s="30" t="str">
        <f t="shared" si="189"/>
        <v/>
      </c>
      <c r="EO18" s="30" t="str">
        <f t="shared" si="190"/>
        <v/>
      </c>
      <c r="EP18" s="30" t="str">
        <f t="shared" si="191"/>
        <v/>
      </c>
      <c r="EQ18" s="30" t="str">
        <f t="shared" si="192"/>
        <v/>
      </c>
      <c r="ER18" s="30" t="str">
        <f t="shared" si="193"/>
        <v/>
      </c>
      <c r="ES18" s="30" t="str">
        <f t="shared" si="194"/>
        <v/>
      </c>
      <c r="ET18" s="30" t="str">
        <f t="shared" si="195"/>
        <v/>
      </c>
      <c r="EU18" s="30" t="str">
        <f t="shared" si="196"/>
        <v/>
      </c>
      <c r="EV18" s="30" t="str">
        <f t="shared" si="197"/>
        <v/>
      </c>
      <c r="EW18" s="30" t="str">
        <f t="shared" si="198"/>
        <v/>
      </c>
      <c r="EX18" s="30" t="str">
        <f t="shared" si="199"/>
        <v/>
      </c>
      <c r="EY18" s="30" t="str">
        <f t="shared" si="200"/>
        <v/>
      </c>
      <c r="EZ18" s="30" t="str">
        <f t="shared" si="201"/>
        <v/>
      </c>
      <c r="FA18" s="30" t="str">
        <f t="shared" si="202"/>
        <v/>
      </c>
      <c r="FB18" s="30" t="str">
        <f t="shared" si="203"/>
        <v/>
      </c>
      <c r="FC18" s="30" t="str">
        <f t="shared" si="204"/>
        <v/>
      </c>
      <c r="FD18" s="30" t="str">
        <f t="shared" si="205"/>
        <v/>
      </c>
      <c r="FE18" s="30" t="str">
        <f t="shared" si="206"/>
        <v/>
      </c>
      <c r="FF18" s="30" t="str">
        <f t="shared" si="207"/>
        <v/>
      </c>
      <c r="FG18" s="30" t="str">
        <f t="shared" si="208"/>
        <v/>
      </c>
      <c r="FH18" s="30" t="str">
        <f t="shared" si="209"/>
        <v/>
      </c>
      <c r="FI18" s="30" t="str">
        <f t="shared" si="210"/>
        <v/>
      </c>
      <c r="FJ18" s="30" t="str">
        <f t="shared" si="211"/>
        <v/>
      </c>
      <c r="FK18" s="30" t="str">
        <f t="shared" si="212"/>
        <v/>
      </c>
      <c r="FL18" s="30" t="str">
        <f t="shared" si="213"/>
        <v/>
      </c>
      <c r="FM18" s="30" t="str">
        <f t="shared" si="214"/>
        <v/>
      </c>
      <c r="FN18" s="30" t="str">
        <f t="shared" si="215"/>
        <v/>
      </c>
      <c r="FO18" s="30" t="str">
        <f t="shared" si="216"/>
        <v/>
      </c>
      <c r="FP18" s="30" t="str">
        <f t="shared" si="217"/>
        <v/>
      </c>
      <c r="FQ18" s="30" t="str">
        <f t="shared" si="218"/>
        <v/>
      </c>
      <c r="FR18" s="30" t="str">
        <f t="shared" si="219"/>
        <v/>
      </c>
      <c r="FS18" s="30" t="str">
        <f t="shared" si="220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8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">
        <v>598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2"/>
        <v>InitUnitState('E017',26088,,,,,,,,44,)</v>
      </c>
      <c r="CO19" s="44" t="str">
        <f t="shared" si="3"/>
        <v>InitUnitNormal('E017',,,,,,,,,9,)</v>
      </c>
      <c r="CP19" s="44" t="str">
        <f t="shared" si="4"/>
        <v>InitUnitMagic('E017',,,,,,,,,,)</v>
      </c>
      <c r="CQ19" s="44" t="str">
        <f t="shared" si="5"/>
        <v>InitUnitAdd('E017',,,,,,,,,,)</v>
      </c>
      <c r="CR19" s="44" t="str">
        <f t="shared" si="6"/>
        <v>InitEquipData('E017',,"",,E018,35000,,'','','','','','',"ReplaceableTextures\\CommandButtons\\BTNZ04.blp")</v>
      </c>
      <c r="CS19" s="44"/>
      <c r="CT19" s="44"/>
      <c r="CU19" s="45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2">IF(V19="","","|n"&amp;DB$2&amp;"+"&amp;V19&amp;DB$1)</f>
        <v>|n攻击+26088</v>
      </c>
      <c r="DC19" s="30" t="str">
        <f t="shared" ref="DC19:DC35" si="223">IF(W19="","","|n"&amp;DC$2&amp;"+"&amp;W19&amp;DC$1)</f>
        <v/>
      </c>
      <c r="DD19" s="30" t="str">
        <f t="shared" ref="DD19:DD35" si="224">IF(X19="","","|n"&amp;DD$2&amp;"+"&amp;X19&amp;DD$1)</f>
        <v/>
      </c>
      <c r="DE19" s="30" t="str">
        <f t="shared" ref="DE19:DE35" si="225">IF(Y19="","","|n"&amp;DE$2&amp;"+"&amp;Y19&amp;DE$1)</f>
        <v/>
      </c>
      <c r="DF19" s="30" t="str">
        <f t="shared" ref="DF19:DF35" si="226">IF(Z19="","","|n"&amp;DF$2&amp;"+"&amp;Z19&amp;DF$1)</f>
        <v/>
      </c>
      <c r="DG19" s="30" t="str">
        <f t="shared" ref="DG19:DG35" si="227">IF(AA19="","","|n"&amp;DG$2&amp;"+"&amp;AA19&amp;DG$1)</f>
        <v/>
      </c>
      <c r="DH19" s="30" t="str">
        <f t="shared" ref="DH19:DH35" si="228">IF(AB19="","","|n"&amp;DH$2&amp;"+"&amp;AB19&amp;DH$1)</f>
        <v/>
      </c>
      <c r="DI19" s="30" t="str">
        <f t="shared" ref="DI19:DI35" si="229">IF(AC19="","","|n"&amp;DI$2&amp;"+"&amp;AC19&amp;DI$1)</f>
        <v/>
      </c>
      <c r="DJ19" s="30" t="str">
        <f t="shared" ref="DJ19:DJ35" si="230">IF(AD19="","","|n"&amp;DJ$2&amp;"+"&amp;AD19&amp;DJ$1)</f>
        <v>|n攻速+44%</v>
      </c>
      <c r="DK19" s="30" t="str">
        <f t="shared" ref="DK19:DK35" si="231">IF(AE19="","","|n"&amp;DK$2&amp;"+"&amp;AE19&amp;DK$1)</f>
        <v/>
      </c>
      <c r="DL19" s="30" t="str">
        <f t="shared" ref="DL19:DL35" si="232">IF(AF19="","","|n"&amp;DL$2&amp;"+"&amp;AF19&amp;DL$1)</f>
        <v/>
      </c>
      <c r="DM19" s="30" t="str">
        <f t="shared" ref="DM19:DM35" si="233">IF(AG19="","","|n"&amp;DM$2&amp;"+"&amp;AG19&amp;DM$1)</f>
        <v/>
      </c>
      <c r="DN19" s="30" t="str">
        <f t="shared" ref="DN19:DN35" si="234">IF(AH19="","","|n"&amp;DN$2&amp;"+"&amp;AH19&amp;DN$1)</f>
        <v/>
      </c>
      <c r="DO19" s="30" t="str">
        <f t="shared" ref="DO19:DO35" si="235">IF(AI19="","","|n"&amp;DO$2&amp;"+"&amp;AI19&amp;DO$1)</f>
        <v/>
      </c>
      <c r="DP19" s="30" t="str">
        <f t="shared" ref="DP19:DP35" si="236">IF(AJ19="","","|n"&amp;DP$2&amp;"+"&amp;AJ19&amp;DP$1)</f>
        <v/>
      </c>
      <c r="DQ19" s="30" t="str">
        <f t="shared" ref="DQ19:DQ35" si="237">IF(AK19="","","|n"&amp;DQ$2&amp;"+"&amp;AK19&amp;DQ$1)</f>
        <v/>
      </c>
      <c r="DR19" s="30" t="str">
        <f t="shared" ref="DR19:DR35" si="238">IF(AL19="","","|n"&amp;DR$2&amp;"+"&amp;AL19&amp;DR$1)</f>
        <v/>
      </c>
      <c r="DS19" s="30" t="str">
        <f t="shared" ref="DS19:DS35" si="239">IF(AM19="","","|n"&amp;DS$2&amp;"+"&amp;AM19&amp;DS$1)</f>
        <v/>
      </c>
      <c r="DT19" s="30" t="str">
        <f t="shared" ref="DT19:DT35" si="240">IF(AN19="","","|n"&amp;DT$2&amp;"+"&amp;AN19&amp;DT$1)</f>
        <v>|n暴击+9%</v>
      </c>
      <c r="DU19" s="30" t="str">
        <f t="shared" ref="DU19:DU35" si="241">IF(AO19="","","|n"&amp;DU$2&amp;"+"&amp;AO19&amp;DU$1)</f>
        <v/>
      </c>
      <c r="DV19" s="30" t="str">
        <f t="shared" ref="DV19:DV35" si="242">IF(AP19="","","|n"&amp;DV$2&amp;"+"&amp;AP19&amp;DV$1)</f>
        <v/>
      </c>
      <c r="DW19" s="30" t="str">
        <f t="shared" ref="DW19:DW35" si="243">IF(AQ19="","","|n"&amp;DW$2&amp;"+"&amp;AQ19&amp;DW$1)</f>
        <v/>
      </c>
      <c r="DX19" s="30" t="str">
        <f t="shared" ref="DX19:DX35" si="244">IF(AR19="","","|n"&amp;DX$2&amp;"+"&amp;AR19&amp;DX$1)</f>
        <v/>
      </c>
      <c r="DY19" s="30" t="str">
        <f t="shared" ref="DY19:DY35" si="245">IF(AS19="","","|n"&amp;DY$2&amp;"+"&amp;AS19&amp;DY$1)</f>
        <v/>
      </c>
      <c r="DZ19" s="30" t="str">
        <f t="shared" ref="DZ19:DZ35" si="246">IF(AT19="","","|n"&amp;DZ$2&amp;"+"&amp;AT19&amp;DZ$1)</f>
        <v/>
      </c>
      <c r="EA19" s="30" t="str">
        <f t="shared" ref="EA19:EA35" si="247">IF(AU19="","","|n"&amp;EA$2&amp;"+"&amp;AU19&amp;EA$1)</f>
        <v/>
      </c>
      <c r="EB19" s="30" t="str">
        <f t="shared" ref="EB19:EB35" si="248">IF(AV19="","","|n"&amp;EB$2&amp;"+"&amp;AV19&amp;EB$1)</f>
        <v/>
      </c>
      <c r="EC19" s="30" t="str">
        <f t="shared" ref="EC19:EC35" si="249">IF(AW19="","","|n"&amp;EC$2&amp;"+"&amp;AW19&amp;EC$1)</f>
        <v/>
      </c>
      <c r="ED19" s="30" t="str">
        <f t="shared" ref="ED19:ED35" si="250">IF(AX19="","","|n"&amp;ED$2&amp;"+"&amp;AX19&amp;ED$1)</f>
        <v/>
      </c>
      <c r="EE19" s="30" t="str">
        <f t="shared" ref="EE19:EE35" si="251">IF(AY19="","","|n"&amp;EE$2&amp;"+"&amp;AY19&amp;EE$1)</f>
        <v/>
      </c>
      <c r="EF19" s="30" t="str">
        <f t="shared" ref="EF19:EF35" si="252">IF(AZ19="","","|n"&amp;EF$2&amp;"+"&amp;AZ19&amp;EF$1)</f>
        <v/>
      </c>
      <c r="EG19" s="30" t="str">
        <f t="shared" ref="EG19:EG35" si="253">IF(BA19="","","|n"&amp;EG$2&amp;"+"&amp;BA19&amp;EG$1)</f>
        <v/>
      </c>
      <c r="EH19" s="30" t="str">
        <f t="shared" ref="EH19:EH35" si="254">IF(BB19="","","|n"&amp;EH$2&amp;"+"&amp;BB19&amp;EH$1)</f>
        <v/>
      </c>
      <c r="EI19" s="30" t="str">
        <f t="shared" ref="EI19:EI35" si="255">IF(BC19="","","|n"&amp;EI$2&amp;"+"&amp;BC19&amp;EI$1)</f>
        <v/>
      </c>
      <c r="EJ19" s="30" t="str">
        <f t="shared" ref="EJ19:EJ35" si="256">IF(BD19="","","|n"&amp;EJ$2&amp;"+"&amp;BD19&amp;EJ$1)</f>
        <v/>
      </c>
      <c r="EK19" s="30" t="str">
        <f t="shared" ref="EK19:EK35" si="257">IF(BE19="","","|n"&amp;EK$2&amp;"+"&amp;BE19&amp;EK$1)</f>
        <v/>
      </c>
      <c r="EL19" s="30" t="str">
        <f t="shared" ref="EL19:EL35" si="258">IF(BF19="","","|n"&amp;EL$2&amp;"+"&amp;BF19&amp;EL$1)</f>
        <v/>
      </c>
      <c r="EM19" s="30" t="str">
        <f t="shared" ref="EM19:EM35" si="259">IF(BG19="","","|n"&amp;EM$2&amp;"+"&amp;BG19&amp;EM$1)</f>
        <v/>
      </c>
      <c r="EN19" s="30" t="str">
        <f t="shared" ref="EN19:EN35" si="260">IF(BH19="","","|n"&amp;EN$2&amp;"+"&amp;BH19&amp;EN$1)</f>
        <v/>
      </c>
      <c r="EO19" s="30" t="str">
        <f t="shared" ref="EO19:EO35" si="261">IF(BI19="","","|n"&amp;EO$2&amp;"+"&amp;BI19&amp;EO$1)</f>
        <v/>
      </c>
      <c r="EP19" s="30" t="str">
        <f t="shared" ref="EP19:EP35" si="262">IF(BJ19="","","|n"&amp;EP$2&amp;"+"&amp;BJ19&amp;EP$1)</f>
        <v/>
      </c>
      <c r="EQ19" s="30" t="str">
        <f t="shared" ref="EQ19:EQ35" si="263">IF(BK19="","","|n"&amp;EQ$2&amp;"+"&amp;BK19&amp;EQ$1)</f>
        <v/>
      </c>
      <c r="ER19" s="30" t="str">
        <f t="shared" ref="ER19:ER35" si="264">IF(BL19="","","|n"&amp;ER$2&amp;"+"&amp;BL19&amp;ER$1)</f>
        <v/>
      </c>
      <c r="ES19" s="30" t="str">
        <f t="shared" ref="ES19:ES35" si="265">IF(BM19="","","|n"&amp;ES$2&amp;"+"&amp;BM19&amp;ES$1)</f>
        <v/>
      </c>
      <c r="ET19" s="30" t="str">
        <f t="shared" ref="ET19:ET35" si="266">IF(BN19="","","|n"&amp;ET$2&amp;"+"&amp;BN19&amp;ET$1)</f>
        <v/>
      </c>
      <c r="EU19" s="30" t="str">
        <f t="shared" ref="EU19:EU35" si="267">IF(BO19="","","|n"&amp;EU$2&amp;"+"&amp;BO19&amp;EU$1)</f>
        <v/>
      </c>
      <c r="EV19" s="30" t="str">
        <f t="shared" ref="EV19:EV35" si="268">IF(BP19="","","|n"&amp;EV$2&amp;"+"&amp;BP19&amp;EV$1)</f>
        <v/>
      </c>
      <c r="EW19" s="30" t="str">
        <f t="shared" ref="EW19:EW35" si="269">IF(BQ19="","","|n"&amp;EW$2&amp;"+"&amp;BQ19&amp;EW$1)</f>
        <v/>
      </c>
      <c r="EX19" s="30" t="str">
        <f t="shared" ref="EX19:EX35" si="270">IF(BR19="","","|n"&amp;EX$2&amp;"+"&amp;BR19&amp;EX$1)</f>
        <v/>
      </c>
      <c r="EY19" s="30" t="str">
        <f t="shared" ref="EY19:EY35" si="271">IF(BS19="","","|n"&amp;EY$2&amp;"+"&amp;BS19&amp;EY$1)</f>
        <v/>
      </c>
      <c r="EZ19" s="30" t="str">
        <f t="shared" ref="EZ19:EZ35" si="272">IF(BT19="","","|n"&amp;EZ$2&amp;"+"&amp;BT19&amp;EZ$1)</f>
        <v/>
      </c>
      <c r="FA19" s="30" t="str">
        <f t="shared" ref="FA19:FA35" si="273">IF(BU19="","","|n"&amp;FA$2&amp;"+"&amp;BU19&amp;FA$1)</f>
        <v/>
      </c>
      <c r="FB19" s="30" t="str">
        <f t="shared" ref="FB19:FB35" si="274">IF(BV19="","","|n"&amp;FB$2&amp;"+"&amp;BV19&amp;FB$1)</f>
        <v/>
      </c>
      <c r="FC19" s="30" t="str">
        <f t="shared" ref="FC19:FC35" si="275">IF(BW19="","","|n"&amp;FC$2&amp;"+"&amp;BW19&amp;FC$1)</f>
        <v/>
      </c>
      <c r="FD19" s="30" t="str">
        <f t="shared" ref="FD19:FD35" si="276">IF(BX19="","","|n"&amp;FD$2&amp;"+"&amp;BX19&amp;FD$1)</f>
        <v/>
      </c>
      <c r="FE19" s="30" t="str">
        <f t="shared" ref="FE19:FE35" si="277">IF(BY19="","","|n"&amp;FE$2&amp;"+"&amp;BY19&amp;FE$1)</f>
        <v/>
      </c>
      <c r="FF19" s="30" t="str">
        <f t="shared" ref="FF19:FF35" si="278">IF(BZ19="","","|n"&amp;FF$2&amp;"+"&amp;BZ19&amp;FF$1)</f>
        <v/>
      </c>
      <c r="FG19" s="30" t="str">
        <f t="shared" ref="FG19:FG35" si="279">IF(CA19="","","|n"&amp;FG$2&amp;"+"&amp;CA19&amp;FG$1)</f>
        <v/>
      </c>
      <c r="FH19" s="30" t="str">
        <f t="shared" ref="FH19:FH35" si="280">IF(CB19="","","|n"&amp;FH$2&amp;"+"&amp;CB19&amp;FH$1)</f>
        <v/>
      </c>
      <c r="FI19" s="30" t="str">
        <f t="shared" ref="FI19:FI35" si="281">IF(CC19="","","|n"&amp;FI$2&amp;"+"&amp;CC19&amp;FI$1)</f>
        <v/>
      </c>
      <c r="FJ19" s="30" t="str">
        <f t="shared" ref="FJ19:FJ35" si="282">IF(CD19="","","|n"&amp;FJ$2&amp;"+"&amp;CD19&amp;FJ$1)</f>
        <v/>
      </c>
      <c r="FK19" s="30" t="str">
        <f t="shared" ref="FK19:FK35" si="283">IF(CE19="","","|n"&amp;FK$2&amp;"+"&amp;CE19&amp;FK$1)</f>
        <v/>
      </c>
      <c r="FL19" s="30" t="str">
        <f t="shared" ref="FL19:FL35" si="284">IF(CF19="","","|n"&amp;FL$2&amp;"+"&amp;CF19&amp;FL$1)</f>
        <v/>
      </c>
      <c r="FM19" s="30" t="str">
        <f t="shared" ref="FM19:FM35" si="285">IF(CG19="","","|n"&amp;FM$2&amp;"+"&amp;CG19&amp;FM$1)</f>
        <v/>
      </c>
      <c r="FN19" s="30" t="str">
        <f t="shared" ref="FN19:FN35" si="286">IF(CH19="","","|n"&amp;FN$2&amp;"+"&amp;CH19&amp;FN$1)</f>
        <v/>
      </c>
      <c r="FO19" s="30" t="str">
        <f t="shared" ref="FO19:FO35" si="287">IF(CI19="","","|n"&amp;FO$2&amp;"+"&amp;CI19&amp;FO$1)</f>
        <v/>
      </c>
      <c r="FP19" s="30" t="str">
        <f t="shared" ref="FP19:FP35" si="288">IF(CJ19="","","|n"&amp;FP$2&amp;"+"&amp;CJ19&amp;FP$1)</f>
        <v/>
      </c>
      <c r="FQ19" s="30" t="str">
        <f t="shared" ref="FQ19:FQ35" si="289">IF(CK19="","","|n"&amp;FQ$2&amp;"+"&amp;CK19&amp;FQ$1)</f>
        <v/>
      </c>
      <c r="FR19" s="30" t="str">
        <f t="shared" ref="FR19:FR35" si="290">IF(CL19="","","|n"&amp;FR$2&amp;"+"&amp;CL19&amp;FR$1)</f>
        <v/>
      </c>
      <c r="FS19" s="30" t="str">
        <f t="shared" ref="FS19:FS35" si="291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8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">
        <v>598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2"/>
        <v>InitUnitState('E018',30888,,,,,,,,44,)</v>
      </c>
      <c r="CO20" s="44" t="str">
        <f t="shared" si="3"/>
        <v>InitUnitNormal('E018',,,,,,,,,9,)</v>
      </c>
      <c r="CP20" s="44" t="str">
        <f t="shared" si="4"/>
        <v>InitUnitMagic('E018',,,,,,,,,,)</v>
      </c>
      <c r="CQ20" s="44" t="str">
        <f t="shared" si="5"/>
        <v>InitUnitAdd('E018',,,,,,,,,,)</v>
      </c>
      <c r="CR20" s="44" t="str">
        <f t="shared" si="6"/>
        <v>InitEquipData('E018',,"",,E019,35000,,'','','','','','',"ReplaceableTextures\\CommandButtons\\BTNZ04.blp")</v>
      </c>
      <c r="CS20" s="44"/>
      <c r="CT20" s="44"/>
      <c r="CU20" s="45" t="str">
        <f t="shared" si="221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2"/>
        <v>|n攻击+30888</v>
      </c>
      <c r="DC20" s="30" t="str">
        <f t="shared" si="223"/>
        <v/>
      </c>
      <c r="DD20" s="30" t="str">
        <f t="shared" si="224"/>
        <v/>
      </c>
      <c r="DE20" s="30" t="str">
        <f t="shared" si="225"/>
        <v/>
      </c>
      <c r="DF20" s="30" t="str">
        <f t="shared" si="226"/>
        <v/>
      </c>
      <c r="DG20" s="30" t="str">
        <f t="shared" si="227"/>
        <v/>
      </c>
      <c r="DH20" s="30" t="str">
        <f t="shared" si="228"/>
        <v/>
      </c>
      <c r="DI20" s="30" t="str">
        <f t="shared" si="229"/>
        <v/>
      </c>
      <c r="DJ20" s="30" t="str">
        <f t="shared" si="230"/>
        <v>|n攻速+44%</v>
      </c>
      <c r="DK20" s="30" t="str">
        <f t="shared" si="231"/>
        <v/>
      </c>
      <c r="DL20" s="30" t="str">
        <f t="shared" si="232"/>
        <v/>
      </c>
      <c r="DM20" s="30" t="str">
        <f t="shared" si="233"/>
        <v/>
      </c>
      <c r="DN20" s="30" t="str">
        <f t="shared" si="234"/>
        <v/>
      </c>
      <c r="DO20" s="30" t="str">
        <f t="shared" si="235"/>
        <v/>
      </c>
      <c r="DP20" s="30" t="str">
        <f t="shared" si="236"/>
        <v/>
      </c>
      <c r="DQ20" s="30" t="str">
        <f t="shared" si="237"/>
        <v/>
      </c>
      <c r="DR20" s="30" t="str">
        <f t="shared" si="238"/>
        <v/>
      </c>
      <c r="DS20" s="30" t="str">
        <f t="shared" si="239"/>
        <v/>
      </c>
      <c r="DT20" s="30" t="str">
        <f t="shared" si="240"/>
        <v>|n暴击+9%</v>
      </c>
      <c r="DU20" s="30" t="str">
        <f t="shared" si="241"/>
        <v/>
      </c>
      <c r="DV20" s="30" t="str">
        <f t="shared" si="242"/>
        <v/>
      </c>
      <c r="DW20" s="30" t="str">
        <f t="shared" si="243"/>
        <v/>
      </c>
      <c r="DX20" s="30" t="str">
        <f t="shared" si="244"/>
        <v/>
      </c>
      <c r="DY20" s="30" t="str">
        <f t="shared" si="245"/>
        <v/>
      </c>
      <c r="DZ20" s="30" t="str">
        <f t="shared" si="246"/>
        <v/>
      </c>
      <c r="EA20" s="30" t="str">
        <f t="shared" si="247"/>
        <v/>
      </c>
      <c r="EB20" s="30" t="str">
        <f t="shared" si="248"/>
        <v/>
      </c>
      <c r="EC20" s="30" t="str">
        <f t="shared" si="249"/>
        <v/>
      </c>
      <c r="ED20" s="30" t="str">
        <f t="shared" si="250"/>
        <v/>
      </c>
      <c r="EE20" s="30" t="str">
        <f t="shared" si="251"/>
        <v/>
      </c>
      <c r="EF20" s="30" t="str">
        <f t="shared" si="252"/>
        <v/>
      </c>
      <c r="EG20" s="30" t="str">
        <f t="shared" si="253"/>
        <v/>
      </c>
      <c r="EH20" s="30" t="str">
        <f t="shared" si="254"/>
        <v/>
      </c>
      <c r="EI20" s="30" t="str">
        <f t="shared" si="255"/>
        <v/>
      </c>
      <c r="EJ20" s="30" t="str">
        <f t="shared" si="256"/>
        <v/>
      </c>
      <c r="EK20" s="30" t="str">
        <f t="shared" si="257"/>
        <v/>
      </c>
      <c r="EL20" s="30" t="str">
        <f t="shared" si="258"/>
        <v/>
      </c>
      <c r="EM20" s="30" t="str">
        <f t="shared" si="259"/>
        <v/>
      </c>
      <c r="EN20" s="30" t="str">
        <f t="shared" si="260"/>
        <v/>
      </c>
      <c r="EO20" s="30" t="str">
        <f t="shared" si="261"/>
        <v/>
      </c>
      <c r="EP20" s="30" t="str">
        <f t="shared" si="262"/>
        <v/>
      </c>
      <c r="EQ20" s="30" t="str">
        <f t="shared" si="263"/>
        <v/>
      </c>
      <c r="ER20" s="30" t="str">
        <f t="shared" si="264"/>
        <v/>
      </c>
      <c r="ES20" s="30" t="str">
        <f t="shared" si="265"/>
        <v/>
      </c>
      <c r="ET20" s="30" t="str">
        <f t="shared" si="266"/>
        <v/>
      </c>
      <c r="EU20" s="30" t="str">
        <f t="shared" si="267"/>
        <v/>
      </c>
      <c r="EV20" s="30" t="str">
        <f t="shared" si="268"/>
        <v/>
      </c>
      <c r="EW20" s="30" t="str">
        <f t="shared" si="269"/>
        <v/>
      </c>
      <c r="EX20" s="30" t="str">
        <f t="shared" si="270"/>
        <v/>
      </c>
      <c r="EY20" s="30" t="str">
        <f t="shared" si="271"/>
        <v/>
      </c>
      <c r="EZ20" s="30" t="str">
        <f t="shared" si="272"/>
        <v/>
      </c>
      <c r="FA20" s="30" t="str">
        <f t="shared" si="273"/>
        <v/>
      </c>
      <c r="FB20" s="30" t="str">
        <f t="shared" si="274"/>
        <v/>
      </c>
      <c r="FC20" s="30" t="str">
        <f t="shared" si="275"/>
        <v/>
      </c>
      <c r="FD20" s="30" t="str">
        <f t="shared" si="276"/>
        <v/>
      </c>
      <c r="FE20" s="30" t="str">
        <f t="shared" si="277"/>
        <v/>
      </c>
      <c r="FF20" s="30" t="str">
        <f t="shared" si="278"/>
        <v/>
      </c>
      <c r="FG20" s="30" t="str">
        <f t="shared" si="279"/>
        <v/>
      </c>
      <c r="FH20" s="30" t="str">
        <f t="shared" si="280"/>
        <v/>
      </c>
      <c r="FI20" s="30" t="str">
        <f t="shared" si="281"/>
        <v/>
      </c>
      <c r="FJ20" s="30" t="str">
        <f t="shared" si="282"/>
        <v/>
      </c>
      <c r="FK20" s="30" t="str">
        <f t="shared" si="283"/>
        <v/>
      </c>
      <c r="FL20" s="30" t="str">
        <f t="shared" si="284"/>
        <v/>
      </c>
      <c r="FM20" s="30" t="str">
        <f t="shared" si="285"/>
        <v/>
      </c>
      <c r="FN20" s="30" t="str">
        <f t="shared" si="286"/>
        <v/>
      </c>
      <c r="FO20" s="30" t="str">
        <f t="shared" si="287"/>
        <v/>
      </c>
      <c r="FP20" s="30" t="str">
        <f t="shared" si="288"/>
        <v/>
      </c>
      <c r="FQ20" s="30" t="str">
        <f t="shared" si="289"/>
        <v/>
      </c>
      <c r="FR20" s="30" t="str">
        <f t="shared" si="290"/>
        <v/>
      </c>
      <c r="FS20" s="30" t="str">
        <f t="shared" si="291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8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">
        <v>598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2"/>
        <v>InitUnitState('E019',35688,,,,,,,,44,)</v>
      </c>
      <c r="CO21" s="44" t="str">
        <f t="shared" si="3"/>
        <v>InitUnitNormal('E019',,,,,,,,,9,)</v>
      </c>
      <c r="CP21" s="44" t="str">
        <f t="shared" si="4"/>
        <v>InitUnitMagic('E019',,,,,,,,,,)</v>
      </c>
      <c r="CQ21" s="44" t="str">
        <f t="shared" si="5"/>
        <v>InitUnitAdd('E019',,,,,,,,,,)</v>
      </c>
      <c r="CR21" s="44" t="str">
        <f t="shared" si="6"/>
        <v>InitEquipData('E019',,"",,E020,35000,,'','','','','','',"ReplaceableTextures\\CommandButtons\\BTNZ04.blp")</v>
      </c>
      <c r="CS21" s="44"/>
      <c r="CT21" s="44"/>
      <c r="CU21" s="45" t="str">
        <f t="shared" si="221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2"/>
        <v>|n攻击+35688</v>
      </c>
      <c r="DC21" s="30" t="str">
        <f t="shared" si="223"/>
        <v/>
      </c>
      <c r="DD21" s="30" t="str">
        <f t="shared" si="224"/>
        <v/>
      </c>
      <c r="DE21" s="30" t="str">
        <f t="shared" si="225"/>
        <v/>
      </c>
      <c r="DF21" s="30" t="str">
        <f t="shared" si="226"/>
        <v/>
      </c>
      <c r="DG21" s="30" t="str">
        <f t="shared" si="227"/>
        <v/>
      </c>
      <c r="DH21" s="30" t="str">
        <f t="shared" si="228"/>
        <v/>
      </c>
      <c r="DI21" s="30" t="str">
        <f t="shared" si="229"/>
        <v/>
      </c>
      <c r="DJ21" s="30" t="str">
        <f t="shared" si="230"/>
        <v>|n攻速+44%</v>
      </c>
      <c r="DK21" s="30" t="str">
        <f t="shared" si="231"/>
        <v/>
      </c>
      <c r="DL21" s="30" t="str">
        <f t="shared" si="232"/>
        <v/>
      </c>
      <c r="DM21" s="30" t="str">
        <f t="shared" si="233"/>
        <v/>
      </c>
      <c r="DN21" s="30" t="str">
        <f t="shared" si="234"/>
        <v/>
      </c>
      <c r="DO21" s="30" t="str">
        <f t="shared" si="235"/>
        <v/>
      </c>
      <c r="DP21" s="30" t="str">
        <f t="shared" si="236"/>
        <v/>
      </c>
      <c r="DQ21" s="30" t="str">
        <f t="shared" si="237"/>
        <v/>
      </c>
      <c r="DR21" s="30" t="str">
        <f t="shared" si="238"/>
        <v/>
      </c>
      <c r="DS21" s="30" t="str">
        <f t="shared" si="239"/>
        <v/>
      </c>
      <c r="DT21" s="30" t="str">
        <f t="shared" si="240"/>
        <v>|n暴击+9%</v>
      </c>
      <c r="DU21" s="30" t="str">
        <f t="shared" si="241"/>
        <v/>
      </c>
      <c r="DV21" s="30" t="str">
        <f t="shared" si="242"/>
        <v/>
      </c>
      <c r="DW21" s="30" t="str">
        <f t="shared" si="243"/>
        <v/>
      </c>
      <c r="DX21" s="30" t="str">
        <f t="shared" si="244"/>
        <v/>
      </c>
      <c r="DY21" s="30" t="str">
        <f t="shared" si="245"/>
        <v/>
      </c>
      <c r="DZ21" s="30" t="str">
        <f t="shared" si="246"/>
        <v/>
      </c>
      <c r="EA21" s="30" t="str">
        <f t="shared" si="247"/>
        <v/>
      </c>
      <c r="EB21" s="30" t="str">
        <f t="shared" si="248"/>
        <v/>
      </c>
      <c r="EC21" s="30" t="str">
        <f t="shared" si="249"/>
        <v/>
      </c>
      <c r="ED21" s="30" t="str">
        <f t="shared" si="250"/>
        <v/>
      </c>
      <c r="EE21" s="30" t="str">
        <f t="shared" si="251"/>
        <v/>
      </c>
      <c r="EF21" s="30" t="str">
        <f t="shared" si="252"/>
        <v/>
      </c>
      <c r="EG21" s="30" t="str">
        <f t="shared" si="253"/>
        <v/>
      </c>
      <c r="EH21" s="30" t="str">
        <f t="shared" si="254"/>
        <v/>
      </c>
      <c r="EI21" s="30" t="str">
        <f t="shared" si="255"/>
        <v/>
      </c>
      <c r="EJ21" s="30" t="str">
        <f t="shared" si="256"/>
        <v/>
      </c>
      <c r="EK21" s="30" t="str">
        <f t="shared" si="257"/>
        <v/>
      </c>
      <c r="EL21" s="30" t="str">
        <f t="shared" si="258"/>
        <v/>
      </c>
      <c r="EM21" s="30" t="str">
        <f t="shared" si="259"/>
        <v/>
      </c>
      <c r="EN21" s="30" t="str">
        <f t="shared" si="260"/>
        <v/>
      </c>
      <c r="EO21" s="30" t="str">
        <f t="shared" si="261"/>
        <v/>
      </c>
      <c r="EP21" s="30" t="str">
        <f t="shared" si="262"/>
        <v/>
      </c>
      <c r="EQ21" s="30" t="str">
        <f t="shared" si="263"/>
        <v/>
      </c>
      <c r="ER21" s="30" t="str">
        <f t="shared" si="264"/>
        <v/>
      </c>
      <c r="ES21" s="30" t="str">
        <f t="shared" si="265"/>
        <v/>
      </c>
      <c r="ET21" s="30" t="str">
        <f t="shared" si="266"/>
        <v/>
      </c>
      <c r="EU21" s="30" t="str">
        <f t="shared" si="267"/>
        <v/>
      </c>
      <c r="EV21" s="30" t="str">
        <f t="shared" si="268"/>
        <v/>
      </c>
      <c r="EW21" s="30" t="str">
        <f t="shared" si="269"/>
        <v/>
      </c>
      <c r="EX21" s="30" t="str">
        <f t="shared" si="270"/>
        <v/>
      </c>
      <c r="EY21" s="30" t="str">
        <f t="shared" si="271"/>
        <v/>
      </c>
      <c r="EZ21" s="30" t="str">
        <f t="shared" si="272"/>
        <v/>
      </c>
      <c r="FA21" s="30" t="str">
        <f t="shared" si="273"/>
        <v/>
      </c>
      <c r="FB21" s="30" t="str">
        <f t="shared" si="274"/>
        <v/>
      </c>
      <c r="FC21" s="30" t="str">
        <f t="shared" si="275"/>
        <v/>
      </c>
      <c r="FD21" s="30" t="str">
        <f t="shared" si="276"/>
        <v/>
      </c>
      <c r="FE21" s="30" t="str">
        <f t="shared" si="277"/>
        <v/>
      </c>
      <c r="FF21" s="30" t="str">
        <f t="shared" si="278"/>
        <v/>
      </c>
      <c r="FG21" s="30" t="str">
        <f t="shared" si="279"/>
        <v/>
      </c>
      <c r="FH21" s="30" t="str">
        <f t="shared" si="280"/>
        <v/>
      </c>
      <c r="FI21" s="30" t="str">
        <f t="shared" si="281"/>
        <v/>
      </c>
      <c r="FJ21" s="30" t="str">
        <f t="shared" si="282"/>
        <v/>
      </c>
      <c r="FK21" s="30" t="str">
        <f t="shared" si="283"/>
        <v/>
      </c>
      <c r="FL21" s="30" t="str">
        <f t="shared" si="284"/>
        <v/>
      </c>
      <c r="FM21" s="30" t="str">
        <f t="shared" si="285"/>
        <v/>
      </c>
      <c r="FN21" s="30" t="str">
        <f t="shared" si="286"/>
        <v/>
      </c>
      <c r="FO21" s="30" t="str">
        <f t="shared" si="287"/>
        <v/>
      </c>
      <c r="FP21" s="30" t="str">
        <f t="shared" si="288"/>
        <v/>
      </c>
      <c r="FQ21" s="30" t="str">
        <f t="shared" si="289"/>
        <v/>
      </c>
      <c r="FR21" s="30" t="str">
        <f t="shared" si="290"/>
        <v/>
      </c>
      <c r="FS21" s="30" t="str">
        <f t="shared" si="291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8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">
        <v>598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2"/>
        <v>InitUnitState('E020',40000,,,,,,,,44,)</v>
      </c>
      <c r="CO22" s="44" t="str">
        <f t="shared" si="3"/>
        <v>InitUnitNormal('E020',,,,,,,,,9,)</v>
      </c>
      <c r="CP22" s="44" t="str">
        <f t="shared" si="4"/>
        <v>InitUnitMagic('E020',,,,,,,,,,)</v>
      </c>
      <c r="CQ22" s="44" t="str">
        <f t="shared" si="5"/>
        <v>InitUnitAdd('E020',,,,,,,,,,)</v>
      </c>
      <c r="CR22" s="44" t="str">
        <f t="shared" si="6"/>
        <v>InitEquipData('E020',,"",,E021,80000,,'','','','','','',"ReplaceableTextures\\CommandButtons\\BTNZ05.blp")</v>
      </c>
      <c r="CS22" s="44"/>
      <c r="CT22" s="44"/>
      <c r="CU22" s="45" t="str">
        <f t="shared" si="221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2"/>
        <v>|n攻击+40000</v>
      </c>
      <c r="DC22" s="30" t="str">
        <f t="shared" si="223"/>
        <v/>
      </c>
      <c r="DD22" s="30" t="str">
        <f t="shared" si="224"/>
        <v/>
      </c>
      <c r="DE22" s="30" t="str">
        <f t="shared" si="225"/>
        <v/>
      </c>
      <c r="DF22" s="30" t="str">
        <f t="shared" si="226"/>
        <v/>
      </c>
      <c r="DG22" s="30" t="str">
        <f t="shared" si="227"/>
        <v/>
      </c>
      <c r="DH22" s="30" t="str">
        <f t="shared" si="228"/>
        <v/>
      </c>
      <c r="DI22" s="30" t="str">
        <f t="shared" si="229"/>
        <v/>
      </c>
      <c r="DJ22" s="30" t="str">
        <f t="shared" si="230"/>
        <v>|n攻速+44%</v>
      </c>
      <c r="DK22" s="30" t="str">
        <f t="shared" si="231"/>
        <v/>
      </c>
      <c r="DL22" s="30" t="str">
        <f t="shared" si="232"/>
        <v/>
      </c>
      <c r="DM22" s="30" t="str">
        <f t="shared" si="233"/>
        <v/>
      </c>
      <c r="DN22" s="30" t="str">
        <f t="shared" si="234"/>
        <v/>
      </c>
      <c r="DO22" s="30" t="str">
        <f t="shared" si="235"/>
        <v/>
      </c>
      <c r="DP22" s="30" t="str">
        <f t="shared" si="236"/>
        <v/>
      </c>
      <c r="DQ22" s="30" t="str">
        <f t="shared" si="237"/>
        <v/>
      </c>
      <c r="DR22" s="30" t="str">
        <f t="shared" si="238"/>
        <v/>
      </c>
      <c r="DS22" s="30" t="str">
        <f t="shared" si="239"/>
        <v/>
      </c>
      <c r="DT22" s="30" t="str">
        <f t="shared" si="240"/>
        <v>|n暴击+9%</v>
      </c>
      <c r="DU22" s="30" t="str">
        <f t="shared" si="241"/>
        <v/>
      </c>
      <c r="DV22" s="30" t="str">
        <f t="shared" si="242"/>
        <v/>
      </c>
      <c r="DW22" s="30" t="str">
        <f t="shared" si="243"/>
        <v/>
      </c>
      <c r="DX22" s="30" t="str">
        <f t="shared" si="244"/>
        <v/>
      </c>
      <c r="DY22" s="30" t="str">
        <f t="shared" si="245"/>
        <v/>
      </c>
      <c r="DZ22" s="30" t="str">
        <f t="shared" si="246"/>
        <v/>
      </c>
      <c r="EA22" s="30" t="str">
        <f t="shared" si="247"/>
        <v/>
      </c>
      <c r="EB22" s="30" t="str">
        <f t="shared" si="248"/>
        <v/>
      </c>
      <c r="EC22" s="30" t="str">
        <f t="shared" si="249"/>
        <v/>
      </c>
      <c r="ED22" s="30" t="str">
        <f t="shared" si="250"/>
        <v/>
      </c>
      <c r="EE22" s="30" t="str">
        <f t="shared" si="251"/>
        <v/>
      </c>
      <c r="EF22" s="30" t="str">
        <f t="shared" si="252"/>
        <v/>
      </c>
      <c r="EG22" s="30" t="str">
        <f t="shared" si="253"/>
        <v/>
      </c>
      <c r="EH22" s="30" t="str">
        <f t="shared" si="254"/>
        <v/>
      </c>
      <c r="EI22" s="30" t="str">
        <f t="shared" si="255"/>
        <v/>
      </c>
      <c r="EJ22" s="30" t="str">
        <f t="shared" si="256"/>
        <v/>
      </c>
      <c r="EK22" s="30" t="str">
        <f t="shared" si="257"/>
        <v/>
      </c>
      <c r="EL22" s="30" t="str">
        <f t="shared" si="258"/>
        <v/>
      </c>
      <c r="EM22" s="30" t="str">
        <f t="shared" si="259"/>
        <v/>
      </c>
      <c r="EN22" s="30" t="str">
        <f t="shared" si="260"/>
        <v/>
      </c>
      <c r="EO22" s="30" t="str">
        <f t="shared" si="261"/>
        <v/>
      </c>
      <c r="EP22" s="30" t="str">
        <f t="shared" si="262"/>
        <v/>
      </c>
      <c r="EQ22" s="30" t="str">
        <f t="shared" si="263"/>
        <v/>
      </c>
      <c r="ER22" s="30" t="str">
        <f t="shared" si="264"/>
        <v/>
      </c>
      <c r="ES22" s="30" t="str">
        <f t="shared" si="265"/>
        <v/>
      </c>
      <c r="ET22" s="30" t="str">
        <f t="shared" si="266"/>
        <v/>
      </c>
      <c r="EU22" s="30" t="str">
        <f t="shared" si="267"/>
        <v/>
      </c>
      <c r="EV22" s="30" t="str">
        <f t="shared" si="268"/>
        <v/>
      </c>
      <c r="EW22" s="30" t="str">
        <f t="shared" si="269"/>
        <v/>
      </c>
      <c r="EX22" s="30" t="str">
        <f t="shared" si="270"/>
        <v/>
      </c>
      <c r="EY22" s="30" t="str">
        <f t="shared" si="271"/>
        <v/>
      </c>
      <c r="EZ22" s="30" t="str">
        <f t="shared" si="272"/>
        <v/>
      </c>
      <c r="FA22" s="30" t="str">
        <f t="shared" si="273"/>
        <v/>
      </c>
      <c r="FB22" s="30" t="str">
        <f t="shared" si="274"/>
        <v/>
      </c>
      <c r="FC22" s="30" t="str">
        <f t="shared" si="275"/>
        <v/>
      </c>
      <c r="FD22" s="30" t="str">
        <f t="shared" si="276"/>
        <v/>
      </c>
      <c r="FE22" s="30" t="str">
        <f t="shared" si="277"/>
        <v/>
      </c>
      <c r="FF22" s="30" t="str">
        <f t="shared" si="278"/>
        <v/>
      </c>
      <c r="FG22" s="30" t="str">
        <f t="shared" si="279"/>
        <v/>
      </c>
      <c r="FH22" s="30" t="str">
        <f t="shared" si="280"/>
        <v/>
      </c>
      <c r="FI22" s="30" t="str">
        <f t="shared" si="281"/>
        <v/>
      </c>
      <c r="FJ22" s="30" t="str">
        <f t="shared" si="282"/>
        <v/>
      </c>
      <c r="FK22" s="30" t="str">
        <f t="shared" si="283"/>
        <v/>
      </c>
      <c r="FL22" s="30" t="str">
        <f t="shared" si="284"/>
        <v/>
      </c>
      <c r="FM22" s="30" t="str">
        <f t="shared" si="285"/>
        <v/>
      </c>
      <c r="FN22" s="30" t="str">
        <f t="shared" si="286"/>
        <v/>
      </c>
      <c r="FO22" s="30" t="str">
        <f t="shared" si="287"/>
        <v/>
      </c>
      <c r="FP22" s="30" t="str">
        <f t="shared" si="288"/>
        <v/>
      </c>
      <c r="FQ22" s="30" t="str">
        <f t="shared" si="289"/>
        <v/>
      </c>
      <c r="FR22" s="30" t="str">
        <f t="shared" si="290"/>
        <v/>
      </c>
      <c r="FS22" s="30" t="str">
        <f t="shared" si="291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8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">
        <v>608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2"/>
        <v>InitUnitState('E021',52000,,,,,,,,53,)</v>
      </c>
      <c r="CO23" s="44" t="str">
        <f t="shared" si="3"/>
        <v>InitUnitNormal('E021',,,,,,,,,12,)</v>
      </c>
      <c r="CP23" s="44" t="str">
        <f t="shared" si="4"/>
        <v>InitUnitMagic('E021',,,,,,,,,,)</v>
      </c>
      <c r="CQ23" s="44" t="str">
        <f t="shared" si="5"/>
        <v>InitUnitAdd('E021',,,,,,,,,,)</v>
      </c>
      <c r="CR23" s="44" t="str">
        <f t="shared" si="6"/>
        <v>InitEquipData('E021',,"",,E022,42000,,'','','','','','',"ReplaceableTextures\\CommandButtons\\BTNZ05.blp")</v>
      </c>
      <c r="CS23" s="44"/>
      <c r="CT23" s="44"/>
      <c r="CU23" s="45" t="str">
        <f t="shared" si="221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2"/>
        <v>|n攻击+52000</v>
      </c>
      <c r="DC23" s="30" t="str">
        <f t="shared" si="223"/>
        <v/>
      </c>
      <c r="DD23" s="30" t="str">
        <f t="shared" si="224"/>
        <v/>
      </c>
      <c r="DE23" s="30" t="str">
        <f t="shared" si="225"/>
        <v/>
      </c>
      <c r="DF23" s="30" t="str">
        <f t="shared" si="226"/>
        <v/>
      </c>
      <c r="DG23" s="30" t="str">
        <f t="shared" si="227"/>
        <v/>
      </c>
      <c r="DH23" s="30" t="str">
        <f t="shared" si="228"/>
        <v/>
      </c>
      <c r="DI23" s="30" t="str">
        <f t="shared" si="229"/>
        <v/>
      </c>
      <c r="DJ23" s="30" t="str">
        <f t="shared" si="230"/>
        <v>|n攻速+53%</v>
      </c>
      <c r="DK23" s="30" t="str">
        <f t="shared" si="231"/>
        <v/>
      </c>
      <c r="DL23" s="30" t="str">
        <f t="shared" si="232"/>
        <v/>
      </c>
      <c r="DM23" s="30" t="str">
        <f t="shared" si="233"/>
        <v/>
      </c>
      <c r="DN23" s="30" t="str">
        <f t="shared" si="234"/>
        <v/>
      </c>
      <c r="DO23" s="30" t="str">
        <f t="shared" si="235"/>
        <v/>
      </c>
      <c r="DP23" s="30" t="str">
        <f t="shared" si="236"/>
        <v/>
      </c>
      <c r="DQ23" s="30" t="str">
        <f t="shared" si="237"/>
        <v/>
      </c>
      <c r="DR23" s="30" t="str">
        <f t="shared" si="238"/>
        <v/>
      </c>
      <c r="DS23" s="30" t="str">
        <f t="shared" si="239"/>
        <v/>
      </c>
      <c r="DT23" s="30" t="str">
        <f t="shared" si="240"/>
        <v>|n暴击+12%</v>
      </c>
      <c r="DU23" s="30" t="str">
        <f t="shared" si="241"/>
        <v/>
      </c>
      <c r="DV23" s="30" t="str">
        <f t="shared" si="242"/>
        <v/>
      </c>
      <c r="DW23" s="30" t="str">
        <f t="shared" si="243"/>
        <v/>
      </c>
      <c r="DX23" s="30" t="str">
        <f t="shared" si="244"/>
        <v/>
      </c>
      <c r="DY23" s="30" t="str">
        <f t="shared" si="245"/>
        <v/>
      </c>
      <c r="DZ23" s="30" t="str">
        <f t="shared" si="246"/>
        <v/>
      </c>
      <c r="EA23" s="30" t="str">
        <f t="shared" si="247"/>
        <v/>
      </c>
      <c r="EB23" s="30" t="str">
        <f t="shared" si="248"/>
        <v/>
      </c>
      <c r="EC23" s="30" t="str">
        <f t="shared" si="249"/>
        <v/>
      </c>
      <c r="ED23" s="30" t="str">
        <f t="shared" si="250"/>
        <v/>
      </c>
      <c r="EE23" s="30" t="str">
        <f t="shared" si="251"/>
        <v/>
      </c>
      <c r="EF23" s="30" t="str">
        <f t="shared" si="252"/>
        <v/>
      </c>
      <c r="EG23" s="30" t="str">
        <f t="shared" si="253"/>
        <v/>
      </c>
      <c r="EH23" s="30" t="str">
        <f t="shared" si="254"/>
        <v/>
      </c>
      <c r="EI23" s="30" t="str">
        <f t="shared" si="255"/>
        <v/>
      </c>
      <c r="EJ23" s="30" t="str">
        <f t="shared" si="256"/>
        <v/>
      </c>
      <c r="EK23" s="30" t="str">
        <f t="shared" si="257"/>
        <v/>
      </c>
      <c r="EL23" s="30" t="str">
        <f t="shared" si="258"/>
        <v/>
      </c>
      <c r="EM23" s="30" t="str">
        <f t="shared" si="259"/>
        <v/>
      </c>
      <c r="EN23" s="30" t="str">
        <f t="shared" si="260"/>
        <v/>
      </c>
      <c r="EO23" s="30" t="str">
        <f t="shared" si="261"/>
        <v/>
      </c>
      <c r="EP23" s="30" t="str">
        <f t="shared" si="262"/>
        <v/>
      </c>
      <c r="EQ23" s="30" t="str">
        <f t="shared" si="263"/>
        <v/>
      </c>
      <c r="ER23" s="30" t="str">
        <f t="shared" si="264"/>
        <v/>
      </c>
      <c r="ES23" s="30" t="str">
        <f t="shared" si="265"/>
        <v/>
      </c>
      <c r="ET23" s="30" t="str">
        <f t="shared" si="266"/>
        <v/>
      </c>
      <c r="EU23" s="30" t="str">
        <f t="shared" si="267"/>
        <v/>
      </c>
      <c r="EV23" s="30" t="str">
        <f t="shared" si="268"/>
        <v/>
      </c>
      <c r="EW23" s="30" t="str">
        <f t="shared" si="269"/>
        <v/>
      </c>
      <c r="EX23" s="30" t="str">
        <f t="shared" si="270"/>
        <v/>
      </c>
      <c r="EY23" s="30" t="str">
        <f t="shared" si="271"/>
        <v/>
      </c>
      <c r="EZ23" s="30" t="str">
        <f t="shared" si="272"/>
        <v/>
      </c>
      <c r="FA23" s="30" t="str">
        <f t="shared" si="273"/>
        <v/>
      </c>
      <c r="FB23" s="30" t="str">
        <f t="shared" si="274"/>
        <v/>
      </c>
      <c r="FC23" s="30" t="str">
        <f t="shared" si="275"/>
        <v/>
      </c>
      <c r="FD23" s="30" t="str">
        <f t="shared" si="276"/>
        <v/>
      </c>
      <c r="FE23" s="30" t="str">
        <f t="shared" si="277"/>
        <v/>
      </c>
      <c r="FF23" s="30" t="str">
        <f t="shared" si="278"/>
        <v/>
      </c>
      <c r="FG23" s="30" t="str">
        <f t="shared" si="279"/>
        <v/>
      </c>
      <c r="FH23" s="30" t="str">
        <f t="shared" si="280"/>
        <v/>
      </c>
      <c r="FI23" s="30" t="str">
        <f t="shared" si="281"/>
        <v/>
      </c>
      <c r="FJ23" s="30" t="str">
        <f t="shared" si="282"/>
        <v/>
      </c>
      <c r="FK23" s="30" t="str">
        <f t="shared" si="283"/>
        <v/>
      </c>
      <c r="FL23" s="30" t="str">
        <f t="shared" si="284"/>
        <v/>
      </c>
      <c r="FM23" s="30" t="str">
        <f t="shared" si="285"/>
        <v/>
      </c>
      <c r="FN23" s="30" t="str">
        <f t="shared" si="286"/>
        <v/>
      </c>
      <c r="FO23" s="30" t="str">
        <f t="shared" si="287"/>
        <v/>
      </c>
      <c r="FP23" s="30" t="str">
        <f t="shared" si="288"/>
        <v/>
      </c>
      <c r="FQ23" s="30" t="str">
        <f t="shared" si="289"/>
        <v/>
      </c>
      <c r="FR23" s="30" t="str">
        <f t="shared" si="290"/>
        <v/>
      </c>
      <c r="FS23" s="30" t="str">
        <f t="shared" si="291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8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">
        <v>608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2"/>
        <v>InitUnitState('E022',64000,,,,,,,,53,)</v>
      </c>
      <c r="CO24" s="44" t="str">
        <f t="shared" si="3"/>
        <v>InitUnitNormal('E022',,,,,,,,,12,)</v>
      </c>
      <c r="CP24" s="44" t="str">
        <f t="shared" si="4"/>
        <v>InitUnitMagic('E022',,,,,,,,,,)</v>
      </c>
      <c r="CQ24" s="44" t="str">
        <f t="shared" si="5"/>
        <v>InitUnitAdd('E022',,,,,,,,,,)</v>
      </c>
      <c r="CR24" s="44" t="str">
        <f t="shared" si="6"/>
        <v>InitEquipData('E022',,"",,E023,42000,,'','','','','','',"ReplaceableTextures\\CommandButtons\\BTNZ05.blp")</v>
      </c>
      <c r="CS24" s="44"/>
      <c r="CT24" s="44"/>
      <c r="CU24" s="45" t="str">
        <f t="shared" si="221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2"/>
        <v>|n攻击+64000</v>
      </c>
      <c r="DC24" s="30" t="str">
        <f t="shared" si="223"/>
        <v/>
      </c>
      <c r="DD24" s="30" t="str">
        <f t="shared" si="224"/>
        <v/>
      </c>
      <c r="DE24" s="30" t="str">
        <f t="shared" si="225"/>
        <v/>
      </c>
      <c r="DF24" s="30" t="str">
        <f t="shared" si="226"/>
        <v/>
      </c>
      <c r="DG24" s="30" t="str">
        <f t="shared" si="227"/>
        <v/>
      </c>
      <c r="DH24" s="30" t="str">
        <f t="shared" si="228"/>
        <v/>
      </c>
      <c r="DI24" s="30" t="str">
        <f t="shared" si="229"/>
        <v/>
      </c>
      <c r="DJ24" s="30" t="str">
        <f t="shared" si="230"/>
        <v>|n攻速+53%</v>
      </c>
      <c r="DK24" s="30" t="str">
        <f t="shared" si="231"/>
        <v/>
      </c>
      <c r="DL24" s="30" t="str">
        <f t="shared" si="232"/>
        <v/>
      </c>
      <c r="DM24" s="30" t="str">
        <f t="shared" si="233"/>
        <v/>
      </c>
      <c r="DN24" s="30" t="str">
        <f t="shared" si="234"/>
        <v/>
      </c>
      <c r="DO24" s="30" t="str">
        <f t="shared" si="235"/>
        <v/>
      </c>
      <c r="DP24" s="30" t="str">
        <f t="shared" si="236"/>
        <v/>
      </c>
      <c r="DQ24" s="30" t="str">
        <f t="shared" si="237"/>
        <v/>
      </c>
      <c r="DR24" s="30" t="str">
        <f t="shared" si="238"/>
        <v/>
      </c>
      <c r="DS24" s="30" t="str">
        <f t="shared" si="239"/>
        <v/>
      </c>
      <c r="DT24" s="30" t="str">
        <f t="shared" si="240"/>
        <v>|n暴击+12%</v>
      </c>
      <c r="DU24" s="30" t="str">
        <f t="shared" si="241"/>
        <v/>
      </c>
      <c r="DV24" s="30" t="str">
        <f t="shared" si="242"/>
        <v/>
      </c>
      <c r="DW24" s="30" t="str">
        <f t="shared" si="243"/>
        <v/>
      </c>
      <c r="DX24" s="30" t="str">
        <f t="shared" si="244"/>
        <v/>
      </c>
      <c r="DY24" s="30" t="str">
        <f t="shared" si="245"/>
        <v/>
      </c>
      <c r="DZ24" s="30" t="str">
        <f t="shared" si="246"/>
        <v/>
      </c>
      <c r="EA24" s="30" t="str">
        <f t="shared" si="247"/>
        <v/>
      </c>
      <c r="EB24" s="30" t="str">
        <f t="shared" si="248"/>
        <v/>
      </c>
      <c r="EC24" s="30" t="str">
        <f t="shared" si="249"/>
        <v/>
      </c>
      <c r="ED24" s="30" t="str">
        <f t="shared" si="250"/>
        <v/>
      </c>
      <c r="EE24" s="30" t="str">
        <f t="shared" si="251"/>
        <v/>
      </c>
      <c r="EF24" s="30" t="str">
        <f t="shared" si="252"/>
        <v/>
      </c>
      <c r="EG24" s="30" t="str">
        <f t="shared" si="253"/>
        <v/>
      </c>
      <c r="EH24" s="30" t="str">
        <f t="shared" si="254"/>
        <v/>
      </c>
      <c r="EI24" s="30" t="str">
        <f t="shared" si="255"/>
        <v/>
      </c>
      <c r="EJ24" s="30" t="str">
        <f t="shared" si="256"/>
        <v/>
      </c>
      <c r="EK24" s="30" t="str">
        <f t="shared" si="257"/>
        <v/>
      </c>
      <c r="EL24" s="30" t="str">
        <f t="shared" si="258"/>
        <v/>
      </c>
      <c r="EM24" s="30" t="str">
        <f t="shared" si="259"/>
        <v/>
      </c>
      <c r="EN24" s="30" t="str">
        <f t="shared" si="260"/>
        <v/>
      </c>
      <c r="EO24" s="30" t="str">
        <f t="shared" si="261"/>
        <v/>
      </c>
      <c r="EP24" s="30" t="str">
        <f t="shared" si="262"/>
        <v/>
      </c>
      <c r="EQ24" s="30" t="str">
        <f t="shared" si="263"/>
        <v/>
      </c>
      <c r="ER24" s="30" t="str">
        <f t="shared" si="264"/>
        <v/>
      </c>
      <c r="ES24" s="30" t="str">
        <f t="shared" si="265"/>
        <v/>
      </c>
      <c r="ET24" s="30" t="str">
        <f t="shared" si="266"/>
        <v/>
      </c>
      <c r="EU24" s="30" t="str">
        <f t="shared" si="267"/>
        <v/>
      </c>
      <c r="EV24" s="30" t="str">
        <f t="shared" si="268"/>
        <v/>
      </c>
      <c r="EW24" s="30" t="str">
        <f t="shared" si="269"/>
        <v/>
      </c>
      <c r="EX24" s="30" t="str">
        <f t="shared" si="270"/>
        <v/>
      </c>
      <c r="EY24" s="30" t="str">
        <f t="shared" si="271"/>
        <v/>
      </c>
      <c r="EZ24" s="30" t="str">
        <f t="shared" si="272"/>
        <v/>
      </c>
      <c r="FA24" s="30" t="str">
        <f t="shared" si="273"/>
        <v/>
      </c>
      <c r="FB24" s="30" t="str">
        <f t="shared" si="274"/>
        <v/>
      </c>
      <c r="FC24" s="30" t="str">
        <f t="shared" si="275"/>
        <v/>
      </c>
      <c r="FD24" s="30" t="str">
        <f t="shared" si="276"/>
        <v/>
      </c>
      <c r="FE24" s="30" t="str">
        <f t="shared" si="277"/>
        <v/>
      </c>
      <c r="FF24" s="30" t="str">
        <f t="shared" si="278"/>
        <v/>
      </c>
      <c r="FG24" s="30" t="str">
        <f t="shared" si="279"/>
        <v/>
      </c>
      <c r="FH24" s="30" t="str">
        <f t="shared" si="280"/>
        <v/>
      </c>
      <c r="FI24" s="30" t="str">
        <f t="shared" si="281"/>
        <v/>
      </c>
      <c r="FJ24" s="30" t="str">
        <f t="shared" si="282"/>
        <v/>
      </c>
      <c r="FK24" s="30" t="str">
        <f t="shared" si="283"/>
        <v/>
      </c>
      <c r="FL24" s="30" t="str">
        <f t="shared" si="284"/>
        <v/>
      </c>
      <c r="FM24" s="30" t="str">
        <f t="shared" si="285"/>
        <v/>
      </c>
      <c r="FN24" s="30" t="str">
        <f t="shared" si="286"/>
        <v/>
      </c>
      <c r="FO24" s="30" t="str">
        <f t="shared" si="287"/>
        <v/>
      </c>
      <c r="FP24" s="30" t="str">
        <f t="shared" si="288"/>
        <v/>
      </c>
      <c r="FQ24" s="30" t="str">
        <f t="shared" si="289"/>
        <v/>
      </c>
      <c r="FR24" s="30" t="str">
        <f t="shared" si="290"/>
        <v/>
      </c>
      <c r="FS24" s="30" t="str">
        <f t="shared" si="291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8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">
        <v>608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2"/>
        <v>InitUnitState('E023',76000,,,,,,,,53,)</v>
      </c>
      <c r="CO25" s="44" t="str">
        <f t="shared" si="3"/>
        <v>InitUnitNormal('E023',,,,,,,,,12,)</v>
      </c>
      <c r="CP25" s="44" t="str">
        <f t="shared" si="4"/>
        <v>InitUnitMagic('E023',,,,,,,,,,)</v>
      </c>
      <c r="CQ25" s="44" t="str">
        <f t="shared" si="5"/>
        <v>InitUnitAdd('E023',,,,,,,,,,)</v>
      </c>
      <c r="CR25" s="44" t="str">
        <f t="shared" si="6"/>
        <v>InitEquipData('E023',,"",,E024,42000,,'','','','','','',"ReplaceableTextures\\CommandButtons\\BTNZ05.blp")</v>
      </c>
      <c r="CS25" s="44"/>
      <c r="CT25" s="44"/>
      <c r="CU25" s="45" t="str">
        <f t="shared" si="221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2"/>
        <v>|n攻击+76000</v>
      </c>
      <c r="DC25" s="30" t="str">
        <f t="shared" si="223"/>
        <v/>
      </c>
      <c r="DD25" s="30" t="str">
        <f t="shared" si="224"/>
        <v/>
      </c>
      <c r="DE25" s="30" t="str">
        <f t="shared" si="225"/>
        <v/>
      </c>
      <c r="DF25" s="30" t="str">
        <f t="shared" si="226"/>
        <v/>
      </c>
      <c r="DG25" s="30" t="str">
        <f t="shared" si="227"/>
        <v/>
      </c>
      <c r="DH25" s="30" t="str">
        <f t="shared" si="228"/>
        <v/>
      </c>
      <c r="DI25" s="30" t="str">
        <f t="shared" si="229"/>
        <v/>
      </c>
      <c r="DJ25" s="30" t="str">
        <f t="shared" si="230"/>
        <v>|n攻速+53%</v>
      </c>
      <c r="DK25" s="30" t="str">
        <f t="shared" si="231"/>
        <v/>
      </c>
      <c r="DL25" s="30" t="str">
        <f t="shared" si="232"/>
        <v/>
      </c>
      <c r="DM25" s="30" t="str">
        <f t="shared" si="233"/>
        <v/>
      </c>
      <c r="DN25" s="30" t="str">
        <f t="shared" si="234"/>
        <v/>
      </c>
      <c r="DO25" s="30" t="str">
        <f t="shared" si="235"/>
        <v/>
      </c>
      <c r="DP25" s="30" t="str">
        <f t="shared" si="236"/>
        <v/>
      </c>
      <c r="DQ25" s="30" t="str">
        <f t="shared" si="237"/>
        <v/>
      </c>
      <c r="DR25" s="30" t="str">
        <f t="shared" si="238"/>
        <v/>
      </c>
      <c r="DS25" s="30" t="str">
        <f t="shared" si="239"/>
        <v/>
      </c>
      <c r="DT25" s="30" t="str">
        <f t="shared" si="240"/>
        <v>|n暴击+12%</v>
      </c>
      <c r="DU25" s="30" t="str">
        <f t="shared" si="241"/>
        <v/>
      </c>
      <c r="DV25" s="30" t="str">
        <f t="shared" si="242"/>
        <v/>
      </c>
      <c r="DW25" s="30" t="str">
        <f t="shared" si="243"/>
        <v/>
      </c>
      <c r="DX25" s="30" t="str">
        <f t="shared" si="244"/>
        <v/>
      </c>
      <c r="DY25" s="30" t="str">
        <f t="shared" si="245"/>
        <v/>
      </c>
      <c r="DZ25" s="30" t="str">
        <f t="shared" si="246"/>
        <v/>
      </c>
      <c r="EA25" s="30" t="str">
        <f t="shared" si="247"/>
        <v/>
      </c>
      <c r="EB25" s="30" t="str">
        <f t="shared" si="248"/>
        <v/>
      </c>
      <c r="EC25" s="30" t="str">
        <f t="shared" si="249"/>
        <v/>
      </c>
      <c r="ED25" s="30" t="str">
        <f t="shared" si="250"/>
        <v/>
      </c>
      <c r="EE25" s="30" t="str">
        <f t="shared" si="251"/>
        <v/>
      </c>
      <c r="EF25" s="30" t="str">
        <f t="shared" si="252"/>
        <v/>
      </c>
      <c r="EG25" s="30" t="str">
        <f t="shared" si="253"/>
        <v/>
      </c>
      <c r="EH25" s="30" t="str">
        <f t="shared" si="254"/>
        <v/>
      </c>
      <c r="EI25" s="30" t="str">
        <f t="shared" si="255"/>
        <v/>
      </c>
      <c r="EJ25" s="30" t="str">
        <f t="shared" si="256"/>
        <v/>
      </c>
      <c r="EK25" s="30" t="str">
        <f t="shared" si="257"/>
        <v/>
      </c>
      <c r="EL25" s="30" t="str">
        <f t="shared" si="258"/>
        <v/>
      </c>
      <c r="EM25" s="30" t="str">
        <f t="shared" si="259"/>
        <v/>
      </c>
      <c r="EN25" s="30" t="str">
        <f t="shared" si="260"/>
        <v/>
      </c>
      <c r="EO25" s="30" t="str">
        <f t="shared" si="261"/>
        <v/>
      </c>
      <c r="EP25" s="30" t="str">
        <f t="shared" si="262"/>
        <v/>
      </c>
      <c r="EQ25" s="30" t="str">
        <f t="shared" si="263"/>
        <v/>
      </c>
      <c r="ER25" s="30" t="str">
        <f t="shared" si="264"/>
        <v/>
      </c>
      <c r="ES25" s="30" t="str">
        <f t="shared" si="265"/>
        <v/>
      </c>
      <c r="ET25" s="30" t="str">
        <f t="shared" si="266"/>
        <v/>
      </c>
      <c r="EU25" s="30" t="str">
        <f t="shared" si="267"/>
        <v/>
      </c>
      <c r="EV25" s="30" t="str">
        <f t="shared" si="268"/>
        <v/>
      </c>
      <c r="EW25" s="30" t="str">
        <f t="shared" si="269"/>
        <v/>
      </c>
      <c r="EX25" s="30" t="str">
        <f t="shared" si="270"/>
        <v/>
      </c>
      <c r="EY25" s="30" t="str">
        <f t="shared" si="271"/>
        <v/>
      </c>
      <c r="EZ25" s="30" t="str">
        <f t="shared" si="272"/>
        <v/>
      </c>
      <c r="FA25" s="30" t="str">
        <f t="shared" si="273"/>
        <v/>
      </c>
      <c r="FB25" s="30" t="str">
        <f t="shared" si="274"/>
        <v/>
      </c>
      <c r="FC25" s="30" t="str">
        <f t="shared" si="275"/>
        <v/>
      </c>
      <c r="FD25" s="30" t="str">
        <f t="shared" si="276"/>
        <v/>
      </c>
      <c r="FE25" s="30" t="str">
        <f t="shared" si="277"/>
        <v/>
      </c>
      <c r="FF25" s="30" t="str">
        <f t="shared" si="278"/>
        <v/>
      </c>
      <c r="FG25" s="30" t="str">
        <f t="shared" si="279"/>
        <v/>
      </c>
      <c r="FH25" s="30" t="str">
        <f t="shared" si="280"/>
        <v/>
      </c>
      <c r="FI25" s="30" t="str">
        <f t="shared" si="281"/>
        <v/>
      </c>
      <c r="FJ25" s="30" t="str">
        <f t="shared" si="282"/>
        <v/>
      </c>
      <c r="FK25" s="30" t="str">
        <f t="shared" si="283"/>
        <v/>
      </c>
      <c r="FL25" s="30" t="str">
        <f t="shared" si="284"/>
        <v/>
      </c>
      <c r="FM25" s="30" t="str">
        <f t="shared" si="285"/>
        <v/>
      </c>
      <c r="FN25" s="30" t="str">
        <f t="shared" si="286"/>
        <v/>
      </c>
      <c r="FO25" s="30" t="str">
        <f t="shared" si="287"/>
        <v/>
      </c>
      <c r="FP25" s="30" t="str">
        <f t="shared" si="288"/>
        <v/>
      </c>
      <c r="FQ25" s="30" t="str">
        <f t="shared" si="289"/>
        <v/>
      </c>
      <c r="FR25" s="30" t="str">
        <f t="shared" si="290"/>
        <v/>
      </c>
      <c r="FS25" s="30" t="str">
        <f t="shared" si="291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8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">
        <v>608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2"/>
        <v>InitUnitState('E024',88000,,,,,,,,53,)</v>
      </c>
      <c r="CO26" s="44" t="str">
        <f t="shared" si="3"/>
        <v>InitUnitNormal('E024',,,,,,,,,12,)</v>
      </c>
      <c r="CP26" s="44" t="str">
        <f t="shared" si="4"/>
        <v>InitUnitMagic('E024',,,,,,,,,,)</v>
      </c>
      <c r="CQ26" s="44" t="str">
        <f t="shared" si="5"/>
        <v>InitUnitAdd('E024',,,,,,,,,,)</v>
      </c>
      <c r="CR26" s="44" t="str">
        <f t="shared" si="6"/>
        <v>InitEquipData('E024',,"",,E025,42000,,'','','','','','',"ReplaceableTextures\\CommandButtons\\BTNZ05.blp")</v>
      </c>
      <c r="CS26" s="44"/>
      <c r="CT26" s="44"/>
      <c r="CU26" s="45" t="str">
        <f t="shared" si="221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2"/>
        <v>|n攻击+88000</v>
      </c>
      <c r="DC26" s="30" t="str">
        <f t="shared" si="223"/>
        <v/>
      </c>
      <c r="DD26" s="30" t="str">
        <f t="shared" si="224"/>
        <v/>
      </c>
      <c r="DE26" s="30" t="str">
        <f t="shared" si="225"/>
        <v/>
      </c>
      <c r="DF26" s="30" t="str">
        <f t="shared" si="226"/>
        <v/>
      </c>
      <c r="DG26" s="30" t="str">
        <f t="shared" si="227"/>
        <v/>
      </c>
      <c r="DH26" s="30" t="str">
        <f t="shared" si="228"/>
        <v/>
      </c>
      <c r="DI26" s="30" t="str">
        <f t="shared" si="229"/>
        <v/>
      </c>
      <c r="DJ26" s="30" t="str">
        <f t="shared" si="230"/>
        <v>|n攻速+53%</v>
      </c>
      <c r="DK26" s="30" t="str">
        <f t="shared" si="231"/>
        <v/>
      </c>
      <c r="DL26" s="30" t="str">
        <f t="shared" si="232"/>
        <v/>
      </c>
      <c r="DM26" s="30" t="str">
        <f t="shared" si="233"/>
        <v/>
      </c>
      <c r="DN26" s="30" t="str">
        <f t="shared" si="234"/>
        <v/>
      </c>
      <c r="DO26" s="30" t="str">
        <f t="shared" si="235"/>
        <v/>
      </c>
      <c r="DP26" s="30" t="str">
        <f t="shared" si="236"/>
        <v/>
      </c>
      <c r="DQ26" s="30" t="str">
        <f t="shared" si="237"/>
        <v/>
      </c>
      <c r="DR26" s="30" t="str">
        <f t="shared" si="238"/>
        <v/>
      </c>
      <c r="DS26" s="30" t="str">
        <f t="shared" si="239"/>
        <v/>
      </c>
      <c r="DT26" s="30" t="str">
        <f t="shared" si="240"/>
        <v>|n暴击+12%</v>
      </c>
      <c r="DU26" s="30" t="str">
        <f t="shared" si="241"/>
        <v/>
      </c>
      <c r="DV26" s="30" t="str">
        <f t="shared" si="242"/>
        <v/>
      </c>
      <c r="DW26" s="30" t="str">
        <f t="shared" si="243"/>
        <v/>
      </c>
      <c r="DX26" s="30" t="str">
        <f t="shared" si="244"/>
        <v/>
      </c>
      <c r="DY26" s="30" t="str">
        <f t="shared" si="245"/>
        <v/>
      </c>
      <c r="DZ26" s="30" t="str">
        <f t="shared" si="246"/>
        <v/>
      </c>
      <c r="EA26" s="30" t="str">
        <f t="shared" si="247"/>
        <v/>
      </c>
      <c r="EB26" s="30" t="str">
        <f t="shared" si="248"/>
        <v/>
      </c>
      <c r="EC26" s="30" t="str">
        <f t="shared" si="249"/>
        <v/>
      </c>
      <c r="ED26" s="30" t="str">
        <f t="shared" si="250"/>
        <v/>
      </c>
      <c r="EE26" s="30" t="str">
        <f t="shared" si="251"/>
        <v/>
      </c>
      <c r="EF26" s="30" t="str">
        <f t="shared" si="252"/>
        <v/>
      </c>
      <c r="EG26" s="30" t="str">
        <f t="shared" si="253"/>
        <v/>
      </c>
      <c r="EH26" s="30" t="str">
        <f t="shared" si="254"/>
        <v/>
      </c>
      <c r="EI26" s="30" t="str">
        <f t="shared" si="255"/>
        <v/>
      </c>
      <c r="EJ26" s="30" t="str">
        <f t="shared" si="256"/>
        <v/>
      </c>
      <c r="EK26" s="30" t="str">
        <f t="shared" si="257"/>
        <v/>
      </c>
      <c r="EL26" s="30" t="str">
        <f t="shared" si="258"/>
        <v/>
      </c>
      <c r="EM26" s="30" t="str">
        <f t="shared" si="259"/>
        <v/>
      </c>
      <c r="EN26" s="30" t="str">
        <f t="shared" si="260"/>
        <v/>
      </c>
      <c r="EO26" s="30" t="str">
        <f t="shared" si="261"/>
        <v/>
      </c>
      <c r="EP26" s="30" t="str">
        <f t="shared" si="262"/>
        <v/>
      </c>
      <c r="EQ26" s="30" t="str">
        <f t="shared" si="263"/>
        <v/>
      </c>
      <c r="ER26" s="30" t="str">
        <f t="shared" si="264"/>
        <v/>
      </c>
      <c r="ES26" s="30" t="str">
        <f t="shared" si="265"/>
        <v/>
      </c>
      <c r="ET26" s="30" t="str">
        <f t="shared" si="266"/>
        <v/>
      </c>
      <c r="EU26" s="30" t="str">
        <f t="shared" si="267"/>
        <v/>
      </c>
      <c r="EV26" s="30" t="str">
        <f t="shared" si="268"/>
        <v/>
      </c>
      <c r="EW26" s="30" t="str">
        <f t="shared" si="269"/>
        <v/>
      </c>
      <c r="EX26" s="30" t="str">
        <f t="shared" si="270"/>
        <v/>
      </c>
      <c r="EY26" s="30" t="str">
        <f t="shared" si="271"/>
        <v/>
      </c>
      <c r="EZ26" s="30" t="str">
        <f t="shared" si="272"/>
        <v/>
      </c>
      <c r="FA26" s="30" t="str">
        <f t="shared" si="273"/>
        <v/>
      </c>
      <c r="FB26" s="30" t="str">
        <f t="shared" si="274"/>
        <v/>
      </c>
      <c r="FC26" s="30" t="str">
        <f t="shared" si="275"/>
        <v/>
      </c>
      <c r="FD26" s="30" t="str">
        <f t="shared" si="276"/>
        <v/>
      </c>
      <c r="FE26" s="30" t="str">
        <f t="shared" si="277"/>
        <v/>
      </c>
      <c r="FF26" s="30" t="str">
        <f t="shared" si="278"/>
        <v/>
      </c>
      <c r="FG26" s="30" t="str">
        <f t="shared" si="279"/>
        <v/>
      </c>
      <c r="FH26" s="30" t="str">
        <f t="shared" si="280"/>
        <v/>
      </c>
      <c r="FI26" s="30" t="str">
        <f t="shared" si="281"/>
        <v/>
      </c>
      <c r="FJ26" s="30" t="str">
        <f t="shared" si="282"/>
        <v/>
      </c>
      <c r="FK26" s="30" t="str">
        <f t="shared" si="283"/>
        <v/>
      </c>
      <c r="FL26" s="30" t="str">
        <f t="shared" si="284"/>
        <v/>
      </c>
      <c r="FM26" s="30" t="str">
        <f t="shared" si="285"/>
        <v/>
      </c>
      <c r="FN26" s="30" t="str">
        <f t="shared" si="286"/>
        <v/>
      </c>
      <c r="FO26" s="30" t="str">
        <f t="shared" si="287"/>
        <v/>
      </c>
      <c r="FP26" s="30" t="str">
        <f t="shared" si="288"/>
        <v/>
      </c>
      <c r="FQ26" s="30" t="str">
        <f t="shared" si="289"/>
        <v/>
      </c>
      <c r="FR26" s="30" t="str">
        <f t="shared" si="290"/>
        <v/>
      </c>
      <c r="FS26" s="30" t="str">
        <f t="shared" si="291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">
        <v>608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2"/>
        <v>InitUnitState('E025',100000,,,,,,,,53,)</v>
      </c>
      <c r="CO27" s="44" t="str">
        <f t="shared" si="3"/>
        <v>InitUnitNormal('E025',,,,,,,,,12,)</v>
      </c>
      <c r="CP27" s="44" t="str">
        <f t="shared" si="4"/>
        <v>InitUnitMagic('E025',,,,,,,,,,)</v>
      </c>
      <c r="CQ27" s="44" t="str">
        <f t="shared" si="5"/>
        <v>InitUnitAdd('E025',,,,,,,,,,)</v>
      </c>
      <c r="CR27" s="44" t="str">
        <f t="shared" si="6"/>
        <v>InitEquipData('E025',,"",,,,,'','','','','','',"ReplaceableTextures\\CommandButtons\\BTNZ06.blp")</v>
      </c>
      <c r="CS27" s="44"/>
      <c r="CT27" s="44"/>
      <c r="CU27" s="45" t="str">
        <f t="shared" si="221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2"/>
        <v>|n攻击+100000</v>
      </c>
      <c r="DC27" s="30" t="str">
        <f t="shared" si="223"/>
        <v/>
      </c>
      <c r="DD27" s="30" t="str">
        <f t="shared" si="224"/>
        <v/>
      </c>
      <c r="DE27" s="30" t="str">
        <f t="shared" si="225"/>
        <v/>
      </c>
      <c r="DF27" s="30" t="str">
        <f t="shared" si="226"/>
        <v/>
      </c>
      <c r="DG27" s="30" t="str">
        <f t="shared" si="227"/>
        <v/>
      </c>
      <c r="DH27" s="30" t="str">
        <f t="shared" si="228"/>
        <v/>
      </c>
      <c r="DI27" s="30" t="str">
        <f t="shared" si="229"/>
        <v/>
      </c>
      <c r="DJ27" s="30" t="str">
        <f t="shared" si="230"/>
        <v>|n攻速+53%</v>
      </c>
      <c r="DK27" s="30" t="str">
        <f t="shared" si="231"/>
        <v/>
      </c>
      <c r="DL27" s="30" t="str">
        <f t="shared" si="232"/>
        <v/>
      </c>
      <c r="DM27" s="30" t="str">
        <f t="shared" si="233"/>
        <v/>
      </c>
      <c r="DN27" s="30" t="str">
        <f t="shared" si="234"/>
        <v/>
      </c>
      <c r="DO27" s="30" t="str">
        <f t="shared" si="235"/>
        <v/>
      </c>
      <c r="DP27" s="30" t="str">
        <f t="shared" si="236"/>
        <v/>
      </c>
      <c r="DQ27" s="30" t="str">
        <f t="shared" si="237"/>
        <v/>
      </c>
      <c r="DR27" s="30" t="str">
        <f t="shared" si="238"/>
        <v/>
      </c>
      <c r="DS27" s="30" t="str">
        <f t="shared" si="239"/>
        <v/>
      </c>
      <c r="DT27" s="30" t="str">
        <f t="shared" si="240"/>
        <v>|n暴击+12%</v>
      </c>
      <c r="DU27" s="30" t="str">
        <f t="shared" si="241"/>
        <v/>
      </c>
      <c r="DV27" s="30" t="str">
        <f t="shared" si="242"/>
        <v/>
      </c>
      <c r="DW27" s="30" t="str">
        <f t="shared" si="243"/>
        <v/>
      </c>
      <c r="DX27" s="30" t="str">
        <f t="shared" si="244"/>
        <v/>
      </c>
      <c r="DY27" s="30" t="str">
        <f t="shared" si="245"/>
        <v/>
      </c>
      <c r="DZ27" s="30" t="str">
        <f t="shared" si="246"/>
        <v/>
      </c>
      <c r="EA27" s="30" t="str">
        <f t="shared" si="247"/>
        <v/>
      </c>
      <c r="EB27" s="30" t="str">
        <f t="shared" si="248"/>
        <v/>
      </c>
      <c r="EC27" s="30" t="str">
        <f t="shared" si="249"/>
        <v/>
      </c>
      <c r="ED27" s="30" t="str">
        <f t="shared" si="250"/>
        <v/>
      </c>
      <c r="EE27" s="30" t="str">
        <f t="shared" si="251"/>
        <v/>
      </c>
      <c r="EF27" s="30" t="str">
        <f t="shared" si="252"/>
        <v/>
      </c>
      <c r="EG27" s="30" t="str">
        <f t="shared" si="253"/>
        <v/>
      </c>
      <c r="EH27" s="30" t="str">
        <f t="shared" si="254"/>
        <v/>
      </c>
      <c r="EI27" s="30" t="str">
        <f t="shared" si="255"/>
        <v/>
      </c>
      <c r="EJ27" s="30" t="str">
        <f t="shared" si="256"/>
        <v/>
      </c>
      <c r="EK27" s="30" t="str">
        <f t="shared" si="257"/>
        <v/>
      </c>
      <c r="EL27" s="30" t="str">
        <f t="shared" si="258"/>
        <v/>
      </c>
      <c r="EM27" s="30" t="str">
        <f t="shared" si="259"/>
        <v/>
      </c>
      <c r="EN27" s="30" t="str">
        <f t="shared" si="260"/>
        <v/>
      </c>
      <c r="EO27" s="30" t="str">
        <f t="shared" si="261"/>
        <v/>
      </c>
      <c r="EP27" s="30" t="str">
        <f t="shared" si="262"/>
        <v/>
      </c>
      <c r="EQ27" s="30" t="str">
        <f t="shared" si="263"/>
        <v/>
      </c>
      <c r="ER27" s="30" t="str">
        <f t="shared" si="264"/>
        <v/>
      </c>
      <c r="ES27" s="30" t="str">
        <f t="shared" si="265"/>
        <v/>
      </c>
      <c r="ET27" s="30" t="str">
        <f t="shared" si="266"/>
        <v/>
      </c>
      <c r="EU27" s="30" t="str">
        <f t="shared" si="267"/>
        <v/>
      </c>
      <c r="EV27" s="30" t="str">
        <f t="shared" si="268"/>
        <v/>
      </c>
      <c r="EW27" s="30" t="str">
        <f t="shared" si="269"/>
        <v/>
      </c>
      <c r="EX27" s="30" t="str">
        <f t="shared" si="270"/>
        <v/>
      </c>
      <c r="EY27" s="30" t="str">
        <f t="shared" si="271"/>
        <v/>
      </c>
      <c r="EZ27" s="30" t="str">
        <f t="shared" si="272"/>
        <v/>
      </c>
      <c r="FA27" s="30" t="str">
        <f t="shared" si="273"/>
        <v/>
      </c>
      <c r="FB27" s="30" t="str">
        <f t="shared" si="274"/>
        <v/>
      </c>
      <c r="FC27" s="30" t="str">
        <f t="shared" si="275"/>
        <v/>
      </c>
      <c r="FD27" s="30" t="str">
        <f t="shared" si="276"/>
        <v/>
      </c>
      <c r="FE27" s="30" t="str">
        <f t="shared" si="277"/>
        <v/>
      </c>
      <c r="FF27" s="30" t="str">
        <f t="shared" si="278"/>
        <v/>
      </c>
      <c r="FG27" s="30" t="str">
        <f t="shared" si="279"/>
        <v/>
      </c>
      <c r="FH27" s="30" t="str">
        <f t="shared" si="280"/>
        <v/>
      </c>
      <c r="FI27" s="30" t="str">
        <f t="shared" si="281"/>
        <v/>
      </c>
      <c r="FJ27" s="30" t="str">
        <f t="shared" si="282"/>
        <v/>
      </c>
      <c r="FK27" s="30" t="str">
        <f t="shared" si="283"/>
        <v/>
      </c>
      <c r="FL27" s="30" t="str">
        <f t="shared" si="284"/>
        <v/>
      </c>
      <c r="FM27" s="30" t="str">
        <f t="shared" si="285"/>
        <v/>
      </c>
      <c r="FN27" s="30" t="str">
        <f t="shared" si="286"/>
        <v/>
      </c>
      <c r="FO27" s="30" t="str">
        <f t="shared" si="287"/>
        <v/>
      </c>
      <c r="FP27" s="30" t="str">
        <f t="shared" si="288"/>
        <v/>
      </c>
      <c r="FQ27" s="30" t="str">
        <f t="shared" si="289"/>
        <v/>
      </c>
      <c r="FR27" s="30" t="str">
        <f t="shared" si="290"/>
        <v/>
      </c>
      <c r="FS27" s="30" t="str">
        <f t="shared" si="291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">
        <v>599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2"/>
        <v>InitUnitState('E101',,1000,,,,,,,,)</v>
      </c>
      <c r="CO28" s="44" t="str">
        <f t="shared" si="3"/>
        <v>InitUnitNormal('E101',,,,,,,,,,)</v>
      </c>
      <c r="CP28" s="44" t="str">
        <f t="shared" si="4"/>
        <v>InitUnitMagic('E101',,,,,,,,,,)</v>
      </c>
      <c r="CQ28" s="44" t="str">
        <f t="shared" si="5"/>
        <v>InitUnitAdd('E101',,,,,,,,,,)</v>
      </c>
      <c r="CR28" s="44" t="str">
        <f t="shared" si="6"/>
        <v>InitEquipData('E101',,"",,E102,1000,,'','','','','','',"ReplaceableTextures\\CommandButtons\\BTNZ06.blp")</v>
      </c>
      <c r="CS28" s="44"/>
      <c r="CT28" s="44"/>
      <c r="CU28" s="45" t="str">
        <f t="shared" si="221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2"/>
        <v/>
      </c>
      <c r="DC28" s="30" t="str">
        <f t="shared" si="223"/>
        <v>|n法强+1000</v>
      </c>
      <c r="DD28" s="30" t="str">
        <f t="shared" si="224"/>
        <v/>
      </c>
      <c r="DE28" s="30" t="str">
        <f t="shared" si="225"/>
        <v/>
      </c>
      <c r="DF28" s="30" t="str">
        <f t="shared" si="226"/>
        <v/>
      </c>
      <c r="DG28" s="30" t="str">
        <f t="shared" si="227"/>
        <v/>
      </c>
      <c r="DH28" s="30" t="str">
        <f t="shared" si="228"/>
        <v/>
      </c>
      <c r="DI28" s="30" t="str">
        <f t="shared" si="229"/>
        <v/>
      </c>
      <c r="DJ28" s="30" t="str">
        <f t="shared" si="230"/>
        <v/>
      </c>
      <c r="DK28" s="30" t="str">
        <f t="shared" si="231"/>
        <v/>
      </c>
      <c r="DL28" s="30" t="str">
        <f t="shared" si="232"/>
        <v/>
      </c>
      <c r="DM28" s="30" t="str">
        <f t="shared" si="233"/>
        <v/>
      </c>
      <c r="DN28" s="30" t="str">
        <f t="shared" si="234"/>
        <v/>
      </c>
      <c r="DO28" s="30" t="str">
        <f t="shared" si="235"/>
        <v/>
      </c>
      <c r="DP28" s="30" t="str">
        <f t="shared" si="236"/>
        <v/>
      </c>
      <c r="DQ28" s="30" t="str">
        <f t="shared" si="237"/>
        <v/>
      </c>
      <c r="DR28" s="30" t="str">
        <f t="shared" si="238"/>
        <v/>
      </c>
      <c r="DS28" s="30" t="str">
        <f t="shared" si="239"/>
        <v/>
      </c>
      <c r="DT28" s="30" t="str">
        <f t="shared" si="240"/>
        <v/>
      </c>
      <c r="DU28" s="30" t="str">
        <f t="shared" si="241"/>
        <v/>
      </c>
      <c r="DV28" s="30" t="str">
        <f t="shared" si="242"/>
        <v/>
      </c>
      <c r="DW28" s="30" t="str">
        <f t="shared" si="243"/>
        <v/>
      </c>
      <c r="DX28" s="30" t="str">
        <f t="shared" si="244"/>
        <v/>
      </c>
      <c r="DY28" s="30" t="str">
        <f t="shared" si="245"/>
        <v/>
      </c>
      <c r="DZ28" s="30" t="str">
        <f t="shared" si="246"/>
        <v/>
      </c>
      <c r="EA28" s="30" t="str">
        <f t="shared" si="247"/>
        <v/>
      </c>
      <c r="EB28" s="30" t="str">
        <f t="shared" si="248"/>
        <v/>
      </c>
      <c r="EC28" s="30" t="str">
        <f t="shared" si="249"/>
        <v/>
      </c>
      <c r="ED28" s="30" t="str">
        <f t="shared" si="250"/>
        <v/>
      </c>
      <c r="EE28" s="30" t="str">
        <f t="shared" si="251"/>
        <v/>
      </c>
      <c r="EF28" s="30" t="str">
        <f t="shared" si="252"/>
        <v/>
      </c>
      <c r="EG28" s="30" t="str">
        <f t="shared" si="253"/>
        <v/>
      </c>
      <c r="EH28" s="30" t="str">
        <f t="shared" si="254"/>
        <v/>
      </c>
      <c r="EI28" s="30" t="str">
        <f t="shared" si="255"/>
        <v/>
      </c>
      <c r="EJ28" s="30" t="str">
        <f t="shared" si="256"/>
        <v/>
      </c>
      <c r="EK28" s="30" t="str">
        <f t="shared" si="257"/>
        <v/>
      </c>
      <c r="EL28" s="30" t="str">
        <f t="shared" si="258"/>
        <v/>
      </c>
      <c r="EM28" s="30" t="str">
        <f t="shared" si="259"/>
        <v/>
      </c>
      <c r="EN28" s="30" t="str">
        <f t="shared" si="260"/>
        <v/>
      </c>
      <c r="EO28" s="30" t="str">
        <f t="shared" si="261"/>
        <v/>
      </c>
      <c r="EP28" s="30" t="str">
        <f t="shared" si="262"/>
        <v/>
      </c>
      <c r="EQ28" s="30" t="str">
        <f t="shared" si="263"/>
        <v/>
      </c>
      <c r="ER28" s="30" t="str">
        <f t="shared" si="264"/>
        <v/>
      </c>
      <c r="ES28" s="30" t="str">
        <f t="shared" si="265"/>
        <v/>
      </c>
      <c r="ET28" s="30" t="str">
        <f t="shared" si="266"/>
        <v/>
      </c>
      <c r="EU28" s="30" t="str">
        <f t="shared" si="267"/>
        <v/>
      </c>
      <c r="EV28" s="30" t="str">
        <f t="shared" si="268"/>
        <v/>
      </c>
      <c r="EW28" s="30" t="str">
        <f t="shared" si="269"/>
        <v/>
      </c>
      <c r="EX28" s="30" t="str">
        <f t="shared" si="270"/>
        <v/>
      </c>
      <c r="EY28" s="30" t="str">
        <f t="shared" si="271"/>
        <v/>
      </c>
      <c r="EZ28" s="30" t="str">
        <f t="shared" si="272"/>
        <v/>
      </c>
      <c r="FA28" s="30" t="str">
        <f t="shared" si="273"/>
        <v/>
      </c>
      <c r="FB28" s="30" t="str">
        <f t="shared" si="274"/>
        <v/>
      </c>
      <c r="FC28" s="30" t="str">
        <f t="shared" si="275"/>
        <v/>
      </c>
      <c r="FD28" s="30" t="str">
        <f t="shared" si="276"/>
        <v/>
      </c>
      <c r="FE28" s="30" t="str">
        <f t="shared" si="277"/>
        <v/>
      </c>
      <c r="FF28" s="30" t="str">
        <f t="shared" si="278"/>
        <v/>
      </c>
      <c r="FG28" s="30" t="str">
        <f t="shared" si="279"/>
        <v/>
      </c>
      <c r="FH28" s="30" t="str">
        <f t="shared" si="280"/>
        <v/>
      </c>
      <c r="FI28" s="30" t="str">
        <f t="shared" si="281"/>
        <v/>
      </c>
      <c r="FJ28" s="30" t="str">
        <f t="shared" si="282"/>
        <v/>
      </c>
      <c r="FK28" s="30" t="str">
        <f t="shared" si="283"/>
        <v/>
      </c>
      <c r="FL28" s="30" t="str">
        <f t="shared" si="284"/>
        <v/>
      </c>
      <c r="FM28" s="30" t="str">
        <f t="shared" si="285"/>
        <v/>
      </c>
      <c r="FN28" s="30" t="str">
        <f t="shared" si="286"/>
        <v/>
      </c>
      <c r="FO28" s="30" t="str">
        <f t="shared" si="287"/>
        <v/>
      </c>
      <c r="FP28" s="30" t="str">
        <f t="shared" si="288"/>
        <v/>
      </c>
      <c r="FQ28" s="30" t="str">
        <f t="shared" si="289"/>
        <v/>
      </c>
      <c r="FR28" s="30" t="str">
        <f t="shared" si="290"/>
        <v/>
      </c>
      <c r="FS28" s="30" t="str">
        <f t="shared" si="291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2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">
        <v>599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2"/>
        <v>InitUnitState('E102',,1512,,,,,,,,)</v>
      </c>
      <c r="CO29" s="44" t="str">
        <f t="shared" si="3"/>
        <v>InitUnitNormal('E102',,,,,,,,,,)</v>
      </c>
      <c r="CP29" s="44" t="str">
        <f t="shared" si="4"/>
        <v>InitUnitMagic('E102',,,,,,,,,,)</v>
      </c>
      <c r="CQ29" s="44" t="str">
        <f t="shared" si="5"/>
        <v>InitUnitAdd('E102',,,,,,,,,,)</v>
      </c>
      <c r="CR29" s="44" t="str">
        <f t="shared" si="6"/>
        <v>InitEquipData('E102',,"",,E103,1000,,'','','','','','',"ReplaceableTextures\\CommandButtons\\BTNZ06.blp")</v>
      </c>
      <c r="CS29" s="44"/>
      <c r="CT29" s="44"/>
      <c r="CU29" s="45" t="str">
        <f t="shared" si="221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2"/>
        <v/>
      </c>
      <c r="DC29" s="30" t="str">
        <f t="shared" si="223"/>
        <v>|n法强+1512</v>
      </c>
      <c r="DD29" s="30" t="str">
        <f t="shared" si="224"/>
        <v/>
      </c>
      <c r="DE29" s="30" t="str">
        <f t="shared" si="225"/>
        <v/>
      </c>
      <c r="DF29" s="30" t="str">
        <f t="shared" si="226"/>
        <v/>
      </c>
      <c r="DG29" s="30" t="str">
        <f t="shared" si="227"/>
        <v/>
      </c>
      <c r="DH29" s="30" t="str">
        <f t="shared" si="228"/>
        <v/>
      </c>
      <c r="DI29" s="30" t="str">
        <f t="shared" si="229"/>
        <v/>
      </c>
      <c r="DJ29" s="30" t="str">
        <f t="shared" si="230"/>
        <v/>
      </c>
      <c r="DK29" s="30" t="str">
        <f t="shared" si="231"/>
        <v/>
      </c>
      <c r="DL29" s="30" t="str">
        <f t="shared" si="232"/>
        <v/>
      </c>
      <c r="DM29" s="30" t="str">
        <f t="shared" si="233"/>
        <v/>
      </c>
      <c r="DN29" s="30" t="str">
        <f t="shared" si="234"/>
        <v/>
      </c>
      <c r="DO29" s="30" t="str">
        <f t="shared" si="235"/>
        <v/>
      </c>
      <c r="DP29" s="30" t="str">
        <f t="shared" si="236"/>
        <v/>
      </c>
      <c r="DQ29" s="30" t="str">
        <f t="shared" si="237"/>
        <v/>
      </c>
      <c r="DR29" s="30" t="str">
        <f t="shared" si="238"/>
        <v/>
      </c>
      <c r="DS29" s="30" t="str">
        <f t="shared" si="239"/>
        <v/>
      </c>
      <c r="DT29" s="30" t="str">
        <f t="shared" si="240"/>
        <v/>
      </c>
      <c r="DU29" s="30" t="str">
        <f t="shared" si="241"/>
        <v/>
      </c>
      <c r="DV29" s="30" t="str">
        <f t="shared" si="242"/>
        <v/>
      </c>
      <c r="DW29" s="30" t="str">
        <f t="shared" si="243"/>
        <v/>
      </c>
      <c r="DX29" s="30" t="str">
        <f t="shared" si="244"/>
        <v/>
      </c>
      <c r="DY29" s="30" t="str">
        <f t="shared" si="245"/>
        <v/>
      </c>
      <c r="DZ29" s="30" t="str">
        <f t="shared" si="246"/>
        <v/>
      </c>
      <c r="EA29" s="30" t="str">
        <f t="shared" si="247"/>
        <v/>
      </c>
      <c r="EB29" s="30" t="str">
        <f t="shared" si="248"/>
        <v/>
      </c>
      <c r="EC29" s="30" t="str">
        <f t="shared" si="249"/>
        <v/>
      </c>
      <c r="ED29" s="30" t="str">
        <f t="shared" si="250"/>
        <v/>
      </c>
      <c r="EE29" s="30" t="str">
        <f t="shared" si="251"/>
        <v/>
      </c>
      <c r="EF29" s="30" t="str">
        <f t="shared" si="252"/>
        <v/>
      </c>
      <c r="EG29" s="30" t="str">
        <f t="shared" si="253"/>
        <v/>
      </c>
      <c r="EH29" s="30" t="str">
        <f t="shared" si="254"/>
        <v/>
      </c>
      <c r="EI29" s="30" t="str">
        <f t="shared" si="255"/>
        <v/>
      </c>
      <c r="EJ29" s="30" t="str">
        <f t="shared" si="256"/>
        <v/>
      </c>
      <c r="EK29" s="30" t="str">
        <f t="shared" si="257"/>
        <v/>
      </c>
      <c r="EL29" s="30" t="str">
        <f t="shared" si="258"/>
        <v/>
      </c>
      <c r="EM29" s="30" t="str">
        <f t="shared" si="259"/>
        <v/>
      </c>
      <c r="EN29" s="30" t="str">
        <f t="shared" si="260"/>
        <v/>
      </c>
      <c r="EO29" s="30" t="str">
        <f t="shared" si="261"/>
        <v/>
      </c>
      <c r="EP29" s="30" t="str">
        <f t="shared" si="262"/>
        <v/>
      </c>
      <c r="EQ29" s="30" t="str">
        <f t="shared" si="263"/>
        <v/>
      </c>
      <c r="ER29" s="30" t="str">
        <f t="shared" si="264"/>
        <v/>
      </c>
      <c r="ES29" s="30" t="str">
        <f t="shared" si="265"/>
        <v/>
      </c>
      <c r="ET29" s="30" t="str">
        <f t="shared" si="266"/>
        <v/>
      </c>
      <c r="EU29" s="30" t="str">
        <f t="shared" si="267"/>
        <v/>
      </c>
      <c r="EV29" s="30" t="str">
        <f t="shared" si="268"/>
        <v/>
      </c>
      <c r="EW29" s="30" t="str">
        <f t="shared" si="269"/>
        <v/>
      </c>
      <c r="EX29" s="30" t="str">
        <f t="shared" si="270"/>
        <v/>
      </c>
      <c r="EY29" s="30" t="str">
        <f t="shared" si="271"/>
        <v/>
      </c>
      <c r="EZ29" s="30" t="str">
        <f t="shared" si="272"/>
        <v/>
      </c>
      <c r="FA29" s="30" t="str">
        <f t="shared" si="273"/>
        <v/>
      </c>
      <c r="FB29" s="30" t="str">
        <f t="shared" si="274"/>
        <v/>
      </c>
      <c r="FC29" s="30" t="str">
        <f t="shared" si="275"/>
        <v/>
      </c>
      <c r="FD29" s="30" t="str">
        <f t="shared" si="276"/>
        <v/>
      </c>
      <c r="FE29" s="30" t="str">
        <f t="shared" si="277"/>
        <v/>
      </c>
      <c r="FF29" s="30" t="str">
        <f t="shared" si="278"/>
        <v/>
      </c>
      <c r="FG29" s="30" t="str">
        <f t="shared" si="279"/>
        <v/>
      </c>
      <c r="FH29" s="30" t="str">
        <f t="shared" si="280"/>
        <v/>
      </c>
      <c r="FI29" s="30" t="str">
        <f t="shared" si="281"/>
        <v/>
      </c>
      <c r="FJ29" s="30" t="str">
        <f t="shared" si="282"/>
        <v/>
      </c>
      <c r="FK29" s="30" t="str">
        <f t="shared" si="283"/>
        <v/>
      </c>
      <c r="FL29" s="30" t="str">
        <f t="shared" si="284"/>
        <v/>
      </c>
      <c r="FM29" s="30" t="str">
        <f t="shared" si="285"/>
        <v/>
      </c>
      <c r="FN29" s="30" t="str">
        <f t="shared" si="286"/>
        <v/>
      </c>
      <c r="FO29" s="30" t="str">
        <f t="shared" si="287"/>
        <v/>
      </c>
      <c r="FP29" s="30" t="str">
        <f t="shared" si="288"/>
        <v/>
      </c>
      <c r="FQ29" s="30" t="str">
        <f t="shared" si="289"/>
        <v/>
      </c>
      <c r="FR29" s="30" t="str">
        <f t="shared" si="290"/>
        <v/>
      </c>
      <c r="FS29" s="30" t="str">
        <f t="shared" si="291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2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">
        <v>599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2"/>
        <v>InitUnitState('E103',,2024,,,,,,,,)</v>
      </c>
      <c r="CO30" s="44" t="str">
        <f t="shared" si="3"/>
        <v>InitUnitNormal('E103',,,,,,,,,,)</v>
      </c>
      <c r="CP30" s="44" t="str">
        <f t="shared" si="4"/>
        <v>InitUnitMagic('E103',,,,,,,,,,)</v>
      </c>
      <c r="CQ30" s="44" t="str">
        <f t="shared" si="5"/>
        <v>InitUnitAdd('E103',,,,,,,,,,)</v>
      </c>
      <c r="CR30" s="44" t="str">
        <f t="shared" si="6"/>
        <v>InitEquipData('E103',,"",,E104,1000,,'','','','','','',"ReplaceableTextures\\CommandButtons\\BTNZ06.blp")</v>
      </c>
      <c r="CS30" s="44"/>
      <c r="CT30" s="44"/>
      <c r="CU30" s="45" t="str">
        <f t="shared" si="221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2"/>
        <v/>
      </c>
      <c r="DC30" s="30" t="str">
        <f t="shared" si="223"/>
        <v>|n法强+2024</v>
      </c>
      <c r="DD30" s="30" t="str">
        <f t="shared" si="224"/>
        <v/>
      </c>
      <c r="DE30" s="30" t="str">
        <f t="shared" si="225"/>
        <v/>
      </c>
      <c r="DF30" s="30" t="str">
        <f t="shared" si="226"/>
        <v/>
      </c>
      <c r="DG30" s="30" t="str">
        <f t="shared" si="227"/>
        <v/>
      </c>
      <c r="DH30" s="30" t="str">
        <f t="shared" si="228"/>
        <v/>
      </c>
      <c r="DI30" s="30" t="str">
        <f t="shared" si="229"/>
        <v/>
      </c>
      <c r="DJ30" s="30" t="str">
        <f t="shared" si="230"/>
        <v/>
      </c>
      <c r="DK30" s="30" t="str">
        <f t="shared" si="231"/>
        <v/>
      </c>
      <c r="DL30" s="30" t="str">
        <f t="shared" si="232"/>
        <v/>
      </c>
      <c r="DM30" s="30" t="str">
        <f t="shared" si="233"/>
        <v/>
      </c>
      <c r="DN30" s="30" t="str">
        <f t="shared" si="234"/>
        <v/>
      </c>
      <c r="DO30" s="30" t="str">
        <f t="shared" si="235"/>
        <v/>
      </c>
      <c r="DP30" s="30" t="str">
        <f t="shared" si="236"/>
        <v/>
      </c>
      <c r="DQ30" s="30" t="str">
        <f t="shared" si="237"/>
        <v/>
      </c>
      <c r="DR30" s="30" t="str">
        <f t="shared" si="238"/>
        <v/>
      </c>
      <c r="DS30" s="30" t="str">
        <f t="shared" si="239"/>
        <v/>
      </c>
      <c r="DT30" s="30" t="str">
        <f t="shared" si="240"/>
        <v/>
      </c>
      <c r="DU30" s="30" t="str">
        <f t="shared" si="241"/>
        <v/>
      </c>
      <c r="DV30" s="30" t="str">
        <f t="shared" si="242"/>
        <v/>
      </c>
      <c r="DW30" s="30" t="str">
        <f t="shared" si="243"/>
        <v/>
      </c>
      <c r="DX30" s="30" t="str">
        <f t="shared" si="244"/>
        <v/>
      </c>
      <c r="DY30" s="30" t="str">
        <f t="shared" si="245"/>
        <v/>
      </c>
      <c r="DZ30" s="30" t="str">
        <f t="shared" si="246"/>
        <v/>
      </c>
      <c r="EA30" s="30" t="str">
        <f t="shared" si="247"/>
        <v/>
      </c>
      <c r="EB30" s="30" t="str">
        <f t="shared" si="248"/>
        <v/>
      </c>
      <c r="EC30" s="30" t="str">
        <f t="shared" si="249"/>
        <v/>
      </c>
      <c r="ED30" s="30" t="str">
        <f t="shared" si="250"/>
        <v/>
      </c>
      <c r="EE30" s="30" t="str">
        <f t="shared" si="251"/>
        <v/>
      </c>
      <c r="EF30" s="30" t="str">
        <f t="shared" si="252"/>
        <v/>
      </c>
      <c r="EG30" s="30" t="str">
        <f t="shared" si="253"/>
        <v/>
      </c>
      <c r="EH30" s="30" t="str">
        <f t="shared" si="254"/>
        <v/>
      </c>
      <c r="EI30" s="30" t="str">
        <f t="shared" si="255"/>
        <v/>
      </c>
      <c r="EJ30" s="30" t="str">
        <f t="shared" si="256"/>
        <v/>
      </c>
      <c r="EK30" s="30" t="str">
        <f t="shared" si="257"/>
        <v/>
      </c>
      <c r="EL30" s="30" t="str">
        <f t="shared" si="258"/>
        <v/>
      </c>
      <c r="EM30" s="30" t="str">
        <f t="shared" si="259"/>
        <v/>
      </c>
      <c r="EN30" s="30" t="str">
        <f t="shared" si="260"/>
        <v/>
      </c>
      <c r="EO30" s="30" t="str">
        <f t="shared" si="261"/>
        <v/>
      </c>
      <c r="EP30" s="30" t="str">
        <f t="shared" si="262"/>
        <v/>
      </c>
      <c r="EQ30" s="30" t="str">
        <f t="shared" si="263"/>
        <v/>
      </c>
      <c r="ER30" s="30" t="str">
        <f t="shared" si="264"/>
        <v/>
      </c>
      <c r="ES30" s="30" t="str">
        <f t="shared" si="265"/>
        <v/>
      </c>
      <c r="ET30" s="30" t="str">
        <f t="shared" si="266"/>
        <v/>
      </c>
      <c r="EU30" s="30" t="str">
        <f t="shared" si="267"/>
        <v/>
      </c>
      <c r="EV30" s="30" t="str">
        <f t="shared" si="268"/>
        <v/>
      </c>
      <c r="EW30" s="30" t="str">
        <f t="shared" si="269"/>
        <v/>
      </c>
      <c r="EX30" s="30" t="str">
        <f t="shared" si="270"/>
        <v/>
      </c>
      <c r="EY30" s="30" t="str">
        <f t="shared" si="271"/>
        <v/>
      </c>
      <c r="EZ30" s="30" t="str">
        <f t="shared" si="272"/>
        <v/>
      </c>
      <c r="FA30" s="30" t="str">
        <f t="shared" si="273"/>
        <v/>
      </c>
      <c r="FB30" s="30" t="str">
        <f t="shared" si="274"/>
        <v/>
      </c>
      <c r="FC30" s="30" t="str">
        <f t="shared" si="275"/>
        <v/>
      </c>
      <c r="FD30" s="30" t="str">
        <f t="shared" si="276"/>
        <v/>
      </c>
      <c r="FE30" s="30" t="str">
        <f t="shared" si="277"/>
        <v/>
      </c>
      <c r="FF30" s="30" t="str">
        <f t="shared" si="278"/>
        <v/>
      </c>
      <c r="FG30" s="30" t="str">
        <f t="shared" si="279"/>
        <v/>
      </c>
      <c r="FH30" s="30" t="str">
        <f t="shared" si="280"/>
        <v/>
      </c>
      <c r="FI30" s="30" t="str">
        <f t="shared" si="281"/>
        <v/>
      </c>
      <c r="FJ30" s="30" t="str">
        <f t="shared" si="282"/>
        <v/>
      </c>
      <c r="FK30" s="30" t="str">
        <f t="shared" si="283"/>
        <v/>
      </c>
      <c r="FL30" s="30" t="str">
        <f t="shared" si="284"/>
        <v/>
      </c>
      <c r="FM30" s="30" t="str">
        <f t="shared" si="285"/>
        <v/>
      </c>
      <c r="FN30" s="30" t="str">
        <f t="shared" si="286"/>
        <v/>
      </c>
      <c r="FO30" s="30" t="str">
        <f t="shared" si="287"/>
        <v/>
      </c>
      <c r="FP30" s="30" t="str">
        <f t="shared" si="288"/>
        <v/>
      </c>
      <c r="FQ30" s="30" t="str">
        <f t="shared" si="289"/>
        <v/>
      </c>
      <c r="FR30" s="30" t="str">
        <f t="shared" si="290"/>
        <v/>
      </c>
      <c r="FS30" s="30" t="str">
        <f t="shared" si="291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2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">
        <v>599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2"/>
        <v>InitUnitState('E104',,2536,,,,,,,,)</v>
      </c>
      <c r="CO31" s="44" t="str">
        <f t="shared" si="3"/>
        <v>InitUnitNormal('E104',,,,,,,,,,)</v>
      </c>
      <c r="CP31" s="44" t="str">
        <f t="shared" si="4"/>
        <v>InitUnitMagic('E104',,,,,,,,,,)</v>
      </c>
      <c r="CQ31" s="44" t="str">
        <f t="shared" si="5"/>
        <v>InitUnitAdd('E104',,,,,,,,,,)</v>
      </c>
      <c r="CR31" s="44" t="str">
        <f t="shared" si="6"/>
        <v>InitEquipData('E104',,"",,E105,1000,,'','','','','','',"ReplaceableTextures\\CommandButtons\\BTNZ06.blp")</v>
      </c>
      <c r="CS31" s="44"/>
      <c r="CT31" s="44"/>
      <c r="CU31" s="45" t="str">
        <f t="shared" si="221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2"/>
        <v/>
      </c>
      <c r="DC31" s="30" t="str">
        <f t="shared" si="223"/>
        <v>|n法强+2536</v>
      </c>
      <c r="DD31" s="30" t="str">
        <f t="shared" si="224"/>
        <v/>
      </c>
      <c r="DE31" s="30" t="str">
        <f t="shared" si="225"/>
        <v/>
      </c>
      <c r="DF31" s="30" t="str">
        <f t="shared" si="226"/>
        <v/>
      </c>
      <c r="DG31" s="30" t="str">
        <f t="shared" si="227"/>
        <v/>
      </c>
      <c r="DH31" s="30" t="str">
        <f t="shared" si="228"/>
        <v/>
      </c>
      <c r="DI31" s="30" t="str">
        <f t="shared" si="229"/>
        <v/>
      </c>
      <c r="DJ31" s="30" t="str">
        <f t="shared" si="230"/>
        <v/>
      </c>
      <c r="DK31" s="30" t="str">
        <f t="shared" si="231"/>
        <v/>
      </c>
      <c r="DL31" s="30" t="str">
        <f t="shared" si="232"/>
        <v/>
      </c>
      <c r="DM31" s="30" t="str">
        <f t="shared" si="233"/>
        <v/>
      </c>
      <c r="DN31" s="30" t="str">
        <f t="shared" si="234"/>
        <v/>
      </c>
      <c r="DO31" s="30" t="str">
        <f t="shared" si="235"/>
        <v/>
      </c>
      <c r="DP31" s="30" t="str">
        <f t="shared" si="236"/>
        <v/>
      </c>
      <c r="DQ31" s="30" t="str">
        <f t="shared" si="237"/>
        <v/>
      </c>
      <c r="DR31" s="30" t="str">
        <f t="shared" si="238"/>
        <v/>
      </c>
      <c r="DS31" s="30" t="str">
        <f t="shared" si="239"/>
        <v/>
      </c>
      <c r="DT31" s="30" t="str">
        <f t="shared" si="240"/>
        <v/>
      </c>
      <c r="DU31" s="30" t="str">
        <f t="shared" si="241"/>
        <v/>
      </c>
      <c r="DV31" s="30" t="str">
        <f t="shared" si="242"/>
        <v/>
      </c>
      <c r="DW31" s="30" t="str">
        <f t="shared" si="243"/>
        <v/>
      </c>
      <c r="DX31" s="30" t="str">
        <f t="shared" si="244"/>
        <v/>
      </c>
      <c r="DY31" s="30" t="str">
        <f t="shared" si="245"/>
        <v/>
      </c>
      <c r="DZ31" s="30" t="str">
        <f t="shared" si="246"/>
        <v/>
      </c>
      <c r="EA31" s="30" t="str">
        <f t="shared" si="247"/>
        <v/>
      </c>
      <c r="EB31" s="30" t="str">
        <f t="shared" si="248"/>
        <v/>
      </c>
      <c r="EC31" s="30" t="str">
        <f t="shared" si="249"/>
        <v/>
      </c>
      <c r="ED31" s="30" t="str">
        <f t="shared" si="250"/>
        <v/>
      </c>
      <c r="EE31" s="30" t="str">
        <f t="shared" si="251"/>
        <v/>
      </c>
      <c r="EF31" s="30" t="str">
        <f t="shared" si="252"/>
        <v/>
      </c>
      <c r="EG31" s="30" t="str">
        <f t="shared" si="253"/>
        <v/>
      </c>
      <c r="EH31" s="30" t="str">
        <f t="shared" si="254"/>
        <v/>
      </c>
      <c r="EI31" s="30" t="str">
        <f t="shared" si="255"/>
        <v/>
      </c>
      <c r="EJ31" s="30" t="str">
        <f t="shared" si="256"/>
        <v/>
      </c>
      <c r="EK31" s="30" t="str">
        <f t="shared" si="257"/>
        <v/>
      </c>
      <c r="EL31" s="30" t="str">
        <f t="shared" si="258"/>
        <v/>
      </c>
      <c r="EM31" s="30" t="str">
        <f t="shared" si="259"/>
        <v/>
      </c>
      <c r="EN31" s="30" t="str">
        <f t="shared" si="260"/>
        <v/>
      </c>
      <c r="EO31" s="30" t="str">
        <f t="shared" si="261"/>
        <v/>
      </c>
      <c r="EP31" s="30" t="str">
        <f t="shared" si="262"/>
        <v/>
      </c>
      <c r="EQ31" s="30" t="str">
        <f t="shared" si="263"/>
        <v/>
      </c>
      <c r="ER31" s="30" t="str">
        <f t="shared" si="264"/>
        <v/>
      </c>
      <c r="ES31" s="30" t="str">
        <f t="shared" si="265"/>
        <v/>
      </c>
      <c r="ET31" s="30" t="str">
        <f t="shared" si="266"/>
        <v/>
      </c>
      <c r="EU31" s="30" t="str">
        <f t="shared" si="267"/>
        <v/>
      </c>
      <c r="EV31" s="30" t="str">
        <f t="shared" si="268"/>
        <v/>
      </c>
      <c r="EW31" s="30" t="str">
        <f t="shared" si="269"/>
        <v/>
      </c>
      <c r="EX31" s="30" t="str">
        <f t="shared" si="270"/>
        <v/>
      </c>
      <c r="EY31" s="30" t="str">
        <f t="shared" si="271"/>
        <v/>
      </c>
      <c r="EZ31" s="30" t="str">
        <f t="shared" si="272"/>
        <v/>
      </c>
      <c r="FA31" s="30" t="str">
        <f t="shared" si="273"/>
        <v/>
      </c>
      <c r="FB31" s="30" t="str">
        <f t="shared" si="274"/>
        <v/>
      </c>
      <c r="FC31" s="30" t="str">
        <f t="shared" si="275"/>
        <v/>
      </c>
      <c r="FD31" s="30" t="str">
        <f t="shared" si="276"/>
        <v/>
      </c>
      <c r="FE31" s="30" t="str">
        <f t="shared" si="277"/>
        <v/>
      </c>
      <c r="FF31" s="30" t="str">
        <f t="shared" si="278"/>
        <v/>
      </c>
      <c r="FG31" s="30" t="str">
        <f t="shared" si="279"/>
        <v/>
      </c>
      <c r="FH31" s="30" t="str">
        <f t="shared" si="280"/>
        <v/>
      </c>
      <c r="FI31" s="30" t="str">
        <f t="shared" si="281"/>
        <v/>
      </c>
      <c r="FJ31" s="30" t="str">
        <f t="shared" si="282"/>
        <v/>
      </c>
      <c r="FK31" s="30" t="str">
        <f t="shared" si="283"/>
        <v/>
      </c>
      <c r="FL31" s="30" t="str">
        <f t="shared" si="284"/>
        <v/>
      </c>
      <c r="FM31" s="30" t="str">
        <f t="shared" si="285"/>
        <v/>
      </c>
      <c r="FN31" s="30" t="str">
        <f t="shared" si="286"/>
        <v/>
      </c>
      <c r="FO31" s="30" t="str">
        <f t="shared" si="287"/>
        <v/>
      </c>
      <c r="FP31" s="30" t="str">
        <f t="shared" si="288"/>
        <v/>
      </c>
      <c r="FQ31" s="30" t="str">
        <f t="shared" si="289"/>
        <v/>
      </c>
      <c r="FR31" s="30" t="str">
        <f t="shared" si="290"/>
        <v/>
      </c>
      <c r="FS31" s="30" t="str">
        <f t="shared" si="291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2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">
        <v>599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2"/>
        <v>InitUnitState('E105',,3048,,,,,,,,)</v>
      </c>
      <c r="CO32" s="44" t="str">
        <f t="shared" si="3"/>
        <v>InitUnitNormal('E105',,,,,,,,,,)</v>
      </c>
      <c r="CP32" s="44" t="str">
        <f t="shared" si="4"/>
        <v>InitUnitMagic('E105',,,,,,,,,,)</v>
      </c>
      <c r="CQ32" s="44" t="str">
        <f t="shared" si="5"/>
        <v>InitUnitAdd('E105',,,,,,,,,,)</v>
      </c>
      <c r="CR32" s="44" t="str">
        <f t="shared" si="6"/>
        <v>InitEquipData('E105',,"",,E106,5000,,'','','','','','',"ReplaceableTextures\\CommandButtons\\BTNZ07.blp")</v>
      </c>
      <c r="CS32" s="44"/>
      <c r="CT32" s="44"/>
      <c r="CU32" s="45" t="str">
        <f t="shared" si="221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2"/>
        <v/>
      </c>
      <c r="DC32" s="30" t="str">
        <f t="shared" si="223"/>
        <v>|n法强+3048</v>
      </c>
      <c r="DD32" s="30" t="str">
        <f t="shared" si="224"/>
        <v/>
      </c>
      <c r="DE32" s="30" t="str">
        <f t="shared" si="225"/>
        <v/>
      </c>
      <c r="DF32" s="30" t="str">
        <f t="shared" si="226"/>
        <v/>
      </c>
      <c r="DG32" s="30" t="str">
        <f t="shared" si="227"/>
        <v/>
      </c>
      <c r="DH32" s="30" t="str">
        <f t="shared" si="228"/>
        <v/>
      </c>
      <c r="DI32" s="30" t="str">
        <f t="shared" si="229"/>
        <v/>
      </c>
      <c r="DJ32" s="30" t="str">
        <f t="shared" si="230"/>
        <v/>
      </c>
      <c r="DK32" s="30" t="str">
        <f t="shared" si="231"/>
        <v/>
      </c>
      <c r="DL32" s="30" t="str">
        <f t="shared" si="232"/>
        <v/>
      </c>
      <c r="DM32" s="30" t="str">
        <f t="shared" si="233"/>
        <v/>
      </c>
      <c r="DN32" s="30" t="str">
        <f t="shared" si="234"/>
        <v/>
      </c>
      <c r="DO32" s="30" t="str">
        <f t="shared" si="235"/>
        <v/>
      </c>
      <c r="DP32" s="30" t="str">
        <f t="shared" si="236"/>
        <v/>
      </c>
      <c r="DQ32" s="30" t="str">
        <f t="shared" si="237"/>
        <v/>
      </c>
      <c r="DR32" s="30" t="str">
        <f t="shared" si="238"/>
        <v/>
      </c>
      <c r="DS32" s="30" t="str">
        <f t="shared" si="239"/>
        <v/>
      </c>
      <c r="DT32" s="30" t="str">
        <f t="shared" si="240"/>
        <v/>
      </c>
      <c r="DU32" s="30" t="str">
        <f t="shared" si="241"/>
        <v/>
      </c>
      <c r="DV32" s="30" t="str">
        <f t="shared" si="242"/>
        <v/>
      </c>
      <c r="DW32" s="30" t="str">
        <f t="shared" si="243"/>
        <v/>
      </c>
      <c r="DX32" s="30" t="str">
        <f t="shared" si="244"/>
        <v/>
      </c>
      <c r="DY32" s="30" t="str">
        <f t="shared" si="245"/>
        <v/>
      </c>
      <c r="DZ32" s="30" t="str">
        <f t="shared" si="246"/>
        <v/>
      </c>
      <c r="EA32" s="30" t="str">
        <f t="shared" si="247"/>
        <v/>
      </c>
      <c r="EB32" s="30" t="str">
        <f t="shared" si="248"/>
        <v/>
      </c>
      <c r="EC32" s="30" t="str">
        <f t="shared" si="249"/>
        <v/>
      </c>
      <c r="ED32" s="30" t="str">
        <f t="shared" si="250"/>
        <v/>
      </c>
      <c r="EE32" s="30" t="str">
        <f t="shared" si="251"/>
        <v/>
      </c>
      <c r="EF32" s="30" t="str">
        <f t="shared" si="252"/>
        <v/>
      </c>
      <c r="EG32" s="30" t="str">
        <f t="shared" si="253"/>
        <v/>
      </c>
      <c r="EH32" s="30" t="str">
        <f t="shared" si="254"/>
        <v/>
      </c>
      <c r="EI32" s="30" t="str">
        <f t="shared" si="255"/>
        <v/>
      </c>
      <c r="EJ32" s="30" t="str">
        <f t="shared" si="256"/>
        <v/>
      </c>
      <c r="EK32" s="30" t="str">
        <f t="shared" si="257"/>
        <v/>
      </c>
      <c r="EL32" s="30" t="str">
        <f t="shared" si="258"/>
        <v/>
      </c>
      <c r="EM32" s="30" t="str">
        <f t="shared" si="259"/>
        <v/>
      </c>
      <c r="EN32" s="30" t="str">
        <f t="shared" si="260"/>
        <v/>
      </c>
      <c r="EO32" s="30" t="str">
        <f t="shared" si="261"/>
        <v/>
      </c>
      <c r="EP32" s="30" t="str">
        <f t="shared" si="262"/>
        <v/>
      </c>
      <c r="EQ32" s="30" t="str">
        <f t="shared" si="263"/>
        <v/>
      </c>
      <c r="ER32" s="30" t="str">
        <f t="shared" si="264"/>
        <v/>
      </c>
      <c r="ES32" s="30" t="str">
        <f t="shared" si="265"/>
        <v/>
      </c>
      <c r="ET32" s="30" t="str">
        <f t="shared" si="266"/>
        <v/>
      </c>
      <c r="EU32" s="30" t="str">
        <f t="shared" si="267"/>
        <v/>
      </c>
      <c r="EV32" s="30" t="str">
        <f t="shared" si="268"/>
        <v/>
      </c>
      <c r="EW32" s="30" t="str">
        <f t="shared" si="269"/>
        <v/>
      </c>
      <c r="EX32" s="30" t="str">
        <f t="shared" si="270"/>
        <v/>
      </c>
      <c r="EY32" s="30" t="str">
        <f t="shared" si="271"/>
        <v/>
      </c>
      <c r="EZ32" s="30" t="str">
        <f t="shared" si="272"/>
        <v/>
      </c>
      <c r="FA32" s="30" t="str">
        <f t="shared" si="273"/>
        <v/>
      </c>
      <c r="FB32" s="30" t="str">
        <f t="shared" si="274"/>
        <v/>
      </c>
      <c r="FC32" s="30" t="str">
        <f t="shared" si="275"/>
        <v/>
      </c>
      <c r="FD32" s="30" t="str">
        <f t="shared" si="276"/>
        <v/>
      </c>
      <c r="FE32" s="30" t="str">
        <f t="shared" si="277"/>
        <v/>
      </c>
      <c r="FF32" s="30" t="str">
        <f t="shared" si="278"/>
        <v/>
      </c>
      <c r="FG32" s="30" t="str">
        <f t="shared" si="279"/>
        <v/>
      </c>
      <c r="FH32" s="30" t="str">
        <f t="shared" si="280"/>
        <v/>
      </c>
      <c r="FI32" s="30" t="str">
        <f t="shared" si="281"/>
        <v/>
      </c>
      <c r="FJ32" s="30" t="str">
        <f t="shared" si="282"/>
        <v/>
      </c>
      <c r="FK32" s="30" t="str">
        <f t="shared" si="283"/>
        <v/>
      </c>
      <c r="FL32" s="30" t="str">
        <f t="shared" si="284"/>
        <v/>
      </c>
      <c r="FM32" s="30" t="str">
        <f t="shared" si="285"/>
        <v/>
      </c>
      <c r="FN32" s="30" t="str">
        <f t="shared" si="286"/>
        <v/>
      </c>
      <c r="FO32" s="30" t="str">
        <f t="shared" si="287"/>
        <v/>
      </c>
      <c r="FP32" s="30" t="str">
        <f t="shared" si="288"/>
        <v/>
      </c>
      <c r="FQ32" s="30" t="str">
        <f t="shared" si="289"/>
        <v/>
      </c>
      <c r="FR32" s="30" t="str">
        <f t="shared" si="290"/>
        <v/>
      </c>
      <c r="FS32" s="30" t="str">
        <f t="shared" si="291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2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">
        <v>600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2"/>
        <v>InitUnitState('E106',,3816,,,,,,,,)</v>
      </c>
      <c r="CO33" s="44" t="str">
        <f t="shared" si="3"/>
        <v>InitUnitNormal('E106',,,,,,,,,,)</v>
      </c>
      <c r="CP33" s="44" t="str">
        <f t="shared" si="4"/>
        <v>InitUnitMagic('E106',,,,,6,,,,,)</v>
      </c>
      <c r="CQ33" s="44" t="str">
        <f t="shared" si="5"/>
        <v>InitUnitAdd('E106',,,,,,,,,,)</v>
      </c>
      <c r="CR33" s="44" t="str">
        <f t="shared" si="6"/>
        <v>InitEquipData('E106',,"",,E107,7000,,'','','','','','',"ReplaceableTextures\\CommandButtons\\BTNZ07.blp")</v>
      </c>
      <c r="CS33" s="44"/>
      <c r="CT33" s="44"/>
      <c r="CU33" s="45" t="str">
        <f t="shared" si="221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2"/>
        <v/>
      </c>
      <c r="DC33" s="30" t="str">
        <f t="shared" si="223"/>
        <v>|n法强+3816</v>
      </c>
      <c r="DD33" s="30" t="str">
        <f t="shared" si="224"/>
        <v/>
      </c>
      <c r="DE33" s="30" t="str">
        <f t="shared" si="225"/>
        <v/>
      </c>
      <c r="DF33" s="30" t="str">
        <f t="shared" si="226"/>
        <v/>
      </c>
      <c r="DG33" s="30" t="str">
        <f t="shared" si="227"/>
        <v/>
      </c>
      <c r="DH33" s="30" t="str">
        <f t="shared" si="228"/>
        <v/>
      </c>
      <c r="DI33" s="30" t="str">
        <f t="shared" si="229"/>
        <v/>
      </c>
      <c r="DJ33" s="30" t="str">
        <f t="shared" si="230"/>
        <v/>
      </c>
      <c r="DK33" s="30" t="str">
        <f t="shared" si="231"/>
        <v/>
      </c>
      <c r="DL33" s="30" t="str">
        <f t="shared" si="232"/>
        <v/>
      </c>
      <c r="DM33" s="30" t="str">
        <f t="shared" si="233"/>
        <v/>
      </c>
      <c r="DN33" s="30" t="str">
        <f t="shared" si="234"/>
        <v/>
      </c>
      <c r="DO33" s="30" t="str">
        <f t="shared" si="235"/>
        <v/>
      </c>
      <c r="DP33" s="30" t="str">
        <f t="shared" si="236"/>
        <v/>
      </c>
      <c r="DQ33" s="30" t="str">
        <f t="shared" si="237"/>
        <v/>
      </c>
      <c r="DR33" s="30" t="str">
        <f t="shared" si="238"/>
        <v/>
      </c>
      <c r="DS33" s="30" t="str">
        <f t="shared" si="239"/>
        <v/>
      </c>
      <c r="DT33" s="30" t="str">
        <f t="shared" si="240"/>
        <v/>
      </c>
      <c r="DU33" s="30" t="str">
        <f t="shared" si="241"/>
        <v/>
      </c>
      <c r="DV33" s="30" t="str">
        <f t="shared" si="242"/>
        <v/>
      </c>
      <c r="DW33" s="30" t="str">
        <f t="shared" si="243"/>
        <v/>
      </c>
      <c r="DX33" s="30" t="str">
        <f t="shared" si="244"/>
        <v/>
      </c>
      <c r="DY33" s="30" t="str">
        <f t="shared" si="245"/>
        <v/>
      </c>
      <c r="DZ33" s="30" t="str">
        <f t="shared" si="246"/>
        <v>|n冷却缩减+6%</v>
      </c>
      <c r="EA33" s="30" t="str">
        <f t="shared" si="247"/>
        <v/>
      </c>
      <c r="EB33" s="30" t="str">
        <f t="shared" si="248"/>
        <v/>
      </c>
      <c r="EC33" s="30" t="str">
        <f t="shared" si="249"/>
        <v/>
      </c>
      <c r="ED33" s="30" t="str">
        <f t="shared" si="250"/>
        <v/>
      </c>
      <c r="EE33" s="30" t="str">
        <f t="shared" si="251"/>
        <v/>
      </c>
      <c r="EF33" s="30" t="str">
        <f t="shared" si="252"/>
        <v/>
      </c>
      <c r="EG33" s="30" t="str">
        <f t="shared" si="253"/>
        <v/>
      </c>
      <c r="EH33" s="30" t="str">
        <f t="shared" si="254"/>
        <v/>
      </c>
      <c r="EI33" s="30" t="str">
        <f t="shared" si="255"/>
        <v/>
      </c>
      <c r="EJ33" s="30" t="str">
        <f t="shared" si="256"/>
        <v/>
      </c>
      <c r="EK33" s="30" t="str">
        <f t="shared" si="257"/>
        <v/>
      </c>
      <c r="EL33" s="30" t="str">
        <f t="shared" si="258"/>
        <v/>
      </c>
      <c r="EM33" s="30" t="str">
        <f t="shared" si="259"/>
        <v/>
      </c>
      <c r="EN33" s="30" t="str">
        <f t="shared" si="260"/>
        <v/>
      </c>
      <c r="EO33" s="30" t="str">
        <f t="shared" si="261"/>
        <v/>
      </c>
      <c r="EP33" s="30" t="str">
        <f t="shared" si="262"/>
        <v/>
      </c>
      <c r="EQ33" s="30" t="str">
        <f t="shared" si="263"/>
        <v/>
      </c>
      <c r="ER33" s="30" t="str">
        <f t="shared" si="264"/>
        <v/>
      </c>
      <c r="ES33" s="30" t="str">
        <f t="shared" si="265"/>
        <v/>
      </c>
      <c r="ET33" s="30" t="str">
        <f t="shared" si="266"/>
        <v/>
      </c>
      <c r="EU33" s="30" t="str">
        <f t="shared" si="267"/>
        <v/>
      </c>
      <c r="EV33" s="30" t="str">
        <f t="shared" si="268"/>
        <v/>
      </c>
      <c r="EW33" s="30" t="str">
        <f t="shared" si="269"/>
        <v/>
      </c>
      <c r="EX33" s="30" t="str">
        <f t="shared" si="270"/>
        <v/>
      </c>
      <c r="EY33" s="30" t="str">
        <f t="shared" si="271"/>
        <v/>
      </c>
      <c r="EZ33" s="30" t="str">
        <f t="shared" si="272"/>
        <v/>
      </c>
      <c r="FA33" s="30" t="str">
        <f t="shared" si="273"/>
        <v/>
      </c>
      <c r="FB33" s="30" t="str">
        <f t="shared" si="274"/>
        <v/>
      </c>
      <c r="FC33" s="30" t="str">
        <f t="shared" si="275"/>
        <v/>
      </c>
      <c r="FD33" s="30" t="str">
        <f t="shared" si="276"/>
        <v/>
      </c>
      <c r="FE33" s="30" t="str">
        <f t="shared" si="277"/>
        <v/>
      </c>
      <c r="FF33" s="30" t="str">
        <f t="shared" si="278"/>
        <v/>
      </c>
      <c r="FG33" s="30" t="str">
        <f t="shared" si="279"/>
        <v/>
      </c>
      <c r="FH33" s="30" t="str">
        <f t="shared" si="280"/>
        <v/>
      </c>
      <c r="FI33" s="30" t="str">
        <f t="shared" si="281"/>
        <v/>
      </c>
      <c r="FJ33" s="30" t="str">
        <f t="shared" si="282"/>
        <v/>
      </c>
      <c r="FK33" s="30" t="str">
        <f t="shared" si="283"/>
        <v/>
      </c>
      <c r="FL33" s="30" t="str">
        <f t="shared" si="284"/>
        <v/>
      </c>
      <c r="FM33" s="30" t="str">
        <f t="shared" si="285"/>
        <v/>
      </c>
      <c r="FN33" s="30" t="str">
        <f t="shared" si="286"/>
        <v/>
      </c>
      <c r="FO33" s="30" t="str">
        <f t="shared" si="287"/>
        <v/>
      </c>
      <c r="FP33" s="30" t="str">
        <f t="shared" si="288"/>
        <v/>
      </c>
      <c r="FQ33" s="30" t="str">
        <f t="shared" si="289"/>
        <v/>
      </c>
      <c r="FR33" s="30" t="str">
        <f t="shared" si="290"/>
        <v/>
      </c>
      <c r="FS33" s="30" t="str">
        <f t="shared" si="291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2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">
        <v>600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2"/>
        <v>InitUnitState('E107',,4584,,,,,,,,)</v>
      </c>
      <c r="CO34" s="44" t="str">
        <f t="shared" si="3"/>
        <v>InitUnitNormal('E107',,,,,,,,,,)</v>
      </c>
      <c r="CP34" s="44" t="str">
        <f t="shared" si="4"/>
        <v>InitUnitMagic('E107',,,,,6,,,,,)</v>
      </c>
      <c r="CQ34" s="44" t="str">
        <f t="shared" si="5"/>
        <v>InitUnitAdd('E107',,,,,,,,,,)</v>
      </c>
      <c r="CR34" s="44" t="str">
        <f t="shared" si="6"/>
        <v>InitEquipData('E107',,"",,E108,7000,,'','','','','','',"ReplaceableTextures\\CommandButtons\\BTNZ07.blp")</v>
      </c>
      <c r="CS34" s="44"/>
      <c r="CT34" s="44"/>
      <c r="CU34" s="45" t="str">
        <f t="shared" si="221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2"/>
        <v/>
      </c>
      <c r="DC34" s="30" t="str">
        <f t="shared" si="223"/>
        <v>|n法强+4584</v>
      </c>
      <c r="DD34" s="30" t="str">
        <f t="shared" si="224"/>
        <v/>
      </c>
      <c r="DE34" s="30" t="str">
        <f t="shared" si="225"/>
        <v/>
      </c>
      <c r="DF34" s="30" t="str">
        <f t="shared" si="226"/>
        <v/>
      </c>
      <c r="DG34" s="30" t="str">
        <f t="shared" si="227"/>
        <v/>
      </c>
      <c r="DH34" s="30" t="str">
        <f t="shared" si="228"/>
        <v/>
      </c>
      <c r="DI34" s="30" t="str">
        <f t="shared" si="229"/>
        <v/>
      </c>
      <c r="DJ34" s="30" t="str">
        <f t="shared" si="230"/>
        <v/>
      </c>
      <c r="DK34" s="30" t="str">
        <f t="shared" si="231"/>
        <v/>
      </c>
      <c r="DL34" s="30" t="str">
        <f t="shared" si="232"/>
        <v/>
      </c>
      <c r="DM34" s="30" t="str">
        <f t="shared" si="233"/>
        <v/>
      </c>
      <c r="DN34" s="30" t="str">
        <f t="shared" si="234"/>
        <v/>
      </c>
      <c r="DO34" s="30" t="str">
        <f t="shared" si="235"/>
        <v/>
      </c>
      <c r="DP34" s="30" t="str">
        <f t="shared" si="236"/>
        <v/>
      </c>
      <c r="DQ34" s="30" t="str">
        <f t="shared" si="237"/>
        <v/>
      </c>
      <c r="DR34" s="30" t="str">
        <f t="shared" si="238"/>
        <v/>
      </c>
      <c r="DS34" s="30" t="str">
        <f t="shared" si="239"/>
        <v/>
      </c>
      <c r="DT34" s="30" t="str">
        <f t="shared" si="240"/>
        <v/>
      </c>
      <c r="DU34" s="30" t="str">
        <f t="shared" si="241"/>
        <v/>
      </c>
      <c r="DV34" s="30" t="str">
        <f t="shared" si="242"/>
        <v/>
      </c>
      <c r="DW34" s="30" t="str">
        <f t="shared" si="243"/>
        <v/>
      </c>
      <c r="DX34" s="30" t="str">
        <f t="shared" si="244"/>
        <v/>
      </c>
      <c r="DY34" s="30" t="str">
        <f t="shared" si="245"/>
        <v/>
      </c>
      <c r="DZ34" s="30" t="str">
        <f t="shared" si="246"/>
        <v>|n冷却缩减+6%</v>
      </c>
      <c r="EA34" s="30" t="str">
        <f t="shared" si="247"/>
        <v/>
      </c>
      <c r="EB34" s="30" t="str">
        <f t="shared" si="248"/>
        <v/>
      </c>
      <c r="EC34" s="30" t="str">
        <f t="shared" si="249"/>
        <v/>
      </c>
      <c r="ED34" s="30" t="str">
        <f t="shared" si="250"/>
        <v/>
      </c>
      <c r="EE34" s="30" t="str">
        <f t="shared" si="251"/>
        <v/>
      </c>
      <c r="EF34" s="30" t="str">
        <f t="shared" si="252"/>
        <v/>
      </c>
      <c r="EG34" s="30" t="str">
        <f t="shared" si="253"/>
        <v/>
      </c>
      <c r="EH34" s="30" t="str">
        <f t="shared" si="254"/>
        <v/>
      </c>
      <c r="EI34" s="30" t="str">
        <f t="shared" si="255"/>
        <v/>
      </c>
      <c r="EJ34" s="30" t="str">
        <f t="shared" si="256"/>
        <v/>
      </c>
      <c r="EK34" s="30" t="str">
        <f t="shared" si="257"/>
        <v/>
      </c>
      <c r="EL34" s="30" t="str">
        <f t="shared" si="258"/>
        <v/>
      </c>
      <c r="EM34" s="30" t="str">
        <f t="shared" si="259"/>
        <v/>
      </c>
      <c r="EN34" s="30" t="str">
        <f t="shared" si="260"/>
        <v/>
      </c>
      <c r="EO34" s="30" t="str">
        <f t="shared" si="261"/>
        <v/>
      </c>
      <c r="EP34" s="30" t="str">
        <f t="shared" si="262"/>
        <v/>
      </c>
      <c r="EQ34" s="30" t="str">
        <f t="shared" si="263"/>
        <v/>
      </c>
      <c r="ER34" s="30" t="str">
        <f t="shared" si="264"/>
        <v/>
      </c>
      <c r="ES34" s="30" t="str">
        <f t="shared" si="265"/>
        <v/>
      </c>
      <c r="ET34" s="30" t="str">
        <f t="shared" si="266"/>
        <v/>
      </c>
      <c r="EU34" s="30" t="str">
        <f t="shared" si="267"/>
        <v/>
      </c>
      <c r="EV34" s="30" t="str">
        <f t="shared" si="268"/>
        <v/>
      </c>
      <c r="EW34" s="30" t="str">
        <f t="shared" si="269"/>
        <v/>
      </c>
      <c r="EX34" s="30" t="str">
        <f t="shared" si="270"/>
        <v/>
      </c>
      <c r="EY34" s="30" t="str">
        <f t="shared" si="271"/>
        <v/>
      </c>
      <c r="EZ34" s="30" t="str">
        <f t="shared" si="272"/>
        <v/>
      </c>
      <c r="FA34" s="30" t="str">
        <f t="shared" si="273"/>
        <v/>
      </c>
      <c r="FB34" s="30" t="str">
        <f t="shared" si="274"/>
        <v/>
      </c>
      <c r="FC34" s="30" t="str">
        <f t="shared" si="275"/>
        <v/>
      </c>
      <c r="FD34" s="30" t="str">
        <f t="shared" si="276"/>
        <v/>
      </c>
      <c r="FE34" s="30" t="str">
        <f t="shared" si="277"/>
        <v/>
      </c>
      <c r="FF34" s="30" t="str">
        <f t="shared" si="278"/>
        <v/>
      </c>
      <c r="FG34" s="30" t="str">
        <f t="shared" si="279"/>
        <v/>
      </c>
      <c r="FH34" s="30" t="str">
        <f t="shared" si="280"/>
        <v/>
      </c>
      <c r="FI34" s="30" t="str">
        <f t="shared" si="281"/>
        <v/>
      </c>
      <c r="FJ34" s="30" t="str">
        <f t="shared" si="282"/>
        <v/>
      </c>
      <c r="FK34" s="30" t="str">
        <f t="shared" si="283"/>
        <v/>
      </c>
      <c r="FL34" s="30" t="str">
        <f t="shared" si="284"/>
        <v/>
      </c>
      <c r="FM34" s="30" t="str">
        <f t="shared" si="285"/>
        <v/>
      </c>
      <c r="FN34" s="30" t="str">
        <f t="shared" si="286"/>
        <v/>
      </c>
      <c r="FO34" s="30" t="str">
        <f t="shared" si="287"/>
        <v/>
      </c>
      <c r="FP34" s="30" t="str">
        <f t="shared" si="288"/>
        <v/>
      </c>
      <c r="FQ34" s="30" t="str">
        <f t="shared" si="289"/>
        <v/>
      </c>
      <c r="FR34" s="30" t="str">
        <f t="shared" si="290"/>
        <v/>
      </c>
      <c r="FS34" s="30" t="str">
        <f t="shared" si="291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2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">
        <v>600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44"/>
      <c r="CT35" s="44"/>
      <c r="CU35" s="45" t="str">
        <f t="shared" si="221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2"/>
        <v/>
      </c>
      <c r="DC35" s="30" t="str">
        <f t="shared" si="223"/>
        <v>|n法强+5352</v>
      </c>
      <c r="DD35" s="30" t="str">
        <f t="shared" si="224"/>
        <v/>
      </c>
      <c r="DE35" s="30" t="str">
        <f t="shared" si="225"/>
        <v/>
      </c>
      <c r="DF35" s="30" t="str">
        <f t="shared" si="226"/>
        <v/>
      </c>
      <c r="DG35" s="30" t="str">
        <f t="shared" si="227"/>
        <v/>
      </c>
      <c r="DH35" s="30" t="str">
        <f t="shared" si="228"/>
        <v/>
      </c>
      <c r="DI35" s="30" t="str">
        <f t="shared" si="229"/>
        <v/>
      </c>
      <c r="DJ35" s="30" t="str">
        <f t="shared" si="230"/>
        <v/>
      </c>
      <c r="DK35" s="30" t="str">
        <f t="shared" si="231"/>
        <v/>
      </c>
      <c r="DL35" s="30" t="str">
        <f t="shared" si="232"/>
        <v/>
      </c>
      <c r="DM35" s="30" t="str">
        <f t="shared" si="233"/>
        <v/>
      </c>
      <c r="DN35" s="30" t="str">
        <f t="shared" si="234"/>
        <v/>
      </c>
      <c r="DO35" s="30" t="str">
        <f t="shared" si="235"/>
        <v/>
      </c>
      <c r="DP35" s="30" t="str">
        <f t="shared" si="236"/>
        <v/>
      </c>
      <c r="DQ35" s="30" t="str">
        <f t="shared" si="237"/>
        <v/>
      </c>
      <c r="DR35" s="30" t="str">
        <f t="shared" si="238"/>
        <v/>
      </c>
      <c r="DS35" s="30" t="str">
        <f t="shared" si="239"/>
        <v/>
      </c>
      <c r="DT35" s="30" t="str">
        <f t="shared" si="240"/>
        <v/>
      </c>
      <c r="DU35" s="30" t="str">
        <f t="shared" si="241"/>
        <v/>
      </c>
      <c r="DV35" s="30" t="str">
        <f t="shared" si="242"/>
        <v/>
      </c>
      <c r="DW35" s="30" t="str">
        <f t="shared" si="243"/>
        <v/>
      </c>
      <c r="DX35" s="30" t="str">
        <f t="shared" si="244"/>
        <v/>
      </c>
      <c r="DY35" s="30" t="str">
        <f t="shared" si="245"/>
        <v/>
      </c>
      <c r="DZ35" s="30" t="str">
        <f t="shared" si="246"/>
        <v>|n冷却缩减+6%</v>
      </c>
      <c r="EA35" s="30" t="str">
        <f t="shared" si="247"/>
        <v/>
      </c>
      <c r="EB35" s="30" t="str">
        <f t="shared" si="248"/>
        <v/>
      </c>
      <c r="EC35" s="30" t="str">
        <f t="shared" si="249"/>
        <v/>
      </c>
      <c r="ED35" s="30" t="str">
        <f t="shared" si="250"/>
        <v/>
      </c>
      <c r="EE35" s="30" t="str">
        <f t="shared" si="251"/>
        <v/>
      </c>
      <c r="EF35" s="30" t="str">
        <f t="shared" si="252"/>
        <v/>
      </c>
      <c r="EG35" s="30" t="str">
        <f t="shared" si="253"/>
        <v/>
      </c>
      <c r="EH35" s="30" t="str">
        <f t="shared" si="254"/>
        <v/>
      </c>
      <c r="EI35" s="30" t="str">
        <f t="shared" si="255"/>
        <v/>
      </c>
      <c r="EJ35" s="30" t="str">
        <f t="shared" si="256"/>
        <v/>
      </c>
      <c r="EK35" s="30" t="str">
        <f t="shared" si="257"/>
        <v/>
      </c>
      <c r="EL35" s="30" t="str">
        <f t="shared" si="258"/>
        <v/>
      </c>
      <c r="EM35" s="30" t="str">
        <f t="shared" si="259"/>
        <v/>
      </c>
      <c r="EN35" s="30" t="str">
        <f t="shared" si="260"/>
        <v/>
      </c>
      <c r="EO35" s="30" t="str">
        <f t="shared" si="261"/>
        <v/>
      </c>
      <c r="EP35" s="30" t="str">
        <f t="shared" si="262"/>
        <v/>
      </c>
      <c r="EQ35" s="30" t="str">
        <f t="shared" si="263"/>
        <v/>
      </c>
      <c r="ER35" s="30" t="str">
        <f t="shared" si="264"/>
        <v/>
      </c>
      <c r="ES35" s="30" t="str">
        <f t="shared" si="265"/>
        <v/>
      </c>
      <c r="ET35" s="30" t="str">
        <f t="shared" si="266"/>
        <v/>
      </c>
      <c r="EU35" s="30" t="str">
        <f t="shared" si="267"/>
        <v/>
      </c>
      <c r="EV35" s="30" t="str">
        <f t="shared" si="268"/>
        <v/>
      </c>
      <c r="EW35" s="30" t="str">
        <f t="shared" si="269"/>
        <v/>
      </c>
      <c r="EX35" s="30" t="str">
        <f t="shared" si="270"/>
        <v/>
      </c>
      <c r="EY35" s="30" t="str">
        <f t="shared" si="271"/>
        <v/>
      </c>
      <c r="EZ35" s="30" t="str">
        <f t="shared" si="272"/>
        <v/>
      </c>
      <c r="FA35" s="30" t="str">
        <f t="shared" si="273"/>
        <v/>
      </c>
      <c r="FB35" s="30" t="str">
        <f t="shared" si="274"/>
        <v/>
      </c>
      <c r="FC35" s="30" t="str">
        <f t="shared" si="275"/>
        <v/>
      </c>
      <c r="FD35" s="30" t="str">
        <f t="shared" si="276"/>
        <v/>
      </c>
      <c r="FE35" s="30" t="str">
        <f t="shared" si="277"/>
        <v/>
      </c>
      <c r="FF35" s="30" t="str">
        <f t="shared" si="278"/>
        <v/>
      </c>
      <c r="FG35" s="30" t="str">
        <f t="shared" si="279"/>
        <v/>
      </c>
      <c r="FH35" s="30" t="str">
        <f t="shared" si="280"/>
        <v/>
      </c>
      <c r="FI35" s="30" t="str">
        <f t="shared" si="281"/>
        <v/>
      </c>
      <c r="FJ35" s="30" t="str">
        <f t="shared" si="282"/>
        <v/>
      </c>
      <c r="FK35" s="30" t="str">
        <f t="shared" si="283"/>
        <v/>
      </c>
      <c r="FL35" s="30" t="str">
        <f t="shared" si="284"/>
        <v/>
      </c>
      <c r="FM35" s="30" t="str">
        <f t="shared" si="285"/>
        <v/>
      </c>
      <c r="FN35" s="30" t="str">
        <f t="shared" si="286"/>
        <v/>
      </c>
      <c r="FO35" s="30" t="str">
        <f t="shared" si="287"/>
        <v/>
      </c>
      <c r="FP35" s="30" t="str">
        <f t="shared" si="288"/>
        <v/>
      </c>
      <c r="FQ35" s="30" t="str">
        <f t="shared" si="289"/>
        <v/>
      </c>
      <c r="FR35" s="30" t="str">
        <f t="shared" si="290"/>
        <v/>
      </c>
      <c r="FS35" s="30" t="str">
        <f t="shared" si="291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2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">
        <v>600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3"/>
        <v>InitUnitState('E109',,6120,,,,,,,,)</v>
      </c>
      <c r="CO36" s="44" t="str">
        <f t="shared" si="294"/>
        <v>InitUnitNormal('E109',,,,,,,,,,)</v>
      </c>
      <c r="CP36" s="44" t="str">
        <f t="shared" si="295"/>
        <v>InitUnitMagic('E109',,,,,6,,,,,)</v>
      </c>
      <c r="CQ36" s="44" t="str">
        <f t="shared" si="296"/>
        <v>InitUnitAdd('E109',,,,,,,,,,)</v>
      </c>
      <c r="CR36" s="44" t="str">
        <f t="shared" si="297"/>
        <v>InitEquipData('E109',,"",,E110,7000,,'','','','','','',"ReplaceableTextures\\CommandButtons\\BTNZ07.blp")</v>
      </c>
      <c r="CS36" s="44"/>
      <c r="CT36" s="44"/>
      <c r="CU36" s="45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299">IF(V36="","","|n"&amp;DB$2&amp;"+"&amp;V36&amp;DB$1)</f>
        <v/>
      </c>
      <c r="DC36" s="30" t="str">
        <f t="shared" ref="DC36:DC52" si="300">IF(W36="","","|n"&amp;DC$2&amp;"+"&amp;W36&amp;DC$1)</f>
        <v>|n法强+6120</v>
      </c>
      <c r="DD36" s="30" t="str">
        <f t="shared" ref="DD36:DD52" si="301">IF(X36="","","|n"&amp;DD$2&amp;"+"&amp;X36&amp;DD$1)</f>
        <v/>
      </c>
      <c r="DE36" s="30" t="str">
        <f t="shared" ref="DE36:DE52" si="302">IF(Y36="","","|n"&amp;DE$2&amp;"+"&amp;Y36&amp;DE$1)</f>
        <v/>
      </c>
      <c r="DF36" s="30" t="str">
        <f t="shared" ref="DF36:DF52" si="303">IF(Z36="","","|n"&amp;DF$2&amp;"+"&amp;Z36&amp;DF$1)</f>
        <v/>
      </c>
      <c r="DG36" s="30" t="str">
        <f t="shared" ref="DG36:DG52" si="304">IF(AA36="","","|n"&amp;DG$2&amp;"+"&amp;AA36&amp;DG$1)</f>
        <v/>
      </c>
      <c r="DH36" s="30" t="str">
        <f t="shared" ref="DH36:DH52" si="305">IF(AB36="","","|n"&amp;DH$2&amp;"+"&amp;AB36&amp;DH$1)</f>
        <v/>
      </c>
      <c r="DI36" s="30" t="str">
        <f t="shared" ref="DI36:DI52" si="306">IF(AC36="","","|n"&amp;DI$2&amp;"+"&amp;AC36&amp;DI$1)</f>
        <v/>
      </c>
      <c r="DJ36" s="30" t="str">
        <f t="shared" ref="DJ36:DJ52" si="307">IF(AD36="","","|n"&amp;DJ$2&amp;"+"&amp;AD36&amp;DJ$1)</f>
        <v/>
      </c>
      <c r="DK36" s="30" t="str">
        <f t="shared" ref="DK36:DK52" si="308">IF(AE36="","","|n"&amp;DK$2&amp;"+"&amp;AE36&amp;DK$1)</f>
        <v/>
      </c>
      <c r="DL36" s="30" t="str">
        <f t="shared" ref="DL36:DL52" si="309">IF(AF36="","","|n"&amp;DL$2&amp;"+"&amp;AF36&amp;DL$1)</f>
        <v/>
      </c>
      <c r="DM36" s="30" t="str">
        <f t="shared" ref="DM36:DM52" si="310">IF(AG36="","","|n"&amp;DM$2&amp;"+"&amp;AG36&amp;DM$1)</f>
        <v/>
      </c>
      <c r="DN36" s="30" t="str">
        <f t="shared" ref="DN36:DN52" si="311">IF(AH36="","","|n"&amp;DN$2&amp;"+"&amp;AH36&amp;DN$1)</f>
        <v/>
      </c>
      <c r="DO36" s="30" t="str">
        <f t="shared" ref="DO36:DO52" si="312">IF(AI36="","","|n"&amp;DO$2&amp;"+"&amp;AI36&amp;DO$1)</f>
        <v/>
      </c>
      <c r="DP36" s="30" t="str">
        <f t="shared" ref="DP36:DP52" si="313">IF(AJ36="","","|n"&amp;DP$2&amp;"+"&amp;AJ36&amp;DP$1)</f>
        <v/>
      </c>
      <c r="DQ36" s="30" t="str">
        <f t="shared" ref="DQ36:DQ52" si="314">IF(AK36="","","|n"&amp;DQ$2&amp;"+"&amp;AK36&amp;DQ$1)</f>
        <v/>
      </c>
      <c r="DR36" s="30" t="str">
        <f t="shared" ref="DR36:DR52" si="315">IF(AL36="","","|n"&amp;DR$2&amp;"+"&amp;AL36&amp;DR$1)</f>
        <v/>
      </c>
      <c r="DS36" s="30" t="str">
        <f t="shared" ref="DS36:DS52" si="316">IF(AM36="","","|n"&amp;DS$2&amp;"+"&amp;AM36&amp;DS$1)</f>
        <v/>
      </c>
      <c r="DT36" s="30" t="str">
        <f t="shared" ref="DT36:DT52" si="317">IF(AN36="","","|n"&amp;DT$2&amp;"+"&amp;AN36&amp;DT$1)</f>
        <v/>
      </c>
      <c r="DU36" s="30" t="str">
        <f t="shared" ref="DU36:DU52" si="318">IF(AO36="","","|n"&amp;DU$2&amp;"+"&amp;AO36&amp;DU$1)</f>
        <v/>
      </c>
      <c r="DV36" s="30" t="str">
        <f t="shared" ref="DV36:DV52" si="319">IF(AP36="","","|n"&amp;DV$2&amp;"+"&amp;AP36&amp;DV$1)</f>
        <v/>
      </c>
      <c r="DW36" s="30" t="str">
        <f t="shared" ref="DW36:DW52" si="320">IF(AQ36="","","|n"&amp;DW$2&amp;"+"&amp;AQ36&amp;DW$1)</f>
        <v/>
      </c>
      <c r="DX36" s="30" t="str">
        <f t="shared" ref="DX36:DX52" si="321">IF(AR36="","","|n"&amp;DX$2&amp;"+"&amp;AR36&amp;DX$1)</f>
        <v/>
      </c>
      <c r="DY36" s="30" t="str">
        <f t="shared" ref="DY36:DY52" si="322">IF(AS36="","","|n"&amp;DY$2&amp;"+"&amp;AS36&amp;DY$1)</f>
        <v/>
      </c>
      <c r="DZ36" s="30" t="str">
        <f t="shared" ref="DZ36:DZ52" si="323">IF(AT36="","","|n"&amp;DZ$2&amp;"+"&amp;AT36&amp;DZ$1)</f>
        <v>|n冷却缩减+6%</v>
      </c>
      <c r="EA36" s="30" t="str">
        <f t="shared" ref="EA36:EA52" si="324">IF(AU36="","","|n"&amp;EA$2&amp;"+"&amp;AU36&amp;EA$1)</f>
        <v/>
      </c>
      <c r="EB36" s="30" t="str">
        <f t="shared" ref="EB36:EB52" si="325">IF(AV36="","","|n"&amp;EB$2&amp;"+"&amp;AV36&amp;EB$1)</f>
        <v/>
      </c>
      <c r="EC36" s="30" t="str">
        <f t="shared" ref="EC36:EC52" si="326">IF(AW36="","","|n"&amp;EC$2&amp;"+"&amp;AW36&amp;EC$1)</f>
        <v/>
      </c>
      <c r="ED36" s="30" t="str">
        <f t="shared" ref="ED36:ED52" si="327">IF(AX36="","","|n"&amp;ED$2&amp;"+"&amp;AX36&amp;ED$1)</f>
        <v/>
      </c>
      <c r="EE36" s="30" t="str">
        <f t="shared" ref="EE36:EE52" si="328">IF(AY36="","","|n"&amp;EE$2&amp;"+"&amp;AY36&amp;EE$1)</f>
        <v/>
      </c>
      <c r="EF36" s="30" t="str">
        <f t="shared" ref="EF36:EF52" si="329">IF(AZ36="","","|n"&amp;EF$2&amp;"+"&amp;AZ36&amp;EF$1)</f>
        <v/>
      </c>
      <c r="EG36" s="30" t="str">
        <f t="shared" ref="EG36:EG52" si="330">IF(BA36="","","|n"&amp;EG$2&amp;"+"&amp;BA36&amp;EG$1)</f>
        <v/>
      </c>
      <c r="EH36" s="30" t="str">
        <f t="shared" ref="EH36:EH52" si="331">IF(BB36="","","|n"&amp;EH$2&amp;"+"&amp;BB36&amp;EH$1)</f>
        <v/>
      </c>
      <c r="EI36" s="30" t="str">
        <f t="shared" ref="EI36:EI52" si="332">IF(BC36="","","|n"&amp;EI$2&amp;"+"&amp;BC36&amp;EI$1)</f>
        <v/>
      </c>
      <c r="EJ36" s="30" t="str">
        <f t="shared" ref="EJ36:EJ52" si="333">IF(BD36="","","|n"&amp;EJ$2&amp;"+"&amp;BD36&amp;EJ$1)</f>
        <v/>
      </c>
      <c r="EK36" s="30" t="str">
        <f t="shared" ref="EK36:EK52" si="334">IF(BE36="","","|n"&amp;EK$2&amp;"+"&amp;BE36&amp;EK$1)</f>
        <v/>
      </c>
      <c r="EL36" s="30" t="str">
        <f t="shared" ref="EL36:EL52" si="335">IF(BF36="","","|n"&amp;EL$2&amp;"+"&amp;BF36&amp;EL$1)</f>
        <v/>
      </c>
      <c r="EM36" s="30" t="str">
        <f t="shared" ref="EM36:EM52" si="336">IF(BG36="","","|n"&amp;EM$2&amp;"+"&amp;BG36&amp;EM$1)</f>
        <v/>
      </c>
      <c r="EN36" s="30" t="str">
        <f t="shared" ref="EN36:EN52" si="337">IF(BH36="","","|n"&amp;EN$2&amp;"+"&amp;BH36&amp;EN$1)</f>
        <v/>
      </c>
      <c r="EO36" s="30" t="str">
        <f t="shared" ref="EO36:EO52" si="338">IF(BI36="","","|n"&amp;EO$2&amp;"+"&amp;BI36&amp;EO$1)</f>
        <v/>
      </c>
      <c r="EP36" s="30" t="str">
        <f t="shared" ref="EP36:EP52" si="339">IF(BJ36="","","|n"&amp;EP$2&amp;"+"&amp;BJ36&amp;EP$1)</f>
        <v/>
      </c>
      <c r="EQ36" s="30" t="str">
        <f t="shared" ref="EQ36:EQ52" si="340">IF(BK36="","","|n"&amp;EQ$2&amp;"+"&amp;BK36&amp;EQ$1)</f>
        <v/>
      </c>
      <c r="ER36" s="30" t="str">
        <f t="shared" ref="ER36:ER52" si="341">IF(BL36="","","|n"&amp;ER$2&amp;"+"&amp;BL36&amp;ER$1)</f>
        <v/>
      </c>
      <c r="ES36" s="30" t="str">
        <f t="shared" ref="ES36:ES52" si="342">IF(BM36="","","|n"&amp;ES$2&amp;"+"&amp;BM36&amp;ES$1)</f>
        <v/>
      </c>
      <c r="ET36" s="30" t="str">
        <f t="shared" ref="ET36:ET52" si="343">IF(BN36="","","|n"&amp;ET$2&amp;"+"&amp;BN36&amp;ET$1)</f>
        <v/>
      </c>
      <c r="EU36" s="30" t="str">
        <f t="shared" ref="EU36:EU52" si="344">IF(BO36="","","|n"&amp;EU$2&amp;"+"&amp;BO36&amp;EU$1)</f>
        <v/>
      </c>
      <c r="EV36" s="30" t="str">
        <f t="shared" ref="EV36:EV52" si="345">IF(BP36="","","|n"&amp;EV$2&amp;"+"&amp;BP36&amp;EV$1)</f>
        <v/>
      </c>
      <c r="EW36" s="30" t="str">
        <f t="shared" ref="EW36:EW52" si="346">IF(BQ36="","","|n"&amp;EW$2&amp;"+"&amp;BQ36&amp;EW$1)</f>
        <v/>
      </c>
      <c r="EX36" s="30" t="str">
        <f t="shared" ref="EX36:EX52" si="347">IF(BR36="","","|n"&amp;EX$2&amp;"+"&amp;BR36&amp;EX$1)</f>
        <v/>
      </c>
      <c r="EY36" s="30" t="str">
        <f t="shared" ref="EY36:EY52" si="348">IF(BS36="","","|n"&amp;EY$2&amp;"+"&amp;BS36&amp;EY$1)</f>
        <v/>
      </c>
      <c r="EZ36" s="30" t="str">
        <f t="shared" ref="EZ36:EZ52" si="349">IF(BT36="","","|n"&amp;EZ$2&amp;"+"&amp;BT36&amp;EZ$1)</f>
        <v/>
      </c>
      <c r="FA36" s="30" t="str">
        <f t="shared" ref="FA36:FA52" si="350">IF(BU36="","","|n"&amp;FA$2&amp;"+"&amp;BU36&amp;FA$1)</f>
        <v/>
      </c>
      <c r="FB36" s="30" t="str">
        <f t="shared" ref="FB36:FB52" si="351">IF(BV36="","","|n"&amp;FB$2&amp;"+"&amp;BV36&amp;FB$1)</f>
        <v/>
      </c>
      <c r="FC36" s="30" t="str">
        <f t="shared" ref="FC36:FC52" si="352">IF(BW36="","","|n"&amp;FC$2&amp;"+"&amp;BW36&amp;FC$1)</f>
        <v/>
      </c>
      <c r="FD36" s="30" t="str">
        <f t="shared" ref="FD36:FD52" si="353">IF(BX36="","","|n"&amp;FD$2&amp;"+"&amp;BX36&amp;FD$1)</f>
        <v/>
      </c>
      <c r="FE36" s="30" t="str">
        <f t="shared" ref="FE36:FE52" si="354">IF(BY36="","","|n"&amp;FE$2&amp;"+"&amp;BY36&amp;FE$1)</f>
        <v/>
      </c>
      <c r="FF36" s="30" t="str">
        <f t="shared" ref="FF36:FF52" si="355">IF(BZ36="","","|n"&amp;FF$2&amp;"+"&amp;BZ36&amp;FF$1)</f>
        <v/>
      </c>
      <c r="FG36" s="30" t="str">
        <f t="shared" ref="FG36:FG52" si="356">IF(CA36="","","|n"&amp;FG$2&amp;"+"&amp;CA36&amp;FG$1)</f>
        <v/>
      </c>
      <c r="FH36" s="30" t="str">
        <f t="shared" ref="FH36:FH52" si="357">IF(CB36="","","|n"&amp;FH$2&amp;"+"&amp;CB36&amp;FH$1)</f>
        <v/>
      </c>
      <c r="FI36" s="30" t="str">
        <f t="shared" ref="FI36:FI52" si="358">IF(CC36="","","|n"&amp;FI$2&amp;"+"&amp;CC36&amp;FI$1)</f>
        <v/>
      </c>
      <c r="FJ36" s="30" t="str">
        <f t="shared" ref="FJ36:FJ52" si="359">IF(CD36="","","|n"&amp;FJ$2&amp;"+"&amp;CD36&amp;FJ$1)</f>
        <v/>
      </c>
      <c r="FK36" s="30" t="str">
        <f t="shared" ref="FK36:FK52" si="360">IF(CE36="","","|n"&amp;FK$2&amp;"+"&amp;CE36&amp;FK$1)</f>
        <v/>
      </c>
      <c r="FL36" s="30" t="str">
        <f t="shared" ref="FL36:FL52" si="361">IF(CF36="","","|n"&amp;FL$2&amp;"+"&amp;CF36&amp;FL$1)</f>
        <v/>
      </c>
      <c r="FM36" s="30" t="str">
        <f t="shared" ref="FM36:FM52" si="362">IF(CG36="","","|n"&amp;FM$2&amp;"+"&amp;CG36&amp;FM$1)</f>
        <v/>
      </c>
      <c r="FN36" s="30" t="str">
        <f t="shared" ref="FN36:FN52" si="363">IF(CH36="","","|n"&amp;FN$2&amp;"+"&amp;CH36&amp;FN$1)</f>
        <v/>
      </c>
      <c r="FO36" s="30" t="str">
        <f t="shared" ref="FO36:FO52" si="364">IF(CI36="","","|n"&amp;FO$2&amp;"+"&amp;CI36&amp;FO$1)</f>
        <v/>
      </c>
      <c r="FP36" s="30" t="str">
        <f t="shared" ref="FP36:FP52" si="365">IF(CJ36="","","|n"&amp;FP$2&amp;"+"&amp;CJ36&amp;FP$1)</f>
        <v/>
      </c>
      <c r="FQ36" s="30" t="str">
        <f t="shared" ref="FQ36:FQ52" si="366">IF(CK36="","","|n"&amp;FQ$2&amp;"+"&amp;CK36&amp;FQ$1)</f>
        <v/>
      </c>
      <c r="FR36" s="30" t="str">
        <f t="shared" ref="FR36:FR52" si="367">IF(CL36="","","|n"&amp;FR$2&amp;"+"&amp;CL36&amp;FR$1)</f>
        <v/>
      </c>
      <c r="FS36" s="30" t="str">
        <f t="shared" ref="FS36:FS52" si="368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2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">
        <v>600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3"/>
        <v>InitUnitState('E110',,6888,,,,,,,,)</v>
      </c>
      <c r="CO37" s="44" t="str">
        <f t="shared" si="294"/>
        <v>InitUnitNormal('E110',,,,,,,,,,)</v>
      </c>
      <c r="CP37" s="44" t="str">
        <f t="shared" si="295"/>
        <v>InitUnitMagic('E110',,,,,6,,,,,)</v>
      </c>
      <c r="CQ37" s="44" t="str">
        <f t="shared" si="296"/>
        <v>InitUnitAdd('E110',,,,,,,,,,)</v>
      </c>
      <c r="CR37" s="44" t="str">
        <f t="shared" si="297"/>
        <v>InitEquipData('E110',,"",,E111,30000,,'','','','','','',"ReplaceableTextures\\CommandButtons\\BTNZ08.blp")</v>
      </c>
      <c r="CS37" s="44"/>
      <c r="CT37" s="44"/>
      <c r="CU37" s="45" t="str">
        <f t="shared" si="298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299"/>
        <v/>
      </c>
      <c r="DC37" s="30" t="str">
        <f t="shared" si="300"/>
        <v>|n法强+6888</v>
      </c>
      <c r="DD37" s="30" t="str">
        <f t="shared" si="301"/>
        <v/>
      </c>
      <c r="DE37" s="30" t="str">
        <f t="shared" si="302"/>
        <v/>
      </c>
      <c r="DF37" s="30" t="str">
        <f t="shared" si="303"/>
        <v/>
      </c>
      <c r="DG37" s="30" t="str">
        <f t="shared" si="304"/>
        <v/>
      </c>
      <c r="DH37" s="30" t="str">
        <f t="shared" si="305"/>
        <v/>
      </c>
      <c r="DI37" s="30" t="str">
        <f t="shared" si="306"/>
        <v/>
      </c>
      <c r="DJ37" s="30" t="str">
        <f t="shared" si="307"/>
        <v/>
      </c>
      <c r="DK37" s="30" t="str">
        <f t="shared" si="308"/>
        <v/>
      </c>
      <c r="DL37" s="30" t="str">
        <f t="shared" si="309"/>
        <v/>
      </c>
      <c r="DM37" s="30" t="str">
        <f t="shared" si="310"/>
        <v/>
      </c>
      <c r="DN37" s="30" t="str">
        <f t="shared" si="311"/>
        <v/>
      </c>
      <c r="DO37" s="30" t="str">
        <f t="shared" si="312"/>
        <v/>
      </c>
      <c r="DP37" s="30" t="str">
        <f t="shared" si="313"/>
        <v/>
      </c>
      <c r="DQ37" s="30" t="str">
        <f t="shared" si="314"/>
        <v/>
      </c>
      <c r="DR37" s="30" t="str">
        <f t="shared" si="315"/>
        <v/>
      </c>
      <c r="DS37" s="30" t="str">
        <f t="shared" si="316"/>
        <v/>
      </c>
      <c r="DT37" s="30" t="str">
        <f t="shared" si="317"/>
        <v/>
      </c>
      <c r="DU37" s="30" t="str">
        <f t="shared" si="318"/>
        <v/>
      </c>
      <c r="DV37" s="30" t="str">
        <f t="shared" si="319"/>
        <v/>
      </c>
      <c r="DW37" s="30" t="str">
        <f t="shared" si="320"/>
        <v/>
      </c>
      <c r="DX37" s="30" t="str">
        <f t="shared" si="321"/>
        <v/>
      </c>
      <c r="DY37" s="30" t="str">
        <f t="shared" si="322"/>
        <v/>
      </c>
      <c r="DZ37" s="30" t="str">
        <f t="shared" si="323"/>
        <v>|n冷却缩减+6%</v>
      </c>
      <c r="EA37" s="30" t="str">
        <f t="shared" si="324"/>
        <v/>
      </c>
      <c r="EB37" s="30" t="str">
        <f t="shared" si="325"/>
        <v/>
      </c>
      <c r="EC37" s="30" t="str">
        <f t="shared" si="326"/>
        <v/>
      </c>
      <c r="ED37" s="30" t="str">
        <f t="shared" si="327"/>
        <v/>
      </c>
      <c r="EE37" s="30" t="str">
        <f t="shared" si="328"/>
        <v/>
      </c>
      <c r="EF37" s="30" t="str">
        <f t="shared" si="329"/>
        <v/>
      </c>
      <c r="EG37" s="30" t="str">
        <f t="shared" si="330"/>
        <v/>
      </c>
      <c r="EH37" s="30" t="str">
        <f t="shared" si="331"/>
        <v/>
      </c>
      <c r="EI37" s="30" t="str">
        <f t="shared" si="332"/>
        <v/>
      </c>
      <c r="EJ37" s="30" t="str">
        <f t="shared" si="333"/>
        <v/>
      </c>
      <c r="EK37" s="30" t="str">
        <f t="shared" si="334"/>
        <v/>
      </c>
      <c r="EL37" s="30" t="str">
        <f t="shared" si="335"/>
        <v/>
      </c>
      <c r="EM37" s="30" t="str">
        <f t="shared" si="336"/>
        <v/>
      </c>
      <c r="EN37" s="30" t="str">
        <f t="shared" si="337"/>
        <v/>
      </c>
      <c r="EO37" s="30" t="str">
        <f t="shared" si="338"/>
        <v/>
      </c>
      <c r="EP37" s="30" t="str">
        <f t="shared" si="339"/>
        <v/>
      </c>
      <c r="EQ37" s="30" t="str">
        <f t="shared" si="340"/>
        <v/>
      </c>
      <c r="ER37" s="30" t="str">
        <f t="shared" si="341"/>
        <v/>
      </c>
      <c r="ES37" s="30" t="str">
        <f t="shared" si="342"/>
        <v/>
      </c>
      <c r="ET37" s="30" t="str">
        <f t="shared" si="343"/>
        <v/>
      </c>
      <c r="EU37" s="30" t="str">
        <f t="shared" si="344"/>
        <v/>
      </c>
      <c r="EV37" s="30" t="str">
        <f t="shared" si="345"/>
        <v/>
      </c>
      <c r="EW37" s="30" t="str">
        <f t="shared" si="346"/>
        <v/>
      </c>
      <c r="EX37" s="30" t="str">
        <f t="shared" si="347"/>
        <v/>
      </c>
      <c r="EY37" s="30" t="str">
        <f t="shared" si="348"/>
        <v/>
      </c>
      <c r="EZ37" s="30" t="str">
        <f t="shared" si="349"/>
        <v/>
      </c>
      <c r="FA37" s="30" t="str">
        <f t="shared" si="350"/>
        <v/>
      </c>
      <c r="FB37" s="30" t="str">
        <f t="shared" si="351"/>
        <v/>
      </c>
      <c r="FC37" s="30" t="str">
        <f t="shared" si="352"/>
        <v/>
      </c>
      <c r="FD37" s="30" t="str">
        <f t="shared" si="353"/>
        <v/>
      </c>
      <c r="FE37" s="30" t="str">
        <f t="shared" si="354"/>
        <v/>
      </c>
      <c r="FF37" s="30" t="str">
        <f t="shared" si="355"/>
        <v/>
      </c>
      <c r="FG37" s="30" t="str">
        <f t="shared" si="356"/>
        <v/>
      </c>
      <c r="FH37" s="30" t="str">
        <f t="shared" si="357"/>
        <v/>
      </c>
      <c r="FI37" s="30" t="str">
        <f t="shared" si="358"/>
        <v/>
      </c>
      <c r="FJ37" s="30" t="str">
        <f t="shared" si="359"/>
        <v/>
      </c>
      <c r="FK37" s="30" t="str">
        <f t="shared" si="360"/>
        <v/>
      </c>
      <c r="FL37" s="30" t="str">
        <f t="shared" si="361"/>
        <v/>
      </c>
      <c r="FM37" s="30" t="str">
        <f t="shared" si="362"/>
        <v/>
      </c>
      <c r="FN37" s="30" t="str">
        <f t="shared" si="363"/>
        <v/>
      </c>
      <c r="FO37" s="30" t="str">
        <f t="shared" si="364"/>
        <v/>
      </c>
      <c r="FP37" s="30" t="str">
        <f t="shared" si="365"/>
        <v/>
      </c>
      <c r="FQ37" s="30" t="str">
        <f t="shared" si="366"/>
        <v/>
      </c>
      <c r="FR37" s="30" t="str">
        <f t="shared" si="367"/>
        <v/>
      </c>
      <c r="FS37" s="30" t="str">
        <f t="shared" si="368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2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">
        <v>601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3"/>
        <v>InitUnitState('E111',,8808,,,,,,,,)</v>
      </c>
      <c r="CO38" s="44" t="str">
        <f t="shared" si="294"/>
        <v>InitUnitNormal('E111',,,,,,,6,,,)</v>
      </c>
      <c r="CP38" s="44" t="str">
        <f t="shared" si="295"/>
        <v>InitUnitMagic('E111',,,,,8,,,,,)</v>
      </c>
      <c r="CQ38" s="44" t="str">
        <f t="shared" si="296"/>
        <v>InitUnitAdd('E111',,,,,,,,,,)</v>
      </c>
      <c r="CR38" s="44" t="str">
        <f t="shared" si="297"/>
        <v>InitEquipData('E111',,"",,E112,10000,,'','','','','','',"ReplaceableTextures\\CommandButtons\\BTNZ08.blp")</v>
      </c>
      <c r="CS38" s="44"/>
      <c r="CT38" s="44"/>
      <c r="CU38" s="45" t="str">
        <f t="shared" si="298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299"/>
        <v/>
      </c>
      <c r="DC38" s="30" t="str">
        <f t="shared" si="300"/>
        <v>|n法强+8808</v>
      </c>
      <c r="DD38" s="30" t="str">
        <f t="shared" si="301"/>
        <v/>
      </c>
      <c r="DE38" s="30" t="str">
        <f t="shared" si="302"/>
        <v/>
      </c>
      <c r="DF38" s="30" t="str">
        <f t="shared" si="303"/>
        <v/>
      </c>
      <c r="DG38" s="30" t="str">
        <f t="shared" si="304"/>
        <v/>
      </c>
      <c r="DH38" s="30" t="str">
        <f t="shared" si="305"/>
        <v/>
      </c>
      <c r="DI38" s="30" t="str">
        <f t="shared" si="306"/>
        <v/>
      </c>
      <c r="DJ38" s="30" t="str">
        <f t="shared" si="307"/>
        <v/>
      </c>
      <c r="DK38" s="30" t="str">
        <f t="shared" si="308"/>
        <v/>
      </c>
      <c r="DL38" s="30" t="str">
        <f t="shared" si="309"/>
        <v/>
      </c>
      <c r="DM38" s="30" t="str">
        <f t="shared" si="310"/>
        <v/>
      </c>
      <c r="DN38" s="30" t="str">
        <f t="shared" si="311"/>
        <v/>
      </c>
      <c r="DO38" s="30" t="str">
        <f t="shared" si="312"/>
        <v/>
      </c>
      <c r="DP38" s="30" t="str">
        <f t="shared" si="313"/>
        <v/>
      </c>
      <c r="DQ38" s="30" t="str">
        <f t="shared" si="314"/>
        <v/>
      </c>
      <c r="DR38" s="30" t="str">
        <f t="shared" si="315"/>
        <v>|n伤害加成+6%</v>
      </c>
      <c r="DS38" s="30" t="str">
        <f t="shared" si="316"/>
        <v/>
      </c>
      <c r="DT38" s="30" t="str">
        <f t="shared" si="317"/>
        <v/>
      </c>
      <c r="DU38" s="30" t="str">
        <f t="shared" si="318"/>
        <v/>
      </c>
      <c r="DV38" s="30" t="str">
        <f t="shared" si="319"/>
        <v/>
      </c>
      <c r="DW38" s="30" t="str">
        <f t="shared" si="320"/>
        <v/>
      </c>
      <c r="DX38" s="30" t="str">
        <f t="shared" si="321"/>
        <v/>
      </c>
      <c r="DY38" s="30" t="str">
        <f t="shared" si="322"/>
        <v/>
      </c>
      <c r="DZ38" s="30" t="str">
        <f t="shared" si="323"/>
        <v>|n冷却缩减+8%</v>
      </c>
      <c r="EA38" s="30" t="str">
        <f t="shared" si="324"/>
        <v/>
      </c>
      <c r="EB38" s="30" t="str">
        <f t="shared" si="325"/>
        <v/>
      </c>
      <c r="EC38" s="30" t="str">
        <f t="shared" si="326"/>
        <v/>
      </c>
      <c r="ED38" s="30" t="str">
        <f t="shared" si="327"/>
        <v/>
      </c>
      <c r="EE38" s="30" t="str">
        <f t="shared" si="328"/>
        <v/>
      </c>
      <c r="EF38" s="30" t="str">
        <f t="shared" si="329"/>
        <v/>
      </c>
      <c r="EG38" s="30" t="str">
        <f t="shared" si="330"/>
        <v/>
      </c>
      <c r="EH38" s="30" t="str">
        <f t="shared" si="331"/>
        <v/>
      </c>
      <c r="EI38" s="30" t="str">
        <f t="shared" si="332"/>
        <v/>
      </c>
      <c r="EJ38" s="30" t="str">
        <f t="shared" si="333"/>
        <v/>
      </c>
      <c r="EK38" s="30" t="str">
        <f t="shared" si="334"/>
        <v/>
      </c>
      <c r="EL38" s="30" t="str">
        <f t="shared" si="335"/>
        <v/>
      </c>
      <c r="EM38" s="30" t="str">
        <f t="shared" si="336"/>
        <v/>
      </c>
      <c r="EN38" s="30" t="str">
        <f t="shared" si="337"/>
        <v/>
      </c>
      <c r="EO38" s="30" t="str">
        <f t="shared" si="338"/>
        <v/>
      </c>
      <c r="EP38" s="30" t="str">
        <f t="shared" si="339"/>
        <v/>
      </c>
      <c r="EQ38" s="30" t="str">
        <f t="shared" si="340"/>
        <v/>
      </c>
      <c r="ER38" s="30" t="str">
        <f t="shared" si="341"/>
        <v/>
      </c>
      <c r="ES38" s="30" t="str">
        <f t="shared" si="342"/>
        <v/>
      </c>
      <c r="ET38" s="30" t="str">
        <f t="shared" si="343"/>
        <v/>
      </c>
      <c r="EU38" s="30" t="str">
        <f t="shared" si="344"/>
        <v/>
      </c>
      <c r="EV38" s="30" t="str">
        <f t="shared" si="345"/>
        <v/>
      </c>
      <c r="EW38" s="30" t="str">
        <f t="shared" si="346"/>
        <v/>
      </c>
      <c r="EX38" s="30" t="str">
        <f t="shared" si="347"/>
        <v/>
      </c>
      <c r="EY38" s="30" t="str">
        <f t="shared" si="348"/>
        <v/>
      </c>
      <c r="EZ38" s="30" t="str">
        <f t="shared" si="349"/>
        <v/>
      </c>
      <c r="FA38" s="30" t="str">
        <f t="shared" si="350"/>
        <v/>
      </c>
      <c r="FB38" s="30" t="str">
        <f t="shared" si="351"/>
        <v/>
      </c>
      <c r="FC38" s="30" t="str">
        <f t="shared" si="352"/>
        <v/>
      </c>
      <c r="FD38" s="30" t="str">
        <f t="shared" si="353"/>
        <v/>
      </c>
      <c r="FE38" s="30" t="str">
        <f t="shared" si="354"/>
        <v/>
      </c>
      <c r="FF38" s="30" t="str">
        <f t="shared" si="355"/>
        <v/>
      </c>
      <c r="FG38" s="30" t="str">
        <f t="shared" si="356"/>
        <v/>
      </c>
      <c r="FH38" s="30" t="str">
        <f t="shared" si="357"/>
        <v/>
      </c>
      <c r="FI38" s="30" t="str">
        <f t="shared" si="358"/>
        <v/>
      </c>
      <c r="FJ38" s="30" t="str">
        <f t="shared" si="359"/>
        <v/>
      </c>
      <c r="FK38" s="30" t="str">
        <f t="shared" si="360"/>
        <v/>
      </c>
      <c r="FL38" s="30" t="str">
        <f t="shared" si="361"/>
        <v/>
      </c>
      <c r="FM38" s="30" t="str">
        <f t="shared" si="362"/>
        <v/>
      </c>
      <c r="FN38" s="30" t="str">
        <f t="shared" si="363"/>
        <v/>
      </c>
      <c r="FO38" s="30" t="str">
        <f t="shared" si="364"/>
        <v/>
      </c>
      <c r="FP38" s="30" t="str">
        <f t="shared" si="365"/>
        <v/>
      </c>
      <c r="FQ38" s="30" t="str">
        <f t="shared" si="366"/>
        <v/>
      </c>
      <c r="FR38" s="30" t="str">
        <f t="shared" si="367"/>
        <v/>
      </c>
      <c r="FS38" s="30" t="str">
        <f t="shared" si="368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2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">
        <v>601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3"/>
        <v>InitUnitState('E112',,10728,,,,,,,,)</v>
      </c>
      <c r="CO39" s="44" t="str">
        <f t="shared" si="294"/>
        <v>InitUnitNormal('E112',,,,,,,6,,,)</v>
      </c>
      <c r="CP39" s="44" t="str">
        <f t="shared" si="295"/>
        <v>InitUnitMagic('E112',,,,,8,,,,,)</v>
      </c>
      <c r="CQ39" s="44" t="str">
        <f t="shared" si="296"/>
        <v>InitUnitAdd('E112',,,,,,,,,,)</v>
      </c>
      <c r="CR39" s="44" t="str">
        <f t="shared" si="297"/>
        <v>InitEquipData('E112',,"",,E113,10000,,'','','','','','',"ReplaceableTextures\\CommandButtons\\BTNZ08.blp")</v>
      </c>
      <c r="CS39" s="44"/>
      <c r="CT39" s="44"/>
      <c r="CU39" s="45" t="str">
        <f t="shared" si="298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299"/>
        <v/>
      </c>
      <c r="DC39" s="30" t="str">
        <f t="shared" si="300"/>
        <v>|n法强+10728</v>
      </c>
      <c r="DD39" s="30" t="str">
        <f t="shared" si="301"/>
        <v/>
      </c>
      <c r="DE39" s="30" t="str">
        <f t="shared" si="302"/>
        <v/>
      </c>
      <c r="DF39" s="30" t="str">
        <f t="shared" si="303"/>
        <v/>
      </c>
      <c r="DG39" s="30" t="str">
        <f t="shared" si="304"/>
        <v/>
      </c>
      <c r="DH39" s="30" t="str">
        <f t="shared" si="305"/>
        <v/>
      </c>
      <c r="DI39" s="30" t="str">
        <f t="shared" si="306"/>
        <v/>
      </c>
      <c r="DJ39" s="30" t="str">
        <f t="shared" si="307"/>
        <v/>
      </c>
      <c r="DK39" s="30" t="str">
        <f t="shared" si="308"/>
        <v/>
      </c>
      <c r="DL39" s="30" t="str">
        <f t="shared" si="309"/>
        <v/>
      </c>
      <c r="DM39" s="30" t="str">
        <f t="shared" si="310"/>
        <v/>
      </c>
      <c r="DN39" s="30" t="str">
        <f t="shared" si="311"/>
        <v/>
      </c>
      <c r="DO39" s="30" t="str">
        <f t="shared" si="312"/>
        <v/>
      </c>
      <c r="DP39" s="30" t="str">
        <f t="shared" si="313"/>
        <v/>
      </c>
      <c r="DQ39" s="30" t="str">
        <f t="shared" si="314"/>
        <v/>
      </c>
      <c r="DR39" s="30" t="str">
        <f t="shared" si="315"/>
        <v>|n伤害加成+6%</v>
      </c>
      <c r="DS39" s="30" t="str">
        <f t="shared" si="316"/>
        <v/>
      </c>
      <c r="DT39" s="30" t="str">
        <f t="shared" si="317"/>
        <v/>
      </c>
      <c r="DU39" s="30" t="str">
        <f t="shared" si="318"/>
        <v/>
      </c>
      <c r="DV39" s="30" t="str">
        <f t="shared" si="319"/>
        <v/>
      </c>
      <c r="DW39" s="30" t="str">
        <f t="shared" si="320"/>
        <v/>
      </c>
      <c r="DX39" s="30" t="str">
        <f t="shared" si="321"/>
        <v/>
      </c>
      <c r="DY39" s="30" t="str">
        <f t="shared" si="322"/>
        <v/>
      </c>
      <c r="DZ39" s="30" t="str">
        <f t="shared" si="323"/>
        <v>|n冷却缩减+8%</v>
      </c>
      <c r="EA39" s="30" t="str">
        <f t="shared" si="324"/>
        <v/>
      </c>
      <c r="EB39" s="30" t="str">
        <f t="shared" si="325"/>
        <v/>
      </c>
      <c r="EC39" s="30" t="str">
        <f t="shared" si="326"/>
        <v/>
      </c>
      <c r="ED39" s="30" t="str">
        <f t="shared" si="327"/>
        <v/>
      </c>
      <c r="EE39" s="30" t="str">
        <f t="shared" si="328"/>
        <v/>
      </c>
      <c r="EF39" s="30" t="str">
        <f t="shared" si="329"/>
        <v/>
      </c>
      <c r="EG39" s="30" t="str">
        <f t="shared" si="330"/>
        <v/>
      </c>
      <c r="EH39" s="30" t="str">
        <f t="shared" si="331"/>
        <v/>
      </c>
      <c r="EI39" s="30" t="str">
        <f t="shared" si="332"/>
        <v/>
      </c>
      <c r="EJ39" s="30" t="str">
        <f t="shared" si="333"/>
        <v/>
      </c>
      <c r="EK39" s="30" t="str">
        <f t="shared" si="334"/>
        <v/>
      </c>
      <c r="EL39" s="30" t="str">
        <f t="shared" si="335"/>
        <v/>
      </c>
      <c r="EM39" s="30" t="str">
        <f t="shared" si="336"/>
        <v/>
      </c>
      <c r="EN39" s="30" t="str">
        <f t="shared" si="337"/>
        <v/>
      </c>
      <c r="EO39" s="30" t="str">
        <f t="shared" si="338"/>
        <v/>
      </c>
      <c r="EP39" s="30" t="str">
        <f t="shared" si="339"/>
        <v/>
      </c>
      <c r="EQ39" s="30" t="str">
        <f t="shared" si="340"/>
        <v/>
      </c>
      <c r="ER39" s="30" t="str">
        <f t="shared" si="341"/>
        <v/>
      </c>
      <c r="ES39" s="30" t="str">
        <f t="shared" si="342"/>
        <v/>
      </c>
      <c r="ET39" s="30" t="str">
        <f t="shared" si="343"/>
        <v/>
      </c>
      <c r="EU39" s="30" t="str">
        <f t="shared" si="344"/>
        <v/>
      </c>
      <c r="EV39" s="30" t="str">
        <f t="shared" si="345"/>
        <v/>
      </c>
      <c r="EW39" s="30" t="str">
        <f t="shared" si="346"/>
        <v/>
      </c>
      <c r="EX39" s="30" t="str">
        <f t="shared" si="347"/>
        <v/>
      </c>
      <c r="EY39" s="30" t="str">
        <f t="shared" si="348"/>
        <v/>
      </c>
      <c r="EZ39" s="30" t="str">
        <f t="shared" si="349"/>
        <v/>
      </c>
      <c r="FA39" s="30" t="str">
        <f t="shared" si="350"/>
        <v/>
      </c>
      <c r="FB39" s="30" t="str">
        <f t="shared" si="351"/>
        <v/>
      </c>
      <c r="FC39" s="30" t="str">
        <f t="shared" si="352"/>
        <v/>
      </c>
      <c r="FD39" s="30" t="str">
        <f t="shared" si="353"/>
        <v/>
      </c>
      <c r="FE39" s="30" t="str">
        <f t="shared" si="354"/>
        <v/>
      </c>
      <c r="FF39" s="30" t="str">
        <f t="shared" si="355"/>
        <v/>
      </c>
      <c r="FG39" s="30" t="str">
        <f t="shared" si="356"/>
        <v/>
      </c>
      <c r="FH39" s="30" t="str">
        <f t="shared" si="357"/>
        <v/>
      </c>
      <c r="FI39" s="30" t="str">
        <f t="shared" si="358"/>
        <v/>
      </c>
      <c r="FJ39" s="30" t="str">
        <f t="shared" si="359"/>
        <v/>
      </c>
      <c r="FK39" s="30" t="str">
        <f t="shared" si="360"/>
        <v/>
      </c>
      <c r="FL39" s="30" t="str">
        <f t="shared" si="361"/>
        <v/>
      </c>
      <c r="FM39" s="30" t="str">
        <f t="shared" si="362"/>
        <v/>
      </c>
      <c r="FN39" s="30" t="str">
        <f t="shared" si="363"/>
        <v/>
      </c>
      <c r="FO39" s="30" t="str">
        <f t="shared" si="364"/>
        <v/>
      </c>
      <c r="FP39" s="30" t="str">
        <f t="shared" si="365"/>
        <v/>
      </c>
      <c r="FQ39" s="30" t="str">
        <f t="shared" si="366"/>
        <v/>
      </c>
      <c r="FR39" s="30" t="str">
        <f t="shared" si="367"/>
        <v/>
      </c>
      <c r="FS39" s="30" t="str">
        <f t="shared" si="368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2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">
        <v>601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3"/>
        <v>InitUnitState('E113',,12648,,,,,,,,)</v>
      </c>
      <c r="CO40" s="44" t="str">
        <f t="shared" si="294"/>
        <v>InitUnitNormal('E113',,,,,,,6,,,)</v>
      </c>
      <c r="CP40" s="44" t="str">
        <f t="shared" si="295"/>
        <v>InitUnitMagic('E113',,,,,8,,,,,)</v>
      </c>
      <c r="CQ40" s="44" t="str">
        <f t="shared" si="296"/>
        <v>InitUnitAdd('E113',,,,,,,,,,)</v>
      </c>
      <c r="CR40" s="44" t="str">
        <f t="shared" si="297"/>
        <v>InitEquipData('E113',,"",,E114,10000,,'','','','','','',"ReplaceableTextures\\CommandButtons\\BTNZ08.blp")</v>
      </c>
      <c r="CS40" s="44"/>
      <c r="CT40" s="44"/>
      <c r="CU40" s="45" t="str">
        <f t="shared" si="298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299"/>
        <v/>
      </c>
      <c r="DC40" s="30" t="str">
        <f t="shared" si="300"/>
        <v>|n法强+12648</v>
      </c>
      <c r="DD40" s="30" t="str">
        <f t="shared" si="301"/>
        <v/>
      </c>
      <c r="DE40" s="30" t="str">
        <f t="shared" si="302"/>
        <v/>
      </c>
      <c r="DF40" s="30" t="str">
        <f t="shared" si="303"/>
        <v/>
      </c>
      <c r="DG40" s="30" t="str">
        <f t="shared" si="304"/>
        <v/>
      </c>
      <c r="DH40" s="30" t="str">
        <f t="shared" si="305"/>
        <v/>
      </c>
      <c r="DI40" s="30" t="str">
        <f t="shared" si="306"/>
        <v/>
      </c>
      <c r="DJ40" s="30" t="str">
        <f t="shared" si="307"/>
        <v/>
      </c>
      <c r="DK40" s="30" t="str">
        <f t="shared" si="308"/>
        <v/>
      </c>
      <c r="DL40" s="30" t="str">
        <f t="shared" si="309"/>
        <v/>
      </c>
      <c r="DM40" s="30" t="str">
        <f t="shared" si="310"/>
        <v/>
      </c>
      <c r="DN40" s="30" t="str">
        <f t="shared" si="311"/>
        <v/>
      </c>
      <c r="DO40" s="30" t="str">
        <f t="shared" si="312"/>
        <v/>
      </c>
      <c r="DP40" s="30" t="str">
        <f t="shared" si="313"/>
        <v/>
      </c>
      <c r="DQ40" s="30" t="str">
        <f t="shared" si="314"/>
        <v/>
      </c>
      <c r="DR40" s="30" t="str">
        <f t="shared" si="315"/>
        <v>|n伤害加成+6%</v>
      </c>
      <c r="DS40" s="30" t="str">
        <f t="shared" si="316"/>
        <v/>
      </c>
      <c r="DT40" s="30" t="str">
        <f t="shared" si="317"/>
        <v/>
      </c>
      <c r="DU40" s="30" t="str">
        <f t="shared" si="318"/>
        <v/>
      </c>
      <c r="DV40" s="30" t="str">
        <f t="shared" si="319"/>
        <v/>
      </c>
      <c r="DW40" s="30" t="str">
        <f t="shared" si="320"/>
        <v/>
      </c>
      <c r="DX40" s="30" t="str">
        <f t="shared" si="321"/>
        <v/>
      </c>
      <c r="DY40" s="30" t="str">
        <f t="shared" si="322"/>
        <v/>
      </c>
      <c r="DZ40" s="30" t="str">
        <f t="shared" si="323"/>
        <v>|n冷却缩减+8%</v>
      </c>
      <c r="EA40" s="30" t="str">
        <f t="shared" si="324"/>
        <v/>
      </c>
      <c r="EB40" s="30" t="str">
        <f t="shared" si="325"/>
        <v/>
      </c>
      <c r="EC40" s="30" t="str">
        <f t="shared" si="326"/>
        <v/>
      </c>
      <c r="ED40" s="30" t="str">
        <f t="shared" si="327"/>
        <v/>
      </c>
      <c r="EE40" s="30" t="str">
        <f t="shared" si="328"/>
        <v/>
      </c>
      <c r="EF40" s="30" t="str">
        <f t="shared" si="329"/>
        <v/>
      </c>
      <c r="EG40" s="30" t="str">
        <f t="shared" si="330"/>
        <v/>
      </c>
      <c r="EH40" s="30" t="str">
        <f t="shared" si="331"/>
        <v/>
      </c>
      <c r="EI40" s="30" t="str">
        <f t="shared" si="332"/>
        <v/>
      </c>
      <c r="EJ40" s="30" t="str">
        <f t="shared" si="333"/>
        <v/>
      </c>
      <c r="EK40" s="30" t="str">
        <f t="shared" si="334"/>
        <v/>
      </c>
      <c r="EL40" s="30" t="str">
        <f t="shared" si="335"/>
        <v/>
      </c>
      <c r="EM40" s="30" t="str">
        <f t="shared" si="336"/>
        <v/>
      </c>
      <c r="EN40" s="30" t="str">
        <f t="shared" si="337"/>
        <v/>
      </c>
      <c r="EO40" s="30" t="str">
        <f t="shared" si="338"/>
        <v/>
      </c>
      <c r="EP40" s="30" t="str">
        <f t="shared" si="339"/>
        <v/>
      </c>
      <c r="EQ40" s="30" t="str">
        <f t="shared" si="340"/>
        <v/>
      </c>
      <c r="ER40" s="30" t="str">
        <f t="shared" si="341"/>
        <v/>
      </c>
      <c r="ES40" s="30" t="str">
        <f t="shared" si="342"/>
        <v/>
      </c>
      <c r="ET40" s="30" t="str">
        <f t="shared" si="343"/>
        <v/>
      </c>
      <c r="EU40" s="30" t="str">
        <f t="shared" si="344"/>
        <v/>
      </c>
      <c r="EV40" s="30" t="str">
        <f t="shared" si="345"/>
        <v/>
      </c>
      <c r="EW40" s="30" t="str">
        <f t="shared" si="346"/>
        <v/>
      </c>
      <c r="EX40" s="30" t="str">
        <f t="shared" si="347"/>
        <v/>
      </c>
      <c r="EY40" s="30" t="str">
        <f t="shared" si="348"/>
        <v/>
      </c>
      <c r="EZ40" s="30" t="str">
        <f t="shared" si="349"/>
        <v/>
      </c>
      <c r="FA40" s="30" t="str">
        <f t="shared" si="350"/>
        <v/>
      </c>
      <c r="FB40" s="30" t="str">
        <f t="shared" si="351"/>
        <v/>
      </c>
      <c r="FC40" s="30" t="str">
        <f t="shared" si="352"/>
        <v/>
      </c>
      <c r="FD40" s="30" t="str">
        <f t="shared" si="353"/>
        <v/>
      </c>
      <c r="FE40" s="30" t="str">
        <f t="shared" si="354"/>
        <v/>
      </c>
      <c r="FF40" s="30" t="str">
        <f t="shared" si="355"/>
        <v/>
      </c>
      <c r="FG40" s="30" t="str">
        <f t="shared" si="356"/>
        <v/>
      </c>
      <c r="FH40" s="30" t="str">
        <f t="shared" si="357"/>
        <v/>
      </c>
      <c r="FI40" s="30" t="str">
        <f t="shared" si="358"/>
        <v/>
      </c>
      <c r="FJ40" s="30" t="str">
        <f t="shared" si="359"/>
        <v/>
      </c>
      <c r="FK40" s="30" t="str">
        <f t="shared" si="360"/>
        <v/>
      </c>
      <c r="FL40" s="30" t="str">
        <f t="shared" si="361"/>
        <v/>
      </c>
      <c r="FM40" s="30" t="str">
        <f t="shared" si="362"/>
        <v/>
      </c>
      <c r="FN40" s="30" t="str">
        <f t="shared" si="363"/>
        <v/>
      </c>
      <c r="FO40" s="30" t="str">
        <f t="shared" si="364"/>
        <v/>
      </c>
      <c r="FP40" s="30" t="str">
        <f t="shared" si="365"/>
        <v/>
      </c>
      <c r="FQ40" s="30" t="str">
        <f t="shared" si="366"/>
        <v/>
      </c>
      <c r="FR40" s="30" t="str">
        <f t="shared" si="367"/>
        <v/>
      </c>
      <c r="FS40" s="30" t="str">
        <f t="shared" si="368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2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">
        <v>601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3"/>
        <v>InitUnitState('E114',,14568,,,,,,,,)</v>
      </c>
      <c r="CO41" s="44" t="str">
        <f t="shared" si="294"/>
        <v>InitUnitNormal('E114',,,,,,,6,,,)</v>
      </c>
      <c r="CP41" s="44" t="str">
        <f t="shared" si="295"/>
        <v>InitUnitMagic('E114',,,,,8,,,,,)</v>
      </c>
      <c r="CQ41" s="44" t="str">
        <f t="shared" si="296"/>
        <v>InitUnitAdd('E114',,,,,,,,,,)</v>
      </c>
      <c r="CR41" s="44" t="str">
        <f t="shared" si="297"/>
        <v>InitEquipData('E114',,"",,E115,10000,,'','','','','','',"ReplaceableTextures\\CommandButtons\\BTNZ08.blp")</v>
      </c>
      <c r="CS41" s="44"/>
      <c r="CT41" s="44"/>
      <c r="CU41" s="45" t="str">
        <f t="shared" si="298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299"/>
        <v/>
      </c>
      <c r="DC41" s="30" t="str">
        <f t="shared" si="300"/>
        <v>|n法强+14568</v>
      </c>
      <c r="DD41" s="30" t="str">
        <f t="shared" si="301"/>
        <v/>
      </c>
      <c r="DE41" s="30" t="str">
        <f t="shared" si="302"/>
        <v/>
      </c>
      <c r="DF41" s="30" t="str">
        <f t="shared" si="303"/>
        <v/>
      </c>
      <c r="DG41" s="30" t="str">
        <f t="shared" si="304"/>
        <v/>
      </c>
      <c r="DH41" s="30" t="str">
        <f t="shared" si="305"/>
        <v/>
      </c>
      <c r="DI41" s="30" t="str">
        <f t="shared" si="306"/>
        <v/>
      </c>
      <c r="DJ41" s="30" t="str">
        <f t="shared" si="307"/>
        <v/>
      </c>
      <c r="DK41" s="30" t="str">
        <f t="shared" si="308"/>
        <v/>
      </c>
      <c r="DL41" s="30" t="str">
        <f t="shared" si="309"/>
        <v/>
      </c>
      <c r="DM41" s="30" t="str">
        <f t="shared" si="310"/>
        <v/>
      </c>
      <c r="DN41" s="30" t="str">
        <f t="shared" si="311"/>
        <v/>
      </c>
      <c r="DO41" s="30" t="str">
        <f t="shared" si="312"/>
        <v/>
      </c>
      <c r="DP41" s="30" t="str">
        <f t="shared" si="313"/>
        <v/>
      </c>
      <c r="DQ41" s="30" t="str">
        <f t="shared" si="314"/>
        <v/>
      </c>
      <c r="DR41" s="30" t="str">
        <f t="shared" si="315"/>
        <v>|n伤害加成+6%</v>
      </c>
      <c r="DS41" s="30" t="str">
        <f t="shared" si="316"/>
        <v/>
      </c>
      <c r="DT41" s="30" t="str">
        <f t="shared" si="317"/>
        <v/>
      </c>
      <c r="DU41" s="30" t="str">
        <f t="shared" si="318"/>
        <v/>
      </c>
      <c r="DV41" s="30" t="str">
        <f t="shared" si="319"/>
        <v/>
      </c>
      <c r="DW41" s="30" t="str">
        <f t="shared" si="320"/>
        <v/>
      </c>
      <c r="DX41" s="30" t="str">
        <f t="shared" si="321"/>
        <v/>
      </c>
      <c r="DY41" s="30" t="str">
        <f t="shared" si="322"/>
        <v/>
      </c>
      <c r="DZ41" s="30" t="str">
        <f t="shared" si="323"/>
        <v>|n冷却缩减+8%</v>
      </c>
      <c r="EA41" s="30" t="str">
        <f t="shared" si="324"/>
        <v/>
      </c>
      <c r="EB41" s="30" t="str">
        <f t="shared" si="325"/>
        <v/>
      </c>
      <c r="EC41" s="30" t="str">
        <f t="shared" si="326"/>
        <v/>
      </c>
      <c r="ED41" s="30" t="str">
        <f t="shared" si="327"/>
        <v/>
      </c>
      <c r="EE41" s="30" t="str">
        <f t="shared" si="328"/>
        <v/>
      </c>
      <c r="EF41" s="30" t="str">
        <f t="shared" si="329"/>
        <v/>
      </c>
      <c r="EG41" s="30" t="str">
        <f t="shared" si="330"/>
        <v/>
      </c>
      <c r="EH41" s="30" t="str">
        <f t="shared" si="331"/>
        <v/>
      </c>
      <c r="EI41" s="30" t="str">
        <f t="shared" si="332"/>
        <v/>
      </c>
      <c r="EJ41" s="30" t="str">
        <f t="shared" si="333"/>
        <v/>
      </c>
      <c r="EK41" s="30" t="str">
        <f t="shared" si="334"/>
        <v/>
      </c>
      <c r="EL41" s="30" t="str">
        <f t="shared" si="335"/>
        <v/>
      </c>
      <c r="EM41" s="30" t="str">
        <f t="shared" si="336"/>
        <v/>
      </c>
      <c r="EN41" s="30" t="str">
        <f t="shared" si="337"/>
        <v/>
      </c>
      <c r="EO41" s="30" t="str">
        <f t="shared" si="338"/>
        <v/>
      </c>
      <c r="EP41" s="30" t="str">
        <f t="shared" si="339"/>
        <v/>
      </c>
      <c r="EQ41" s="30" t="str">
        <f t="shared" si="340"/>
        <v/>
      </c>
      <c r="ER41" s="30" t="str">
        <f t="shared" si="341"/>
        <v/>
      </c>
      <c r="ES41" s="30" t="str">
        <f t="shared" si="342"/>
        <v/>
      </c>
      <c r="ET41" s="30" t="str">
        <f t="shared" si="343"/>
        <v/>
      </c>
      <c r="EU41" s="30" t="str">
        <f t="shared" si="344"/>
        <v/>
      </c>
      <c r="EV41" s="30" t="str">
        <f t="shared" si="345"/>
        <v/>
      </c>
      <c r="EW41" s="30" t="str">
        <f t="shared" si="346"/>
        <v/>
      </c>
      <c r="EX41" s="30" t="str">
        <f t="shared" si="347"/>
        <v/>
      </c>
      <c r="EY41" s="30" t="str">
        <f t="shared" si="348"/>
        <v/>
      </c>
      <c r="EZ41" s="30" t="str">
        <f t="shared" si="349"/>
        <v/>
      </c>
      <c r="FA41" s="30" t="str">
        <f t="shared" si="350"/>
        <v/>
      </c>
      <c r="FB41" s="30" t="str">
        <f t="shared" si="351"/>
        <v/>
      </c>
      <c r="FC41" s="30" t="str">
        <f t="shared" si="352"/>
        <v/>
      </c>
      <c r="FD41" s="30" t="str">
        <f t="shared" si="353"/>
        <v/>
      </c>
      <c r="FE41" s="30" t="str">
        <f t="shared" si="354"/>
        <v/>
      </c>
      <c r="FF41" s="30" t="str">
        <f t="shared" si="355"/>
        <v/>
      </c>
      <c r="FG41" s="30" t="str">
        <f t="shared" si="356"/>
        <v/>
      </c>
      <c r="FH41" s="30" t="str">
        <f t="shared" si="357"/>
        <v/>
      </c>
      <c r="FI41" s="30" t="str">
        <f t="shared" si="358"/>
        <v/>
      </c>
      <c r="FJ41" s="30" t="str">
        <f t="shared" si="359"/>
        <v/>
      </c>
      <c r="FK41" s="30" t="str">
        <f t="shared" si="360"/>
        <v/>
      </c>
      <c r="FL41" s="30" t="str">
        <f t="shared" si="361"/>
        <v/>
      </c>
      <c r="FM41" s="30" t="str">
        <f t="shared" si="362"/>
        <v/>
      </c>
      <c r="FN41" s="30" t="str">
        <f t="shared" si="363"/>
        <v/>
      </c>
      <c r="FO41" s="30" t="str">
        <f t="shared" si="364"/>
        <v/>
      </c>
      <c r="FP41" s="30" t="str">
        <f t="shared" si="365"/>
        <v/>
      </c>
      <c r="FQ41" s="30" t="str">
        <f t="shared" si="366"/>
        <v/>
      </c>
      <c r="FR41" s="30" t="str">
        <f t="shared" si="367"/>
        <v/>
      </c>
      <c r="FS41" s="30" t="str">
        <f t="shared" si="368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2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">
        <v>601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3"/>
        <v>InitUnitState('E115',,16488,,,,,,,,)</v>
      </c>
      <c r="CO42" s="44" t="str">
        <f t="shared" si="294"/>
        <v>InitUnitNormal('E115',,,,,,,6,,,)</v>
      </c>
      <c r="CP42" s="44" t="str">
        <f t="shared" si="295"/>
        <v>InitUnitMagic('E115',,,,,8,,,,,)</v>
      </c>
      <c r="CQ42" s="44" t="str">
        <f t="shared" si="296"/>
        <v>InitUnitAdd('E115',,,,,,,,,,)</v>
      </c>
      <c r="CR42" s="44" t="str">
        <f t="shared" si="297"/>
        <v>InitEquipData('E115',,"",,E116,50000,,'','','','','','',"ReplaceableTextures\\CommandButtons\\BTNZ09.blp")</v>
      </c>
      <c r="CS42" s="44"/>
      <c r="CT42" s="44"/>
      <c r="CU42" s="45" t="str">
        <f t="shared" si="298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299"/>
        <v/>
      </c>
      <c r="DC42" s="30" t="str">
        <f t="shared" si="300"/>
        <v>|n法强+16488</v>
      </c>
      <c r="DD42" s="30" t="str">
        <f t="shared" si="301"/>
        <v/>
      </c>
      <c r="DE42" s="30" t="str">
        <f t="shared" si="302"/>
        <v/>
      </c>
      <c r="DF42" s="30" t="str">
        <f t="shared" si="303"/>
        <v/>
      </c>
      <c r="DG42" s="30" t="str">
        <f t="shared" si="304"/>
        <v/>
      </c>
      <c r="DH42" s="30" t="str">
        <f t="shared" si="305"/>
        <v/>
      </c>
      <c r="DI42" s="30" t="str">
        <f t="shared" si="306"/>
        <v/>
      </c>
      <c r="DJ42" s="30" t="str">
        <f t="shared" si="307"/>
        <v/>
      </c>
      <c r="DK42" s="30" t="str">
        <f t="shared" si="308"/>
        <v/>
      </c>
      <c r="DL42" s="30" t="str">
        <f t="shared" si="309"/>
        <v/>
      </c>
      <c r="DM42" s="30" t="str">
        <f t="shared" si="310"/>
        <v/>
      </c>
      <c r="DN42" s="30" t="str">
        <f t="shared" si="311"/>
        <v/>
      </c>
      <c r="DO42" s="30" t="str">
        <f t="shared" si="312"/>
        <v/>
      </c>
      <c r="DP42" s="30" t="str">
        <f t="shared" si="313"/>
        <v/>
      </c>
      <c r="DQ42" s="30" t="str">
        <f t="shared" si="314"/>
        <v/>
      </c>
      <c r="DR42" s="30" t="str">
        <f t="shared" si="315"/>
        <v>|n伤害加成+6%</v>
      </c>
      <c r="DS42" s="30" t="str">
        <f t="shared" si="316"/>
        <v/>
      </c>
      <c r="DT42" s="30" t="str">
        <f t="shared" si="317"/>
        <v/>
      </c>
      <c r="DU42" s="30" t="str">
        <f t="shared" si="318"/>
        <v/>
      </c>
      <c r="DV42" s="30" t="str">
        <f t="shared" si="319"/>
        <v/>
      </c>
      <c r="DW42" s="30" t="str">
        <f t="shared" si="320"/>
        <v/>
      </c>
      <c r="DX42" s="30" t="str">
        <f t="shared" si="321"/>
        <v/>
      </c>
      <c r="DY42" s="30" t="str">
        <f t="shared" si="322"/>
        <v/>
      </c>
      <c r="DZ42" s="30" t="str">
        <f t="shared" si="323"/>
        <v>|n冷却缩减+8%</v>
      </c>
      <c r="EA42" s="30" t="str">
        <f t="shared" si="324"/>
        <v/>
      </c>
      <c r="EB42" s="30" t="str">
        <f t="shared" si="325"/>
        <v/>
      </c>
      <c r="EC42" s="30" t="str">
        <f t="shared" si="326"/>
        <v/>
      </c>
      <c r="ED42" s="30" t="str">
        <f t="shared" si="327"/>
        <v/>
      </c>
      <c r="EE42" s="30" t="str">
        <f t="shared" si="328"/>
        <v/>
      </c>
      <c r="EF42" s="30" t="str">
        <f t="shared" si="329"/>
        <v/>
      </c>
      <c r="EG42" s="30" t="str">
        <f t="shared" si="330"/>
        <v/>
      </c>
      <c r="EH42" s="30" t="str">
        <f t="shared" si="331"/>
        <v/>
      </c>
      <c r="EI42" s="30" t="str">
        <f t="shared" si="332"/>
        <v/>
      </c>
      <c r="EJ42" s="30" t="str">
        <f t="shared" si="333"/>
        <v/>
      </c>
      <c r="EK42" s="30" t="str">
        <f t="shared" si="334"/>
        <v/>
      </c>
      <c r="EL42" s="30" t="str">
        <f t="shared" si="335"/>
        <v/>
      </c>
      <c r="EM42" s="30" t="str">
        <f t="shared" si="336"/>
        <v/>
      </c>
      <c r="EN42" s="30" t="str">
        <f t="shared" si="337"/>
        <v/>
      </c>
      <c r="EO42" s="30" t="str">
        <f t="shared" si="338"/>
        <v/>
      </c>
      <c r="EP42" s="30" t="str">
        <f t="shared" si="339"/>
        <v/>
      </c>
      <c r="EQ42" s="30" t="str">
        <f t="shared" si="340"/>
        <v/>
      </c>
      <c r="ER42" s="30" t="str">
        <f t="shared" si="341"/>
        <v/>
      </c>
      <c r="ES42" s="30" t="str">
        <f t="shared" si="342"/>
        <v/>
      </c>
      <c r="ET42" s="30" t="str">
        <f t="shared" si="343"/>
        <v/>
      </c>
      <c r="EU42" s="30" t="str">
        <f t="shared" si="344"/>
        <v/>
      </c>
      <c r="EV42" s="30" t="str">
        <f t="shared" si="345"/>
        <v/>
      </c>
      <c r="EW42" s="30" t="str">
        <f t="shared" si="346"/>
        <v/>
      </c>
      <c r="EX42" s="30" t="str">
        <f t="shared" si="347"/>
        <v/>
      </c>
      <c r="EY42" s="30" t="str">
        <f t="shared" si="348"/>
        <v/>
      </c>
      <c r="EZ42" s="30" t="str">
        <f t="shared" si="349"/>
        <v/>
      </c>
      <c r="FA42" s="30" t="str">
        <f t="shared" si="350"/>
        <v/>
      </c>
      <c r="FB42" s="30" t="str">
        <f t="shared" si="351"/>
        <v/>
      </c>
      <c r="FC42" s="30" t="str">
        <f t="shared" si="352"/>
        <v/>
      </c>
      <c r="FD42" s="30" t="str">
        <f t="shared" si="353"/>
        <v/>
      </c>
      <c r="FE42" s="30" t="str">
        <f t="shared" si="354"/>
        <v/>
      </c>
      <c r="FF42" s="30" t="str">
        <f t="shared" si="355"/>
        <v/>
      </c>
      <c r="FG42" s="30" t="str">
        <f t="shared" si="356"/>
        <v/>
      </c>
      <c r="FH42" s="30" t="str">
        <f t="shared" si="357"/>
        <v/>
      </c>
      <c r="FI42" s="30" t="str">
        <f t="shared" si="358"/>
        <v/>
      </c>
      <c r="FJ42" s="30" t="str">
        <f t="shared" si="359"/>
        <v/>
      </c>
      <c r="FK42" s="30" t="str">
        <f t="shared" si="360"/>
        <v/>
      </c>
      <c r="FL42" s="30" t="str">
        <f t="shared" si="361"/>
        <v/>
      </c>
      <c r="FM42" s="30" t="str">
        <f t="shared" si="362"/>
        <v/>
      </c>
      <c r="FN42" s="30" t="str">
        <f t="shared" si="363"/>
        <v/>
      </c>
      <c r="FO42" s="30" t="str">
        <f t="shared" si="364"/>
        <v/>
      </c>
      <c r="FP42" s="30" t="str">
        <f t="shared" si="365"/>
        <v/>
      </c>
      <c r="FQ42" s="30" t="str">
        <f t="shared" si="366"/>
        <v/>
      </c>
      <c r="FR42" s="30" t="str">
        <f t="shared" si="367"/>
        <v/>
      </c>
      <c r="FS42" s="30" t="str">
        <f t="shared" si="368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2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">
        <v>603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3"/>
        <v>InitUnitState('E116',,21288,,,,,,,,)</v>
      </c>
      <c r="CO43" s="44" t="str">
        <f t="shared" si="294"/>
        <v>InitUnitNormal('E116',,,,,,,9,,,)</v>
      </c>
      <c r="CP43" s="44" t="str">
        <f t="shared" si="295"/>
        <v>InitUnitMagic('E116',,,,,10,,,,,)</v>
      </c>
      <c r="CQ43" s="44" t="str">
        <f t="shared" si="296"/>
        <v>InitUnitAdd('E116',,,,,,,,,,)</v>
      </c>
      <c r="CR43" s="44" t="str">
        <f t="shared" si="297"/>
        <v>InitEquipData('E116',,"",,E117,35000,,'','','','','','',"ReplaceableTextures\\CommandButtons\\BTNZ09.blp")</v>
      </c>
      <c r="CS43" s="44"/>
      <c r="CT43" s="44"/>
      <c r="CU43" s="45" t="str">
        <f t="shared" si="298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299"/>
        <v/>
      </c>
      <c r="DC43" s="30" t="str">
        <f t="shared" si="300"/>
        <v>|n法强+21288</v>
      </c>
      <c r="DD43" s="30" t="str">
        <f t="shared" si="301"/>
        <v/>
      </c>
      <c r="DE43" s="30" t="str">
        <f t="shared" si="302"/>
        <v/>
      </c>
      <c r="DF43" s="30" t="str">
        <f t="shared" si="303"/>
        <v/>
      </c>
      <c r="DG43" s="30" t="str">
        <f t="shared" si="304"/>
        <v/>
      </c>
      <c r="DH43" s="30" t="str">
        <f t="shared" si="305"/>
        <v/>
      </c>
      <c r="DI43" s="30" t="str">
        <f t="shared" si="306"/>
        <v/>
      </c>
      <c r="DJ43" s="30" t="str">
        <f t="shared" si="307"/>
        <v/>
      </c>
      <c r="DK43" s="30" t="str">
        <f t="shared" si="308"/>
        <v/>
      </c>
      <c r="DL43" s="30" t="str">
        <f t="shared" si="309"/>
        <v/>
      </c>
      <c r="DM43" s="30" t="str">
        <f t="shared" si="310"/>
        <v/>
      </c>
      <c r="DN43" s="30" t="str">
        <f t="shared" si="311"/>
        <v/>
      </c>
      <c r="DO43" s="30" t="str">
        <f t="shared" si="312"/>
        <v/>
      </c>
      <c r="DP43" s="30" t="str">
        <f t="shared" si="313"/>
        <v/>
      </c>
      <c r="DQ43" s="30" t="str">
        <f t="shared" si="314"/>
        <v/>
      </c>
      <c r="DR43" s="30" t="str">
        <f t="shared" si="315"/>
        <v>|n伤害加成+9%</v>
      </c>
      <c r="DS43" s="30" t="str">
        <f t="shared" si="316"/>
        <v/>
      </c>
      <c r="DT43" s="30" t="str">
        <f t="shared" si="317"/>
        <v/>
      </c>
      <c r="DU43" s="30" t="str">
        <f t="shared" si="318"/>
        <v/>
      </c>
      <c r="DV43" s="30" t="str">
        <f t="shared" si="319"/>
        <v/>
      </c>
      <c r="DW43" s="30" t="str">
        <f t="shared" si="320"/>
        <v/>
      </c>
      <c r="DX43" s="30" t="str">
        <f t="shared" si="321"/>
        <v/>
      </c>
      <c r="DY43" s="30" t="str">
        <f t="shared" si="322"/>
        <v/>
      </c>
      <c r="DZ43" s="30" t="str">
        <f t="shared" si="323"/>
        <v>|n冷却缩减+10%</v>
      </c>
      <c r="EA43" s="30" t="str">
        <f t="shared" si="324"/>
        <v/>
      </c>
      <c r="EB43" s="30" t="str">
        <f t="shared" si="325"/>
        <v/>
      </c>
      <c r="EC43" s="30" t="str">
        <f t="shared" si="326"/>
        <v/>
      </c>
      <c r="ED43" s="30" t="str">
        <f t="shared" si="327"/>
        <v/>
      </c>
      <c r="EE43" s="30" t="str">
        <f t="shared" si="328"/>
        <v/>
      </c>
      <c r="EF43" s="30" t="str">
        <f t="shared" si="329"/>
        <v/>
      </c>
      <c r="EG43" s="30" t="str">
        <f t="shared" si="330"/>
        <v/>
      </c>
      <c r="EH43" s="30" t="str">
        <f t="shared" si="331"/>
        <v/>
      </c>
      <c r="EI43" s="30" t="str">
        <f t="shared" si="332"/>
        <v/>
      </c>
      <c r="EJ43" s="30" t="str">
        <f t="shared" si="333"/>
        <v/>
      </c>
      <c r="EK43" s="30" t="str">
        <f t="shared" si="334"/>
        <v/>
      </c>
      <c r="EL43" s="30" t="str">
        <f t="shared" si="335"/>
        <v/>
      </c>
      <c r="EM43" s="30" t="str">
        <f t="shared" si="336"/>
        <v/>
      </c>
      <c r="EN43" s="30" t="str">
        <f t="shared" si="337"/>
        <v/>
      </c>
      <c r="EO43" s="30" t="str">
        <f t="shared" si="338"/>
        <v/>
      </c>
      <c r="EP43" s="30" t="str">
        <f t="shared" si="339"/>
        <v/>
      </c>
      <c r="EQ43" s="30" t="str">
        <f t="shared" si="340"/>
        <v/>
      </c>
      <c r="ER43" s="30" t="str">
        <f t="shared" si="341"/>
        <v/>
      </c>
      <c r="ES43" s="30" t="str">
        <f t="shared" si="342"/>
        <v/>
      </c>
      <c r="ET43" s="30" t="str">
        <f t="shared" si="343"/>
        <v/>
      </c>
      <c r="EU43" s="30" t="str">
        <f t="shared" si="344"/>
        <v/>
      </c>
      <c r="EV43" s="30" t="str">
        <f t="shared" si="345"/>
        <v/>
      </c>
      <c r="EW43" s="30" t="str">
        <f t="shared" si="346"/>
        <v/>
      </c>
      <c r="EX43" s="30" t="str">
        <f t="shared" si="347"/>
        <v/>
      </c>
      <c r="EY43" s="30" t="str">
        <f t="shared" si="348"/>
        <v/>
      </c>
      <c r="EZ43" s="30" t="str">
        <f t="shared" si="349"/>
        <v/>
      </c>
      <c r="FA43" s="30" t="str">
        <f t="shared" si="350"/>
        <v/>
      </c>
      <c r="FB43" s="30" t="str">
        <f t="shared" si="351"/>
        <v/>
      </c>
      <c r="FC43" s="30" t="str">
        <f t="shared" si="352"/>
        <v/>
      </c>
      <c r="FD43" s="30" t="str">
        <f t="shared" si="353"/>
        <v/>
      </c>
      <c r="FE43" s="30" t="str">
        <f t="shared" si="354"/>
        <v/>
      </c>
      <c r="FF43" s="30" t="str">
        <f t="shared" si="355"/>
        <v/>
      </c>
      <c r="FG43" s="30" t="str">
        <f t="shared" si="356"/>
        <v/>
      </c>
      <c r="FH43" s="30" t="str">
        <f t="shared" si="357"/>
        <v/>
      </c>
      <c r="FI43" s="30" t="str">
        <f t="shared" si="358"/>
        <v/>
      </c>
      <c r="FJ43" s="30" t="str">
        <f t="shared" si="359"/>
        <v/>
      </c>
      <c r="FK43" s="30" t="str">
        <f t="shared" si="360"/>
        <v/>
      </c>
      <c r="FL43" s="30" t="str">
        <f t="shared" si="361"/>
        <v/>
      </c>
      <c r="FM43" s="30" t="str">
        <f t="shared" si="362"/>
        <v/>
      </c>
      <c r="FN43" s="30" t="str">
        <f t="shared" si="363"/>
        <v/>
      </c>
      <c r="FO43" s="30" t="str">
        <f t="shared" si="364"/>
        <v/>
      </c>
      <c r="FP43" s="30" t="str">
        <f t="shared" si="365"/>
        <v/>
      </c>
      <c r="FQ43" s="30" t="str">
        <f t="shared" si="366"/>
        <v/>
      </c>
      <c r="FR43" s="30" t="str">
        <f t="shared" si="367"/>
        <v/>
      </c>
      <c r="FS43" s="30" t="str">
        <f t="shared" si="368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2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">
        <v>603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3"/>
        <v>InitUnitState('E117',,26088,,,,,,,,)</v>
      </c>
      <c r="CO44" s="44" t="str">
        <f t="shared" si="294"/>
        <v>InitUnitNormal('E117',,,,,,,9,,,)</v>
      </c>
      <c r="CP44" s="44" t="str">
        <f t="shared" si="295"/>
        <v>InitUnitMagic('E117',,,,,10,,,,,)</v>
      </c>
      <c r="CQ44" s="44" t="str">
        <f t="shared" si="296"/>
        <v>InitUnitAdd('E117',,,,,,,,,,)</v>
      </c>
      <c r="CR44" s="44" t="str">
        <f t="shared" si="297"/>
        <v>InitEquipData('E117',,"",,E118,35000,,'','','','','','',"ReplaceableTextures\\CommandButtons\\BTNZ09.blp")</v>
      </c>
      <c r="CS44" s="44"/>
      <c r="CT44" s="44"/>
      <c r="CU44" s="45" t="str">
        <f t="shared" si="298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299"/>
        <v/>
      </c>
      <c r="DC44" s="30" t="str">
        <f t="shared" si="300"/>
        <v>|n法强+26088</v>
      </c>
      <c r="DD44" s="30" t="str">
        <f t="shared" si="301"/>
        <v/>
      </c>
      <c r="DE44" s="30" t="str">
        <f t="shared" si="302"/>
        <v/>
      </c>
      <c r="DF44" s="30" t="str">
        <f t="shared" si="303"/>
        <v/>
      </c>
      <c r="DG44" s="30" t="str">
        <f t="shared" si="304"/>
        <v/>
      </c>
      <c r="DH44" s="30" t="str">
        <f t="shared" si="305"/>
        <v/>
      </c>
      <c r="DI44" s="30" t="str">
        <f t="shared" si="306"/>
        <v/>
      </c>
      <c r="DJ44" s="30" t="str">
        <f t="shared" si="307"/>
        <v/>
      </c>
      <c r="DK44" s="30" t="str">
        <f t="shared" si="308"/>
        <v/>
      </c>
      <c r="DL44" s="30" t="str">
        <f t="shared" si="309"/>
        <v/>
      </c>
      <c r="DM44" s="30" t="str">
        <f t="shared" si="310"/>
        <v/>
      </c>
      <c r="DN44" s="30" t="str">
        <f t="shared" si="311"/>
        <v/>
      </c>
      <c r="DO44" s="30" t="str">
        <f t="shared" si="312"/>
        <v/>
      </c>
      <c r="DP44" s="30" t="str">
        <f t="shared" si="313"/>
        <v/>
      </c>
      <c r="DQ44" s="30" t="str">
        <f t="shared" si="314"/>
        <v/>
      </c>
      <c r="DR44" s="30" t="str">
        <f t="shared" si="315"/>
        <v>|n伤害加成+9%</v>
      </c>
      <c r="DS44" s="30" t="str">
        <f t="shared" si="316"/>
        <v/>
      </c>
      <c r="DT44" s="30" t="str">
        <f t="shared" si="317"/>
        <v/>
      </c>
      <c r="DU44" s="30" t="str">
        <f t="shared" si="318"/>
        <v/>
      </c>
      <c r="DV44" s="30" t="str">
        <f t="shared" si="319"/>
        <v/>
      </c>
      <c r="DW44" s="30" t="str">
        <f t="shared" si="320"/>
        <v/>
      </c>
      <c r="DX44" s="30" t="str">
        <f t="shared" si="321"/>
        <v/>
      </c>
      <c r="DY44" s="30" t="str">
        <f t="shared" si="322"/>
        <v/>
      </c>
      <c r="DZ44" s="30" t="str">
        <f t="shared" si="323"/>
        <v>|n冷却缩减+10%</v>
      </c>
      <c r="EA44" s="30" t="str">
        <f t="shared" si="324"/>
        <v/>
      </c>
      <c r="EB44" s="30" t="str">
        <f t="shared" si="325"/>
        <v/>
      </c>
      <c r="EC44" s="30" t="str">
        <f t="shared" si="326"/>
        <v/>
      </c>
      <c r="ED44" s="30" t="str">
        <f t="shared" si="327"/>
        <v/>
      </c>
      <c r="EE44" s="30" t="str">
        <f t="shared" si="328"/>
        <v/>
      </c>
      <c r="EF44" s="30" t="str">
        <f t="shared" si="329"/>
        <v/>
      </c>
      <c r="EG44" s="30" t="str">
        <f t="shared" si="330"/>
        <v/>
      </c>
      <c r="EH44" s="30" t="str">
        <f t="shared" si="331"/>
        <v/>
      </c>
      <c r="EI44" s="30" t="str">
        <f t="shared" si="332"/>
        <v/>
      </c>
      <c r="EJ44" s="30" t="str">
        <f t="shared" si="333"/>
        <v/>
      </c>
      <c r="EK44" s="30" t="str">
        <f t="shared" si="334"/>
        <v/>
      </c>
      <c r="EL44" s="30" t="str">
        <f t="shared" si="335"/>
        <v/>
      </c>
      <c r="EM44" s="30" t="str">
        <f t="shared" si="336"/>
        <v/>
      </c>
      <c r="EN44" s="30" t="str">
        <f t="shared" si="337"/>
        <v/>
      </c>
      <c r="EO44" s="30" t="str">
        <f t="shared" si="338"/>
        <v/>
      </c>
      <c r="EP44" s="30" t="str">
        <f t="shared" si="339"/>
        <v/>
      </c>
      <c r="EQ44" s="30" t="str">
        <f t="shared" si="340"/>
        <v/>
      </c>
      <c r="ER44" s="30" t="str">
        <f t="shared" si="341"/>
        <v/>
      </c>
      <c r="ES44" s="30" t="str">
        <f t="shared" si="342"/>
        <v/>
      </c>
      <c r="ET44" s="30" t="str">
        <f t="shared" si="343"/>
        <v/>
      </c>
      <c r="EU44" s="30" t="str">
        <f t="shared" si="344"/>
        <v/>
      </c>
      <c r="EV44" s="30" t="str">
        <f t="shared" si="345"/>
        <v/>
      </c>
      <c r="EW44" s="30" t="str">
        <f t="shared" si="346"/>
        <v/>
      </c>
      <c r="EX44" s="30" t="str">
        <f t="shared" si="347"/>
        <v/>
      </c>
      <c r="EY44" s="30" t="str">
        <f t="shared" si="348"/>
        <v/>
      </c>
      <c r="EZ44" s="30" t="str">
        <f t="shared" si="349"/>
        <v/>
      </c>
      <c r="FA44" s="30" t="str">
        <f t="shared" si="350"/>
        <v/>
      </c>
      <c r="FB44" s="30" t="str">
        <f t="shared" si="351"/>
        <v/>
      </c>
      <c r="FC44" s="30" t="str">
        <f t="shared" si="352"/>
        <v/>
      </c>
      <c r="FD44" s="30" t="str">
        <f t="shared" si="353"/>
        <v/>
      </c>
      <c r="FE44" s="30" t="str">
        <f t="shared" si="354"/>
        <v/>
      </c>
      <c r="FF44" s="30" t="str">
        <f t="shared" si="355"/>
        <v/>
      </c>
      <c r="FG44" s="30" t="str">
        <f t="shared" si="356"/>
        <v/>
      </c>
      <c r="FH44" s="30" t="str">
        <f t="shared" si="357"/>
        <v/>
      </c>
      <c r="FI44" s="30" t="str">
        <f t="shared" si="358"/>
        <v/>
      </c>
      <c r="FJ44" s="30" t="str">
        <f t="shared" si="359"/>
        <v/>
      </c>
      <c r="FK44" s="30" t="str">
        <f t="shared" si="360"/>
        <v/>
      </c>
      <c r="FL44" s="30" t="str">
        <f t="shared" si="361"/>
        <v/>
      </c>
      <c r="FM44" s="30" t="str">
        <f t="shared" si="362"/>
        <v/>
      </c>
      <c r="FN44" s="30" t="str">
        <f t="shared" si="363"/>
        <v/>
      </c>
      <c r="FO44" s="30" t="str">
        <f t="shared" si="364"/>
        <v/>
      </c>
      <c r="FP44" s="30" t="str">
        <f t="shared" si="365"/>
        <v/>
      </c>
      <c r="FQ44" s="30" t="str">
        <f t="shared" si="366"/>
        <v/>
      </c>
      <c r="FR44" s="30" t="str">
        <f t="shared" si="367"/>
        <v/>
      </c>
      <c r="FS44" s="30" t="str">
        <f t="shared" si="368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2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">
        <v>603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3"/>
        <v>InitUnitState('E118',,30888,,,,,,,,)</v>
      </c>
      <c r="CO45" s="44" t="str">
        <f t="shared" si="294"/>
        <v>InitUnitNormal('E118',,,,,,,9,,,)</v>
      </c>
      <c r="CP45" s="44" t="str">
        <f t="shared" si="295"/>
        <v>InitUnitMagic('E118',,,,,10,,,,,)</v>
      </c>
      <c r="CQ45" s="44" t="str">
        <f t="shared" si="296"/>
        <v>InitUnitAdd('E118',,,,,,,,,,)</v>
      </c>
      <c r="CR45" s="44" t="str">
        <f t="shared" si="297"/>
        <v>InitEquipData('E118',,"",,E119,35000,,'','','','','','',"ReplaceableTextures\\CommandButtons\\BTNZ09.blp")</v>
      </c>
      <c r="CS45" s="44"/>
      <c r="CT45" s="44"/>
      <c r="CU45" s="45" t="str">
        <f t="shared" si="298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299"/>
        <v/>
      </c>
      <c r="DC45" s="30" t="str">
        <f t="shared" si="300"/>
        <v>|n法强+30888</v>
      </c>
      <c r="DD45" s="30" t="str">
        <f t="shared" si="301"/>
        <v/>
      </c>
      <c r="DE45" s="30" t="str">
        <f t="shared" si="302"/>
        <v/>
      </c>
      <c r="DF45" s="30" t="str">
        <f t="shared" si="303"/>
        <v/>
      </c>
      <c r="DG45" s="30" t="str">
        <f t="shared" si="304"/>
        <v/>
      </c>
      <c r="DH45" s="30" t="str">
        <f t="shared" si="305"/>
        <v/>
      </c>
      <c r="DI45" s="30" t="str">
        <f t="shared" si="306"/>
        <v/>
      </c>
      <c r="DJ45" s="30" t="str">
        <f t="shared" si="307"/>
        <v/>
      </c>
      <c r="DK45" s="30" t="str">
        <f t="shared" si="308"/>
        <v/>
      </c>
      <c r="DL45" s="30" t="str">
        <f t="shared" si="309"/>
        <v/>
      </c>
      <c r="DM45" s="30" t="str">
        <f t="shared" si="310"/>
        <v/>
      </c>
      <c r="DN45" s="30" t="str">
        <f t="shared" si="311"/>
        <v/>
      </c>
      <c r="DO45" s="30" t="str">
        <f t="shared" si="312"/>
        <v/>
      </c>
      <c r="DP45" s="30" t="str">
        <f t="shared" si="313"/>
        <v/>
      </c>
      <c r="DQ45" s="30" t="str">
        <f t="shared" si="314"/>
        <v/>
      </c>
      <c r="DR45" s="30" t="str">
        <f t="shared" si="315"/>
        <v>|n伤害加成+9%</v>
      </c>
      <c r="DS45" s="30" t="str">
        <f t="shared" si="316"/>
        <v/>
      </c>
      <c r="DT45" s="30" t="str">
        <f t="shared" si="317"/>
        <v/>
      </c>
      <c r="DU45" s="30" t="str">
        <f t="shared" si="318"/>
        <v/>
      </c>
      <c r="DV45" s="30" t="str">
        <f t="shared" si="319"/>
        <v/>
      </c>
      <c r="DW45" s="30" t="str">
        <f t="shared" si="320"/>
        <v/>
      </c>
      <c r="DX45" s="30" t="str">
        <f t="shared" si="321"/>
        <v/>
      </c>
      <c r="DY45" s="30" t="str">
        <f t="shared" si="322"/>
        <v/>
      </c>
      <c r="DZ45" s="30" t="str">
        <f t="shared" si="323"/>
        <v>|n冷却缩减+10%</v>
      </c>
      <c r="EA45" s="30" t="str">
        <f t="shared" si="324"/>
        <v/>
      </c>
      <c r="EB45" s="30" t="str">
        <f t="shared" si="325"/>
        <v/>
      </c>
      <c r="EC45" s="30" t="str">
        <f t="shared" si="326"/>
        <v/>
      </c>
      <c r="ED45" s="30" t="str">
        <f t="shared" si="327"/>
        <v/>
      </c>
      <c r="EE45" s="30" t="str">
        <f t="shared" si="328"/>
        <v/>
      </c>
      <c r="EF45" s="30" t="str">
        <f t="shared" si="329"/>
        <v/>
      </c>
      <c r="EG45" s="30" t="str">
        <f t="shared" si="330"/>
        <v/>
      </c>
      <c r="EH45" s="30" t="str">
        <f t="shared" si="331"/>
        <v/>
      </c>
      <c r="EI45" s="30" t="str">
        <f t="shared" si="332"/>
        <v/>
      </c>
      <c r="EJ45" s="30" t="str">
        <f t="shared" si="333"/>
        <v/>
      </c>
      <c r="EK45" s="30" t="str">
        <f t="shared" si="334"/>
        <v/>
      </c>
      <c r="EL45" s="30" t="str">
        <f t="shared" si="335"/>
        <v/>
      </c>
      <c r="EM45" s="30" t="str">
        <f t="shared" si="336"/>
        <v/>
      </c>
      <c r="EN45" s="30" t="str">
        <f t="shared" si="337"/>
        <v/>
      </c>
      <c r="EO45" s="30" t="str">
        <f t="shared" si="338"/>
        <v/>
      </c>
      <c r="EP45" s="30" t="str">
        <f t="shared" si="339"/>
        <v/>
      </c>
      <c r="EQ45" s="30" t="str">
        <f t="shared" si="340"/>
        <v/>
      </c>
      <c r="ER45" s="30" t="str">
        <f t="shared" si="341"/>
        <v/>
      </c>
      <c r="ES45" s="30" t="str">
        <f t="shared" si="342"/>
        <v/>
      </c>
      <c r="ET45" s="30" t="str">
        <f t="shared" si="343"/>
        <v/>
      </c>
      <c r="EU45" s="30" t="str">
        <f t="shared" si="344"/>
        <v/>
      </c>
      <c r="EV45" s="30" t="str">
        <f t="shared" si="345"/>
        <v/>
      </c>
      <c r="EW45" s="30" t="str">
        <f t="shared" si="346"/>
        <v/>
      </c>
      <c r="EX45" s="30" t="str">
        <f t="shared" si="347"/>
        <v/>
      </c>
      <c r="EY45" s="30" t="str">
        <f t="shared" si="348"/>
        <v/>
      </c>
      <c r="EZ45" s="30" t="str">
        <f t="shared" si="349"/>
        <v/>
      </c>
      <c r="FA45" s="30" t="str">
        <f t="shared" si="350"/>
        <v/>
      </c>
      <c r="FB45" s="30" t="str">
        <f t="shared" si="351"/>
        <v/>
      </c>
      <c r="FC45" s="30" t="str">
        <f t="shared" si="352"/>
        <v/>
      </c>
      <c r="FD45" s="30" t="str">
        <f t="shared" si="353"/>
        <v/>
      </c>
      <c r="FE45" s="30" t="str">
        <f t="shared" si="354"/>
        <v/>
      </c>
      <c r="FF45" s="30" t="str">
        <f t="shared" si="355"/>
        <v/>
      </c>
      <c r="FG45" s="30" t="str">
        <f t="shared" si="356"/>
        <v/>
      </c>
      <c r="FH45" s="30" t="str">
        <f t="shared" si="357"/>
        <v/>
      </c>
      <c r="FI45" s="30" t="str">
        <f t="shared" si="358"/>
        <v/>
      </c>
      <c r="FJ45" s="30" t="str">
        <f t="shared" si="359"/>
        <v/>
      </c>
      <c r="FK45" s="30" t="str">
        <f t="shared" si="360"/>
        <v/>
      </c>
      <c r="FL45" s="30" t="str">
        <f t="shared" si="361"/>
        <v/>
      </c>
      <c r="FM45" s="30" t="str">
        <f t="shared" si="362"/>
        <v/>
      </c>
      <c r="FN45" s="30" t="str">
        <f t="shared" si="363"/>
        <v/>
      </c>
      <c r="FO45" s="30" t="str">
        <f t="shared" si="364"/>
        <v/>
      </c>
      <c r="FP45" s="30" t="str">
        <f t="shared" si="365"/>
        <v/>
      </c>
      <c r="FQ45" s="30" t="str">
        <f t="shared" si="366"/>
        <v/>
      </c>
      <c r="FR45" s="30" t="str">
        <f t="shared" si="367"/>
        <v/>
      </c>
      <c r="FS45" s="30" t="str">
        <f t="shared" si="368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2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">
        <v>603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3"/>
        <v>InitUnitState('E119',,35688,,,,,,,,)</v>
      </c>
      <c r="CO46" s="44" t="str">
        <f t="shared" si="294"/>
        <v>InitUnitNormal('E119',,,,,,,9,,,)</v>
      </c>
      <c r="CP46" s="44" t="str">
        <f t="shared" si="295"/>
        <v>InitUnitMagic('E119',,,,,10,,,,,)</v>
      </c>
      <c r="CQ46" s="44" t="str">
        <f t="shared" si="296"/>
        <v>InitUnitAdd('E119',,,,,,,,,,)</v>
      </c>
      <c r="CR46" s="44" t="str">
        <f t="shared" si="297"/>
        <v>InitEquipData('E119',,"",,E120,35000,,'','','','','','',"ReplaceableTextures\\CommandButtons\\BTNZ09.blp")</v>
      </c>
      <c r="CS46" s="44"/>
      <c r="CT46" s="44"/>
      <c r="CU46" s="45" t="str">
        <f t="shared" si="298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299"/>
        <v/>
      </c>
      <c r="DC46" s="30" t="str">
        <f t="shared" si="300"/>
        <v>|n法强+35688</v>
      </c>
      <c r="DD46" s="30" t="str">
        <f t="shared" si="301"/>
        <v/>
      </c>
      <c r="DE46" s="30" t="str">
        <f t="shared" si="302"/>
        <v/>
      </c>
      <c r="DF46" s="30" t="str">
        <f t="shared" si="303"/>
        <v/>
      </c>
      <c r="DG46" s="30" t="str">
        <f t="shared" si="304"/>
        <v/>
      </c>
      <c r="DH46" s="30" t="str">
        <f t="shared" si="305"/>
        <v/>
      </c>
      <c r="DI46" s="30" t="str">
        <f t="shared" si="306"/>
        <v/>
      </c>
      <c r="DJ46" s="30" t="str">
        <f t="shared" si="307"/>
        <v/>
      </c>
      <c r="DK46" s="30" t="str">
        <f t="shared" si="308"/>
        <v/>
      </c>
      <c r="DL46" s="30" t="str">
        <f t="shared" si="309"/>
        <v/>
      </c>
      <c r="DM46" s="30" t="str">
        <f t="shared" si="310"/>
        <v/>
      </c>
      <c r="DN46" s="30" t="str">
        <f t="shared" si="311"/>
        <v/>
      </c>
      <c r="DO46" s="30" t="str">
        <f t="shared" si="312"/>
        <v/>
      </c>
      <c r="DP46" s="30" t="str">
        <f t="shared" si="313"/>
        <v/>
      </c>
      <c r="DQ46" s="30" t="str">
        <f t="shared" si="314"/>
        <v/>
      </c>
      <c r="DR46" s="30" t="str">
        <f t="shared" si="315"/>
        <v>|n伤害加成+9%</v>
      </c>
      <c r="DS46" s="30" t="str">
        <f t="shared" si="316"/>
        <v/>
      </c>
      <c r="DT46" s="30" t="str">
        <f t="shared" si="317"/>
        <v/>
      </c>
      <c r="DU46" s="30" t="str">
        <f t="shared" si="318"/>
        <v/>
      </c>
      <c r="DV46" s="30" t="str">
        <f t="shared" si="319"/>
        <v/>
      </c>
      <c r="DW46" s="30" t="str">
        <f t="shared" si="320"/>
        <v/>
      </c>
      <c r="DX46" s="30" t="str">
        <f t="shared" si="321"/>
        <v/>
      </c>
      <c r="DY46" s="30" t="str">
        <f t="shared" si="322"/>
        <v/>
      </c>
      <c r="DZ46" s="30" t="str">
        <f t="shared" si="323"/>
        <v>|n冷却缩减+10%</v>
      </c>
      <c r="EA46" s="30" t="str">
        <f t="shared" si="324"/>
        <v/>
      </c>
      <c r="EB46" s="30" t="str">
        <f t="shared" si="325"/>
        <v/>
      </c>
      <c r="EC46" s="30" t="str">
        <f t="shared" si="326"/>
        <v/>
      </c>
      <c r="ED46" s="30" t="str">
        <f t="shared" si="327"/>
        <v/>
      </c>
      <c r="EE46" s="30" t="str">
        <f t="shared" si="328"/>
        <v/>
      </c>
      <c r="EF46" s="30" t="str">
        <f t="shared" si="329"/>
        <v/>
      </c>
      <c r="EG46" s="30" t="str">
        <f t="shared" si="330"/>
        <v/>
      </c>
      <c r="EH46" s="30" t="str">
        <f t="shared" si="331"/>
        <v/>
      </c>
      <c r="EI46" s="30" t="str">
        <f t="shared" si="332"/>
        <v/>
      </c>
      <c r="EJ46" s="30" t="str">
        <f t="shared" si="333"/>
        <v/>
      </c>
      <c r="EK46" s="30" t="str">
        <f t="shared" si="334"/>
        <v/>
      </c>
      <c r="EL46" s="30" t="str">
        <f t="shared" si="335"/>
        <v/>
      </c>
      <c r="EM46" s="30" t="str">
        <f t="shared" si="336"/>
        <v/>
      </c>
      <c r="EN46" s="30" t="str">
        <f t="shared" si="337"/>
        <v/>
      </c>
      <c r="EO46" s="30" t="str">
        <f t="shared" si="338"/>
        <v/>
      </c>
      <c r="EP46" s="30" t="str">
        <f t="shared" si="339"/>
        <v/>
      </c>
      <c r="EQ46" s="30" t="str">
        <f t="shared" si="340"/>
        <v/>
      </c>
      <c r="ER46" s="30" t="str">
        <f t="shared" si="341"/>
        <v/>
      </c>
      <c r="ES46" s="30" t="str">
        <f t="shared" si="342"/>
        <v/>
      </c>
      <c r="ET46" s="30" t="str">
        <f t="shared" si="343"/>
        <v/>
      </c>
      <c r="EU46" s="30" t="str">
        <f t="shared" si="344"/>
        <v/>
      </c>
      <c r="EV46" s="30" t="str">
        <f t="shared" si="345"/>
        <v/>
      </c>
      <c r="EW46" s="30" t="str">
        <f t="shared" si="346"/>
        <v/>
      </c>
      <c r="EX46" s="30" t="str">
        <f t="shared" si="347"/>
        <v/>
      </c>
      <c r="EY46" s="30" t="str">
        <f t="shared" si="348"/>
        <v/>
      </c>
      <c r="EZ46" s="30" t="str">
        <f t="shared" si="349"/>
        <v/>
      </c>
      <c r="FA46" s="30" t="str">
        <f t="shared" si="350"/>
        <v/>
      </c>
      <c r="FB46" s="30" t="str">
        <f t="shared" si="351"/>
        <v/>
      </c>
      <c r="FC46" s="30" t="str">
        <f t="shared" si="352"/>
        <v/>
      </c>
      <c r="FD46" s="30" t="str">
        <f t="shared" si="353"/>
        <v/>
      </c>
      <c r="FE46" s="30" t="str">
        <f t="shared" si="354"/>
        <v/>
      </c>
      <c r="FF46" s="30" t="str">
        <f t="shared" si="355"/>
        <v/>
      </c>
      <c r="FG46" s="30" t="str">
        <f t="shared" si="356"/>
        <v/>
      </c>
      <c r="FH46" s="30" t="str">
        <f t="shared" si="357"/>
        <v/>
      </c>
      <c r="FI46" s="30" t="str">
        <f t="shared" si="358"/>
        <v/>
      </c>
      <c r="FJ46" s="30" t="str">
        <f t="shared" si="359"/>
        <v/>
      </c>
      <c r="FK46" s="30" t="str">
        <f t="shared" si="360"/>
        <v/>
      </c>
      <c r="FL46" s="30" t="str">
        <f t="shared" si="361"/>
        <v/>
      </c>
      <c r="FM46" s="30" t="str">
        <f t="shared" si="362"/>
        <v/>
      </c>
      <c r="FN46" s="30" t="str">
        <f t="shared" si="363"/>
        <v/>
      </c>
      <c r="FO46" s="30" t="str">
        <f t="shared" si="364"/>
        <v/>
      </c>
      <c r="FP46" s="30" t="str">
        <f t="shared" si="365"/>
        <v/>
      </c>
      <c r="FQ46" s="30" t="str">
        <f t="shared" si="366"/>
        <v/>
      </c>
      <c r="FR46" s="30" t="str">
        <f t="shared" si="367"/>
        <v/>
      </c>
      <c r="FS46" s="30" t="str">
        <f t="shared" si="368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2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">
        <v>603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3"/>
        <v>InitUnitState('E120',,40000,,,,,,,,)</v>
      </c>
      <c r="CO47" s="44" t="str">
        <f t="shared" si="294"/>
        <v>InitUnitNormal('E120',,,,,,,9,,,)</v>
      </c>
      <c r="CP47" s="44" t="str">
        <f t="shared" si="295"/>
        <v>InitUnitMagic('E120',,,,,10,,,,,)</v>
      </c>
      <c r="CQ47" s="44" t="str">
        <f t="shared" si="296"/>
        <v>InitUnitAdd('E120',,,,,,,,,,)</v>
      </c>
      <c r="CR47" s="44" t="str">
        <f t="shared" si="297"/>
        <v>InitEquipData('E120',,"",,E121,80000,,'','','','','','',"ReplaceableTextures\\CommandButtons\\BTNZ10.blp")</v>
      </c>
      <c r="CS47" s="44"/>
      <c r="CT47" s="44"/>
      <c r="CU47" s="45" t="str">
        <f t="shared" si="298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299"/>
        <v/>
      </c>
      <c r="DC47" s="30" t="str">
        <f t="shared" si="300"/>
        <v>|n法强+40000</v>
      </c>
      <c r="DD47" s="30" t="str">
        <f t="shared" si="301"/>
        <v/>
      </c>
      <c r="DE47" s="30" t="str">
        <f t="shared" si="302"/>
        <v/>
      </c>
      <c r="DF47" s="30" t="str">
        <f t="shared" si="303"/>
        <v/>
      </c>
      <c r="DG47" s="30" t="str">
        <f t="shared" si="304"/>
        <v/>
      </c>
      <c r="DH47" s="30" t="str">
        <f t="shared" si="305"/>
        <v/>
      </c>
      <c r="DI47" s="30" t="str">
        <f t="shared" si="306"/>
        <v/>
      </c>
      <c r="DJ47" s="30" t="str">
        <f t="shared" si="307"/>
        <v/>
      </c>
      <c r="DK47" s="30" t="str">
        <f t="shared" si="308"/>
        <v/>
      </c>
      <c r="DL47" s="30" t="str">
        <f t="shared" si="309"/>
        <v/>
      </c>
      <c r="DM47" s="30" t="str">
        <f t="shared" si="310"/>
        <v/>
      </c>
      <c r="DN47" s="30" t="str">
        <f t="shared" si="311"/>
        <v/>
      </c>
      <c r="DO47" s="30" t="str">
        <f t="shared" si="312"/>
        <v/>
      </c>
      <c r="DP47" s="30" t="str">
        <f t="shared" si="313"/>
        <v/>
      </c>
      <c r="DQ47" s="30" t="str">
        <f t="shared" si="314"/>
        <v/>
      </c>
      <c r="DR47" s="30" t="str">
        <f t="shared" si="315"/>
        <v>|n伤害加成+9%</v>
      </c>
      <c r="DS47" s="30" t="str">
        <f t="shared" si="316"/>
        <v/>
      </c>
      <c r="DT47" s="30" t="str">
        <f t="shared" si="317"/>
        <v/>
      </c>
      <c r="DU47" s="30" t="str">
        <f t="shared" si="318"/>
        <v/>
      </c>
      <c r="DV47" s="30" t="str">
        <f t="shared" si="319"/>
        <v/>
      </c>
      <c r="DW47" s="30" t="str">
        <f t="shared" si="320"/>
        <v/>
      </c>
      <c r="DX47" s="30" t="str">
        <f t="shared" si="321"/>
        <v/>
      </c>
      <c r="DY47" s="30" t="str">
        <f t="shared" si="322"/>
        <v/>
      </c>
      <c r="DZ47" s="30" t="str">
        <f t="shared" si="323"/>
        <v>|n冷却缩减+10%</v>
      </c>
      <c r="EA47" s="30" t="str">
        <f t="shared" si="324"/>
        <v/>
      </c>
      <c r="EB47" s="30" t="str">
        <f t="shared" si="325"/>
        <v/>
      </c>
      <c r="EC47" s="30" t="str">
        <f t="shared" si="326"/>
        <v/>
      </c>
      <c r="ED47" s="30" t="str">
        <f t="shared" si="327"/>
        <v/>
      </c>
      <c r="EE47" s="30" t="str">
        <f t="shared" si="328"/>
        <v/>
      </c>
      <c r="EF47" s="30" t="str">
        <f t="shared" si="329"/>
        <v/>
      </c>
      <c r="EG47" s="30" t="str">
        <f t="shared" si="330"/>
        <v/>
      </c>
      <c r="EH47" s="30" t="str">
        <f t="shared" si="331"/>
        <v/>
      </c>
      <c r="EI47" s="30" t="str">
        <f t="shared" si="332"/>
        <v/>
      </c>
      <c r="EJ47" s="30" t="str">
        <f t="shared" si="333"/>
        <v/>
      </c>
      <c r="EK47" s="30" t="str">
        <f t="shared" si="334"/>
        <v/>
      </c>
      <c r="EL47" s="30" t="str">
        <f t="shared" si="335"/>
        <v/>
      </c>
      <c r="EM47" s="30" t="str">
        <f t="shared" si="336"/>
        <v/>
      </c>
      <c r="EN47" s="30" t="str">
        <f t="shared" si="337"/>
        <v/>
      </c>
      <c r="EO47" s="30" t="str">
        <f t="shared" si="338"/>
        <v/>
      </c>
      <c r="EP47" s="30" t="str">
        <f t="shared" si="339"/>
        <v/>
      </c>
      <c r="EQ47" s="30" t="str">
        <f t="shared" si="340"/>
        <v/>
      </c>
      <c r="ER47" s="30" t="str">
        <f t="shared" si="341"/>
        <v/>
      </c>
      <c r="ES47" s="30" t="str">
        <f t="shared" si="342"/>
        <v/>
      </c>
      <c r="ET47" s="30" t="str">
        <f t="shared" si="343"/>
        <v/>
      </c>
      <c r="EU47" s="30" t="str">
        <f t="shared" si="344"/>
        <v/>
      </c>
      <c r="EV47" s="30" t="str">
        <f t="shared" si="345"/>
        <v/>
      </c>
      <c r="EW47" s="30" t="str">
        <f t="shared" si="346"/>
        <v/>
      </c>
      <c r="EX47" s="30" t="str">
        <f t="shared" si="347"/>
        <v/>
      </c>
      <c r="EY47" s="30" t="str">
        <f t="shared" si="348"/>
        <v/>
      </c>
      <c r="EZ47" s="30" t="str">
        <f t="shared" si="349"/>
        <v/>
      </c>
      <c r="FA47" s="30" t="str">
        <f t="shared" si="350"/>
        <v/>
      </c>
      <c r="FB47" s="30" t="str">
        <f t="shared" si="351"/>
        <v/>
      </c>
      <c r="FC47" s="30" t="str">
        <f t="shared" si="352"/>
        <v/>
      </c>
      <c r="FD47" s="30" t="str">
        <f t="shared" si="353"/>
        <v/>
      </c>
      <c r="FE47" s="30" t="str">
        <f t="shared" si="354"/>
        <v/>
      </c>
      <c r="FF47" s="30" t="str">
        <f t="shared" si="355"/>
        <v/>
      </c>
      <c r="FG47" s="30" t="str">
        <f t="shared" si="356"/>
        <v/>
      </c>
      <c r="FH47" s="30" t="str">
        <f t="shared" si="357"/>
        <v/>
      </c>
      <c r="FI47" s="30" t="str">
        <f t="shared" si="358"/>
        <v/>
      </c>
      <c r="FJ47" s="30" t="str">
        <f t="shared" si="359"/>
        <v/>
      </c>
      <c r="FK47" s="30" t="str">
        <f t="shared" si="360"/>
        <v/>
      </c>
      <c r="FL47" s="30" t="str">
        <f t="shared" si="361"/>
        <v/>
      </c>
      <c r="FM47" s="30" t="str">
        <f t="shared" si="362"/>
        <v/>
      </c>
      <c r="FN47" s="30" t="str">
        <f t="shared" si="363"/>
        <v/>
      </c>
      <c r="FO47" s="30" t="str">
        <f t="shared" si="364"/>
        <v/>
      </c>
      <c r="FP47" s="30" t="str">
        <f t="shared" si="365"/>
        <v/>
      </c>
      <c r="FQ47" s="30" t="str">
        <f t="shared" si="366"/>
        <v/>
      </c>
      <c r="FR47" s="30" t="str">
        <f t="shared" si="367"/>
        <v/>
      </c>
      <c r="FS47" s="30" t="str">
        <f t="shared" si="368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2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">
        <v>602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3"/>
        <v>InitUnitState('E121',,52000,,,,,,,,)</v>
      </c>
      <c r="CO48" s="44" t="str">
        <f t="shared" si="294"/>
        <v>InitUnitNormal('E121',,,,,,,12,,,)</v>
      </c>
      <c r="CP48" s="44" t="str">
        <f t="shared" si="295"/>
        <v>InitUnitMagic('E121',,,,,12,,,,,)</v>
      </c>
      <c r="CQ48" s="44" t="str">
        <f t="shared" si="296"/>
        <v>InitUnitAdd('E121',,,,,,,,,,)</v>
      </c>
      <c r="CR48" s="44" t="str">
        <f t="shared" si="297"/>
        <v>InitEquipData('E121',,"",,E122,42000,,'','','','','','',"ReplaceableTextures\\CommandButtons\\BTNZ10.blp")</v>
      </c>
      <c r="CS48" s="44"/>
      <c r="CT48" s="44"/>
      <c r="CU48" s="45" t="str">
        <f t="shared" si="298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299"/>
        <v/>
      </c>
      <c r="DC48" s="30" t="str">
        <f t="shared" si="300"/>
        <v>|n法强+52000</v>
      </c>
      <c r="DD48" s="30" t="str">
        <f t="shared" si="301"/>
        <v/>
      </c>
      <c r="DE48" s="30" t="str">
        <f t="shared" si="302"/>
        <v/>
      </c>
      <c r="DF48" s="30" t="str">
        <f t="shared" si="303"/>
        <v/>
      </c>
      <c r="DG48" s="30" t="str">
        <f t="shared" si="304"/>
        <v/>
      </c>
      <c r="DH48" s="30" t="str">
        <f t="shared" si="305"/>
        <v/>
      </c>
      <c r="DI48" s="30" t="str">
        <f t="shared" si="306"/>
        <v/>
      </c>
      <c r="DJ48" s="30" t="str">
        <f t="shared" si="307"/>
        <v/>
      </c>
      <c r="DK48" s="30" t="str">
        <f t="shared" si="308"/>
        <v/>
      </c>
      <c r="DL48" s="30" t="str">
        <f t="shared" si="309"/>
        <v/>
      </c>
      <c r="DM48" s="30" t="str">
        <f t="shared" si="310"/>
        <v/>
      </c>
      <c r="DN48" s="30" t="str">
        <f t="shared" si="311"/>
        <v/>
      </c>
      <c r="DO48" s="30" t="str">
        <f t="shared" si="312"/>
        <v/>
      </c>
      <c r="DP48" s="30" t="str">
        <f t="shared" si="313"/>
        <v/>
      </c>
      <c r="DQ48" s="30" t="str">
        <f t="shared" si="314"/>
        <v/>
      </c>
      <c r="DR48" s="30" t="str">
        <f t="shared" si="315"/>
        <v>|n伤害加成+12%</v>
      </c>
      <c r="DS48" s="30" t="str">
        <f t="shared" si="316"/>
        <v/>
      </c>
      <c r="DT48" s="30" t="str">
        <f t="shared" si="317"/>
        <v/>
      </c>
      <c r="DU48" s="30" t="str">
        <f t="shared" si="318"/>
        <v/>
      </c>
      <c r="DV48" s="30" t="str">
        <f t="shared" si="319"/>
        <v/>
      </c>
      <c r="DW48" s="30" t="str">
        <f t="shared" si="320"/>
        <v/>
      </c>
      <c r="DX48" s="30" t="str">
        <f t="shared" si="321"/>
        <v/>
      </c>
      <c r="DY48" s="30" t="str">
        <f t="shared" si="322"/>
        <v/>
      </c>
      <c r="DZ48" s="30" t="str">
        <f t="shared" si="323"/>
        <v>|n冷却缩减+12%</v>
      </c>
      <c r="EA48" s="30" t="str">
        <f t="shared" si="324"/>
        <v/>
      </c>
      <c r="EB48" s="30" t="str">
        <f t="shared" si="325"/>
        <v/>
      </c>
      <c r="EC48" s="30" t="str">
        <f t="shared" si="326"/>
        <v/>
      </c>
      <c r="ED48" s="30" t="str">
        <f t="shared" si="327"/>
        <v/>
      </c>
      <c r="EE48" s="30" t="str">
        <f t="shared" si="328"/>
        <v/>
      </c>
      <c r="EF48" s="30" t="str">
        <f t="shared" si="329"/>
        <v/>
      </c>
      <c r="EG48" s="30" t="str">
        <f t="shared" si="330"/>
        <v/>
      </c>
      <c r="EH48" s="30" t="str">
        <f t="shared" si="331"/>
        <v/>
      </c>
      <c r="EI48" s="30" t="str">
        <f t="shared" si="332"/>
        <v/>
      </c>
      <c r="EJ48" s="30" t="str">
        <f t="shared" si="333"/>
        <v/>
      </c>
      <c r="EK48" s="30" t="str">
        <f t="shared" si="334"/>
        <v/>
      </c>
      <c r="EL48" s="30" t="str">
        <f t="shared" si="335"/>
        <v/>
      </c>
      <c r="EM48" s="30" t="str">
        <f t="shared" si="336"/>
        <v/>
      </c>
      <c r="EN48" s="30" t="str">
        <f t="shared" si="337"/>
        <v/>
      </c>
      <c r="EO48" s="30" t="str">
        <f t="shared" si="338"/>
        <v/>
      </c>
      <c r="EP48" s="30" t="str">
        <f t="shared" si="339"/>
        <v/>
      </c>
      <c r="EQ48" s="30" t="str">
        <f t="shared" si="340"/>
        <v/>
      </c>
      <c r="ER48" s="30" t="str">
        <f t="shared" si="341"/>
        <v/>
      </c>
      <c r="ES48" s="30" t="str">
        <f t="shared" si="342"/>
        <v/>
      </c>
      <c r="ET48" s="30" t="str">
        <f t="shared" si="343"/>
        <v/>
      </c>
      <c r="EU48" s="30" t="str">
        <f t="shared" si="344"/>
        <v/>
      </c>
      <c r="EV48" s="30" t="str">
        <f t="shared" si="345"/>
        <v/>
      </c>
      <c r="EW48" s="30" t="str">
        <f t="shared" si="346"/>
        <v/>
      </c>
      <c r="EX48" s="30" t="str">
        <f t="shared" si="347"/>
        <v/>
      </c>
      <c r="EY48" s="30" t="str">
        <f t="shared" si="348"/>
        <v/>
      </c>
      <c r="EZ48" s="30" t="str">
        <f t="shared" si="349"/>
        <v/>
      </c>
      <c r="FA48" s="30" t="str">
        <f t="shared" si="350"/>
        <v/>
      </c>
      <c r="FB48" s="30" t="str">
        <f t="shared" si="351"/>
        <v/>
      </c>
      <c r="FC48" s="30" t="str">
        <f t="shared" si="352"/>
        <v/>
      </c>
      <c r="FD48" s="30" t="str">
        <f t="shared" si="353"/>
        <v/>
      </c>
      <c r="FE48" s="30" t="str">
        <f t="shared" si="354"/>
        <v/>
      </c>
      <c r="FF48" s="30" t="str">
        <f t="shared" si="355"/>
        <v/>
      </c>
      <c r="FG48" s="30" t="str">
        <f t="shared" si="356"/>
        <v/>
      </c>
      <c r="FH48" s="30" t="str">
        <f t="shared" si="357"/>
        <v/>
      </c>
      <c r="FI48" s="30" t="str">
        <f t="shared" si="358"/>
        <v/>
      </c>
      <c r="FJ48" s="30" t="str">
        <f t="shared" si="359"/>
        <v/>
      </c>
      <c r="FK48" s="30" t="str">
        <f t="shared" si="360"/>
        <v/>
      </c>
      <c r="FL48" s="30" t="str">
        <f t="shared" si="361"/>
        <v/>
      </c>
      <c r="FM48" s="30" t="str">
        <f t="shared" si="362"/>
        <v/>
      </c>
      <c r="FN48" s="30" t="str">
        <f t="shared" si="363"/>
        <v/>
      </c>
      <c r="FO48" s="30" t="str">
        <f t="shared" si="364"/>
        <v/>
      </c>
      <c r="FP48" s="30" t="str">
        <f t="shared" si="365"/>
        <v/>
      </c>
      <c r="FQ48" s="30" t="str">
        <f t="shared" si="366"/>
        <v/>
      </c>
      <c r="FR48" s="30" t="str">
        <f t="shared" si="367"/>
        <v/>
      </c>
      <c r="FS48" s="30" t="str">
        <f t="shared" si="368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2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">
        <v>602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3"/>
        <v>InitUnitState('E122',,64000,,,,,,,,)</v>
      </c>
      <c r="CO49" s="44" t="str">
        <f t="shared" si="294"/>
        <v>InitUnitNormal('E122',,,,,,,12,,,)</v>
      </c>
      <c r="CP49" s="44" t="str">
        <f t="shared" si="295"/>
        <v>InitUnitMagic('E122',,,,,12,,,,,)</v>
      </c>
      <c r="CQ49" s="44" t="str">
        <f t="shared" si="296"/>
        <v>InitUnitAdd('E122',,,,,,,,,,)</v>
      </c>
      <c r="CR49" s="44" t="str">
        <f t="shared" si="297"/>
        <v>InitEquipData('E122',,"",,E123,42000,,'','','','','','',"ReplaceableTextures\\CommandButtons\\BTNZ10.blp")</v>
      </c>
      <c r="CS49" s="44"/>
      <c r="CT49" s="44"/>
      <c r="CU49" s="45" t="str">
        <f t="shared" si="298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299"/>
        <v/>
      </c>
      <c r="DC49" s="30" t="str">
        <f t="shared" si="300"/>
        <v>|n法强+64000</v>
      </c>
      <c r="DD49" s="30" t="str">
        <f t="shared" si="301"/>
        <v/>
      </c>
      <c r="DE49" s="30" t="str">
        <f t="shared" si="302"/>
        <v/>
      </c>
      <c r="DF49" s="30" t="str">
        <f t="shared" si="303"/>
        <v/>
      </c>
      <c r="DG49" s="30" t="str">
        <f t="shared" si="304"/>
        <v/>
      </c>
      <c r="DH49" s="30" t="str">
        <f t="shared" si="305"/>
        <v/>
      </c>
      <c r="DI49" s="30" t="str">
        <f t="shared" si="306"/>
        <v/>
      </c>
      <c r="DJ49" s="30" t="str">
        <f t="shared" si="307"/>
        <v/>
      </c>
      <c r="DK49" s="30" t="str">
        <f t="shared" si="308"/>
        <v/>
      </c>
      <c r="DL49" s="30" t="str">
        <f t="shared" si="309"/>
        <v/>
      </c>
      <c r="DM49" s="30" t="str">
        <f t="shared" si="310"/>
        <v/>
      </c>
      <c r="DN49" s="30" t="str">
        <f t="shared" si="311"/>
        <v/>
      </c>
      <c r="DO49" s="30" t="str">
        <f t="shared" si="312"/>
        <v/>
      </c>
      <c r="DP49" s="30" t="str">
        <f t="shared" si="313"/>
        <v/>
      </c>
      <c r="DQ49" s="30" t="str">
        <f t="shared" si="314"/>
        <v/>
      </c>
      <c r="DR49" s="30" t="str">
        <f t="shared" si="315"/>
        <v>|n伤害加成+12%</v>
      </c>
      <c r="DS49" s="30" t="str">
        <f t="shared" si="316"/>
        <v/>
      </c>
      <c r="DT49" s="30" t="str">
        <f t="shared" si="317"/>
        <v/>
      </c>
      <c r="DU49" s="30" t="str">
        <f t="shared" si="318"/>
        <v/>
      </c>
      <c r="DV49" s="30" t="str">
        <f t="shared" si="319"/>
        <v/>
      </c>
      <c r="DW49" s="30" t="str">
        <f t="shared" si="320"/>
        <v/>
      </c>
      <c r="DX49" s="30" t="str">
        <f t="shared" si="321"/>
        <v/>
      </c>
      <c r="DY49" s="30" t="str">
        <f t="shared" si="322"/>
        <v/>
      </c>
      <c r="DZ49" s="30" t="str">
        <f t="shared" si="323"/>
        <v>|n冷却缩减+12%</v>
      </c>
      <c r="EA49" s="30" t="str">
        <f t="shared" si="324"/>
        <v/>
      </c>
      <c r="EB49" s="30" t="str">
        <f t="shared" si="325"/>
        <v/>
      </c>
      <c r="EC49" s="30" t="str">
        <f t="shared" si="326"/>
        <v/>
      </c>
      <c r="ED49" s="30" t="str">
        <f t="shared" si="327"/>
        <v/>
      </c>
      <c r="EE49" s="30" t="str">
        <f t="shared" si="328"/>
        <v/>
      </c>
      <c r="EF49" s="30" t="str">
        <f t="shared" si="329"/>
        <v/>
      </c>
      <c r="EG49" s="30" t="str">
        <f t="shared" si="330"/>
        <v/>
      </c>
      <c r="EH49" s="30" t="str">
        <f t="shared" si="331"/>
        <v/>
      </c>
      <c r="EI49" s="30" t="str">
        <f t="shared" si="332"/>
        <v/>
      </c>
      <c r="EJ49" s="30" t="str">
        <f t="shared" si="333"/>
        <v/>
      </c>
      <c r="EK49" s="30" t="str">
        <f t="shared" si="334"/>
        <v/>
      </c>
      <c r="EL49" s="30" t="str">
        <f t="shared" si="335"/>
        <v/>
      </c>
      <c r="EM49" s="30" t="str">
        <f t="shared" si="336"/>
        <v/>
      </c>
      <c r="EN49" s="30" t="str">
        <f t="shared" si="337"/>
        <v/>
      </c>
      <c r="EO49" s="30" t="str">
        <f t="shared" si="338"/>
        <v/>
      </c>
      <c r="EP49" s="30" t="str">
        <f t="shared" si="339"/>
        <v/>
      </c>
      <c r="EQ49" s="30" t="str">
        <f t="shared" si="340"/>
        <v/>
      </c>
      <c r="ER49" s="30" t="str">
        <f t="shared" si="341"/>
        <v/>
      </c>
      <c r="ES49" s="30" t="str">
        <f t="shared" si="342"/>
        <v/>
      </c>
      <c r="ET49" s="30" t="str">
        <f t="shared" si="343"/>
        <v/>
      </c>
      <c r="EU49" s="30" t="str">
        <f t="shared" si="344"/>
        <v/>
      </c>
      <c r="EV49" s="30" t="str">
        <f t="shared" si="345"/>
        <v/>
      </c>
      <c r="EW49" s="30" t="str">
        <f t="shared" si="346"/>
        <v/>
      </c>
      <c r="EX49" s="30" t="str">
        <f t="shared" si="347"/>
        <v/>
      </c>
      <c r="EY49" s="30" t="str">
        <f t="shared" si="348"/>
        <v/>
      </c>
      <c r="EZ49" s="30" t="str">
        <f t="shared" si="349"/>
        <v/>
      </c>
      <c r="FA49" s="30" t="str">
        <f t="shared" si="350"/>
        <v/>
      </c>
      <c r="FB49" s="30" t="str">
        <f t="shared" si="351"/>
        <v/>
      </c>
      <c r="FC49" s="30" t="str">
        <f t="shared" si="352"/>
        <v/>
      </c>
      <c r="FD49" s="30" t="str">
        <f t="shared" si="353"/>
        <v/>
      </c>
      <c r="FE49" s="30" t="str">
        <f t="shared" si="354"/>
        <v/>
      </c>
      <c r="FF49" s="30" t="str">
        <f t="shared" si="355"/>
        <v/>
      </c>
      <c r="FG49" s="30" t="str">
        <f t="shared" si="356"/>
        <v/>
      </c>
      <c r="FH49" s="30" t="str">
        <f t="shared" si="357"/>
        <v/>
      </c>
      <c r="FI49" s="30" t="str">
        <f t="shared" si="358"/>
        <v/>
      </c>
      <c r="FJ49" s="30" t="str">
        <f t="shared" si="359"/>
        <v/>
      </c>
      <c r="FK49" s="30" t="str">
        <f t="shared" si="360"/>
        <v/>
      </c>
      <c r="FL49" s="30" t="str">
        <f t="shared" si="361"/>
        <v/>
      </c>
      <c r="FM49" s="30" t="str">
        <f t="shared" si="362"/>
        <v/>
      </c>
      <c r="FN49" s="30" t="str">
        <f t="shared" si="363"/>
        <v/>
      </c>
      <c r="FO49" s="30" t="str">
        <f t="shared" si="364"/>
        <v/>
      </c>
      <c r="FP49" s="30" t="str">
        <f t="shared" si="365"/>
        <v/>
      </c>
      <c r="FQ49" s="30" t="str">
        <f t="shared" si="366"/>
        <v/>
      </c>
      <c r="FR49" s="30" t="str">
        <f t="shared" si="367"/>
        <v/>
      </c>
      <c r="FS49" s="30" t="str">
        <f t="shared" si="368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2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">
        <v>602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3"/>
        <v>InitUnitState('E123',,76000,,,,,,,,)</v>
      </c>
      <c r="CO50" s="44" t="str">
        <f t="shared" si="294"/>
        <v>InitUnitNormal('E123',,,,,,,12,,,)</v>
      </c>
      <c r="CP50" s="44" t="str">
        <f t="shared" si="295"/>
        <v>InitUnitMagic('E123',,,,,12,,,,,)</v>
      </c>
      <c r="CQ50" s="44" t="str">
        <f t="shared" si="296"/>
        <v>InitUnitAdd('E123',,,,,,,,,,)</v>
      </c>
      <c r="CR50" s="44" t="str">
        <f t="shared" si="297"/>
        <v>InitEquipData('E123',,"",,E124,42000,,'','','','','','',"ReplaceableTextures\\CommandButtons\\BTNZ10.blp")</v>
      </c>
      <c r="CS50" s="44"/>
      <c r="CT50" s="44"/>
      <c r="CU50" s="45" t="str">
        <f t="shared" si="298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299"/>
        <v/>
      </c>
      <c r="DC50" s="30" t="str">
        <f t="shared" si="300"/>
        <v>|n法强+76000</v>
      </c>
      <c r="DD50" s="30" t="str">
        <f t="shared" si="301"/>
        <v/>
      </c>
      <c r="DE50" s="30" t="str">
        <f t="shared" si="302"/>
        <v/>
      </c>
      <c r="DF50" s="30" t="str">
        <f t="shared" si="303"/>
        <v/>
      </c>
      <c r="DG50" s="30" t="str">
        <f t="shared" si="304"/>
        <v/>
      </c>
      <c r="DH50" s="30" t="str">
        <f t="shared" si="305"/>
        <v/>
      </c>
      <c r="DI50" s="30" t="str">
        <f t="shared" si="306"/>
        <v/>
      </c>
      <c r="DJ50" s="30" t="str">
        <f t="shared" si="307"/>
        <v/>
      </c>
      <c r="DK50" s="30" t="str">
        <f t="shared" si="308"/>
        <v/>
      </c>
      <c r="DL50" s="30" t="str">
        <f t="shared" si="309"/>
        <v/>
      </c>
      <c r="DM50" s="30" t="str">
        <f t="shared" si="310"/>
        <v/>
      </c>
      <c r="DN50" s="30" t="str">
        <f t="shared" si="311"/>
        <v/>
      </c>
      <c r="DO50" s="30" t="str">
        <f t="shared" si="312"/>
        <v/>
      </c>
      <c r="DP50" s="30" t="str">
        <f t="shared" si="313"/>
        <v/>
      </c>
      <c r="DQ50" s="30" t="str">
        <f t="shared" si="314"/>
        <v/>
      </c>
      <c r="DR50" s="30" t="str">
        <f t="shared" si="315"/>
        <v>|n伤害加成+12%</v>
      </c>
      <c r="DS50" s="30" t="str">
        <f t="shared" si="316"/>
        <v/>
      </c>
      <c r="DT50" s="30" t="str">
        <f t="shared" si="317"/>
        <v/>
      </c>
      <c r="DU50" s="30" t="str">
        <f t="shared" si="318"/>
        <v/>
      </c>
      <c r="DV50" s="30" t="str">
        <f t="shared" si="319"/>
        <v/>
      </c>
      <c r="DW50" s="30" t="str">
        <f t="shared" si="320"/>
        <v/>
      </c>
      <c r="DX50" s="30" t="str">
        <f t="shared" si="321"/>
        <v/>
      </c>
      <c r="DY50" s="30" t="str">
        <f t="shared" si="322"/>
        <v/>
      </c>
      <c r="DZ50" s="30" t="str">
        <f t="shared" si="323"/>
        <v>|n冷却缩减+12%</v>
      </c>
      <c r="EA50" s="30" t="str">
        <f t="shared" si="324"/>
        <v/>
      </c>
      <c r="EB50" s="30" t="str">
        <f t="shared" si="325"/>
        <v/>
      </c>
      <c r="EC50" s="30" t="str">
        <f t="shared" si="326"/>
        <v/>
      </c>
      <c r="ED50" s="30" t="str">
        <f t="shared" si="327"/>
        <v/>
      </c>
      <c r="EE50" s="30" t="str">
        <f t="shared" si="328"/>
        <v/>
      </c>
      <c r="EF50" s="30" t="str">
        <f t="shared" si="329"/>
        <v/>
      </c>
      <c r="EG50" s="30" t="str">
        <f t="shared" si="330"/>
        <v/>
      </c>
      <c r="EH50" s="30" t="str">
        <f t="shared" si="331"/>
        <v/>
      </c>
      <c r="EI50" s="30" t="str">
        <f t="shared" si="332"/>
        <v/>
      </c>
      <c r="EJ50" s="30" t="str">
        <f t="shared" si="333"/>
        <v/>
      </c>
      <c r="EK50" s="30" t="str">
        <f t="shared" si="334"/>
        <v/>
      </c>
      <c r="EL50" s="30" t="str">
        <f t="shared" si="335"/>
        <v/>
      </c>
      <c r="EM50" s="30" t="str">
        <f t="shared" si="336"/>
        <v/>
      </c>
      <c r="EN50" s="30" t="str">
        <f t="shared" si="337"/>
        <v/>
      </c>
      <c r="EO50" s="30" t="str">
        <f t="shared" si="338"/>
        <v/>
      </c>
      <c r="EP50" s="30" t="str">
        <f t="shared" si="339"/>
        <v/>
      </c>
      <c r="EQ50" s="30" t="str">
        <f t="shared" si="340"/>
        <v/>
      </c>
      <c r="ER50" s="30" t="str">
        <f t="shared" si="341"/>
        <v/>
      </c>
      <c r="ES50" s="30" t="str">
        <f t="shared" si="342"/>
        <v/>
      </c>
      <c r="ET50" s="30" t="str">
        <f t="shared" si="343"/>
        <v/>
      </c>
      <c r="EU50" s="30" t="str">
        <f t="shared" si="344"/>
        <v/>
      </c>
      <c r="EV50" s="30" t="str">
        <f t="shared" si="345"/>
        <v/>
      </c>
      <c r="EW50" s="30" t="str">
        <f t="shared" si="346"/>
        <v/>
      </c>
      <c r="EX50" s="30" t="str">
        <f t="shared" si="347"/>
        <v/>
      </c>
      <c r="EY50" s="30" t="str">
        <f t="shared" si="348"/>
        <v/>
      </c>
      <c r="EZ50" s="30" t="str">
        <f t="shared" si="349"/>
        <v/>
      </c>
      <c r="FA50" s="30" t="str">
        <f t="shared" si="350"/>
        <v/>
      </c>
      <c r="FB50" s="30" t="str">
        <f t="shared" si="351"/>
        <v/>
      </c>
      <c r="FC50" s="30" t="str">
        <f t="shared" si="352"/>
        <v/>
      </c>
      <c r="FD50" s="30" t="str">
        <f t="shared" si="353"/>
        <v/>
      </c>
      <c r="FE50" s="30" t="str">
        <f t="shared" si="354"/>
        <v/>
      </c>
      <c r="FF50" s="30" t="str">
        <f t="shared" si="355"/>
        <v/>
      </c>
      <c r="FG50" s="30" t="str">
        <f t="shared" si="356"/>
        <v/>
      </c>
      <c r="FH50" s="30" t="str">
        <f t="shared" si="357"/>
        <v/>
      </c>
      <c r="FI50" s="30" t="str">
        <f t="shared" si="358"/>
        <v/>
      </c>
      <c r="FJ50" s="30" t="str">
        <f t="shared" si="359"/>
        <v/>
      </c>
      <c r="FK50" s="30" t="str">
        <f t="shared" si="360"/>
        <v/>
      </c>
      <c r="FL50" s="30" t="str">
        <f t="shared" si="361"/>
        <v/>
      </c>
      <c r="FM50" s="30" t="str">
        <f t="shared" si="362"/>
        <v/>
      </c>
      <c r="FN50" s="30" t="str">
        <f t="shared" si="363"/>
        <v/>
      </c>
      <c r="FO50" s="30" t="str">
        <f t="shared" si="364"/>
        <v/>
      </c>
      <c r="FP50" s="30" t="str">
        <f t="shared" si="365"/>
        <v/>
      </c>
      <c r="FQ50" s="30" t="str">
        <f t="shared" si="366"/>
        <v/>
      </c>
      <c r="FR50" s="30" t="str">
        <f t="shared" si="367"/>
        <v/>
      </c>
      <c r="FS50" s="30" t="str">
        <f t="shared" si="368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2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">
        <v>602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3"/>
        <v>InitUnitState('E124',,88000,,,,,,,,)</v>
      </c>
      <c r="CO51" s="44" t="str">
        <f t="shared" si="294"/>
        <v>InitUnitNormal('E124',,,,,,,12,,,)</v>
      </c>
      <c r="CP51" s="44" t="str">
        <f t="shared" si="295"/>
        <v>InitUnitMagic('E124',,,,,12,,,,,)</v>
      </c>
      <c r="CQ51" s="44" t="str">
        <f t="shared" si="296"/>
        <v>InitUnitAdd('E124',,,,,,,,,,)</v>
      </c>
      <c r="CR51" s="44" t="str">
        <f t="shared" si="297"/>
        <v>InitEquipData('E124',,"",,E125,42000,,'','','','','','',"ReplaceableTextures\\CommandButtons\\BTNZ10.blp")</v>
      </c>
      <c r="CS51" s="44"/>
      <c r="CT51" s="44"/>
      <c r="CU51" s="45" t="str">
        <f t="shared" si="298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299"/>
        <v/>
      </c>
      <c r="DC51" s="30" t="str">
        <f t="shared" si="300"/>
        <v>|n法强+88000</v>
      </c>
      <c r="DD51" s="30" t="str">
        <f t="shared" si="301"/>
        <v/>
      </c>
      <c r="DE51" s="30" t="str">
        <f t="shared" si="302"/>
        <v/>
      </c>
      <c r="DF51" s="30" t="str">
        <f t="shared" si="303"/>
        <v/>
      </c>
      <c r="DG51" s="30" t="str">
        <f t="shared" si="304"/>
        <v/>
      </c>
      <c r="DH51" s="30" t="str">
        <f t="shared" si="305"/>
        <v/>
      </c>
      <c r="DI51" s="30" t="str">
        <f t="shared" si="306"/>
        <v/>
      </c>
      <c r="DJ51" s="30" t="str">
        <f t="shared" si="307"/>
        <v/>
      </c>
      <c r="DK51" s="30" t="str">
        <f t="shared" si="308"/>
        <v/>
      </c>
      <c r="DL51" s="30" t="str">
        <f t="shared" si="309"/>
        <v/>
      </c>
      <c r="DM51" s="30" t="str">
        <f t="shared" si="310"/>
        <v/>
      </c>
      <c r="DN51" s="30" t="str">
        <f t="shared" si="311"/>
        <v/>
      </c>
      <c r="DO51" s="30" t="str">
        <f t="shared" si="312"/>
        <v/>
      </c>
      <c r="DP51" s="30" t="str">
        <f t="shared" si="313"/>
        <v/>
      </c>
      <c r="DQ51" s="30" t="str">
        <f t="shared" si="314"/>
        <v/>
      </c>
      <c r="DR51" s="30" t="str">
        <f t="shared" si="315"/>
        <v>|n伤害加成+12%</v>
      </c>
      <c r="DS51" s="30" t="str">
        <f t="shared" si="316"/>
        <v/>
      </c>
      <c r="DT51" s="30" t="str">
        <f t="shared" si="317"/>
        <v/>
      </c>
      <c r="DU51" s="30" t="str">
        <f t="shared" si="318"/>
        <v/>
      </c>
      <c r="DV51" s="30" t="str">
        <f t="shared" si="319"/>
        <v/>
      </c>
      <c r="DW51" s="30" t="str">
        <f t="shared" si="320"/>
        <v/>
      </c>
      <c r="DX51" s="30" t="str">
        <f t="shared" si="321"/>
        <v/>
      </c>
      <c r="DY51" s="30" t="str">
        <f t="shared" si="322"/>
        <v/>
      </c>
      <c r="DZ51" s="30" t="str">
        <f t="shared" si="323"/>
        <v>|n冷却缩减+12%</v>
      </c>
      <c r="EA51" s="30" t="str">
        <f t="shared" si="324"/>
        <v/>
      </c>
      <c r="EB51" s="30" t="str">
        <f t="shared" si="325"/>
        <v/>
      </c>
      <c r="EC51" s="30" t="str">
        <f t="shared" si="326"/>
        <v/>
      </c>
      <c r="ED51" s="30" t="str">
        <f t="shared" si="327"/>
        <v/>
      </c>
      <c r="EE51" s="30" t="str">
        <f t="shared" si="328"/>
        <v/>
      </c>
      <c r="EF51" s="30" t="str">
        <f t="shared" si="329"/>
        <v/>
      </c>
      <c r="EG51" s="30" t="str">
        <f t="shared" si="330"/>
        <v/>
      </c>
      <c r="EH51" s="30" t="str">
        <f t="shared" si="331"/>
        <v/>
      </c>
      <c r="EI51" s="30" t="str">
        <f t="shared" si="332"/>
        <v/>
      </c>
      <c r="EJ51" s="30" t="str">
        <f t="shared" si="333"/>
        <v/>
      </c>
      <c r="EK51" s="30" t="str">
        <f t="shared" si="334"/>
        <v/>
      </c>
      <c r="EL51" s="30" t="str">
        <f t="shared" si="335"/>
        <v/>
      </c>
      <c r="EM51" s="30" t="str">
        <f t="shared" si="336"/>
        <v/>
      </c>
      <c r="EN51" s="30" t="str">
        <f t="shared" si="337"/>
        <v/>
      </c>
      <c r="EO51" s="30" t="str">
        <f t="shared" si="338"/>
        <v/>
      </c>
      <c r="EP51" s="30" t="str">
        <f t="shared" si="339"/>
        <v/>
      </c>
      <c r="EQ51" s="30" t="str">
        <f t="shared" si="340"/>
        <v/>
      </c>
      <c r="ER51" s="30" t="str">
        <f t="shared" si="341"/>
        <v/>
      </c>
      <c r="ES51" s="30" t="str">
        <f t="shared" si="342"/>
        <v/>
      </c>
      <c r="ET51" s="30" t="str">
        <f t="shared" si="343"/>
        <v/>
      </c>
      <c r="EU51" s="30" t="str">
        <f t="shared" si="344"/>
        <v/>
      </c>
      <c r="EV51" s="30" t="str">
        <f t="shared" si="345"/>
        <v/>
      </c>
      <c r="EW51" s="30" t="str">
        <f t="shared" si="346"/>
        <v/>
      </c>
      <c r="EX51" s="30" t="str">
        <f t="shared" si="347"/>
        <v/>
      </c>
      <c r="EY51" s="30" t="str">
        <f t="shared" si="348"/>
        <v/>
      </c>
      <c r="EZ51" s="30" t="str">
        <f t="shared" si="349"/>
        <v/>
      </c>
      <c r="FA51" s="30" t="str">
        <f t="shared" si="350"/>
        <v/>
      </c>
      <c r="FB51" s="30" t="str">
        <f t="shared" si="351"/>
        <v/>
      </c>
      <c r="FC51" s="30" t="str">
        <f t="shared" si="352"/>
        <v/>
      </c>
      <c r="FD51" s="30" t="str">
        <f t="shared" si="353"/>
        <v/>
      </c>
      <c r="FE51" s="30" t="str">
        <f t="shared" si="354"/>
        <v/>
      </c>
      <c r="FF51" s="30" t="str">
        <f t="shared" si="355"/>
        <v/>
      </c>
      <c r="FG51" s="30" t="str">
        <f t="shared" si="356"/>
        <v/>
      </c>
      <c r="FH51" s="30" t="str">
        <f t="shared" si="357"/>
        <v/>
      </c>
      <c r="FI51" s="30" t="str">
        <f t="shared" si="358"/>
        <v/>
      </c>
      <c r="FJ51" s="30" t="str">
        <f t="shared" si="359"/>
        <v/>
      </c>
      <c r="FK51" s="30" t="str">
        <f t="shared" si="360"/>
        <v/>
      </c>
      <c r="FL51" s="30" t="str">
        <f t="shared" si="361"/>
        <v/>
      </c>
      <c r="FM51" s="30" t="str">
        <f t="shared" si="362"/>
        <v/>
      </c>
      <c r="FN51" s="30" t="str">
        <f t="shared" si="363"/>
        <v/>
      </c>
      <c r="FO51" s="30" t="str">
        <f t="shared" si="364"/>
        <v/>
      </c>
      <c r="FP51" s="30" t="str">
        <f t="shared" si="365"/>
        <v/>
      </c>
      <c r="FQ51" s="30" t="str">
        <f t="shared" si="366"/>
        <v/>
      </c>
      <c r="FR51" s="30" t="str">
        <f t="shared" si="367"/>
        <v/>
      </c>
      <c r="FS51" s="30" t="str">
        <f t="shared" si="368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">
        <v>602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3"/>
        <v>InitUnitState('E125',,100000,,,,,,,,)</v>
      </c>
      <c r="CO52" s="44" t="str">
        <f t="shared" si="294"/>
        <v>InitUnitNormal('E125',,,,,,,12,,,)</v>
      </c>
      <c r="CP52" s="44" t="str">
        <f t="shared" si="295"/>
        <v>InitUnitMagic('E125',,,,,12,,,,,)</v>
      </c>
      <c r="CQ52" s="44" t="str">
        <f t="shared" si="296"/>
        <v>InitUnitAdd('E125',,,,,,,,,,)</v>
      </c>
      <c r="CR52" s="44" t="str">
        <f t="shared" si="297"/>
        <v>InitEquipData('E125',,"",,,,,'','','','','','',"ReplaceableTextures\\CommandButtons\\BTNZ11.blp")</v>
      </c>
      <c r="CS52" s="44"/>
      <c r="CT52" s="44"/>
      <c r="CU52" s="45" t="str">
        <f t="shared" si="298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299"/>
        <v/>
      </c>
      <c r="DC52" s="30" t="str">
        <f t="shared" si="300"/>
        <v>|n法强+100000</v>
      </c>
      <c r="DD52" s="30" t="str">
        <f t="shared" si="301"/>
        <v/>
      </c>
      <c r="DE52" s="30" t="str">
        <f t="shared" si="302"/>
        <v/>
      </c>
      <c r="DF52" s="30" t="str">
        <f t="shared" si="303"/>
        <v/>
      </c>
      <c r="DG52" s="30" t="str">
        <f t="shared" si="304"/>
        <v/>
      </c>
      <c r="DH52" s="30" t="str">
        <f t="shared" si="305"/>
        <v/>
      </c>
      <c r="DI52" s="30" t="str">
        <f t="shared" si="306"/>
        <v/>
      </c>
      <c r="DJ52" s="30" t="str">
        <f t="shared" si="307"/>
        <v/>
      </c>
      <c r="DK52" s="30" t="str">
        <f t="shared" si="308"/>
        <v/>
      </c>
      <c r="DL52" s="30" t="str">
        <f t="shared" si="309"/>
        <v/>
      </c>
      <c r="DM52" s="30" t="str">
        <f t="shared" si="310"/>
        <v/>
      </c>
      <c r="DN52" s="30" t="str">
        <f t="shared" si="311"/>
        <v/>
      </c>
      <c r="DO52" s="30" t="str">
        <f t="shared" si="312"/>
        <v/>
      </c>
      <c r="DP52" s="30" t="str">
        <f t="shared" si="313"/>
        <v/>
      </c>
      <c r="DQ52" s="30" t="str">
        <f t="shared" si="314"/>
        <v/>
      </c>
      <c r="DR52" s="30" t="str">
        <f t="shared" si="315"/>
        <v>|n伤害加成+12%</v>
      </c>
      <c r="DS52" s="30" t="str">
        <f t="shared" si="316"/>
        <v/>
      </c>
      <c r="DT52" s="30" t="str">
        <f t="shared" si="317"/>
        <v/>
      </c>
      <c r="DU52" s="30" t="str">
        <f t="shared" si="318"/>
        <v/>
      </c>
      <c r="DV52" s="30" t="str">
        <f t="shared" si="319"/>
        <v/>
      </c>
      <c r="DW52" s="30" t="str">
        <f t="shared" si="320"/>
        <v/>
      </c>
      <c r="DX52" s="30" t="str">
        <f t="shared" si="321"/>
        <v/>
      </c>
      <c r="DY52" s="30" t="str">
        <f t="shared" si="322"/>
        <v/>
      </c>
      <c r="DZ52" s="30" t="str">
        <f t="shared" si="323"/>
        <v>|n冷却缩减+12%</v>
      </c>
      <c r="EA52" s="30" t="str">
        <f t="shared" si="324"/>
        <v/>
      </c>
      <c r="EB52" s="30" t="str">
        <f t="shared" si="325"/>
        <v/>
      </c>
      <c r="EC52" s="30" t="str">
        <f t="shared" si="326"/>
        <v/>
      </c>
      <c r="ED52" s="30" t="str">
        <f t="shared" si="327"/>
        <v/>
      </c>
      <c r="EE52" s="30" t="str">
        <f t="shared" si="328"/>
        <v/>
      </c>
      <c r="EF52" s="30" t="str">
        <f t="shared" si="329"/>
        <v/>
      </c>
      <c r="EG52" s="30" t="str">
        <f t="shared" si="330"/>
        <v/>
      </c>
      <c r="EH52" s="30" t="str">
        <f t="shared" si="331"/>
        <v/>
      </c>
      <c r="EI52" s="30" t="str">
        <f t="shared" si="332"/>
        <v/>
      </c>
      <c r="EJ52" s="30" t="str">
        <f t="shared" si="333"/>
        <v/>
      </c>
      <c r="EK52" s="30" t="str">
        <f t="shared" si="334"/>
        <v/>
      </c>
      <c r="EL52" s="30" t="str">
        <f t="shared" si="335"/>
        <v/>
      </c>
      <c r="EM52" s="30" t="str">
        <f t="shared" si="336"/>
        <v/>
      </c>
      <c r="EN52" s="30" t="str">
        <f t="shared" si="337"/>
        <v/>
      </c>
      <c r="EO52" s="30" t="str">
        <f t="shared" si="338"/>
        <v/>
      </c>
      <c r="EP52" s="30" t="str">
        <f t="shared" si="339"/>
        <v/>
      </c>
      <c r="EQ52" s="30" t="str">
        <f t="shared" si="340"/>
        <v/>
      </c>
      <c r="ER52" s="30" t="str">
        <f t="shared" si="341"/>
        <v/>
      </c>
      <c r="ES52" s="30" t="str">
        <f t="shared" si="342"/>
        <v/>
      </c>
      <c r="ET52" s="30" t="str">
        <f t="shared" si="343"/>
        <v/>
      </c>
      <c r="EU52" s="30" t="str">
        <f t="shared" si="344"/>
        <v/>
      </c>
      <c r="EV52" s="30" t="str">
        <f t="shared" si="345"/>
        <v/>
      </c>
      <c r="EW52" s="30" t="str">
        <f t="shared" si="346"/>
        <v/>
      </c>
      <c r="EX52" s="30" t="str">
        <f t="shared" si="347"/>
        <v/>
      </c>
      <c r="EY52" s="30" t="str">
        <f t="shared" si="348"/>
        <v/>
      </c>
      <c r="EZ52" s="30" t="str">
        <f t="shared" si="349"/>
        <v/>
      </c>
      <c r="FA52" s="30" t="str">
        <f t="shared" si="350"/>
        <v/>
      </c>
      <c r="FB52" s="30" t="str">
        <f t="shared" si="351"/>
        <v/>
      </c>
      <c r="FC52" s="30" t="str">
        <f t="shared" si="352"/>
        <v/>
      </c>
      <c r="FD52" s="30" t="str">
        <f t="shared" si="353"/>
        <v/>
      </c>
      <c r="FE52" s="30" t="str">
        <f t="shared" si="354"/>
        <v/>
      </c>
      <c r="FF52" s="30" t="str">
        <f t="shared" si="355"/>
        <v/>
      </c>
      <c r="FG52" s="30" t="str">
        <f t="shared" si="356"/>
        <v/>
      </c>
      <c r="FH52" s="30" t="str">
        <f t="shared" si="357"/>
        <v/>
      </c>
      <c r="FI52" s="30" t="str">
        <f t="shared" si="358"/>
        <v/>
      </c>
      <c r="FJ52" s="30" t="str">
        <f t="shared" si="359"/>
        <v/>
      </c>
      <c r="FK52" s="30" t="str">
        <f t="shared" si="360"/>
        <v/>
      </c>
      <c r="FL52" s="30" t="str">
        <f t="shared" si="361"/>
        <v/>
      </c>
      <c r="FM52" s="30" t="str">
        <f t="shared" si="362"/>
        <v/>
      </c>
      <c r="FN52" s="30" t="str">
        <f t="shared" si="363"/>
        <v/>
      </c>
      <c r="FO52" s="30" t="str">
        <f t="shared" si="364"/>
        <v/>
      </c>
      <c r="FP52" s="30" t="str">
        <f t="shared" si="365"/>
        <v/>
      </c>
      <c r="FQ52" s="30" t="str">
        <f t="shared" si="366"/>
        <v/>
      </c>
      <c r="FR52" s="30" t="str">
        <f t="shared" si="367"/>
        <v/>
      </c>
      <c r="FS52" s="30" t="str">
        <f t="shared" si="368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">
        <v>604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3"/>
        <v>InitUnitState('E201',,,1,,2000,,10,,,)</v>
      </c>
      <c r="CO53" s="44" t="str">
        <f t="shared" si="294"/>
        <v>InitUnitNormal('E201',,,,,,,,,,)</v>
      </c>
      <c r="CP53" s="44" t="str">
        <f t="shared" si="295"/>
        <v>InitUnitMagic('E201',,,,,,,,,,)</v>
      </c>
      <c r="CQ53" s="44" t="str">
        <f t="shared" si="296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44"/>
      <c r="CT53" s="44"/>
      <c r="CU53" s="45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0">IF(V53="","","|n"&amp;DB$2&amp;"+"&amp;V53&amp;DB$1)</f>
        <v/>
      </c>
      <c r="DC53" s="30" t="str">
        <f t="shared" ref="DC53:DC54" si="371">IF(W53="","","|n"&amp;DC$2&amp;"+"&amp;W53&amp;DC$1)</f>
        <v/>
      </c>
      <c r="DD53" s="30" t="str">
        <f t="shared" ref="DD53:DD54" si="372">IF(X53="","","|n"&amp;DD$2&amp;"+"&amp;X53&amp;DD$1)</f>
        <v>|n护甲+1</v>
      </c>
      <c r="DE53" s="30" t="str">
        <f t="shared" ref="DE53:DE54" si="373">IF(Y53="","","|n"&amp;DE$2&amp;"+"&amp;Y53&amp;DE$1)</f>
        <v/>
      </c>
      <c r="DF53" s="30" t="str">
        <f t="shared" ref="DF53:DF54" si="374">IF(Z53="","","|n"&amp;DF$2&amp;"+"&amp;Z53&amp;DF$1)</f>
        <v>|n生命值+2000</v>
      </c>
      <c r="DG53" s="30" t="str">
        <f t="shared" ref="DG53:DG54" si="375">IF(AA53="","","|n"&amp;DG$2&amp;"+"&amp;AA53&amp;DG$1)</f>
        <v/>
      </c>
      <c r="DH53" s="30" t="str">
        <f t="shared" ref="DH53:DH54" si="376">IF(AB53="","","|n"&amp;DH$2&amp;"+"&amp;AB53&amp;DH$1)</f>
        <v>|n生命回复+10</v>
      </c>
      <c r="DI53" s="30" t="str">
        <f t="shared" ref="DI53:DI54" si="377">IF(AC53="","","|n"&amp;DI$2&amp;"+"&amp;AC53&amp;DI$1)</f>
        <v/>
      </c>
      <c r="DJ53" s="30" t="str">
        <f t="shared" ref="DJ53:DJ54" si="378">IF(AD53="","","|n"&amp;DJ$2&amp;"+"&amp;AD53&amp;DJ$1)</f>
        <v/>
      </c>
      <c r="DK53" s="30" t="str">
        <f t="shared" ref="DK53:DK54" si="379">IF(AE53="","","|n"&amp;DK$2&amp;"+"&amp;AE53&amp;DK$1)</f>
        <v/>
      </c>
      <c r="DL53" s="30" t="str">
        <f t="shared" ref="DL53:DL54" si="380">IF(AF53="","","|n"&amp;DL$2&amp;"+"&amp;AF53&amp;DL$1)</f>
        <v/>
      </c>
      <c r="DM53" s="30" t="str">
        <f t="shared" ref="DM53:DM54" si="381">IF(AG53="","","|n"&amp;DM$2&amp;"+"&amp;AG53&amp;DM$1)</f>
        <v/>
      </c>
      <c r="DN53" s="30" t="str">
        <f t="shared" ref="DN53:DN54" si="382">IF(AH53="","","|n"&amp;DN$2&amp;"+"&amp;AH53&amp;DN$1)</f>
        <v/>
      </c>
      <c r="DO53" s="30" t="str">
        <f t="shared" ref="DO53:DO54" si="383">IF(AI53="","","|n"&amp;DO$2&amp;"+"&amp;AI53&amp;DO$1)</f>
        <v/>
      </c>
      <c r="DP53" s="30" t="str">
        <f t="shared" ref="DP53:DP54" si="384">IF(AJ53="","","|n"&amp;DP$2&amp;"+"&amp;AJ53&amp;DP$1)</f>
        <v/>
      </c>
      <c r="DQ53" s="30" t="str">
        <f t="shared" ref="DQ53:DQ54" si="385">IF(AK53="","","|n"&amp;DQ$2&amp;"+"&amp;AK53&amp;DQ$1)</f>
        <v/>
      </c>
      <c r="DR53" s="30" t="str">
        <f t="shared" ref="DR53:DR54" si="386">IF(AL53="","","|n"&amp;DR$2&amp;"+"&amp;AL53&amp;DR$1)</f>
        <v/>
      </c>
      <c r="DS53" s="30" t="str">
        <f t="shared" ref="DS53:DS54" si="387">IF(AM53="","","|n"&amp;DS$2&amp;"+"&amp;AM53&amp;DS$1)</f>
        <v/>
      </c>
      <c r="DT53" s="30" t="str">
        <f t="shared" ref="DT53:DT54" si="388">IF(AN53="","","|n"&amp;DT$2&amp;"+"&amp;AN53&amp;DT$1)</f>
        <v/>
      </c>
      <c r="DU53" s="30" t="str">
        <f t="shared" ref="DU53:DU54" si="389">IF(AO53="","","|n"&amp;DU$2&amp;"+"&amp;AO53&amp;DU$1)</f>
        <v/>
      </c>
      <c r="DV53" s="30" t="str">
        <f t="shared" ref="DV53:DV54" si="390">IF(AP53="","","|n"&amp;DV$2&amp;"+"&amp;AP53&amp;DV$1)</f>
        <v/>
      </c>
      <c r="DW53" s="30" t="str">
        <f t="shared" ref="DW53:DW54" si="391">IF(AQ53="","","|n"&amp;DW$2&amp;"+"&amp;AQ53&amp;DW$1)</f>
        <v/>
      </c>
      <c r="DX53" s="30" t="str">
        <f t="shared" ref="DX53:DX54" si="392">IF(AR53="","","|n"&amp;DX$2&amp;"+"&amp;AR53&amp;DX$1)</f>
        <v/>
      </c>
      <c r="DY53" s="30" t="str">
        <f t="shared" ref="DY53:DY54" si="393">IF(AS53="","","|n"&amp;DY$2&amp;"+"&amp;AS53&amp;DY$1)</f>
        <v/>
      </c>
      <c r="DZ53" s="30" t="str">
        <f t="shared" ref="DZ53:DZ54" si="394">IF(AT53="","","|n"&amp;DZ$2&amp;"+"&amp;AT53&amp;DZ$1)</f>
        <v/>
      </c>
      <c r="EA53" s="30" t="str">
        <f t="shared" ref="EA53:EA54" si="395">IF(AU53="","","|n"&amp;EA$2&amp;"+"&amp;AU53&amp;EA$1)</f>
        <v/>
      </c>
      <c r="EB53" s="30" t="str">
        <f t="shared" ref="EB53:EB54" si="396">IF(AV53="","","|n"&amp;EB$2&amp;"+"&amp;AV53&amp;EB$1)</f>
        <v/>
      </c>
      <c r="EC53" s="30" t="str">
        <f t="shared" ref="EC53:EC54" si="397">IF(AW53="","","|n"&amp;EC$2&amp;"+"&amp;AW53&amp;EC$1)</f>
        <v/>
      </c>
      <c r="ED53" s="30" t="str">
        <f t="shared" ref="ED53:ED54" si="398">IF(AX53="","","|n"&amp;ED$2&amp;"+"&amp;AX53&amp;ED$1)</f>
        <v/>
      </c>
      <c r="EE53" s="30" t="str">
        <f t="shared" ref="EE53:EE54" si="399">IF(AY53="","","|n"&amp;EE$2&amp;"+"&amp;AY53&amp;EE$1)</f>
        <v/>
      </c>
      <c r="EF53" s="30" t="str">
        <f t="shared" ref="EF53:EF54" si="400">IF(AZ53="","","|n"&amp;EF$2&amp;"+"&amp;AZ53&amp;EF$1)</f>
        <v/>
      </c>
      <c r="EG53" s="30" t="str">
        <f t="shared" ref="EG53:EG54" si="401">IF(BA53="","","|n"&amp;EG$2&amp;"+"&amp;BA53&amp;EG$1)</f>
        <v/>
      </c>
      <c r="EH53" s="30" t="str">
        <f t="shared" ref="EH53:EH54" si="402">IF(BB53="","","|n"&amp;EH$2&amp;"+"&amp;BB53&amp;EH$1)</f>
        <v/>
      </c>
      <c r="EI53" s="30" t="str">
        <f t="shared" ref="EI53:EI54" si="403">IF(BC53="","","|n"&amp;EI$2&amp;"+"&amp;BC53&amp;EI$1)</f>
        <v/>
      </c>
      <c r="EJ53" s="30" t="str">
        <f t="shared" ref="EJ53:EJ54" si="404">IF(BD53="","","|n"&amp;EJ$2&amp;"+"&amp;BD53&amp;EJ$1)</f>
        <v/>
      </c>
      <c r="EK53" s="30" t="str">
        <f t="shared" ref="EK53:EK54" si="405">IF(BE53="","","|n"&amp;EK$2&amp;"+"&amp;BE53&amp;EK$1)</f>
        <v/>
      </c>
      <c r="EL53" s="30" t="str">
        <f t="shared" ref="EL53:EL54" si="406">IF(BF53="","","|n"&amp;EL$2&amp;"+"&amp;BF53&amp;EL$1)</f>
        <v/>
      </c>
      <c r="EM53" s="30" t="str">
        <f t="shared" ref="EM53:EM54" si="407">IF(BG53="","","|n"&amp;EM$2&amp;"+"&amp;BG53&amp;EM$1)</f>
        <v/>
      </c>
      <c r="EN53" s="30" t="str">
        <f t="shared" ref="EN53:EN54" si="408">IF(BH53="","","|n"&amp;EN$2&amp;"+"&amp;BH53&amp;EN$1)</f>
        <v/>
      </c>
      <c r="EO53" s="30" t="str">
        <f t="shared" ref="EO53:EO54" si="409">IF(BI53="","","|n"&amp;EO$2&amp;"+"&amp;BI53&amp;EO$1)</f>
        <v/>
      </c>
      <c r="EP53" s="30" t="str">
        <f t="shared" ref="EP53:EP54" si="410">IF(BJ53="","","|n"&amp;EP$2&amp;"+"&amp;BJ53&amp;EP$1)</f>
        <v/>
      </c>
      <c r="EQ53" s="30" t="str">
        <f t="shared" ref="EQ53:EQ54" si="411">IF(BK53="","","|n"&amp;EQ$2&amp;"+"&amp;BK53&amp;EQ$1)</f>
        <v/>
      </c>
      <c r="ER53" s="30" t="str">
        <f t="shared" ref="ER53:ER54" si="412">IF(BL53="","","|n"&amp;ER$2&amp;"+"&amp;BL53&amp;ER$1)</f>
        <v/>
      </c>
      <c r="ES53" s="30" t="str">
        <f t="shared" ref="ES53:ES54" si="413">IF(BM53="","","|n"&amp;ES$2&amp;"+"&amp;BM53&amp;ES$1)</f>
        <v/>
      </c>
      <c r="ET53" s="30" t="str">
        <f t="shared" ref="ET53:ET54" si="414">IF(BN53="","","|n"&amp;ET$2&amp;"+"&amp;BN53&amp;ET$1)</f>
        <v/>
      </c>
      <c r="EU53" s="30" t="str">
        <f t="shared" ref="EU53:EU54" si="415">IF(BO53="","","|n"&amp;EU$2&amp;"+"&amp;BO53&amp;EU$1)</f>
        <v/>
      </c>
      <c r="EV53" s="30" t="str">
        <f t="shared" ref="EV53:EV54" si="416">IF(BP53="","","|n"&amp;EV$2&amp;"+"&amp;BP53&amp;EV$1)</f>
        <v/>
      </c>
      <c r="EW53" s="30" t="str">
        <f t="shared" ref="EW53:EW54" si="417">IF(BQ53="","","|n"&amp;EW$2&amp;"+"&amp;BQ53&amp;EW$1)</f>
        <v/>
      </c>
      <c r="EX53" s="30" t="str">
        <f t="shared" ref="EX53:EX54" si="418">IF(BR53="","","|n"&amp;EX$2&amp;"+"&amp;BR53&amp;EX$1)</f>
        <v/>
      </c>
      <c r="EY53" s="30" t="str">
        <f t="shared" ref="EY53:EY54" si="419">IF(BS53="","","|n"&amp;EY$2&amp;"+"&amp;BS53&amp;EY$1)</f>
        <v/>
      </c>
      <c r="EZ53" s="30" t="str">
        <f t="shared" ref="EZ53:EZ54" si="420">IF(BT53="","","|n"&amp;EZ$2&amp;"+"&amp;BT53&amp;EZ$1)</f>
        <v/>
      </c>
      <c r="FA53" s="30" t="str">
        <f t="shared" ref="FA53:FA54" si="421">IF(BU53="","","|n"&amp;FA$2&amp;"+"&amp;BU53&amp;FA$1)</f>
        <v/>
      </c>
      <c r="FB53" s="30" t="str">
        <f t="shared" ref="FB53:FB54" si="422">IF(BV53="","","|n"&amp;FB$2&amp;"+"&amp;BV53&amp;FB$1)</f>
        <v/>
      </c>
      <c r="FC53" s="30" t="str">
        <f t="shared" ref="FC53:FC54" si="423">IF(BW53="","","|n"&amp;FC$2&amp;"+"&amp;BW53&amp;FC$1)</f>
        <v/>
      </c>
      <c r="FD53" s="30" t="str">
        <f t="shared" ref="FD53:FD54" si="424">IF(BX53="","","|n"&amp;FD$2&amp;"+"&amp;BX53&amp;FD$1)</f>
        <v/>
      </c>
      <c r="FE53" s="30" t="str">
        <f t="shared" ref="FE53:FE54" si="425">IF(BY53="","","|n"&amp;FE$2&amp;"+"&amp;BY53&amp;FE$1)</f>
        <v/>
      </c>
      <c r="FF53" s="30" t="str">
        <f t="shared" ref="FF53:FF54" si="426">IF(BZ53="","","|n"&amp;FF$2&amp;"+"&amp;BZ53&amp;FF$1)</f>
        <v/>
      </c>
      <c r="FG53" s="30" t="str">
        <f t="shared" ref="FG53:FG54" si="427">IF(CA53="","","|n"&amp;FG$2&amp;"+"&amp;CA53&amp;FG$1)</f>
        <v/>
      </c>
      <c r="FH53" s="30" t="str">
        <f t="shared" ref="FH53:FH54" si="428">IF(CB53="","","|n"&amp;FH$2&amp;"+"&amp;CB53&amp;FH$1)</f>
        <v/>
      </c>
      <c r="FI53" s="30" t="str">
        <f t="shared" ref="FI53:FI54" si="429">IF(CC53="","","|n"&amp;FI$2&amp;"+"&amp;CC53&amp;FI$1)</f>
        <v/>
      </c>
      <c r="FJ53" s="30" t="str">
        <f t="shared" ref="FJ53:FJ54" si="430">IF(CD53="","","|n"&amp;FJ$2&amp;"+"&amp;CD53&amp;FJ$1)</f>
        <v/>
      </c>
      <c r="FK53" s="30" t="str">
        <f t="shared" ref="FK53:FK54" si="431">IF(CE53="","","|n"&amp;FK$2&amp;"+"&amp;CE53&amp;FK$1)</f>
        <v/>
      </c>
      <c r="FL53" s="30" t="str">
        <f t="shared" ref="FL53:FL54" si="432">IF(CF53="","","|n"&amp;FL$2&amp;"+"&amp;CF53&amp;FL$1)</f>
        <v/>
      </c>
      <c r="FM53" s="30" t="str">
        <f t="shared" ref="FM53:FM54" si="433">IF(CG53="","","|n"&amp;FM$2&amp;"+"&amp;CG53&amp;FM$1)</f>
        <v/>
      </c>
      <c r="FN53" s="30" t="str">
        <f t="shared" ref="FN53:FN54" si="434">IF(CH53="","","|n"&amp;FN$2&amp;"+"&amp;CH53&amp;FN$1)</f>
        <v/>
      </c>
      <c r="FO53" s="30" t="str">
        <f t="shared" ref="FO53:FO54" si="435">IF(CI53="","","|n"&amp;FO$2&amp;"+"&amp;CI53&amp;FO$1)</f>
        <v/>
      </c>
      <c r="FP53" s="30" t="str">
        <f t="shared" ref="FP53:FP54" si="436">IF(CJ53="","","|n"&amp;FP$2&amp;"+"&amp;CJ53&amp;FP$1)</f>
        <v/>
      </c>
      <c r="FQ53" s="30" t="str">
        <f t="shared" ref="FQ53:FQ54" si="437">IF(CK53="","","|n"&amp;FQ$2&amp;"+"&amp;CK53&amp;FQ$1)</f>
        <v/>
      </c>
      <c r="FR53" s="30" t="str">
        <f t="shared" ref="FR53:FR54" si="438">IF(CL53="","","|n"&amp;FR$2&amp;"+"&amp;CL53&amp;FR$1)</f>
        <v/>
      </c>
      <c r="FS53" s="30" t="str">
        <f t="shared" ref="FS53:FS54" si="439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0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">
        <v>604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3"/>
        <v>InitUnitState('E202',,,2,,3024,,15,,,)</v>
      </c>
      <c r="CO54" s="44" t="str">
        <f t="shared" si="294"/>
        <v>InitUnitNormal('E202',,,,,,,,,,)</v>
      </c>
      <c r="CP54" s="44" t="str">
        <f t="shared" si="295"/>
        <v>InitUnitMagic('E202',,,,,,,,,,)</v>
      </c>
      <c r="CQ54" s="44" t="str">
        <f t="shared" si="296"/>
        <v>InitUnitAdd('E202',,,,,,,,,,)</v>
      </c>
      <c r="CR54" s="44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44"/>
      <c r="CT54" s="44"/>
      <c r="CU54" s="45" t="str">
        <f t="shared" si="369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0"/>
        <v/>
      </c>
      <c r="DC54" s="30" t="str">
        <f t="shared" si="371"/>
        <v/>
      </c>
      <c r="DD54" s="30" t="str">
        <f t="shared" si="372"/>
        <v>|n护甲+2</v>
      </c>
      <c r="DE54" s="30" t="str">
        <f t="shared" si="373"/>
        <v/>
      </c>
      <c r="DF54" s="30" t="str">
        <f t="shared" si="374"/>
        <v>|n生命值+3024</v>
      </c>
      <c r="DG54" s="30" t="str">
        <f t="shared" si="375"/>
        <v/>
      </c>
      <c r="DH54" s="30" t="str">
        <f t="shared" si="376"/>
        <v>|n生命回复+15</v>
      </c>
      <c r="DI54" s="30" t="str">
        <f t="shared" si="377"/>
        <v/>
      </c>
      <c r="DJ54" s="30" t="str">
        <f t="shared" si="378"/>
        <v/>
      </c>
      <c r="DK54" s="30" t="str">
        <f t="shared" si="379"/>
        <v/>
      </c>
      <c r="DL54" s="30" t="str">
        <f t="shared" si="380"/>
        <v/>
      </c>
      <c r="DM54" s="30" t="str">
        <f t="shared" si="381"/>
        <v/>
      </c>
      <c r="DN54" s="30" t="str">
        <f t="shared" si="382"/>
        <v/>
      </c>
      <c r="DO54" s="30" t="str">
        <f t="shared" si="383"/>
        <v/>
      </c>
      <c r="DP54" s="30" t="str">
        <f t="shared" si="384"/>
        <v/>
      </c>
      <c r="DQ54" s="30" t="str">
        <f t="shared" si="385"/>
        <v/>
      </c>
      <c r="DR54" s="30" t="str">
        <f t="shared" si="386"/>
        <v/>
      </c>
      <c r="DS54" s="30" t="str">
        <f t="shared" si="387"/>
        <v/>
      </c>
      <c r="DT54" s="30" t="str">
        <f t="shared" si="388"/>
        <v/>
      </c>
      <c r="DU54" s="30" t="str">
        <f t="shared" si="389"/>
        <v/>
      </c>
      <c r="DV54" s="30" t="str">
        <f t="shared" si="390"/>
        <v/>
      </c>
      <c r="DW54" s="30" t="str">
        <f t="shared" si="391"/>
        <v/>
      </c>
      <c r="DX54" s="30" t="str">
        <f t="shared" si="392"/>
        <v/>
      </c>
      <c r="DY54" s="30" t="str">
        <f t="shared" si="393"/>
        <v/>
      </c>
      <c r="DZ54" s="30" t="str">
        <f t="shared" si="394"/>
        <v/>
      </c>
      <c r="EA54" s="30" t="str">
        <f t="shared" si="395"/>
        <v/>
      </c>
      <c r="EB54" s="30" t="str">
        <f t="shared" si="396"/>
        <v/>
      </c>
      <c r="EC54" s="30" t="str">
        <f t="shared" si="397"/>
        <v/>
      </c>
      <c r="ED54" s="30" t="str">
        <f t="shared" si="398"/>
        <v/>
      </c>
      <c r="EE54" s="30" t="str">
        <f t="shared" si="399"/>
        <v/>
      </c>
      <c r="EF54" s="30" t="str">
        <f t="shared" si="400"/>
        <v/>
      </c>
      <c r="EG54" s="30" t="str">
        <f t="shared" si="401"/>
        <v/>
      </c>
      <c r="EH54" s="30" t="str">
        <f t="shared" si="402"/>
        <v/>
      </c>
      <c r="EI54" s="30" t="str">
        <f t="shared" si="403"/>
        <v/>
      </c>
      <c r="EJ54" s="30" t="str">
        <f t="shared" si="404"/>
        <v/>
      </c>
      <c r="EK54" s="30" t="str">
        <f t="shared" si="405"/>
        <v/>
      </c>
      <c r="EL54" s="30" t="str">
        <f t="shared" si="406"/>
        <v/>
      </c>
      <c r="EM54" s="30" t="str">
        <f t="shared" si="407"/>
        <v/>
      </c>
      <c r="EN54" s="30" t="str">
        <f t="shared" si="408"/>
        <v/>
      </c>
      <c r="EO54" s="30" t="str">
        <f t="shared" si="409"/>
        <v/>
      </c>
      <c r="EP54" s="30" t="str">
        <f t="shared" si="410"/>
        <v/>
      </c>
      <c r="EQ54" s="30" t="str">
        <f t="shared" si="411"/>
        <v/>
      </c>
      <c r="ER54" s="30" t="str">
        <f t="shared" si="412"/>
        <v/>
      </c>
      <c r="ES54" s="30" t="str">
        <f t="shared" si="413"/>
        <v/>
      </c>
      <c r="ET54" s="30" t="str">
        <f t="shared" si="414"/>
        <v/>
      </c>
      <c r="EU54" s="30" t="str">
        <f t="shared" si="415"/>
        <v/>
      </c>
      <c r="EV54" s="30" t="str">
        <f t="shared" si="416"/>
        <v/>
      </c>
      <c r="EW54" s="30" t="str">
        <f t="shared" si="417"/>
        <v/>
      </c>
      <c r="EX54" s="30" t="str">
        <f t="shared" si="418"/>
        <v/>
      </c>
      <c r="EY54" s="30" t="str">
        <f t="shared" si="419"/>
        <v/>
      </c>
      <c r="EZ54" s="30" t="str">
        <f t="shared" si="420"/>
        <v/>
      </c>
      <c r="FA54" s="30" t="str">
        <f t="shared" si="421"/>
        <v/>
      </c>
      <c r="FB54" s="30" t="str">
        <f t="shared" si="422"/>
        <v/>
      </c>
      <c r="FC54" s="30" t="str">
        <f t="shared" si="423"/>
        <v/>
      </c>
      <c r="FD54" s="30" t="str">
        <f t="shared" si="424"/>
        <v/>
      </c>
      <c r="FE54" s="30" t="str">
        <f t="shared" si="425"/>
        <v/>
      </c>
      <c r="FF54" s="30" t="str">
        <f t="shared" si="426"/>
        <v/>
      </c>
      <c r="FG54" s="30" t="str">
        <f t="shared" si="427"/>
        <v/>
      </c>
      <c r="FH54" s="30" t="str">
        <f t="shared" si="428"/>
        <v/>
      </c>
      <c r="FI54" s="30" t="str">
        <f t="shared" si="429"/>
        <v/>
      </c>
      <c r="FJ54" s="30" t="str">
        <f t="shared" si="430"/>
        <v/>
      </c>
      <c r="FK54" s="30" t="str">
        <f t="shared" si="431"/>
        <v/>
      </c>
      <c r="FL54" s="30" t="str">
        <f t="shared" si="432"/>
        <v/>
      </c>
      <c r="FM54" s="30" t="str">
        <f t="shared" si="433"/>
        <v/>
      </c>
      <c r="FN54" s="30" t="str">
        <f t="shared" si="434"/>
        <v/>
      </c>
      <c r="FO54" s="30" t="str">
        <f t="shared" si="435"/>
        <v/>
      </c>
      <c r="FP54" s="30" t="str">
        <f t="shared" si="436"/>
        <v/>
      </c>
      <c r="FQ54" s="30" t="str">
        <f t="shared" si="437"/>
        <v/>
      </c>
      <c r="FR54" s="30" t="str">
        <f t="shared" si="438"/>
        <v/>
      </c>
      <c r="FS54" s="30" t="str">
        <f t="shared" si="439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0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">
        <v>604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3"/>
        <v>InitUnitState('E203',,,3,,4048,,20,,,)</v>
      </c>
      <c r="CO55" s="44" t="str">
        <f t="shared" si="294"/>
        <v>InitUnitNormal('E203',,,,,,,,,,)</v>
      </c>
      <c r="CP55" s="44" t="str">
        <f t="shared" si="295"/>
        <v>InitUnitMagic('E203',,,,,,,,,,)</v>
      </c>
      <c r="CQ55" s="44" t="str">
        <f t="shared" si="296"/>
        <v>InitUnitAdd('E203',,,,,,,,,,)</v>
      </c>
      <c r="CR55" s="44" t="str">
        <f t="shared" si="441"/>
        <v>InitEquipData('E203',,"",,E204,1000,,'','','','','','',"ReplaceableTextures\\CommandButtons\\BTNZ13.blp")</v>
      </c>
      <c r="CS55" s="44"/>
      <c r="CT55" s="44"/>
      <c r="CU55" s="45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43">IF(V55="","","|n"&amp;DB$2&amp;"+"&amp;V55&amp;DB$1)</f>
        <v/>
      </c>
      <c r="DC55" s="30" t="str">
        <f t="shared" ref="DC55:DC56" si="444">IF(W55="","","|n"&amp;DC$2&amp;"+"&amp;W55&amp;DC$1)</f>
        <v/>
      </c>
      <c r="DD55" s="30" t="str">
        <f t="shared" ref="DD55:DD56" si="445">IF(X55="","","|n"&amp;DD$2&amp;"+"&amp;X55&amp;DD$1)</f>
        <v>|n护甲+3</v>
      </c>
      <c r="DE55" s="30" t="str">
        <f t="shared" ref="DE55:DE56" si="446">IF(Y55="","","|n"&amp;DE$2&amp;"+"&amp;Y55&amp;DE$1)</f>
        <v/>
      </c>
      <c r="DF55" s="30" t="str">
        <f t="shared" ref="DF55:DF56" si="447">IF(Z55="","","|n"&amp;DF$2&amp;"+"&amp;Z55&amp;DF$1)</f>
        <v>|n生命值+4048</v>
      </c>
      <c r="DG55" s="30" t="str">
        <f t="shared" ref="DG55:DG56" si="448">IF(AA55="","","|n"&amp;DG$2&amp;"+"&amp;AA55&amp;DG$1)</f>
        <v/>
      </c>
      <c r="DH55" s="30" t="str">
        <f t="shared" ref="DH55:DH56" si="449">IF(AB55="","","|n"&amp;DH$2&amp;"+"&amp;AB55&amp;DH$1)</f>
        <v>|n生命回复+20</v>
      </c>
      <c r="DI55" s="30" t="str">
        <f t="shared" ref="DI55:DI56" si="450">IF(AC55="","","|n"&amp;DI$2&amp;"+"&amp;AC55&amp;DI$1)</f>
        <v/>
      </c>
      <c r="DJ55" s="30" t="str">
        <f t="shared" ref="DJ55:DJ56" si="451">IF(AD55="","","|n"&amp;DJ$2&amp;"+"&amp;AD55&amp;DJ$1)</f>
        <v/>
      </c>
      <c r="DK55" s="30" t="str">
        <f t="shared" ref="DK55:DK56" si="452">IF(AE55="","","|n"&amp;DK$2&amp;"+"&amp;AE55&amp;DK$1)</f>
        <v/>
      </c>
      <c r="DL55" s="30" t="str">
        <f t="shared" ref="DL55:DL56" si="453">IF(AF55="","","|n"&amp;DL$2&amp;"+"&amp;AF55&amp;DL$1)</f>
        <v/>
      </c>
      <c r="DM55" s="30" t="str">
        <f t="shared" ref="DM55:DM56" si="454">IF(AG55="","","|n"&amp;DM$2&amp;"+"&amp;AG55&amp;DM$1)</f>
        <v/>
      </c>
      <c r="DN55" s="30" t="str">
        <f t="shared" ref="DN55:DN56" si="455">IF(AH55="","","|n"&amp;DN$2&amp;"+"&amp;AH55&amp;DN$1)</f>
        <v/>
      </c>
      <c r="DO55" s="30" t="str">
        <f t="shared" ref="DO55:DO56" si="456">IF(AI55="","","|n"&amp;DO$2&amp;"+"&amp;AI55&amp;DO$1)</f>
        <v/>
      </c>
      <c r="DP55" s="30" t="str">
        <f t="shared" ref="DP55:DP56" si="457">IF(AJ55="","","|n"&amp;DP$2&amp;"+"&amp;AJ55&amp;DP$1)</f>
        <v/>
      </c>
      <c r="DQ55" s="30" t="str">
        <f t="shared" ref="DQ55:DQ56" si="458">IF(AK55="","","|n"&amp;DQ$2&amp;"+"&amp;AK55&amp;DQ$1)</f>
        <v/>
      </c>
      <c r="DR55" s="30" t="str">
        <f t="shared" ref="DR55:DR56" si="459">IF(AL55="","","|n"&amp;DR$2&amp;"+"&amp;AL55&amp;DR$1)</f>
        <v/>
      </c>
      <c r="DS55" s="30" t="str">
        <f t="shared" ref="DS55:DS56" si="460">IF(AM55="","","|n"&amp;DS$2&amp;"+"&amp;AM55&amp;DS$1)</f>
        <v/>
      </c>
      <c r="DT55" s="30" t="str">
        <f t="shared" ref="DT55:DT56" si="461">IF(AN55="","","|n"&amp;DT$2&amp;"+"&amp;AN55&amp;DT$1)</f>
        <v/>
      </c>
      <c r="DU55" s="30" t="str">
        <f t="shared" ref="DU55:DU56" si="462">IF(AO55="","","|n"&amp;DU$2&amp;"+"&amp;AO55&amp;DU$1)</f>
        <v/>
      </c>
      <c r="DV55" s="30" t="str">
        <f t="shared" ref="DV55:DV56" si="463">IF(AP55="","","|n"&amp;DV$2&amp;"+"&amp;AP55&amp;DV$1)</f>
        <v/>
      </c>
      <c r="DW55" s="30" t="str">
        <f t="shared" ref="DW55:DW56" si="464">IF(AQ55="","","|n"&amp;DW$2&amp;"+"&amp;AQ55&amp;DW$1)</f>
        <v/>
      </c>
      <c r="DX55" s="30" t="str">
        <f t="shared" ref="DX55:DX56" si="465">IF(AR55="","","|n"&amp;DX$2&amp;"+"&amp;AR55&amp;DX$1)</f>
        <v/>
      </c>
      <c r="DY55" s="30" t="str">
        <f t="shared" ref="DY55:DY56" si="466">IF(AS55="","","|n"&amp;DY$2&amp;"+"&amp;AS55&amp;DY$1)</f>
        <v/>
      </c>
      <c r="DZ55" s="30" t="str">
        <f t="shared" ref="DZ55:DZ56" si="467">IF(AT55="","","|n"&amp;DZ$2&amp;"+"&amp;AT55&amp;DZ$1)</f>
        <v/>
      </c>
      <c r="EA55" s="30" t="str">
        <f t="shared" ref="EA55:EA56" si="468">IF(AU55="","","|n"&amp;EA$2&amp;"+"&amp;AU55&amp;EA$1)</f>
        <v/>
      </c>
      <c r="EB55" s="30" t="str">
        <f t="shared" ref="EB55:EB56" si="469">IF(AV55="","","|n"&amp;EB$2&amp;"+"&amp;AV55&amp;EB$1)</f>
        <v/>
      </c>
      <c r="EC55" s="30" t="str">
        <f t="shared" ref="EC55:EC56" si="470">IF(AW55="","","|n"&amp;EC$2&amp;"+"&amp;AW55&amp;EC$1)</f>
        <v/>
      </c>
      <c r="ED55" s="30" t="str">
        <f t="shared" ref="ED55:ED56" si="471">IF(AX55="","","|n"&amp;ED$2&amp;"+"&amp;AX55&amp;ED$1)</f>
        <v/>
      </c>
      <c r="EE55" s="30" t="str">
        <f t="shared" ref="EE55:EE56" si="472">IF(AY55="","","|n"&amp;EE$2&amp;"+"&amp;AY55&amp;EE$1)</f>
        <v/>
      </c>
      <c r="EF55" s="30" t="str">
        <f t="shared" ref="EF55:EF56" si="473">IF(AZ55="","","|n"&amp;EF$2&amp;"+"&amp;AZ55&amp;EF$1)</f>
        <v/>
      </c>
      <c r="EG55" s="30" t="str">
        <f t="shared" ref="EG55:EG56" si="474">IF(BA55="","","|n"&amp;EG$2&amp;"+"&amp;BA55&amp;EG$1)</f>
        <v/>
      </c>
      <c r="EH55" s="30" t="str">
        <f t="shared" ref="EH55:EH56" si="475">IF(BB55="","","|n"&amp;EH$2&amp;"+"&amp;BB55&amp;EH$1)</f>
        <v/>
      </c>
      <c r="EI55" s="30" t="str">
        <f t="shared" ref="EI55:EI56" si="476">IF(BC55="","","|n"&amp;EI$2&amp;"+"&amp;BC55&amp;EI$1)</f>
        <v/>
      </c>
      <c r="EJ55" s="30" t="str">
        <f t="shared" ref="EJ55:EJ56" si="477">IF(BD55="","","|n"&amp;EJ$2&amp;"+"&amp;BD55&amp;EJ$1)</f>
        <v/>
      </c>
      <c r="EK55" s="30" t="str">
        <f t="shared" ref="EK55:EK56" si="478">IF(BE55="","","|n"&amp;EK$2&amp;"+"&amp;BE55&amp;EK$1)</f>
        <v/>
      </c>
      <c r="EL55" s="30" t="str">
        <f t="shared" ref="EL55:EL56" si="479">IF(BF55="","","|n"&amp;EL$2&amp;"+"&amp;BF55&amp;EL$1)</f>
        <v/>
      </c>
      <c r="EM55" s="30" t="str">
        <f t="shared" ref="EM55:EM56" si="480">IF(BG55="","","|n"&amp;EM$2&amp;"+"&amp;BG55&amp;EM$1)</f>
        <v/>
      </c>
      <c r="EN55" s="30" t="str">
        <f t="shared" ref="EN55:EN56" si="481">IF(BH55="","","|n"&amp;EN$2&amp;"+"&amp;BH55&amp;EN$1)</f>
        <v/>
      </c>
      <c r="EO55" s="30" t="str">
        <f t="shared" ref="EO55:EO56" si="482">IF(BI55="","","|n"&amp;EO$2&amp;"+"&amp;BI55&amp;EO$1)</f>
        <v/>
      </c>
      <c r="EP55" s="30" t="str">
        <f t="shared" ref="EP55:EP56" si="483">IF(BJ55="","","|n"&amp;EP$2&amp;"+"&amp;BJ55&amp;EP$1)</f>
        <v/>
      </c>
      <c r="EQ55" s="30" t="str">
        <f t="shared" ref="EQ55:EQ56" si="484">IF(BK55="","","|n"&amp;EQ$2&amp;"+"&amp;BK55&amp;EQ$1)</f>
        <v/>
      </c>
      <c r="ER55" s="30" t="str">
        <f t="shared" ref="ER55:ER56" si="485">IF(BL55="","","|n"&amp;ER$2&amp;"+"&amp;BL55&amp;ER$1)</f>
        <v/>
      </c>
      <c r="ES55" s="30" t="str">
        <f t="shared" ref="ES55:ES56" si="486">IF(BM55="","","|n"&amp;ES$2&amp;"+"&amp;BM55&amp;ES$1)</f>
        <v/>
      </c>
      <c r="ET55" s="30" t="str">
        <f t="shared" ref="ET55:ET56" si="487">IF(BN55="","","|n"&amp;ET$2&amp;"+"&amp;BN55&amp;ET$1)</f>
        <v/>
      </c>
      <c r="EU55" s="30" t="str">
        <f t="shared" ref="EU55:EU56" si="488">IF(BO55="","","|n"&amp;EU$2&amp;"+"&amp;BO55&amp;EU$1)</f>
        <v/>
      </c>
      <c r="EV55" s="30" t="str">
        <f t="shared" ref="EV55:EV56" si="489">IF(BP55="","","|n"&amp;EV$2&amp;"+"&amp;BP55&amp;EV$1)</f>
        <v/>
      </c>
      <c r="EW55" s="30" t="str">
        <f t="shared" ref="EW55:EW56" si="490">IF(BQ55="","","|n"&amp;EW$2&amp;"+"&amp;BQ55&amp;EW$1)</f>
        <v/>
      </c>
      <c r="EX55" s="30" t="str">
        <f t="shared" ref="EX55:EX56" si="491">IF(BR55="","","|n"&amp;EX$2&amp;"+"&amp;BR55&amp;EX$1)</f>
        <v/>
      </c>
      <c r="EY55" s="30" t="str">
        <f t="shared" ref="EY55:EY56" si="492">IF(BS55="","","|n"&amp;EY$2&amp;"+"&amp;BS55&amp;EY$1)</f>
        <v/>
      </c>
      <c r="EZ55" s="30" t="str">
        <f t="shared" ref="EZ55:EZ56" si="493">IF(BT55="","","|n"&amp;EZ$2&amp;"+"&amp;BT55&amp;EZ$1)</f>
        <v/>
      </c>
      <c r="FA55" s="30" t="str">
        <f t="shared" ref="FA55:FA56" si="494">IF(BU55="","","|n"&amp;FA$2&amp;"+"&amp;BU55&amp;FA$1)</f>
        <v/>
      </c>
      <c r="FB55" s="30" t="str">
        <f t="shared" ref="FB55:FB56" si="495">IF(BV55="","","|n"&amp;FB$2&amp;"+"&amp;BV55&amp;FB$1)</f>
        <v/>
      </c>
      <c r="FC55" s="30" t="str">
        <f t="shared" ref="FC55:FC56" si="496">IF(BW55="","","|n"&amp;FC$2&amp;"+"&amp;BW55&amp;FC$1)</f>
        <v/>
      </c>
      <c r="FD55" s="30" t="str">
        <f t="shared" ref="FD55:FD56" si="497">IF(BX55="","","|n"&amp;FD$2&amp;"+"&amp;BX55&amp;FD$1)</f>
        <v/>
      </c>
      <c r="FE55" s="30" t="str">
        <f t="shared" ref="FE55:FE56" si="498">IF(BY55="","","|n"&amp;FE$2&amp;"+"&amp;BY55&amp;FE$1)</f>
        <v/>
      </c>
      <c r="FF55" s="30" t="str">
        <f t="shared" ref="FF55:FF56" si="499">IF(BZ55="","","|n"&amp;FF$2&amp;"+"&amp;BZ55&amp;FF$1)</f>
        <v/>
      </c>
      <c r="FG55" s="30" t="str">
        <f t="shared" ref="FG55:FG56" si="500">IF(CA55="","","|n"&amp;FG$2&amp;"+"&amp;CA55&amp;FG$1)</f>
        <v/>
      </c>
      <c r="FH55" s="30" t="str">
        <f t="shared" ref="FH55:FH56" si="501">IF(CB55="","","|n"&amp;FH$2&amp;"+"&amp;CB55&amp;FH$1)</f>
        <v/>
      </c>
      <c r="FI55" s="30" t="str">
        <f t="shared" ref="FI55:FI56" si="502">IF(CC55="","","|n"&amp;FI$2&amp;"+"&amp;CC55&amp;FI$1)</f>
        <v/>
      </c>
      <c r="FJ55" s="30" t="str">
        <f t="shared" ref="FJ55:FJ56" si="503">IF(CD55="","","|n"&amp;FJ$2&amp;"+"&amp;CD55&amp;FJ$1)</f>
        <v/>
      </c>
      <c r="FK55" s="30" t="str">
        <f t="shared" ref="FK55:FK56" si="504">IF(CE55="","","|n"&amp;FK$2&amp;"+"&amp;CE55&amp;FK$1)</f>
        <v/>
      </c>
      <c r="FL55" s="30" t="str">
        <f t="shared" ref="FL55:FL56" si="505">IF(CF55="","","|n"&amp;FL$2&amp;"+"&amp;CF55&amp;FL$1)</f>
        <v/>
      </c>
      <c r="FM55" s="30" t="str">
        <f t="shared" ref="FM55:FM56" si="506">IF(CG55="","","|n"&amp;FM$2&amp;"+"&amp;CG55&amp;FM$1)</f>
        <v/>
      </c>
      <c r="FN55" s="30" t="str">
        <f t="shared" ref="FN55:FN56" si="507">IF(CH55="","","|n"&amp;FN$2&amp;"+"&amp;CH55&amp;FN$1)</f>
        <v/>
      </c>
      <c r="FO55" s="30" t="str">
        <f t="shared" ref="FO55:FO56" si="508">IF(CI55="","","|n"&amp;FO$2&amp;"+"&amp;CI55&amp;FO$1)</f>
        <v/>
      </c>
      <c r="FP55" s="30" t="str">
        <f t="shared" ref="FP55:FP56" si="509">IF(CJ55="","","|n"&amp;FP$2&amp;"+"&amp;CJ55&amp;FP$1)</f>
        <v/>
      </c>
      <c r="FQ55" s="30" t="str">
        <f t="shared" ref="FQ55:FQ56" si="510">IF(CK55="","","|n"&amp;FQ$2&amp;"+"&amp;CK55&amp;FQ$1)</f>
        <v/>
      </c>
      <c r="FR55" s="30" t="str">
        <f t="shared" ref="FR55:FR56" si="511">IF(CL55="","","|n"&amp;FR$2&amp;"+"&amp;CL55&amp;FR$1)</f>
        <v/>
      </c>
      <c r="FS55" s="30" t="str">
        <f t="shared" ref="FS55:FS56" si="512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0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">
        <v>604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3"/>
        <v>InitUnitState('E204',,,4,,5072,,25,,,)</v>
      </c>
      <c r="CO56" s="44" t="str">
        <f t="shared" si="294"/>
        <v>InitUnitNormal('E204',,,,,,,,,,)</v>
      </c>
      <c r="CP56" s="44" t="str">
        <f t="shared" si="295"/>
        <v>InitUnitMagic('E204',,,,,,,,,,)</v>
      </c>
      <c r="CQ56" s="44" t="str">
        <f t="shared" si="296"/>
        <v>InitUnitAdd('E204',,,,,,,,,,)</v>
      </c>
      <c r="CR56" s="44" t="str">
        <f t="shared" si="441"/>
        <v>InitEquipData('E204',,"",,E205,1000,,'','','','','','',"ReplaceableTextures\\CommandButtons\\BTNZ13.blp")</v>
      </c>
      <c r="CS56" s="44"/>
      <c r="CT56" s="44"/>
      <c r="CU56" s="45" t="str">
        <f t="shared" si="442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43"/>
        <v/>
      </c>
      <c r="DC56" s="30" t="str">
        <f t="shared" si="444"/>
        <v/>
      </c>
      <c r="DD56" s="30" t="str">
        <f t="shared" si="445"/>
        <v>|n护甲+4</v>
      </c>
      <c r="DE56" s="30" t="str">
        <f t="shared" si="446"/>
        <v/>
      </c>
      <c r="DF56" s="30" t="str">
        <f t="shared" si="447"/>
        <v>|n生命值+5072</v>
      </c>
      <c r="DG56" s="30" t="str">
        <f t="shared" si="448"/>
        <v/>
      </c>
      <c r="DH56" s="30" t="str">
        <f t="shared" si="449"/>
        <v>|n生命回复+25</v>
      </c>
      <c r="DI56" s="30" t="str">
        <f t="shared" si="450"/>
        <v/>
      </c>
      <c r="DJ56" s="30" t="str">
        <f t="shared" si="451"/>
        <v/>
      </c>
      <c r="DK56" s="30" t="str">
        <f t="shared" si="452"/>
        <v/>
      </c>
      <c r="DL56" s="30" t="str">
        <f t="shared" si="453"/>
        <v/>
      </c>
      <c r="DM56" s="30" t="str">
        <f t="shared" si="454"/>
        <v/>
      </c>
      <c r="DN56" s="30" t="str">
        <f t="shared" si="455"/>
        <v/>
      </c>
      <c r="DO56" s="30" t="str">
        <f t="shared" si="456"/>
        <v/>
      </c>
      <c r="DP56" s="30" t="str">
        <f t="shared" si="457"/>
        <v/>
      </c>
      <c r="DQ56" s="30" t="str">
        <f t="shared" si="458"/>
        <v/>
      </c>
      <c r="DR56" s="30" t="str">
        <f t="shared" si="459"/>
        <v/>
      </c>
      <c r="DS56" s="30" t="str">
        <f t="shared" si="460"/>
        <v/>
      </c>
      <c r="DT56" s="30" t="str">
        <f t="shared" si="461"/>
        <v/>
      </c>
      <c r="DU56" s="30" t="str">
        <f t="shared" si="462"/>
        <v/>
      </c>
      <c r="DV56" s="30" t="str">
        <f t="shared" si="463"/>
        <v/>
      </c>
      <c r="DW56" s="30" t="str">
        <f t="shared" si="464"/>
        <v/>
      </c>
      <c r="DX56" s="30" t="str">
        <f t="shared" si="465"/>
        <v/>
      </c>
      <c r="DY56" s="30" t="str">
        <f t="shared" si="466"/>
        <v/>
      </c>
      <c r="DZ56" s="30" t="str">
        <f t="shared" si="467"/>
        <v/>
      </c>
      <c r="EA56" s="30" t="str">
        <f t="shared" si="468"/>
        <v/>
      </c>
      <c r="EB56" s="30" t="str">
        <f t="shared" si="469"/>
        <v/>
      </c>
      <c r="EC56" s="30" t="str">
        <f t="shared" si="470"/>
        <v/>
      </c>
      <c r="ED56" s="30" t="str">
        <f t="shared" si="471"/>
        <v/>
      </c>
      <c r="EE56" s="30" t="str">
        <f t="shared" si="472"/>
        <v/>
      </c>
      <c r="EF56" s="30" t="str">
        <f t="shared" si="473"/>
        <v/>
      </c>
      <c r="EG56" s="30" t="str">
        <f t="shared" si="474"/>
        <v/>
      </c>
      <c r="EH56" s="30" t="str">
        <f t="shared" si="475"/>
        <v/>
      </c>
      <c r="EI56" s="30" t="str">
        <f t="shared" si="476"/>
        <v/>
      </c>
      <c r="EJ56" s="30" t="str">
        <f t="shared" si="477"/>
        <v/>
      </c>
      <c r="EK56" s="30" t="str">
        <f t="shared" si="478"/>
        <v/>
      </c>
      <c r="EL56" s="30" t="str">
        <f t="shared" si="479"/>
        <v/>
      </c>
      <c r="EM56" s="30" t="str">
        <f t="shared" si="480"/>
        <v/>
      </c>
      <c r="EN56" s="30" t="str">
        <f t="shared" si="481"/>
        <v/>
      </c>
      <c r="EO56" s="30" t="str">
        <f t="shared" si="482"/>
        <v/>
      </c>
      <c r="EP56" s="30" t="str">
        <f t="shared" si="483"/>
        <v/>
      </c>
      <c r="EQ56" s="30" t="str">
        <f t="shared" si="484"/>
        <v/>
      </c>
      <c r="ER56" s="30" t="str">
        <f t="shared" si="485"/>
        <v/>
      </c>
      <c r="ES56" s="30" t="str">
        <f t="shared" si="486"/>
        <v/>
      </c>
      <c r="ET56" s="30" t="str">
        <f t="shared" si="487"/>
        <v/>
      </c>
      <c r="EU56" s="30" t="str">
        <f t="shared" si="488"/>
        <v/>
      </c>
      <c r="EV56" s="30" t="str">
        <f t="shared" si="489"/>
        <v/>
      </c>
      <c r="EW56" s="30" t="str">
        <f t="shared" si="490"/>
        <v/>
      </c>
      <c r="EX56" s="30" t="str">
        <f t="shared" si="491"/>
        <v/>
      </c>
      <c r="EY56" s="30" t="str">
        <f t="shared" si="492"/>
        <v/>
      </c>
      <c r="EZ56" s="30" t="str">
        <f t="shared" si="493"/>
        <v/>
      </c>
      <c r="FA56" s="30" t="str">
        <f t="shared" si="494"/>
        <v/>
      </c>
      <c r="FB56" s="30" t="str">
        <f t="shared" si="495"/>
        <v/>
      </c>
      <c r="FC56" s="30" t="str">
        <f t="shared" si="496"/>
        <v/>
      </c>
      <c r="FD56" s="30" t="str">
        <f t="shared" si="497"/>
        <v/>
      </c>
      <c r="FE56" s="30" t="str">
        <f t="shared" si="498"/>
        <v/>
      </c>
      <c r="FF56" s="30" t="str">
        <f t="shared" si="499"/>
        <v/>
      </c>
      <c r="FG56" s="30" t="str">
        <f t="shared" si="500"/>
        <v/>
      </c>
      <c r="FH56" s="30" t="str">
        <f t="shared" si="501"/>
        <v/>
      </c>
      <c r="FI56" s="30" t="str">
        <f t="shared" si="502"/>
        <v/>
      </c>
      <c r="FJ56" s="30" t="str">
        <f t="shared" si="503"/>
        <v/>
      </c>
      <c r="FK56" s="30" t="str">
        <f t="shared" si="504"/>
        <v/>
      </c>
      <c r="FL56" s="30" t="str">
        <f t="shared" si="505"/>
        <v/>
      </c>
      <c r="FM56" s="30" t="str">
        <f t="shared" si="506"/>
        <v/>
      </c>
      <c r="FN56" s="30" t="str">
        <f t="shared" si="507"/>
        <v/>
      </c>
      <c r="FO56" s="30" t="str">
        <f t="shared" si="508"/>
        <v/>
      </c>
      <c r="FP56" s="30" t="str">
        <f t="shared" si="509"/>
        <v/>
      </c>
      <c r="FQ56" s="30" t="str">
        <f t="shared" si="510"/>
        <v/>
      </c>
      <c r="FR56" s="30" t="str">
        <f t="shared" si="511"/>
        <v/>
      </c>
      <c r="FS56" s="30" t="str">
        <f t="shared" si="512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0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">
        <v>604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3"/>
        <v>InitUnitState('E205',,,5,,6096,,30,,,)</v>
      </c>
      <c r="CO57" s="44" t="str">
        <f t="shared" si="294"/>
        <v>InitUnitNormal('E205',,,,,,,,,,)</v>
      </c>
      <c r="CP57" s="44" t="str">
        <f t="shared" si="295"/>
        <v>InitUnitMagic('E205',,,,,,,,,,)</v>
      </c>
      <c r="CQ57" s="44" t="str">
        <f t="shared" si="296"/>
        <v>InitUnitAdd('E205',,,,,,,,,,)</v>
      </c>
      <c r="CR57" s="44" t="str">
        <f t="shared" si="441"/>
        <v>InitEquipData('E205',,"",,E206,5000,,'','','','','','',"ReplaceableTextures\\CommandButtons\\BTNZ13.blp")</v>
      </c>
      <c r="CS57" s="44"/>
      <c r="CT57" s="44"/>
      <c r="CU57" s="45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14">IF(V57="","","|n"&amp;DB$2&amp;"+"&amp;V57&amp;DB$1)</f>
        <v/>
      </c>
      <c r="DC57" s="30" t="str">
        <f t="shared" ref="DC57" si="515">IF(W57="","","|n"&amp;DC$2&amp;"+"&amp;W57&amp;DC$1)</f>
        <v/>
      </c>
      <c r="DD57" s="30" t="str">
        <f t="shared" ref="DD57" si="516">IF(X57="","","|n"&amp;DD$2&amp;"+"&amp;X57&amp;DD$1)</f>
        <v>|n护甲+5</v>
      </c>
      <c r="DE57" s="30" t="str">
        <f t="shared" ref="DE57" si="517">IF(Y57="","","|n"&amp;DE$2&amp;"+"&amp;Y57&amp;DE$1)</f>
        <v/>
      </c>
      <c r="DF57" s="30" t="str">
        <f t="shared" ref="DF57" si="518">IF(Z57="","","|n"&amp;DF$2&amp;"+"&amp;Z57&amp;DF$1)</f>
        <v>|n生命值+6096</v>
      </c>
      <c r="DG57" s="30" t="str">
        <f t="shared" ref="DG57" si="519">IF(AA57="","","|n"&amp;DG$2&amp;"+"&amp;AA57&amp;DG$1)</f>
        <v/>
      </c>
      <c r="DH57" s="30" t="str">
        <f t="shared" ref="DH57" si="520">IF(AB57="","","|n"&amp;DH$2&amp;"+"&amp;AB57&amp;DH$1)</f>
        <v>|n生命回复+30</v>
      </c>
      <c r="DI57" s="30" t="str">
        <f t="shared" ref="DI57" si="521">IF(AC57="","","|n"&amp;DI$2&amp;"+"&amp;AC57&amp;DI$1)</f>
        <v/>
      </c>
      <c r="DJ57" s="30" t="str">
        <f t="shared" ref="DJ57" si="522">IF(AD57="","","|n"&amp;DJ$2&amp;"+"&amp;AD57&amp;DJ$1)</f>
        <v/>
      </c>
      <c r="DK57" s="30" t="str">
        <f t="shared" ref="DK57" si="523">IF(AE57="","","|n"&amp;DK$2&amp;"+"&amp;AE57&amp;DK$1)</f>
        <v/>
      </c>
      <c r="DL57" s="30" t="str">
        <f t="shared" ref="DL57" si="524">IF(AF57="","","|n"&amp;DL$2&amp;"+"&amp;AF57&amp;DL$1)</f>
        <v/>
      </c>
      <c r="DM57" s="30" t="str">
        <f t="shared" ref="DM57" si="525">IF(AG57="","","|n"&amp;DM$2&amp;"+"&amp;AG57&amp;DM$1)</f>
        <v/>
      </c>
      <c r="DN57" s="30" t="str">
        <f t="shared" ref="DN57" si="526">IF(AH57="","","|n"&amp;DN$2&amp;"+"&amp;AH57&amp;DN$1)</f>
        <v/>
      </c>
      <c r="DO57" s="30" t="str">
        <f t="shared" ref="DO57" si="527">IF(AI57="","","|n"&amp;DO$2&amp;"+"&amp;AI57&amp;DO$1)</f>
        <v/>
      </c>
      <c r="DP57" s="30" t="str">
        <f t="shared" ref="DP57" si="528">IF(AJ57="","","|n"&amp;DP$2&amp;"+"&amp;AJ57&amp;DP$1)</f>
        <v/>
      </c>
      <c r="DQ57" s="30" t="str">
        <f t="shared" ref="DQ57" si="529">IF(AK57="","","|n"&amp;DQ$2&amp;"+"&amp;AK57&amp;DQ$1)</f>
        <v/>
      </c>
      <c r="DR57" s="30" t="str">
        <f t="shared" ref="DR57" si="530">IF(AL57="","","|n"&amp;DR$2&amp;"+"&amp;AL57&amp;DR$1)</f>
        <v/>
      </c>
      <c r="DS57" s="30" t="str">
        <f t="shared" ref="DS57" si="531">IF(AM57="","","|n"&amp;DS$2&amp;"+"&amp;AM57&amp;DS$1)</f>
        <v/>
      </c>
      <c r="DT57" s="30" t="str">
        <f t="shared" ref="DT57" si="532">IF(AN57="","","|n"&amp;DT$2&amp;"+"&amp;AN57&amp;DT$1)</f>
        <v/>
      </c>
      <c r="DU57" s="30" t="str">
        <f t="shared" ref="DU57" si="533">IF(AO57="","","|n"&amp;DU$2&amp;"+"&amp;AO57&amp;DU$1)</f>
        <v/>
      </c>
      <c r="DV57" s="30" t="str">
        <f t="shared" ref="DV57" si="534">IF(AP57="","","|n"&amp;DV$2&amp;"+"&amp;AP57&amp;DV$1)</f>
        <v/>
      </c>
      <c r="DW57" s="30" t="str">
        <f t="shared" ref="DW57" si="535">IF(AQ57="","","|n"&amp;DW$2&amp;"+"&amp;AQ57&amp;DW$1)</f>
        <v/>
      </c>
      <c r="DX57" s="30" t="str">
        <f t="shared" ref="DX57" si="536">IF(AR57="","","|n"&amp;DX$2&amp;"+"&amp;AR57&amp;DX$1)</f>
        <v/>
      </c>
      <c r="DY57" s="30" t="str">
        <f t="shared" ref="DY57" si="537">IF(AS57="","","|n"&amp;DY$2&amp;"+"&amp;AS57&amp;DY$1)</f>
        <v/>
      </c>
      <c r="DZ57" s="30" t="str">
        <f t="shared" ref="DZ57" si="538">IF(AT57="","","|n"&amp;DZ$2&amp;"+"&amp;AT57&amp;DZ$1)</f>
        <v/>
      </c>
      <c r="EA57" s="30" t="str">
        <f t="shared" ref="EA57" si="539">IF(AU57="","","|n"&amp;EA$2&amp;"+"&amp;AU57&amp;EA$1)</f>
        <v/>
      </c>
      <c r="EB57" s="30" t="str">
        <f t="shared" ref="EB57" si="540">IF(AV57="","","|n"&amp;EB$2&amp;"+"&amp;AV57&amp;EB$1)</f>
        <v/>
      </c>
      <c r="EC57" s="30" t="str">
        <f t="shared" ref="EC57" si="541">IF(AW57="","","|n"&amp;EC$2&amp;"+"&amp;AW57&amp;EC$1)</f>
        <v/>
      </c>
      <c r="ED57" s="30" t="str">
        <f t="shared" ref="ED57" si="542">IF(AX57="","","|n"&amp;ED$2&amp;"+"&amp;AX57&amp;ED$1)</f>
        <v/>
      </c>
      <c r="EE57" s="30" t="str">
        <f t="shared" ref="EE57" si="543">IF(AY57="","","|n"&amp;EE$2&amp;"+"&amp;AY57&amp;EE$1)</f>
        <v/>
      </c>
      <c r="EF57" s="30" t="str">
        <f t="shared" ref="EF57" si="544">IF(AZ57="","","|n"&amp;EF$2&amp;"+"&amp;AZ57&amp;EF$1)</f>
        <v/>
      </c>
      <c r="EG57" s="30" t="str">
        <f t="shared" ref="EG57" si="545">IF(BA57="","","|n"&amp;EG$2&amp;"+"&amp;BA57&amp;EG$1)</f>
        <v/>
      </c>
      <c r="EH57" s="30" t="str">
        <f t="shared" ref="EH57" si="546">IF(BB57="","","|n"&amp;EH$2&amp;"+"&amp;BB57&amp;EH$1)</f>
        <v/>
      </c>
      <c r="EI57" s="30" t="str">
        <f t="shared" ref="EI57" si="547">IF(BC57="","","|n"&amp;EI$2&amp;"+"&amp;BC57&amp;EI$1)</f>
        <v/>
      </c>
      <c r="EJ57" s="30" t="str">
        <f t="shared" ref="EJ57" si="548">IF(BD57="","","|n"&amp;EJ$2&amp;"+"&amp;BD57&amp;EJ$1)</f>
        <v/>
      </c>
      <c r="EK57" s="30" t="str">
        <f t="shared" ref="EK57" si="549">IF(BE57="","","|n"&amp;EK$2&amp;"+"&amp;BE57&amp;EK$1)</f>
        <v/>
      </c>
      <c r="EL57" s="30" t="str">
        <f t="shared" ref="EL57" si="550">IF(BF57="","","|n"&amp;EL$2&amp;"+"&amp;BF57&amp;EL$1)</f>
        <v/>
      </c>
      <c r="EM57" s="30" t="str">
        <f t="shared" ref="EM57" si="551">IF(BG57="","","|n"&amp;EM$2&amp;"+"&amp;BG57&amp;EM$1)</f>
        <v/>
      </c>
      <c r="EN57" s="30" t="str">
        <f t="shared" ref="EN57" si="552">IF(BH57="","","|n"&amp;EN$2&amp;"+"&amp;BH57&amp;EN$1)</f>
        <v/>
      </c>
      <c r="EO57" s="30" t="str">
        <f t="shared" ref="EO57" si="553">IF(BI57="","","|n"&amp;EO$2&amp;"+"&amp;BI57&amp;EO$1)</f>
        <v/>
      </c>
      <c r="EP57" s="30" t="str">
        <f t="shared" ref="EP57" si="554">IF(BJ57="","","|n"&amp;EP$2&amp;"+"&amp;BJ57&amp;EP$1)</f>
        <v/>
      </c>
      <c r="EQ57" s="30" t="str">
        <f t="shared" ref="EQ57" si="555">IF(BK57="","","|n"&amp;EQ$2&amp;"+"&amp;BK57&amp;EQ$1)</f>
        <v/>
      </c>
      <c r="ER57" s="30" t="str">
        <f t="shared" ref="ER57" si="556">IF(BL57="","","|n"&amp;ER$2&amp;"+"&amp;BL57&amp;ER$1)</f>
        <v/>
      </c>
      <c r="ES57" s="30" t="str">
        <f t="shared" ref="ES57" si="557">IF(BM57="","","|n"&amp;ES$2&amp;"+"&amp;BM57&amp;ES$1)</f>
        <v/>
      </c>
      <c r="ET57" s="30" t="str">
        <f t="shared" ref="ET57" si="558">IF(BN57="","","|n"&amp;ET$2&amp;"+"&amp;BN57&amp;ET$1)</f>
        <v/>
      </c>
      <c r="EU57" s="30" t="str">
        <f t="shared" ref="EU57" si="559">IF(BO57="","","|n"&amp;EU$2&amp;"+"&amp;BO57&amp;EU$1)</f>
        <v/>
      </c>
      <c r="EV57" s="30" t="str">
        <f t="shared" ref="EV57" si="560">IF(BP57="","","|n"&amp;EV$2&amp;"+"&amp;BP57&amp;EV$1)</f>
        <v/>
      </c>
      <c r="EW57" s="30" t="str">
        <f t="shared" ref="EW57" si="561">IF(BQ57="","","|n"&amp;EW$2&amp;"+"&amp;BQ57&amp;EW$1)</f>
        <v/>
      </c>
      <c r="EX57" s="30" t="str">
        <f t="shared" ref="EX57" si="562">IF(BR57="","","|n"&amp;EX$2&amp;"+"&amp;BR57&amp;EX$1)</f>
        <v/>
      </c>
      <c r="EY57" s="30" t="str">
        <f t="shared" ref="EY57" si="563">IF(BS57="","","|n"&amp;EY$2&amp;"+"&amp;BS57&amp;EY$1)</f>
        <v/>
      </c>
      <c r="EZ57" s="30" t="str">
        <f t="shared" ref="EZ57" si="564">IF(BT57="","","|n"&amp;EZ$2&amp;"+"&amp;BT57&amp;EZ$1)</f>
        <v/>
      </c>
      <c r="FA57" s="30" t="str">
        <f t="shared" ref="FA57" si="565">IF(BU57="","","|n"&amp;FA$2&amp;"+"&amp;BU57&amp;FA$1)</f>
        <v/>
      </c>
      <c r="FB57" s="30" t="str">
        <f t="shared" ref="FB57" si="566">IF(BV57="","","|n"&amp;FB$2&amp;"+"&amp;BV57&amp;FB$1)</f>
        <v/>
      </c>
      <c r="FC57" s="30" t="str">
        <f t="shared" ref="FC57" si="567">IF(BW57="","","|n"&amp;FC$2&amp;"+"&amp;BW57&amp;FC$1)</f>
        <v/>
      </c>
      <c r="FD57" s="30" t="str">
        <f t="shared" ref="FD57" si="568">IF(BX57="","","|n"&amp;FD$2&amp;"+"&amp;BX57&amp;FD$1)</f>
        <v/>
      </c>
      <c r="FE57" s="30" t="str">
        <f t="shared" ref="FE57" si="569">IF(BY57="","","|n"&amp;FE$2&amp;"+"&amp;BY57&amp;FE$1)</f>
        <v/>
      </c>
      <c r="FF57" s="30" t="str">
        <f t="shared" ref="FF57" si="570">IF(BZ57="","","|n"&amp;FF$2&amp;"+"&amp;BZ57&amp;FF$1)</f>
        <v/>
      </c>
      <c r="FG57" s="30" t="str">
        <f t="shared" ref="FG57" si="571">IF(CA57="","","|n"&amp;FG$2&amp;"+"&amp;CA57&amp;FG$1)</f>
        <v/>
      </c>
      <c r="FH57" s="30" t="str">
        <f t="shared" ref="FH57" si="572">IF(CB57="","","|n"&amp;FH$2&amp;"+"&amp;CB57&amp;FH$1)</f>
        <v/>
      </c>
      <c r="FI57" s="30" t="str">
        <f t="shared" ref="FI57" si="573">IF(CC57="","","|n"&amp;FI$2&amp;"+"&amp;CC57&amp;FI$1)</f>
        <v/>
      </c>
      <c r="FJ57" s="30" t="str">
        <f t="shared" ref="FJ57" si="574">IF(CD57="","","|n"&amp;FJ$2&amp;"+"&amp;CD57&amp;FJ$1)</f>
        <v/>
      </c>
      <c r="FK57" s="30" t="str">
        <f t="shared" ref="FK57" si="575">IF(CE57="","","|n"&amp;FK$2&amp;"+"&amp;CE57&amp;FK$1)</f>
        <v/>
      </c>
      <c r="FL57" s="30" t="str">
        <f t="shared" ref="FL57" si="576">IF(CF57="","","|n"&amp;FL$2&amp;"+"&amp;CF57&amp;FL$1)</f>
        <v/>
      </c>
      <c r="FM57" s="30" t="str">
        <f t="shared" ref="FM57" si="577">IF(CG57="","","|n"&amp;FM$2&amp;"+"&amp;CG57&amp;FM$1)</f>
        <v/>
      </c>
      <c r="FN57" s="30" t="str">
        <f t="shared" ref="FN57" si="578">IF(CH57="","","|n"&amp;FN$2&amp;"+"&amp;CH57&amp;FN$1)</f>
        <v/>
      </c>
      <c r="FO57" s="30" t="str">
        <f t="shared" ref="FO57" si="579">IF(CI57="","","|n"&amp;FO$2&amp;"+"&amp;CI57&amp;FO$1)</f>
        <v/>
      </c>
      <c r="FP57" s="30" t="str">
        <f t="shared" ref="FP57" si="580">IF(CJ57="","","|n"&amp;FP$2&amp;"+"&amp;CJ57&amp;FP$1)</f>
        <v/>
      </c>
      <c r="FQ57" s="30" t="str">
        <f t="shared" ref="FQ57" si="581">IF(CK57="","","|n"&amp;FQ$2&amp;"+"&amp;CK57&amp;FQ$1)</f>
        <v/>
      </c>
      <c r="FR57" s="30" t="str">
        <f t="shared" ref="FR57" si="582">IF(CL57="","","|n"&amp;FR$2&amp;"+"&amp;CL57&amp;FR$1)</f>
        <v/>
      </c>
      <c r="FS57" s="30" t="str">
        <f t="shared" ref="FS57" si="583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0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">
        <v>605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3"/>
        <v>InitUnitState('E206',,,7,,7632,,38,,,)</v>
      </c>
      <c r="CO58" s="44" t="str">
        <f t="shared" si="294"/>
        <v>InitUnitNormal('E206',,,,,,,,,,)</v>
      </c>
      <c r="CP58" s="44" t="str">
        <f t="shared" si="295"/>
        <v>InitUnitMagic('E206',,,,,,,,,,)</v>
      </c>
      <c r="CQ58" s="44" t="str">
        <f t="shared" si="296"/>
        <v>InitUnitAdd('E206',,,,,,,,,,)</v>
      </c>
      <c r="CR58" s="44" t="str">
        <f t="shared" si="441"/>
        <v>InitEquipData('E206',,"",,E207,7000,,'','','','','','',"ReplaceableTextures\\CommandButtons\\BTNZ13.blp")</v>
      </c>
      <c r="CS58" s="44"/>
      <c r="CT58" s="44"/>
      <c r="CU58" s="45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85">IF(V58="","","|n"&amp;DB$2&amp;"+"&amp;V58&amp;DB$1)</f>
        <v/>
      </c>
      <c r="DC58" s="30" t="str">
        <f t="shared" ref="DC58:DC62" si="586">IF(W58="","","|n"&amp;DC$2&amp;"+"&amp;W58&amp;DC$1)</f>
        <v/>
      </c>
      <c r="DD58" s="30" t="str">
        <f t="shared" ref="DD58:DD62" si="587">IF(X58="","","|n"&amp;DD$2&amp;"+"&amp;X58&amp;DD$1)</f>
        <v>|n护甲+7</v>
      </c>
      <c r="DE58" s="30" t="str">
        <f t="shared" ref="DE58:DE62" si="588">IF(Y58="","","|n"&amp;DE$2&amp;"+"&amp;Y58&amp;DE$1)</f>
        <v/>
      </c>
      <c r="DF58" s="30" t="str">
        <f t="shared" ref="DF58:DF62" si="589">IF(Z58="","","|n"&amp;DF$2&amp;"+"&amp;Z58&amp;DF$1)</f>
        <v>|n生命值+7632</v>
      </c>
      <c r="DG58" s="30" t="str">
        <f t="shared" ref="DG58:DG62" si="590">IF(AA58="","","|n"&amp;DG$2&amp;"+"&amp;AA58&amp;DG$1)</f>
        <v/>
      </c>
      <c r="DH58" s="30" t="str">
        <f t="shared" ref="DH58:DH62" si="591">IF(AB58="","","|n"&amp;DH$2&amp;"+"&amp;AB58&amp;DH$1)</f>
        <v>|n生命回复+38</v>
      </c>
      <c r="DI58" s="30" t="str">
        <f t="shared" ref="DI58:DI62" si="592">IF(AC58="","","|n"&amp;DI$2&amp;"+"&amp;AC58&amp;DI$1)</f>
        <v/>
      </c>
      <c r="DJ58" s="30" t="str">
        <f t="shared" ref="DJ58:DJ62" si="593">IF(AD58="","","|n"&amp;DJ$2&amp;"+"&amp;AD58&amp;DJ$1)</f>
        <v/>
      </c>
      <c r="DK58" s="30" t="str">
        <f t="shared" ref="DK58:DK62" si="594">IF(AE58="","","|n"&amp;DK$2&amp;"+"&amp;AE58&amp;DK$1)</f>
        <v/>
      </c>
      <c r="DL58" s="30" t="str">
        <f t="shared" ref="DL58:DL62" si="595">IF(AF58="","","|n"&amp;DL$2&amp;"+"&amp;AF58&amp;DL$1)</f>
        <v/>
      </c>
      <c r="DM58" s="30" t="str">
        <f t="shared" ref="DM58:DM62" si="596">IF(AG58="","","|n"&amp;DM$2&amp;"+"&amp;AG58&amp;DM$1)</f>
        <v/>
      </c>
      <c r="DN58" s="30" t="str">
        <f t="shared" ref="DN58:DN62" si="597">IF(AH58="","","|n"&amp;DN$2&amp;"+"&amp;AH58&amp;DN$1)</f>
        <v/>
      </c>
      <c r="DO58" s="30" t="str">
        <f t="shared" ref="DO58:DO62" si="598">IF(AI58="","","|n"&amp;DO$2&amp;"+"&amp;AI58&amp;DO$1)</f>
        <v/>
      </c>
      <c r="DP58" s="30" t="str">
        <f t="shared" ref="DP58:DP62" si="599">IF(AJ58="","","|n"&amp;DP$2&amp;"+"&amp;AJ58&amp;DP$1)</f>
        <v/>
      </c>
      <c r="DQ58" s="30" t="str">
        <f t="shared" ref="DQ58:DQ62" si="600">IF(AK58="","","|n"&amp;DQ$2&amp;"+"&amp;AK58&amp;DQ$1)</f>
        <v/>
      </c>
      <c r="DR58" s="30" t="str">
        <f t="shared" ref="DR58:DR62" si="601">IF(AL58="","","|n"&amp;DR$2&amp;"+"&amp;AL58&amp;DR$1)</f>
        <v/>
      </c>
      <c r="DS58" s="30" t="str">
        <f t="shared" ref="DS58:DS62" si="602">IF(AM58="","","|n"&amp;DS$2&amp;"+"&amp;AM58&amp;DS$1)</f>
        <v/>
      </c>
      <c r="DT58" s="30" t="str">
        <f t="shared" ref="DT58:DT62" si="603">IF(AN58="","","|n"&amp;DT$2&amp;"+"&amp;AN58&amp;DT$1)</f>
        <v/>
      </c>
      <c r="DU58" s="30" t="str">
        <f t="shared" ref="DU58:DU62" si="604">IF(AO58="","","|n"&amp;DU$2&amp;"+"&amp;AO58&amp;DU$1)</f>
        <v/>
      </c>
      <c r="DV58" s="30" t="str">
        <f t="shared" ref="DV58:DV62" si="605">IF(AP58="","","|n"&amp;DV$2&amp;"+"&amp;AP58&amp;DV$1)</f>
        <v/>
      </c>
      <c r="DW58" s="30" t="str">
        <f t="shared" ref="DW58:DW62" si="606">IF(AQ58="","","|n"&amp;DW$2&amp;"+"&amp;AQ58&amp;DW$1)</f>
        <v/>
      </c>
      <c r="DX58" s="30" t="str">
        <f t="shared" ref="DX58:DX62" si="607">IF(AR58="","","|n"&amp;DX$2&amp;"+"&amp;AR58&amp;DX$1)</f>
        <v/>
      </c>
      <c r="DY58" s="30" t="str">
        <f t="shared" ref="DY58:DY62" si="608">IF(AS58="","","|n"&amp;DY$2&amp;"+"&amp;AS58&amp;DY$1)</f>
        <v/>
      </c>
      <c r="DZ58" s="30" t="str">
        <f t="shared" ref="DZ58:DZ62" si="609">IF(AT58="","","|n"&amp;DZ$2&amp;"+"&amp;AT58&amp;DZ$1)</f>
        <v/>
      </c>
      <c r="EA58" s="30" t="str">
        <f t="shared" ref="EA58:EA62" si="610">IF(AU58="","","|n"&amp;EA$2&amp;"+"&amp;AU58&amp;EA$1)</f>
        <v/>
      </c>
      <c r="EB58" s="30" t="str">
        <f t="shared" ref="EB58:EB62" si="611">IF(AV58="","","|n"&amp;EB$2&amp;"+"&amp;AV58&amp;EB$1)</f>
        <v/>
      </c>
      <c r="EC58" s="30" t="str">
        <f t="shared" ref="EC58:EC62" si="612">IF(AW58="","","|n"&amp;EC$2&amp;"+"&amp;AW58&amp;EC$1)</f>
        <v/>
      </c>
      <c r="ED58" s="30" t="str">
        <f t="shared" ref="ED58:ED62" si="613">IF(AX58="","","|n"&amp;ED$2&amp;"+"&amp;AX58&amp;ED$1)</f>
        <v/>
      </c>
      <c r="EE58" s="30" t="str">
        <f t="shared" ref="EE58:EE62" si="614">IF(AY58="","","|n"&amp;EE$2&amp;"+"&amp;AY58&amp;EE$1)</f>
        <v/>
      </c>
      <c r="EF58" s="30" t="str">
        <f t="shared" ref="EF58:EF62" si="615">IF(AZ58="","","|n"&amp;EF$2&amp;"+"&amp;AZ58&amp;EF$1)</f>
        <v/>
      </c>
      <c r="EG58" s="30" t="str">
        <f t="shared" ref="EG58:EG62" si="616">IF(BA58="","","|n"&amp;EG$2&amp;"+"&amp;BA58&amp;EG$1)</f>
        <v/>
      </c>
      <c r="EH58" s="30" t="str">
        <f t="shared" ref="EH58:EH62" si="617">IF(BB58="","","|n"&amp;EH$2&amp;"+"&amp;BB58&amp;EH$1)</f>
        <v/>
      </c>
      <c r="EI58" s="30" t="str">
        <f t="shared" ref="EI58:EI62" si="618">IF(BC58="","","|n"&amp;EI$2&amp;"+"&amp;BC58&amp;EI$1)</f>
        <v/>
      </c>
      <c r="EJ58" s="30" t="str">
        <f t="shared" ref="EJ58:EJ62" si="619">IF(BD58="","","|n"&amp;EJ$2&amp;"+"&amp;BD58&amp;EJ$1)</f>
        <v/>
      </c>
      <c r="EK58" s="30" t="str">
        <f t="shared" ref="EK58:EK62" si="620">IF(BE58="","","|n"&amp;EK$2&amp;"+"&amp;BE58&amp;EK$1)</f>
        <v/>
      </c>
      <c r="EL58" s="30" t="str">
        <f t="shared" ref="EL58:EL62" si="621">IF(BF58="","","|n"&amp;EL$2&amp;"+"&amp;BF58&amp;EL$1)</f>
        <v/>
      </c>
      <c r="EM58" s="30" t="str">
        <f t="shared" ref="EM58:EM62" si="622">IF(BG58="","","|n"&amp;EM$2&amp;"+"&amp;BG58&amp;EM$1)</f>
        <v/>
      </c>
      <c r="EN58" s="30" t="str">
        <f t="shared" ref="EN58:EN62" si="623">IF(BH58="","","|n"&amp;EN$2&amp;"+"&amp;BH58&amp;EN$1)</f>
        <v/>
      </c>
      <c r="EO58" s="30" t="str">
        <f t="shared" ref="EO58:EO62" si="624">IF(BI58="","","|n"&amp;EO$2&amp;"+"&amp;BI58&amp;EO$1)</f>
        <v/>
      </c>
      <c r="EP58" s="30" t="str">
        <f t="shared" ref="EP58:EP62" si="625">IF(BJ58="","","|n"&amp;EP$2&amp;"+"&amp;BJ58&amp;EP$1)</f>
        <v/>
      </c>
      <c r="EQ58" s="30" t="str">
        <f t="shared" ref="EQ58:EQ62" si="626">IF(BK58="","","|n"&amp;EQ$2&amp;"+"&amp;BK58&amp;EQ$1)</f>
        <v/>
      </c>
      <c r="ER58" s="30" t="str">
        <f t="shared" ref="ER58:ER62" si="627">IF(BL58="","","|n"&amp;ER$2&amp;"+"&amp;BL58&amp;ER$1)</f>
        <v/>
      </c>
      <c r="ES58" s="30" t="str">
        <f t="shared" ref="ES58:ES62" si="628">IF(BM58="","","|n"&amp;ES$2&amp;"+"&amp;BM58&amp;ES$1)</f>
        <v/>
      </c>
      <c r="ET58" s="30" t="str">
        <f t="shared" ref="ET58:ET62" si="629">IF(BN58="","","|n"&amp;ET$2&amp;"+"&amp;BN58&amp;ET$1)</f>
        <v/>
      </c>
      <c r="EU58" s="30" t="str">
        <f t="shared" ref="EU58:EU62" si="630">IF(BO58="","","|n"&amp;EU$2&amp;"+"&amp;BO58&amp;EU$1)</f>
        <v/>
      </c>
      <c r="EV58" s="30" t="str">
        <f t="shared" ref="EV58:EV62" si="631">IF(BP58="","","|n"&amp;EV$2&amp;"+"&amp;BP58&amp;EV$1)</f>
        <v/>
      </c>
      <c r="EW58" s="30" t="str">
        <f t="shared" ref="EW58:EW62" si="632">IF(BQ58="","","|n"&amp;EW$2&amp;"+"&amp;BQ58&amp;EW$1)</f>
        <v/>
      </c>
      <c r="EX58" s="30" t="str">
        <f t="shared" ref="EX58:EX62" si="633">IF(BR58="","","|n"&amp;EX$2&amp;"+"&amp;BR58&amp;EX$1)</f>
        <v/>
      </c>
      <c r="EY58" s="30" t="str">
        <f t="shared" ref="EY58:EY62" si="634">IF(BS58="","","|n"&amp;EY$2&amp;"+"&amp;BS58&amp;EY$1)</f>
        <v/>
      </c>
      <c r="EZ58" s="30" t="str">
        <f t="shared" ref="EZ58:EZ62" si="635">IF(BT58="","","|n"&amp;EZ$2&amp;"+"&amp;BT58&amp;EZ$1)</f>
        <v/>
      </c>
      <c r="FA58" s="30" t="str">
        <f t="shared" ref="FA58:FA62" si="636">IF(BU58="","","|n"&amp;FA$2&amp;"+"&amp;BU58&amp;FA$1)</f>
        <v/>
      </c>
      <c r="FB58" s="30" t="str">
        <f t="shared" ref="FB58:FB62" si="637">IF(BV58="","","|n"&amp;FB$2&amp;"+"&amp;BV58&amp;FB$1)</f>
        <v/>
      </c>
      <c r="FC58" s="30" t="str">
        <f t="shared" ref="FC58:FC62" si="638">IF(BW58="","","|n"&amp;FC$2&amp;"+"&amp;BW58&amp;FC$1)</f>
        <v/>
      </c>
      <c r="FD58" s="30" t="str">
        <f t="shared" ref="FD58:FD62" si="639">IF(BX58="","","|n"&amp;FD$2&amp;"+"&amp;BX58&amp;FD$1)</f>
        <v/>
      </c>
      <c r="FE58" s="30" t="str">
        <f t="shared" ref="FE58:FE62" si="640">IF(BY58="","","|n"&amp;FE$2&amp;"+"&amp;BY58&amp;FE$1)</f>
        <v/>
      </c>
      <c r="FF58" s="30" t="str">
        <f t="shared" ref="FF58:FF62" si="641">IF(BZ58="","","|n"&amp;FF$2&amp;"+"&amp;BZ58&amp;FF$1)</f>
        <v/>
      </c>
      <c r="FG58" s="30" t="str">
        <f t="shared" ref="FG58:FG62" si="642">IF(CA58="","","|n"&amp;FG$2&amp;"+"&amp;CA58&amp;FG$1)</f>
        <v/>
      </c>
      <c r="FH58" s="30" t="str">
        <f t="shared" ref="FH58:FH62" si="643">IF(CB58="","","|n"&amp;FH$2&amp;"+"&amp;CB58&amp;FH$1)</f>
        <v/>
      </c>
      <c r="FI58" s="30" t="str">
        <f t="shared" ref="FI58:FI62" si="644">IF(CC58="","","|n"&amp;FI$2&amp;"+"&amp;CC58&amp;FI$1)</f>
        <v/>
      </c>
      <c r="FJ58" s="30" t="str">
        <f t="shared" ref="FJ58:FJ62" si="645">IF(CD58="","","|n"&amp;FJ$2&amp;"+"&amp;CD58&amp;FJ$1)</f>
        <v/>
      </c>
      <c r="FK58" s="30" t="str">
        <f t="shared" ref="FK58:FK62" si="646">IF(CE58="","","|n"&amp;FK$2&amp;"+"&amp;CE58&amp;FK$1)</f>
        <v/>
      </c>
      <c r="FL58" s="30" t="str">
        <f t="shared" ref="FL58:FL62" si="647">IF(CF58="","","|n"&amp;FL$2&amp;"+"&amp;CF58&amp;FL$1)</f>
        <v/>
      </c>
      <c r="FM58" s="30" t="str">
        <f t="shared" ref="FM58:FM62" si="648">IF(CG58="","","|n"&amp;FM$2&amp;"+"&amp;CG58&amp;FM$1)</f>
        <v/>
      </c>
      <c r="FN58" s="30" t="str">
        <f t="shared" ref="FN58:FN62" si="649">IF(CH58="","","|n"&amp;FN$2&amp;"+"&amp;CH58&amp;FN$1)</f>
        <v/>
      </c>
      <c r="FO58" s="30" t="str">
        <f t="shared" ref="FO58:FO62" si="650">IF(CI58="","","|n"&amp;FO$2&amp;"+"&amp;CI58&amp;FO$1)</f>
        <v/>
      </c>
      <c r="FP58" s="30" t="str">
        <f t="shared" ref="FP58:FP62" si="651">IF(CJ58="","","|n"&amp;FP$2&amp;"+"&amp;CJ58&amp;FP$1)</f>
        <v/>
      </c>
      <c r="FQ58" s="30" t="str">
        <f t="shared" ref="FQ58:FQ62" si="652">IF(CK58="","","|n"&amp;FQ$2&amp;"+"&amp;CK58&amp;FQ$1)</f>
        <v/>
      </c>
      <c r="FR58" s="30" t="str">
        <f t="shared" ref="FR58:FR62" si="653">IF(CL58="","","|n"&amp;FR$2&amp;"+"&amp;CL58&amp;FR$1)</f>
        <v/>
      </c>
      <c r="FS58" s="30" t="str">
        <f t="shared" ref="FS58:FS62" si="654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0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">
        <v>605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3"/>
        <v>InitUnitState('E207',,,9,,9168,,46,,,)</v>
      </c>
      <c r="CO59" s="44" t="str">
        <f t="shared" si="294"/>
        <v>InitUnitNormal('E207',,,,,,,,,,)</v>
      </c>
      <c r="CP59" s="44" t="str">
        <f t="shared" si="295"/>
        <v>InitUnitMagic('E207',,,,,,,,,,)</v>
      </c>
      <c r="CQ59" s="44" t="str">
        <f t="shared" si="296"/>
        <v>InitUnitAdd('E207',,,,,,,,,,)</v>
      </c>
      <c r="CR59" s="44" t="str">
        <f t="shared" si="441"/>
        <v>InitEquipData('E207',,"",,E208,7000,,'','','','','','',"ReplaceableTextures\\CommandButtons\\BTNZ14.blp")</v>
      </c>
      <c r="CS59" s="44"/>
      <c r="CT59" s="44"/>
      <c r="CU59" s="45" t="str">
        <f t="shared" si="584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85"/>
        <v/>
      </c>
      <c r="DC59" s="30" t="str">
        <f t="shared" si="586"/>
        <v/>
      </c>
      <c r="DD59" s="30" t="str">
        <f t="shared" si="587"/>
        <v>|n护甲+9</v>
      </c>
      <c r="DE59" s="30" t="str">
        <f t="shared" si="588"/>
        <v/>
      </c>
      <c r="DF59" s="30" t="str">
        <f t="shared" si="589"/>
        <v>|n生命值+9168</v>
      </c>
      <c r="DG59" s="30" t="str">
        <f t="shared" si="590"/>
        <v/>
      </c>
      <c r="DH59" s="30" t="str">
        <f t="shared" si="591"/>
        <v>|n生命回复+46</v>
      </c>
      <c r="DI59" s="30" t="str">
        <f t="shared" si="592"/>
        <v/>
      </c>
      <c r="DJ59" s="30" t="str">
        <f t="shared" si="593"/>
        <v/>
      </c>
      <c r="DK59" s="30" t="str">
        <f t="shared" si="594"/>
        <v/>
      </c>
      <c r="DL59" s="30" t="str">
        <f t="shared" si="595"/>
        <v/>
      </c>
      <c r="DM59" s="30" t="str">
        <f t="shared" si="596"/>
        <v/>
      </c>
      <c r="DN59" s="30" t="str">
        <f t="shared" si="597"/>
        <v/>
      </c>
      <c r="DO59" s="30" t="str">
        <f t="shared" si="598"/>
        <v/>
      </c>
      <c r="DP59" s="30" t="str">
        <f t="shared" si="599"/>
        <v/>
      </c>
      <c r="DQ59" s="30" t="str">
        <f t="shared" si="600"/>
        <v/>
      </c>
      <c r="DR59" s="30" t="str">
        <f t="shared" si="601"/>
        <v/>
      </c>
      <c r="DS59" s="30" t="str">
        <f t="shared" si="602"/>
        <v/>
      </c>
      <c r="DT59" s="30" t="str">
        <f t="shared" si="603"/>
        <v/>
      </c>
      <c r="DU59" s="30" t="str">
        <f t="shared" si="604"/>
        <v/>
      </c>
      <c r="DV59" s="30" t="str">
        <f t="shared" si="605"/>
        <v/>
      </c>
      <c r="DW59" s="30" t="str">
        <f t="shared" si="606"/>
        <v/>
      </c>
      <c r="DX59" s="30" t="str">
        <f t="shared" si="607"/>
        <v/>
      </c>
      <c r="DY59" s="30" t="str">
        <f t="shared" si="608"/>
        <v/>
      </c>
      <c r="DZ59" s="30" t="str">
        <f t="shared" si="609"/>
        <v/>
      </c>
      <c r="EA59" s="30" t="str">
        <f t="shared" si="610"/>
        <v/>
      </c>
      <c r="EB59" s="30" t="str">
        <f t="shared" si="611"/>
        <v/>
      </c>
      <c r="EC59" s="30" t="str">
        <f t="shared" si="612"/>
        <v/>
      </c>
      <c r="ED59" s="30" t="str">
        <f t="shared" si="613"/>
        <v/>
      </c>
      <c r="EE59" s="30" t="str">
        <f t="shared" si="614"/>
        <v/>
      </c>
      <c r="EF59" s="30" t="str">
        <f t="shared" si="615"/>
        <v/>
      </c>
      <c r="EG59" s="30" t="str">
        <f t="shared" si="616"/>
        <v/>
      </c>
      <c r="EH59" s="30" t="str">
        <f t="shared" si="617"/>
        <v/>
      </c>
      <c r="EI59" s="30" t="str">
        <f t="shared" si="618"/>
        <v/>
      </c>
      <c r="EJ59" s="30" t="str">
        <f t="shared" si="619"/>
        <v/>
      </c>
      <c r="EK59" s="30" t="str">
        <f t="shared" si="620"/>
        <v/>
      </c>
      <c r="EL59" s="30" t="str">
        <f t="shared" si="621"/>
        <v/>
      </c>
      <c r="EM59" s="30" t="str">
        <f t="shared" si="622"/>
        <v/>
      </c>
      <c r="EN59" s="30" t="str">
        <f t="shared" si="623"/>
        <v/>
      </c>
      <c r="EO59" s="30" t="str">
        <f t="shared" si="624"/>
        <v/>
      </c>
      <c r="EP59" s="30" t="str">
        <f t="shared" si="625"/>
        <v/>
      </c>
      <c r="EQ59" s="30" t="str">
        <f t="shared" si="626"/>
        <v/>
      </c>
      <c r="ER59" s="30" t="str">
        <f t="shared" si="627"/>
        <v/>
      </c>
      <c r="ES59" s="30" t="str">
        <f t="shared" si="628"/>
        <v/>
      </c>
      <c r="ET59" s="30" t="str">
        <f t="shared" si="629"/>
        <v/>
      </c>
      <c r="EU59" s="30" t="str">
        <f t="shared" si="630"/>
        <v/>
      </c>
      <c r="EV59" s="30" t="str">
        <f t="shared" si="631"/>
        <v/>
      </c>
      <c r="EW59" s="30" t="str">
        <f t="shared" si="632"/>
        <v/>
      </c>
      <c r="EX59" s="30" t="str">
        <f t="shared" si="633"/>
        <v/>
      </c>
      <c r="EY59" s="30" t="str">
        <f t="shared" si="634"/>
        <v/>
      </c>
      <c r="EZ59" s="30" t="str">
        <f t="shared" si="635"/>
        <v/>
      </c>
      <c r="FA59" s="30" t="str">
        <f t="shared" si="636"/>
        <v/>
      </c>
      <c r="FB59" s="30" t="str">
        <f t="shared" si="637"/>
        <v/>
      </c>
      <c r="FC59" s="30" t="str">
        <f t="shared" si="638"/>
        <v/>
      </c>
      <c r="FD59" s="30" t="str">
        <f t="shared" si="639"/>
        <v/>
      </c>
      <c r="FE59" s="30" t="str">
        <f t="shared" si="640"/>
        <v/>
      </c>
      <c r="FF59" s="30" t="str">
        <f t="shared" si="641"/>
        <v/>
      </c>
      <c r="FG59" s="30" t="str">
        <f t="shared" si="642"/>
        <v/>
      </c>
      <c r="FH59" s="30" t="str">
        <f t="shared" si="643"/>
        <v/>
      </c>
      <c r="FI59" s="30" t="str">
        <f t="shared" si="644"/>
        <v/>
      </c>
      <c r="FJ59" s="30" t="str">
        <f t="shared" si="645"/>
        <v/>
      </c>
      <c r="FK59" s="30" t="str">
        <f t="shared" si="646"/>
        <v/>
      </c>
      <c r="FL59" s="30" t="str">
        <f t="shared" si="647"/>
        <v/>
      </c>
      <c r="FM59" s="30" t="str">
        <f t="shared" si="648"/>
        <v/>
      </c>
      <c r="FN59" s="30" t="str">
        <f t="shared" si="649"/>
        <v/>
      </c>
      <c r="FO59" s="30" t="str">
        <f t="shared" si="650"/>
        <v/>
      </c>
      <c r="FP59" s="30" t="str">
        <f t="shared" si="651"/>
        <v/>
      </c>
      <c r="FQ59" s="30" t="str">
        <f t="shared" si="652"/>
        <v/>
      </c>
      <c r="FR59" s="30" t="str">
        <f t="shared" si="653"/>
        <v/>
      </c>
      <c r="FS59" s="30" t="str">
        <f t="shared" si="654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0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">
        <v>605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3"/>
        <v>InitUnitState('E208',,,11,,10704,,54,,,)</v>
      </c>
      <c r="CO60" s="44" t="str">
        <f t="shared" si="294"/>
        <v>InitUnitNormal('E208',,,,,,,,,,)</v>
      </c>
      <c r="CP60" s="44" t="str">
        <f t="shared" si="295"/>
        <v>InitUnitMagic('E208',,,,,,,,,,)</v>
      </c>
      <c r="CQ60" s="44" t="str">
        <f t="shared" si="296"/>
        <v>InitUnitAdd('E208',,,,,,,,,,)</v>
      </c>
      <c r="CR60" s="44" t="str">
        <f t="shared" si="441"/>
        <v>InitEquipData('E208',,"",,E209,7000,,'','','','','','',"ReplaceableTextures\\CommandButtons\\BTNZ14.blp")</v>
      </c>
      <c r="CS60" s="44"/>
      <c r="CT60" s="44"/>
      <c r="CU60" s="45" t="str">
        <f t="shared" si="584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85"/>
        <v/>
      </c>
      <c r="DC60" s="30" t="str">
        <f t="shared" si="586"/>
        <v/>
      </c>
      <c r="DD60" s="30" t="str">
        <f t="shared" si="587"/>
        <v>|n护甲+11</v>
      </c>
      <c r="DE60" s="30" t="str">
        <f t="shared" si="588"/>
        <v/>
      </c>
      <c r="DF60" s="30" t="str">
        <f t="shared" si="589"/>
        <v>|n生命值+10704</v>
      </c>
      <c r="DG60" s="30" t="str">
        <f t="shared" si="590"/>
        <v/>
      </c>
      <c r="DH60" s="30" t="str">
        <f t="shared" si="591"/>
        <v>|n生命回复+54</v>
      </c>
      <c r="DI60" s="30" t="str">
        <f t="shared" si="592"/>
        <v/>
      </c>
      <c r="DJ60" s="30" t="str">
        <f t="shared" si="593"/>
        <v/>
      </c>
      <c r="DK60" s="30" t="str">
        <f t="shared" si="594"/>
        <v/>
      </c>
      <c r="DL60" s="30" t="str">
        <f t="shared" si="595"/>
        <v/>
      </c>
      <c r="DM60" s="30" t="str">
        <f t="shared" si="596"/>
        <v/>
      </c>
      <c r="DN60" s="30" t="str">
        <f t="shared" si="597"/>
        <v/>
      </c>
      <c r="DO60" s="30" t="str">
        <f t="shared" si="598"/>
        <v/>
      </c>
      <c r="DP60" s="30" t="str">
        <f t="shared" si="599"/>
        <v/>
      </c>
      <c r="DQ60" s="30" t="str">
        <f t="shared" si="600"/>
        <v/>
      </c>
      <c r="DR60" s="30" t="str">
        <f t="shared" si="601"/>
        <v/>
      </c>
      <c r="DS60" s="30" t="str">
        <f t="shared" si="602"/>
        <v/>
      </c>
      <c r="DT60" s="30" t="str">
        <f t="shared" si="603"/>
        <v/>
      </c>
      <c r="DU60" s="30" t="str">
        <f t="shared" si="604"/>
        <v/>
      </c>
      <c r="DV60" s="30" t="str">
        <f t="shared" si="605"/>
        <v/>
      </c>
      <c r="DW60" s="30" t="str">
        <f t="shared" si="606"/>
        <v/>
      </c>
      <c r="DX60" s="30" t="str">
        <f t="shared" si="607"/>
        <v/>
      </c>
      <c r="DY60" s="30" t="str">
        <f t="shared" si="608"/>
        <v/>
      </c>
      <c r="DZ60" s="30" t="str">
        <f t="shared" si="609"/>
        <v/>
      </c>
      <c r="EA60" s="30" t="str">
        <f t="shared" si="610"/>
        <v/>
      </c>
      <c r="EB60" s="30" t="str">
        <f t="shared" si="611"/>
        <v/>
      </c>
      <c r="EC60" s="30" t="str">
        <f t="shared" si="612"/>
        <v/>
      </c>
      <c r="ED60" s="30" t="str">
        <f t="shared" si="613"/>
        <v/>
      </c>
      <c r="EE60" s="30" t="str">
        <f t="shared" si="614"/>
        <v/>
      </c>
      <c r="EF60" s="30" t="str">
        <f t="shared" si="615"/>
        <v/>
      </c>
      <c r="EG60" s="30" t="str">
        <f t="shared" si="616"/>
        <v/>
      </c>
      <c r="EH60" s="30" t="str">
        <f t="shared" si="617"/>
        <v/>
      </c>
      <c r="EI60" s="30" t="str">
        <f t="shared" si="618"/>
        <v/>
      </c>
      <c r="EJ60" s="30" t="str">
        <f t="shared" si="619"/>
        <v/>
      </c>
      <c r="EK60" s="30" t="str">
        <f t="shared" si="620"/>
        <v/>
      </c>
      <c r="EL60" s="30" t="str">
        <f t="shared" si="621"/>
        <v/>
      </c>
      <c r="EM60" s="30" t="str">
        <f t="shared" si="622"/>
        <v/>
      </c>
      <c r="EN60" s="30" t="str">
        <f t="shared" si="623"/>
        <v/>
      </c>
      <c r="EO60" s="30" t="str">
        <f t="shared" si="624"/>
        <v/>
      </c>
      <c r="EP60" s="30" t="str">
        <f t="shared" si="625"/>
        <v/>
      </c>
      <c r="EQ60" s="30" t="str">
        <f t="shared" si="626"/>
        <v/>
      </c>
      <c r="ER60" s="30" t="str">
        <f t="shared" si="627"/>
        <v/>
      </c>
      <c r="ES60" s="30" t="str">
        <f t="shared" si="628"/>
        <v/>
      </c>
      <c r="ET60" s="30" t="str">
        <f t="shared" si="629"/>
        <v/>
      </c>
      <c r="EU60" s="30" t="str">
        <f t="shared" si="630"/>
        <v/>
      </c>
      <c r="EV60" s="30" t="str">
        <f t="shared" si="631"/>
        <v/>
      </c>
      <c r="EW60" s="30" t="str">
        <f t="shared" si="632"/>
        <v/>
      </c>
      <c r="EX60" s="30" t="str">
        <f t="shared" si="633"/>
        <v/>
      </c>
      <c r="EY60" s="30" t="str">
        <f t="shared" si="634"/>
        <v/>
      </c>
      <c r="EZ60" s="30" t="str">
        <f t="shared" si="635"/>
        <v/>
      </c>
      <c r="FA60" s="30" t="str">
        <f t="shared" si="636"/>
        <v/>
      </c>
      <c r="FB60" s="30" t="str">
        <f t="shared" si="637"/>
        <v/>
      </c>
      <c r="FC60" s="30" t="str">
        <f t="shared" si="638"/>
        <v/>
      </c>
      <c r="FD60" s="30" t="str">
        <f t="shared" si="639"/>
        <v/>
      </c>
      <c r="FE60" s="30" t="str">
        <f t="shared" si="640"/>
        <v/>
      </c>
      <c r="FF60" s="30" t="str">
        <f t="shared" si="641"/>
        <v/>
      </c>
      <c r="FG60" s="30" t="str">
        <f t="shared" si="642"/>
        <v/>
      </c>
      <c r="FH60" s="30" t="str">
        <f t="shared" si="643"/>
        <v/>
      </c>
      <c r="FI60" s="30" t="str">
        <f t="shared" si="644"/>
        <v/>
      </c>
      <c r="FJ60" s="30" t="str">
        <f t="shared" si="645"/>
        <v/>
      </c>
      <c r="FK60" s="30" t="str">
        <f t="shared" si="646"/>
        <v/>
      </c>
      <c r="FL60" s="30" t="str">
        <f t="shared" si="647"/>
        <v/>
      </c>
      <c r="FM60" s="30" t="str">
        <f t="shared" si="648"/>
        <v/>
      </c>
      <c r="FN60" s="30" t="str">
        <f t="shared" si="649"/>
        <v/>
      </c>
      <c r="FO60" s="30" t="str">
        <f t="shared" si="650"/>
        <v/>
      </c>
      <c r="FP60" s="30" t="str">
        <f t="shared" si="651"/>
        <v/>
      </c>
      <c r="FQ60" s="30" t="str">
        <f t="shared" si="652"/>
        <v/>
      </c>
      <c r="FR60" s="30" t="str">
        <f t="shared" si="653"/>
        <v/>
      </c>
      <c r="FS60" s="30" t="str">
        <f t="shared" si="654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0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">
        <v>605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3"/>
        <v>InitUnitState('E209',,,13,,12240,,61,,,)</v>
      </c>
      <c r="CO61" s="44" t="str">
        <f t="shared" si="294"/>
        <v>InitUnitNormal('E209',,,,,,,,,,)</v>
      </c>
      <c r="CP61" s="44" t="str">
        <f t="shared" si="295"/>
        <v>InitUnitMagic('E209',,,,,,,,,,)</v>
      </c>
      <c r="CQ61" s="44" t="str">
        <f t="shared" si="296"/>
        <v>InitUnitAdd('E209',,,,,,,,,,)</v>
      </c>
      <c r="CR61" s="44" t="str">
        <f t="shared" si="441"/>
        <v>InitEquipData('E209',,"",,E210,7000,,'','','','','','',"ReplaceableTextures\\CommandButtons\\BTNZ14.blp")</v>
      </c>
      <c r="CS61" s="44"/>
      <c r="CT61" s="44"/>
      <c r="CU61" s="45" t="str">
        <f t="shared" si="584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85"/>
        <v/>
      </c>
      <c r="DC61" s="30" t="str">
        <f t="shared" si="586"/>
        <v/>
      </c>
      <c r="DD61" s="30" t="str">
        <f t="shared" si="587"/>
        <v>|n护甲+13</v>
      </c>
      <c r="DE61" s="30" t="str">
        <f t="shared" si="588"/>
        <v/>
      </c>
      <c r="DF61" s="30" t="str">
        <f t="shared" si="589"/>
        <v>|n生命值+12240</v>
      </c>
      <c r="DG61" s="30" t="str">
        <f t="shared" si="590"/>
        <v/>
      </c>
      <c r="DH61" s="30" t="str">
        <f t="shared" si="591"/>
        <v>|n生命回复+61</v>
      </c>
      <c r="DI61" s="30" t="str">
        <f t="shared" si="592"/>
        <v/>
      </c>
      <c r="DJ61" s="30" t="str">
        <f t="shared" si="593"/>
        <v/>
      </c>
      <c r="DK61" s="30" t="str">
        <f t="shared" si="594"/>
        <v/>
      </c>
      <c r="DL61" s="30" t="str">
        <f t="shared" si="595"/>
        <v/>
      </c>
      <c r="DM61" s="30" t="str">
        <f t="shared" si="596"/>
        <v/>
      </c>
      <c r="DN61" s="30" t="str">
        <f t="shared" si="597"/>
        <v/>
      </c>
      <c r="DO61" s="30" t="str">
        <f t="shared" si="598"/>
        <v/>
      </c>
      <c r="DP61" s="30" t="str">
        <f t="shared" si="599"/>
        <v/>
      </c>
      <c r="DQ61" s="30" t="str">
        <f t="shared" si="600"/>
        <v/>
      </c>
      <c r="DR61" s="30" t="str">
        <f t="shared" si="601"/>
        <v/>
      </c>
      <c r="DS61" s="30" t="str">
        <f t="shared" si="602"/>
        <v/>
      </c>
      <c r="DT61" s="30" t="str">
        <f t="shared" si="603"/>
        <v/>
      </c>
      <c r="DU61" s="30" t="str">
        <f t="shared" si="604"/>
        <v/>
      </c>
      <c r="DV61" s="30" t="str">
        <f t="shared" si="605"/>
        <v/>
      </c>
      <c r="DW61" s="30" t="str">
        <f t="shared" si="606"/>
        <v/>
      </c>
      <c r="DX61" s="30" t="str">
        <f t="shared" si="607"/>
        <v/>
      </c>
      <c r="DY61" s="30" t="str">
        <f t="shared" si="608"/>
        <v/>
      </c>
      <c r="DZ61" s="30" t="str">
        <f t="shared" si="609"/>
        <v/>
      </c>
      <c r="EA61" s="30" t="str">
        <f t="shared" si="610"/>
        <v/>
      </c>
      <c r="EB61" s="30" t="str">
        <f t="shared" si="611"/>
        <v/>
      </c>
      <c r="EC61" s="30" t="str">
        <f t="shared" si="612"/>
        <v/>
      </c>
      <c r="ED61" s="30" t="str">
        <f t="shared" si="613"/>
        <v/>
      </c>
      <c r="EE61" s="30" t="str">
        <f t="shared" si="614"/>
        <v/>
      </c>
      <c r="EF61" s="30" t="str">
        <f t="shared" si="615"/>
        <v/>
      </c>
      <c r="EG61" s="30" t="str">
        <f t="shared" si="616"/>
        <v/>
      </c>
      <c r="EH61" s="30" t="str">
        <f t="shared" si="617"/>
        <v/>
      </c>
      <c r="EI61" s="30" t="str">
        <f t="shared" si="618"/>
        <v/>
      </c>
      <c r="EJ61" s="30" t="str">
        <f t="shared" si="619"/>
        <v/>
      </c>
      <c r="EK61" s="30" t="str">
        <f t="shared" si="620"/>
        <v/>
      </c>
      <c r="EL61" s="30" t="str">
        <f t="shared" si="621"/>
        <v/>
      </c>
      <c r="EM61" s="30" t="str">
        <f t="shared" si="622"/>
        <v/>
      </c>
      <c r="EN61" s="30" t="str">
        <f t="shared" si="623"/>
        <v/>
      </c>
      <c r="EO61" s="30" t="str">
        <f t="shared" si="624"/>
        <v/>
      </c>
      <c r="EP61" s="30" t="str">
        <f t="shared" si="625"/>
        <v/>
      </c>
      <c r="EQ61" s="30" t="str">
        <f t="shared" si="626"/>
        <v/>
      </c>
      <c r="ER61" s="30" t="str">
        <f t="shared" si="627"/>
        <v/>
      </c>
      <c r="ES61" s="30" t="str">
        <f t="shared" si="628"/>
        <v/>
      </c>
      <c r="ET61" s="30" t="str">
        <f t="shared" si="629"/>
        <v/>
      </c>
      <c r="EU61" s="30" t="str">
        <f t="shared" si="630"/>
        <v/>
      </c>
      <c r="EV61" s="30" t="str">
        <f t="shared" si="631"/>
        <v/>
      </c>
      <c r="EW61" s="30" t="str">
        <f t="shared" si="632"/>
        <v/>
      </c>
      <c r="EX61" s="30" t="str">
        <f t="shared" si="633"/>
        <v/>
      </c>
      <c r="EY61" s="30" t="str">
        <f t="shared" si="634"/>
        <v/>
      </c>
      <c r="EZ61" s="30" t="str">
        <f t="shared" si="635"/>
        <v/>
      </c>
      <c r="FA61" s="30" t="str">
        <f t="shared" si="636"/>
        <v/>
      </c>
      <c r="FB61" s="30" t="str">
        <f t="shared" si="637"/>
        <v/>
      </c>
      <c r="FC61" s="30" t="str">
        <f t="shared" si="638"/>
        <v/>
      </c>
      <c r="FD61" s="30" t="str">
        <f t="shared" si="639"/>
        <v/>
      </c>
      <c r="FE61" s="30" t="str">
        <f t="shared" si="640"/>
        <v/>
      </c>
      <c r="FF61" s="30" t="str">
        <f t="shared" si="641"/>
        <v/>
      </c>
      <c r="FG61" s="30" t="str">
        <f t="shared" si="642"/>
        <v/>
      </c>
      <c r="FH61" s="30" t="str">
        <f t="shared" si="643"/>
        <v/>
      </c>
      <c r="FI61" s="30" t="str">
        <f t="shared" si="644"/>
        <v/>
      </c>
      <c r="FJ61" s="30" t="str">
        <f t="shared" si="645"/>
        <v/>
      </c>
      <c r="FK61" s="30" t="str">
        <f t="shared" si="646"/>
        <v/>
      </c>
      <c r="FL61" s="30" t="str">
        <f t="shared" si="647"/>
        <v/>
      </c>
      <c r="FM61" s="30" t="str">
        <f t="shared" si="648"/>
        <v/>
      </c>
      <c r="FN61" s="30" t="str">
        <f t="shared" si="649"/>
        <v/>
      </c>
      <c r="FO61" s="30" t="str">
        <f t="shared" si="650"/>
        <v/>
      </c>
      <c r="FP61" s="30" t="str">
        <f t="shared" si="651"/>
        <v/>
      </c>
      <c r="FQ61" s="30" t="str">
        <f t="shared" si="652"/>
        <v/>
      </c>
      <c r="FR61" s="30" t="str">
        <f t="shared" si="653"/>
        <v/>
      </c>
      <c r="FS61" s="30" t="str">
        <f t="shared" si="654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0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">
        <v>605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3"/>
        <v>InitUnitState('E210',,,15,,13776,,69,,,)</v>
      </c>
      <c r="CO62" s="44" t="str">
        <f t="shared" si="294"/>
        <v>InitUnitNormal('E210',,,,,,,,,,)</v>
      </c>
      <c r="CP62" s="44" t="str">
        <f t="shared" si="295"/>
        <v>InitUnitMagic('E210',,,,,,,,,,)</v>
      </c>
      <c r="CQ62" s="44" t="str">
        <f t="shared" si="296"/>
        <v>InitUnitAdd('E210',,,,,,,,,,)</v>
      </c>
      <c r="CR62" s="44" t="str">
        <f t="shared" si="441"/>
        <v>InitEquipData('E210',,"",,E211,30000,,'','','','','','',"ReplaceableTextures\\CommandButtons\\BTNZ14.blp")</v>
      </c>
      <c r="CS62" s="44"/>
      <c r="CT62" s="44"/>
      <c r="CU62" s="45" t="str">
        <f t="shared" si="584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85"/>
        <v/>
      </c>
      <c r="DC62" s="30" t="str">
        <f t="shared" si="586"/>
        <v/>
      </c>
      <c r="DD62" s="30" t="str">
        <f t="shared" si="587"/>
        <v>|n护甲+15</v>
      </c>
      <c r="DE62" s="30" t="str">
        <f t="shared" si="588"/>
        <v/>
      </c>
      <c r="DF62" s="30" t="str">
        <f t="shared" si="589"/>
        <v>|n生命值+13776</v>
      </c>
      <c r="DG62" s="30" t="str">
        <f t="shared" si="590"/>
        <v/>
      </c>
      <c r="DH62" s="30" t="str">
        <f t="shared" si="591"/>
        <v>|n生命回复+69</v>
      </c>
      <c r="DI62" s="30" t="str">
        <f t="shared" si="592"/>
        <v/>
      </c>
      <c r="DJ62" s="30" t="str">
        <f t="shared" si="593"/>
        <v/>
      </c>
      <c r="DK62" s="30" t="str">
        <f t="shared" si="594"/>
        <v/>
      </c>
      <c r="DL62" s="30" t="str">
        <f t="shared" si="595"/>
        <v/>
      </c>
      <c r="DM62" s="30" t="str">
        <f t="shared" si="596"/>
        <v/>
      </c>
      <c r="DN62" s="30" t="str">
        <f t="shared" si="597"/>
        <v/>
      </c>
      <c r="DO62" s="30" t="str">
        <f t="shared" si="598"/>
        <v/>
      </c>
      <c r="DP62" s="30" t="str">
        <f t="shared" si="599"/>
        <v/>
      </c>
      <c r="DQ62" s="30" t="str">
        <f t="shared" si="600"/>
        <v/>
      </c>
      <c r="DR62" s="30" t="str">
        <f t="shared" si="601"/>
        <v/>
      </c>
      <c r="DS62" s="30" t="str">
        <f t="shared" si="602"/>
        <v/>
      </c>
      <c r="DT62" s="30" t="str">
        <f t="shared" si="603"/>
        <v/>
      </c>
      <c r="DU62" s="30" t="str">
        <f t="shared" si="604"/>
        <v/>
      </c>
      <c r="DV62" s="30" t="str">
        <f t="shared" si="605"/>
        <v/>
      </c>
      <c r="DW62" s="30" t="str">
        <f t="shared" si="606"/>
        <v/>
      </c>
      <c r="DX62" s="30" t="str">
        <f t="shared" si="607"/>
        <v/>
      </c>
      <c r="DY62" s="30" t="str">
        <f t="shared" si="608"/>
        <v/>
      </c>
      <c r="DZ62" s="30" t="str">
        <f t="shared" si="609"/>
        <v/>
      </c>
      <c r="EA62" s="30" t="str">
        <f t="shared" si="610"/>
        <v/>
      </c>
      <c r="EB62" s="30" t="str">
        <f t="shared" si="611"/>
        <v/>
      </c>
      <c r="EC62" s="30" t="str">
        <f t="shared" si="612"/>
        <v/>
      </c>
      <c r="ED62" s="30" t="str">
        <f t="shared" si="613"/>
        <v/>
      </c>
      <c r="EE62" s="30" t="str">
        <f t="shared" si="614"/>
        <v/>
      </c>
      <c r="EF62" s="30" t="str">
        <f t="shared" si="615"/>
        <v/>
      </c>
      <c r="EG62" s="30" t="str">
        <f t="shared" si="616"/>
        <v/>
      </c>
      <c r="EH62" s="30" t="str">
        <f t="shared" si="617"/>
        <v/>
      </c>
      <c r="EI62" s="30" t="str">
        <f t="shared" si="618"/>
        <v/>
      </c>
      <c r="EJ62" s="30" t="str">
        <f t="shared" si="619"/>
        <v/>
      </c>
      <c r="EK62" s="30" t="str">
        <f t="shared" si="620"/>
        <v/>
      </c>
      <c r="EL62" s="30" t="str">
        <f t="shared" si="621"/>
        <v/>
      </c>
      <c r="EM62" s="30" t="str">
        <f t="shared" si="622"/>
        <v/>
      </c>
      <c r="EN62" s="30" t="str">
        <f t="shared" si="623"/>
        <v/>
      </c>
      <c r="EO62" s="30" t="str">
        <f t="shared" si="624"/>
        <v/>
      </c>
      <c r="EP62" s="30" t="str">
        <f t="shared" si="625"/>
        <v/>
      </c>
      <c r="EQ62" s="30" t="str">
        <f t="shared" si="626"/>
        <v/>
      </c>
      <c r="ER62" s="30" t="str">
        <f t="shared" si="627"/>
        <v/>
      </c>
      <c r="ES62" s="30" t="str">
        <f t="shared" si="628"/>
        <v/>
      </c>
      <c r="ET62" s="30" t="str">
        <f t="shared" si="629"/>
        <v/>
      </c>
      <c r="EU62" s="30" t="str">
        <f t="shared" si="630"/>
        <v/>
      </c>
      <c r="EV62" s="30" t="str">
        <f t="shared" si="631"/>
        <v/>
      </c>
      <c r="EW62" s="30" t="str">
        <f t="shared" si="632"/>
        <v/>
      </c>
      <c r="EX62" s="30" t="str">
        <f t="shared" si="633"/>
        <v/>
      </c>
      <c r="EY62" s="30" t="str">
        <f t="shared" si="634"/>
        <v/>
      </c>
      <c r="EZ62" s="30" t="str">
        <f t="shared" si="635"/>
        <v/>
      </c>
      <c r="FA62" s="30" t="str">
        <f t="shared" si="636"/>
        <v/>
      </c>
      <c r="FB62" s="30" t="str">
        <f t="shared" si="637"/>
        <v/>
      </c>
      <c r="FC62" s="30" t="str">
        <f t="shared" si="638"/>
        <v/>
      </c>
      <c r="FD62" s="30" t="str">
        <f t="shared" si="639"/>
        <v/>
      </c>
      <c r="FE62" s="30" t="str">
        <f t="shared" si="640"/>
        <v/>
      </c>
      <c r="FF62" s="30" t="str">
        <f t="shared" si="641"/>
        <v/>
      </c>
      <c r="FG62" s="30" t="str">
        <f t="shared" si="642"/>
        <v/>
      </c>
      <c r="FH62" s="30" t="str">
        <f t="shared" si="643"/>
        <v/>
      </c>
      <c r="FI62" s="30" t="str">
        <f t="shared" si="644"/>
        <v/>
      </c>
      <c r="FJ62" s="30" t="str">
        <f t="shared" si="645"/>
        <v/>
      </c>
      <c r="FK62" s="30" t="str">
        <f t="shared" si="646"/>
        <v/>
      </c>
      <c r="FL62" s="30" t="str">
        <f t="shared" si="647"/>
        <v/>
      </c>
      <c r="FM62" s="30" t="str">
        <f t="shared" si="648"/>
        <v/>
      </c>
      <c r="FN62" s="30" t="str">
        <f t="shared" si="649"/>
        <v/>
      </c>
      <c r="FO62" s="30" t="str">
        <f t="shared" si="650"/>
        <v/>
      </c>
      <c r="FP62" s="30" t="str">
        <f t="shared" si="651"/>
        <v/>
      </c>
      <c r="FQ62" s="30" t="str">
        <f t="shared" si="652"/>
        <v/>
      </c>
      <c r="FR62" s="30" t="str">
        <f t="shared" si="653"/>
        <v/>
      </c>
      <c r="FS62" s="30" t="str">
        <f t="shared" si="654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0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">
        <v>606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3"/>
        <v>InitUnitState('E211',,,18,,17616,,88,,,)</v>
      </c>
      <c r="CO63" s="44" t="str">
        <f t="shared" si="294"/>
        <v>InitUnitNormal('E211',,,,,,,,,,)</v>
      </c>
      <c r="CP63" s="44" t="str">
        <f t="shared" si="295"/>
        <v>InitUnitMagic('E211',,,,,,,,,,)</v>
      </c>
      <c r="CQ63" s="44" t="str">
        <f t="shared" si="296"/>
        <v>InitUnitAdd('E211',,,,,,,,,,)</v>
      </c>
      <c r="CR63" s="44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44"/>
      <c r="CT63" s="44"/>
      <c r="CU63" s="45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57">IF(V63="","","|n"&amp;DB$2&amp;"+"&amp;V63&amp;DB$1)</f>
        <v/>
      </c>
      <c r="DC63" s="30" t="str">
        <f t="shared" ref="DC63:DC88" si="658">IF(W63="","","|n"&amp;DC$2&amp;"+"&amp;W63&amp;DC$1)</f>
        <v/>
      </c>
      <c r="DD63" s="30" t="str">
        <f t="shared" ref="DD63:DD88" si="659">IF(X63="","","|n"&amp;DD$2&amp;"+"&amp;X63&amp;DD$1)</f>
        <v>|n护甲+18</v>
      </c>
      <c r="DE63" s="30" t="str">
        <f t="shared" ref="DE63:DE88" si="660">IF(Y63="","","|n"&amp;DE$2&amp;"+"&amp;Y63&amp;DE$1)</f>
        <v/>
      </c>
      <c r="DF63" s="30" t="str">
        <f t="shared" ref="DF63:DF88" si="661">IF(Z63="","","|n"&amp;DF$2&amp;"+"&amp;Z63&amp;DF$1)</f>
        <v>|n生命值+17616</v>
      </c>
      <c r="DG63" s="30" t="str">
        <f t="shared" ref="DG63:DG88" si="662">IF(AA63="","","|n"&amp;DG$2&amp;"+"&amp;AA63&amp;DG$1)</f>
        <v/>
      </c>
      <c r="DH63" s="30" t="str">
        <f t="shared" ref="DH63:DH88" si="663">IF(AB63="","","|n"&amp;DH$2&amp;"+"&amp;AB63&amp;DH$1)</f>
        <v>|n生命回复+88</v>
      </c>
      <c r="DI63" s="30" t="str">
        <f t="shared" ref="DI63:DI88" si="664">IF(AC63="","","|n"&amp;DI$2&amp;"+"&amp;AC63&amp;DI$1)</f>
        <v/>
      </c>
      <c r="DJ63" s="30" t="str">
        <f t="shared" ref="DJ63:DJ88" si="665">IF(AD63="","","|n"&amp;DJ$2&amp;"+"&amp;AD63&amp;DJ$1)</f>
        <v/>
      </c>
      <c r="DK63" s="30" t="str">
        <f t="shared" ref="DK63:DK88" si="666">IF(AE63="","","|n"&amp;DK$2&amp;"+"&amp;AE63&amp;DK$1)</f>
        <v/>
      </c>
      <c r="DL63" s="30" t="str">
        <f t="shared" ref="DL63:DL88" si="667">IF(AF63="","","|n"&amp;DL$2&amp;"+"&amp;AF63&amp;DL$1)</f>
        <v/>
      </c>
      <c r="DM63" s="30" t="str">
        <f t="shared" ref="DM63:DM88" si="668">IF(AG63="","","|n"&amp;DM$2&amp;"+"&amp;AG63&amp;DM$1)</f>
        <v/>
      </c>
      <c r="DN63" s="30" t="str">
        <f t="shared" ref="DN63:DN88" si="669">IF(AH63="","","|n"&amp;DN$2&amp;"+"&amp;AH63&amp;DN$1)</f>
        <v/>
      </c>
      <c r="DO63" s="30" t="str">
        <f t="shared" ref="DO63:DO88" si="670">IF(AI63="","","|n"&amp;DO$2&amp;"+"&amp;AI63&amp;DO$1)</f>
        <v/>
      </c>
      <c r="DP63" s="30" t="str">
        <f t="shared" ref="DP63:DP88" si="671">IF(AJ63="","","|n"&amp;DP$2&amp;"+"&amp;AJ63&amp;DP$1)</f>
        <v/>
      </c>
      <c r="DQ63" s="30" t="str">
        <f t="shared" ref="DQ63:DQ88" si="672">IF(AK63="","","|n"&amp;DQ$2&amp;"+"&amp;AK63&amp;DQ$1)</f>
        <v/>
      </c>
      <c r="DR63" s="30" t="str">
        <f t="shared" ref="DR63:DR88" si="673">IF(AL63="","","|n"&amp;DR$2&amp;"+"&amp;AL63&amp;DR$1)</f>
        <v/>
      </c>
      <c r="DS63" s="30" t="str">
        <f t="shared" ref="DS63:DS88" si="674">IF(AM63="","","|n"&amp;DS$2&amp;"+"&amp;AM63&amp;DS$1)</f>
        <v/>
      </c>
      <c r="DT63" s="30" t="str">
        <f t="shared" ref="DT63:DT88" si="675">IF(AN63="","","|n"&amp;DT$2&amp;"+"&amp;AN63&amp;DT$1)</f>
        <v/>
      </c>
      <c r="DU63" s="30" t="str">
        <f t="shared" ref="DU63:DU88" si="676">IF(AO63="","","|n"&amp;DU$2&amp;"+"&amp;AO63&amp;DU$1)</f>
        <v/>
      </c>
      <c r="DV63" s="30" t="str">
        <f t="shared" ref="DV63:DV88" si="677">IF(AP63="","","|n"&amp;DV$2&amp;"+"&amp;AP63&amp;DV$1)</f>
        <v/>
      </c>
      <c r="DW63" s="30" t="str">
        <f t="shared" ref="DW63:DW88" si="678">IF(AQ63="","","|n"&amp;DW$2&amp;"+"&amp;AQ63&amp;DW$1)</f>
        <v/>
      </c>
      <c r="DX63" s="30" t="str">
        <f t="shared" ref="DX63:DX88" si="679">IF(AR63="","","|n"&amp;DX$2&amp;"+"&amp;AR63&amp;DX$1)</f>
        <v/>
      </c>
      <c r="DY63" s="30" t="str">
        <f t="shared" ref="DY63:DY88" si="680">IF(AS63="","","|n"&amp;DY$2&amp;"+"&amp;AS63&amp;DY$1)</f>
        <v/>
      </c>
      <c r="DZ63" s="30" t="str">
        <f t="shared" ref="DZ63:DZ88" si="681">IF(AT63="","","|n"&amp;DZ$2&amp;"+"&amp;AT63&amp;DZ$1)</f>
        <v/>
      </c>
      <c r="EA63" s="30" t="str">
        <f t="shared" ref="EA63:EA88" si="682">IF(AU63="","","|n"&amp;EA$2&amp;"+"&amp;AU63&amp;EA$1)</f>
        <v/>
      </c>
      <c r="EB63" s="30" t="str">
        <f t="shared" ref="EB63:EB88" si="683">IF(AV63="","","|n"&amp;EB$2&amp;"+"&amp;AV63&amp;EB$1)</f>
        <v/>
      </c>
      <c r="EC63" s="30" t="str">
        <f t="shared" ref="EC63:EC88" si="684">IF(AW63="","","|n"&amp;EC$2&amp;"+"&amp;AW63&amp;EC$1)</f>
        <v/>
      </c>
      <c r="ED63" s="30" t="str">
        <f t="shared" ref="ED63:ED88" si="685">IF(AX63="","","|n"&amp;ED$2&amp;"+"&amp;AX63&amp;ED$1)</f>
        <v/>
      </c>
      <c r="EE63" s="30" t="str">
        <f t="shared" ref="EE63:EE88" si="686">IF(AY63="","","|n"&amp;EE$2&amp;"+"&amp;AY63&amp;EE$1)</f>
        <v/>
      </c>
      <c r="EF63" s="30" t="str">
        <f t="shared" ref="EF63:EF88" si="687">IF(AZ63="","","|n"&amp;EF$2&amp;"+"&amp;AZ63&amp;EF$1)</f>
        <v/>
      </c>
      <c r="EG63" s="30" t="str">
        <f t="shared" ref="EG63:EG88" si="688">IF(BA63="","","|n"&amp;EG$2&amp;"+"&amp;BA63&amp;EG$1)</f>
        <v/>
      </c>
      <c r="EH63" s="30" t="str">
        <f t="shared" ref="EH63:EH88" si="689">IF(BB63="","","|n"&amp;EH$2&amp;"+"&amp;BB63&amp;EH$1)</f>
        <v/>
      </c>
      <c r="EI63" s="30" t="str">
        <f t="shared" ref="EI63:EI88" si="690">IF(BC63="","","|n"&amp;EI$2&amp;"+"&amp;BC63&amp;EI$1)</f>
        <v/>
      </c>
      <c r="EJ63" s="30" t="str">
        <f t="shared" ref="EJ63:EJ88" si="691">IF(BD63="","","|n"&amp;EJ$2&amp;"+"&amp;BD63&amp;EJ$1)</f>
        <v/>
      </c>
      <c r="EK63" s="30" t="str">
        <f t="shared" ref="EK63:EK88" si="692">IF(BE63="","","|n"&amp;EK$2&amp;"+"&amp;BE63&amp;EK$1)</f>
        <v/>
      </c>
      <c r="EL63" s="30" t="str">
        <f t="shared" ref="EL63:EL88" si="693">IF(BF63="","","|n"&amp;EL$2&amp;"+"&amp;BF63&amp;EL$1)</f>
        <v/>
      </c>
      <c r="EM63" s="30" t="str">
        <f t="shared" ref="EM63:EM88" si="694">IF(BG63="","","|n"&amp;EM$2&amp;"+"&amp;BG63&amp;EM$1)</f>
        <v/>
      </c>
      <c r="EN63" s="30" t="str">
        <f t="shared" ref="EN63:EN88" si="695">IF(BH63="","","|n"&amp;EN$2&amp;"+"&amp;BH63&amp;EN$1)</f>
        <v/>
      </c>
      <c r="EO63" s="30" t="str">
        <f t="shared" ref="EO63:EO88" si="696">IF(BI63="","","|n"&amp;EO$2&amp;"+"&amp;BI63&amp;EO$1)</f>
        <v/>
      </c>
      <c r="EP63" s="30" t="str">
        <f t="shared" ref="EP63:EP88" si="697">IF(BJ63="","","|n"&amp;EP$2&amp;"+"&amp;BJ63&amp;EP$1)</f>
        <v/>
      </c>
      <c r="EQ63" s="30" t="str">
        <f t="shared" ref="EQ63:EQ88" si="698">IF(BK63="","","|n"&amp;EQ$2&amp;"+"&amp;BK63&amp;EQ$1)</f>
        <v/>
      </c>
      <c r="ER63" s="30" t="str">
        <f t="shared" ref="ER63:ER88" si="699">IF(BL63="","","|n"&amp;ER$2&amp;"+"&amp;BL63&amp;ER$1)</f>
        <v/>
      </c>
      <c r="ES63" s="30" t="str">
        <f t="shared" ref="ES63:ES88" si="700">IF(BM63="","","|n"&amp;ES$2&amp;"+"&amp;BM63&amp;ES$1)</f>
        <v/>
      </c>
      <c r="ET63" s="30" t="str">
        <f t="shared" ref="ET63:ET88" si="701">IF(BN63="","","|n"&amp;ET$2&amp;"+"&amp;BN63&amp;ET$1)</f>
        <v/>
      </c>
      <c r="EU63" s="30" t="str">
        <f t="shared" ref="EU63:EU88" si="702">IF(BO63="","","|n"&amp;EU$2&amp;"+"&amp;BO63&amp;EU$1)</f>
        <v/>
      </c>
      <c r="EV63" s="30" t="str">
        <f t="shared" ref="EV63:EV88" si="703">IF(BP63="","","|n"&amp;EV$2&amp;"+"&amp;BP63&amp;EV$1)</f>
        <v/>
      </c>
      <c r="EW63" s="30" t="str">
        <f t="shared" ref="EW63:EW88" si="704">IF(BQ63="","","|n"&amp;EW$2&amp;"+"&amp;BQ63&amp;EW$1)</f>
        <v/>
      </c>
      <c r="EX63" s="30" t="str">
        <f t="shared" ref="EX63:EX88" si="705">IF(BR63="","","|n"&amp;EX$2&amp;"+"&amp;BR63&amp;EX$1)</f>
        <v/>
      </c>
      <c r="EY63" s="30" t="str">
        <f t="shared" ref="EY63:EY88" si="706">IF(BS63="","","|n"&amp;EY$2&amp;"+"&amp;BS63&amp;EY$1)</f>
        <v/>
      </c>
      <c r="EZ63" s="30" t="str">
        <f t="shared" ref="EZ63:EZ88" si="707">IF(BT63="","","|n"&amp;EZ$2&amp;"+"&amp;BT63&amp;EZ$1)</f>
        <v/>
      </c>
      <c r="FA63" s="30" t="str">
        <f t="shared" ref="FA63:FA88" si="708">IF(BU63="","","|n"&amp;FA$2&amp;"+"&amp;BU63&amp;FA$1)</f>
        <v/>
      </c>
      <c r="FB63" s="30" t="str">
        <f t="shared" ref="FB63:FB88" si="709">IF(BV63="","","|n"&amp;FB$2&amp;"+"&amp;BV63&amp;FB$1)</f>
        <v/>
      </c>
      <c r="FC63" s="30" t="str">
        <f t="shared" ref="FC63:FC88" si="710">IF(BW63="","","|n"&amp;FC$2&amp;"+"&amp;BW63&amp;FC$1)</f>
        <v/>
      </c>
      <c r="FD63" s="30" t="str">
        <f t="shared" ref="FD63:FD88" si="711">IF(BX63="","","|n"&amp;FD$2&amp;"+"&amp;BX63&amp;FD$1)</f>
        <v/>
      </c>
      <c r="FE63" s="30" t="str">
        <f t="shared" ref="FE63:FE88" si="712">IF(BY63="","","|n"&amp;FE$2&amp;"+"&amp;BY63&amp;FE$1)</f>
        <v/>
      </c>
      <c r="FF63" s="30" t="str">
        <f t="shared" ref="FF63:FF88" si="713">IF(BZ63="","","|n"&amp;FF$2&amp;"+"&amp;BZ63&amp;FF$1)</f>
        <v/>
      </c>
      <c r="FG63" s="30" t="str">
        <f t="shared" ref="FG63:FG88" si="714">IF(CA63="","","|n"&amp;FG$2&amp;"+"&amp;CA63&amp;FG$1)</f>
        <v/>
      </c>
      <c r="FH63" s="30" t="str">
        <f t="shared" ref="FH63:FH88" si="715">IF(CB63="","","|n"&amp;FH$2&amp;"+"&amp;CB63&amp;FH$1)</f>
        <v/>
      </c>
      <c r="FI63" s="30" t="str">
        <f t="shared" ref="FI63:FI88" si="716">IF(CC63="","","|n"&amp;FI$2&amp;"+"&amp;CC63&amp;FI$1)</f>
        <v/>
      </c>
      <c r="FJ63" s="30" t="str">
        <f t="shared" ref="FJ63:FJ88" si="717">IF(CD63="","","|n"&amp;FJ$2&amp;"+"&amp;CD63&amp;FJ$1)</f>
        <v/>
      </c>
      <c r="FK63" s="30" t="str">
        <f t="shared" ref="FK63:FK88" si="718">IF(CE63="","","|n"&amp;FK$2&amp;"+"&amp;CE63&amp;FK$1)</f>
        <v/>
      </c>
      <c r="FL63" s="30" t="str">
        <f t="shared" ref="FL63:FL88" si="719">IF(CF63="","","|n"&amp;FL$2&amp;"+"&amp;CF63&amp;FL$1)</f>
        <v/>
      </c>
      <c r="FM63" s="30" t="str">
        <f t="shared" ref="FM63:FM88" si="720">IF(CG63="","","|n"&amp;FM$2&amp;"+"&amp;CG63&amp;FM$1)</f>
        <v/>
      </c>
      <c r="FN63" s="30" t="str">
        <f t="shared" ref="FN63:FN88" si="721">IF(CH63="","","|n"&amp;FN$2&amp;"+"&amp;CH63&amp;FN$1)</f>
        <v/>
      </c>
      <c r="FO63" s="30" t="str">
        <f t="shared" ref="FO63:FO88" si="722">IF(CI63="","","|n"&amp;FO$2&amp;"+"&amp;CI63&amp;FO$1)</f>
        <v/>
      </c>
      <c r="FP63" s="30" t="str">
        <f t="shared" ref="FP63:FP88" si="723">IF(CJ63="","","|n"&amp;FP$2&amp;"+"&amp;CJ63&amp;FP$1)</f>
        <v/>
      </c>
      <c r="FQ63" s="30" t="str">
        <f t="shared" ref="FQ63:FQ88" si="724">IF(CK63="","","|n"&amp;FQ$2&amp;"+"&amp;CK63&amp;FQ$1)</f>
        <v/>
      </c>
      <c r="FR63" s="30" t="str">
        <f t="shared" ref="FR63:FR88" si="725">IF(CL63="","","|n"&amp;FR$2&amp;"+"&amp;CL63&amp;FR$1)</f>
        <v/>
      </c>
      <c r="FS63" s="30" t="str">
        <f t="shared" ref="FS63:FS88" si="726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0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">
        <v>606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3"/>
        <v>InitUnitState('E212',,,21,,21456,,107,,,)</v>
      </c>
      <c r="CO64" s="44" t="str">
        <f t="shared" si="294"/>
        <v>InitUnitNormal('E212',,,,,,,,,,)</v>
      </c>
      <c r="CP64" s="44" t="str">
        <f t="shared" si="295"/>
        <v>InitUnitMagic('E212',,,,,,,,,,)</v>
      </c>
      <c r="CQ64" s="44" t="str">
        <f t="shared" si="296"/>
        <v>InitUnitAdd('E212',,,,,,,,,,)</v>
      </c>
      <c r="CR64" s="44" t="str">
        <f t="shared" si="655"/>
        <v>InitEquipData('E212',,"",,E213,10000,,'','','','','','',"ReplaceableTextures\\CommandButtons\\BTNZ13.blp")</v>
      </c>
      <c r="CS64" s="44"/>
      <c r="CT64" s="44"/>
      <c r="CU64" s="45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28">IF(V64="","","|n"&amp;DB$2&amp;"+"&amp;V64&amp;DB$1)</f>
        <v/>
      </c>
      <c r="DC64" s="30" t="str">
        <f t="shared" ref="DC64:DC65" si="729">IF(W64="","","|n"&amp;DC$2&amp;"+"&amp;W64&amp;DC$1)</f>
        <v/>
      </c>
      <c r="DD64" s="30" t="str">
        <f t="shared" ref="DD64:DD65" si="730">IF(X64="","","|n"&amp;DD$2&amp;"+"&amp;X64&amp;DD$1)</f>
        <v>|n护甲+21</v>
      </c>
      <c r="DE64" s="30" t="str">
        <f t="shared" ref="DE64:DE65" si="731">IF(Y64="","","|n"&amp;DE$2&amp;"+"&amp;Y64&amp;DE$1)</f>
        <v/>
      </c>
      <c r="DF64" s="30" t="str">
        <f t="shared" ref="DF64:DF65" si="732">IF(Z64="","","|n"&amp;DF$2&amp;"+"&amp;Z64&amp;DF$1)</f>
        <v>|n生命值+21456</v>
      </c>
      <c r="DG64" s="30" t="str">
        <f t="shared" ref="DG64:DG65" si="733">IF(AA64="","","|n"&amp;DG$2&amp;"+"&amp;AA64&amp;DG$1)</f>
        <v/>
      </c>
      <c r="DH64" s="30" t="str">
        <f t="shared" ref="DH64:DH65" si="734">IF(AB64="","","|n"&amp;DH$2&amp;"+"&amp;AB64&amp;DH$1)</f>
        <v>|n生命回复+107</v>
      </c>
      <c r="DI64" s="30" t="str">
        <f t="shared" ref="DI64:DI65" si="735">IF(AC64="","","|n"&amp;DI$2&amp;"+"&amp;AC64&amp;DI$1)</f>
        <v/>
      </c>
      <c r="DJ64" s="30" t="str">
        <f t="shared" ref="DJ64:DJ65" si="736">IF(AD64="","","|n"&amp;DJ$2&amp;"+"&amp;AD64&amp;DJ$1)</f>
        <v/>
      </c>
      <c r="DK64" s="30" t="str">
        <f t="shared" ref="DK64:DK65" si="737">IF(AE64="","","|n"&amp;DK$2&amp;"+"&amp;AE64&amp;DK$1)</f>
        <v/>
      </c>
      <c r="DL64" s="30" t="str">
        <f t="shared" ref="DL64:DL65" si="738">IF(AF64="","","|n"&amp;DL$2&amp;"+"&amp;AF64&amp;DL$1)</f>
        <v/>
      </c>
      <c r="DM64" s="30" t="str">
        <f t="shared" ref="DM64:DM65" si="739">IF(AG64="","","|n"&amp;DM$2&amp;"+"&amp;AG64&amp;DM$1)</f>
        <v/>
      </c>
      <c r="DN64" s="30" t="str">
        <f t="shared" ref="DN64:DN65" si="740">IF(AH64="","","|n"&amp;DN$2&amp;"+"&amp;AH64&amp;DN$1)</f>
        <v/>
      </c>
      <c r="DO64" s="30" t="str">
        <f t="shared" ref="DO64:DO65" si="741">IF(AI64="","","|n"&amp;DO$2&amp;"+"&amp;AI64&amp;DO$1)</f>
        <v/>
      </c>
      <c r="DP64" s="30" t="str">
        <f t="shared" ref="DP64:DP65" si="742">IF(AJ64="","","|n"&amp;DP$2&amp;"+"&amp;AJ64&amp;DP$1)</f>
        <v/>
      </c>
      <c r="DQ64" s="30" t="str">
        <f t="shared" ref="DQ64:DQ65" si="743">IF(AK64="","","|n"&amp;DQ$2&amp;"+"&amp;AK64&amp;DQ$1)</f>
        <v/>
      </c>
      <c r="DR64" s="30" t="str">
        <f t="shared" ref="DR64:DR65" si="744">IF(AL64="","","|n"&amp;DR$2&amp;"+"&amp;AL64&amp;DR$1)</f>
        <v/>
      </c>
      <c r="DS64" s="30" t="str">
        <f t="shared" ref="DS64:DS65" si="745">IF(AM64="","","|n"&amp;DS$2&amp;"+"&amp;AM64&amp;DS$1)</f>
        <v/>
      </c>
      <c r="DT64" s="30" t="str">
        <f t="shared" ref="DT64:DT65" si="746">IF(AN64="","","|n"&amp;DT$2&amp;"+"&amp;AN64&amp;DT$1)</f>
        <v/>
      </c>
      <c r="DU64" s="30" t="str">
        <f t="shared" ref="DU64:DU65" si="747">IF(AO64="","","|n"&amp;DU$2&amp;"+"&amp;AO64&amp;DU$1)</f>
        <v/>
      </c>
      <c r="DV64" s="30" t="str">
        <f t="shared" ref="DV64:DV65" si="748">IF(AP64="","","|n"&amp;DV$2&amp;"+"&amp;AP64&amp;DV$1)</f>
        <v/>
      </c>
      <c r="DW64" s="30" t="str">
        <f t="shared" ref="DW64:DW65" si="749">IF(AQ64="","","|n"&amp;DW$2&amp;"+"&amp;AQ64&amp;DW$1)</f>
        <v/>
      </c>
      <c r="DX64" s="30" t="str">
        <f t="shared" ref="DX64:DX65" si="750">IF(AR64="","","|n"&amp;DX$2&amp;"+"&amp;AR64&amp;DX$1)</f>
        <v/>
      </c>
      <c r="DY64" s="30" t="str">
        <f t="shared" ref="DY64:DY65" si="751">IF(AS64="","","|n"&amp;DY$2&amp;"+"&amp;AS64&amp;DY$1)</f>
        <v/>
      </c>
      <c r="DZ64" s="30" t="str">
        <f t="shared" ref="DZ64:DZ65" si="752">IF(AT64="","","|n"&amp;DZ$2&amp;"+"&amp;AT64&amp;DZ$1)</f>
        <v/>
      </c>
      <c r="EA64" s="30" t="str">
        <f t="shared" ref="EA64:EA65" si="753">IF(AU64="","","|n"&amp;EA$2&amp;"+"&amp;AU64&amp;EA$1)</f>
        <v/>
      </c>
      <c r="EB64" s="30" t="str">
        <f t="shared" ref="EB64:EB65" si="754">IF(AV64="","","|n"&amp;EB$2&amp;"+"&amp;AV64&amp;EB$1)</f>
        <v/>
      </c>
      <c r="EC64" s="30" t="str">
        <f t="shared" ref="EC64:EC65" si="755">IF(AW64="","","|n"&amp;EC$2&amp;"+"&amp;AW64&amp;EC$1)</f>
        <v/>
      </c>
      <c r="ED64" s="30" t="str">
        <f t="shared" ref="ED64:ED65" si="756">IF(AX64="","","|n"&amp;ED$2&amp;"+"&amp;AX64&amp;ED$1)</f>
        <v/>
      </c>
      <c r="EE64" s="30" t="str">
        <f t="shared" ref="EE64:EE65" si="757">IF(AY64="","","|n"&amp;EE$2&amp;"+"&amp;AY64&amp;EE$1)</f>
        <v/>
      </c>
      <c r="EF64" s="30" t="str">
        <f t="shared" ref="EF64:EF65" si="758">IF(AZ64="","","|n"&amp;EF$2&amp;"+"&amp;AZ64&amp;EF$1)</f>
        <v/>
      </c>
      <c r="EG64" s="30" t="str">
        <f t="shared" ref="EG64:EG65" si="759">IF(BA64="","","|n"&amp;EG$2&amp;"+"&amp;BA64&amp;EG$1)</f>
        <v/>
      </c>
      <c r="EH64" s="30" t="str">
        <f t="shared" ref="EH64:EH65" si="760">IF(BB64="","","|n"&amp;EH$2&amp;"+"&amp;BB64&amp;EH$1)</f>
        <v/>
      </c>
      <c r="EI64" s="30" t="str">
        <f t="shared" ref="EI64:EI65" si="761">IF(BC64="","","|n"&amp;EI$2&amp;"+"&amp;BC64&amp;EI$1)</f>
        <v/>
      </c>
      <c r="EJ64" s="30" t="str">
        <f t="shared" ref="EJ64:EJ65" si="762">IF(BD64="","","|n"&amp;EJ$2&amp;"+"&amp;BD64&amp;EJ$1)</f>
        <v/>
      </c>
      <c r="EK64" s="30" t="str">
        <f t="shared" ref="EK64:EK65" si="763">IF(BE64="","","|n"&amp;EK$2&amp;"+"&amp;BE64&amp;EK$1)</f>
        <v/>
      </c>
      <c r="EL64" s="30" t="str">
        <f t="shared" ref="EL64:EL65" si="764">IF(BF64="","","|n"&amp;EL$2&amp;"+"&amp;BF64&amp;EL$1)</f>
        <v/>
      </c>
      <c r="EM64" s="30" t="str">
        <f t="shared" ref="EM64:EM65" si="765">IF(BG64="","","|n"&amp;EM$2&amp;"+"&amp;BG64&amp;EM$1)</f>
        <v/>
      </c>
      <c r="EN64" s="30" t="str">
        <f t="shared" ref="EN64:EN65" si="766">IF(BH64="","","|n"&amp;EN$2&amp;"+"&amp;BH64&amp;EN$1)</f>
        <v/>
      </c>
      <c r="EO64" s="30" t="str">
        <f t="shared" ref="EO64:EO65" si="767">IF(BI64="","","|n"&amp;EO$2&amp;"+"&amp;BI64&amp;EO$1)</f>
        <v/>
      </c>
      <c r="EP64" s="30" t="str">
        <f t="shared" ref="EP64:EP65" si="768">IF(BJ64="","","|n"&amp;EP$2&amp;"+"&amp;BJ64&amp;EP$1)</f>
        <v/>
      </c>
      <c r="EQ64" s="30" t="str">
        <f t="shared" ref="EQ64:EQ65" si="769">IF(BK64="","","|n"&amp;EQ$2&amp;"+"&amp;BK64&amp;EQ$1)</f>
        <v/>
      </c>
      <c r="ER64" s="30" t="str">
        <f t="shared" ref="ER64:ER65" si="770">IF(BL64="","","|n"&amp;ER$2&amp;"+"&amp;BL64&amp;ER$1)</f>
        <v/>
      </c>
      <c r="ES64" s="30" t="str">
        <f t="shared" ref="ES64:ES65" si="771">IF(BM64="","","|n"&amp;ES$2&amp;"+"&amp;BM64&amp;ES$1)</f>
        <v/>
      </c>
      <c r="ET64" s="30" t="str">
        <f t="shared" ref="ET64:ET65" si="772">IF(BN64="","","|n"&amp;ET$2&amp;"+"&amp;BN64&amp;ET$1)</f>
        <v/>
      </c>
      <c r="EU64" s="30" t="str">
        <f t="shared" ref="EU64:EU65" si="773">IF(BO64="","","|n"&amp;EU$2&amp;"+"&amp;BO64&amp;EU$1)</f>
        <v/>
      </c>
      <c r="EV64" s="30" t="str">
        <f t="shared" ref="EV64:EV65" si="774">IF(BP64="","","|n"&amp;EV$2&amp;"+"&amp;BP64&amp;EV$1)</f>
        <v/>
      </c>
      <c r="EW64" s="30" t="str">
        <f t="shared" ref="EW64:EW65" si="775">IF(BQ64="","","|n"&amp;EW$2&amp;"+"&amp;BQ64&amp;EW$1)</f>
        <v/>
      </c>
      <c r="EX64" s="30" t="str">
        <f t="shared" ref="EX64:EX65" si="776">IF(BR64="","","|n"&amp;EX$2&amp;"+"&amp;BR64&amp;EX$1)</f>
        <v/>
      </c>
      <c r="EY64" s="30" t="str">
        <f t="shared" ref="EY64:EY65" si="777">IF(BS64="","","|n"&amp;EY$2&amp;"+"&amp;BS64&amp;EY$1)</f>
        <v/>
      </c>
      <c r="EZ64" s="30" t="str">
        <f t="shared" ref="EZ64:EZ65" si="778">IF(BT64="","","|n"&amp;EZ$2&amp;"+"&amp;BT64&amp;EZ$1)</f>
        <v/>
      </c>
      <c r="FA64" s="30" t="str">
        <f t="shared" ref="FA64:FA65" si="779">IF(BU64="","","|n"&amp;FA$2&amp;"+"&amp;BU64&amp;FA$1)</f>
        <v/>
      </c>
      <c r="FB64" s="30" t="str">
        <f t="shared" ref="FB64:FB65" si="780">IF(BV64="","","|n"&amp;FB$2&amp;"+"&amp;BV64&amp;FB$1)</f>
        <v/>
      </c>
      <c r="FC64" s="30" t="str">
        <f t="shared" ref="FC64:FC65" si="781">IF(BW64="","","|n"&amp;FC$2&amp;"+"&amp;BW64&amp;FC$1)</f>
        <v/>
      </c>
      <c r="FD64" s="30" t="str">
        <f t="shared" ref="FD64:FD65" si="782">IF(BX64="","","|n"&amp;FD$2&amp;"+"&amp;BX64&amp;FD$1)</f>
        <v/>
      </c>
      <c r="FE64" s="30" t="str">
        <f t="shared" ref="FE64:FE65" si="783">IF(BY64="","","|n"&amp;FE$2&amp;"+"&amp;BY64&amp;FE$1)</f>
        <v/>
      </c>
      <c r="FF64" s="30" t="str">
        <f t="shared" ref="FF64:FF65" si="784">IF(BZ64="","","|n"&amp;FF$2&amp;"+"&amp;BZ64&amp;FF$1)</f>
        <v/>
      </c>
      <c r="FG64" s="30" t="str">
        <f t="shared" ref="FG64:FG65" si="785">IF(CA64="","","|n"&amp;FG$2&amp;"+"&amp;CA64&amp;FG$1)</f>
        <v/>
      </c>
      <c r="FH64" s="30" t="str">
        <f t="shared" ref="FH64:FH65" si="786">IF(CB64="","","|n"&amp;FH$2&amp;"+"&amp;CB64&amp;FH$1)</f>
        <v/>
      </c>
      <c r="FI64" s="30" t="str">
        <f t="shared" ref="FI64:FI65" si="787">IF(CC64="","","|n"&amp;FI$2&amp;"+"&amp;CC64&amp;FI$1)</f>
        <v/>
      </c>
      <c r="FJ64" s="30" t="str">
        <f t="shared" ref="FJ64:FJ65" si="788">IF(CD64="","","|n"&amp;FJ$2&amp;"+"&amp;CD64&amp;FJ$1)</f>
        <v/>
      </c>
      <c r="FK64" s="30" t="str">
        <f t="shared" ref="FK64:FK65" si="789">IF(CE64="","","|n"&amp;FK$2&amp;"+"&amp;CE64&amp;FK$1)</f>
        <v/>
      </c>
      <c r="FL64" s="30" t="str">
        <f t="shared" ref="FL64:FL65" si="790">IF(CF64="","","|n"&amp;FL$2&amp;"+"&amp;CF64&amp;FL$1)</f>
        <v/>
      </c>
      <c r="FM64" s="30" t="str">
        <f t="shared" ref="FM64:FM65" si="791">IF(CG64="","","|n"&amp;FM$2&amp;"+"&amp;CG64&amp;FM$1)</f>
        <v/>
      </c>
      <c r="FN64" s="30" t="str">
        <f t="shared" ref="FN64:FN65" si="792">IF(CH64="","","|n"&amp;FN$2&amp;"+"&amp;CH64&amp;FN$1)</f>
        <v/>
      </c>
      <c r="FO64" s="30" t="str">
        <f t="shared" ref="FO64:FO65" si="793">IF(CI64="","","|n"&amp;FO$2&amp;"+"&amp;CI64&amp;FO$1)</f>
        <v/>
      </c>
      <c r="FP64" s="30" t="str">
        <f t="shared" ref="FP64:FP65" si="794">IF(CJ64="","","|n"&amp;FP$2&amp;"+"&amp;CJ64&amp;FP$1)</f>
        <v/>
      </c>
      <c r="FQ64" s="30" t="str">
        <f t="shared" ref="FQ64:FQ65" si="795">IF(CK64="","","|n"&amp;FQ$2&amp;"+"&amp;CK64&amp;FQ$1)</f>
        <v/>
      </c>
      <c r="FR64" s="30" t="str">
        <f t="shared" ref="FR64:FR65" si="796">IF(CL64="","","|n"&amp;FR$2&amp;"+"&amp;CL64&amp;FR$1)</f>
        <v/>
      </c>
      <c r="FS64" s="30" t="str">
        <f t="shared" ref="FS64:FS65" si="79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0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">
        <v>606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3"/>
        <v>InitUnitState('E213',,,24,,25296,,126,,,)</v>
      </c>
      <c r="CO65" s="44" t="str">
        <f t="shared" si="294"/>
        <v>InitUnitNormal('E213',,,,,,,,,,)</v>
      </c>
      <c r="CP65" s="44" t="str">
        <f t="shared" si="295"/>
        <v>InitUnitMagic('E213',,,,,,,,,,)</v>
      </c>
      <c r="CQ65" s="44" t="str">
        <f t="shared" si="296"/>
        <v>InitUnitAdd('E213',,,,,,,,,,)</v>
      </c>
      <c r="CR65" s="44" t="str">
        <f t="shared" si="655"/>
        <v>InitEquipData('E213',,"",,E214,10000,,'','','','','','',"ReplaceableTextures\\CommandButtons\\BTNZ13.blp")</v>
      </c>
      <c r="CS65" s="44"/>
      <c r="CT65" s="44"/>
      <c r="CU65" s="45" t="str">
        <f t="shared" si="72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28"/>
        <v/>
      </c>
      <c r="DC65" s="30" t="str">
        <f t="shared" si="729"/>
        <v/>
      </c>
      <c r="DD65" s="30" t="str">
        <f t="shared" si="730"/>
        <v>|n护甲+24</v>
      </c>
      <c r="DE65" s="30" t="str">
        <f t="shared" si="731"/>
        <v/>
      </c>
      <c r="DF65" s="30" t="str">
        <f t="shared" si="732"/>
        <v>|n生命值+25296</v>
      </c>
      <c r="DG65" s="30" t="str">
        <f t="shared" si="733"/>
        <v/>
      </c>
      <c r="DH65" s="30" t="str">
        <f t="shared" si="734"/>
        <v>|n生命回复+126</v>
      </c>
      <c r="DI65" s="30" t="str">
        <f t="shared" si="735"/>
        <v/>
      </c>
      <c r="DJ65" s="30" t="str">
        <f t="shared" si="736"/>
        <v/>
      </c>
      <c r="DK65" s="30" t="str">
        <f t="shared" si="737"/>
        <v/>
      </c>
      <c r="DL65" s="30" t="str">
        <f t="shared" si="738"/>
        <v/>
      </c>
      <c r="DM65" s="30" t="str">
        <f t="shared" si="739"/>
        <v/>
      </c>
      <c r="DN65" s="30" t="str">
        <f t="shared" si="740"/>
        <v/>
      </c>
      <c r="DO65" s="30" t="str">
        <f t="shared" si="741"/>
        <v/>
      </c>
      <c r="DP65" s="30" t="str">
        <f t="shared" si="742"/>
        <v/>
      </c>
      <c r="DQ65" s="30" t="str">
        <f t="shared" si="743"/>
        <v/>
      </c>
      <c r="DR65" s="30" t="str">
        <f t="shared" si="744"/>
        <v/>
      </c>
      <c r="DS65" s="30" t="str">
        <f t="shared" si="745"/>
        <v/>
      </c>
      <c r="DT65" s="30" t="str">
        <f t="shared" si="746"/>
        <v/>
      </c>
      <c r="DU65" s="30" t="str">
        <f t="shared" si="747"/>
        <v/>
      </c>
      <c r="DV65" s="30" t="str">
        <f t="shared" si="748"/>
        <v/>
      </c>
      <c r="DW65" s="30" t="str">
        <f t="shared" si="749"/>
        <v/>
      </c>
      <c r="DX65" s="30" t="str">
        <f t="shared" si="750"/>
        <v/>
      </c>
      <c r="DY65" s="30" t="str">
        <f t="shared" si="751"/>
        <v/>
      </c>
      <c r="DZ65" s="30" t="str">
        <f t="shared" si="752"/>
        <v/>
      </c>
      <c r="EA65" s="30" t="str">
        <f t="shared" si="753"/>
        <v/>
      </c>
      <c r="EB65" s="30" t="str">
        <f t="shared" si="754"/>
        <v/>
      </c>
      <c r="EC65" s="30" t="str">
        <f t="shared" si="755"/>
        <v/>
      </c>
      <c r="ED65" s="30" t="str">
        <f t="shared" si="756"/>
        <v/>
      </c>
      <c r="EE65" s="30" t="str">
        <f t="shared" si="757"/>
        <v/>
      </c>
      <c r="EF65" s="30" t="str">
        <f t="shared" si="758"/>
        <v/>
      </c>
      <c r="EG65" s="30" t="str">
        <f t="shared" si="759"/>
        <v/>
      </c>
      <c r="EH65" s="30" t="str">
        <f t="shared" si="760"/>
        <v/>
      </c>
      <c r="EI65" s="30" t="str">
        <f t="shared" si="761"/>
        <v/>
      </c>
      <c r="EJ65" s="30" t="str">
        <f t="shared" si="762"/>
        <v/>
      </c>
      <c r="EK65" s="30" t="str">
        <f t="shared" si="763"/>
        <v/>
      </c>
      <c r="EL65" s="30" t="str">
        <f t="shared" si="764"/>
        <v/>
      </c>
      <c r="EM65" s="30" t="str">
        <f t="shared" si="765"/>
        <v/>
      </c>
      <c r="EN65" s="30" t="str">
        <f t="shared" si="766"/>
        <v/>
      </c>
      <c r="EO65" s="30" t="str">
        <f t="shared" si="767"/>
        <v/>
      </c>
      <c r="EP65" s="30" t="str">
        <f t="shared" si="768"/>
        <v/>
      </c>
      <c r="EQ65" s="30" t="str">
        <f t="shared" si="769"/>
        <v/>
      </c>
      <c r="ER65" s="30" t="str">
        <f t="shared" si="770"/>
        <v/>
      </c>
      <c r="ES65" s="30" t="str">
        <f t="shared" si="771"/>
        <v/>
      </c>
      <c r="ET65" s="30" t="str">
        <f t="shared" si="772"/>
        <v/>
      </c>
      <c r="EU65" s="30" t="str">
        <f t="shared" si="773"/>
        <v/>
      </c>
      <c r="EV65" s="30" t="str">
        <f t="shared" si="774"/>
        <v/>
      </c>
      <c r="EW65" s="30" t="str">
        <f t="shared" si="775"/>
        <v/>
      </c>
      <c r="EX65" s="30" t="str">
        <f t="shared" si="776"/>
        <v/>
      </c>
      <c r="EY65" s="30" t="str">
        <f t="shared" si="777"/>
        <v/>
      </c>
      <c r="EZ65" s="30" t="str">
        <f t="shared" si="778"/>
        <v/>
      </c>
      <c r="FA65" s="30" t="str">
        <f t="shared" si="779"/>
        <v/>
      </c>
      <c r="FB65" s="30" t="str">
        <f t="shared" si="780"/>
        <v/>
      </c>
      <c r="FC65" s="30" t="str">
        <f t="shared" si="781"/>
        <v/>
      </c>
      <c r="FD65" s="30" t="str">
        <f t="shared" si="782"/>
        <v/>
      </c>
      <c r="FE65" s="30" t="str">
        <f t="shared" si="783"/>
        <v/>
      </c>
      <c r="FF65" s="30" t="str">
        <f t="shared" si="784"/>
        <v/>
      </c>
      <c r="FG65" s="30" t="str">
        <f t="shared" si="785"/>
        <v/>
      </c>
      <c r="FH65" s="30" t="str">
        <f t="shared" si="786"/>
        <v/>
      </c>
      <c r="FI65" s="30" t="str">
        <f t="shared" si="787"/>
        <v/>
      </c>
      <c r="FJ65" s="30" t="str">
        <f t="shared" si="788"/>
        <v/>
      </c>
      <c r="FK65" s="30" t="str">
        <f t="shared" si="789"/>
        <v/>
      </c>
      <c r="FL65" s="30" t="str">
        <f t="shared" si="790"/>
        <v/>
      </c>
      <c r="FM65" s="30" t="str">
        <f t="shared" si="791"/>
        <v/>
      </c>
      <c r="FN65" s="30" t="str">
        <f t="shared" si="792"/>
        <v/>
      </c>
      <c r="FO65" s="30" t="str">
        <f t="shared" si="793"/>
        <v/>
      </c>
      <c r="FP65" s="30" t="str">
        <f t="shared" si="794"/>
        <v/>
      </c>
      <c r="FQ65" s="30" t="str">
        <f t="shared" si="795"/>
        <v/>
      </c>
      <c r="FR65" s="30" t="str">
        <f t="shared" si="796"/>
        <v/>
      </c>
      <c r="FS65" s="30" t="str">
        <f t="shared" si="79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0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">
        <v>606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3"/>
        <v>InitUnitState('E214',,,27,,29136,,146,,,)</v>
      </c>
      <c r="CO66" s="44" t="str">
        <f t="shared" si="294"/>
        <v>InitUnitNormal('E214',,,,,,,,,,)</v>
      </c>
      <c r="CP66" s="44" t="str">
        <f t="shared" si="295"/>
        <v>InitUnitMagic('E214',,,,,,,,,,)</v>
      </c>
      <c r="CQ66" s="44" t="str">
        <f t="shared" si="296"/>
        <v>InitUnitAdd('E214',,,,,,,,,,)</v>
      </c>
      <c r="CR66" s="44" t="str">
        <f t="shared" si="655"/>
        <v>InitEquipData('E214',,"",,E215,10000,,'','','','','','',"ReplaceableTextures\\CommandButtons\\BTNZ13.blp")</v>
      </c>
      <c r="CS66" s="44"/>
      <c r="CT66" s="44"/>
      <c r="CU66" s="45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799">IF(V66="","","|n"&amp;DB$2&amp;"+"&amp;V66&amp;DB$1)</f>
        <v/>
      </c>
      <c r="DC66" s="30" t="str">
        <f t="shared" ref="DC66:DC69" si="800">IF(W66="","","|n"&amp;DC$2&amp;"+"&amp;W66&amp;DC$1)</f>
        <v/>
      </c>
      <c r="DD66" s="30" t="str">
        <f t="shared" ref="DD66:DD69" si="801">IF(X66="","","|n"&amp;DD$2&amp;"+"&amp;X66&amp;DD$1)</f>
        <v>|n护甲+27</v>
      </c>
      <c r="DE66" s="30" t="str">
        <f t="shared" ref="DE66:DE69" si="802">IF(Y66="","","|n"&amp;DE$2&amp;"+"&amp;Y66&amp;DE$1)</f>
        <v/>
      </c>
      <c r="DF66" s="30" t="str">
        <f t="shared" ref="DF66:DF69" si="803">IF(Z66="","","|n"&amp;DF$2&amp;"+"&amp;Z66&amp;DF$1)</f>
        <v>|n生命值+29136</v>
      </c>
      <c r="DG66" s="30" t="str">
        <f t="shared" ref="DG66:DG69" si="804">IF(AA66="","","|n"&amp;DG$2&amp;"+"&amp;AA66&amp;DG$1)</f>
        <v/>
      </c>
      <c r="DH66" s="30" t="str">
        <f t="shared" ref="DH66:DH69" si="805">IF(AB66="","","|n"&amp;DH$2&amp;"+"&amp;AB66&amp;DH$1)</f>
        <v>|n生命回复+146</v>
      </c>
      <c r="DI66" s="30" t="str">
        <f t="shared" ref="DI66:DI69" si="806">IF(AC66="","","|n"&amp;DI$2&amp;"+"&amp;AC66&amp;DI$1)</f>
        <v/>
      </c>
      <c r="DJ66" s="30" t="str">
        <f t="shared" ref="DJ66:DJ69" si="807">IF(AD66="","","|n"&amp;DJ$2&amp;"+"&amp;AD66&amp;DJ$1)</f>
        <v/>
      </c>
      <c r="DK66" s="30" t="str">
        <f t="shared" ref="DK66:DK69" si="808">IF(AE66="","","|n"&amp;DK$2&amp;"+"&amp;AE66&amp;DK$1)</f>
        <v/>
      </c>
      <c r="DL66" s="30" t="str">
        <f t="shared" ref="DL66:DL69" si="809">IF(AF66="","","|n"&amp;DL$2&amp;"+"&amp;AF66&amp;DL$1)</f>
        <v/>
      </c>
      <c r="DM66" s="30" t="str">
        <f t="shared" ref="DM66:DM69" si="810">IF(AG66="","","|n"&amp;DM$2&amp;"+"&amp;AG66&amp;DM$1)</f>
        <v/>
      </c>
      <c r="DN66" s="30" t="str">
        <f t="shared" ref="DN66:DN69" si="811">IF(AH66="","","|n"&amp;DN$2&amp;"+"&amp;AH66&amp;DN$1)</f>
        <v/>
      </c>
      <c r="DO66" s="30" t="str">
        <f t="shared" ref="DO66:DO69" si="812">IF(AI66="","","|n"&amp;DO$2&amp;"+"&amp;AI66&amp;DO$1)</f>
        <v/>
      </c>
      <c r="DP66" s="30" t="str">
        <f t="shared" ref="DP66:DP69" si="813">IF(AJ66="","","|n"&amp;DP$2&amp;"+"&amp;AJ66&amp;DP$1)</f>
        <v/>
      </c>
      <c r="DQ66" s="30" t="str">
        <f t="shared" ref="DQ66:DQ69" si="814">IF(AK66="","","|n"&amp;DQ$2&amp;"+"&amp;AK66&amp;DQ$1)</f>
        <v/>
      </c>
      <c r="DR66" s="30" t="str">
        <f t="shared" ref="DR66:DR69" si="815">IF(AL66="","","|n"&amp;DR$2&amp;"+"&amp;AL66&amp;DR$1)</f>
        <v/>
      </c>
      <c r="DS66" s="30" t="str">
        <f t="shared" ref="DS66:DS69" si="816">IF(AM66="","","|n"&amp;DS$2&amp;"+"&amp;AM66&amp;DS$1)</f>
        <v/>
      </c>
      <c r="DT66" s="30" t="str">
        <f t="shared" ref="DT66:DT69" si="817">IF(AN66="","","|n"&amp;DT$2&amp;"+"&amp;AN66&amp;DT$1)</f>
        <v/>
      </c>
      <c r="DU66" s="30" t="str">
        <f t="shared" ref="DU66:DU69" si="818">IF(AO66="","","|n"&amp;DU$2&amp;"+"&amp;AO66&amp;DU$1)</f>
        <v/>
      </c>
      <c r="DV66" s="30" t="str">
        <f t="shared" ref="DV66:DV69" si="819">IF(AP66="","","|n"&amp;DV$2&amp;"+"&amp;AP66&amp;DV$1)</f>
        <v/>
      </c>
      <c r="DW66" s="30" t="str">
        <f t="shared" ref="DW66:DW69" si="820">IF(AQ66="","","|n"&amp;DW$2&amp;"+"&amp;AQ66&amp;DW$1)</f>
        <v/>
      </c>
      <c r="DX66" s="30" t="str">
        <f t="shared" ref="DX66:DX69" si="821">IF(AR66="","","|n"&amp;DX$2&amp;"+"&amp;AR66&amp;DX$1)</f>
        <v/>
      </c>
      <c r="DY66" s="30" t="str">
        <f t="shared" ref="DY66:DY69" si="822">IF(AS66="","","|n"&amp;DY$2&amp;"+"&amp;AS66&amp;DY$1)</f>
        <v/>
      </c>
      <c r="DZ66" s="30" t="str">
        <f t="shared" ref="DZ66:DZ69" si="823">IF(AT66="","","|n"&amp;DZ$2&amp;"+"&amp;AT66&amp;DZ$1)</f>
        <v/>
      </c>
      <c r="EA66" s="30" t="str">
        <f t="shared" ref="EA66:EA69" si="824">IF(AU66="","","|n"&amp;EA$2&amp;"+"&amp;AU66&amp;EA$1)</f>
        <v/>
      </c>
      <c r="EB66" s="30" t="str">
        <f t="shared" ref="EB66:EB69" si="825">IF(AV66="","","|n"&amp;EB$2&amp;"+"&amp;AV66&amp;EB$1)</f>
        <v/>
      </c>
      <c r="EC66" s="30" t="str">
        <f t="shared" ref="EC66:EC69" si="826">IF(AW66="","","|n"&amp;EC$2&amp;"+"&amp;AW66&amp;EC$1)</f>
        <v/>
      </c>
      <c r="ED66" s="30" t="str">
        <f t="shared" ref="ED66:ED69" si="827">IF(AX66="","","|n"&amp;ED$2&amp;"+"&amp;AX66&amp;ED$1)</f>
        <v/>
      </c>
      <c r="EE66" s="30" t="str">
        <f t="shared" ref="EE66:EE69" si="828">IF(AY66="","","|n"&amp;EE$2&amp;"+"&amp;AY66&amp;EE$1)</f>
        <v/>
      </c>
      <c r="EF66" s="30" t="str">
        <f t="shared" ref="EF66:EF69" si="829">IF(AZ66="","","|n"&amp;EF$2&amp;"+"&amp;AZ66&amp;EF$1)</f>
        <v/>
      </c>
      <c r="EG66" s="30" t="str">
        <f t="shared" ref="EG66:EG69" si="830">IF(BA66="","","|n"&amp;EG$2&amp;"+"&amp;BA66&amp;EG$1)</f>
        <v/>
      </c>
      <c r="EH66" s="30" t="str">
        <f t="shared" ref="EH66:EH69" si="831">IF(BB66="","","|n"&amp;EH$2&amp;"+"&amp;BB66&amp;EH$1)</f>
        <v/>
      </c>
      <c r="EI66" s="30" t="str">
        <f t="shared" ref="EI66:EI69" si="832">IF(BC66="","","|n"&amp;EI$2&amp;"+"&amp;BC66&amp;EI$1)</f>
        <v/>
      </c>
      <c r="EJ66" s="30" t="str">
        <f t="shared" ref="EJ66:EJ69" si="833">IF(BD66="","","|n"&amp;EJ$2&amp;"+"&amp;BD66&amp;EJ$1)</f>
        <v/>
      </c>
      <c r="EK66" s="30" t="str">
        <f t="shared" ref="EK66:EK69" si="834">IF(BE66="","","|n"&amp;EK$2&amp;"+"&amp;BE66&amp;EK$1)</f>
        <v/>
      </c>
      <c r="EL66" s="30" t="str">
        <f t="shared" ref="EL66:EL69" si="835">IF(BF66="","","|n"&amp;EL$2&amp;"+"&amp;BF66&amp;EL$1)</f>
        <v/>
      </c>
      <c r="EM66" s="30" t="str">
        <f t="shared" ref="EM66:EM69" si="836">IF(BG66="","","|n"&amp;EM$2&amp;"+"&amp;BG66&amp;EM$1)</f>
        <v/>
      </c>
      <c r="EN66" s="30" t="str">
        <f t="shared" ref="EN66:EN69" si="837">IF(BH66="","","|n"&amp;EN$2&amp;"+"&amp;BH66&amp;EN$1)</f>
        <v/>
      </c>
      <c r="EO66" s="30" t="str">
        <f t="shared" ref="EO66:EO69" si="838">IF(BI66="","","|n"&amp;EO$2&amp;"+"&amp;BI66&amp;EO$1)</f>
        <v/>
      </c>
      <c r="EP66" s="30" t="str">
        <f t="shared" ref="EP66:EP69" si="839">IF(BJ66="","","|n"&amp;EP$2&amp;"+"&amp;BJ66&amp;EP$1)</f>
        <v/>
      </c>
      <c r="EQ66" s="30" t="str">
        <f t="shared" ref="EQ66:EQ69" si="840">IF(BK66="","","|n"&amp;EQ$2&amp;"+"&amp;BK66&amp;EQ$1)</f>
        <v/>
      </c>
      <c r="ER66" s="30" t="str">
        <f t="shared" ref="ER66:ER69" si="841">IF(BL66="","","|n"&amp;ER$2&amp;"+"&amp;BL66&amp;ER$1)</f>
        <v/>
      </c>
      <c r="ES66" s="30" t="str">
        <f t="shared" ref="ES66:ES69" si="842">IF(BM66="","","|n"&amp;ES$2&amp;"+"&amp;BM66&amp;ES$1)</f>
        <v/>
      </c>
      <c r="ET66" s="30" t="str">
        <f t="shared" ref="ET66:ET69" si="843">IF(BN66="","","|n"&amp;ET$2&amp;"+"&amp;BN66&amp;ET$1)</f>
        <v/>
      </c>
      <c r="EU66" s="30" t="str">
        <f t="shared" ref="EU66:EU69" si="844">IF(BO66="","","|n"&amp;EU$2&amp;"+"&amp;BO66&amp;EU$1)</f>
        <v/>
      </c>
      <c r="EV66" s="30" t="str">
        <f t="shared" ref="EV66:EV69" si="845">IF(BP66="","","|n"&amp;EV$2&amp;"+"&amp;BP66&amp;EV$1)</f>
        <v/>
      </c>
      <c r="EW66" s="30" t="str">
        <f t="shared" ref="EW66:EW69" si="846">IF(BQ66="","","|n"&amp;EW$2&amp;"+"&amp;BQ66&amp;EW$1)</f>
        <v/>
      </c>
      <c r="EX66" s="30" t="str">
        <f t="shared" ref="EX66:EX69" si="847">IF(BR66="","","|n"&amp;EX$2&amp;"+"&amp;BR66&amp;EX$1)</f>
        <v/>
      </c>
      <c r="EY66" s="30" t="str">
        <f t="shared" ref="EY66:EY69" si="848">IF(BS66="","","|n"&amp;EY$2&amp;"+"&amp;BS66&amp;EY$1)</f>
        <v/>
      </c>
      <c r="EZ66" s="30" t="str">
        <f t="shared" ref="EZ66:EZ69" si="849">IF(BT66="","","|n"&amp;EZ$2&amp;"+"&amp;BT66&amp;EZ$1)</f>
        <v/>
      </c>
      <c r="FA66" s="30" t="str">
        <f t="shared" ref="FA66:FA69" si="850">IF(BU66="","","|n"&amp;FA$2&amp;"+"&amp;BU66&amp;FA$1)</f>
        <v/>
      </c>
      <c r="FB66" s="30" t="str">
        <f t="shared" ref="FB66:FB69" si="851">IF(BV66="","","|n"&amp;FB$2&amp;"+"&amp;BV66&amp;FB$1)</f>
        <v/>
      </c>
      <c r="FC66" s="30" t="str">
        <f t="shared" ref="FC66:FC69" si="852">IF(BW66="","","|n"&amp;FC$2&amp;"+"&amp;BW66&amp;FC$1)</f>
        <v/>
      </c>
      <c r="FD66" s="30" t="str">
        <f t="shared" ref="FD66:FD69" si="853">IF(BX66="","","|n"&amp;FD$2&amp;"+"&amp;BX66&amp;FD$1)</f>
        <v/>
      </c>
      <c r="FE66" s="30" t="str">
        <f t="shared" ref="FE66:FE69" si="854">IF(BY66="","","|n"&amp;FE$2&amp;"+"&amp;BY66&amp;FE$1)</f>
        <v/>
      </c>
      <c r="FF66" s="30" t="str">
        <f t="shared" ref="FF66:FF69" si="855">IF(BZ66="","","|n"&amp;FF$2&amp;"+"&amp;BZ66&amp;FF$1)</f>
        <v/>
      </c>
      <c r="FG66" s="30" t="str">
        <f t="shared" ref="FG66:FG69" si="856">IF(CA66="","","|n"&amp;FG$2&amp;"+"&amp;CA66&amp;FG$1)</f>
        <v/>
      </c>
      <c r="FH66" s="30" t="str">
        <f t="shared" ref="FH66:FH69" si="857">IF(CB66="","","|n"&amp;FH$2&amp;"+"&amp;CB66&amp;FH$1)</f>
        <v/>
      </c>
      <c r="FI66" s="30" t="str">
        <f t="shared" ref="FI66:FI69" si="858">IF(CC66="","","|n"&amp;FI$2&amp;"+"&amp;CC66&amp;FI$1)</f>
        <v/>
      </c>
      <c r="FJ66" s="30" t="str">
        <f t="shared" ref="FJ66:FJ69" si="859">IF(CD66="","","|n"&amp;FJ$2&amp;"+"&amp;CD66&amp;FJ$1)</f>
        <v/>
      </c>
      <c r="FK66" s="30" t="str">
        <f t="shared" ref="FK66:FK69" si="860">IF(CE66="","","|n"&amp;FK$2&amp;"+"&amp;CE66&amp;FK$1)</f>
        <v/>
      </c>
      <c r="FL66" s="30" t="str">
        <f t="shared" ref="FL66:FL69" si="861">IF(CF66="","","|n"&amp;FL$2&amp;"+"&amp;CF66&amp;FL$1)</f>
        <v/>
      </c>
      <c r="FM66" s="30" t="str">
        <f t="shared" ref="FM66:FM69" si="862">IF(CG66="","","|n"&amp;FM$2&amp;"+"&amp;CG66&amp;FM$1)</f>
        <v/>
      </c>
      <c r="FN66" s="30" t="str">
        <f t="shared" ref="FN66:FN69" si="863">IF(CH66="","","|n"&amp;FN$2&amp;"+"&amp;CH66&amp;FN$1)</f>
        <v/>
      </c>
      <c r="FO66" s="30" t="str">
        <f t="shared" ref="FO66:FO69" si="864">IF(CI66="","","|n"&amp;FO$2&amp;"+"&amp;CI66&amp;FO$1)</f>
        <v/>
      </c>
      <c r="FP66" s="30" t="str">
        <f t="shared" ref="FP66:FP69" si="865">IF(CJ66="","","|n"&amp;FP$2&amp;"+"&amp;CJ66&amp;FP$1)</f>
        <v/>
      </c>
      <c r="FQ66" s="30" t="str">
        <f t="shared" ref="FQ66:FQ69" si="866">IF(CK66="","","|n"&amp;FQ$2&amp;"+"&amp;CK66&amp;FQ$1)</f>
        <v/>
      </c>
      <c r="FR66" s="30" t="str">
        <f t="shared" ref="FR66:FR69" si="867">IF(CL66="","","|n"&amp;FR$2&amp;"+"&amp;CL66&amp;FR$1)</f>
        <v/>
      </c>
      <c r="FS66" s="30" t="str">
        <f t="shared" ref="FS66:FS69" si="868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0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">
        <v>606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55"/>
        <v>InitEquipData('E215',,"",,E216,50000,,'','','','','','',"ReplaceableTextures\\CommandButtons\\BTNZ14.blp")</v>
      </c>
      <c r="CS67" s="44"/>
      <c r="CT67" s="44"/>
      <c r="CU67" s="45" t="str">
        <f t="shared" si="798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799"/>
        <v/>
      </c>
      <c r="DC67" s="30" t="str">
        <f t="shared" si="800"/>
        <v/>
      </c>
      <c r="DD67" s="30" t="str">
        <f t="shared" si="801"/>
        <v>|n护甲+30</v>
      </c>
      <c r="DE67" s="30" t="str">
        <f t="shared" si="802"/>
        <v/>
      </c>
      <c r="DF67" s="30" t="str">
        <f t="shared" si="803"/>
        <v>|n生命值+32976</v>
      </c>
      <c r="DG67" s="30" t="str">
        <f t="shared" si="804"/>
        <v/>
      </c>
      <c r="DH67" s="30" t="str">
        <f t="shared" si="805"/>
        <v>|n生命回复+165</v>
      </c>
      <c r="DI67" s="30" t="str">
        <f t="shared" si="806"/>
        <v/>
      </c>
      <c r="DJ67" s="30" t="str">
        <f t="shared" si="807"/>
        <v/>
      </c>
      <c r="DK67" s="30" t="str">
        <f t="shared" si="808"/>
        <v/>
      </c>
      <c r="DL67" s="30" t="str">
        <f t="shared" si="809"/>
        <v/>
      </c>
      <c r="DM67" s="30" t="str">
        <f t="shared" si="810"/>
        <v/>
      </c>
      <c r="DN67" s="30" t="str">
        <f t="shared" si="811"/>
        <v/>
      </c>
      <c r="DO67" s="30" t="str">
        <f t="shared" si="812"/>
        <v/>
      </c>
      <c r="DP67" s="30" t="str">
        <f t="shared" si="813"/>
        <v/>
      </c>
      <c r="DQ67" s="30" t="str">
        <f t="shared" si="814"/>
        <v/>
      </c>
      <c r="DR67" s="30" t="str">
        <f t="shared" si="815"/>
        <v/>
      </c>
      <c r="DS67" s="30" t="str">
        <f t="shared" si="816"/>
        <v/>
      </c>
      <c r="DT67" s="30" t="str">
        <f t="shared" si="817"/>
        <v/>
      </c>
      <c r="DU67" s="30" t="str">
        <f t="shared" si="818"/>
        <v/>
      </c>
      <c r="DV67" s="30" t="str">
        <f t="shared" si="819"/>
        <v/>
      </c>
      <c r="DW67" s="30" t="str">
        <f t="shared" si="820"/>
        <v/>
      </c>
      <c r="DX67" s="30" t="str">
        <f t="shared" si="821"/>
        <v/>
      </c>
      <c r="DY67" s="30" t="str">
        <f t="shared" si="822"/>
        <v/>
      </c>
      <c r="DZ67" s="30" t="str">
        <f t="shared" si="823"/>
        <v/>
      </c>
      <c r="EA67" s="30" t="str">
        <f t="shared" si="824"/>
        <v/>
      </c>
      <c r="EB67" s="30" t="str">
        <f t="shared" si="825"/>
        <v/>
      </c>
      <c r="EC67" s="30" t="str">
        <f t="shared" si="826"/>
        <v/>
      </c>
      <c r="ED67" s="30" t="str">
        <f t="shared" si="827"/>
        <v/>
      </c>
      <c r="EE67" s="30" t="str">
        <f t="shared" si="828"/>
        <v/>
      </c>
      <c r="EF67" s="30" t="str">
        <f t="shared" si="829"/>
        <v/>
      </c>
      <c r="EG67" s="30" t="str">
        <f t="shared" si="830"/>
        <v/>
      </c>
      <c r="EH67" s="30" t="str">
        <f t="shared" si="831"/>
        <v/>
      </c>
      <c r="EI67" s="30" t="str">
        <f t="shared" si="832"/>
        <v/>
      </c>
      <c r="EJ67" s="30" t="str">
        <f t="shared" si="833"/>
        <v/>
      </c>
      <c r="EK67" s="30" t="str">
        <f t="shared" si="834"/>
        <v/>
      </c>
      <c r="EL67" s="30" t="str">
        <f t="shared" si="835"/>
        <v/>
      </c>
      <c r="EM67" s="30" t="str">
        <f t="shared" si="836"/>
        <v/>
      </c>
      <c r="EN67" s="30" t="str">
        <f t="shared" si="837"/>
        <v/>
      </c>
      <c r="EO67" s="30" t="str">
        <f t="shared" si="838"/>
        <v/>
      </c>
      <c r="EP67" s="30" t="str">
        <f t="shared" si="839"/>
        <v/>
      </c>
      <c r="EQ67" s="30" t="str">
        <f t="shared" si="840"/>
        <v/>
      </c>
      <c r="ER67" s="30" t="str">
        <f t="shared" si="841"/>
        <v/>
      </c>
      <c r="ES67" s="30" t="str">
        <f t="shared" si="842"/>
        <v/>
      </c>
      <c r="ET67" s="30" t="str">
        <f t="shared" si="843"/>
        <v/>
      </c>
      <c r="EU67" s="30" t="str">
        <f t="shared" si="844"/>
        <v/>
      </c>
      <c r="EV67" s="30" t="str">
        <f t="shared" si="845"/>
        <v/>
      </c>
      <c r="EW67" s="30" t="str">
        <f t="shared" si="846"/>
        <v/>
      </c>
      <c r="EX67" s="30" t="str">
        <f t="shared" si="847"/>
        <v/>
      </c>
      <c r="EY67" s="30" t="str">
        <f t="shared" si="848"/>
        <v/>
      </c>
      <c r="EZ67" s="30" t="str">
        <f t="shared" si="849"/>
        <v/>
      </c>
      <c r="FA67" s="30" t="str">
        <f t="shared" si="850"/>
        <v/>
      </c>
      <c r="FB67" s="30" t="str">
        <f t="shared" si="851"/>
        <v/>
      </c>
      <c r="FC67" s="30" t="str">
        <f t="shared" si="852"/>
        <v/>
      </c>
      <c r="FD67" s="30" t="str">
        <f t="shared" si="853"/>
        <v/>
      </c>
      <c r="FE67" s="30" t="str">
        <f t="shared" si="854"/>
        <v/>
      </c>
      <c r="FF67" s="30" t="str">
        <f t="shared" si="855"/>
        <v/>
      </c>
      <c r="FG67" s="30" t="str">
        <f t="shared" si="856"/>
        <v/>
      </c>
      <c r="FH67" s="30" t="str">
        <f t="shared" si="857"/>
        <v/>
      </c>
      <c r="FI67" s="30" t="str">
        <f t="shared" si="858"/>
        <v/>
      </c>
      <c r="FJ67" s="30" t="str">
        <f t="shared" si="859"/>
        <v/>
      </c>
      <c r="FK67" s="30" t="str">
        <f t="shared" si="860"/>
        <v/>
      </c>
      <c r="FL67" s="30" t="str">
        <f t="shared" si="861"/>
        <v/>
      </c>
      <c r="FM67" s="30" t="str">
        <f t="shared" si="862"/>
        <v/>
      </c>
      <c r="FN67" s="30" t="str">
        <f t="shared" si="863"/>
        <v/>
      </c>
      <c r="FO67" s="30" t="str">
        <f t="shared" si="864"/>
        <v/>
      </c>
      <c r="FP67" s="30" t="str">
        <f t="shared" si="865"/>
        <v/>
      </c>
      <c r="FQ67" s="30" t="str">
        <f t="shared" si="866"/>
        <v/>
      </c>
      <c r="FR67" s="30" t="str">
        <f t="shared" si="867"/>
        <v/>
      </c>
      <c r="FS67" s="30" t="str">
        <f t="shared" si="868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0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">
        <v>607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69"/>
        <v>InitUnitState('E216',,,34,,42576,,213,,,)</v>
      </c>
      <c r="CO68" s="44" t="str">
        <f t="shared" si="870"/>
        <v>InitUnitNormal('E216',,,,,,,,,,)</v>
      </c>
      <c r="CP68" s="44" t="str">
        <f t="shared" si="871"/>
        <v>InitUnitMagic('E216',,,,,,,,,,)</v>
      </c>
      <c r="CQ68" s="44" t="str">
        <f t="shared" si="872"/>
        <v>InitUnitAdd('E216',,,,,,,,,,)</v>
      </c>
      <c r="CR68" s="44" t="str">
        <f t="shared" si="655"/>
        <v>InitEquipData('E216',,"",,E217,35000,,'','','','','','',"ReplaceableTextures\\CommandButtons\\BTNZ14.blp")</v>
      </c>
      <c r="CS68" s="44"/>
      <c r="CT68" s="44"/>
      <c r="CU68" s="45" t="str">
        <f t="shared" si="798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799"/>
        <v/>
      </c>
      <c r="DC68" s="30" t="str">
        <f t="shared" si="800"/>
        <v/>
      </c>
      <c r="DD68" s="30" t="str">
        <f t="shared" si="801"/>
        <v>|n护甲+34</v>
      </c>
      <c r="DE68" s="30" t="str">
        <f t="shared" si="802"/>
        <v/>
      </c>
      <c r="DF68" s="30" t="str">
        <f t="shared" si="803"/>
        <v>|n生命值+42576</v>
      </c>
      <c r="DG68" s="30" t="str">
        <f t="shared" si="804"/>
        <v/>
      </c>
      <c r="DH68" s="30" t="str">
        <f t="shared" si="805"/>
        <v>|n生命回复+213</v>
      </c>
      <c r="DI68" s="30" t="str">
        <f t="shared" si="806"/>
        <v/>
      </c>
      <c r="DJ68" s="30" t="str">
        <f t="shared" si="807"/>
        <v/>
      </c>
      <c r="DK68" s="30" t="str">
        <f t="shared" si="808"/>
        <v/>
      </c>
      <c r="DL68" s="30" t="str">
        <f t="shared" si="809"/>
        <v/>
      </c>
      <c r="DM68" s="30" t="str">
        <f t="shared" si="810"/>
        <v/>
      </c>
      <c r="DN68" s="30" t="str">
        <f t="shared" si="811"/>
        <v/>
      </c>
      <c r="DO68" s="30" t="str">
        <f t="shared" si="812"/>
        <v/>
      </c>
      <c r="DP68" s="30" t="str">
        <f t="shared" si="813"/>
        <v/>
      </c>
      <c r="DQ68" s="30" t="str">
        <f t="shared" si="814"/>
        <v/>
      </c>
      <c r="DR68" s="30" t="str">
        <f t="shared" si="815"/>
        <v/>
      </c>
      <c r="DS68" s="30" t="str">
        <f t="shared" si="816"/>
        <v/>
      </c>
      <c r="DT68" s="30" t="str">
        <f t="shared" si="817"/>
        <v/>
      </c>
      <c r="DU68" s="30" t="str">
        <f t="shared" si="818"/>
        <v/>
      </c>
      <c r="DV68" s="30" t="str">
        <f t="shared" si="819"/>
        <v/>
      </c>
      <c r="DW68" s="30" t="str">
        <f t="shared" si="820"/>
        <v/>
      </c>
      <c r="DX68" s="30" t="str">
        <f t="shared" si="821"/>
        <v/>
      </c>
      <c r="DY68" s="30" t="str">
        <f t="shared" si="822"/>
        <v/>
      </c>
      <c r="DZ68" s="30" t="str">
        <f t="shared" si="823"/>
        <v/>
      </c>
      <c r="EA68" s="30" t="str">
        <f t="shared" si="824"/>
        <v/>
      </c>
      <c r="EB68" s="30" t="str">
        <f t="shared" si="825"/>
        <v/>
      </c>
      <c r="EC68" s="30" t="str">
        <f t="shared" si="826"/>
        <v/>
      </c>
      <c r="ED68" s="30" t="str">
        <f t="shared" si="827"/>
        <v/>
      </c>
      <c r="EE68" s="30" t="str">
        <f t="shared" si="828"/>
        <v/>
      </c>
      <c r="EF68" s="30" t="str">
        <f t="shared" si="829"/>
        <v/>
      </c>
      <c r="EG68" s="30" t="str">
        <f t="shared" si="830"/>
        <v/>
      </c>
      <c r="EH68" s="30" t="str">
        <f t="shared" si="831"/>
        <v/>
      </c>
      <c r="EI68" s="30" t="str">
        <f t="shared" si="832"/>
        <v/>
      </c>
      <c r="EJ68" s="30" t="str">
        <f t="shared" si="833"/>
        <v/>
      </c>
      <c r="EK68" s="30" t="str">
        <f t="shared" si="834"/>
        <v/>
      </c>
      <c r="EL68" s="30" t="str">
        <f t="shared" si="835"/>
        <v/>
      </c>
      <c r="EM68" s="30" t="str">
        <f t="shared" si="836"/>
        <v/>
      </c>
      <c r="EN68" s="30" t="str">
        <f t="shared" si="837"/>
        <v/>
      </c>
      <c r="EO68" s="30" t="str">
        <f t="shared" si="838"/>
        <v/>
      </c>
      <c r="EP68" s="30" t="str">
        <f t="shared" si="839"/>
        <v/>
      </c>
      <c r="EQ68" s="30" t="str">
        <f t="shared" si="840"/>
        <v/>
      </c>
      <c r="ER68" s="30" t="str">
        <f t="shared" si="841"/>
        <v/>
      </c>
      <c r="ES68" s="30" t="str">
        <f t="shared" si="842"/>
        <v/>
      </c>
      <c r="ET68" s="30" t="str">
        <f t="shared" si="843"/>
        <v/>
      </c>
      <c r="EU68" s="30" t="str">
        <f t="shared" si="844"/>
        <v/>
      </c>
      <c r="EV68" s="30" t="str">
        <f t="shared" si="845"/>
        <v/>
      </c>
      <c r="EW68" s="30" t="str">
        <f t="shared" si="846"/>
        <v/>
      </c>
      <c r="EX68" s="30" t="str">
        <f t="shared" si="847"/>
        <v/>
      </c>
      <c r="EY68" s="30" t="str">
        <f t="shared" si="848"/>
        <v/>
      </c>
      <c r="EZ68" s="30" t="str">
        <f t="shared" si="849"/>
        <v/>
      </c>
      <c r="FA68" s="30" t="str">
        <f t="shared" si="850"/>
        <v/>
      </c>
      <c r="FB68" s="30" t="str">
        <f t="shared" si="851"/>
        <v/>
      </c>
      <c r="FC68" s="30" t="str">
        <f t="shared" si="852"/>
        <v/>
      </c>
      <c r="FD68" s="30" t="str">
        <f t="shared" si="853"/>
        <v/>
      </c>
      <c r="FE68" s="30" t="str">
        <f t="shared" si="854"/>
        <v/>
      </c>
      <c r="FF68" s="30" t="str">
        <f t="shared" si="855"/>
        <v/>
      </c>
      <c r="FG68" s="30" t="str">
        <f t="shared" si="856"/>
        <v/>
      </c>
      <c r="FH68" s="30" t="str">
        <f t="shared" si="857"/>
        <v/>
      </c>
      <c r="FI68" s="30" t="str">
        <f t="shared" si="858"/>
        <v/>
      </c>
      <c r="FJ68" s="30" t="str">
        <f t="shared" si="859"/>
        <v/>
      </c>
      <c r="FK68" s="30" t="str">
        <f t="shared" si="860"/>
        <v/>
      </c>
      <c r="FL68" s="30" t="str">
        <f t="shared" si="861"/>
        <v/>
      </c>
      <c r="FM68" s="30" t="str">
        <f t="shared" si="862"/>
        <v/>
      </c>
      <c r="FN68" s="30" t="str">
        <f t="shared" si="863"/>
        <v/>
      </c>
      <c r="FO68" s="30" t="str">
        <f t="shared" si="864"/>
        <v/>
      </c>
      <c r="FP68" s="30" t="str">
        <f t="shared" si="865"/>
        <v/>
      </c>
      <c r="FQ68" s="30" t="str">
        <f t="shared" si="866"/>
        <v/>
      </c>
      <c r="FR68" s="30" t="str">
        <f t="shared" si="867"/>
        <v/>
      </c>
      <c r="FS68" s="30" t="str">
        <f t="shared" si="868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0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">
        <v>607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69"/>
        <v>InitUnitState('E217',,,38,,52176,,261,,,)</v>
      </c>
      <c r="CO69" s="44" t="str">
        <f t="shared" si="870"/>
        <v>InitUnitNormal('E217',,,,,,,,,,)</v>
      </c>
      <c r="CP69" s="44" t="str">
        <f t="shared" si="871"/>
        <v>InitUnitMagic('E217',,,,,,,,,,)</v>
      </c>
      <c r="CQ69" s="44" t="str">
        <f t="shared" si="872"/>
        <v>InitUnitAdd('E217',,,,,,,,,,)</v>
      </c>
      <c r="CR69" s="44" t="str">
        <f t="shared" si="655"/>
        <v>InitEquipData('E217',,"",,E218,35000,,'','','','','','',"ReplaceableTextures\\CommandButtons\\BTNZ14.blp")</v>
      </c>
      <c r="CS69" s="44"/>
      <c r="CT69" s="44"/>
      <c r="CU69" s="45" t="str">
        <f t="shared" si="798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799"/>
        <v/>
      </c>
      <c r="DC69" s="30" t="str">
        <f t="shared" si="800"/>
        <v/>
      </c>
      <c r="DD69" s="30" t="str">
        <f t="shared" si="801"/>
        <v>|n护甲+38</v>
      </c>
      <c r="DE69" s="30" t="str">
        <f t="shared" si="802"/>
        <v/>
      </c>
      <c r="DF69" s="30" t="str">
        <f t="shared" si="803"/>
        <v>|n生命值+52176</v>
      </c>
      <c r="DG69" s="30" t="str">
        <f t="shared" si="804"/>
        <v/>
      </c>
      <c r="DH69" s="30" t="str">
        <f t="shared" si="805"/>
        <v>|n生命回复+261</v>
      </c>
      <c r="DI69" s="30" t="str">
        <f t="shared" si="806"/>
        <v/>
      </c>
      <c r="DJ69" s="30" t="str">
        <f t="shared" si="807"/>
        <v/>
      </c>
      <c r="DK69" s="30" t="str">
        <f t="shared" si="808"/>
        <v/>
      </c>
      <c r="DL69" s="30" t="str">
        <f t="shared" si="809"/>
        <v/>
      </c>
      <c r="DM69" s="30" t="str">
        <f t="shared" si="810"/>
        <v/>
      </c>
      <c r="DN69" s="30" t="str">
        <f t="shared" si="811"/>
        <v/>
      </c>
      <c r="DO69" s="30" t="str">
        <f t="shared" si="812"/>
        <v/>
      </c>
      <c r="DP69" s="30" t="str">
        <f t="shared" si="813"/>
        <v/>
      </c>
      <c r="DQ69" s="30" t="str">
        <f t="shared" si="814"/>
        <v/>
      </c>
      <c r="DR69" s="30" t="str">
        <f t="shared" si="815"/>
        <v/>
      </c>
      <c r="DS69" s="30" t="str">
        <f t="shared" si="816"/>
        <v/>
      </c>
      <c r="DT69" s="30" t="str">
        <f t="shared" si="817"/>
        <v/>
      </c>
      <c r="DU69" s="30" t="str">
        <f t="shared" si="818"/>
        <v/>
      </c>
      <c r="DV69" s="30" t="str">
        <f t="shared" si="819"/>
        <v/>
      </c>
      <c r="DW69" s="30" t="str">
        <f t="shared" si="820"/>
        <v/>
      </c>
      <c r="DX69" s="30" t="str">
        <f t="shared" si="821"/>
        <v/>
      </c>
      <c r="DY69" s="30" t="str">
        <f t="shared" si="822"/>
        <v/>
      </c>
      <c r="DZ69" s="30" t="str">
        <f t="shared" si="823"/>
        <v/>
      </c>
      <c r="EA69" s="30" t="str">
        <f t="shared" si="824"/>
        <v/>
      </c>
      <c r="EB69" s="30" t="str">
        <f t="shared" si="825"/>
        <v/>
      </c>
      <c r="EC69" s="30" t="str">
        <f t="shared" si="826"/>
        <v/>
      </c>
      <c r="ED69" s="30" t="str">
        <f t="shared" si="827"/>
        <v/>
      </c>
      <c r="EE69" s="30" t="str">
        <f t="shared" si="828"/>
        <v/>
      </c>
      <c r="EF69" s="30" t="str">
        <f t="shared" si="829"/>
        <v/>
      </c>
      <c r="EG69" s="30" t="str">
        <f t="shared" si="830"/>
        <v/>
      </c>
      <c r="EH69" s="30" t="str">
        <f t="shared" si="831"/>
        <v/>
      </c>
      <c r="EI69" s="30" t="str">
        <f t="shared" si="832"/>
        <v/>
      </c>
      <c r="EJ69" s="30" t="str">
        <f t="shared" si="833"/>
        <v/>
      </c>
      <c r="EK69" s="30" t="str">
        <f t="shared" si="834"/>
        <v/>
      </c>
      <c r="EL69" s="30" t="str">
        <f t="shared" si="835"/>
        <v/>
      </c>
      <c r="EM69" s="30" t="str">
        <f t="shared" si="836"/>
        <v/>
      </c>
      <c r="EN69" s="30" t="str">
        <f t="shared" si="837"/>
        <v/>
      </c>
      <c r="EO69" s="30" t="str">
        <f t="shared" si="838"/>
        <v/>
      </c>
      <c r="EP69" s="30" t="str">
        <f t="shared" si="839"/>
        <v/>
      </c>
      <c r="EQ69" s="30" t="str">
        <f t="shared" si="840"/>
        <v/>
      </c>
      <c r="ER69" s="30" t="str">
        <f t="shared" si="841"/>
        <v/>
      </c>
      <c r="ES69" s="30" t="str">
        <f t="shared" si="842"/>
        <v/>
      </c>
      <c r="ET69" s="30" t="str">
        <f t="shared" si="843"/>
        <v/>
      </c>
      <c r="EU69" s="30" t="str">
        <f t="shared" si="844"/>
        <v/>
      </c>
      <c r="EV69" s="30" t="str">
        <f t="shared" si="845"/>
        <v/>
      </c>
      <c r="EW69" s="30" t="str">
        <f t="shared" si="846"/>
        <v/>
      </c>
      <c r="EX69" s="30" t="str">
        <f t="shared" si="847"/>
        <v/>
      </c>
      <c r="EY69" s="30" t="str">
        <f t="shared" si="848"/>
        <v/>
      </c>
      <c r="EZ69" s="30" t="str">
        <f t="shared" si="849"/>
        <v/>
      </c>
      <c r="FA69" s="30" t="str">
        <f t="shared" si="850"/>
        <v/>
      </c>
      <c r="FB69" s="30" t="str">
        <f t="shared" si="851"/>
        <v/>
      </c>
      <c r="FC69" s="30" t="str">
        <f t="shared" si="852"/>
        <v/>
      </c>
      <c r="FD69" s="30" t="str">
        <f t="shared" si="853"/>
        <v/>
      </c>
      <c r="FE69" s="30" t="str">
        <f t="shared" si="854"/>
        <v/>
      </c>
      <c r="FF69" s="30" t="str">
        <f t="shared" si="855"/>
        <v/>
      </c>
      <c r="FG69" s="30" t="str">
        <f t="shared" si="856"/>
        <v/>
      </c>
      <c r="FH69" s="30" t="str">
        <f t="shared" si="857"/>
        <v/>
      </c>
      <c r="FI69" s="30" t="str">
        <f t="shared" si="858"/>
        <v/>
      </c>
      <c r="FJ69" s="30" t="str">
        <f t="shared" si="859"/>
        <v/>
      </c>
      <c r="FK69" s="30" t="str">
        <f t="shared" si="860"/>
        <v/>
      </c>
      <c r="FL69" s="30" t="str">
        <f t="shared" si="861"/>
        <v/>
      </c>
      <c r="FM69" s="30" t="str">
        <f t="shared" si="862"/>
        <v/>
      </c>
      <c r="FN69" s="30" t="str">
        <f t="shared" si="863"/>
        <v/>
      </c>
      <c r="FO69" s="30" t="str">
        <f t="shared" si="864"/>
        <v/>
      </c>
      <c r="FP69" s="30" t="str">
        <f t="shared" si="865"/>
        <v/>
      </c>
      <c r="FQ69" s="30" t="str">
        <f t="shared" si="866"/>
        <v/>
      </c>
      <c r="FR69" s="30" t="str">
        <f t="shared" si="867"/>
        <v/>
      </c>
      <c r="FS69" s="30" t="str">
        <f t="shared" si="868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0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">
        <v>607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69"/>
        <v>InitUnitState('E218',,,42,,61776,,309,,,)</v>
      </c>
      <c r="CO70" s="44" t="str">
        <f t="shared" si="870"/>
        <v>InitUnitNormal('E218',,,,,,,,,,)</v>
      </c>
      <c r="CP70" s="44" t="str">
        <f t="shared" si="871"/>
        <v>InitUnitMagic('E218',,,,,,,,,,)</v>
      </c>
      <c r="CQ70" s="44" t="str">
        <f t="shared" si="872"/>
        <v>InitUnitAdd('E218',,,,,,,,,,)</v>
      </c>
      <c r="CR70" s="44" t="str">
        <f t="shared" si="655"/>
        <v>InitEquipData('E218',,"",,E219,35000,,'','','','','','',"ReplaceableTextures\\CommandButtons\\BTNZ14.blp")</v>
      </c>
      <c r="CS70" s="44"/>
      <c r="CT70" s="44"/>
      <c r="CU70" s="45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74">IF(V70="","","|n"&amp;DB$2&amp;"+"&amp;V70&amp;DB$1)</f>
        <v/>
      </c>
      <c r="DC70" s="30" t="str">
        <f t="shared" ref="DC70:DC77" si="875">IF(W70="","","|n"&amp;DC$2&amp;"+"&amp;W70&amp;DC$1)</f>
        <v/>
      </c>
      <c r="DD70" s="30" t="str">
        <f t="shared" ref="DD70:DD77" si="876">IF(X70="","","|n"&amp;DD$2&amp;"+"&amp;X70&amp;DD$1)</f>
        <v>|n护甲+42</v>
      </c>
      <c r="DE70" s="30" t="str">
        <f t="shared" ref="DE70:DE77" si="877">IF(Y70="","","|n"&amp;DE$2&amp;"+"&amp;Y70&amp;DE$1)</f>
        <v/>
      </c>
      <c r="DF70" s="30" t="str">
        <f t="shared" ref="DF70:DF77" si="878">IF(Z70="","","|n"&amp;DF$2&amp;"+"&amp;Z70&amp;DF$1)</f>
        <v>|n生命值+61776</v>
      </c>
      <c r="DG70" s="30" t="str">
        <f t="shared" ref="DG70:DG77" si="879">IF(AA70="","","|n"&amp;DG$2&amp;"+"&amp;AA70&amp;DG$1)</f>
        <v/>
      </c>
      <c r="DH70" s="30" t="str">
        <f t="shared" ref="DH70:DH77" si="880">IF(AB70="","","|n"&amp;DH$2&amp;"+"&amp;AB70&amp;DH$1)</f>
        <v>|n生命回复+309</v>
      </c>
      <c r="DI70" s="30" t="str">
        <f t="shared" ref="DI70:DI77" si="881">IF(AC70="","","|n"&amp;DI$2&amp;"+"&amp;AC70&amp;DI$1)</f>
        <v/>
      </c>
      <c r="DJ70" s="30" t="str">
        <f t="shared" ref="DJ70:DJ77" si="882">IF(AD70="","","|n"&amp;DJ$2&amp;"+"&amp;AD70&amp;DJ$1)</f>
        <v/>
      </c>
      <c r="DK70" s="30" t="str">
        <f t="shared" ref="DK70:DK77" si="883">IF(AE70="","","|n"&amp;DK$2&amp;"+"&amp;AE70&amp;DK$1)</f>
        <v/>
      </c>
      <c r="DL70" s="30" t="str">
        <f t="shared" ref="DL70:DL77" si="884">IF(AF70="","","|n"&amp;DL$2&amp;"+"&amp;AF70&amp;DL$1)</f>
        <v/>
      </c>
      <c r="DM70" s="30" t="str">
        <f t="shared" ref="DM70:DM77" si="885">IF(AG70="","","|n"&amp;DM$2&amp;"+"&amp;AG70&amp;DM$1)</f>
        <v/>
      </c>
      <c r="DN70" s="30" t="str">
        <f t="shared" ref="DN70:DN77" si="886">IF(AH70="","","|n"&amp;DN$2&amp;"+"&amp;AH70&amp;DN$1)</f>
        <v/>
      </c>
      <c r="DO70" s="30" t="str">
        <f t="shared" ref="DO70:DO77" si="887">IF(AI70="","","|n"&amp;DO$2&amp;"+"&amp;AI70&amp;DO$1)</f>
        <v/>
      </c>
      <c r="DP70" s="30" t="str">
        <f t="shared" ref="DP70:DP77" si="888">IF(AJ70="","","|n"&amp;DP$2&amp;"+"&amp;AJ70&amp;DP$1)</f>
        <v/>
      </c>
      <c r="DQ70" s="30" t="str">
        <f t="shared" ref="DQ70:DQ77" si="889">IF(AK70="","","|n"&amp;DQ$2&amp;"+"&amp;AK70&amp;DQ$1)</f>
        <v/>
      </c>
      <c r="DR70" s="30" t="str">
        <f t="shared" ref="DR70:DR77" si="890">IF(AL70="","","|n"&amp;DR$2&amp;"+"&amp;AL70&amp;DR$1)</f>
        <v/>
      </c>
      <c r="DS70" s="30" t="str">
        <f t="shared" ref="DS70:DS77" si="891">IF(AM70="","","|n"&amp;DS$2&amp;"+"&amp;AM70&amp;DS$1)</f>
        <v/>
      </c>
      <c r="DT70" s="30" t="str">
        <f t="shared" ref="DT70:DT77" si="892">IF(AN70="","","|n"&amp;DT$2&amp;"+"&amp;AN70&amp;DT$1)</f>
        <v/>
      </c>
      <c r="DU70" s="30" t="str">
        <f t="shared" ref="DU70:DU77" si="893">IF(AO70="","","|n"&amp;DU$2&amp;"+"&amp;AO70&amp;DU$1)</f>
        <v/>
      </c>
      <c r="DV70" s="30" t="str">
        <f t="shared" ref="DV70:DV77" si="894">IF(AP70="","","|n"&amp;DV$2&amp;"+"&amp;AP70&amp;DV$1)</f>
        <v/>
      </c>
      <c r="DW70" s="30" t="str">
        <f t="shared" ref="DW70:DW77" si="895">IF(AQ70="","","|n"&amp;DW$2&amp;"+"&amp;AQ70&amp;DW$1)</f>
        <v/>
      </c>
      <c r="DX70" s="30" t="str">
        <f t="shared" ref="DX70:DX77" si="896">IF(AR70="","","|n"&amp;DX$2&amp;"+"&amp;AR70&amp;DX$1)</f>
        <v/>
      </c>
      <c r="DY70" s="30" t="str">
        <f t="shared" ref="DY70:DY77" si="897">IF(AS70="","","|n"&amp;DY$2&amp;"+"&amp;AS70&amp;DY$1)</f>
        <v/>
      </c>
      <c r="DZ70" s="30" t="str">
        <f t="shared" ref="DZ70:DZ77" si="898">IF(AT70="","","|n"&amp;DZ$2&amp;"+"&amp;AT70&amp;DZ$1)</f>
        <v/>
      </c>
      <c r="EA70" s="30" t="str">
        <f t="shared" ref="EA70:EA77" si="899">IF(AU70="","","|n"&amp;EA$2&amp;"+"&amp;AU70&amp;EA$1)</f>
        <v/>
      </c>
      <c r="EB70" s="30" t="str">
        <f t="shared" ref="EB70:EB77" si="900">IF(AV70="","","|n"&amp;EB$2&amp;"+"&amp;AV70&amp;EB$1)</f>
        <v/>
      </c>
      <c r="EC70" s="30" t="str">
        <f t="shared" ref="EC70:EC77" si="901">IF(AW70="","","|n"&amp;EC$2&amp;"+"&amp;AW70&amp;EC$1)</f>
        <v/>
      </c>
      <c r="ED70" s="30" t="str">
        <f t="shared" ref="ED70:ED77" si="902">IF(AX70="","","|n"&amp;ED$2&amp;"+"&amp;AX70&amp;ED$1)</f>
        <v/>
      </c>
      <c r="EE70" s="30" t="str">
        <f t="shared" ref="EE70:EE77" si="903">IF(AY70="","","|n"&amp;EE$2&amp;"+"&amp;AY70&amp;EE$1)</f>
        <v/>
      </c>
      <c r="EF70" s="30" t="str">
        <f t="shared" ref="EF70:EF77" si="904">IF(AZ70="","","|n"&amp;EF$2&amp;"+"&amp;AZ70&amp;EF$1)</f>
        <v/>
      </c>
      <c r="EG70" s="30" t="str">
        <f t="shared" ref="EG70:EG77" si="905">IF(BA70="","","|n"&amp;EG$2&amp;"+"&amp;BA70&amp;EG$1)</f>
        <v/>
      </c>
      <c r="EH70" s="30" t="str">
        <f t="shared" ref="EH70:EH77" si="906">IF(BB70="","","|n"&amp;EH$2&amp;"+"&amp;BB70&amp;EH$1)</f>
        <v/>
      </c>
      <c r="EI70" s="30" t="str">
        <f t="shared" ref="EI70:EI77" si="907">IF(BC70="","","|n"&amp;EI$2&amp;"+"&amp;BC70&amp;EI$1)</f>
        <v/>
      </c>
      <c r="EJ70" s="30" t="str">
        <f t="shared" ref="EJ70:EJ77" si="908">IF(BD70="","","|n"&amp;EJ$2&amp;"+"&amp;BD70&amp;EJ$1)</f>
        <v/>
      </c>
      <c r="EK70" s="30" t="str">
        <f t="shared" ref="EK70:EK77" si="909">IF(BE70="","","|n"&amp;EK$2&amp;"+"&amp;BE70&amp;EK$1)</f>
        <v/>
      </c>
      <c r="EL70" s="30" t="str">
        <f t="shared" ref="EL70:EL77" si="910">IF(BF70="","","|n"&amp;EL$2&amp;"+"&amp;BF70&amp;EL$1)</f>
        <v/>
      </c>
      <c r="EM70" s="30" t="str">
        <f t="shared" ref="EM70:EM77" si="911">IF(BG70="","","|n"&amp;EM$2&amp;"+"&amp;BG70&amp;EM$1)</f>
        <v/>
      </c>
      <c r="EN70" s="30" t="str">
        <f t="shared" ref="EN70:EN77" si="912">IF(BH70="","","|n"&amp;EN$2&amp;"+"&amp;BH70&amp;EN$1)</f>
        <v/>
      </c>
      <c r="EO70" s="30" t="str">
        <f t="shared" ref="EO70:EO77" si="913">IF(BI70="","","|n"&amp;EO$2&amp;"+"&amp;BI70&amp;EO$1)</f>
        <v/>
      </c>
      <c r="EP70" s="30" t="str">
        <f t="shared" ref="EP70:EP77" si="914">IF(BJ70="","","|n"&amp;EP$2&amp;"+"&amp;BJ70&amp;EP$1)</f>
        <v/>
      </c>
      <c r="EQ70" s="30" t="str">
        <f t="shared" ref="EQ70:EQ77" si="915">IF(BK70="","","|n"&amp;EQ$2&amp;"+"&amp;BK70&amp;EQ$1)</f>
        <v/>
      </c>
      <c r="ER70" s="30" t="str">
        <f t="shared" ref="ER70:ER77" si="916">IF(BL70="","","|n"&amp;ER$2&amp;"+"&amp;BL70&amp;ER$1)</f>
        <v/>
      </c>
      <c r="ES70" s="30" t="str">
        <f t="shared" ref="ES70:ES77" si="917">IF(BM70="","","|n"&amp;ES$2&amp;"+"&amp;BM70&amp;ES$1)</f>
        <v/>
      </c>
      <c r="ET70" s="30" t="str">
        <f t="shared" ref="ET70:ET77" si="918">IF(BN70="","","|n"&amp;ET$2&amp;"+"&amp;BN70&amp;ET$1)</f>
        <v/>
      </c>
      <c r="EU70" s="30" t="str">
        <f t="shared" ref="EU70:EU77" si="919">IF(BO70="","","|n"&amp;EU$2&amp;"+"&amp;BO70&amp;EU$1)</f>
        <v/>
      </c>
      <c r="EV70" s="30" t="str">
        <f t="shared" ref="EV70:EV77" si="920">IF(BP70="","","|n"&amp;EV$2&amp;"+"&amp;BP70&amp;EV$1)</f>
        <v/>
      </c>
      <c r="EW70" s="30" t="str">
        <f t="shared" ref="EW70:EW77" si="921">IF(BQ70="","","|n"&amp;EW$2&amp;"+"&amp;BQ70&amp;EW$1)</f>
        <v/>
      </c>
      <c r="EX70" s="30" t="str">
        <f t="shared" ref="EX70:EX77" si="922">IF(BR70="","","|n"&amp;EX$2&amp;"+"&amp;BR70&amp;EX$1)</f>
        <v/>
      </c>
      <c r="EY70" s="30" t="str">
        <f t="shared" ref="EY70:EY77" si="923">IF(BS70="","","|n"&amp;EY$2&amp;"+"&amp;BS70&amp;EY$1)</f>
        <v/>
      </c>
      <c r="EZ70" s="30" t="str">
        <f t="shared" ref="EZ70:EZ77" si="924">IF(BT70="","","|n"&amp;EZ$2&amp;"+"&amp;BT70&amp;EZ$1)</f>
        <v/>
      </c>
      <c r="FA70" s="30" t="str">
        <f t="shared" ref="FA70:FA77" si="925">IF(BU70="","","|n"&amp;FA$2&amp;"+"&amp;BU70&amp;FA$1)</f>
        <v/>
      </c>
      <c r="FB70" s="30" t="str">
        <f t="shared" ref="FB70:FB77" si="926">IF(BV70="","","|n"&amp;FB$2&amp;"+"&amp;BV70&amp;FB$1)</f>
        <v/>
      </c>
      <c r="FC70" s="30" t="str">
        <f t="shared" ref="FC70:FC77" si="927">IF(BW70="","","|n"&amp;FC$2&amp;"+"&amp;BW70&amp;FC$1)</f>
        <v/>
      </c>
      <c r="FD70" s="30" t="str">
        <f t="shared" ref="FD70:FD77" si="928">IF(BX70="","","|n"&amp;FD$2&amp;"+"&amp;BX70&amp;FD$1)</f>
        <v/>
      </c>
      <c r="FE70" s="30" t="str">
        <f t="shared" ref="FE70:FE77" si="929">IF(BY70="","","|n"&amp;FE$2&amp;"+"&amp;BY70&amp;FE$1)</f>
        <v/>
      </c>
      <c r="FF70" s="30" t="str">
        <f t="shared" ref="FF70:FF77" si="930">IF(BZ70="","","|n"&amp;FF$2&amp;"+"&amp;BZ70&amp;FF$1)</f>
        <v/>
      </c>
      <c r="FG70" s="30" t="str">
        <f t="shared" ref="FG70:FG77" si="931">IF(CA70="","","|n"&amp;FG$2&amp;"+"&amp;CA70&amp;FG$1)</f>
        <v/>
      </c>
      <c r="FH70" s="30" t="str">
        <f t="shared" ref="FH70:FH77" si="932">IF(CB70="","","|n"&amp;FH$2&amp;"+"&amp;CB70&amp;FH$1)</f>
        <v/>
      </c>
      <c r="FI70" s="30" t="str">
        <f t="shared" ref="FI70:FI77" si="933">IF(CC70="","","|n"&amp;FI$2&amp;"+"&amp;CC70&amp;FI$1)</f>
        <v/>
      </c>
      <c r="FJ70" s="30" t="str">
        <f t="shared" ref="FJ70:FJ77" si="934">IF(CD70="","","|n"&amp;FJ$2&amp;"+"&amp;CD70&amp;FJ$1)</f>
        <v/>
      </c>
      <c r="FK70" s="30" t="str">
        <f t="shared" ref="FK70:FK77" si="935">IF(CE70="","","|n"&amp;FK$2&amp;"+"&amp;CE70&amp;FK$1)</f>
        <v/>
      </c>
      <c r="FL70" s="30" t="str">
        <f t="shared" ref="FL70:FL77" si="936">IF(CF70="","","|n"&amp;FL$2&amp;"+"&amp;CF70&amp;FL$1)</f>
        <v/>
      </c>
      <c r="FM70" s="30" t="str">
        <f t="shared" ref="FM70:FM77" si="937">IF(CG70="","","|n"&amp;FM$2&amp;"+"&amp;CG70&amp;FM$1)</f>
        <v/>
      </c>
      <c r="FN70" s="30" t="str">
        <f t="shared" ref="FN70:FN77" si="938">IF(CH70="","","|n"&amp;FN$2&amp;"+"&amp;CH70&amp;FN$1)</f>
        <v/>
      </c>
      <c r="FO70" s="30" t="str">
        <f t="shared" ref="FO70:FO77" si="939">IF(CI70="","","|n"&amp;FO$2&amp;"+"&amp;CI70&amp;FO$1)</f>
        <v/>
      </c>
      <c r="FP70" s="30" t="str">
        <f t="shared" ref="FP70:FP77" si="940">IF(CJ70="","","|n"&amp;FP$2&amp;"+"&amp;CJ70&amp;FP$1)</f>
        <v/>
      </c>
      <c r="FQ70" s="30" t="str">
        <f t="shared" ref="FQ70:FQ77" si="941">IF(CK70="","","|n"&amp;FQ$2&amp;"+"&amp;CK70&amp;FQ$1)</f>
        <v/>
      </c>
      <c r="FR70" s="30" t="str">
        <f t="shared" ref="FR70:FR77" si="942">IF(CL70="","","|n"&amp;FR$2&amp;"+"&amp;CL70&amp;FR$1)</f>
        <v/>
      </c>
      <c r="FS70" s="30" t="str">
        <f t="shared" ref="FS70:FS77" si="943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0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">
        <v>607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69"/>
        <v>InitUnitState('E219',,,46,,71376,,357,,,)</v>
      </c>
      <c r="CO71" s="44" t="str">
        <f t="shared" si="870"/>
        <v>InitUnitNormal('E219',,,,,,,,,,)</v>
      </c>
      <c r="CP71" s="44" t="str">
        <f t="shared" si="871"/>
        <v>InitUnitMagic('E219',,,,,,,,,,)</v>
      </c>
      <c r="CQ71" s="44" t="str">
        <f t="shared" si="872"/>
        <v>InitUnitAdd('E219',,,,,,,,,,)</v>
      </c>
      <c r="CR71" s="44" t="str">
        <f t="shared" si="655"/>
        <v>InitEquipData('E219',,"",,E220,35000,,'','','','','','',"ReplaceableTextures\\CommandButtons\\BTNZ14.blp")</v>
      </c>
      <c r="CS71" s="44"/>
      <c r="CT71" s="44"/>
      <c r="CU71" s="45" t="str">
        <f t="shared" si="873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74"/>
        <v/>
      </c>
      <c r="DC71" s="30" t="str">
        <f t="shared" si="875"/>
        <v/>
      </c>
      <c r="DD71" s="30" t="str">
        <f t="shared" si="876"/>
        <v>|n护甲+46</v>
      </c>
      <c r="DE71" s="30" t="str">
        <f t="shared" si="877"/>
        <v/>
      </c>
      <c r="DF71" s="30" t="str">
        <f t="shared" si="878"/>
        <v>|n生命值+71376</v>
      </c>
      <c r="DG71" s="30" t="str">
        <f t="shared" si="879"/>
        <v/>
      </c>
      <c r="DH71" s="30" t="str">
        <f t="shared" si="880"/>
        <v>|n生命回复+357</v>
      </c>
      <c r="DI71" s="30" t="str">
        <f t="shared" si="881"/>
        <v/>
      </c>
      <c r="DJ71" s="30" t="str">
        <f t="shared" si="882"/>
        <v/>
      </c>
      <c r="DK71" s="30" t="str">
        <f t="shared" si="883"/>
        <v/>
      </c>
      <c r="DL71" s="30" t="str">
        <f t="shared" si="884"/>
        <v/>
      </c>
      <c r="DM71" s="30" t="str">
        <f t="shared" si="885"/>
        <v/>
      </c>
      <c r="DN71" s="30" t="str">
        <f t="shared" si="886"/>
        <v/>
      </c>
      <c r="DO71" s="30" t="str">
        <f t="shared" si="887"/>
        <v/>
      </c>
      <c r="DP71" s="30" t="str">
        <f t="shared" si="888"/>
        <v/>
      </c>
      <c r="DQ71" s="30" t="str">
        <f t="shared" si="889"/>
        <v/>
      </c>
      <c r="DR71" s="30" t="str">
        <f t="shared" si="890"/>
        <v/>
      </c>
      <c r="DS71" s="30" t="str">
        <f t="shared" si="891"/>
        <v/>
      </c>
      <c r="DT71" s="30" t="str">
        <f t="shared" si="892"/>
        <v/>
      </c>
      <c r="DU71" s="30" t="str">
        <f t="shared" si="893"/>
        <v/>
      </c>
      <c r="DV71" s="30" t="str">
        <f t="shared" si="894"/>
        <v/>
      </c>
      <c r="DW71" s="30" t="str">
        <f t="shared" si="895"/>
        <v/>
      </c>
      <c r="DX71" s="30" t="str">
        <f t="shared" si="896"/>
        <v/>
      </c>
      <c r="DY71" s="30" t="str">
        <f t="shared" si="897"/>
        <v/>
      </c>
      <c r="DZ71" s="30" t="str">
        <f t="shared" si="898"/>
        <v/>
      </c>
      <c r="EA71" s="30" t="str">
        <f t="shared" si="899"/>
        <v/>
      </c>
      <c r="EB71" s="30" t="str">
        <f t="shared" si="900"/>
        <v/>
      </c>
      <c r="EC71" s="30" t="str">
        <f t="shared" si="901"/>
        <v/>
      </c>
      <c r="ED71" s="30" t="str">
        <f t="shared" si="902"/>
        <v/>
      </c>
      <c r="EE71" s="30" t="str">
        <f t="shared" si="903"/>
        <v/>
      </c>
      <c r="EF71" s="30" t="str">
        <f t="shared" si="904"/>
        <v/>
      </c>
      <c r="EG71" s="30" t="str">
        <f t="shared" si="905"/>
        <v/>
      </c>
      <c r="EH71" s="30" t="str">
        <f t="shared" si="906"/>
        <v/>
      </c>
      <c r="EI71" s="30" t="str">
        <f t="shared" si="907"/>
        <v/>
      </c>
      <c r="EJ71" s="30" t="str">
        <f t="shared" si="908"/>
        <v/>
      </c>
      <c r="EK71" s="30" t="str">
        <f t="shared" si="909"/>
        <v/>
      </c>
      <c r="EL71" s="30" t="str">
        <f t="shared" si="910"/>
        <v/>
      </c>
      <c r="EM71" s="30" t="str">
        <f t="shared" si="911"/>
        <v/>
      </c>
      <c r="EN71" s="30" t="str">
        <f t="shared" si="912"/>
        <v/>
      </c>
      <c r="EO71" s="30" t="str">
        <f t="shared" si="913"/>
        <v/>
      </c>
      <c r="EP71" s="30" t="str">
        <f t="shared" si="914"/>
        <v/>
      </c>
      <c r="EQ71" s="30" t="str">
        <f t="shared" si="915"/>
        <v/>
      </c>
      <c r="ER71" s="30" t="str">
        <f t="shared" si="916"/>
        <v/>
      </c>
      <c r="ES71" s="30" t="str">
        <f t="shared" si="917"/>
        <v/>
      </c>
      <c r="ET71" s="30" t="str">
        <f t="shared" si="918"/>
        <v/>
      </c>
      <c r="EU71" s="30" t="str">
        <f t="shared" si="919"/>
        <v/>
      </c>
      <c r="EV71" s="30" t="str">
        <f t="shared" si="920"/>
        <v/>
      </c>
      <c r="EW71" s="30" t="str">
        <f t="shared" si="921"/>
        <v/>
      </c>
      <c r="EX71" s="30" t="str">
        <f t="shared" si="922"/>
        <v/>
      </c>
      <c r="EY71" s="30" t="str">
        <f t="shared" si="923"/>
        <v/>
      </c>
      <c r="EZ71" s="30" t="str">
        <f t="shared" si="924"/>
        <v/>
      </c>
      <c r="FA71" s="30" t="str">
        <f t="shared" si="925"/>
        <v/>
      </c>
      <c r="FB71" s="30" t="str">
        <f t="shared" si="926"/>
        <v/>
      </c>
      <c r="FC71" s="30" t="str">
        <f t="shared" si="927"/>
        <v/>
      </c>
      <c r="FD71" s="30" t="str">
        <f t="shared" si="928"/>
        <v/>
      </c>
      <c r="FE71" s="30" t="str">
        <f t="shared" si="929"/>
        <v/>
      </c>
      <c r="FF71" s="30" t="str">
        <f t="shared" si="930"/>
        <v/>
      </c>
      <c r="FG71" s="30" t="str">
        <f t="shared" si="931"/>
        <v/>
      </c>
      <c r="FH71" s="30" t="str">
        <f t="shared" si="932"/>
        <v/>
      </c>
      <c r="FI71" s="30" t="str">
        <f t="shared" si="933"/>
        <v/>
      </c>
      <c r="FJ71" s="30" t="str">
        <f t="shared" si="934"/>
        <v/>
      </c>
      <c r="FK71" s="30" t="str">
        <f t="shared" si="935"/>
        <v/>
      </c>
      <c r="FL71" s="30" t="str">
        <f t="shared" si="936"/>
        <v/>
      </c>
      <c r="FM71" s="30" t="str">
        <f t="shared" si="937"/>
        <v/>
      </c>
      <c r="FN71" s="30" t="str">
        <f t="shared" si="938"/>
        <v/>
      </c>
      <c r="FO71" s="30" t="str">
        <f t="shared" si="939"/>
        <v/>
      </c>
      <c r="FP71" s="30" t="str">
        <f t="shared" si="940"/>
        <v/>
      </c>
      <c r="FQ71" s="30" t="str">
        <f t="shared" si="941"/>
        <v/>
      </c>
      <c r="FR71" s="30" t="str">
        <f t="shared" si="942"/>
        <v/>
      </c>
      <c r="FS71" s="30" t="str">
        <f t="shared" si="943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0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">
        <v>607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69"/>
        <v>InitUnitState('E220',,,50,,80976,,405,,,)</v>
      </c>
      <c r="CO72" s="44" t="str">
        <f t="shared" si="870"/>
        <v>InitUnitNormal('E220',,,,,,,,,,)</v>
      </c>
      <c r="CP72" s="44" t="str">
        <f t="shared" si="871"/>
        <v>InitUnitMagic('E220',,,,,,,,,,)</v>
      </c>
      <c r="CQ72" s="44" t="str">
        <f t="shared" si="872"/>
        <v>InitUnitAdd('E220',,,,,,,,,,)</v>
      </c>
      <c r="CR72" s="44" t="str">
        <f t="shared" si="655"/>
        <v>InitEquipData('E220',,"",,E221,80000,,'','','','','','',"ReplaceableTextures\\CommandButtons\\BTNZ15.blp")</v>
      </c>
      <c r="CS72" s="44"/>
      <c r="CT72" s="44"/>
      <c r="CU72" s="45" t="str">
        <f t="shared" si="873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74"/>
        <v/>
      </c>
      <c r="DC72" s="30" t="str">
        <f t="shared" si="875"/>
        <v/>
      </c>
      <c r="DD72" s="30" t="str">
        <f t="shared" si="876"/>
        <v>|n护甲+50</v>
      </c>
      <c r="DE72" s="30" t="str">
        <f t="shared" si="877"/>
        <v/>
      </c>
      <c r="DF72" s="30" t="str">
        <f t="shared" si="878"/>
        <v>|n生命值+80976</v>
      </c>
      <c r="DG72" s="30" t="str">
        <f t="shared" si="879"/>
        <v/>
      </c>
      <c r="DH72" s="30" t="str">
        <f t="shared" si="880"/>
        <v>|n生命回复+405</v>
      </c>
      <c r="DI72" s="30" t="str">
        <f t="shared" si="881"/>
        <v/>
      </c>
      <c r="DJ72" s="30" t="str">
        <f t="shared" si="882"/>
        <v/>
      </c>
      <c r="DK72" s="30" t="str">
        <f t="shared" si="883"/>
        <v/>
      </c>
      <c r="DL72" s="30" t="str">
        <f t="shared" si="884"/>
        <v/>
      </c>
      <c r="DM72" s="30" t="str">
        <f t="shared" si="885"/>
        <v/>
      </c>
      <c r="DN72" s="30" t="str">
        <f t="shared" si="886"/>
        <v/>
      </c>
      <c r="DO72" s="30" t="str">
        <f t="shared" si="887"/>
        <v/>
      </c>
      <c r="DP72" s="30" t="str">
        <f t="shared" si="888"/>
        <v/>
      </c>
      <c r="DQ72" s="30" t="str">
        <f t="shared" si="889"/>
        <v/>
      </c>
      <c r="DR72" s="30" t="str">
        <f t="shared" si="890"/>
        <v/>
      </c>
      <c r="DS72" s="30" t="str">
        <f t="shared" si="891"/>
        <v/>
      </c>
      <c r="DT72" s="30" t="str">
        <f t="shared" si="892"/>
        <v/>
      </c>
      <c r="DU72" s="30" t="str">
        <f t="shared" si="893"/>
        <v/>
      </c>
      <c r="DV72" s="30" t="str">
        <f t="shared" si="894"/>
        <v/>
      </c>
      <c r="DW72" s="30" t="str">
        <f t="shared" si="895"/>
        <v/>
      </c>
      <c r="DX72" s="30" t="str">
        <f t="shared" si="896"/>
        <v/>
      </c>
      <c r="DY72" s="30" t="str">
        <f t="shared" si="897"/>
        <v/>
      </c>
      <c r="DZ72" s="30" t="str">
        <f t="shared" si="898"/>
        <v/>
      </c>
      <c r="EA72" s="30" t="str">
        <f t="shared" si="899"/>
        <v/>
      </c>
      <c r="EB72" s="30" t="str">
        <f t="shared" si="900"/>
        <v/>
      </c>
      <c r="EC72" s="30" t="str">
        <f t="shared" si="901"/>
        <v/>
      </c>
      <c r="ED72" s="30" t="str">
        <f t="shared" si="902"/>
        <v/>
      </c>
      <c r="EE72" s="30" t="str">
        <f t="shared" si="903"/>
        <v/>
      </c>
      <c r="EF72" s="30" t="str">
        <f t="shared" si="904"/>
        <v/>
      </c>
      <c r="EG72" s="30" t="str">
        <f t="shared" si="905"/>
        <v/>
      </c>
      <c r="EH72" s="30" t="str">
        <f t="shared" si="906"/>
        <v/>
      </c>
      <c r="EI72" s="30" t="str">
        <f t="shared" si="907"/>
        <v/>
      </c>
      <c r="EJ72" s="30" t="str">
        <f t="shared" si="908"/>
        <v/>
      </c>
      <c r="EK72" s="30" t="str">
        <f t="shared" si="909"/>
        <v/>
      </c>
      <c r="EL72" s="30" t="str">
        <f t="shared" si="910"/>
        <v/>
      </c>
      <c r="EM72" s="30" t="str">
        <f t="shared" si="911"/>
        <v/>
      </c>
      <c r="EN72" s="30" t="str">
        <f t="shared" si="912"/>
        <v/>
      </c>
      <c r="EO72" s="30" t="str">
        <f t="shared" si="913"/>
        <v/>
      </c>
      <c r="EP72" s="30" t="str">
        <f t="shared" si="914"/>
        <v/>
      </c>
      <c r="EQ72" s="30" t="str">
        <f t="shared" si="915"/>
        <v/>
      </c>
      <c r="ER72" s="30" t="str">
        <f t="shared" si="916"/>
        <v/>
      </c>
      <c r="ES72" s="30" t="str">
        <f t="shared" si="917"/>
        <v/>
      </c>
      <c r="ET72" s="30" t="str">
        <f t="shared" si="918"/>
        <v/>
      </c>
      <c r="EU72" s="30" t="str">
        <f t="shared" si="919"/>
        <v/>
      </c>
      <c r="EV72" s="30" t="str">
        <f t="shared" si="920"/>
        <v/>
      </c>
      <c r="EW72" s="30" t="str">
        <f t="shared" si="921"/>
        <v/>
      </c>
      <c r="EX72" s="30" t="str">
        <f t="shared" si="922"/>
        <v/>
      </c>
      <c r="EY72" s="30" t="str">
        <f t="shared" si="923"/>
        <v/>
      </c>
      <c r="EZ72" s="30" t="str">
        <f t="shared" si="924"/>
        <v/>
      </c>
      <c r="FA72" s="30" t="str">
        <f t="shared" si="925"/>
        <v/>
      </c>
      <c r="FB72" s="30" t="str">
        <f t="shared" si="926"/>
        <v/>
      </c>
      <c r="FC72" s="30" t="str">
        <f t="shared" si="927"/>
        <v/>
      </c>
      <c r="FD72" s="30" t="str">
        <f t="shared" si="928"/>
        <v/>
      </c>
      <c r="FE72" s="30" t="str">
        <f t="shared" si="929"/>
        <v/>
      </c>
      <c r="FF72" s="30" t="str">
        <f t="shared" si="930"/>
        <v/>
      </c>
      <c r="FG72" s="30" t="str">
        <f t="shared" si="931"/>
        <v/>
      </c>
      <c r="FH72" s="30" t="str">
        <f t="shared" si="932"/>
        <v/>
      </c>
      <c r="FI72" s="30" t="str">
        <f t="shared" si="933"/>
        <v/>
      </c>
      <c r="FJ72" s="30" t="str">
        <f t="shared" si="934"/>
        <v/>
      </c>
      <c r="FK72" s="30" t="str">
        <f t="shared" si="935"/>
        <v/>
      </c>
      <c r="FL72" s="30" t="str">
        <f t="shared" si="936"/>
        <v/>
      </c>
      <c r="FM72" s="30" t="str">
        <f t="shared" si="937"/>
        <v/>
      </c>
      <c r="FN72" s="30" t="str">
        <f t="shared" si="938"/>
        <v/>
      </c>
      <c r="FO72" s="30" t="str">
        <f t="shared" si="939"/>
        <v/>
      </c>
      <c r="FP72" s="30" t="str">
        <f t="shared" si="940"/>
        <v/>
      </c>
      <c r="FQ72" s="30" t="str">
        <f t="shared" si="941"/>
        <v/>
      </c>
      <c r="FR72" s="30" t="str">
        <f t="shared" si="942"/>
        <v/>
      </c>
      <c r="FS72" s="30" t="str">
        <f t="shared" si="943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0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">
        <v>609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69"/>
        <v>InitUnitState('E221',,,55,,104976,,525,,,)</v>
      </c>
      <c r="CO73" s="44" t="str">
        <f t="shared" si="870"/>
        <v>InitUnitNormal('E221',,,,,,,,,,)</v>
      </c>
      <c r="CP73" s="44" t="str">
        <f t="shared" si="871"/>
        <v>InitUnitMagic('E221',,,,,,,,,,)</v>
      </c>
      <c r="CQ73" s="44" t="str">
        <f t="shared" si="872"/>
        <v>InitUnitAdd('E221',,,,,,,,,,)</v>
      </c>
      <c r="CR73" s="44" t="str">
        <f t="shared" si="655"/>
        <v>InitEquipData('E221',,"",,E222,42000,,'','','','','','',"ReplaceableTextures\\CommandButtons\\BTNZ15.blp")</v>
      </c>
      <c r="CS73" s="44"/>
      <c r="CT73" s="44"/>
      <c r="CU73" s="45" t="str">
        <f t="shared" si="873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74"/>
        <v/>
      </c>
      <c r="DC73" s="30" t="str">
        <f t="shared" si="875"/>
        <v/>
      </c>
      <c r="DD73" s="30" t="str">
        <f t="shared" si="876"/>
        <v>|n护甲+55</v>
      </c>
      <c r="DE73" s="30" t="str">
        <f t="shared" si="877"/>
        <v/>
      </c>
      <c r="DF73" s="30" t="str">
        <f t="shared" si="878"/>
        <v>|n生命值+104976</v>
      </c>
      <c r="DG73" s="30" t="str">
        <f t="shared" si="879"/>
        <v/>
      </c>
      <c r="DH73" s="30" t="str">
        <f t="shared" si="880"/>
        <v>|n生命回复+525</v>
      </c>
      <c r="DI73" s="30" t="str">
        <f t="shared" si="881"/>
        <v/>
      </c>
      <c r="DJ73" s="30" t="str">
        <f t="shared" si="882"/>
        <v/>
      </c>
      <c r="DK73" s="30" t="str">
        <f t="shared" si="883"/>
        <v/>
      </c>
      <c r="DL73" s="30" t="str">
        <f t="shared" si="884"/>
        <v/>
      </c>
      <c r="DM73" s="30" t="str">
        <f t="shared" si="885"/>
        <v/>
      </c>
      <c r="DN73" s="30" t="str">
        <f t="shared" si="886"/>
        <v/>
      </c>
      <c r="DO73" s="30" t="str">
        <f t="shared" si="887"/>
        <v/>
      </c>
      <c r="DP73" s="30" t="str">
        <f t="shared" si="888"/>
        <v/>
      </c>
      <c r="DQ73" s="30" t="str">
        <f t="shared" si="889"/>
        <v/>
      </c>
      <c r="DR73" s="30" t="str">
        <f t="shared" si="890"/>
        <v/>
      </c>
      <c r="DS73" s="30" t="str">
        <f t="shared" si="891"/>
        <v/>
      </c>
      <c r="DT73" s="30" t="str">
        <f t="shared" si="892"/>
        <v/>
      </c>
      <c r="DU73" s="30" t="str">
        <f t="shared" si="893"/>
        <v/>
      </c>
      <c r="DV73" s="30" t="str">
        <f t="shared" si="894"/>
        <v/>
      </c>
      <c r="DW73" s="30" t="str">
        <f t="shared" si="895"/>
        <v/>
      </c>
      <c r="DX73" s="30" t="str">
        <f t="shared" si="896"/>
        <v/>
      </c>
      <c r="DY73" s="30" t="str">
        <f t="shared" si="897"/>
        <v/>
      </c>
      <c r="DZ73" s="30" t="str">
        <f t="shared" si="898"/>
        <v/>
      </c>
      <c r="EA73" s="30" t="str">
        <f t="shared" si="899"/>
        <v/>
      </c>
      <c r="EB73" s="30" t="str">
        <f t="shared" si="900"/>
        <v/>
      </c>
      <c r="EC73" s="30" t="str">
        <f t="shared" si="901"/>
        <v/>
      </c>
      <c r="ED73" s="30" t="str">
        <f t="shared" si="902"/>
        <v/>
      </c>
      <c r="EE73" s="30" t="str">
        <f t="shared" si="903"/>
        <v/>
      </c>
      <c r="EF73" s="30" t="str">
        <f t="shared" si="904"/>
        <v/>
      </c>
      <c r="EG73" s="30" t="str">
        <f t="shared" si="905"/>
        <v/>
      </c>
      <c r="EH73" s="30" t="str">
        <f t="shared" si="906"/>
        <v/>
      </c>
      <c r="EI73" s="30" t="str">
        <f t="shared" si="907"/>
        <v/>
      </c>
      <c r="EJ73" s="30" t="str">
        <f t="shared" si="908"/>
        <v/>
      </c>
      <c r="EK73" s="30" t="str">
        <f t="shared" si="909"/>
        <v/>
      </c>
      <c r="EL73" s="30" t="str">
        <f t="shared" si="910"/>
        <v/>
      </c>
      <c r="EM73" s="30" t="str">
        <f t="shared" si="911"/>
        <v/>
      </c>
      <c r="EN73" s="30" t="str">
        <f t="shared" si="912"/>
        <v/>
      </c>
      <c r="EO73" s="30" t="str">
        <f t="shared" si="913"/>
        <v/>
      </c>
      <c r="EP73" s="30" t="str">
        <f t="shared" si="914"/>
        <v/>
      </c>
      <c r="EQ73" s="30" t="str">
        <f t="shared" si="915"/>
        <v/>
      </c>
      <c r="ER73" s="30" t="str">
        <f t="shared" si="916"/>
        <v/>
      </c>
      <c r="ES73" s="30" t="str">
        <f t="shared" si="917"/>
        <v/>
      </c>
      <c r="ET73" s="30" t="str">
        <f t="shared" si="918"/>
        <v/>
      </c>
      <c r="EU73" s="30" t="str">
        <f t="shared" si="919"/>
        <v/>
      </c>
      <c r="EV73" s="30" t="str">
        <f t="shared" si="920"/>
        <v/>
      </c>
      <c r="EW73" s="30" t="str">
        <f t="shared" si="921"/>
        <v/>
      </c>
      <c r="EX73" s="30" t="str">
        <f t="shared" si="922"/>
        <v/>
      </c>
      <c r="EY73" s="30" t="str">
        <f t="shared" si="923"/>
        <v/>
      </c>
      <c r="EZ73" s="30" t="str">
        <f t="shared" si="924"/>
        <v/>
      </c>
      <c r="FA73" s="30" t="str">
        <f t="shared" si="925"/>
        <v/>
      </c>
      <c r="FB73" s="30" t="str">
        <f t="shared" si="926"/>
        <v/>
      </c>
      <c r="FC73" s="30" t="str">
        <f t="shared" si="927"/>
        <v/>
      </c>
      <c r="FD73" s="30" t="str">
        <f t="shared" si="928"/>
        <v/>
      </c>
      <c r="FE73" s="30" t="str">
        <f t="shared" si="929"/>
        <v/>
      </c>
      <c r="FF73" s="30" t="str">
        <f t="shared" si="930"/>
        <v/>
      </c>
      <c r="FG73" s="30" t="str">
        <f t="shared" si="931"/>
        <v/>
      </c>
      <c r="FH73" s="30" t="str">
        <f t="shared" si="932"/>
        <v/>
      </c>
      <c r="FI73" s="30" t="str">
        <f t="shared" si="933"/>
        <v/>
      </c>
      <c r="FJ73" s="30" t="str">
        <f t="shared" si="934"/>
        <v/>
      </c>
      <c r="FK73" s="30" t="str">
        <f t="shared" si="935"/>
        <v/>
      </c>
      <c r="FL73" s="30" t="str">
        <f t="shared" si="936"/>
        <v/>
      </c>
      <c r="FM73" s="30" t="str">
        <f t="shared" si="937"/>
        <v/>
      </c>
      <c r="FN73" s="30" t="str">
        <f t="shared" si="938"/>
        <v/>
      </c>
      <c r="FO73" s="30" t="str">
        <f t="shared" si="939"/>
        <v/>
      </c>
      <c r="FP73" s="30" t="str">
        <f t="shared" si="940"/>
        <v/>
      </c>
      <c r="FQ73" s="30" t="str">
        <f t="shared" si="941"/>
        <v/>
      </c>
      <c r="FR73" s="30" t="str">
        <f t="shared" si="942"/>
        <v/>
      </c>
      <c r="FS73" s="30" t="str">
        <f t="shared" si="943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0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">
        <v>609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69"/>
        <v>InitUnitState('E222',,,60,,128976,,645,,,)</v>
      </c>
      <c r="CO74" s="44" t="str">
        <f t="shared" si="870"/>
        <v>InitUnitNormal('E222',,,,,,,,,,)</v>
      </c>
      <c r="CP74" s="44" t="str">
        <f t="shared" si="871"/>
        <v>InitUnitMagic('E222',,,,,,,,,,)</v>
      </c>
      <c r="CQ74" s="44" t="str">
        <f t="shared" si="872"/>
        <v>InitUnitAdd('E222',,,,,,,,,,)</v>
      </c>
      <c r="CR74" s="44" t="str">
        <f t="shared" si="655"/>
        <v>InitEquipData('E222',,"",,E223,42000,,'','','','','','',"ReplaceableTextures\\CommandButtons\\BTNZ15.blp")</v>
      </c>
      <c r="CS74" s="44"/>
      <c r="CT74" s="44"/>
      <c r="CU74" s="45" t="str">
        <f t="shared" si="873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74"/>
        <v/>
      </c>
      <c r="DC74" s="30" t="str">
        <f t="shared" si="875"/>
        <v/>
      </c>
      <c r="DD74" s="30" t="str">
        <f t="shared" si="876"/>
        <v>|n护甲+60</v>
      </c>
      <c r="DE74" s="30" t="str">
        <f t="shared" si="877"/>
        <v/>
      </c>
      <c r="DF74" s="30" t="str">
        <f t="shared" si="878"/>
        <v>|n生命值+128976</v>
      </c>
      <c r="DG74" s="30" t="str">
        <f t="shared" si="879"/>
        <v/>
      </c>
      <c r="DH74" s="30" t="str">
        <f t="shared" si="880"/>
        <v>|n生命回复+645</v>
      </c>
      <c r="DI74" s="30" t="str">
        <f t="shared" si="881"/>
        <v/>
      </c>
      <c r="DJ74" s="30" t="str">
        <f t="shared" si="882"/>
        <v/>
      </c>
      <c r="DK74" s="30" t="str">
        <f t="shared" si="883"/>
        <v/>
      </c>
      <c r="DL74" s="30" t="str">
        <f t="shared" si="884"/>
        <v/>
      </c>
      <c r="DM74" s="30" t="str">
        <f t="shared" si="885"/>
        <v/>
      </c>
      <c r="DN74" s="30" t="str">
        <f t="shared" si="886"/>
        <v/>
      </c>
      <c r="DO74" s="30" t="str">
        <f t="shared" si="887"/>
        <v/>
      </c>
      <c r="DP74" s="30" t="str">
        <f t="shared" si="888"/>
        <v/>
      </c>
      <c r="DQ74" s="30" t="str">
        <f t="shared" si="889"/>
        <v/>
      </c>
      <c r="DR74" s="30" t="str">
        <f t="shared" si="890"/>
        <v/>
      </c>
      <c r="DS74" s="30" t="str">
        <f t="shared" si="891"/>
        <v/>
      </c>
      <c r="DT74" s="30" t="str">
        <f t="shared" si="892"/>
        <v/>
      </c>
      <c r="DU74" s="30" t="str">
        <f t="shared" si="893"/>
        <v/>
      </c>
      <c r="DV74" s="30" t="str">
        <f t="shared" si="894"/>
        <v/>
      </c>
      <c r="DW74" s="30" t="str">
        <f t="shared" si="895"/>
        <v/>
      </c>
      <c r="DX74" s="30" t="str">
        <f t="shared" si="896"/>
        <v/>
      </c>
      <c r="DY74" s="30" t="str">
        <f t="shared" si="897"/>
        <v/>
      </c>
      <c r="DZ74" s="30" t="str">
        <f t="shared" si="898"/>
        <v/>
      </c>
      <c r="EA74" s="30" t="str">
        <f t="shared" si="899"/>
        <v/>
      </c>
      <c r="EB74" s="30" t="str">
        <f t="shared" si="900"/>
        <v/>
      </c>
      <c r="EC74" s="30" t="str">
        <f t="shared" si="901"/>
        <v/>
      </c>
      <c r="ED74" s="30" t="str">
        <f t="shared" si="902"/>
        <v/>
      </c>
      <c r="EE74" s="30" t="str">
        <f t="shared" si="903"/>
        <v/>
      </c>
      <c r="EF74" s="30" t="str">
        <f t="shared" si="904"/>
        <v/>
      </c>
      <c r="EG74" s="30" t="str">
        <f t="shared" si="905"/>
        <v/>
      </c>
      <c r="EH74" s="30" t="str">
        <f t="shared" si="906"/>
        <v/>
      </c>
      <c r="EI74" s="30" t="str">
        <f t="shared" si="907"/>
        <v/>
      </c>
      <c r="EJ74" s="30" t="str">
        <f t="shared" si="908"/>
        <v/>
      </c>
      <c r="EK74" s="30" t="str">
        <f t="shared" si="909"/>
        <v/>
      </c>
      <c r="EL74" s="30" t="str">
        <f t="shared" si="910"/>
        <v/>
      </c>
      <c r="EM74" s="30" t="str">
        <f t="shared" si="911"/>
        <v/>
      </c>
      <c r="EN74" s="30" t="str">
        <f t="shared" si="912"/>
        <v/>
      </c>
      <c r="EO74" s="30" t="str">
        <f t="shared" si="913"/>
        <v/>
      </c>
      <c r="EP74" s="30" t="str">
        <f t="shared" si="914"/>
        <v/>
      </c>
      <c r="EQ74" s="30" t="str">
        <f t="shared" si="915"/>
        <v/>
      </c>
      <c r="ER74" s="30" t="str">
        <f t="shared" si="916"/>
        <v/>
      </c>
      <c r="ES74" s="30" t="str">
        <f t="shared" si="917"/>
        <v/>
      </c>
      <c r="ET74" s="30" t="str">
        <f t="shared" si="918"/>
        <v/>
      </c>
      <c r="EU74" s="30" t="str">
        <f t="shared" si="919"/>
        <v/>
      </c>
      <c r="EV74" s="30" t="str">
        <f t="shared" si="920"/>
        <v/>
      </c>
      <c r="EW74" s="30" t="str">
        <f t="shared" si="921"/>
        <v/>
      </c>
      <c r="EX74" s="30" t="str">
        <f t="shared" si="922"/>
        <v/>
      </c>
      <c r="EY74" s="30" t="str">
        <f t="shared" si="923"/>
        <v/>
      </c>
      <c r="EZ74" s="30" t="str">
        <f t="shared" si="924"/>
        <v/>
      </c>
      <c r="FA74" s="30" t="str">
        <f t="shared" si="925"/>
        <v/>
      </c>
      <c r="FB74" s="30" t="str">
        <f t="shared" si="926"/>
        <v/>
      </c>
      <c r="FC74" s="30" t="str">
        <f t="shared" si="927"/>
        <v/>
      </c>
      <c r="FD74" s="30" t="str">
        <f t="shared" si="928"/>
        <v/>
      </c>
      <c r="FE74" s="30" t="str">
        <f t="shared" si="929"/>
        <v/>
      </c>
      <c r="FF74" s="30" t="str">
        <f t="shared" si="930"/>
        <v/>
      </c>
      <c r="FG74" s="30" t="str">
        <f t="shared" si="931"/>
        <v/>
      </c>
      <c r="FH74" s="30" t="str">
        <f t="shared" si="932"/>
        <v/>
      </c>
      <c r="FI74" s="30" t="str">
        <f t="shared" si="933"/>
        <v/>
      </c>
      <c r="FJ74" s="30" t="str">
        <f t="shared" si="934"/>
        <v/>
      </c>
      <c r="FK74" s="30" t="str">
        <f t="shared" si="935"/>
        <v/>
      </c>
      <c r="FL74" s="30" t="str">
        <f t="shared" si="936"/>
        <v/>
      </c>
      <c r="FM74" s="30" t="str">
        <f t="shared" si="937"/>
        <v/>
      </c>
      <c r="FN74" s="30" t="str">
        <f t="shared" si="938"/>
        <v/>
      </c>
      <c r="FO74" s="30" t="str">
        <f t="shared" si="939"/>
        <v/>
      </c>
      <c r="FP74" s="30" t="str">
        <f t="shared" si="940"/>
        <v/>
      </c>
      <c r="FQ74" s="30" t="str">
        <f t="shared" si="941"/>
        <v/>
      </c>
      <c r="FR74" s="30" t="str">
        <f t="shared" si="942"/>
        <v/>
      </c>
      <c r="FS74" s="30" t="str">
        <f t="shared" si="943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0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">
        <v>609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69"/>
        <v>InitUnitState('E223',,,65,,152976,,765,,,)</v>
      </c>
      <c r="CO75" s="44" t="str">
        <f t="shared" si="870"/>
        <v>InitUnitNormal('E223',,,,,,,,,,)</v>
      </c>
      <c r="CP75" s="44" t="str">
        <f t="shared" si="871"/>
        <v>InitUnitMagic('E223',,,,,,,,,,)</v>
      </c>
      <c r="CQ75" s="44" t="str">
        <f t="shared" si="872"/>
        <v>InitUnitAdd('E223',,,,,,,,,,)</v>
      </c>
      <c r="CR75" s="44" t="str">
        <f t="shared" si="655"/>
        <v>InitEquipData('E223',,"",,E224,42000,,'','','','','','',"ReplaceableTextures\\CommandButtons\\BTNZ15.blp")</v>
      </c>
      <c r="CS75" s="44"/>
      <c r="CT75" s="44"/>
      <c r="CU75" s="45" t="str">
        <f t="shared" si="873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74"/>
        <v/>
      </c>
      <c r="DC75" s="30" t="str">
        <f t="shared" si="875"/>
        <v/>
      </c>
      <c r="DD75" s="30" t="str">
        <f t="shared" si="876"/>
        <v>|n护甲+65</v>
      </c>
      <c r="DE75" s="30" t="str">
        <f t="shared" si="877"/>
        <v/>
      </c>
      <c r="DF75" s="30" t="str">
        <f t="shared" si="878"/>
        <v>|n生命值+152976</v>
      </c>
      <c r="DG75" s="30" t="str">
        <f t="shared" si="879"/>
        <v/>
      </c>
      <c r="DH75" s="30" t="str">
        <f t="shared" si="880"/>
        <v>|n生命回复+765</v>
      </c>
      <c r="DI75" s="30" t="str">
        <f t="shared" si="881"/>
        <v/>
      </c>
      <c r="DJ75" s="30" t="str">
        <f t="shared" si="882"/>
        <v/>
      </c>
      <c r="DK75" s="30" t="str">
        <f t="shared" si="883"/>
        <v/>
      </c>
      <c r="DL75" s="30" t="str">
        <f t="shared" si="884"/>
        <v/>
      </c>
      <c r="DM75" s="30" t="str">
        <f t="shared" si="885"/>
        <v/>
      </c>
      <c r="DN75" s="30" t="str">
        <f t="shared" si="886"/>
        <v/>
      </c>
      <c r="DO75" s="30" t="str">
        <f t="shared" si="887"/>
        <v/>
      </c>
      <c r="DP75" s="30" t="str">
        <f t="shared" si="888"/>
        <v/>
      </c>
      <c r="DQ75" s="30" t="str">
        <f t="shared" si="889"/>
        <v/>
      </c>
      <c r="DR75" s="30" t="str">
        <f t="shared" si="890"/>
        <v/>
      </c>
      <c r="DS75" s="30" t="str">
        <f t="shared" si="891"/>
        <v/>
      </c>
      <c r="DT75" s="30" t="str">
        <f t="shared" si="892"/>
        <v/>
      </c>
      <c r="DU75" s="30" t="str">
        <f t="shared" si="893"/>
        <v/>
      </c>
      <c r="DV75" s="30" t="str">
        <f t="shared" si="894"/>
        <v/>
      </c>
      <c r="DW75" s="30" t="str">
        <f t="shared" si="895"/>
        <v/>
      </c>
      <c r="DX75" s="30" t="str">
        <f t="shared" si="896"/>
        <v/>
      </c>
      <c r="DY75" s="30" t="str">
        <f t="shared" si="897"/>
        <v/>
      </c>
      <c r="DZ75" s="30" t="str">
        <f t="shared" si="898"/>
        <v/>
      </c>
      <c r="EA75" s="30" t="str">
        <f t="shared" si="899"/>
        <v/>
      </c>
      <c r="EB75" s="30" t="str">
        <f t="shared" si="900"/>
        <v/>
      </c>
      <c r="EC75" s="30" t="str">
        <f t="shared" si="901"/>
        <v/>
      </c>
      <c r="ED75" s="30" t="str">
        <f t="shared" si="902"/>
        <v/>
      </c>
      <c r="EE75" s="30" t="str">
        <f t="shared" si="903"/>
        <v/>
      </c>
      <c r="EF75" s="30" t="str">
        <f t="shared" si="904"/>
        <v/>
      </c>
      <c r="EG75" s="30" t="str">
        <f t="shared" si="905"/>
        <v/>
      </c>
      <c r="EH75" s="30" t="str">
        <f t="shared" si="906"/>
        <v/>
      </c>
      <c r="EI75" s="30" t="str">
        <f t="shared" si="907"/>
        <v/>
      </c>
      <c r="EJ75" s="30" t="str">
        <f t="shared" si="908"/>
        <v/>
      </c>
      <c r="EK75" s="30" t="str">
        <f t="shared" si="909"/>
        <v/>
      </c>
      <c r="EL75" s="30" t="str">
        <f t="shared" si="910"/>
        <v/>
      </c>
      <c r="EM75" s="30" t="str">
        <f t="shared" si="911"/>
        <v/>
      </c>
      <c r="EN75" s="30" t="str">
        <f t="shared" si="912"/>
        <v/>
      </c>
      <c r="EO75" s="30" t="str">
        <f t="shared" si="913"/>
        <v/>
      </c>
      <c r="EP75" s="30" t="str">
        <f t="shared" si="914"/>
        <v/>
      </c>
      <c r="EQ75" s="30" t="str">
        <f t="shared" si="915"/>
        <v/>
      </c>
      <c r="ER75" s="30" t="str">
        <f t="shared" si="916"/>
        <v/>
      </c>
      <c r="ES75" s="30" t="str">
        <f t="shared" si="917"/>
        <v/>
      </c>
      <c r="ET75" s="30" t="str">
        <f t="shared" si="918"/>
        <v/>
      </c>
      <c r="EU75" s="30" t="str">
        <f t="shared" si="919"/>
        <v/>
      </c>
      <c r="EV75" s="30" t="str">
        <f t="shared" si="920"/>
        <v/>
      </c>
      <c r="EW75" s="30" t="str">
        <f t="shared" si="921"/>
        <v/>
      </c>
      <c r="EX75" s="30" t="str">
        <f t="shared" si="922"/>
        <v/>
      </c>
      <c r="EY75" s="30" t="str">
        <f t="shared" si="923"/>
        <v/>
      </c>
      <c r="EZ75" s="30" t="str">
        <f t="shared" si="924"/>
        <v/>
      </c>
      <c r="FA75" s="30" t="str">
        <f t="shared" si="925"/>
        <v/>
      </c>
      <c r="FB75" s="30" t="str">
        <f t="shared" si="926"/>
        <v/>
      </c>
      <c r="FC75" s="30" t="str">
        <f t="shared" si="927"/>
        <v/>
      </c>
      <c r="FD75" s="30" t="str">
        <f t="shared" si="928"/>
        <v/>
      </c>
      <c r="FE75" s="30" t="str">
        <f t="shared" si="929"/>
        <v/>
      </c>
      <c r="FF75" s="30" t="str">
        <f t="shared" si="930"/>
        <v/>
      </c>
      <c r="FG75" s="30" t="str">
        <f t="shared" si="931"/>
        <v/>
      </c>
      <c r="FH75" s="30" t="str">
        <f t="shared" si="932"/>
        <v/>
      </c>
      <c r="FI75" s="30" t="str">
        <f t="shared" si="933"/>
        <v/>
      </c>
      <c r="FJ75" s="30" t="str">
        <f t="shared" si="934"/>
        <v/>
      </c>
      <c r="FK75" s="30" t="str">
        <f t="shared" si="935"/>
        <v/>
      </c>
      <c r="FL75" s="30" t="str">
        <f t="shared" si="936"/>
        <v/>
      </c>
      <c r="FM75" s="30" t="str">
        <f t="shared" si="937"/>
        <v/>
      </c>
      <c r="FN75" s="30" t="str">
        <f t="shared" si="938"/>
        <v/>
      </c>
      <c r="FO75" s="30" t="str">
        <f t="shared" si="939"/>
        <v/>
      </c>
      <c r="FP75" s="30" t="str">
        <f t="shared" si="940"/>
        <v/>
      </c>
      <c r="FQ75" s="30" t="str">
        <f t="shared" si="941"/>
        <v/>
      </c>
      <c r="FR75" s="30" t="str">
        <f t="shared" si="942"/>
        <v/>
      </c>
      <c r="FS75" s="30" t="str">
        <f t="shared" si="943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0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">
        <v>609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69"/>
        <v>InitUnitState('E224',,,70,,176976,,885,,,)</v>
      </c>
      <c r="CO76" s="44" t="str">
        <f t="shared" si="870"/>
        <v>InitUnitNormal('E224',,,,,,,,,,)</v>
      </c>
      <c r="CP76" s="44" t="str">
        <f t="shared" si="871"/>
        <v>InitUnitMagic('E224',,,,,,,,,,)</v>
      </c>
      <c r="CQ76" s="44" t="str">
        <f t="shared" si="872"/>
        <v>InitUnitAdd('E224',,,,,,,,,,)</v>
      </c>
      <c r="CR76" s="44" t="str">
        <f t="shared" si="655"/>
        <v>InitEquipData('E224',,"",,E225,42000,,'','','','','','',"ReplaceableTextures\\CommandButtons\\BTNZ15.blp")</v>
      </c>
      <c r="CS76" s="44"/>
      <c r="CT76" s="44"/>
      <c r="CU76" s="45" t="str">
        <f t="shared" si="873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74"/>
        <v/>
      </c>
      <c r="DC76" s="30" t="str">
        <f t="shared" si="875"/>
        <v/>
      </c>
      <c r="DD76" s="30" t="str">
        <f t="shared" si="876"/>
        <v>|n护甲+70</v>
      </c>
      <c r="DE76" s="30" t="str">
        <f t="shared" si="877"/>
        <v/>
      </c>
      <c r="DF76" s="30" t="str">
        <f t="shared" si="878"/>
        <v>|n生命值+176976</v>
      </c>
      <c r="DG76" s="30" t="str">
        <f t="shared" si="879"/>
        <v/>
      </c>
      <c r="DH76" s="30" t="str">
        <f t="shared" si="880"/>
        <v>|n生命回复+885</v>
      </c>
      <c r="DI76" s="30" t="str">
        <f t="shared" si="881"/>
        <v/>
      </c>
      <c r="DJ76" s="30" t="str">
        <f t="shared" si="882"/>
        <v/>
      </c>
      <c r="DK76" s="30" t="str">
        <f t="shared" si="883"/>
        <v/>
      </c>
      <c r="DL76" s="30" t="str">
        <f t="shared" si="884"/>
        <v/>
      </c>
      <c r="DM76" s="30" t="str">
        <f t="shared" si="885"/>
        <v/>
      </c>
      <c r="DN76" s="30" t="str">
        <f t="shared" si="886"/>
        <v/>
      </c>
      <c r="DO76" s="30" t="str">
        <f t="shared" si="887"/>
        <v/>
      </c>
      <c r="DP76" s="30" t="str">
        <f t="shared" si="888"/>
        <v/>
      </c>
      <c r="DQ76" s="30" t="str">
        <f t="shared" si="889"/>
        <v/>
      </c>
      <c r="DR76" s="30" t="str">
        <f t="shared" si="890"/>
        <v/>
      </c>
      <c r="DS76" s="30" t="str">
        <f t="shared" si="891"/>
        <v/>
      </c>
      <c r="DT76" s="30" t="str">
        <f t="shared" si="892"/>
        <v/>
      </c>
      <c r="DU76" s="30" t="str">
        <f t="shared" si="893"/>
        <v/>
      </c>
      <c r="DV76" s="30" t="str">
        <f t="shared" si="894"/>
        <v/>
      </c>
      <c r="DW76" s="30" t="str">
        <f t="shared" si="895"/>
        <v/>
      </c>
      <c r="DX76" s="30" t="str">
        <f t="shared" si="896"/>
        <v/>
      </c>
      <c r="DY76" s="30" t="str">
        <f t="shared" si="897"/>
        <v/>
      </c>
      <c r="DZ76" s="30" t="str">
        <f t="shared" si="898"/>
        <v/>
      </c>
      <c r="EA76" s="30" t="str">
        <f t="shared" si="899"/>
        <v/>
      </c>
      <c r="EB76" s="30" t="str">
        <f t="shared" si="900"/>
        <v/>
      </c>
      <c r="EC76" s="30" t="str">
        <f t="shared" si="901"/>
        <v/>
      </c>
      <c r="ED76" s="30" t="str">
        <f t="shared" si="902"/>
        <v/>
      </c>
      <c r="EE76" s="30" t="str">
        <f t="shared" si="903"/>
        <v/>
      </c>
      <c r="EF76" s="30" t="str">
        <f t="shared" si="904"/>
        <v/>
      </c>
      <c r="EG76" s="30" t="str">
        <f t="shared" si="905"/>
        <v/>
      </c>
      <c r="EH76" s="30" t="str">
        <f t="shared" si="906"/>
        <v/>
      </c>
      <c r="EI76" s="30" t="str">
        <f t="shared" si="907"/>
        <v/>
      </c>
      <c r="EJ76" s="30" t="str">
        <f t="shared" si="908"/>
        <v/>
      </c>
      <c r="EK76" s="30" t="str">
        <f t="shared" si="909"/>
        <v/>
      </c>
      <c r="EL76" s="30" t="str">
        <f t="shared" si="910"/>
        <v/>
      </c>
      <c r="EM76" s="30" t="str">
        <f t="shared" si="911"/>
        <v/>
      </c>
      <c r="EN76" s="30" t="str">
        <f t="shared" si="912"/>
        <v/>
      </c>
      <c r="EO76" s="30" t="str">
        <f t="shared" si="913"/>
        <v/>
      </c>
      <c r="EP76" s="30" t="str">
        <f t="shared" si="914"/>
        <v/>
      </c>
      <c r="EQ76" s="30" t="str">
        <f t="shared" si="915"/>
        <v/>
      </c>
      <c r="ER76" s="30" t="str">
        <f t="shared" si="916"/>
        <v/>
      </c>
      <c r="ES76" s="30" t="str">
        <f t="shared" si="917"/>
        <v/>
      </c>
      <c r="ET76" s="30" t="str">
        <f t="shared" si="918"/>
        <v/>
      </c>
      <c r="EU76" s="30" t="str">
        <f t="shared" si="919"/>
        <v/>
      </c>
      <c r="EV76" s="30" t="str">
        <f t="shared" si="920"/>
        <v/>
      </c>
      <c r="EW76" s="30" t="str">
        <f t="shared" si="921"/>
        <v/>
      </c>
      <c r="EX76" s="30" t="str">
        <f t="shared" si="922"/>
        <v/>
      </c>
      <c r="EY76" s="30" t="str">
        <f t="shared" si="923"/>
        <v/>
      </c>
      <c r="EZ76" s="30" t="str">
        <f t="shared" si="924"/>
        <v/>
      </c>
      <c r="FA76" s="30" t="str">
        <f t="shared" si="925"/>
        <v/>
      </c>
      <c r="FB76" s="30" t="str">
        <f t="shared" si="926"/>
        <v/>
      </c>
      <c r="FC76" s="30" t="str">
        <f t="shared" si="927"/>
        <v/>
      </c>
      <c r="FD76" s="30" t="str">
        <f t="shared" si="928"/>
        <v/>
      </c>
      <c r="FE76" s="30" t="str">
        <f t="shared" si="929"/>
        <v/>
      </c>
      <c r="FF76" s="30" t="str">
        <f t="shared" si="930"/>
        <v/>
      </c>
      <c r="FG76" s="30" t="str">
        <f t="shared" si="931"/>
        <v/>
      </c>
      <c r="FH76" s="30" t="str">
        <f t="shared" si="932"/>
        <v/>
      </c>
      <c r="FI76" s="30" t="str">
        <f t="shared" si="933"/>
        <v/>
      </c>
      <c r="FJ76" s="30" t="str">
        <f t="shared" si="934"/>
        <v/>
      </c>
      <c r="FK76" s="30" t="str">
        <f t="shared" si="935"/>
        <v/>
      </c>
      <c r="FL76" s="30" t="str">
        <f t="shared" si="936"/>
        <v/>
      </c>
      <c r="FM76" s="30" t="str">
        <f t="shared" si="937"/>
        <v/>
      </c>
      <c r="FN76" s="30" t="str">
        <f t="shared" si="938"/>
        <v/>
      </c>
      <c r="FO76" s="30" t="str">
        <f t="shared" si="939"/>
        <v/>
      </c>
      <c r="FP76" s="30" t="str">
        <f t="shared" si="940"/>
        <v/>
      </c>
      <c r="FQ76" s="30" t="str">
        <f t="shared" si="941"/>
        <v/>
      </c>
      <c r="FR76" s="30" t="str">
        <f t="shared" si="942"/>
        <v/>
      </c>
      <c r="FS76" s="30" t="str">
        <f t="shared" si="943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">
        <v>609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69"/>
        <v>InitUnitState('E225',,,75,,200000,,1000,,,)</v>
      </c>
      <c r="CO77" s="44" t="str">
        <f t="shared" si="870"/>
        <v>InitUnitNormal('E225',,,,,,,,,,)</v>
      </c>
      <c r="CP77" s="44" t="str">
        <f t="shared" si="871"/>
        <v>InitUnitMagic('E225',,,,,,,,,,)</v>
      </c>
      <c r="CQ77" s="44" t="str">
        <f t="shared" si="872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73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74"/>
        <v/>
      </c>
      <c r="DC77" s="30" t="str">
        <f t="shared" si="875"/>
        <v/>
      </c>
      <c r="DD77" s="30" t="str">
        <f t="shared" si="876"/>
        <v>|n护甲+75</v>
      </c>
      <c r="DE77" s="30" t="str">
        <f t="shared" si="877"/>
        <v/>
      </c>
      <c r="DF77" s="30" t="str">
        <f t="shared" si="878"/>
        <v>|n生命值+200000</v>
      </c>
      <c r="DG77" s="30" t="str">
        <f t="shared" si="879"/>
        <v/>
      </c>
      <c r="DH77" s="30" t="str">
        <f t="shared" si="880"/>
        <v>|n生命回复+1000</v>
      </c>
      <c r="DI77" s="30" t="str">
        <f t="shared" si="881"/>
        <v/>
      </c>
      <c r="DJ77" s="30" t="str">
        <f t="shared" si="882"/>
        <v/>
      </c>
      <c r="DK77" s="30" t="str">
        <f t="shared" si="883"/>
        <v/>
      </c>
      <c r="DL77" s="30" t="str">
        <f t="shared" si="884"/>
        <v/>
      </c>
      <c r="DM77" s="30" t="str">
        <f t="shared" si="885"/>
        <v/>
      </c>
      <c r="DN77" s="30" t="str">
        <f t="shared" si="886"/>
        <v/>
      </c>
      <c r="DO77" s="30" t="str">
        <f t="shared" si="887"/>
        <v/>
      </c>
      <c r="DP77" s="30" t="str">
        <f t="shared" si="888"/>
        <v/>
      </c>
      <c r="DQ77" s="30" t="str">
        <f t="shared" si="889"/>
        <v/>
      </c>
      <c r="DR77" s="30" t="str">
        <f t="shared" si="890"/>
        <v/>
      </c>
      <c r="DS77" s="30" t="str">
        <f t="shared" si="891"/>
        <v/>
      </c>
      <c r="DT77" s="30" t="str">
        <f t="shared" si="892"/>
        <v/>
      </c>
      <c r="DU77" s="30" t="str">
        <f t="shared" si="893"/>
        <v/>
      </c>
      <c r="DV77" s="30" t="str">
        <f t="shared" si="894"/>
        <v/>
      </c>
      <c r="DW77" s="30" t="str">
        <f t="shared" si="895"/>
        <v/>
      </c>
      <c r="DX77" s="30" t="str">
        <f t="shared" si="896"/>
        <v/>
      </c>
      <c r="DY77" s="30" t="str">
        <f t="shared" si="897"/>
        <v/>
      </c>
      <c r="DZ77" s="30" t="str">
        <f t="shared" si="898"/>
        <v/>
      </c>
      <c r="EA77" s="30" t="str">
        <f t="shared" si="899"/>
        <v/>
      </c>
      <c r="EB77" s="30" t="str">
        <f t="shared" si="900"/>
        <v/>
      </c>
      <c r="EC77" s="30" t="str">
        <f t="shared" si="901"/>
        <v/>
      </c>
      <c r="ED77" s="30" t="str">
        <f t="shared" si="902"/>
        <v/>
      </c>
      <c r="EE77" s="30" t="str">
        <f t="shared" si="903"/>
        <v/>
      </c>
      <c r="EF77" s="30" t="str">
        <f t="shared" si="904"/>
        <v/>
      </c>
      <c r="EG77" s="30" t="str">
        <f t="shared" si="905"/>
        <v/>
      </c>
      <c r="EH77" s="30" t="str">
        <f t="shared" si="906"/>
        <v/>
      </c>
      <c r="EI77" s="30" t="str">
        <f t="shared" si="907"/>
        <v/>
      </c>
      <c r="EJ77" s="30" t="str">
        <f t="shared" si="908"/>
        <v/>
      </c>
      <c r="EK77" s="30" t="str">
        <f t="shared" si="909"/>
        <v/>
      </c>
      <c r="EL77" s="30" t="str">
        <f t="shared" si="910"/>
        <v/>
      </c>
      <c r="EM77" s="30" t="str">
        <f t="shared" si="911"/>
        <v/>
      </c>
      <c r="EN77" s="30" t="str">
        <f t="shared" si="912"/>
        <v/>
      </c>
      <c r="EO77" s="30" t="str">
        <f t="shared" si="913"/>
        <v/>
      </c>
      <c r="EP77" s="30" t="str">
        <f t="shared" si="914"/>
        <v/>
      </c>
      <c r="EQ77" s="30" t="str">
        <f t="shared" si="915"/>
        <v/>
      </c>
      <c r="ER77" s="30" t="str">
        <f t="shared" si="916"/>
        <v/>
      </c>
      <c r="ES77" s="30" t="str">
        <f t="shared" si="917"/>
        <v/>
      </c>
      <c r="ET77" s="30" t="str">
        <f t="shared" si="918"/>
        <v/>
      </c>
      <c r="EU77" s="30" t="str">
        <f t="shared" si="919"/>
        <v/>
      </c>
      <c r="EV77" s="30" t="str">
        <f t="shared" si="920"/>
        <v/>
      </c>
      <c r="EW77" s="30" t="str">
        <f t="shared" si="921"/>
        <v/>
      </c>
      <c r="EX77" s="30" t="str">
        <f t="shared" si="922"/>
        <v/>
      </c>
      <c r="EY77" s="30" t="str">
        <f t="shared" si="923"/>
        <v/>
      </c>
      <c r="EZ77" s="30" t="str">
        <f t="shared" si="924"/>
        <v/>
      </c>
      <c r="FA77" s="30" t="str">
        <f t="shared" si="925"/>
        <v/>
      </c>
      <c r="FB77" s="30" t="str">
        <f t="shared" si="926"/>
        <v/>
      </c>
      <c r="FC77" s="30" t="str">
        <f t="shared" si="927"/>
        <v/>
      </c>
      <c r="FD77" s="30" t="str">
        <f t="shared" si="928"/>
        <v/>
      </c>
      <c r="FE77" s="30" t="str">
        <f t="shared" si="929"/>
        <v/>
      </c>
      <c r="FF77" s="30" t="str">
        <f t="shared" si="930"/>
        <v/>
      </c>
      <c r="FG77" s="30" t="str">
        <f t="shared" si="931"/>
        <v/>
      </c>
      <c r="FH77" s="30" t="str">
        <f t="shared" si="932"/>
        <v/>
      </c>
      <c r="FI77" s="30" t="str">
        <f t="shared" si="933"/>
        <v/>
      </c>
      <c r="FJ77" s="30" t="str">
        <f t="shared" si="934"/>
        <v/>
      </c>
      <c r="FK77" s="30" t="str">
        <f t="shared" si="935"/>
        <v/>
      </c>
      <c r="FL77" s="30" t="str">
        <f t="shared" si="936"/>
        <v/>
      </c>
      <c r="FM77" s="30" t="str">
        <f t="shared" si="937"/>
        <v/>
      </c>
      <c r="FN77" s="30" t="str">
        <f t="shared" si="938"/>
        <v/>
      </c>
      <c r="FO77" s="30" t="str">
        <f t="shared" si="939"/>
        <v/>
      </c>
      <c r="FP77" s="30" t="str">
        <f t="shared" si="940"/>
        <v/>
      </c>
      <c r="FQ77" s="30" t="str">
        <f t="shared" si="941"/>
        <v/>
      </c>
      <c r="FR77" s="30" t="str">
        <f t="shared" si="942"/>
        <v/>
      </c>
      <c r="FS77" s="30" t="str">
        <f t="shared" si="943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71"/>
        <v>InitUnitMagic('IJ01',,,,,,,,,,)</v>
      </c>
      <c r="CQ78" s="7" t="str">
        <f t="shared" si="872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56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57"/>
        <v>|n攻击+878</v>
      </c>
      <c r="DC78" s="30" t="str">
        <f t="shared" si="658"/>
        <v>|n法强+878</v>
      </c>
      <c r="DD78" s="30" t="str">
        <f t="shared" si="659"/>
        <v/>
      </c>
      <c r="DE78" s="30" t="str">
        <f t="shared" si="660"/>
        <v/>
      </c>
      <c r="DF78" s="30" t="str">
        <f t="shared" si="661"/>
        <v>|n生命值+1756</v>
      </c>
      <c r="DG78" s="30" t="str">
        <f t="shared" si="662"/>
        <v/>
      </c>
      <c r="DH78" s="30" t="str">
        <f t="shared" si="663"/>
        <v/>
      </c>
      <c r="DI78" s="30" t="str">
        <f t="shared" si="664"/>
        <v/>
      </c>
      <c r="DJ78" s="30" t="str">
        <f t="shared" si="665"/>
        <v/>
      </c>
      <c r="DK78" s="30" t="str">
        <f t="shared" si="666"/>
        <v/>
      </c>
      <c r="DL78" s="30" t="str">
        <f t="shared" si="667"/>
        <v/>
      </c>
      <c r="DM78" s="30" t="str">
        <f t="shared" si="668"/>
        <v/>
      </c>
      <c r="DN78" s="30" t="str">
        <f t="shared" si="669"/>
        <v/>
      </c>
      <c r="DO78" s="30" t="str">
        <f t="shared" si="670"/>
        <v/>
      </c>
      <c r="DP78" s="30" t="str">
        <f t="shared" si="671"/>
        <v/>
      </c>
      <c r="DQ78" s="30" t="str">
        <f t="shared" si="672"/>
        <v/>
      </c>
      <c r="DR78" s="30" t="str">
        <f t="shared" si="673"/>
        <v/>
      </c>
      <c r="DS78" s="30" t="str">
        <f t="shared" si="674"/>
        <v/>
      </c>
      <c r="DT78" s="30" t="str">
        <f t="shared" si="675"/>
        <v/>
      </c>
      <c r="DU78" s="30" t="str">
        <f t="shared" si="676"/>
        <v/>
      </c>
      <c r="DV78" s="30" t="str">
        <f t="shared" si="677"/>
        <v/>
      </c>
      <c r="DW78" s="30" t="str">
        <f t="shared" si="678"/>
        <v/>
      </c>
      <c r="DX78" s="30" t="str">
        <f t="shared" si="679"/>
        <v/>
      </c>
      <c r="DY78" s="30" t="str">
        <f t="shared" si="680"/>
        <v/>
      </c>
      <c r="DZ78" s="30" t="str">
        <f t="shared" si="681"/>
        <v/>
      </c>
      <c r="EA78" s="30" t="str">
        <f t="shared" si="682"/>
        <v/>
      </c>
      <c r="EB78" s="30" t="str">
        <f t="shared" si="683"/>
        <v/>
      </c>
      <c r="EC78" s="30" t="str">
        <f t="shared" si="684"/>
        <v/>
      </c>
      <c r="ED78" s="30" t="str">
        <f t="shared" si="685"/>
        <v/>
      </c>
      <c r="EE78" s="30" t="str">
        <f t="shared" si="686"/>
        <v/>
      </c>
      <c r="EF78" s="30" t="str">
        <f t="shared" si="687"/>
        <v/>
      </c>
      <c r="EG78" s="30" t="str">
        <f t="shared" si="688"/>
        <v/>
      </c>
      <c r="EH78" s="30" t="str">
        <f t="shared" si="689"/>
        <v/>
      </c>
      <c r="EI78" s="30" t="str">
        <f t="shared" si="690"/>
        <v/>
      </c>
      <c r="EJ78" s="30" t="str">
        <f t="shared" si="691"/>
        <v/>
      </c>
      <c r="EK78" s="30" t="str">
        <f t="shared" si="692"/>
        <v/>
      </c>
      <c r="EL78" s="30" t="str">
        <f t="shared" si="693"/>
        <v/>
      </c>
      <c r="EM78" s="30" t="str">
        <f t="shared" si="694"/>
        <v/>
      </c>
      <c r="EN78" s="30" t="str">
        <f t="shared" si="695"/>
        <v/>
      </c>
      <c r="EO78" s="30" t="str">
        <f t="shared" si="696"/>
        <v/>
      </c>
      <c r="EP78" s="30" t="str">
        <f t="shared" si="697"/>
        <v/>
      </c>
      <c r="EQ78" s="30" t="str">
        <f t="shared" si="698"/>
        <v/>
      </c>
      <c r="ER78" s="30" t="str">
        <f t="shared" si="699"/>
        <v/>
      </c>
      <c r="ES78" s="30" t="str">
        <f t="shared" si="700"/>
        <v/>
      </c>
      <c r="ET78" s="30" t="str">
        <f t="shared" si="701"/>
        <v/>
      </c>
      <c r="EU78" s="30" t="str">
        <f t="shared" si="702"/>
        <v/>
      </c>
      <c r="EV78" s="30" t="str">
        <f t="shared" si="703"/>
        <v/>
      </c>
      <c r="EW78" s="30" t="str">
        <f t="shared" si="704"/>
        <v/>
      </c>
      <c r="EX78" s="30" t="str">
        <f t="shared" si="705"/>
        <v/>
      </c>
      <c r="EY78" s="30" t="str">
        <f t="shared" si="706"/>
        <v/>
      </c>
      <c r="EZ78" s="30" t="str">
        <f t="shared" si="707"/>
        <v/>
      </c>
      <c r="FA78" s="30" t="str">
        <f t="shared" si="708"/>
        <v/>
      </c>
      <c r="FB78" s="30" t="str">
        <f t="shared" si="709"/>
        <v/>
      </c>
      <c r="FC78" s="30" t="str">
        <f t="shared" si="710"/>
        <v/>
      </c>
      <c r="FD78" s="30" t="str">
        <f t="shared" si="711"/>
        <v/>
      </c>
      <c r="FE78" s="30" t="str">
        <f t="shared" si="712"/>
        <v/>
      </c>
      <c r="FF78" s="30" t="str">
        <f t="shared" si="713"/>
        <v/>
      </c>
      <c r="FG78" s="30" t="str">
        <f t="shared" si="714"/>
        <v/>
      </c>
      <c r="FH78" s="30" t="str">
        <f t="shared" si="715"/>
        <v/>
      </c>
      <c r="FI78" s="30" t="str">
        <f t="shared" si="716"/>
        <v/>
      </c>
      <c r="FJ78" s="30" t="str">
        <f t="shared" si="717"/>
        <v/>
      </c>
      <c r="FK78" s="30" t="str">
        <f t="shared" si="718"/>
        <v/>
      </c>
      <c r="FL78" s="30" t="str">
        <f t="shared" si="719"/>
        <v/>
      </c>
      <c r="FM78" s="30" t="str">
        <f t="shared" si="720"/>
        <v/>
      </c>
      <c r="FN78" s="30" t="str">
        <f t="shared" si="721"/>
        <v/>
      </c>
      <c r="FO78" s="30" t="str">
        <f t="shared" si="722"/>
        <v/>
      </c>
      <c r="FP78" s="30" t="str">
        <f t="shared" si="723"/>
        <v/>
      </c>
      <c r="FQ78" s="30" t="str">
        <f t="shared" si="724"/>
        <v/>
      </c>
      <c r="FR78" s="30" t="str">
        <f t="shared" si="725"/>
        <v/>
      </c>
      <c r="FS78" s="30" t="str">
        <f t="shared" si="726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56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57"/>
        <v>|n攻击+1316</v>
      </c>
      <c r="DC79" s="30" t="str">
        <f t="shared" si="658"/>
        <v>|n法强+1316</v>
      </c>
      <c r="DD79" s="30" t="str">
        <f t="shared" si="659"/>
        <v/>
      </c>
      <c r="DE79" s="30" t="str">
        <f t="shared" si="660"/>
        <v/>
      </c>
      <c r="DF79" s="30" t="str">
        <f t="shared" si="661"/>
        <v>|n生命值+2634</v>
      </c>
      <c r="DG79" s="30" t="str">
        <f t="shared" si="662"/>
        <v/>
      </c>
      <c r="DH79" s="30" t="str">
        <f t="shared" si="663"/>
        <v/>
      </c>
      <c r="DI79" s="30" t="str">
        <f t="shared" si="664"/>
        <v/>
      </c>
      <c r="DJ79" s="30" t="str">
        <f t="shared" si="665"/>
        <v/>
      </c>
      <c r="DK79" s="30" t="str">
        <f t="shared" si="666"/>
        <v/>
      </c>
      <c r="DL79" s="30" t="str">
        <f t="shared" si="667"/>
        <v/>
      </c>
      <c r="DM79" s="30" t="str">
        <f t="shared" si="668"/>
        <v/>
      </c>
      <c r="DN79" s="30" t="str">
        <f t="shared" si="669"/>
        <v/>
      </c>
      <c r="DO79" s="30" t="str">
        <f t="shared" si="670"/>
        <v/>
      </c>
      <c r="DP79" s="30" t="str">
        <f t="shared" si="671"/>
        <v/>
      </c>
      <c r="DQ79" s="30" t="str">
        <f t="shared" si="672"/>
        <v/>
      </c>
      <c r="DR79" s="30" t="str">
        <f t="shared" si="673"/>
        <v/>
      </c>
      <c r="DS79" s="30" t="str">
        <f t="shared" si="674"/>
        <v/>
      </c>
      <c r="DT79" s="30" t="str">
        <f t="shared" si="675"/>
        <v/>
      </c>
      <c r="DU79" s="30" t="str">
        <f t="shared" si="676"/>
        <v/>
      </c>
      <c r="DV79" s="30" t="str">
        <f t="shared" si="677"/>
        <v/>
      </c>
      <c r="DW79" s="30" t="str">
        <f t="shared" si="678"/>
        <v/>
      </c>
      <c r="DX79" s="30" t="str">
        <f t="shared" si="679"/>
        <v/>
      </c>
      <c r="DY79" s="30" t="str">
        <f t="shared" si="680"/>
        <v/>
      </c>
      <c r="DZ79" s="30" t="str">
        <f t="shared" si="681"/>
        <v/>
      </c>
      <c r="EA79" s="30" t="str">
        <f t="shared" si="682"/>
        <v/>
      </c>
      <c r="EB79" s="30" t="str">
        <f t="shared" si="683"/>
        <v/>
      </c>
      <c r="EC79" s="30" t="str">
        <f t="shared" si="684"/>
        <v/>
      </c>
      <c r="ED79" s="30" t="str">
        <f t="shared" si="685"/>
        <v/>
      </c>
      <c r="EE79" s="30" t="str">
        <f t="shared" si="686"/>
        <v/>
      </c>
      <c r="EF79" s="30" t="str">
        <f t="shared" si="687"/>
        <v/>
      </c>
      <c r="EG79" s="30" t="str">
        <f t="shared" si="688"/>
        <v/>
      </c>
      <c r="EH79" s="30" t="str">
        <f t="shared" si="689"/>
        <v/>
      </c>
      <c r="EI79" s="30" t="str">
        <f t="shared" si="690"/>
        <v/>
      </c>
      <c r="EJ79" s="30" t="str">
        <f t="shared" si="691"/>
        <v/>
      </c>
      <c r="EK79" s="30" t="str">
        <f t="shared" si="692"/>
        <v/>
      </c>
      <c r="EL79" s="30" t="str">
        <f t="shared" si="693"/>
        <v/>
      </c>
      <c r="EM79" s="30" t="str">
        <f t="shared" si="694"/>
        <v/>
      </c>
      <c r="EN79" s="30" t="str">
        <f t="shared" si="695"/>
        <v/>
      </c>
      <c r="EO79" s="30" t="str">
        <f t="shared" si="696"/>
        <v/>
      </c>
      <c r="EP79" s="30" t="str">
        <f t="shared" si="697"/>
        <v/>
      </c>
      <c r="EQ79" s="30" t="str">
        <f t="shared" si="698"/>
        <v/>
      </c>
      <c r="ER79" s="30" t="str">
        <f t="shared" si="699"/>
        <v/>
      </c>
      <c r="ES79" s="30" t="str">
        <f t="shared" si="700"/>
        <v/>
      </c>
      <c r="ET79" s="30" t="str">
        <f t="shared" si="701"/>
        <v/>
      </c>
      <c r="EU79" s="30" t="str">
        <f t="shared" si="702"/>
        <v/>
      </c>
      <c r="EV79" s="30" t="str">
        <f t="shared" si="703"/>
        <v/>
      </c>
      <c r="EW79" s="30" t="str">
        <f t="shared" si="704"/>
        <v/>
      </c>
      <c r="EX79" s="30" t="str">
        <f t="shared" si="705"/>
        <v/>
      </c>
      <c r="EY79" s="30" t="str">
        <f t="shared" si="706"/>
        <v/>
      </c>
      <c r="EZ79" s="30" t="str">
        <f t="shared" si="707"/>
        <v/>
      </c>
      <c r="FA79" s="30" t="str">
        <f t="shared" si="708"/>
        <v/>
      </c>
      <c r="FB79" s="30" t="str">
        <f t="shared" si="709"/>
        <v/>
      </c>
      <c r="FC79" s="30" t="str">
        <f t="shared" si="710"/>
        <v/>
      </c>
      <c r="FD79" s="30" t="str">
        <f t="shared" si="711"/>
        <v/>
      </c>
      <c r="FE79" s="30" t="str">
        <f t="shared" si="712"/>
        <v/>
      </c>
      <c r="FF79" s="30" t="str">
        <f t="shared" si="713"/>
        <v/>
      </c>
      <c r="FG79" s="30" t="str">
        <f t="shared" si="714"/>
        <v/>
      </c>
      <c r="FH79" s="30" t="str">
        <f t="shared" si="715"/>
        <v/>
      </c>
      <c r="FI79" s="30" t="str">
        <f t="shared" si="716"/>
        <v/>
      </c>
      <c r="FJ79" s="30" t="str">
        <f t="shared" si="717"/>
        <v/>
      </c>
      <c r="FK79" s="30" t="str">
        <f t="shared" si="718"/>
        <v/>
      </c>
      <c r="FL79" s="30" t="str">
        <f t="shared" si="719"/>
        <v/>
      </c>
      <c r="FM79" s="30" t="str">
        <f t="shared" si="720"/>
        <v/>
      </c>
      <c r="FN79" s="30" t="str">
        <f t="shared" si="721"/>
        <v/>
      </c>
      <c r="FO79" s="30" t="str">
        <f t="shared" si="722"/>
        <v/>
      </c>
      <c r="FP79" s="30" t="str">
        <f t="shared" si="723"/>
        <v/>
      </c>
      <c r="FQ79" s="30" t="str">
        <f t="shared" si="724"/>
        <v/>
      </c>
      <c r="FR79" s="30" t="str">
        <f t="shared" si="725"/>
        <v/>
      </c>
      <c r="FS79" s="30" t="str">
        <f t="shared" si="726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56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57"/>
        <v>|n攻击+1975</v>
      </c>
      <c r="DC80" s="30" t="str">
        <f t="shared" si="658"/>
        <v>|n法强+1975</v>
      </c>
      <c r="DD80" s="30" t="str">
        <f t="shared" si="659"/>
        <v/>
      </c>
      <c r="DE80" s="30" t="str">
        <f t="shared" si="660"/>
        <v/>
      </c>
      <c r="DF80" s="30" t="str">
        <f t="shared" si="661"/>
        <v>|n生命值+3950</v>
      </c>
      <c r="DG80" s="30" t="str">
        <f t="shared" si="662"/>
        <v/>
      </c>
      <c r="DH80" s="30" t="str">
        <f t="shared" si="663"/>
        <v/>
      </c>
      <c r="DI80" s="30" t="str">
        <f t="shared" si="664"/>
        <v/>
      </c>
      <c r="DJ80" s="30" t="str">
        <f t="shared" si="665"/>
        <v/>
      </c>
      <c r="DK80" s="30" t="str">
        <f t="shared" si="666"/>
        <v/>
      </c>
      <c r="DL80" s="30" t="str">
        <f t="shared" si="667"/>
        <v/>
      </c>
      <c r="DM80" s="30" t="str">
        <f t="shared" si="668"/>
        <v/>
      </c>
      <c r="DN80" s="30" t="str">
        <f t="shared" si="669"/>
        <v/>
      </c>
      <c r="DO80" s="30" t="str">
        <f t="shared" si="670"/>
        <v/>
      </c>
      <c r="DP80" s="30" t="str">
        <f t="shared" si="671"/>
        <v/>
      </c>
      <c r="DQ80" s="30" t="str">
        <f t="shared" si="672"/>
        <v/>
      </c>
      <c r="DR80" s="30" t="str">
        <f t="shared" si="673"/>
        <v/>
      </c>
      <c r="DS80" s="30" t="str">
        <f t="shared" si="674"/>
        <v/>
      </c>
      <c r="DT80" s="30" t="str">
        <f t="shared" si="675"/>
        <v/>
      </c>
      <c r="DU80" s="30" t="str">
        <f t="shared" si="676"/>
        <v/>
      </c>
      <c r="DV80" s="30" t="str">
        <f t="shared" si="677"/>
        <v/>
      </c>
      <c r="DW80" s="30" t="str">
        <f t="shared" si="678"/>
        <v/>
      </c>
      <c r="DX80" s="30" t="str">
        <f t="shared" si="679"/>
        <v/>
      </c>
      <c r="DY80" s="30" t="str">
        <f t="shared" si="680"/>
        <v/>
      </c>
      <c r="DZ80" s="30" t="str">
        <f t="shared" si="681"/>
        <v/>
      </c>
      <c r="EA80" s="30" t="str">
        <f t="shared" si="682"/>
        <v/>
      </c>
      <c r="EB80" s="30" t="str">
        <f t="shared" si="683"/>
        <v/>
      </c>
      <c r="EC80" s="30" t="str">
        <f t="shared" si="684"/>
        <v/>
      </c>
      <c r="ED80" s="30" t="str">
        <f t="shared" si="685"/>
        <v/>
      </c>
      <c r="EE80" s="30" t="str">
        <f t="shared" si="686"/>
        <v/>
      </c>
      <c r="EF80" s="30" t="str">
        <f t="shared" si="687"/>
        <v/>
      </c>
      <c r="EG80" s="30" t="str">
        <f t="shared" si="688"/>
        <v/>
      </c>
      <c r="EH80" s="30" t="str">
        <f t="shared" si="689"/>
        <v/>
      </c>
      <c r="EI80" s="30" t="str">
        <f t="shared" si="690"/>
        <v/>
      </c>
      <c r="EJ80" s="30" t="str">
        <f t="shared" si="691"/>
        <v/>
      </c>
      <c r="EK80" s="30" t="str">
        <f t="shared" si="692"/>
        <v/>
      </c>
      <c r="EL80" s="30" t="str">
        <f t="shared" si="693"/>
        <v/>
      </c>
      <c r="EM80" s="30" t="str">
        <f t="shared" si="694"/>
        <v/>
      </c>
      <c r="EN80" s="30" t="str">
        <f t="shared" si="695"/>
        <v/>
      </c>
      <c r="EO80" s="30" t="str">
        <f t="shared" si="696"/>
        <v/>
      </c>
      <c r="EP80" s="30" t="str">
        <f t="shared" si="697"/>
        <v/>
      </c>
      <c r="EQ80" s="30" t="str">
        <f t="shared" si="698"/>
        <v/>
      </c>
      <c r="ER80" s="30" t="str">
        <f t="shared" si="699"/>
        <v/>
      </c>
      <c r="ES80" s="30" t="str">
        <f t="shared" si="700"/>
        <v/>
      </c>
      <c r="ET80" s="30" t="str">
        <f t="shared" si="701"/>
        <v/>
      </c>
      <c r="EU80" s="30" t="str">
        <f t="shared" si="702"/>
        <v/>
      </c>
      <c r="EV80" s="30" t="str">
        <f t="shared" si="703"/>
        <v/>
      </c>
      <c r="EW80" s="30" t="str">
        <f t="shared" si="704"/>
        <v/>
      </c>
      <c r="EX80" s="30" t="str">
        <f t="shared" si="705"/>
        <v/>
      </c>
      <c r="EY80" s="30" t="str">
        <f t="shared" si="706"/>
        <v/>
      </c>
      <c r="EZ80" s="30" t="str">
        <f t="shared" si="707"/>
        <v/>
      </c>
      <c r="FA80" s="30" t="str">
        <f t="shared" si="708"/>
        <v/>
      </c>
      <c r="FB80" s="30" t="str">
        <f t="shared" si="709"/>
        <v/>
      </c>
      <c r="FC80" s="30" t="str">
        <f t="shared" si="710"/>
        <v/>
      </c>
      <c r="FD80" s="30" t="str">
        <f t="shared" si="711"/>
        <v/>
      </c>
      <c r="FE80" s="30" t="str">
        <f t="shared" si="712"/>
        <v/>
      </c>
      <c r="FF80" s="30" t="str">
        <f t="shared" si="713"/>
        <v/>
      </c>
      <c r="FG80" s="30" t="str">
        <f t="shared" si="714"/>
        <v/>
      </c>
      <c r="FH80" s="30" t="str">
        <f t="shared" si="715"/>
        <v/>
      </c>
      <c r="FI80" s="30" t="str">
        <f t="shared" si="716"/>
        <v/>
      </c>
      <c r="FJ80" s="30" t="str">
        <f t="shared" si="717"/>
        <v/>
      </c>
      <c r="FK80" s="30" t="str">
        <f t="shared" si="718"/>
        <v/>
      </c>
      <c r="FL80" s="30" t="str">
        <f t="shared" si="719"/>
        <v/>
      </c>
      <c r="FM80" s="30" t="str">
        <f t="shared" si="720"/>
        <v/>
      </c>
      <c r="FN80" s="30" t="str">
        <f t="shared" si="721"/>
        <v/>
      </c>
      <c r="FO80" s="30" t="str">
        <f t="shared" si="722"/>
        <v/>
      </c>
      <c r="FP80" s="30" t="str">
        <f t="shared" si="723"/>
        <v/>
      </c>
      <c r="FQ80" s="30" t="str">
        <f t="shared" si="724"/>
        <v/>
      </c>
      <c r="FR80" s="30" t="str">
        <f t="shared" si="725"/>
        <v/>
      </c>
      <c r="FS80" s="30" t="str">
        <f t="shared" si="726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56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57"/>
        <v>|n攻击+2963</v>
      </c>
      <c r="DC81" s="30" t="str">
        <f t="shared" si="658"/>
        <v>|n法强+2963</v>
      </c>
      <c r="DD81" s="30" t="str">
        <f t="shared" si="659"/>
        <v/>
      </c>
      <c r="DE81" s="30" t="str">
        <f t="shared" si="660"/>
        <v/>
      </c>
      <c r="DF81" s="30" t="str">
        <f t="shared" si="661"/>
        <v>|n生命值+5925</v>
      </c>
      <c r="DG81" s="30" t="str">
        <f t="shared" si="662"/>
        <v/>
      </c>
      <c r="DH81" s="30" t="str">
        <f t="shared" si="663"/>
        <v/>
      </c>
      <c r="DI81" s="30" t="str">
        <f t="shared" si="664"/>
        <v/>
      </c>
      <c r="DJ81" s="30" t="str">
        <f t="shared" si="665"/>
        <v/>
      </c>
      <c r="DK81" s="30" t="str">
        <f t="shared" si="666"/>
        <v/>
      </c>
      <c r="DL81" s="30" t="str">
        <f t="shared" si="667"/>
        <v/>
      </c>
      <c r="DM81" s="30" t="str">
        <f t="shared" si="668"/>
        <v/>
      </c>
      <c r="DN81" s="30" t="str">
        <f t="shared" si="669"/>
        <v/>
      </c>
      <c r="DO81" s="30" t="str">
        <f t="shared" si="670"/>
        <v/>
      </c>
      <c r="DP81" s="30" t="str">
        <f t="shared" si="671"/>
        <v/>
      </c>
      <c r="DQ81" s="30" t="str">
        <f t="shared" si="672"/>
        <v/>
      </c>
      <c r="DR81" s="30" t="str">
        <f t="shared" si="673"/>
        <v/>
      </c>
      <c r="DS81" s="30" t="str">
        <f t="shared" si="674"/>
        <v/>
      </c>
      <c r="DT81" s="30" t="str">
        <f t="shared" si="675"/>
        <v/>
      </c>
      <c r="DU81" s="30" t="str">
        <f t="shared" si="676"/>
        <v/>
      </c>
      <c r="DV81" s="30" t="str">
        <f t="shared" si="677"/>
        <v/>
      </c>
      <c r="DW81" s="30" t="str">
        <f t="shared" si="678"/>
        <v/>
      </c>
      <c r="DX81" s="30" t="str">
        <f t="shared" si="679"/>
        <v/>
      </c>
      <c r="DY81" s="30" t="str">
        <f t="shared" si="680"/>
        <v/>
      </c>
      <c r="DZ81" s="30" t="str">
        <f t="shared" si="681"/>
        <v/>
      </c>
      <c r="EA81" s="30" t="str">
        <f t="shared" si="682"/>
        <v/>
      </c>
      <c r="EB81" s="30" t="str">
        <f t="shared" si="683"/>
        <v/>
      </c>
      <c r="EC81" s="30" t="str">
        <f t="shared" si="684"/>
        <v/>
      </c>
      <c r="ED81" s="30" t="str">
        <f t="shared" si="685"/>
        <v/>
      </c>
      <c r="EE81" s="30" t="str">
        <f t="shared" si="686"/>
        <v/>
      </c>
      <c r="EF81" s="30" t="str">
        <f t="shared" si="687"/>
        <v/>
      </c>
      <c r="EG81" s="30" t="str">
        <f t="shared" si="688"/>
        <v/>
      </c>
      <c r="EH81" s="30" t="str">
        <f t="shared" si="689"/>
        <v/>
      </c>
      <c r="EI81" s="30" t="str">
        <f t="shared" si="690"/>
        <v/>
      </c>
      <c r="EJ81" s="30" t="str">
        <f t="shared" si="691"/>
        <v/>
      </c>
      <c r="EK81" s="30" t="str">
        <f t="shared" si="692"/>
        <v/>
      </c>
      <c r="EL81" s="30" t="str">
        <f t="shared" si="693"/>
        <v/>
      </c>
      <c r="EM81" s="30" t="str">
        <f t="shared" si="694"/>
        <v/>
      </c>
      <c r="EN81" s="30" t="str">
        <f t="shared" si="695"/>
        <v/>
      </c>
      <c r="EO81" s="30" t="str">
        <f t="shared" si="696"/>
        <v/>
      </c>
      <c r="EP81" s="30" t="str">
        <f t="shared" si="697"/>
        <v/>
      </c>
      <c r="EQ81" s="30" t="str">
        <f t="shared" si="698"/>
        <v/>
      </c>
      <c r="ER81" s="30" t="str">
        <f t="shared" si="699"/>
        <v/>
      </c>
      <c r="ES81" s="30" t="str">
        <f t="shared" si="700"/>
        <v/>
      </c>
      <c r="ET81" s="30" t="str">
        <f t="shared" si="701"/>
        <v/>
      </c>
      <c r="EU81" s="30" t="str">
        <f t="shared" si="702"/>
        <v/>
      </c>
      <c r="EV81" s="30" t="str">
        <f t="shared" si="703"/>
        <v/>
      </c>
      <c r="EW81" s="30" t="str">
        <f t="shared" si="704"/>
        <v/>
      </c>
      <c r="EX81" s="30" t="str">
        <f t="shared" si="705"/>
        <v/>
      </c>
      <c r="EY81" s="30" t="str">
        <f t="shared" si="706"/>
        <v/>
      </c>
      <c r="EZ81" s="30" t="str">
        <f t="shared" si="707"/>
        <v/>
      </c>
      <c r="FA81" s="30" t="str">
        <f t="shared" si="708"/>
        <v/>
      </c>
      <c r="FB81" s="30" t="str">
        <f t="shared" si="709"/>
        <v/>
      </c>
      <c r="FC81" s="30" t="str">
        <f t="shared" si="710"/>
        <v/>
      </c>
      <c r="FD81" s="30" t="str">
        <f t="shared" si="711"/>
        <v/>
      </c>
      <c r="FE81" s="30" t="str">
        <f t="shared" si="712"/>
        <v/>
      </c>
      <c r="FF81" s="30" t="str">
        <f t="shared" si="713"/>
        <v/>
      </c>
      <c r="FG81" s="30" t="str">
        <f t="shared" si="714"/>
        <v/>
      </c>
      <c r="FH81" s="30" t="str">
        <f t="shared" si="715"/>
        <v/>
      </c>
      <c r="FI81" s="30" t="str">
        <f t="shared" si="716"/>
        <v/>
      </c>
      <c r="FJ81" s="30" t="str">
        <f t="shared" si="717"/>
        <v/>
      </c>
      <c r="FK81" s="30" t="str">
        <f t="shared" si="718"/>
        <v/>
      </c>
      <c r="FL81" s="30" t="str">
        <f t="shared" si="719"/>
        <v/>
      </c>
      <c r="FM81" s="30" t="str">
        <f t="shared" si="720"/>
        <v/>
      </c>
      <c r="FN81" s="30" t="str">
        <f t="shared" si="721"/>
        <v/>
      </c>
      <c r="FO81" s="30" t="str">
        <f t="shared" si="722"/>
        <v/>
      </c>
      <c r="FP81" s="30" t="str">
        <f t="shared" si="723"/>
        <v/>
      </c>
      <c r="FQ81" s="30" t="str">
        <f t="shared" si="724"/>
        <v/>
      </c>
      <c r="FR81" s="30" t="str">
        <f t="shared" si="725"/>
        <v/>
      </c>
      <c r="FS81" s="30" t="str">
        <f t="shared" si="726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56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57"/>
        <v>|n攻击+4444</v>
      </c>
      <c r="DC82" s="30" t="str">
        <f t="shared" si="658"/>
        <v>|n法强+4444</v>
      </c>
      <c r="DD82" s="30" t="str">
        <f t="shared" si="659"/>
        <v/>
      </c>
      <c r="DE82" s="30" t="str">
        <f t="shared" si="660"/>
        <v/>
      </c>
      <c r="DF82" s="30" t="str">
        <f t="shared" si="661"/>
        <v>|n生命值+8888</v>
      </c>
      <c r="DG82" s="30" t="str">
        <f t="shared" si="662"/>
        <v/>
      </c>
      <c r="DH82" s="30" t="str">
        <f t="shared" si="663"/>
        <v/>
      </c>
      <c r="DI82" s="30" t="str">
        <f t="shared" si="664"/>
        <v/>
      </c>
      <c r="DJ82" s="30" t="str">
        <f t="shared" si="665"/>
        <v/>
      </c>
      <c r="DK82" s="30" t="str">
        <f t="shared" si="666"/>
        <v/>
      </c>
      <c r="DL82" s="30" t="str">
        <f t="shared" si="667"/>
        <v/>
      </c>
      <c r="DM82" s="30" t="str">
        <f t="shared" si="668"/>
        <v/>
      </c>
      <c r="DN82" s="30" t="str">
        <f t="shared" si="669"/>
        <v/>
      </c>
      <c r="DO82" s="30" t="str">
        <f t="shared" si="670"/>
        <v/>
      </c>
      <c r="DP82" s="30" t="str">
        <f t="shared" si="671"/>
        <v/>
      </c>
      <c r="DQ82" s="30" t="str">
        <f t="shared" si="672"/>
        <v/>
      </c>
      <c r="DR82" s="30" t="str">
        <f t="shared" si="673"/>
        <v/>
      </c>
      <c r="DS82" s="30" t="str">
        <f t="shared" si="674"/>
        <v/>
      </c>
      <c r="DT82" s="30" t="str">
        <f t="shared" si="675"/>
        <v/>
      </c>
      <c r="DU82" s="30" t="str">
        <f t="shared" si="676"/>
        <v/>
      </c>
      <c r="DV82" s="30" t="str">
        <f t="shared" si="677"/>
        <v/>
      </c>
      <c r="DW82" s="30" t="str">
        <f t="shared" si="678"/>
        <v/>
      </c>
      <c r="DX82" s="30" t="str">
        <f t="shared" si="679"/>
        <v/>
      </c>
      <c r="DY82" s="30" t="str">
        <f t="shared" si="680"/>
        <v/>
      </c>
      <c r="DZ82" s="30" t="str">
        <f t="shared" si="681"/>
        <v/>
      </c>
      <c r="EA82" s="30" t="str">
        <f t="shared" si="682"/>
        <v/>
      </c>
      <c r="EB82" s="30" t="str">
        <f t="shared" si="683"/>
        <v/>
      </c>
      <c r="EC82" s="30" t="str">
        <f t="shared" si="684"/>
        <v/>
      </c>
      <c r="ED82" s="30" t="str">
        <f t="shared" si="685"/>
        <v/>
      </c>
      <c r="EE82" s="30" t="str">
        <f t="shared" si="686"/>
        <v/>
      </c>
      <c r="EF82" s="30" t="str">
        <f t="shared" si="687"/>
        <v/>
      </c>
      <c r="EG82" s="30" t="str">
        <f t="shared" si="688"/>
        <v/>
      </c>
      <c r="EH82" s="30" t="str">
        <f t="shared" si="689"/>
        <v/>
      </c>
      <c r="EI82" s="30" t="str">
        <f t="shared" si="690"/>
        <v/>
      </c>
      <c r="EJ82" s="30" t="str">
        <f t="shared" si="691"/>
        <v/>
      </c>
      <c r="EK82" s="30" t="str">
        <f t="shared" si="692"/>
        <v/>
      </c>
      <c r="EL82" s="30" t="str">
        <f t="shared" si="693"/>
        <v/>
      </c>
      <c r="EM82" s="30" t="str">
        <f t="shared" si="694"/>
        <v/>
      </c>
      <c r="EN82" s="30" t="str">
        <f t="shared" si="695"/>
        <v/>
      </c>
      <c r="EO82" s="30" t="str">
        <f t="shared" si="696"/>
        <v/>
      </c>
      <c r="EP82" s="30" t="str">
        <f t="shared" si="697"/>
        <v/>
      </c>
      <c r="EQ82" s="30" t="str">
        <f t="shared" si="698"/>
        <v/>
      </c>
      <c r="ER82" s="30" t="str">
        <f t="shared" si="699"/>
        <v/>
      </c>
      <c r="ES82" s="30" t="str">
        <f t="shared" si="700"/>
        <v/>
      </c>
      <c r="ET82" s="30" t="str">
        <f t="shared" si="701"/>
        <v/>
      </c>
      <c r="EU82" s="30" t="str">
        <f t="shared" si="702"/>
        <v/>
      </c>
      <c r="EV82" s="30" t="str">
        <f t="shared" si="703"/>
        <v/>
      </c>
      <c r="EW82" s="30" t="str">
        <f t="shared" si="704"/>
        <v/>
      </c>
      <c r="EX82" s="30" t="str">
        <f t="shared" si="705"/>
        <v/>
      </c>
      <c r="EY82" s="30" t="str">
        <f t="shared" si="706"/>
        <v/>
      </c>
      <c r="EZ82" s="30" t="str">
        <f t="shared" si="707"/>
        <v/>
      </c>
      <c r="FA82" s="30" t="str">
        <f t="shared" si="708"/>
        <v/>
      </c>
      <c r="FB82" s="30" t="str">
        <f t="shared" si="709"/>
        <v/>
      </c>
      <c r="FC82" s="30" t="str">
        <f t="shared" si="710"/>
        <v/>
      </c>
      <c r="FD82" s="30" t="str">
        <f t="shared" si="711"/>
        <v/>
      </c>
      <c r="FE82" s="30" t="str">
        <f t="shared" si="712"/>
        <v/>
      </c>
      <c r="FF82" s="30" t="str">
        <f t="shared" si="713"/>
        <v/>
      </c>
      <c r="FG82" s="30" t="str">
        <f t="shared" si="714"/>
        <v/>
      </c>
      <c r="FH82" s="30" t="str">
        <f t="shared" si="715"/>
        <v/>
      </c>
      <c r="FI82" s="30" t="str">
        <f t="shared" si="716"/>
        <v/>
      </c>
      <c r="FJ82" s="30" t="str">
        <f t="shared" si="717"/>
        <v/>
      </c>
      <c r="FK82" s="30" t="str">
        <f t="shared" si="718"/>
        <v/>
      </c>
      <c r="FL82" s="30" t="str">
        <f t="shared" si="719"/>
        <v/>
      </c>
      <c r="FM82" s="30" t="str">
        <f t="shared" si="720"/>
        <v/>
      </c>
      <c r="FN82" s="30" t="str">
        <f t="shared" si="721"/>
        <v/>
      </c>
      <c r="FO82" s="30" t="str">
        <f t="shared" si="722"/>
        <v/>
      </c>
      <c r="FP82" s="30" t="str">
        <f t="shared" si="723"/>
        <v/>
      </c>
      <c r="FQ82" s="30" t="str">
        <f t="shared" si="724"/>
        <v/>
      </c>
      <c r="FR82" s="30" t="str">
        <f t="shared" si="725"/>
        <v/>
      </c>
      <c r="FS82" s="30" t="str">
        <f t="shared" si="726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56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57"/>
        <v>|n攻击+6666</v>
      </c>
      <c r="DC83" s="30" t="str">
        <f t="shared" si="658"/>
        <v>|n法强+6666</v>
      </c>
      <c r="DD83" s="30" t="str">
        <f t="shared" si="659"/>
        <v/>
      </c>
      <c r="DE83" s="30" t="str">
        <f t="shared" si="660"/>
        <v/>
      </c>
      <c r="DF83" s="30" t="str">
        <f t="shared" si="661"/>
        <v>|n生命值+13333</v>
      </c>
      <c r="DG83" s="30" t="str">
        <f t="shared" si="662"/>
        <v/>
      </c>
      <c r="DH83" s="30" t="str">
        <f t="shared" si="663"/>
        <v/>
      </c>
      <c r="DI83" s="30" t="str">
        <f t="shared" si="664"/>
        <v/>
      </c>
      <c r="DJ83" s="30" t="str">
        <f t="shared" si="665"/>
        <v/>
      </c>
      <c r="DK83" s="30" t="str">
        <f t="shared" si="666"/>
        <v/>
      </c>
      <c r="DL83" s="30" t="str">
        <f t="shared" si="667"/>
        <v/>
      </c>
      <c r="DM83" s="30" t="str">
        <f t="shared" si="668"/>
        <v/>
      </c>
      <c r="DN83" s="30" t="str">
        <f t="shared" si="669"/>
        <v/>
      </c>
      <c r="DO83" s="30" t="str">
        <f t="shared" si="670"/>
        <v/>
      </c>
      <c r="DP83" s="30" t="str">
        <f t="shared" si="671"/>
        <v/>
      </c>
      <c r="DQ83" s="30" t="str">
        <f t="shared" si="672"/>
        <v/>
      </c>
      <c r="DR83" s="30" t="str">
        <f t="shared" si="673"/>
        <v/>
      </c>
      <c r="DS83" s="30" t="str">
        <f t="shared" si="674"/>
        <v/>
      </c>
      <c r="DT83" s="30" t="str">
        <f t="shared" si="675"/>
        <v/>
      </c>
      <c r="DU83" s="30" t="str">
        <f t="shared" si="676"/>
        <v/>
      </c>
      <c r="DV83" s="30" t="str">
        <f t="shared" si="677"/>
        <v/>
      </c>
      <c r="DW83" s="30" t="str">
        <f t="shared" si="678"/>
        <v/>
      </c>
      <c r="DX83" s="30" t="str">
        <f t="shared" si="679"/>
        <v/>
      </c>
      <c r="DY83" s="30" t="str">
        <f t="shared" si="680"/>
        <v/>
      </c>
      <c r="DZ83" s="30" t="str">
        <f t="shared" si="681"/>
        <v/>
      </c>
      <c r="EA83" s="30" t="str">
        <f t="shared" si="682"/>
        <v/>
      </c>
      <c r="EB83" s="30" t="str">
        <f t="shared" si="683"/>
        <v/>
      </c>
      <c r="EC83" s="30" t="str">
        <f t="shared" si="684"/>
        <v/>
      </c>
      <c r="ED83" s="30" t="str">
        <f t="shared" si="685"/>
        <v/>
      </c>
      <c r="EE83" s="30" t="str">
        <f t="shared" si="686"/>
        <v/>
      </c>
      <c r="EF83" s="30" t="str">
        <f t="shared" si="687"/>
        <v/>
      </c>
      <c r="EG83" s="30" t="str">
        <f t="shared" si="688"/>
        <v/>
      </c>
      <c r="EH83" s="30" t="str">
        <f t="shared" si="689"/>
        <v/>
      </c>
      <c r="EI83" s="30" t="str">
        <f t="shared" si="690"/>
        <v/>
      </c>
      <c r="EJ83" s="30" t="str">
        <f t="shared" si="691"/>
        <v/>
      </c>
      <c r="EK83" s="30" t="str">
        <f t="shared" si="692"/>
        <v/>
      </c>
      <c r="EL83" s="30" t="str">
        <f t="shared" si="693"/>
        <v/>
      </c>
      <c r="EM83" s="30" t="str">
        <f t="shared" si="694"/>
        <v/>
      </c>
      <c r="EN83" s="30" t="str">
        <f t="shared" si="695"/>
        <v/>
      </c>
      <c r="EO83" s="30" t="str">
        <f t="shared" si="696"/>
        <v/>
      </c>
      <c r="EP83" s="30" t="str">
        <f t="shared" si="697"/>
        <v/>
      </c>
      <c r="EQ83" s="30" t="str">
        <f t="shared" si="698"/>
        <v/>
      </c>
      <c r="ER83" s="30" t="str">
        <f t="shared" si="699"/>
        <v/>
      </c>
      <c r="ES83" s="30" t="str">
        <f t="shared" si="700"/>
        <v/>
      </c>
      <c r="ET83" s="30" t="str">
        <f t="shared" si="701"/>
        <v/>
      </c>
      <c r="EU83" s="30" t="str">
        <f t="shared" si="702"/>
        <v/>
      </c>
      <c r="EV83" s="30" t="str">
        <f t="shared" si="703"/>
        <v/>
      </c>
      <c r="EW83" s="30" t="str">
        <f t="shared" si="704"/>
        <v/>
      </c>
      <c r="EX83" s="30" t="str">
        <f t="shared" si="705"/>
        <v/>
      </c>
      <c r="EY83" s="30" t="str">
        <f t="shared" si="706"/>
        <v/>
      </c>
      <c r="EZ83" s="30" t="str">
        <f t="shared" si="707"/>
        <v/>
      </c>
      <c r="FA83" s="30" t="str">
        <f t="shared" si="708"/>
        <v/>
      </c>
      <c r="FB83" s="30" t="str">
        <f t="shared" si="709"/>
        <v/>
      </c>
      <c r="FC83" s="30" t="str">
        <f t="shared" si="710"/>
        <v/>
      </c>
      <c r="FD83" s="30" t="str">
        <f t="shared" si="711"/>
        <v/>
      </c>
      <c r="FE83" s="30" t="str">
        <f t="shared" si="712"/>
        <v/>
      </c>
      <c r="FF83" s="30" t="str">
        <f t="shared" si="713"/>
        <v/>
      </c>
      <c r="FG83" s="30" t="str">
        <f t="shared" si="714"/>
        <v/>
      </c>
      <c r="FH83" s="30" t="str">
        <f t="shared" si="715"/>
        <v/>
      </c>
      <c r="FI83" s="30" t="str">
        <f t="shared" si="716"/>
        <v/>
      </c>
      <c r="FJ83" s="30" t="str">
        <f t="shared" si="717"/>
        <v/>
      </c>
      <c r="FK83" s="30" t="str">
        <f t="shared" si="718"/>
        <v/>
      </c>
      <c r="FL83" s="30" t="str">
        <f t="shared" si="719"/>
        <v/>
      </c>
      <c r="FM83" s="30" t="str">
        <f t="shared" si="720"/>
        <v/>
      </c>
      <c r="FN83" s="30" t="str">
        <f t="shared" si="721"/>
        <v/>
      </c>
      <c r="FO83" s="30" t="str">
        <f t="shared" si="722"/>
        <v/>
      </c>
      <c r="FP83" s="30" t="str">
        <f t="shared" si="723"/>
        <v/>
      </c>
      <c r="FQ83" s="30" t="str">
        <f t="shared" si="724"/>
        <v/>
      </c>
      <c r="FR83" s="30" t="str">
        <f t="shared" si="725"/>
        <v/>
      </c>
      <c r="FS83" s="30" t="str">
        <f t="shared" si="726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56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57"/>
        <v>|n攻击+10000</v>
      </c>
      <c r="DC84" s="30" t="str">
        <f t="shared" si="658"/>
        <v>|n法强+10000</v>
      </c>
      <c r="DD84" s="30" t="str">
        <f t="shared" si="659"/>
        <v/>
      </c>
      <c r="DE84" s="30" t="str">
        <f t="shared" si="660"/>
        <v/>
      </c>
      <c r="DF84" s="30" t="str">
        <f t="shared" si="661"/>
        <v>|n生命值+20000</v>
      </c>
      <c r="DG84" s="30" t="str">
        <f t="shared" si="662"/>
        <v/>
      </c>
      <c r="DH84" s="30" t="str">
        <f t="shared" si="663"/>
        <v/>
      </c>
      <c r="DI84" s="30" t="str">
        <f t="shared" si="664"/>
        <v/>
      </c>
      <c r="DJ84" s="30" t="str">
        <f t="shared" si="665"/>
        <v/>
      </c>
      <c r="DK84" s="30" t="str">
        <f t="shared" si="666"/>
        <v/>
      </c>
      <c r="DL84" s="30" t="str">
        <f t="shared" si="667"/>
        <v/>
      </c>
      <c r="DM84" s="30" t="str">
        <f t="shared" si="668"/>
        <v/>
      </c>
      <c r="DN84" s="30" t="str">
        <f t="shared" si="669"/>
        <v/>
      </c>
      <c r="DO84" s="30" t="str">
        <f t="shared" si="670"/>
        <v/>
      </c>
      <c r="DP84" s="30" t="str">
        <f t="shared" si="671"/>
        <v/>
      </c>
      <c r="DQ84" s="30" t="str">
        <f t="shared" si="672"/>
        <v/>
      </c>
      <c r="DR84" s="30" t="str">
        <f t="shared" si="673"/>
        <v/>
      </c>
      <c r="DS84" s="30" t="str">
        <f t="shared" si="674"/>
        <v/>
      </c>
      <c r="DT84" s="30" t="str">
        <f t="shared" si="675"/>
        <v/>
      </c>
      <c r="DU84" s="30" t="str">
        <f t="shared" si="676"/>
        <v/>
      </c>
      <c r="DV84" s="30" t="str">
        <f t="shared" si="677"/>
        <v/>
      </c>
      <c r="DW84" s="30" t="str">
        <f t="shared" si="678"/>
        <v/>
      </c>
      <c r="DX84" s="30" t="str">
        <f t="shared" si="679"/>
        <v/>
      </c>
      <c r="DY84" s="30" t="str">
        <f t="shared" si="680"/>
        <v/>
      </c>
      <c r="DZ84" s="30" t="str">
        <f t="shared" si="681"/>
        <v/>
      </c>
      <c r="EA84" s="30" t="str">
        <f t="shared" si="682"/>
        <v/>
      </c>
      <c r="EB84" s="30" t="str">
        <f t="shared" si="683"/>
        <v/>
      </c>
      <c r="EC84" s="30" t="str">
        <f t="shared" si="684"/>
        <v/>
      </c>
      <c r="ED84" s="30" t="str">
        <f t="shared" si="685"/>
        <v/>
      </c>
      <c r="EE84" s="30" t="str">
        <f t="shared" si="686"/>
        <v/>
      </c>
      <c r="EF84" s="30" t="str">
        <f t="shared" si="687"/>
        <v/>
      </c>
      <c r="EG84" s="30" t="str">
        <f t="shared" si="688"/>
        <v/>
      </c>
      <c r="EH84" s="30" t="str">
        <f t="shared" si="689"/>
        <v/>
      </c>
      <c r="EI84" s="30" t="str">
        <f t="shared" si="690"/>
        <v/>
      </c>
      <c r="EJ84" s="30" t="str">
        <f t="shared" si="691"/>
        <v/>
      </c>
      <c r="EK84" s="30" t="str">
        <f t="shared" si="692"/>
        <v/>
      </c>
      <c r="EL84" s="30" t="str">
        <f t="shared" si="693"/>
        <v/>
      </c>
      <c r="EM84" s="30" t="str">
        <f t="shared" si="694"/>
        <v/>
      </c>
      <c r="EN84" s="30" t="str">
        <f t="shared" si="695"/>
        <v/>
      </c>
      <c r="EO84" s="30" t="str">
        <f t="shared" si="696"/>
        <v/>
      </c>
      <c r="EP84" s="30" t="str">
        <f t="shared" si="697"/>
        <v/>
      </c>
      <c r="EQ84" s="30" t="str">
        <f t="shared" si="698"/>
        <v/>
      </c>
      <c r="ER84" s="30" t="str">
        <f t="shared" si="699"/>
        <v/>
      </c>
      <c r="ES84" s="30" t="str">
        <f t="shared" si="700"/>
        <v/>
      </c>
      <c r="ET84" s="30" t="str">
        <f t="shared" si="701"/>
        <v/>
      </c>
      <c r="EU84" s="30" t="str">
        <f t="shared" si="702"/>
        <v/>
      </c>
      <c r="EV84" s="30" t="str">
        <f t="shared" si="703"/>
        <v/>
      </c>
      <c r="EW84" s="30" t="str">
        <f t="shared" si="704"/>
        <v/>
      </c>
      <c r="EX84" s="30" t="str">
        <f t="shared" si="705"/>
        <v/>
      </c>
      <c r="EY84" s="30" t="str">
        <f t="shared" si="706"/>
        <v/>
      </c>
      <c r="EZ84" s="30" t="str">
        <f t="shared" si="707"/>
        <v/>
      </c>
      <c r="FA84" s="30" t="str">
        <f t="shared" si="708"/>
        <v/>
      </c>
      <c r="FB84" s="30" t="str">
        <f t="shared" si="709"/>
        <v/>
      </c>
      <c r="FC84" s="30" t="str">
        <f t="shared" si="710"/>
        <v/>
      </c>
      <c r="FD84" s="30" t="str">
        <f t="shared" si="711"/>
        <v/>
      </c>
      <c r="FE84" s="30" t="str">
        <f t="shared" si="712"/>
        <v/>
      </c>
      <c r="FF84" s="30" t="str">
        <f t="shared" si="713"/>
        <v/>
      </c>
      <c r="FG84" s="30" t="str">
        <f t="shared" si="714"/>
        <v/>
      </c>
      <c r="FH84" s="30" t="str">
        <f t="shared" si="715"/>
        <v/>
      </c>
      <c r="FI84" s="30" t="str">
        <f t="shared" si="716"/>
        <v/>
      </c>
      <c r="FJ84" s="30" t="str">
        <f t="shared" si="717"/>
        <v/>
      </c>
      <c r="FK84" s="30" t="str">
        <f t="shared" si="718"/>
        <v/>
      </c>
      <c r="FL84" s="30" t="str">
        <f t="shared" si="719"/>
        <v/>
      </c>
      <c r="FM84" s="30" t="str">
        <f t="shared" si="720"/>
        <v/>
      </c>
      <c r="FN84" s="30" t="str">
        <f t="shared" si="721"/>
        <v/>
      </c>
      <c r="FO84" s="30" t="str">
        <f t="shared" si="722"/>
        <v/>
      </c>
      <c r="FP84" s="30" t="str">
        <f t="shared" si="723"/>
        <v/>
      </c>
      <c r="FQ84" s="30" t="str">
        <f t="shared" si="724"/>
        <v/>
      </c>
      <c r="FR84" s="30" t="str">
        <f t="shared" si="725"/>
        <v/>
      </c>
      <c r="FS84" s="30" t="str">
        <f t="shared" si="726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56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57"/>
        <v>|n攻击+15000</v>
      </c>
      <c r="DC85" s="30" t="str">
        <f t="shared" si="658"/>
        <v>|n法强+15000</v>
      </c>
      <c r="DD85" s="30" t="str">
        <f t="shared" si="659"/>
        <v/>
      </c>
      <c r="DE85" s="30" t="str">
        <f t="shared" si="660"/>
        <v/>
      </c>
      <c r="DF85" s="30" t="str">
        <f t="shared" si="661"/>
        <v>|n生命值+30000</v>
      </c>
      <c r="DG85" s="30" t="str">
        <f t="shared" si="662"/>
        <v/>
      </c>
      <c r="DH85" s="30" t="str">
        <f t="shared" si="663"/>
        <v/>
      </c>
      <c r="DI85" s="30" t="str">
        <f t="shared" si="664"/>
        <v/>
      </c>
      <c r="DJ85" s="30" t="str">
        <f t="shared" si="665"/>
        <v/>
      </c>
      <c r="DK85" s="30" t="str">
        <f t="shared" si="666"/>
        <v/>
      </c>
      <c r="DL85" s="30" t="str">
        <f t="shared" si="667"/>
        <v/>
      </c>
      <c r="DM85" s="30" t="str">
        <f t="shared" si="668"/>
        <v/>
      </c>
      <c r="DN85" s="30" t="str">
        <f t="shared" si="669"/>
        <v/>
      </c>
      <c r="DO85" s="30" t="str">
        <f t="shared" si="670"/>
        <v/>
      </c>
      <c r="DP85" s="30" t="str">
        <f t="shared" si="671"/>
        <v/>
      </c>
      <c r="DQ85" s="30" t="str">
        <f t="shared" si="672"/>
        <v/>
      </c>
      <c r="DR85" s="30" t="str">
        <f t="shared" si="673"/>
        <v/>
      </c>
      <c r="DS85" s="30" t="str">
        <f t="shared" si="674"/>
        <v/>
      </c>
      <c r="DT85" s="30" t="str">
        <f t="shared" si="675"/>
        <v/>
      </c>
      <c r="DU85" s="30" t="str">
        <f t="shared" si="676"/>
        <v/>
      </c>
      <c r="DV85" s="30" t="str">
        <f t="shared" si="677"/>
        <v/>
      </c>
      <c r="DW85" s="30" t="str">
        <f t="shared" si="678"/>
        <v/>
      </c>
      <c r="DX85" s="30" t="str">
        <f t="shared" si="679"/>
        <v/>
      </c>
      <c r="DY85" s="30" t="str">
        <f t="shared" si="680"/>
        <v/>
      </c>
      <c r="DZ85" s="30" t="str">
        <f t="shared" si="681"/>
        <v/>
      </c>
      <c r="EA85" s="30" t="str">
        <f t="shared" si="682"/>
        <v/>
      </c>
      <c r="EB85" s="30" t="str">
        <f t="shared" si="683"/>
        <v/>
      </c>
      <c r="EC85" s="30" t="str">
        <f t="shared" si="684"/>
        <v/>
      </c>
      <c r="ED85" s="30" t="str">
        <f t="shared" si="685"/>
        <v/>
      </c>
      <c r="EE85" s="30" t="str">
        <f t="shared" si="686"/>
        <v/>
      </c>
      <c r="EF85" s="30" t="str">
        <f t="shared" si="687"/>
        <v/>
      </c>
      <c r="EG85" s="30" t="str">
        <f t="shared" si="688"/>
        <v/>
      </c>
      <c r="EH85" s="30" t="str">
        <f t="shared" si="689"/>
        <v/>
      </c>
      <c r="EI85" s="30" t="str">
        <f t="shared" si="690"/>
        <v/>
      </c>
      <c r="EJ85" s="30" t="str">
        <f t="shared" si="691"/>
        <v/>
      </c>
      <c r="EK85" s="30" t="str">
        <f t="shared" si="692"/>
        <v/>
      </c>
      <c r="EL85" s="30" t="str">
        <f t="shared" si="693"/>
        <v/>
      </c>
      <c r="EM85" s="30" t="str">
        <f t="shared" si="694"/>
        <v/>
      </c>
      <c r="EN85" s="30" t="str">
        <f t="shared" si="695"/>
        <v/>
      </c>
      <c r="EO85" s="30" t="str">
        <f t="shared" si="696"/>
        <v/>
      </c>
      <c r="EP85" s="30" t="str">
        <f t="shared" si="697"/>
        <v/>
      </c>
      <c r="EQ85" s="30" t="str">
        <f t="shared" si="698"/>
        <v/>
      </c>
      <c r="ER85" s="30" t="str">
        <f t="shared" si="699"/>
        <v/>
      </c>
      <c r="ES85" s="30" t="str">
        <f t="shared" si="700"/>
        <v/>
      </c>
      <c r="ET85" s="30" t="str">
        <f t="shared" si="701"/>
        <v/>
      </c>
      <c r="EU85" s="30" t="str">
        <f t="shared" si="702"/>
        <v/>
      </c>
      <c r="EV85" s="30" t="str">
        <f t="shared" si="703"/>
        <v/>
      </c>
      <c r="EW85" s="30" t="str">
        <f t="shared" si="704"/>
        <v/>
      </c>
      <c r="EX85" s="30" t="str">
        <f t="shared" si="705"/>
        <v/>
      </c>
      <c r="EY85" s="30" t="str">
        <f t="shared" si="706"/>
        <v/>
      </c>
      <c r="EZ85" s="30" t="str">
        <f t="shared" si="707"/>
        <v/>
      </c>
      <c r="FA85" s="30" t="str">
        <f t="shared" si="708"/>
        <v/>
      </c>
      <c r="FB85" s="30" t="str">
        <f t="shared" si="709"/>
        <v/>
      </c>
      <c r="FC85" s="30" t="str">
        <f t="shared" si="710"/>
        <v/>
      </c>
      <c r="FD85" s="30" t="str">
        <f t="shared" si="711"/>
        <v/>
      </c>
      <c r="FE85" s="30" t="str">
        <f t="shared" si="712"/>
        <v/>
      </c>
      <c r="FF85" s="30" t="str">
        <f t="shared" si="713"/>
        <v/>
      </c>
      <c r="FG85" s="30" t="str">
        <f t="shared" si="714"/>
        <v/>
      </c>
      <c r="FH85" s="30" t="str">
        <f t="shared" si="715"/>
        <v/>
      </c>
      <c r="FI85" s="30" t="str">
        <f t="shared" si="716"/>
        <v/>
      </c>
      <c r="FJ85" s="30" t="str">
        <f t="shared" si="717"/>
        <v/>
      </c>
      <c r="FK85" s="30" t="str">
        <f t="shared" si="718"/>
        <v/>
      </c>
      <c r="FL85" s="30" t="str">
        <f t="shared" si="719"/>
        <v/>
      </c>
      <c r="FM85" s="30" t="str">
        <f t="shared" si="720"/>
        <v/>
      </c>
      <c r="FN85" s="30" t="str">
        <f t="shared" si="721"/>
        <v/>
      </c>
      <c r="FO85" s="30" t="str">
        <f t="shared" si="722"/>
        <v/>
      </c>
      <c r="FP85" s="30" t="str">
        <f t="shared" si="723"/>
        <v/>
      </c>
      <c r="FQ85" s="30" t="str">
        <f t="shared" si="724"/>
        <v/>
      </c>
      <c r="FR85" s="30" t="str">
        <f t="shared" si="725"/>
        <v/>
      </c>
      <c r="FS85" s="30" t="str">
        <f t="shared" si="726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56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57"/>
        <v>|n攻击+22500</v>
      </c>
      <c r="DC86" s="30" t="str">
        <f t="shared" si="658"/>
        <v>|n法强+22500</v>
      </c>
      <c r="DD86" s="30" t="str">
        <f t="shared" si="659"/>
        <v/>
      </c>
      <c r="DE86" s="30" t="str">
        <f t="shared" si="660"/>
        <v/>
      </c>
      <c r="DF86" s="30" t="str">
        <f t="shared" si="661"/>
        <v>|n生命值+45000</v>
      </c>
      <c r="DG86" s="30" t="str">
        <f t="shared" si="662"/>
        <v/>
      </c>
      <c r="DH86" s="30" t="str">
        <f t="shared" si="663"/>
        <v/>
      </c>
      <c r="DI86" s="30" t="str">
        <f t="shared" si="664"/>
        <v/>
      </c>
      <c r="DJ86" s="30" t="str">
        <f t="shared" si="665"/>
        <v/>
      </c>
      <c r="DK86" s="30" t="str">
        <f t="shared" si="666"/>
        <v/>
      </c>
      <c r="DL86" s="30" t="str">
        <f t="shared" si="667"/>
        <v/>
      </c>
      <c r="DM86" s="30" t="str">
        <f t="shared" si="668"/>
        <v/>
      </c>
      <c r="DN86" s="30" t="str">
        <f t="shared" si="669"/>
        <v/>
      </c>
      <c r="DO86" s="30" t="str">
        <f t="shared" si="670"/>
        <v/>
      </c>
      <c r="DP86" s="30" t="str">
        <f t="shared" si="671"/>
        <v/>
      </c>
      <c r="DQ86" s="30" t="str">
        <f t="shared" si="672"/>
        <v/>
      </c>
      <c r="DR86" s="30" t="str">
        <f t="shared" si="673"/>
        <v/>
      </c>
      <c r="DS86" s="30" t="str">
        <f t="shared" si="674"/>
        <v/>
      </c>
      <c r="DT86" s="30" t="str">
        <f t="shared" si="675"/>
        <v/>
      </c>
      <c r="DU86" s="30" t="str">
        <f t="shared" si="676"/>
        <v/>
      </c>
      <c r="DV86" s="30" t="str">
        <f t="shared" si="677"/>
        <v/>
      </c>
      <c r="DW86" s="30" t="str">
        <f t="shared" si="678"/>
        <v/>
      </c>
      <c r="DX86" s="30" t="str">
        <f t="shared" si="679"/>
        <v/>
      </c>
      <c r="DY86" s="30" t="str">
        <f t="shared" si="680"/>
        <v/>
      </c>
      <c r="DZ86" s="30" t="str">
        <f t="shared" si="681"/>
        <v/>
      </c>
      <c r="EA86" s="30" t="str">
        <f t="shared" si="682"/>
        <v/>
      </c>
      <c r="EB86" s="30" t="str">
        <f t="shared" si="683"/>
        <v/>
      </c>
      <c r="EC86" s="30" t="str">
        <f t="shared" si="684"/>
        <v/>
      </c>
      <c r="ED86" s="30" t="str">
        <f t="shared" si="685"/>
        <v/>
      </c>
      <c r="EE86" s="30" t="str">
        <f t="shared" si="686"/>
        <v/>
      </c>
      <c r="EF86" s="30" t="str">
        <f t="shared" si="687"/>
        <v/>
      </c>
      <c r="EG86" s="30" t="str">
        <f t="shared" si="688"/>
        <v/>
      </c>
      <c r="EH86" s="30" t="str">
        <f t="shared" si="689"/>
        <v/>
      </c>
      <c r="EI86" s="30" t="str">
        <f t="shared" si="690"/>
        <v/>
      </c>
      <c r="EJ86" s="30" t="str">
        <f t="shared" si="691"/>
        <v/>
      </c>
      <c r="EK86" s="30" t="str">
        <f t="shared" si="692"/>
        <v/>
      </c>
      <c r="EL86" s="30" t="str">
        <f t="shared" si="693"/>
        <v/>
      </c>
      <c r="EM86" s="30" t="str">
        <f t="shared" si="694"/>
        <v/>
      </c>
      <c r="EN86" s="30" t="str">
        <f t="shared" si="695"/>
        <v/>
      </c>
      <c r="EO86" s="30" t="str">
        <f t="shared" si="696"/>
        <v/>
      </c>
      <c r="EP86" s="30" t="str">
        <f t="shared" si="697"/>
        <v/>
      </c>
      <c r="EQ86" s="30" t="str">
        <f t="shared" si="698"/>
        <v/>
      </c>
      <c r="ER86" s="30" t="str">
        <f t="shared" si="699"/>
        <v/>
      </c>
      <c r="ES86" s="30" t="str">
        <f t="shared" si="700"/>
        <v/>
      </c>
      <c r="ET86" s="30" t="str">
        <f t="shared" si="701"/>
        <v/>
      </c>
      <c r="EU86" s="30" t="str">
        <f t="shared" si="702"/>
        <v/>
      </c>
      <c r="EV86" s="30" t="str">
        <f t="shared" si="703"/>
        <v/>
      </c>
      <c r="EW86" s="30" t="str">
        <f t="shared" si="704"/>
        <v/>
      </c>
      <c r="EX86" s="30" t="str">
        <f t="shared" si="705"/>
        <v/>
      </c>
      <c r="EY86" s="30" t="str">
        <f t="shared" si="706"/>
        <v/>
      </c>
      <c r="EZ86" s="30" t="str">
        <f t="shared" si="707"/>
        <v/>
      </c>
      <c r="FA86" s="30" t="str">
        <f t="shared" si="708"/>
        <v/>
      </c>
      <c r="FB86" s="30" t="str">
        <f t="shared" si="709"/>
        <v/>
      </c>
      <c r="FC86" s="30" t="str">
        <f t="shared" si="710"/>
        <v/>
      </c>
      <c r="FD86" s="30" t="str">
        <f t="shared" si="711"/>
        <v/>
      </c>
      <c r="FE86" s="30" t="str">
        <f t="shared" si="712"/>
        <v/>
      </c>
      <c r="FF86" s="30" t="str">
        <f t="shared" si="713"/>
        <v/>
      </c>
      <c r="FG86" s="30" t="str">
        <f t="shared" si="714"/>
        <v/>
      </c>
      <c r="FH86" s="30" t="str">
        <f t="shared" si="715"/>
        <v/>
      </c>
      <c r="FI86" s="30" t="str">
        <f t="shared" si="716"/>
        <v/>
      </c>
      <c r="FJ86" s="30" t="str">
        <f t="shared" si="717"/>
        <v/>
      </c>
      <c r="FK86" s="30" t="str">
        <f t="shared" si="718"/>
        <v/>
      </c>
      <c r="FL86" s="30" t="str">
        <f t="shared" si="719"/>
        <v/>
      </c>
      <c r="FM86" s="30" t="str">
        <f t="shared" si="720"/>
        <v/>
      </c>
      <c r="FN86" s="30" t="str">
        <f t="shared" si="721"/>
        <v/>
      </c>
      <c r="FO86" s="30" t="str">
        <f t="shared" si="722"/>
        <v/>
      </c>
      <c r="FP86" s="30" t="str">
        <f t="shared" si="723"/>
        <v/>
      </c>
      <c r="FQ86" s="30" t="str">
        <f t="shared" si="724"/>
        <v/>
      </c>
      <c r="FR86" s="30" t="str">
        <f t="shared" si="725"/>
        <v/>
      </c>
      <c r="FS86" s="30" t="str">
        <f t="shared" si="726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56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57"/>
        <v>|n攻击+45000</v>
      </c>
      <c r="DC87" s="30" t="str">
        <f t="shared" si="658"/>
        <v>|n法强+45000</v>
      </c>
      <c r="DD87" s="30" t="str">
        <f t="shared" si="659"/>
        <v/>
      </c>
      <c r="DE87" s="30" t="str">
        <f t="shared" si="660"/>
        <v/>
      </c>
      <c r="DF87" s="30" t="str">
        <f t="shared" si="661"/>
        <v>|n生命值+90000</v>
      </c>
      <c r="DG87" s="30" t="str">
        <f t="shared" si="662"/>
        <v/>
      </c>
      <c r="DH87" s="30" t="str">
        <f t="shared" si="663"/>
        <v/>
      </c>
      <c r="DI87" s="30" t="str">
        <f t="shared" si="664"/>
        <v/>
      </c>
      <c r="DJ87" s="30" t="str">
        <f t="shared" si="665"/>
        <v/>
      </c>
      <c r="DK87" s="30" t="str">
        <f t="shared" si="666"/>
        <v/>
      </c>
      <c r="DL87" s="30" t="str">
        <f t="shared" si="667"/>
        <v/>
      </c>
      <c r="DM87" s="30" t="str">
        <f t="shared" si="668"/>
        <v/>
      </c>
      <c r="DN87" s="30" t="str">
        <f t="shared" si="669"/>
        <v/>
      </c>
      <c r="DO87" s="30" t="str">
        <f t="shared" si="670"/>
        <v/>
      </c>
      <c r="DP87" s="30" t="str">
        <f t="shared" si="671"/>
        <v/>
      </c>
      <c r="DQ87" s="30" t="str">
        <f t="shared" si="672"/>
        <v/>
      </c>
      <c r="DR87" s="30" t="str">
        <f t="shared" si="673"/>
        <v/>
      </c>
      <c r="DS87" s="30" t="str">
        <f t="shared" si="674"/>
        <v/>
      </c>
      <c r="DT87" s="30" t="str">
        <f t="shared" si="675"/>
        <v/>
      </c>
      <c r="DU87" s="30" t="str">
        <f t="shared" si="676"/>
        <v/>
      </c>
      <c r="DV87" s="30" t="str">
        <f t="shared" si="677"/>
        <v/>
      </c>
      <c r="DW87" s="30" t="str">
        <f t="shared" si="678"/>
        <v/>
      </c>
      <c r="DX87" s="30" t="str">
        <f t="shared" si="679"/>
        <v/>
      </c>
      <c r="DY87" s="30" t="str">
        <f t="shared" si="680"/>
        <v/>
      </c>
      <c r="DZ87" s="30" t="str">
        <f t="shared" si="681"/>
        <v/>
      </c>
      <c r="EA87" s="30" t="str">
        <f t="shared" si="682"/>
        <v/>
      </c>
      <c r="EB87" s="30" t="str">
        <f t="shared" si="683"/>
        <v/>
      </c>
      <c r="EC87" s="30" t="str">
        <f t="shared" si="684"/>
        <v/>
      </c>
      <c r="ED87" s="30" t="str">
        <f t="shared" si="685"/>
        <v/>
      </c>
      <c r="EE87" s="30" t="str">
        <f t="shared" si="686"/>
        <v/>
      </c>
      <c r="EF87" s="30" t="str">
        <f t="shared" si="687"/>
        <v/>
      </c>
      <c r="EG87" s="30" t="str">
        <f t="shared" si="688"/>
        <v/>
      </c>
      <c r="EH87" s="30" t="str">
        <f t="shared" si="689"/>
        <v/>
      </c>
      <c r="EI87" s="30" t="str">
        <f t="shared" si="690"/>
        <v/>
      </c>
      <c r="EJ87" s="30" t="str">
        <f t="shared" si="691"/>
        <v/>
      </c>
      <c r="EK87" s="30" t="str">
        <f t="shared" si="692"/>
        <v/>
      </c>
      <c r="EL87" s="30" t="str">
        <f t="shared" si="693"/>
        <v/>
      </c>
      <c r="EM87" s="30" t="str">
        <f t="shared" si="694"/>
        <v/>
      </c>
      <c r="EN87" s="30" t="str">
        <f t="shared" si="695"/>
        <v/>
      </c>
      <c r="EO87" s="30" t="str">
        <f t="shared" si="696"/>
        <v/>
      </c>
      <c r="EP87" s="30" t="str">
        <f t="shared" si="697"/>
        <v/>
      </c>
      <c r="EQ87" s="30" t="str">
        <f t="shared" si="698"/>
        <v/>
      </c>
      <c r="ER87" s="30" t="str">
        <f t="shared" si="699"/>
        <v/>
      </c>
      <c r="ES87" s="30" t="str">
        <f t="shared" si="700"/>
        <v/>
      </c>
      <c r="ET87" s="30" t="str">
        <f t="shared" si="701"/>
        <v/>
      </c>
      <c r="EU87" s="30" t="str">
        <f t="shared" si="702"/>
        <v/>
      </c>
      <c r="EV87" s="30" t="str">
        <f t="shared" si="703"/>
        <v/>
      </c>
      <c r="EW87" s="30" t="str">
        <f t="shared" si="704"/>
        <v/>
      </c>
      <c r="EX87" s="30" t="str">
        <f t="shared" si="705"/>
        <v/>
      </c>
      <c r="EY87" s="30" t="str">
        <f t="shared" si="706"/>
        <v/>
      </c>
      <c r="EZ87" s="30" t="str">
        <f t="shared" si="707"/>
        <v/>
      </c>
      <c r="FA87" s="30" t="str">
        <f t="shared" si="708"/>
        <v/>
      </c>
      <c r="FB87" s="30" t="str">
        <f t="shared" si="709"/>
        <v/>
      </c>
      <c r="FC87" s="30" t="str">
        <f t="shared" si="710"/>
        <v/>
      </c>
      <c r="FD87" s="30" t="str">
        <f t="shared" si="711"/>
        <v/>
      </c>
      <c r="FE87" s="30" t="str">
        <f t="shared" si="712"/>
        <v/>
      </c>
      <c r="FF87" s="30" t="str">
        <f t="shared" si="713"/>
        <v/>
      </c>
      <c r="FG87" s="30" t="str">
        <f t="shared" si="714"/>
        <v/>
      </c>
      <c r="FH87" s="30" t="str">
        <f t="shared" si="715"/>
        <v/>
      </c>
      <c r="FI87" s="30" t="str">
        <f t="shared" si="716"/>
        <v/>
      </c>
      <c r="FJ87" s="30" t="str">
        <f t="shared" si="717"/>
        <v/>
      </c>
      <c r="FK87" s="30" t="str">
        <f t="shared" si="718"/>
        <v/>
      </c>
      <c r="FL87" s="30" t="str">
        <f t="shared" si="719"/>
        <v/>
      </c>
      <c r="FM87" s="30" t="str">
        <f t="shared" si="720"/>
        <v/>
      </c>
      <c r="FN87" s="30" t="str">
        <f t="shared" si="721"/>
        <v/>
      </c>
      <c r="FO87" s="30" t="str">
        <f t="shared" si="722"/>
        <v/>
      </c>
      <c r="FP87" s="30" t="str">
        <f t="shared" si="723"/>
        <v/>
      </c>
      <c r="FQ87" s="30" t="str">
        <f t="shared" si="724"/>
        <v/>
      </c>
      <c r="FR87" s="30" t="str">
        <f t="shared" si="725"/>
        <v/>
      </c>
      <c r="FS87" s="30" t="str">
        <f t="shared" si="726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6" si="944">"ReplaceableTextures\\CommandButtons\\BTN"&amp;B88&amp;".blp"</f>
        <v>ReplaceableTextures\\CommandButtons\\BTNCS01.blp</v>
      </c>
      <c r="CN88" s="7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56"/>
        <v>|n</v>
      </c>
      <c r="CV88" s="29" t="str">
        <f t="shared" ref="CV88" si="949">T88</f>
        <v>随机技能</v>
      </c>
      <c r="CW88" s="24"/>
      <c r="CX88" s="24"/>
      <c r="CY88" s="24"/>
      <c r="CZ88" s="24"/>
      <c r="DA88" s="24"/>
      <c r="DB88" s="30" t="str">
        <f t="shared" si="657"/>
        <v/>
      </c>
      <c r="DC88" s="30" t="str">
        <f t="shared" si="658"/>
        <v/>
      </c>
      <c r="DD88" s="30" t="str">
        <f t="shared" si="659"/>
        <v/>
      </c>
      <c r="DE88" s="30" t="str">
        <f t="shared" si="660"/>
        <v/>
      </c>
      <c r="DF88" s="30" t="str">
        <f t="shared" si="661"/>
        <v/>
      </c>
      <c r="DG88" s="30" t="str">
        <f t="shared" si="662"/>
        <v/>
      </c>
      <c r="DH88" s="30" t="str">
        <f t="shared" si="663"/>
        <v/>
      </c>
      <c r="DI88" s="30" t="str">
        <f t="shared" si="664"/>
        <v/>
      </c>
      <c r="DJ88" s="30" t="str">
        <f t="shared" si="665"/>
        <v/>
      </c>
      <c r="DK88" s="30" t="str">
        <f t="shared" si="666"/>
        <v/>
      </c>
      <c r="DL88" s="30" t="str">
        <f t="shared" si="667"/>
        <v/>
      </c>
      <c r="DM88" s="30" t="str">
        <f t="shared" si="668"/>
        <v/>
      </c>
      <c r="DN88" s="30" t="str">
        <f t="shared" si="669"/>
        <v/>
      </c>
      <c r="DO88" s="30" t="str">
        <f t="shared" si="670"/>
        <v/>
      </c>
      <c r="DP88" s="30" t="str">
        <f t="shared" si="671"/>
        <v/>
      </c>
      <c r="DQ88" s="30" t="str">
        <f t="shared" si="672"/>
        <v/>
      </c>
      <c r="DR88" s="30" t="str">
        <f t="shared" si="673"/>
        <v/>
      </c>
      <c r="DS88" s="30" t="str">
        <f t="shared" si="674"/>
        <v/>
      </c>
      <c r="DT88" s="30" t="str">
        <f t="shared" si="675"/>
        <v/>
      </c>
      <c r="DU88" s="30" t="str">
        <f t="shared" si="676"/>
        <v/>
      </c>
      <c r="DV88" s="30" t="str">
        <f t="shared" si="677"/>
        <v/>
      </c>
      <c r="DW88" s="30" t="str">
        <f t="shared" si="678"/>
        <v/>
      </c>
      <c r="DX88" s="30" t="str">
        <f t="shared" si="679"/>
        <v/>
      </c>
      <c r="DY88" s="30" t="str">
        <f t="shared" si="680"/>
        <v/>
      </c>
      <c r="DZ88" s="30" t="str">
        <f t="shared" si="681"/>
        <v/>
      </c>
      <c r="EA88" s="30" t="str">
        <f t="shared" si="682"/>
        <v/>
      </c>
      <c r="EB88" s="30" t="str">
        <f t="shared" si="683"/>
        <v/>
      </c>
      <c r="EC88" s="30" t="str">
        <f t="shared" si="684"/>
        <v/>
      </c>
      <c r="ED88" s="30" t="str">
        <f t="shared" si="685"/>
        <v/>
      </c>
      <c r="EE88" s="30" t="str">
        <f t="shared" si="686"/>
        <v/>
      </c>
      <c r="EF88" s="30" t="str">
        <f t="shared" si="687"/>
        <v/>
      </c>
      <c r="EG88" s="30" t="str">
        <f t="shared" si="688"/>
        <v/>
      </c>
      <c r="EH88" s="30" t="str">
        <f t="shared" si="689"/>
        <v/>
      </c>
      <c r="EI88" s="30" t="str">
        <f t="shared" si="690"/>
        <v/>
      </c>
      <c r="EJ88" s="30" t="str">
        <f t="shared" si="691"/>
        <v/>
      </c>
      <c r="EK88" s="30" t="str">
        <f t="shared" si="692"/>
        <v/>
      </c>
      <c r="EL88" s="30" t="str">
        <f t="shared" si="693"/>
        <v/>
      </c>
      <c r="EM88" s="30" t="str">
        <f t="shared" si="694"/>
        <v/>
      </c>
      <c r="EN88" s="30" t="str">
        <f t="shared" si="695"/>
        <v/>
      </c>
      <c r="EO88" s="30" t="str">
        <f t="shared" si="696"/>
        <v/>
      </c>
      <c r="EP88" s="30" t="str">
        <f t="shared" si="697"/>
        <v/>
      </c>
      <c r="EQ88" s="30" t="str">
        <f t="shared" si="698"/>
        <v/>
      </c>
      <c r="ER88" s="30" t="str">
        <f t="shared" si="699"/>
        <v/>
      </c>
      <c r="ES88" s="30" t="str">
        <f t="shared" si="700"/>
        <v/>
      </c>
      <c r="ET88" s="30" t="str">
        <f t="shared" si="701"/>
        <v/>
      </c>
      <c r="EU88" s="30" t="str">
        <f t="shared" si="702"/>
        <v/>
      </c>
      <c r="EV88" s="30" t="str">
        <f t="shared" si="703"/>
        <v/>
      </c>
      <c r="EW88" s="30" t="str">
        <f t="shared" si="704"/>
        <v/>
      </c>
      <c r="EX88" s="30" t="str">
        <f t="shared" si="705"/>
        <v/>
      </c>
      <c r="EY88" s="30" t="str">
        <f t="shared" si="706"/>
        <v/>
      </c>
      <c r="EZ88" s="30" t="str">
        <f t="shared" si="707"/>
        <v/>
      </c>
      <c r="FA88" s="30" t="str">
        <f t="shared" si="708"/>
        <v/>
      </c>
      <c r="FB88" s="30" t="str">
        <f t="shared" si="709"/>
        <v/>
      </c>
      <c r="FC88" s="30" t="str">
        <f t="shared" si="710"/>
        <v/>
      </c>
      <c r="FD88" s="30" t="str">
        <f t="shared" si="711"/>
        <v/>
      </c>
      <c r="FE88" s="30" t="str">
        <f t="shared" si="712"/>
        <v/>
      </c>
      <c r="FF88" s="30" t="str">
        <f t="shared" si="713"/>
        <v/>
      </c>
      <c r="FG88" s="30" t="str">
        <f t="shared" si="714"/>
        <v/>
      </c>
      <c r="FH88" s="30" t="str">
        <f t="shared" si="715"/>
        <v/>
      </c>
      <c r="FI88" s="30" t="str">
        <f t="shared" si="716"/>
        <v/>
      </c>
      <c r="FJ88" s="30" t="str">
        <f t="shared" si="717"/>
        <v/>
      </c>
      <c r="FK88" s="30" t="str">
        <f t="shared" si="718"/>
        <v/>
      </c>
      <c r="FL88" s="30" t="str">
        <f t="shared" si="719"/>
        <v/>
      </c>
      <c r="FM88" s="30" t="str">
        <f t="shared" si="720"/>
        <v/>
      </c>
      <c r="FN88" s="30" t="str">
        <f t="shared" si="721"/>
        <v/>
      </c>
      <c r="FO88" s="30" t="str">
        <f t="shared" si="722"/>
        <v/>
      </c>
      <c r="FP88" s="30" t="str">
        <f t="shared" si="723"/>
        <v/>
      </c>
      <c r="FQ88" s="30" t="str">
        <f t="shared" si="724"/>
        <v/>
      </c>
      <c r="FR88" s="30" t="str">
        <f t="shared" si="725"/>
        <v/>
      </c>
      <c r="FS88" s="30" t="str">
        <f t="shared" si="726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44"/>
        <v>ReplaceableTextures\\CommandButtons\\BTNCS02.blp</v>
      </c>
      <c r="CN89" s="7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55">T89</f>
        <v>随机技能</v>
      </c>
      <c r="CW89" s="24"/>
      <c r="CX89" s="24"/>
      <c r="CY89" s="24"/>
      <c r="CZ89" s="24"/>
      <c r="DA89" s="24"/>
      <c r="DB89" s="30" t="str">
        <f t="shared" ref="DB89" si="956">IF(V89="","","|n"&amp;DB$2&amp;"+"&amp;V89&amp;DB$1)</f>
        <v/>
      </c>
      <c r="DC89" s="30" t="str">
        <f t="shared" ref="DC89" si="957">IF(W89="","","|n"&amp;DC$2&amp;"+"&amp;W89&amp;DC$1)</f>
        <v/>
      </c>
      <c r="DD89" s="30" t="str">
        <f t="shared" ref="DD89" si="958">IF(X89="","","|n"&amp;DD$2&amp;"+"&amp;X89&amp;DD$1)</f>
        <v/>
      </c>
      <c r="DE89" s="30" t="str">
        <f t="shared" ref="DE89" si="959">IF(Y89="","","|n"&amp;DE$2&amp;"+"&amp;Y89&amp;DE$1)</f>
        <v/>
      </c>
      <c r="DF89" s="30" t="str">
        <f t="shared" ref="DF89" si="960">IF(Z89="","","|n"&amp;DF$2&amp;"+"&amp;Z89&amp;DF$1)</f>
        <v/>
      </c>
      <c r="DG89" s="30" t="str">
        <f t="shared" ref="DG89" si="961">IF(AA89="","","|n"&amp;DG$2&amp;"+"&amp;AA89&amp;DG$1)</f>
        <v/>
      </c>
      <c r="DH89" s="30" t="str">
        <f t="shared" ref="DH89" si="962">IF(AB89="","","|n"&amp;DH$2&amp;"+"&amp;AB89&amp;DH$1)</f>
        <v/>
      </c>
      <c r="DI89" s="30" t="str">
        <f t="shared" ref="DI89" si="963">IF(AC89="","","|n"&amp;DI$2&amp;"+"&amp;AC89&amp;DI$1)</f>
        <v/>
      </c>
      <c r="DJ89" s="30" t="str">
        <f t="shared" ref="DJ89" si="964">IF(AD89="","","|n"&amp;DJ$2&amp;"+"&amp;AD89&amp;DJ$1)</f>
        <v/>
      </c>
      <c r="DK89" s="30" t="str">
        <f t="shared" ref="DK89" si="965">IF(AE89="","","|n"&amp;DK$2&amp;"+"&amp;AE89&amp;DK$1)</f>
        <v/>
      </c>
      <c r="DL89" s="30" t="str">
        <f t="shared" ref="DL89" si="966">IF(AF89="","","|n"&amp;DL$2&amp;"+"&amp;AF89&amp;DL$1)</f>
        <v/>
      </c>
      <c r="DM89" s="30" t="str">
        <f t="shared" ref="DM89" si="967">IF(AG89="","","|n"&amp;DM$2&amp;"+"&amp;AG89&amp;DM$1)</f>
        <v/>
      </c>
      <c r="DN89" s="30" t="str">
        <f t="shared" ref="DN89" si="968">IF(AH89="","","|n"&amp;DN$2&amp;"+"&amp;AH89&amp;DN$1)</f>
        <v/>
      </c>
      <c r="DO89" s="30" t="str">
        <f t="shared" ref="DO89" si="969">IF(AI89="","","|n"&amp;DO$2&amp;"+"&amp;AI89&amp;DO$1)</f>
        <v/>
      </c>
      <c r="DP89" s="30" t="str">
        <f t="shared" ref="DP89" si="970">IF(AJ89="","","|n"&amp;DP$2&amp;"+"&amp;AJ89&amp;DP$1)</f>
        <v/>
      </c>
      <c r="DQ89" s="30" t="str">
        <f t="shared" ref="DQ89" si="971">IF(AK89="","","|n"&amp;DQ$2&amp;"+"&amp;AK89&amp;DQ$1)</f>
        <v/>
      </c>
      <c r="DR89" s="30" t="str">
        <f t="shared" ref="DR89" si="972">IF(AL89="","","|n"&amp;DR$2&amp;"+"&amp;AL89&amp;DR$1)</f>
        <v/>
      </c>
      <c r="DS89" s="30" t="str">
        <f t="shared" ref="DS89" si="973">IF(AM89="","","|n"&amp;DS$2&amp;"+"&amp;AM89&amp;DS$1)</f>
        <v/>
      </c>
      <c r="DT89" s="30" t="str">
        <f t="shared" ref="DT89" si="974">IF(AN89="","","|n"&amp;DT$2&amp;"+"&amp;AN89&amp;DT$1)</f>
        <v/>
      </c>
      <c r="DU89" s="30" t="str">
        <f t="shared" ref="DU89" si="975">IF(AO89="","","|n"&amp;DU$2&amp;"+"&amp;AO89&amp;DU$1)</f>
        <v/>
      </c>
      <c r="DV89" s="30" t="str">
        <f t="shared" ref="DV89" si="976">IF(AP89="","","|n"&amp;DV$2&amp;"+"&amp;AP89&amp;DV$1)</f>
        <v/>
      </c>
      <c r="DW89" s="30" t="str">
        <f t="shared" ref="DW89" si="977">IF(AQ89="","","|n"&amp;DW$2&amp;"+"&amp;AQ89&amp;DW$1)</f>
        <v/>
      </c>
      <c r="DX89" s="30" t="str">
        <f t="shared" ref="DX89" si="978">IF(AR89="","","|n"&amp;DX$2&amp;"+"&amp;AR89&amp;DX$1)</f>
        <v/>
      </c>
      <c r="DY89" s="30" t="str">
        <f t="shared" ref="DY89" si="979">IF(AS89="","","|n"&amp;DY$2&amp;"+"&amp;AS89&amp;DY$1)</f>
        <v/>
      </c>
      <c r="DZ89" s="30" t="str">
        <f t="shared" ref="DZ89" si="980">IF(AT89="","","|n"&amp;DZ$2&amp;"+"&amp;AT89&amp;DZ$1)</f>
        <v/>
      </c>
      <c r="EA89" s="30" t="str">
        <f t="shared" ref="EA89" si="981">IF(AU89="","","|n"&amp;EA$2&amp;"+"&amp;AU89&amp;EA$1)</f>
        <v/>
      </c>
      <c r="EB89" s="30" t="str">
        <f t="shared" ref="EB89" si="982">IF(AV89="","","|n"&amp;EB$2&amp;"+"&amp;AV89&amp;EB$1)</f>
        <v/>
      </c>
      <c r="EC89" s="30" t="str">
        <f t="shared" ref="EC89" si="983">IF(AW89="","","|n"&amp;EC$2&amp;"+"&amp;AW89&amp;EC$1)</f>
        <v/>
      </c>
      <c r="ED89" s="30" t="str">
        <f t="shared" ref="ED89" si="984">IF(AX89="","","|n"&amp;ED$2&amp;"+"&amp;AX89&amp;ED$1)</f>
        <v/>
      </c>
      <c r="EE89" s="30" t="str">
        <f t="shared" ref="EE89" si="985">IF(AY89="","","|n"&amp;EE$2&amp;"+"&amp;AY89&amp;EE$1)</f>
        <v/>
      </c>
      <c r="EF89" s="30" t="str">
        <f t="shared" ref="EF89" si="986">IF(AZ89="","","|n"&amp;EF$2&amp;"+"&amp;AZ89&amp;EF$1)</f>
        <v/>
      </c>
      <c r="EG89" s="30" t="str">
        <f t="shared" ref="EG89" si="987">IF(BA89="","","|n"&amp;EG$2&amp;"+"&amp;BA89&amp;EG$1)</f>
        <v/>
      </c>
      <c r="EH89" s="30" t="str">
        <f t="shared" ref="EH89" si="988">IF(BB89="","","|n"&amp;EH$2&amp;"+"&amp;BB89&amp;EH$1)</f>
        <v/>
      </c>
      <c r="EI89" s="30" t="str">
        <f t="shared" ref="EI89" si="989">IF(BC89="","","|n"&amp;EI$2&amp;"+"&amp;BC89&amp;EI$1)</f>
        <v/>
      </c>
      <c r="EJ89" s="30" t="str">
        <f t="shared" ref="EJ89" si="990">IF(BD89="","","|n"&amp;EJ$2&amp;"+"&amp;BD89&amp;EJ$1)</f>
        <v/>
      </c>
      <c r="EK89" s="30" t="str">
        <f t="shared" ref="EK89" si="991">IF(BE89="","","|n"&amp;EK$2&amp;"+"&amp;BE89&amp;EK$1)</f>
        <v/>
      </c>
      <c r="EL89" s="30" t="str">
        <f t="shared" ref="EL89" si="992">IF(BF89="","","|n"&amp;EL$2&amp;"+"&amp;BF89&amp;EL$1)</f>
        <v/>
      </c>
      <c r="EM89" s="30" t="str">
        <f t="shared" ref="EM89" si="993">IF(BG89="","","|n"&amp;EM$2&amp;"+"&amp;BG89&amp;EM$1)</f>
        <v/>
      </c>
      <c r="EN89" s="30" t="str">
        <f t="shared" ref="EN89" si="994">IF(BH89="","","|n"&amp;EN$2&amp;"+"&amp;BH89&amp;EN$1)</f>
        <v/>
      </c>
      <c r="EO89" s="30" t="str">
        <f t="shared" ref="EO89" si="995">IF(BI89="","","|n"&amp;EO$2&amp;"+"&amp;BI89&amp;EO$1)</f>
        <v/>
      </c>
      <c r="EP89" s="30" t="str">
        <f t="shared" ref="EP89" si="996">IF(BJ89="","","|n"&amp;EP$2&amp;"+"&amp;BJ89&amp;EP$1)</f>
        <v/>
      </c>
      <c r="EQ89" s="30" t="str">
        <f t="shared" ref="EQ89" si="997">IF(BK89="","","|n"&amp;EQ$2&amp;"+"&amp;BK89&amp;EQ$1)</f>
        <v/>
      </c>
      <c r="ER89" s="30" t="str">
        <f t="shared" ref="ER89" si="998">IF(BL89="","","|n"&amp;ER$2&amp;"+"&amp;BL89&amp;ER$1)</f>
        <v/>
      </c>
      <c r="ES89" s="30" t="str">
        <f t="shared" ref="ES89" si="999">IF(BM89="","","|n"&amp;ES$2&amp;"+"&amp;BM89&amp;ES$1)</f>
        <v/>
      </c>
      <c r="ET89" s="30" t="str">
        <f t="shared" ref="ET89" si="1000">IF(BN89="","","|n"&amp;ET$2&amp;"+"&amp;BN89&amp;ET$1)</f>
        <v/>
      </c>
      <c r="EU89" s="30" t="str">
        <f t="shared" ref="EU89" si="1001">IF(BO89="","","|n"&amp;EU$2&amp;"+"&amp;BO89&amp;EU$1)</f>
        <v/>
      </c>
      <c r="EV89" s="30" t="str">
        <f t="shared" ref="EV89" si="1002">IF(BP89="","","|n"&amp;EV$2&amp;"+"&amp;BP89&amp;EV$1)</f>
        <v/>
      </c>
      <c r="EW89" s="30" t="str">
        <f t="shared" ref="EW89" si="1003">IF(BQ89="","","|n"&amp;EW$2&amp;"+"&amp;BQ89&amp;EW$1)</f>
        <v/>
      </c>
      <c r="EX89" s="30" t="str">
        <f t="shared" ref="EX89" si="1004">IF(BR89="","","|n"&amp;EX$2&amp;"+"&amp;BR89&amp;EX$1)</f>
        <v/>
      </c>
      <c r="EY89" s="30" t="str">
        <f t="shared" ref="EY89" si="1005">IF(BS89="","","|n"&amp;EY$2&amp;"+"&amp;BS89&amp;EY$1)</f>
        <v/>
      </c>
      <c r="EZ89" s="30" t="str">
        <f t="shared" ref="EZ89" si="1006">IF(BT89="","","|n"&amp;EZ$2&amp;"+"&amp;BT89&amp;EZ$1)</f>
        <v/>
      </c>
      <c r="FA89" s="30" t="str">
        <f t="shared" ref="FA89" si="1007">IF(BU89="","","|n"&amp;FA$2&amp;"+"&amp;BU89&amp;FA$1)</f>
        <v/>
      </c>
      <c r="FB89" s="30" t="str">
        <f t="shared" ref="FB89" si="1008">IF(BV89="","","|n"&amp;FB$2&amp;"+"&amp;BV89&amp;FB$1)</f>
        <v/>
      </c>
      <c r="FC89" s="30" t="str">
        <f t="shared" ref="FC89" si="1009">IF(BW89="","","|n"&amp;FC$2&amp;"+"&amp;BW89&amp;FC$1)</f>
        <v/>
      </c>
      <c r="FD89" s="30" t="str">
        <f t="shared" ref="FD89" si="1010">IF(BX89="","","|n"&amp;FD$2&amp;"+"&amp;BX89&amp;FD$1)</f>
        <v/>
      </c>
      <c r="FE89" s="30" t="str">
        <f t="shared" ref="FE89" si="1011">IF(BY89="","","|n"&amp;FE$2&amp;"+"&amp;BY89&amp;FE$1)</f>
        <v/>
      </c>
      <c r="FF89" s="30" t="str">
        <f t="shared" ref="FF89" si="1012">IF(BZ89="","","|n"&amp;FF$2&amp;"+"&amp;BZ89&amp;FF$1)</f>
        <v/>
      </c>
      <c r="FG89" s="30" t="str">
        <f t="shared" ref="FG89" si="1013">IF(CA89="","","|n"&amp;FG$2&amp;"+"&amp;CA89&amp;FG$1)</f>
        <v/>
      </c>
      <c r="FH89" s="30" t="str">
        <f t="shared" ref="FH89" si="1014">IF(CB89="","","|n"&amp;FH$2&amp;"+"&amp;CB89&amp;FH$1)</f>
        <v/>
      </c>
      <c r="FI89" s="30" t="str">
        <f t="shared" ref="FI89" si="1015">IF(CC89="","","|n"&amp;FI$2&amp;"+"&amp;CC89&amp;FI$1)</f>
        <v/>
      </c>
      <c r="FJ89" s="30" t="str">
        <f t="shared" ref="FJ89" si="1016">IF(CD89="","","|n"&amp;FJ$2&amp;"+"&amp;CD89&amp;FJ$1)</f>
        <v/>
      </c>
      <c r="FK89" s="30" t="str">
        <f t="shared" ref="FK89" si="1017">IF(CE89="","","|n"&amp;FK$2&amp;"+"&amp;CE89&amp;FK$1)</f>
        <v/>
      </c>
      <c r="FL89" s="30" t="str">
        <f t="shared" ref="FL89" si="1018">IF(CF89="","","|n"&amp;FL$2&amp;"+"&amp;CF89&amp;FL$1)</f>
        <v/>
      </c>
      <c r="FM89" s="30" t="str">
        <f t="shared" ref="FM89" si="1019">IF(CG89="","","|n"&amp;FM$2&amp;"+"&amp;CG89&amp;FM$1)</f>
        <v/>
      </c>
      <c r="FN89" s="30" t="str">
        <f t="shared" ref="FN89" si="1020">IF(CH89="","","|n"&amp;FN$2&amp;"+"&amp;CH89&amp;FN$1)</f>
        <v/>
      </c>
      <c r="FO89" s="30" t="str">
        <f t="shared" ref="FO89" si="1021">IF(CI89="","","|n"&amp;FO$2&amp;"+"&amp;CI89&amp;FO$1)</f>
        <v/>
      </c>
      <c r="FP89" s="30" t="str">
        <f t="shared" ref="FP89" si="1022">IF(CJ89="","","|n"&amp;FP$2&amp;"+"&amp;CJ89&amp;FP$1)</f>
        <v/>
      </c>
      <c r="FQ89" s="30" t="str">
        <f t="shared" ref="FQ89" si="1023">IF(CK89="","","|n"&amp;FQ$2&amp;"+"&amp;CK89&amp;FQ$1)</f>
        <v/>
      </c>
      <c r="FR89" s="30" t="str">
        <f t="shared" ref="FR89" si="1024">IF(CL89="","","|n"&amp;FR$2&amp;"+"&amp;CL89&amp;FR$1)</f>
        <v/>
      </c>
      <c r="FS89" s="30" t="str">
        <f t="shared" ref="FS89" si="1025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44"/>
        <v>ReplaceableTextures\\CommandButtons\\BTNCS03.blp</v>
      </c>
      <c r="CN90" s="7" t="str">
        <f t="shared" si="950"/>
        <v>InitUnitState('CS03',,,,,,,,,,)</v>
      </c>
      <c r="CO90" s="7" t="str">
        <f t="shared" si="951"/>
        <v>InitUnitNormal('CS03',,,,,,,,,,)</v>
      </c>
      <c r="CP90" s="7" t="str">
        <f t="shared" si="952"/>
        <v>InitUnitMagic('CS03',,,,,,,,,,)</v>
      </c>
      <c r="CQ90" s="7" t="str">
        <f t="shared" si="953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27">T90</f>
        <v>随机技能</v>
      </c>
      <c r="CW90" s="24"/>
      <c r="CX90" s="24"/>
      <c r="CY90" s="24"/>
      <c r="CZ90" s="24"/>
      <c r="DA90" s="24"/>
      <c r="DB90" s="30" t="str">
        <f t="shared" ref="DB90:DB91" si="1028">IF(V90="","","|n"&amp;DB$2&amp;"+"&amp;V90&amp;DB$1)</f>
        <v/>
      </c>
      <c r="DC90" s="30" t="str">
        <f t="shared" ref="DC90:DC91" si="1029">IF(W90="","","|n"&amp;DC$2&amp;"+"&amp;W90&amp;DC$1)</f>
        <v/>
      </c>
      <c r="DD90" s="30" t="str">
        <f t="shared" ref="DD90:DD91" si="1030">IF(X90="","","|n"&amp;DD$2&amp;"+"&amp;X90&amp;DD$1)</f>
        <v/>
      </c>
      <c r="DE90" s="30" t="str">
        <f t="shared" ref="DE90:DE91" si="1031">IF(Y90="","","|n"&amp;DE$2&amp;"+"&amp;Y90&amp;DE$1)</f>
        <v/>
      </c>
      <c r="DF90" s="30" t="str">
        <f t="shared" ref="DF90:DF91" si="1032">IF(Z90="","","|n"&amp;DF$2&amp;"+"&amp;Z90&amp;DF$1)</f>
        <v/>
      </c>
      <c r="DG90" s="30" t="str">
        <f t="shared" ref="DG90:DG91" si="1033">IF(AA90="","","|n"&amp;DG$2&amp;"+"&amp;AA90&amp;DG$1)</f>
        <v/>
      </c>
      <c r="DH90" s="30" t="str">
        <f t="shared" ref="DH90:DH91" si="1034">IF(AB90="","","|n"&amp;DH$2&amp;"+"&amp;AB90&amp;DH$1)</f>
        <v/>
      </c>
      <c r="DI90" s="30" t="str">
        <f t="shared" ref="DI90:DI91" si="1035">IF(AC90="","","|n"&amp;DI$2&amp;"+"&amp;AC90&amp;DI$1)</f>
        <v/>
      </c>
      <c r="DJ90" s="30" t="str">
        <f t="shared" ref="DJ90:DJ91" si="1036">IF(AD90="","","|n"&amp;DJ$2&amp;"+"&amp;AD90&amp;DJ$1)</f>
        <v/>
      </c>
      <c r="DK90" s="30" t="str">
        <f t="shared" ref="DK90:DK91" si="1037">IF(AE90="","","|n"&amp;DK$2&amp;"+"&amp;AE90&amp;DK$1)</f>
        <v/>
      </c>
      <c r="DL90" s="30" t="str">
        <f t="shared" ref="DL90:DL91" si="1038">IF(AF90="","","|n"&amp;DL$2&amp;"+"&amp;AF90&amp;DL$1)</f>
        <v/>
      </c>
      <c r="DM90" s="30" t="str">
        <f t="shared" ref="DM90:DM91" si="1039">IF(AG90="","","|n"&amp;DM$2&amp;"+"&amp;AG90&amp;DM$1)</f>
        <v/>
      </c>
      <c r="DN90" s="30" t="str">
        <f t="shared" ref="DN90:DN91" si="1040">IF(AH90="","","|n"&amp;DN$2&amp;"+"&amp;AH90&amp;DN$1)</f>
        <v/>
      </c>
      <c r="DO90" s="30" t="str">
        <f t="shared" ref="DO90:DO91" si="1041">IF(AI90="","","|n"&amp;DO$2&amp;"+"&amp;AI90&amp;DO$1)</f>
        <v/>
      </c>
      <c r="DP90" s="30" t="str">
        <f t="shared" ref="DP90:DP91" si="1042">IF(AJ90="","","|n"&amp;DP$2&amp;"+"&amp;AJ90&amp;DP$1)</f>
        <v/>
      </c>
      <c r="DQ90" s="30" t="str">
        <f t="shared" ref="DQ90:DQ91" si="1043">IF(AK90="","","|n"&amp;DQ$2&amp;"+"&amp;AK90&amp;DQ$1)</f>
        <v/>
      </c>
      <c r="DR90" s="30" t="str">
        <f t="shared" ref="DR90:DR91" si="1044">IF(AL90="","","|n"&amp;DR$2&amp;"+"&amp;AL90&amp;DR$1)</f>
        <v/>
      </c>
      <c r="DS90" s="30" t="str">
        <f t="shared" ref="DS90:DS91" si="1045">IF(AM90="","","|n"&amp;DS$2&amp;"+"&amp;AM90&amp;DS$1)</f>
        <v/>
      </c>
      <c r="DT90" s="30" t="str">
        <f t="shared" ref="DT90:DT91" si="1046">IF(AN90="","","|n"&amp;DT$2&amp;"+"&amp;AN90&amp;DT$1)</f>
        <v/>
      </c>
      <c r="DU90" s="30" t="str">
        <f t="shared" ref="DU90:DU91" si="1047">IF(AO90="","","|n"&amp;DU$2&amp;"+"&amp;AO90&amp;DU$1)</f>
        <v/>
      </c>
      <c r="DV90" s="30" t="str">
        <f t="shared" ref="DV90:DV91" si="1048">IF(AP90="","","|n"&amp;DV$2&amp;"+"&amp;AP90&amp;DV$1)</f>
        <v/>
      </c>
      <c r="DW90" s="30" t="str">
        <f t="shared" ref="DW90:DW91" si="1049">IF(AQ90="","","|n"&amp;DW$2&amp;"+"&amp;AQ90&amp;DW$1)</f>
        <v/>
      </c>
      <c r="DX90" s="30" t="str">
        <f t="shared" ref="DX90:DX91" si="1050">IF(AR90="","","|n"&amp;DX$2&amp;"+"&amp;AR90&amp;DX$1)</f>
        <v/>
      </c>
      <c r="DY90" s="30" t="str">
        <f t="shared" ref="DY90:DY91" si="1051">IF(AS90="","","|n"&amp;DY$2&amp;"+"&amp;AS90&amp;DY$1)</f>
        <v/>
      </c>
      <c r="DZ90" s="30" t="str">
        <f t="shared" ref="DZ90:DZ91" si="1052">IF(AT90="","","|n"&amp;DZ$2&amp;"+"&amp;AT90&amp;DZ$1)</f>
        <v/>
      </c>
      <c r="EA90" s="30" t="str">
        <f t="shared" ref="EA90:EA91" si="1053">IF(AU90="","","|n"&amp;EA$2&amp;"+"&amp;AU90&amp;EA$1)</f>
        <v/>
      </c>
      <c r="EB90" s="30" t="str">
        <f t="shared" ref="EB90:EB91" si="1054">IF(AV90="","","|n"&amp;EB$2&amp;"+"&amp;AV90&amp;EB$1)</f>
        <v/>
      </c>
      <c r="EC90" s="30" t="str">
        <f t="shared" ref="EC90:EC91" si="1055">IF(AW90="","","|n"&amp;EC$2&amp;"+"&amp;AW90&amp;EC$1)</f>
        <v/>
      </c>
      <c r="ED90" s="30" t="str">
        <f t="shared" ref="ED90:ED91" si="1056">IF(AX90="","","|n"&amp;ED$2&amp;"+"&amp;AX90&amp;ED$1)</f>
        <v/>
      </c>
      <c r="EE90" s="30" t="str">
        <f t="shared" ref="EE90:EE91" si="1057">IF(AY90="","","|n"&amp;EE$2&amp;"+"&amp;AY90&amp;EE$1)</f>
        <v/>
      </c>
      <c r="EF90" s="30" t="str">
        <f t="shared" ref="EF90:EF91" si="1058">IF(AZ90="","","|n"&amp;EF$2&amp;"+"&amp;AZ90&amp;EF$1)</f>
        <v/>
      </c>
      <c r="EG90" s="30" t="str">
        <f t="shared" ref="EG90:EG91" si="1059">IF(BA90="","","|n"&amp;EG$2&amp;"+"&amp;BA90&amp;EG$1)</f>
        <v/>
      </c>
      <c r="EH90" s="30" t="str">
        <f t="shared" ref="EH90:EH91" si="1060">IF(BB90="","","|n"&amp;EH$2&amp;"+"&amp;BB90&amp;EH$1)</f>
        <v/>
      </c>
      <c r="EI90" s="30" t="str">
        <f t="shared" ref="EI90:EI91" si="1061">IF(BC90="","","|n"&amp;EI$2&amp;"+"&amp;BC90&amp;EI$1)</f>
        <v/>
      </c>
      <c r="EJ90" s="30" t="str">
        <f t="shared" ref="EJ90:EJ91" si="1062">IF(BD90="","","|n"&amp;EJ$2&amp;"+"&amp;BD90&amp;EJ$1)</f>
        <v/>
      </c>
      <c r="EK90" s="30" t="str">
        <f t="shared" ref="EK90:EK91" si="1063">IF(BE90="","","|n"&amp;EK$2&amp;"+"&amp;BE90&amp;EK$1)</f>
        <v/>
      </c>
      <c r="EL90" s="30" t="str">
        <f t="shared" ref="EL90:EL91" si="1064">IF(BF90="","","|n"&amp;EL$2&amp;"+"&amp;BF90&amp;EL$1)</f>
        <v/>
      </c>
      <c r="EM90" s="30" t="str">
        <f t="shared" ref="EM90:EM91" si="1065">IF(BG90="","","|n"&amp;EM$2&amp;"+"&amp;BG90&amp;EM$1)</f>
        <v/>
      </c>
      <c r="EN90" s="30" t="str">
        <f t="shared" ref="EN90:EN91" si="1066">IF(BH90="","","|n"&amp;EN$2&amp;"+"&amp;BH90&amp;EN$1)</f>
        <v/>
      </c>
      <c r="EO90" s="30" t="str">
        <f t="shared" ref="EO90:EO91" si="1067">IF(BI90="","","|n"&amp;EO$2&amp;"+"&amp;BI90&amp;EO$1)</f>
        <v/>
      </c>
      <c r="EP90" s="30" t="str">
        <f t="shared" ref="EP90:EP91" si="1068">IF(BJ90="","","|n"&amp;EP$2&amp;"+"&amp;BJ90&amp;EP$1)</f>
        <v/>
      </c>
      <c r="EQ90" s="30" t="str">
        <f t="shared" ref="EQ90:EQ91" si="1069">IF(BK90="","","|n"&amp;EQ$2&amp;"+"&amp;BK90&amp;EQ$1)</f>
        <v/>
      </c>
      <c r="ER90" s="30" t="str">
        <f t="shared" ref="ER90:ER91" si="1070">IF(BL90="","","|n"&amp;ER$2&amp;"+"&amp;BL90&amp;ER$1)</f>
        <v/>
      </c>
      <c r="ES90" s="30" t="str">
        <f t="shared" ref="ES90:ES91" si="1071">IF(BM90="","","|n"&amp;ES$2&amp;"+"&amp;BM90&amp;ES$1)</f>
        <v/>
      </c>
      <c r="ET90" s="30" t="str">
        <f t="shared" ref="ET90:ET91" si="1072">IF(BN90="","","|n"&amp;ET$2&amp;"+"&amp;BN90&amp;ET$1)</f>
        <v/>
      </c>
      <c r="EU90" s="30" t="str">
        <f t="shared" ref="EU90:EU91" si="1073">IF(BO90="","","|n"&amp;EU$2&amp;"+"&amp;BO90&amp;EU$1)</f>
        <v/>
      </c>
      <c r="EV90" s="30" t="str">
        <f t="shared" ref="EV90:EV91" si="1074">IF(BP90="","","|n"&amp;EV$2&amp;"+"&amp;BP90&amp;EV$1)</f>
        <v/>
      </c>
      <c r="EW90" s="30" t="str">
        <f t="shared" ref="EW90:EW91" si="1075">IF(BQ90="","","|n"&amp;EW$2&amp;"+"&amp;BQ90&amp;EW$1)</f>
        <v/>
      </c>
      <c r="EX90" s="30" t="str">
        <f t="shared" ref="EX90:EX91" si="1076">IF(BR90="","","|n"&amp;EX$2&amp;"+"&amp;BR90&amp;EX$1)</f>
        <v/>
      </c>
      <c r="EY90" s="30" t="str">
        <f t="shared" ref="EY90:EY91" si="1077">IF(BS90="","","|n"&amp;EY$2&amp;"+"&amp;BS90&amp;EY$1)</f>
        <v/>
      </c>
      <c r="EZ90" s="30" t="str">
        <f t="shared" ref="EZ90:EZ91" si="1078">IF(BT90="","","|n"&amp;EZ$2&amp;"+"&amp;BT90&amp;EZ$1)</f>
        <v/>
      </c>
      <c r="FA90" s="30" t="str">
        <f t="shared" ref="FA90:FA91" si="1079">IF(BU90="","","|n"&amp;FA$2&amp;"+"&amp;BU90&amp;FA$1)</f>
        <v/>
      </c>
      <c r="FB90" s="30" t="str">
        <f t="shared" ref="FB90:FB91" si="1080">IF(BV90="","","|n"&amp;FB$2&amp;"+"&amp;BV90&amp;FB$1)</f>
        <v/>
      </c>
      <c r="FC90" s="30" t="str">
        <f t="shared" ref="FC90:FC91" si="1081">IF(BW90="","","|n"&amp;FC$2&amp;"+"&amp;BW90&amp;FC$1)</f>
        <v/>
      </c>
      <c r="FD90" s="30" t="str">
        <f t="shared" ref="FD90:FD91" si="1082">IF(BX90="","","|n"&amp;FD$2&amp;"+"&amp;BX90&amp;FD$1)</f>
        <v/>
      </c>
      <c r="FE90" s="30" t="str">
        <f t="shared" ref="FE90:FE91" si="1083">IF(BY90="","","|n"&amp;FE$2&amp;"+"&amp;BY90&amp;FE$1)</f>
        <v/>
      </c>
      <c r="FF90" s="30" t="str">
        <f t="shared" ref="FF90:FF91" si="1084">IF(BZ90="","","|n"&amp;FF$2&amp;"+"&amp;BZ90&amp;FF$1)</f>
        <v/>
      </c>
      <c r="FG90" s="30" t="str">
        <f t="shared" ref="FG90:FG91" si="1085">IF(CA90="","","|n"&amp;FG$2&amp;"+"&amp;CA90&amp;FG$1)</f>
        <v/>
      </c>
      <c r="FH90" s="30" t="str">
        <f t="shared" ref="FH90:FH91" si="1086">IF(CB90="","","|n"&amp;FH$2&amp;"+"&amp;CB90&amp;FH$1)</f>
        <v/>
      </c>
      <c r="FI90" s="30" t="str">
        <f t="shared" ref="FI90:FI91" si="1087">IF(CC90="","","|n"&amp;FI$2&amp;"+"&amp;CC90&amp;FI$1)</f>
        <v/>
      </c>
      <c r="FJ90" s="30" t="str">
        <f t="shared" ref="FJ90:FJ91" si="1088">IF(CD90="","","|n"&amp;FJ$2&amp;"+"&amp;CD90&amp;FJ$1)</f>
        <v/>
      </c>
      <c r="FK90" s="30" t="str">
        <f t="shared" ref="FK90:FK91" si="1089">IF(CE90="","","|n"&amp;FK$2&amp;"+"&amp;CE90&amp;FK$1)</f>
        <v/>
      </c>
      <c r="FL90" s="30" t="str">
        <f t="shared" ref="FL90:FL91" si="1090">IF(CF90="","","|n"&amp;FL$2&amp;"+"&amp;CF90&amp;FL$1)</f>
        <v/>
      </c>
      <c r="FM90" s="30" t="str">
        <f t="shared" ref="FM90:FM91" si="1091">IF(CG90="","","|n"&amp;FM$2&amp;"+"&amp;CG90&amp;FM$1)</f>
        <v/>
      </c>
      <c r="FN90" s="30" t="str">
        <f t="shared" ref="FN90:FN91" si="1092">IF(CH90="","","|n"&amp;FN$2&amp;"+"&amp;CH90&amp;FN$1)</f>
        <v/>
      </c>
      <c r="FO90" s="30" t="str">
        <f t="shared" ref="FO90:FO91" si="1093">IF(CI90="","","|n"&amp;FO$2&amp;"+"&amp;CI90&amp;FO$1)</f>
        <v/>
      </c>
      <c r="FP90" s="30" t="str">
        <f t="shared" ref="FP90:FP91" si="1094">IF(CJ90="","","|n"&amp;FP$2&amp;"+"&amp;CJ90&amp;FP$1)</f>
        <v/>
      </c>
      <c r="FQ90" s="30" t="str">
        <f t="shared" ref="FQ90:FQ91" si="1095">IF(CK90="","","|n"&amp;FQ$2&amp;"+"&amp;CK90&amp;FQ$1)</f>
        <v/>
      </c>
      <c r="FR90" s="30" t="str">
        <f t="shared" ref="FR90:FR91" si="1096">IF(CL90="","","|n"&amp;FR$2&amp;"+"&amp;CL90&amp;FR$1)</f>
        <v/>
      </c>
      <c r="FS90" s="30" t="str">
        <f t="shared" ref="FS90:FS91" si="1097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44"/>
        <v>ReplaceableTextures\\CommandButtons\\BTNCS04.blp</v>
      </c>
      <c r="CN91" s="7" t="str">
        <f t="shared" si="950"/>
        <v>InitUnitState('CS04',,,,,,,,,,)</v>
      </c>
      <c r="CO91" s="7" t="str">
        <f t="shared" si="951"/>
        <v>InitUnitNormal('CS04',,,,,,,,,,)</v>
      </c>
      <c r="CP91" s="7" t="str">
        <f t="shared" si="952"/>
        <v>InitUnitMagic('CS04',,,,,,,,,,)</v>
      </c>
      <c r="CQ91" s="7" t="str">
        <f t="shared" si="953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45" t="str">
        <f t="shared" si="1026"/>
        <v>|n</v>
      </c>
      <c r="CV91" s="29" t="str">
        <f t="shared" si="1027"/>
        <v>随机技能</v>
      </c>
      <c r="CW91" s="24"/>
      <c r="CX91" s="24"/>
      <c r="CY91" s="24"/>
      <c r="CZ91" s="24"/>
      <c r="DA91" s="24"/>
      <c r="DB91" s="30" t="str">
        <f t="shared" si="1028"/>
        <v/>
      </c>
      <c r="DC91" s="30" t="str">
        <f t="shared" si="1029"/>
        <v/>
      </c>
      <c r="DD91" s="30" t="str">
        <f t="shared" si="1030"/>
        <v/>
      </c>
      <c r="DE91" s="30" t="str">
        <f t="shared" si="1031"/>
        <v/>
      </c>
      <c r="DF91" s="30" t="str">
        <f t="shared" si="1032"/>
        <v/>
      </c>
      <c r="DG91" s="30" t="str">
        <f t="shared" si="1033"/>
        <v/>
      </c>
      <c r="DH91" s="30" t="str">
        <f t="shared" si="1034"/>
        <v/>
      </c>
      <c r="DI91" s="30" t="str">
        <f t="shared" si="1035"/>
        <v/>
      </c>
      <c r="DJ91" s="30" t="str">
        <f t="shared" si="1036"/>
        <v/>
      </c>
      <c r="DK91" s="30" t="str">
        <f t="shared" si="1037"/>
        <v/>
      </c>
      <c r="DL91" s="30" t="str">
        <f t="shared" si="1038"/>
        <v/>
      </c>
      <c r="DM91" s="30" t="str">
        <f t="shared" si="1039"/>
        <v/>
      </c>
      <c r="DN91" s="30" t="str">
        <f t="shared" si="1040"/>
        <v/>
      </c>
      <c r="DO91" s="30" t="str">
        <f t="shared" si="1041"/>
        <v/>
      </c>
      <c r="DP91" s="30" t="str">
        <f t="shared" si="1042"/>
        <v/>
      </c>
      <c r="DQ91" s="30" t="str">
        <f t="shared" si="1043"/>
        <v/>
      </c>
      <c r="DR91" s="30" t="str">
        <f t="shared" si="1044"/>
        <v/>
      </c>
      <c r="DS91" s="30" t="str">
        <f t="shared" si="1045"/>
        <v/>
      </c>
      <c r="DT91" s="30" t="str">
        <f t="shared" si="1046"/>
        <v/>
      </c>
      <c r="DU91" s="30" t="str">
        <f t="shared" si="1047"/>
        <v/>
      </c>
      <c r="DV91" s="30" t="str">
        <f t="shared" si="1048"/>
        <v/>
      </c>
      <c r="DW91" s="30" t="str">
        <f t="shared" si="1049"/>
        <v/>
      </c>
      <c r="DX91" s="30" t="str">
        <f t="shared" si="1050"/>
        <v/>
      </c>
      <c r="DY91" s="30" t="str">
        <f t="shared" si="1051"/>
        <v/>
      </c>
      <c r="DZ91" s="30" t="str">
        <f t="shared" si="1052"/>
        <v/>
      </c>
      <c r="EA91" s="30" t="str">
        <f t="shared" si="1053"/>
        <v/>
      </c>
      <c r="EB91" s="30" t="str">
        <f t="shared" si="1054"/>
        <v/>
      </c>
      <c r="EC91" s="30" t="str">
        <f t="shared" si="1055"/>
        <v/>
      </c>
      <c r="ED91" s="30" t="str">
        <f t="shared" si="1056"/>
        <v/>
      </c>
      <c r="EE91" s="30" t="str">
        <f t="shared" si="1057"/>
        <v/>
      </c>
      <c r="EF91" s="30" t="str">
        <f t="shared" si="1058"/>
        <v/>
      </c>
      <c r="EG91" s="30" t="str">
        <f t="shared" si="1059"/>
        <v/>
      </c>
      <c r="EH91" s="30" t="str">
        <f t="shared" si="1060"/>
        <v/>
      </c>
      <c r="EI91" s="30" t="str">
        <f t="shared" si="1061"/>
        <v/>
      </c>
      <c r="EJ91" s="30" t="str">
        <f t="shared" si="1062"/>
        <v/>
      </c>
      <c r="EK91" s="30" t="str">
        <f t="shared" si="1063"/>
        <v/>
      </c>
      <c r="EL91" s="30" t="str">
        <f t="shared" si="1064"/>
        <v/>
      </c>
      <c r="EM91" s="30" t="str">
        <f t="shared" si="1065"/>
        <v/>
      </c>
      <c r="EN91" s="30" t="str">
        <f t="shared" si="1066"/>
        <v/>
      </c>
      <c r="EO91" s="30" t="str">
        <f t="shared" si="1067"/>
        <v/>
      </c>
      <c r="EP91" s="30" t="str">
        <f t="shared" si="1068"/>
        <v/>
      </c>
      <c r="EQ91" s="30" t="str">
        <f t="shared" si="1069"/>
        <v/>
      </c>
      <c r="ER91" s="30" t="str">
        <f t="shared" si="1070"/>
        <v/>
      </c>
      <c r="ES91" s="30" t="str">
        <f t="shared" si="1071"/>
        <v/>
      </c>
      <c r="ET91" s="30" t="str">
        <f t="shared" si="1072"/>
        <v/>
      </c>
      <c r="EU91" s="30" t="str">
        <f t="shared" si="1073"/>
        <v/>
      </c>
      <c r="EV91" s="30" t="str">
        <f t="shared" si="1074"/>
        <v/>
      </c>
      <c r="EW91" s="30" t="str">
        <f t="shared" si="1075"/>
        <v/>
      </c>
      <c r="EX91" s="30" t="str">
        <f t="shared" si="1076"/>
        <v/>
      </c>
      <c r="EY91" s="30" t="str">
        <f t="shared" si="1077"/>
        <v/>
      </c>
      <c r="EZ91" s="30" t="str">
        <f t="shared" si="1078"/>
        <v/>
      </c>
      <c r="FA91" s="30" t="str">
        <f t="shared" si="1079"/>
        <v/>
      </c>
      <c r="FB91" s="30" t="str">
        <f t="shared" si="1080"/>
        <v/>
      </c>
      <c r="FC91" s="30" t="str">
        <f t="shared" si="1081"/>
        <v/>
      </c>
      <c r="FD91" s="30" t="str">
        <f t="shared" si="1082"/>
        <v/>
      </c>
      <c r="FE91" s="30" t="str">
        <f t="shared" si="1083"/>
        <v/>
      </c>
      <c r="FF91" s="30" t="str">
        <f t="shared" si="1084"/>
        <v/>
      </c>
      <c r="FG91" s="30" t="str">
        <f t="shared" si="1085"/>
        <v/>
      </c>
      <c r="FH91" s="30" t="str">
        <f t="shared" si="1086"/>
        <v/>
      </c>
      <c r="FI91" s="30" t="str">
        <f t="shared" si="1087"/>
        <v/>
      </c>
      <c r="FJ91" s="30" t="str">
        <f t="shared" si="1088"/>
        <v/>
      </c>
      <c r="FK91" s="30" t="str">
        <f t="shared" si="1089"/>
        <v/>
      </c>
      <c r="FL91" s="30" t="str">
        <f t="shared" si="1090"/>
        <v/>
      </c>
      <c r="FM91" s="30" t="str">
        <f t="shared" si="1091"/>
        <v/>
      </c>
      <c r="FN91" s="30" t="str">
        <f t="shared" si="1092"/>
        <v/>
      </c>
      <c r="FO91" s="30" t="str">
        <f t="shared" si="1093"/>
        <v/>
      </c>
      <c r="FP91" s="30" t="str">
        <f t="shared" si="1094"/>
        <v/>
      </c>
      <c r="FQ91" s="30" t="str">
        <f t="shared" si="1095"/>
        <v/>
      </c>
      <c r="FR91" s="30" t="str">
        <f t="shared" si="1096"/>
        <v/>
      </c>
      <c r="FS91" s="30" t="str">
        <f t="shared" si="1097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44"/>
        <v>ReplaceableTextures\\CommandButtons\\BTNCS05.blp</v>
      </c>
      <c r="CN92" s="7" t="str">
        <f t="shared" si="950"/>
        <v>InitUnitState('CS05',,,,,,,,,,)</v>
      </c>
      <c r="CO92" s="7" t="str">
        <f t="shared" si="951"/>
        <v>InitUnitNormal('CS05',,,,,,,,,,)</v>
      </c>
      <c r="CP92" s="7" t="str">
        <f t="shared" si="952"/>
        <v>InitUnitMagic('CS05',,,,,,,,,,)</v>
      </c>
      <c r="CQ92" s="7" t="str">
        <f t="shared" si="953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45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099">T92</f>
        <v>随机技能</v>
      </c>
      <c r="CW92" s="24"/>
      <c r="CX92" s="24"/>
      <c r="CY92" s="24"/>
      <c r="CZ92" s="24"/>
      <c r="DA92" s="24"/>
      <c r="DB92" s="30" t="str">
        <f t="shared" ref="DB92:DB94" si="1100">IF(V92="","","|n"&amp;DB$2&amp;"+"&amp;V92&amp;DB$1)</f>
        <v/>
      </c>
      <c r="DC92" s="30" t="str">
        <f t="shared" ref="DC92:DC94" si="1101">IF(W92="","","|n"&amp;DC$2&amp;"+"&amp;W92&amp;DC$1)</f>
        <v/>
      </c>
      <c r="DD92" s="30" t="str">
        <f t="shared" ref="DD92:DD94" si="1102">IF(X92="","","|n"&amp;DD$2&amp;"+"&amp;X92&amp;DD$1)</f>
        <v/>
      </c>
      <c r="DE92" s="30" t="str">
        <f t="shared" ref="DE92:DE94" si="1103">IF(Y92="","","|n"&amp;DE$2&amp;"+"&amp;Y92&amp;DE$1)</f>
        <v/>
      </c>
      <c r="DF92" s="30" t="str">
        <f t="shared" ref="DF92:DF94" si="1104">IF(Z92="","","|n"&amp;DF$2&amp;"+"&amp;Z92&amp;DF$1)</f>
        <v/>
      </c>
      <c r="DG92" s="30" t="str">
        <f t="shared" ref="DG92:DG94" si="1105">IF(AA92="","","|n"&amp;DG$2&amp;"+"&amp;AA92&amp;DG$1)</f>
        <v/>
      </c>
      <c r="DH92" s="30" t="str">
        <f t="shared" ref="DH92:DH94" si="1106">IF(AB92="","","|n"&amp;DH$2&amp;"+"&amp;AB92&amp;DH$1)</f>
        <v/>
      </c>
      <c r="DI92" s="30" t="str">
        <f t="shared" ref="DI92:DI94" si="1107">IF(AC92="","","|n"&amp;DI$2&amp;"+"&amp;AC92&amp;DI$1)</f>
        <v/>
      </c>
      <c r="DJ92" s="30" t="str">
        <f t="shared" ref="DJ92:DJ94" si="1108">IF(AD92="","","|n"&amp;DJ$2&amp;"+"&amp;AD92&amp;DJ$1)</f>
        <v/>
      </c>
      <c r="DK92" s="30" t="str">
        <f t="shared" ref="DK92:DK94" si="1109">IF(AE92="","","|n"&amp;DK$2&amp;"+"&amp;AE92&amp;DK$1)</f>
        <v/>
      </c>
      <c r="DL92" s="30" t="str">
        <f t="shared" ref="DL92:DL94" si="1110">IF(AF92="","","|n"&amp;DL$2&amp;"+"&amp;AF92&amp;DL$1)</f>
        <v/>
      </c>
      <c r="DM92" s="30" t="str">
        <f t="shared" ref="DM92:DM94" si="1111">IF(AG92="","","|n"&amp;DM$2&amp;"+"&amp;AG92&amp;DM$1)</f>
        <v/>
      </c>
      <c r="DN92" s="30" t="str">
        <f t="shared" ref="DN92:DN94" si="1112">IF(AH92="","","|n"&amp;DN$2&amp;"+"&amp;AH92&amp;DN$1)</f>
        <v/>
      </c>
      <c r="DO92" s="30" t="str">
        <f t="shared" ref="DO92:DO94" si="1113">IF(AI92="","","|n"&amp;DO$2&amp;"+"&amp;AI92&amp;DO$1)</f>
        <v/>
      </c>
      <c r="DP92" s="30" t="str">
        <f t="shared" ref="DP92:DP94" si="1114">IF(AJ92="","","|n"&amp;DP$2&amp;"+"&amp;AJ92&amp;DP$1)</f>
        <v/>
      </c>
      <c r="DQ92" s="30" t="str">
        <f t="shared" ref="DQ92:DQ94" si="1115">IF(AK92="","","|n"&amp;DQ$2&amp;"+"&amp;AK92&amp;DQ$1)</f>
        <v/>
      </c>
      <c r="DR92" s="30" t="str">
        <f t="shared" ref="DR92:DR94" si="1116">IF(AL92="","","|n"&amp;DR$2&amp;"+"&amp;AL92&amp;DR$1)</f>
        <v/>
      </c>
      <c r="DS92" s="30" t="str">
        <f t="shared" ref="DS92:DS94" si="1117">IF(AM92="","","|n"&amp;DS$2&amp;"+"&amp;AM92&amp;DS$1)</f>
        <v/>
      </c>
      <c r="DT92" s="30" t="str">
        <f t="shared" ref="DT92:DT94" si="1118">IF(AN92="","","|n"&amp;DT$2&amp;"+"&amp;AN92&amp;DT$1)</f>
        <v/>
      </c>
      <c r="DU92" s="30" t="str">
        <f t="shared" ref="DU92:DU94" si="1119">IF(AO92="","","|n"&amp;DU$2&amp;"+"&amp;AO92&amp;DU$1)</f>
        <v/>
      </c>
      <c r="DV92" s="30" t="str">
        <f t="shared" ref="DV92:DV94" si="1120">IF(AP92="","","|n"&amp;DV$2&amp;"+"&amp;AP92&amp;DV$1)</f>
        <v/>
      </c>
      <c r="DW92" s="30" t="str">
        <f t="shared" ref="DW92:DW94" si="1121">IF(AQ92="","","|n"&amp;DW$2&amp;"+"&amp;AQ92&amp;DW$1)</f>
        <v/>
      </c>
      <c r="DX92" s="30" t="str">
        <f t="shared" ref="DX92:DX94" si="1122">IF(AR92="","","|n"&amp;DX$2&amp;"+"&amp;AR92&amp;DX$1)</f>
        <v/>
      </c>
      <c r="DY92" s="30" t="str">
        <f t="shared" ref="DY92:DY94" si="1123">IF(AS92="","","|n"&amp;DY$2&amp;"+"&amp;AS92&amp;DY$1)</f>
        <v/>
      </c>
      <c r="DZ92" s="30" t="str">
        <f t="shared" ref="DZ92:DZ94" si="1124">IF(AT92="","","|n"&amp;DZ$2&amp;"+"&amp;AT92&amp;DZ$1)</f>
        <v/>
      </c>
      <c r="EA92" s="30" t="str">
        <f t="shared" ref="EA92:EA94" si="1125">IF(AU92="","","|n"&amp;EA$2&amp;"+"&amp;AU92&amp;EA$1)</f>
        <v/>
      </c>
      <c r="EB92" s="30" t="str">
        <f t="shared" ref="EB92:EB94" si="1126">IF(AV92="","","|n"&amp;EB$2&amp;"+"&amp;AV92&amp;EB$1)</f>
        <v/>
      </c>
      <c r="EC92" s="30" t="str">
        <f t="shared" ref="EC92:EC94" si="1127">IF(AW92="","","|n"&amp;EC$2&amp;"+"&amp;AW92&amp;EC$1)</f>
        <v/>
      </c>
      <c r="ED92" s="30" t="str">
        <f t="shared" ref="ED92:ED94" si="1128">IF(AX92="","","|n"&amp;ED$2&amp;"+"&amp;AX92&amp;ED$1)</f>
        <v/>
      </c>
      <c r="EE92" s="30" t="str">
        <f t="shared" ref="EE92:EE94" si="1129">IF(AY92="","","|n"&amp;EE$2&amp;"+"&amp;AY92&amp;EE$1)</f>
        <v/>
      </c>
      <c r="EF92" s="30" t="str">
        <f t="shared" ref="EF92:EF94" si="1130">IF(AZ92="","","|n"&amp;EF$2&amp;"+"&amp;AZ92&amp;EF$1)</f>
        <v/>
      </c>
      <c r="EG92" s="30" t="str">
        <f t="shared" ref="EG92:EG94" si="1131">IF(BA92="","","|n"&amp;EG$2&amp;"+"&amp;BA92&amp;EG$1)</f>
        <v/>
      </c>
      <c r="EH92" s="30" t="str">
        <f t="shared" ref="EH92:EH94" si="1132">IF(BB92="","","|n"&amp;EH$2&amp;"+"&amp;BB92&amp;EH$1)</f>
        <v/>
      </c>
      <c r="EI92" s="30" t="str">
        <f t="shared" ref="EI92:EI94" si="1133">IF(BC92="","","|n"&amp;EI$2&amp;"+"&amp;BC92&amp;EI$1)</f>
        <v/>
      </c>
      <c r="EJ92" s="30" t="str">
        <f t="shared" ref="EJ92:EJ94" si="1134">IF(BD92="","","|n"&amp;EJ$2&amp;"+"&amp;BD92&amp;EJ$1)</f>
        <v/>
      </c>
      <c r="EK92" s="30" t="str">
        <f t="shared" ref="EK92:EK94" si="1135">IF(BE92="","","|n"&amp;EK$2&amp;"+"&amp;BE92&amp;EK$1)</f>
        <v/>
      </c>
      <c r="EL92" s="30" t="str">
        <f t="shared" ref="EL92:EL94" si="1136">IF(BF92="","","|n"&amp;EL$2&amp;"+"&amp;BF92&amp;EL$1)</f>
        <v/>
      </c>
      <c r="EM92" s="30" t="str">
        <f t="shared" ref="EM92:EM94" si="1137">IF(BG92="","","|n"&amp;EM$2&amp;"+"&amp;BG92&amp;EM$1)</f>
        <v/>
      </c>
      <c r="EN92" s="30" t="str">
        <f t="shared" ref="EN92:EN94" si="1138">IF(BH92="","","|n"&amp;EN$2&amp;"+"&amp;BH92&amp;EN$1)</f>
        <v/>
      </c>
      <c r="EO92" s="30" t="str">
        <f t="shared" ref="EO92:EO94" si="1139">IF(BI92="","","|n"&amp;EO$2&amp;"+"&amp;BI92&amp;EO$1)</f>
        <v/>
      </c>
      <c r="EP92" s="30" t="str">
        <f t="shared" ref="EP92:EP94" si="1140">IF(BJ92="","","|n"&amp;EP$2&amp;"+"&amp;BJ92&amp;EP$1)</f>
        <v/>
      </c>
      <c r="EQ92" s="30" t="str">
        <f t="shared" ref="EQ92:EQ94" si="1141">IF(BK92="","","|n"&amp;EQ$2&amp;"+"&amp;BK92&amp;EQ$1)</f>
        <v/>
      </c>
      <c r="ER92" s="30" t="str">
        <f t="shared" ref="ER92:ER94" si="1142">IF(BL92="","","|n"&amp;ER$2&amp;"+"&amp;BL92&amp;ER$1)</f>
        <v/>
      </c>
      <c r="ES92" s="30" t="str">
        <f t="shared" ref="ES92:ES94" si="1143">IF(BM92="","","|n"&amp;ES$2&amp;"+"&amp;BM92&amp;ES$1)</f>
        <v/>
      </c>
      <c r="ET92" s="30" t="str">
        <f t="shared" ref="ET92:ET94" si="1144">IF(BN92="","","|n"&amp;ET$2&amp;"+"&amp;BN92&amp;ET$1)</f>
        <v/>
      </c>
      <c r="EU92" s="30" t="str">
        <f t="shared" ref="EU92:EU94" si="1145">IF(BO92="","","|n"&amp;EU$2&amp;"+"&amp;BO92&amp;EU$1)</f>
        <v/>
      </c>
      <c r="EV92" s="30" t="str">
        <f t="shared" ref="EV92:EV94" si="1146">IF(BP92="","","|n"&amp;EV$2&amp;"+"&amp;BP92&amp;EV$1)</f>
        <v/>
      </c>
      <c r="EW92" s="30" t="str">
        <f t="shared" ref="EW92:EW94" si="1147">IF(BQ92="","","|n"&amp;EW$2&amp;"+"&amp;BQ92&amp;EW$1)</f>
        <v/>
      </c>
      <c r="EX92" s="30" t="str">
        <f t="shared" ref="EX92:EX94" si="1148">IF(BR92="","","|n"&amp;EX$2&amp;"+"&amp;BR92&amp;EX$1)</f>
        <v/>
      </c>
      <c r="EY92" s="30" t="str">
        <f t="shared" ref="EY92:EY94" si="1149">IF(BS92="","","|n"&amp;EY$2&amp;"+"&amp;BS92&amp;EY$1)</f>
        <v/>
      </c>
      <c r="EZ92" s="30" t="str">
        <f t="shared" ref="EZ92:EZ94" si="1150">IF(BT92="","","|n"&amp;EZ$2&amp;"+"&amp;BT92&amp;EZ$1)</f>
        <v/>
      </c>
      <c r="FA92" s="30" t="str">
        <f t="shared" ref="FA92:FA94" si="1151">IF(BU92="","","|n"&amp;FA$2&amp;"+"&amp;BU92&amp;FA$1)</f>
        <v/>
      </c>
      <c r="FB92" s="30" t="str">
        <f t="shared" ref="FB92:FB94" si="1152">IF(BV92="","","|n"&amp;FB$2&amp;"+"&amp;BV92&amp;FB$1)</f>
        <v/>
      </c>
      <c r="FC92" s="30" t="str">
        <f t="shared" ref="FC92:FC94" si="1153">IF(BW92="","","|n"&amp;FC$2&amp;"+"&amp;BW92&amp;FC$1)</f>
        <v/>
      </c>
      <c r="FD92" s="30" t="str">
        <f t="shared" ref="FD92:FD94" si="1154">IF(BX92="","","|n"&amp;FD$2&amp;"+"&amp;BX92&amp;FD$1)</f>
        <v/>
      </c>
      <c r="FE92" s="30" t="str">
        <f t="shared" ref="FE92:FE94" si="1155">IF(BY92="","","|n"&amp;FE$2&amp;"+"&amp;BY92&amp;FE$1)</f>
        <v/>
      </c>
      <c r="FF92" s="30" t="str">
        <f t="shared" ref="FF92:FF94" si="1156">IF(BZ92="","","|n"&amp;FF$2&amp;"+"&amp;BZ92&amp;FF$1)</f>
        <v/>
      </c>
      <c r="FG92" s="30" t="str">
        <f t="shared" ref="FG92:FG94" si="1157">IF(CA92="","","|n"&amp;FG$2&amp;"+"&amp;CA92&amp;FG$1)</f>
        <v/>
      </c>
      <c r="FH92" s="30" t="str">
        <f t="shared" ref="FH92:FH94" si="1158">IF(CB92="","","|n"&amp;FH$2&amp;"+"&amp;CB92&amp;FH$1)</f>
        <v/>
      </c>
      <c r="FI92" s="30" t="str">
        <f t="shared" ref="FI92:FI94" si="1159">IF(CC92="","","|n"&amp;FI$2&amp;"+"&amp;CC92&amp;FI$1)</f>
        <v/>
      </c>
      <c r="FJ92" s="30" t="str">
        <f t="shared" ref="FJ92:FJ94" si="1160">IF(CD92="","","|n"&amp;FJ$2&amp;"+"&amp;CD92&amp;FJ$1)</f>
        <v/>
      </c>
      <c r="FK92" s="30" t="str">
        <f t="shared" ref="FK92:FK94" si="1161">IF(CE92="","","|n"&amp;FK$2&amp;"+"&amp;CE92&amp;FK$1)</f>
        <v/>
      </c>
      <c r="FL92" s="30" t="str">
        <f t="shared" ref="FL92:FL94" si="1162">IF(CF92="","","|n"&amp;FL$2&amp;"+"&amp;CF92&amp;FL$1)</f>
        <v/>
      </c>
      <c r="FM92" s="30" t="str">
        <f t="shared" ref="FM92:FM94" si="1163">IF(CG92="","","|n"&amp;FM$2&amp;"+"&amp;CG92&amp;FM$1)</f>
        <v/>
      </c>
      <c r="FN92" s="30" t="str">
        <f t="shared" ref="FN92:FN94" si="1164">IF(CH92="","","|n"&amp;FN$2&amp;"+"&amp;CH92&amp;FN$1)</f>
        <v/>
      </c>
      <c r="FO92" s="30" t="str">
        <f t="shared" ref="FO92:FO94" si="1165">IF(CI92="","","|n"&amp;FO$2&amp;"+"&amp;CI92&amp;FO$1)</f>
        <v/>
      </c>
      <c r="FP92" s="30" t="str">
        <f t="shared" ref="FP92:FP94" si="1166">IF(CJ92="","","|n"&amp;FP$2&amp;"+"&amp;CJ92&amp;FP$1)</f>
        <v/>
      </c>
      <c r="FQ92" s="30" t="str">
        <f t="shared" ref="FQ92:FQ94" si="1167">IF(CK92="","","|n"&amp;FQ$2&amp;"+"&amp;CK92&amp;FQ$1)</f>
        <v/>
      </c>
      <c r="FR92" s="30" t="str">
        <f t="shared" ref="FR92:FR94" si="1168">IF(CL92="","","|n"&amp;FR$2&amp;"+"&amp;CL92&amp;FR$1)</f>
        <v/>
      </c>
      <c r="FS92" s="30" t="str">
        <f t="shared" ref="FS92:FS94" si="1169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44"/>
        <v>ReplaceableTextures\\CommandButtons\\BTNCF01.blp</v>
      </c>
      <c r="CN93" s="7" t="str">
        <f t="shared" si="950"/>
        <v>InitUnitState('CF01',,,,,,,,,,)</v>
      </c>
      <c r="CO93" s="7" t="str">
        <f t="shared" si="951"/>
        <v>InitUnitNormal('CF01',,,,,,,,,,)</v>
      </c>
      <c r="CP93" s="7" t="str">
        <f t="shared" si="952"/>
        <v>InitUnitMagic('CF01',,,,,,,,,,)</v>
      </c>
      <c r="CQ93" s="7" t="str">
        <f t="shared" si="953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098"/>
        <v>|n</v>
      </c>
      <c r="CV93" s="29" t="str">
        <f t="shared" si="1099"/>
        <v>随机法宝</v>
      </c>
      <c r="CW93" s="24"/>
      <c r="CX93" s="24"/>
      <c r="CY93" s="24"/>
      <c r="CZ93" s="24"/>
      <c r="DA93" s="24"/>
      <c r="DB93" s="30" t="str">
        <f t="shared" si="1100"/>
        <v/>
      </c>
      <c r="DC93" s="30" t="str">
        <f t="shared" si="1101"/>
        <v/>
      </c>
      <c r="DD93" s="30" t="str">
        <f t="shared" si="1102"/>
        <v/>
      </c>
      <c r="DE93" s="30" t="str">
        <f t="shared" si="1103"/>
        <v/>
      </c>
      <c r="DF93" s="30" t="str">
        <f t="shared" si="1104"/>
        <v/>
      </c>
      <c r="DG93" s="30" t="str">
        <f t="shared" si="1105"/>
        <v/>
      </c>
      <c r="DH93" s="30" t="str">
        <f t="shared" si="1106"/>
        <v/>
      </c>
      <c r="DI93" s="30" t="str">
        <f t="shared" si="1107"/>
        <v/>
      </c>
      <c r="DJ93" s="30" t="str">
        <f t="shared" si="1108"/>
        <v/>
      </c>
      <c r="DK93" s="30" t="str">
        <f t="shared" si="1109"/>
        <v/>
      </c>
      <c r="DL93" s="30" t="str">
        <f t="shared" si="1110"/>
        <v/>
      </c>
      <c r="DM93" s="30" t="str">
        <f t="shared" si="1111"/>
        <v/>
      </c>
      <c r="DN93" s="30" t="str">
        <f t="shared" si="1112"/>
        <v/>
      </c>
      <c r="DO93" s="30" t="str">
        <f t="shared" si="1113"/>
        <v/>
      </c>
      <c r="DP93" s="30" t="str">
        <f t="shared" si="1114"/>
        <v/>
      </c>
      <c r="DQ93" s="30" t="str">
        <f t="shared" si="1115"/>
        <v/>
      </c>
      <c r="DR93" s="30" t="str">
        <f t="shared" si="1116"/>
        <v/>
      </c>
      <c r="DS93" s="30" t="str">
        <f t="shared" si="1117"/>
        <v/>
      </c>
      <c r="DT93" s="30" t="str">
        <f t="shared" si="1118"/>
        <v/>
      </c>
      <c r="DU93" s="30" t="str">
        <f t="shared" si="1119"/>
        <v/>
      </c>
      <c r="DV93" s="30" t="str">
        <f t="shared" si="1120"/>
        <v/>
      </c>
      <c r="DW93" s="30" t="str">
        <f t="shared" si="1121"/>
        <v/>
      </c>
      <c r="DX93" s="30" t="str">
        <f t="shared" si="1122"/>
        <v/>
      </c>
      <c r="DY93" s="30" t="str">
        <f t="shared" si="1123"/>
        <v/>
      </c>
      <c r="DZ93" s="30" t="str">
        <f t="shared" si="1124"/>
        <v/>
      </c>
      <c r="EA93" s="30" t="str">
        <f t="shared" si="1125"/>
        <v/>
      </c>
      <c r="EB93" s="30" t="str">
        <f t="shared" si="1126"/>
        <v/>
      </c>
      <c r="EC93" s="30" t="str">
        <f t="shared" si="1127"/>
        <v/>
      </c>
      <c r="ED93" s="30" t="str">
        <f t="shared" si="1128"/>
        <v/>
      </c>
      <c r="EE93" s="30" t="str">
        <f t="shared" si="1129"/>
        <v/>
      </c>
      <c r="EF93" s="30" t="str">
        <f t="shared" si="1130"/>
        <v/>
      </c>
      <c r="EG93" s="30" t="str">
        <f t="shared" si="1131"/>
        <v/>
      </c>
      <c r="EH93" s="30" t="str">
        <f t="shared" si="1132"/>
        <v/>
      </c>
      <c r="EI93" s="30" t="str">
        <f t="shared" si="1133"/>
        <v/>
      </c>
      <c r="EJ93" s="30" t="str">
        <f t="shared" si="1134"/>
        <v/>
      </c>
      <c r="EK93" s="30" t="str">
        <f t="shared" si="1135"/>
        <v/>
      </c>
      <c r="EL93" s="30" t="str">
        <f t="shared" si="1136"/>
        <v/>
      </c>
      <c r="EM93" s="30" t="str">
        <f t="shared" si="1137"/>
        <v/>
      </c>
      <c r="EN93" s="30" t="str">
        <f t="shared" si="1138"/>
        <v/>
      </c>
      <c r="EO93" s="30" t="str">
        <f t="shared" si="1139"/>
        <v/>
      </c>
      <c r="EP93" s="30" t="str">
        <f t="shared" si="1140"/>
        <v/>
      </c>
      <c r="EQ93" s="30" t="str">
        <f t="shared" si="1141"/>
        <v/>
      </c>
      <c r="ER93" s="30" t="str">
        <f t="shared" si="1142"/>
        <v/>
      </c>
      <c r="ES93" s="30" t="str">
        <f t="shared" si="1143"/>
        <v/>
      </c>
      <c r="ET93" s="30" t="str">
        <f t="shared" si="1144"/>
        <v/>
      </c>
      <c r="EU93" s="30" t="str">
        <f t="shared" si="1145"/>
        <v/>
      </c>
      <c r="EV93" s="30" t="str">
        <f t="shared" si="1146"/>
        <v/>
      </c>
      <c r="EW93" s="30" t="str">
        <f t="shared" si="1147"/>
        <v/>
      </c>
      <c r="EX93" s="30" t="str">
        <f t="shared" si="1148"/>
        <v/>
      </c>
      <c r="EY93" s="30" t="str">
        <f t="shared" si="1149"/>
        <v/>
      </c>
      <c r="EZ93" s="30" t="str">
        <f t="shared" si="1150"/>
        <v/>
      </c>
      <c r="FA93" s="30" t="str">
        <f t="shared" si="1151"/>
        <v/>
      </c>
      <c r="FB93" s="30" t="str">
        <f t="shared" si="1152"/>
        <v/>
      </c>
      <c r="FC93" s="30" t="str">
        <f t="shared" si="1153"/>
        <v/>
      </c>
      <c r="FD93" s="30" t="str">
        <f t="shared" si="1154"/>
        <v/>
      </c>
      <c r="FE93" s="30" t="str">
        <f t="shared" si="1155"/>
        <v/>
      </c>
      <c r="FF93" s="30" t="str">
        <f t="shared" si="1156"/>
        <v/>
      </c>
      <c r="FG93" s="30" t="str">
        <f t="shared" si="1157"/>
        <v/>
      </c>
      <c r="FH93" s="30" t="str">
        <f t="shared" si="1158"/>
        <v/>
      </c>
      <c r="FI93" s="30" t="str">
        <f t="shared" si="1159"/>
        <v/>
      </c>
      <c r="FJ93" s="30" t="str">
        <f t="shared" si="1160"/>
        <v/>
      </c>
      <c r="FK93" s="30" t="str">
        <f t="shared" si="1161"/>
        <v/>
      </c>
      <c r="FL93" s="30" t="str">
        <f t="shared" si="1162"/>
        <v/>
      </c>
      <c r="FM93" s="30" t="str">
        <f t="shared" si="1163"/>
        <v/>
      </c>
      <c r="FN93" s="30" t="str">
        <f t="shared" si="1164"/>
        <v/>
      </c>
      <c r="FO93" s="30" t="str">
        <f t="shared" si="1165"/>
        <v/>
      </c>
      <c r="FP93" s="30" t="str">
        <f t="shared" si="1166"/>
        <v/>
      </c>
      <c r="FQ93" s="30" t="str">
        <f t="shared" si="1167"/>
        <v/>
      </c>
      <c r="FR93" s="30" t="str">
        <f t="shared" si="1168"/>
        <v/>
      </c>
      <c r="FS93" s="30" t="str">
        <f t="shared" si="1169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44"/>
        <v>ReplaceableTextures\\CommandButtons\\BTNI001.blp</v>
      </c>
      <c r="CN94" s="7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45" t="str">
        <f t="shared" si="1098"/>
        <v>|n</v>
      </c>
      <c r="CV94" s="29" t="str">
        <f t="shared" si="1099"/>
        <v>回复80%生命，解除异常状态</v>
      </c>
      <c r="CW94" s="24"/>
      <c r="CX94" s="24"/>
      <c r="CY94" s="24"/>
      <c r="CZ94" s="24"/>
      <c r="DA94" s="24"/>
      <c r="DB94" s="30" t="str">
        <f t="shared" si="1100"/>
        <v/>
      </c>
      <c r="DC94" s="30" t="str">
        <f t="shared" si="1101"/>
        <v/>
      </c>
      <c r="DD94" s="30" t="str">
        <f t="shared" si="1102"/>
        <v/>
      </c>
      <c r="DE94" s="30" t="str">
        <f t="shared" si="1103"/>
        <v/>
      </c>
      <c r="DF94" s="30" t="str">
        <f t="shared" si="1104"/>
        <v/>
      </c>
      <c r="DG94" s="30" t="str">
        <f t="shared" si="1105"/>
        <v/>
      </c>
      <c r="DH94" s="30" t="str">
        <f t="shared" si="1106"/>
        <v/>
      </c>
      <c r="DI94" s="30" t="str">
        <f t="shared" si="1107"/>
        <v/>
      </c>
      <c r="DJ94" s="30" t="str">
        <f t="shared" si="1108"/>
        <v/>
      </c>
      <c r="DK94" s="30" t="str">
        <f t="shared" si="1109"/>
        <v/>
      </c>
      <c r="DL94" s="30" t="str">
        <f t="shared" si="1110"/>
        <v/>
      </c>
      <c r="DM94" s="30" t="str">
        <f t="shared" si="1111"/>
        <v/>
      </c>
      <c r="DN94" s="30" t="str">
        <f t="shared" si="1112"/>
        <v/>
      </c>
      <c r="DO94" s="30" t="str">
        <f t="shared" si="1113"/>
        <v/>
      </c>
      <c r="DP94" s="30" t="str">
        <f t="shared" si="1114"/>
        <v/>
      </c>
      <c r="DQ94" s="30" t="str">
        <f t="shared" si="1115"/>
        <v/>
      </c>
      <c r="DR94" s="30" t="str">
        <f t="shared" si="1116"/>
        <v/>
      </c>
      <c r="DS94" s="30" t="str">
        <f t="shared" si="1117"/>
        <v/>
      </c>
      <c r="DT94" s="30" t="str">
        <f t="shared" si="1118"/>
        <v/>
      </c>
      <c r="DU94" s="30" t="str">
        <f t="shared" si="1119"/>
        <v/>
      </c>
      <c r="DV94" s="30" t="str">
        <f t="shared" si="1120"/>
        <v/>
      </c>
      <c r="DW94" s="30" t="str">
        <f t="shared" si="1121"/>
        <v/>
      </c>
      <c r="DX94" s="30" t="str">
        <f t="shared" si="1122"/>
        <v/>
      </c>
      <c r="DY94" s="30" t="str">
        <f t="shared" si="1123"/>
        <v/>
      </c>
      <c r="DZ94" s="30" t="str">
        <f t="shared" si="1124"/>
        <v/>
      </c>
      <c r="EA94" s="30" t="str">
        <f t="shared" si="1125"/>
        <v/>
      </c>
      <c r="EB94" s="30" t="str">
        <f t="shared" si="1126"/>
        <v/>
      </c>
      <c r="EC94" s="30" t="str">
        <f t="shared" si="1127"/>
        <v/>
      </c>
      <c r="ED94" s="30" t="str">
        <f t="shared" si="1128"/>
        <v/>
      </c>
      <c r="EE94" s="30" t="str">
        <f t="shared" si="1129"/>
        <v/>
      </c>
      <c r="EF94" s="30" t="str">
        <f t="shared" si="1130"/>
        <v/>
      </c>
      <c r="EG94" s="30" t="str">
        <f t="shared" si="1131"/>
        <v/>
      </c>
      <c r="EH94" s="30" t="str">
        <f t="shared" si="1132"/>
        <v/>
      </c>
      <c r="EI94" s="30" t="str">
        <f t="shared" si="1133"/>
        <v/>
      </c>
      <c r="EJ94" s="30" t="str">
        <f t="shared" si="1134"/>
        <v/>
      </c>
      <c r="EK94" s="30" t="str">
        <f t="shared" si="1135"/>
        <v/>
      </c>
      <c r="EL94" s="30" t="str">
        <f t="shared" si="1136"/>
        <v/>
      </c>
      <c r="EM94" s="30" t="str">
        <f t="shared" si="1137"/>
        <v/>
      </c>
      <c r="EN94" s="30" t="str">
        <f t="shared" si="1138"/>
        <v/>
      </c>
      <c r="EO94" s="30" t="str">
        <f t="shared" si="1139"/>
        <v/>
      </c>
      <c r="EP94" s="30" t="str">
        <f t="shared" si="1140"/>
        <v/>
      </c>
      <c r="EQ94" s="30" t="str">
        <f t="shared" si="1141"/>
        <v/>
      </c>
      <c r="ER94" s="30" t="str">
        <f t="shared" si="1142"/>
        <v/>
      </c>
      <c r="ES94" s="30" t="str">
        <f t="shared" si="1143"/>
        <v/>
      </c>
      <c r="ET94" s="30" t="str">
        <f t="shared" si="1144"/>
        <v/>
      </c>
      <c r="EU94" s="30" t="str">
        <f t="shared" si="1145"/>
        <v/>
      </c>
      <c r="EV94" s="30" t="str">
        <f t="shared" si="1146"/>
        <v/>
      </c>
      <c r="EW94" s="30" t="str">
        <f t="shared" si="1147"/>
        <v/>
      </c>
      <c r="EX94" s="30" t="str">
        <f t="shared" si="1148"/>
        <v/>
      </c>
      <c r="EY94" s="30" t="str">
        <f t="shared" si="1149"/>
        <v/>
      </c>
      <c r="EZ94" s="30" t="str">
        <f t="shared" si="1150"/>
        <v/>
      </c>
      <c r="FA94" s="30" t="str">
        <f t="shared" si="1151"/>
        <v/>
      </c>
      <c r="FB94" s="30" t="str">
        <f t="shared" si="1152"/>
        <v/>
      </c>
      <c r="FC94" s="30" t="str">
        <f t="shared" si="1153"/>
        <v/>
      </c>
      <c r="FD94" s="30" t="str">
        <f t="shared" si="1154"/>
        <v/>
      </c>
      <c r="FE94" s="30" t="str">
        <f t="shared" si="1155"/>
        <v/>
      </c>
      <c r="FF94" s="30" t="str">
        <f t="shared" si="1156"/>
        <v/>
      </c>
      <c r="FG94" s="30" t="str">
        <f t="shared" si="1157"/>
        <v/>
      </c>
      <c r="FH94" s="30" t="str">
        <f t="shared" si="1158"/>
        <v/>
      </c>
      <c r="FI94" s="30" t="str">
        <f t="shared" si="1159"/>
        <v/>
      </c>
      <c r="FJ94" s="30" t="str">
        <f t="shared" si="1160"/>
        <v/>
      </c>
      <c r="FK94" s="30" t="str">
        <f t="shared" si="1161"/>
        <v/>
      </c>
      <c r="FL94" s="30" t="str">
        <f t="shared" si="1162"/>
        <v/>
      </c>
      <c r="FM94" s="30" t="str">
        <f t="shared" si="1163"/>
        <v/>
      </c>
      <c r="FN94" s="30" t="str">
        <f t="shared" si="1164"/>
        <v/>
      </c>
      <c r="FO94" s="30" t="str">
        <f t="shared" si="1165"/>
        <v/>
      </c>
      <c r="FP94" s="30" t="str">
        <f t="shared" si="1166"/>
        <v/>
      </c>
      <c r="FQ94" s="30" t="str">
        <f t="shared" si="1167"/>
        <v/>
      </c>
      <c r="FR94" s="30" t="str">
        <f t="shared" si="1168"/>
        <v/>
      </c>
      <c r="FS94" s="30" t="str">
        <f t="shared" si="1169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44"/>
        <v>ReplaceableTextures\\CommandButtons\\BTNI002.blp</v>
      </c>
      <c r="CN95" s="7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45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79">T95</f>
        <v>回复70%蓝量</v>
      </c>
      <c r="CW95" s="24"/>
      <c r="CX95" s="24"/>
      <c r="CY95" s="24"/>
      <c r="CZ95" s="24"/>
      <c r="DA95" s="24"/>
      <c r="DB95" s="30" t="str">
        <f t="shared" ref="DB95:DB96" si="1180">IF(V95="","","|n"&amp;DB$2&amp;"+"&amp;V95&amp;DB$1)</f>
        <v/>
      </c>
      <c r="DC95" s="30" t="str">
        <f t="shared" ref="DC95:DC96" si="1181">IF(W95="","","|n"&amp;DC$2&amp;"+"&amp;W95&amp;DC$1)</f>
        <v/>
      </c>
      <c r="DD95" s="30" t="str">
        <f t="shared" ref="DD95:DD96" si="1182">IF(X95="","","|n"&amp;DD$2&amp;"+"&amp;X95&amp;DD$1)</f>
        <v/>
      </c>
      <c r="DE95" s="30" t="str">
        <f t="shared" ref="DE95:DE96" si="1183">IF(Y95="","","|n"&amp;DE$2&amp;"+"&amp;Y95&amp;DE$1)</f>
        <v/>
      </c>
      <c r="DF95" s="30" t="str">
        <f t="shared" ref="DF95:DF96" si="1184">IF(Z95="","","|n"&amp;DF$2&amp;"+"&amp;Z95&amp;DF$1)</f>
        <v/>
      </c>
      <c r="DG95" s="30" t="str">
        <f t="shared" ref="DG95:DG96" si="1185">IF(AA95="","","|n"&amp;DG$2&amp;"+"&amp;AA95&amp;DG$1)</f>
        <v/>
      </c>
      <c r="DH95" s="30" t="str">
        <f t="shared" ref="DH95:DH96" si="1186">IF(AB95="","","|n"&amp;DH$2&amp;"+"&amp;AB95&amp;DH$1)</f>
        <v/>
      </c>
      <c r="DI95" s="30" t="str">
        <f t="shared" ref="DI95:DI96" si="1187">IF(AC95="","","|n"&amp;DI$2&amp;"+"&amp;AC95&amp;DI$1)</f>
        <v/>
      </c>
      <c r="DJ95" s="30" t="str">
        <f t="shared" ref="DJ95:DJ96" si="1188">IF(AD95="","","|n"&amp;DJ$2&amp;"+"&amp;AD95&amp;DJ$1)</f>
        <v/>
      </c>
      <c r="DK95" s="30" t="str">
        <f t="shared" ref="DK95:DK96" si="1189">IF(AE95="","","|n"&amp;DK$2&amp;"+"&amp;AE95&amp;DK$1)</f>
        <v/>
      </c>
      <c r="DL95" s="30" t="str">
        <f t="shared" ref="DL95:DL96" si="1190">IF(AF95="","","|n"&amp;DL$2&amp;"+"&amp;AF95&amp;DL$1)</f>
        <v/>
      </c>
      <c r="DM95" s="30" t="str">
        <f t="shared" ref="DM95:DM96" si="1191">IF(AG95="","","|n"&amp;DM$2&amp;"+"&amp;AG95&amp;DM$1)</f>
        <v/>
      </c>
      <c r="DN95" s="30" t="str">
        <f t="shared" ref="DN95:DN96" si="1192">IF(AH95="","","|n"&amp;DN$2&amp;"+"&amp;AH95&amp;DN$1)</f>
        <v/>
      </c>
      <c r="DO95" s="30" t="str">
        <f t="shared" ref="DO95:DO96" si="1193">IF(AI95="","","|n"&amp;DO$2&amp;"+"&amp;AI95&amp;DO$1)</f>
        <v/>
      </c>
      <c r="DP95" s="30" t="str">
        <f t="shared" ref="DP95:DP96" si="1194">IF(AJ95="","","|n"&amp;DP$2&amp;"+"&amp;AJ95&amp;DP$1)</f>
        <v/>
      </c>
      <c r="DQ95" s="30" t="str">
        <f t="shared" ref="DQ95:DQ96" si="1195">IF(AK95="","","|n"&amp;DQ$2&amp;"+"&amp;AK95&amp;DQ$1)</f>
        <v/>
      </c>
      <c r="DR95" s="30" t="str">
        <f t="shared" ref="DR95:DR96" si="1196">IF(AL95="","","|n"&amp;DR$2&amp;"+"&amp;AL95&amp;DR$1)</f>
        <v/>
      </c>
      <c r="DS95" s="30" t="str">
        <f t="shared" ref="DS95:DS96" si="1197">IF(AM95="","","|n"&amp;DS$2&amp;"+"&amp;AM95&amp;DS$1)</f>
        <v/>
      </c>
      <c r="DT95" s="30" t="str">
        <f t="shared" ref="DT95:DT96" si="1198">IF(AN95="","","|n"&amp;DT$2&amp;"+"&amp;AN95&amp;DT$1)</f>
        <v/>
      </c>
      <c r="DU95" s="30" t="str">
        <f t="shared" ref="DU95:DU96" si="1199">IF(AO95="","","|n"&amp;DU$2&amp;"+"&amp;AO95&amp;DU$1)</f>
        <v/>
      </c>
      <c r="DV95" s="30" t="str">
        <f t="shared" ref="DV95:DV96" si="1200">IF(AP95="","","|n"&amp;DV$2&amp;"+"&amp;AP95&amp;DV$1)</f>
        <v/>
      </c>
      <c r="DW95" s="30" t="str">
        <f t="shared" ref="DW95:DW96" si="1201">IF(AQ95="","","|n"&amp;DW$2&amp;"+"&amp;AQ95&amp;DW$1)</f>
        <v/>
      </c>
      <c r="DX95" s="30" t="str">
        <f t="shared" ref="DX95:DX96" si="1202">IF(AR95="","","|n"&amp;DX$2&amp;"+"&amp;AR95&amp;DX$1)</f>
        <v/>
      </c>
      <c r="DY95" s="30" t="str">
        <f t="shared" ref="DY95:DY96" si="1203">IF(AS95="","","|n"&amp;DY$2&amp;"+"&amp;AS95&amp;DY$1)</f>
        <v/>
      </c>
      <c r="DZ95" s="30" t="str">
        <f t="shared" ref="DZ95:DZ96" si="1204">IF(AT95="","","|n"&amp;DZ$2&amp;"+"&amp;AT95&amp;DZ$1)</f>
        <v/>
      </c>
      <c r="EA95" s="30" t="str">
        <f t="shared" ref="EA95:EA96" si="1205">IF(AU95="","","|n"&amp;EA$2&amp;"+"&amp;AU95&amp;EA$1)</f>
        <v/>
      </c>
      <c r="EB95" s="30" t="str">
        <f t="shared" ref="EB95:EB96" si="1206">IF(AV95="","","|n"&amp;EB$2&amp;"+"&amp;AV95&amp;EB$1)</f>
        <v/>
      </c>
      <c r="EC95" s="30" t="str">
        <f t="shared" ref="EC95:EC96" si="1207">IF(AW95="","","|n"&amp;EC$2&amp;"+"&amp;AW95&amp;EC$1)</f>
        <v/>
      </c>
      <c r="ED95" s="30" t="str">
        <f t="shared" ref="ED95:ED96" si="1208">IF(AX95="","","|n"&amp;ED$2&amp;"+"&amp;AX95&amp;ED$1)</f>
        <v/>
      </c>
      <c r="EE95" s="30" t="str">
        <f t="shared" ref="EE95:EE96" si="1209">IF(AY95="","","|n"&amp;EE$2&amp;"+"&amp;AY95&amp;EE$1)</f>
        <v/>
      </c>
      <c r="EF95" s="30" t="str">
        <f t="shared" ref="EF95:EF96" si="1210">IF(AZ95="","","|n"&amp;EF$2&amp;"+"&amp;AZ95&amp;EF$1)</f>
        <v/>
      </c>
      <c r="EG95" s="30" t="str">
        <f t="shared" ref="EG95:EG96" si="1211">IF(BA95="","","|n"&amp;EG$2&amp;"+"&amp;BA95&amp;EG$1)</f>
        <v/>
      </c>
      <c r="EH95" s="30" t="str">
        <f t="shared" ref="EH95:EH96" si="1212">IF(BB95="","","|n"&amp;EH$2&amp;"+"&amp;BB95&amp;EH$1)</f>
        <v/>
      </c>
      <c r="EI95" s="30" t="str">
        <f t="shared" ref="EI95:EI96" si="1213">IF(BC95="","","|n"&amp;EI$2&amp;"+"&amp;BC95&amp;EI$1)</f>
        <v/>
      </c>
      <c r="EJ95" s="30" t="str">
        <f t="shared" ref="EJ95:EJ96" si="1214">IF(BD95="","","|n"&amp;EJ$2&amp;"+"&amp;BD95&amp;EJ$1)</f>
        <v/>
      </c>
      <c r="EK95" s="30" t="str">
        <f t="shared" ref="EK95:EK96" si="1215">IF(BE95="","","|n"&amp;EK$2&amp;"+"&amp;BE95&amp;EK$1)</f>
        <v/>
      </c>
      <c r="EL95" s="30" t="str">
        <f t="shared" ref="EL95:EL96" si="1216">IF(BF95="","","|n"&amp;EL$2&amp;"+"&amp;BF95&amp;EL$1)</f>
        <v/>
      </c>
      <c r="EM95" s="30" t="str">
        <f t="shared" ref="EM95:EM96" si="1217">IF(BG95="","","|n"&amp;EM$2&amp;"+"&amp;BG95&amp;EM$1)</f>
        <v/>
      </c>
      <c r="EN95" s="30" t="str">
        <f t="shared" ref="EN95:EN96" si="1218">IF(BH95="","","|n"&amp;EN$2&amp;"+"&amp;BH95&amp;EN$1)</f>
        <v/>
      </c>
      <c r="EO95" s="30" t="str">
        <f t="shared" ref="EO95:EO96" si="1219">IF(BI95="","","|n"&amp;EO$2&amp;"+"&amp;BI95&amp;EO$1)</f>
        <v/>
      </c>
      <c r="EP95" s="30" t="str">
        <f t="shared" ref="EP95:EP96" si="1220">IF(BJ95="","","|n"&amp;EP$2&amp;"+"&amp;BJ95&amp;EP$1)</f>
        <v/>
      </c>
      <c r="EQ95" s="30" t="str">
        <f t="shared" ref="EQ95:EQ96" si="1221">IF(BK95="","","|n"&amp;EQ$2&amp;"+"&amp;BK95&amp;EQ$1)</f>
        <v/>
      </c>
      <c r="ER95" s="30" t="str">
        <f t="shared" ref="ER95:ER96" si="1222">IF(BL95="","","|n"&amp;ER$2&amp;"+"&amp;BL95&amp;ER$1)</f>
        <v/>
      </c>
      <c r="ES95" s="30" t="str">
        <f t="shared" ref="ES95:ES96" si="1223">IF(BM95="","","|n"&amp;ES$2&amp;"+"&amp;BM95&amp;ES$1)</f>
        <v/>
      </c>
      <c r="ET95" s="30" t="str">
        <f t="shared" ref="ET95:ET96" si="1224">IF(BN95="","","|n"&amp;ET$2&amp;"+"&amp;BN95&amp;ET$1)</f>
        <v/>
      </c>
      <c r="EU95" s="30" t="str">
        <f t="shared" ref="EU95:EU96" si="1225">IF(BO95="","","|n"&amp;EU$2&amp;"+"&amp;BO95&amp;EU$1)</f>
        <v/>
      </c>
      <c r="EV95" s="30" t="str">
        <f t="shared" ref="EV95:EV96" si="1226">IF(BP95="","","|n"&amp;EV$2&amp;"+"&amp;BP95&amp;EV$1)</f>
        <v/>
      </c>
      <c r="EW95" s="30" t="str">
        <f t="shared" ref="EW95:EW96" si="1227">IF(BQ95="","","|n"&amp;EW$2&amp;"+"&amp;BQ95&amp;EW$1)</f>
        <v/>
      </c>
      <c r="EX95" s="30" t="str">
        <f t="shared" ref="EX95:EX96" si="1228">IF(BR95="","","|n"&amp;EX$2&amp;"+"&amp;BR95&amp;EX$1)</f>
        <v/>
      </c>
      <c r="EY95" s="30" t="str">
        <f t="shared" ref="EY95:EY96" si="1229">IF(BS95="","","|n"&amp;EY$2&amp;"+"&amp;BS95&amp;EY$1)</f>
        <v/>
      </c>
      <c r="EZ95" s="30" t="str">
        <f t="shared" ref="EZ95:EZ96" si="1230">IF(BT95="","","|n"&amp;EZ$2&amp;"+"&amp;BT95&amp;EZ$1)</f>
        <v/>
      </c>
      <c r="FA95" s="30" t="str">
        <f t="shared" ref="FA95:FA96" si="1231">IF(BU95="","","|n"&amp;FA$2&amp;"+"&amp;BU95&amp;FA$1)</f>
        <v/>
      </c>
      <c r="FB95" s="30" t="str">
        <f t="shared" ref="FB95:FB96" si="1232">IF(BV95="","","|n"&amp;FB$2&amp;"+"&amp;BV95&amp;FB$1)</f>
        <v/>
      </c>
      <c r="FC95" s="30" t="str">
        <f t="shared" ref="FC95:FC96" si="1233">IF(BW95="","","|n"&amp;FC$2&amp;"+"&amp;BW95&amp;FC$1)</f>
        <v/>
      </c>
      <c r="FD95" s="30" t="str">
        <f t="shared" ref="FD95:FD96" si="1234">IF(BX95="","","|n"&amp;FD$2&amp;"+"&amp;BX95&amp;FD$1)</f>
        <v/>
      </c>
      <c r="FE95" s="30" t="str">
        <f t="shared" ref="FE95:FE96" si="1235">IF(BY95="","","|n"&amp;FE$2&amp;"+"&amp;BY95&amp;FE$1)</f>
        <v/>
      </c>
      <c r="FF95" s="30" t="str">
        <f t="shared" ref="FF95:FF96" si="1236">IF(BZ95="","","|n"&amp;FF$2&amp;"+"&amp;BZ95&amp;FF$1)</f>
        <v/>
      </c>
      <c r="FG95" s="30" t="str">
        <f t="shared" ref="FG95:FG96" si="1237">IF(CA95="","","|n"&amp;FG$2&amp;"+"&amp;CA95&amp;FG$1)</f>
        <v/>
      </c>
      <c r="FH95" s="30" t="str">
        <f t="shared" ref="FH95:FH96" si="1238">IF(CB95="","","|n"&amp;FH$2&amp;"+"&amp;CB95&amp;FH$1)</f>
        <v/>
      </c>
      <c r="FI95" s="30" t="str">
        <f t="shared" ref="FI95:FI96" si="1239">IF(CC95="","","|n"&amp;FI$2&amp;"+"&amp;CC95&amp;FI$1)</f>
        <v/>
      </c>
      <c r="FJ95" s="30" t="str">
        <f t="shared" ref="FJ95:FJ96" si="1240">IF(CD95="","","|n"&amp;FJ$2&amp;"+"&amp;CD95&amp;FJ$1)</f>
        <v/>
      </c>
      <c r="FK95" s="30" t="str">
        <f t="shared" ref="FK95:FK96" si="1241">IF(CE95="","","|n"&amp;FK$2&amp;"+"&amp;CE95&amp;FK$1)</f>
        <v/>
      </c>
      <c r="FL95" s="30" t="str">
        <f t="shared" ref="FL95:FL96" si="1242">IF(CF95="","","|n"&amp;FL$2&amp;"+"&amp;CF95&amp;FL$1)</f>
        <v/>
      </c>
      <c r="FM95" s="30" t="str">
        <f t="shared" ref="FM95:FM96" si="1243">IF(CG95="","","|n"&amp;FM$2&amp;"+"&amp;CG95&amp;FM$1)</f>
        <v/>
      </c>
      <c r="FN95" s="30" t="str">
        <f t="shared" ref="FN95:FN96" si="1244">IF(CH95="","","|n"&amp;FN$2&amp;"+"&amp;CH95&amp;FN$1)</f>
        <v/>
      </c>
      <c r="FO95" s="30" t="str">
        <f t="shared" ref="FO95:FO96" si="1245">IF(CI95="","","|n"&amp;FO$2&amp;"+"&amp;CI95&amp;FO$1)</f>
        <v/>
      </c>
      <c r="FP95" s="30" t="str">
        <f t="shared" ref="FP95:FP96" si="1246">IF(CJ95="","","|n"&amp;FP$2&amp;"+"&amp;CJ95&amp;FP$1)</f>
        <v/>
      </c>
      <c r="FQ95" s="30" t="str">
        <f t="shared" ref="FQ95:FQ96" si="1247">IF(CK95="","","|n"&amp;FQ$2&amp;"+"&amp;CK95&amp;FQ$1)</f>
        <v/>
      </c>
      <c r="FR95" s="30" t="str">
        <f t="shared" ref="FR95:FR96" si="1248">IF(CL95="","","|n"&amp;FR$2&amp;"+"&amp;CL95&amp;FR$1)</f>
        <v/>
      </c>
      <c r="FS95" s="30" t="str">
        <f t="shared" ref="FS95:FS96" si="1249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44"/>
        <v>ReplaceableTextures\\CommandButtons\\BTNI003.blp</v>
      </c>
      <c r="CN96" s="7" t="str">
        <f t="shared" si="1174"/>
        <v>InitUnitState('I003',,,,,,,,,,)</v>
      </c>
      <c r="CO96" s="7" t="str">
        <f t="shared" si="1175"/>
        <v>InitUnitNormal('I003',,,,,,,,,,)</v>
      </c>
      <c r="CP96" s="7" t="str">
        <f t="shared" si="1176"/>
        <v>InitUnitMagic('I003',,,,,,,,,,)</v>
      </c>
      <c r="CQ96" s="7" t="str">
        <f t="shared" si="1177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45" t="str">
        <f t="shared" si="1178"/>
        <v>|n</v>
      </c>
      <c r="CV96" s="29" t="str">
        <f t="shared" si="1179"/>
        <v>攻击速度+60%，持续15秒。</v>
      </c>
      <c r="CW96" s="24"/>
      <c r="CX96" s="24"/>
      <c r="CY96" s="24"/>
      <c r="CZ96" s="24"/>
      <c r="DA96" s="24"/>
      <c r="DB96" s="30" t="str">
        <f t="shared" si="1180"/>
        <v/>
      </c>
      <c r="DC96" s="30" t="str">
        <f t="shared" si="1181"/>
        <v/>
      </c>
      <c r="DD96" s="30" t="str">
        <f t="shared" si="1182"/>
        <v/>
      </c>
      <c r="DE96" s="30" t="str">
        <f t="shared" si="1183"/>
        <v/>
      </c>
      <c r="DF96" s="30" t="str">
        <f t="shared" si="1184"/>
        <v/>
      </c>
      <c r="DG96" s="30" t="str">
        <f t="shared" si="1185"/>
        <v/>
      </c>
      <c r="DH96" s="30" t="str">
        <f t="shared" si="1186"/>
        <v/>
      </c>
      <c r="DI96" s="30" t="str">
        <f t="shared" si="1187"/>
        <v/>
      </c>
      <c r="DJ96" s="30" t="str">
        <f t="shared" si="1188"/>
        <v/>
      </c>
      <c r="DK96" s="30" t="str">
        <f t="shared" si="1189"/>
        <v/>
      </c>
      <c r="DL96" s="30" t="str">
        <f t="shared" si="1190"/>
        <v/>
      </c>
      <c r="DM96" s="30" t="str">
        <f t="shared" si="1191"/>
        <v/>
      </c>
      <c r="DN96" s="30" t="str">
        <f t="shared" si="1192"/>
        <v/>
      </c>
      <c r="DO96" s="30" t="str">
        <f t="shared" si="1193"/>
        <v/>
      </c>
      <c r="DP96" s="30" t="str">
        <f t="shared" si="1194"/>
        <v/>
      </c>
      <c r="DQ96" s="30" t="str">
        <f t="shared" si="1195"/>
        <v/>
      </c>
      <c r="DR96" s="30" t="str">
        <f t="shared" si="1196"/>
        <v/>
      </c>
      <c r="DS96" s="30" t="str">
        <f t="shared" si="1197"/>
        <v/>
      </c>
      <c r="DT96" s="30" t="str">
        <f t="shared" si="1198"/>
        <v/>
      </c>
      <c r="DU96" s="30" t="str">
        <f t="shared" si="1199"/>
        <v/>
      </c>
      <c r="DV96" s="30" t="str">
        <f t="shared" si="1200"/>
        <v/>
      </c>
      <c r="DW96" s="30" t="str">
        <f t="shared" si="1201"/>
        <v/>
      </c>
      <c r="DX96" s="30" t="str">
        <f t="shared" si="1202"/>
        <v/>
      </c>
      <c r="DY96" s="30" t="str">
        <f t="shared" si="1203"/>
        <v/>
      </c>
      <c r="DZ96" s="30" t="str">
        <f t="shared" si="1204"/>
        <v/>
      </c>
      <c r="EA96" s="30" t="str">
        <f t="shared" si="1205"/>
        <v/>
      </c>
      <c r="EB96" s="30" t="str">
        <f t="shared" si="1206"/>
        <v/>
      </c>
      <c r="EC96" s="30" t="str">
        <f t="shared" si="1207"/>
        <v/>
      </c>
      <c r="ED96" s="30" t="str">
        <f t="shared" si="1208"/>
        <v/>
      </c>
      <c r="EE96" s="30" t="str">
        <f t="shared" si="1209"/>
        <v/>
      </c>
      <c r="EF96" s="30" t="str">
        <f t="shared" si="1210"/>
        <v/>
      </c>
      <c r="EG96" s="30" t="str">
        <f t="shared" si="1211"/>
        <v/>
      </c>
      <c r="EH96" s="30" t="str">
        <f t="shared" si="1212"/>
        <v/>
      </c>
      <c r="EI96" s="30" t="str">
        <f t="shared" si="1213"/>
        <v/>
      </c>
      <c r="EJ96" s="30" t="str">
        <f t="shared" si="1214"/>
        <v/>
      </c>
      <c r="EK96" s="30" t="str">
        <f t="shared" si="1215"/>
        <v/>
      </c>
      <c r="EL96" s="30" t="str">
        <f t="shared" si="1216"/>
        <v/>
      </c>
      <c r="EM96" s="30" t="str">
        <f t="shared" si="1217"/>
        <v/>
      </c>
      <c r="EN96" s="30" t="str">
        <f t="shared" si="1218"/>
        <v/>
      </c>
      <c r="EO96" s="30" t="str">
        <f t="shared" si="1219"/>
        <v/>
      </c>
      <c r="EP96" s="30" t="str">
        <f t="shared" si="1220"/>
        <v/>
      </c>
      <c r="EQ96" s="30" t="str">
        <f t="shared" si="1221"/>
        <v/>
      </c>
      <c r="ER96" s="30" t="str">
        <f t="shared" si="1222"/>
        <v/>
      </c>
      <c r="ES96" s="30" t="str">
        <f t="shared" si="1223"/>
        <v/>
      </c>
      <c r="ET96" s="30" t="str">
        <f t="shared" si="1224"/>
        <v/>
      </c>
      <c r="EU96" s="30" t="str">
        <f t="shared" si="1225"/>
        <v/>
      </c>
      <c r="EV96" s="30" t="str">
        <f t="shared" si="1226"/>
        <v/>
      </c>
      <c r="EW96" s="30" t="str">
        <f t="shared" si="1227"/>
        <v/>
      </c>
      <c r="EX96" s="30" t="str">
        <f t="shared" si="1228"/>
        <v/>
      </c>
      <c r="EY96" s="30" t="str">
        <f t="shared" si="1229"/>
        <v/>
      </c>
      <c r="EZ96" s="30" t="str">
        <f t="shared" si="1230"/>
        <v/>
      </c>
      <c r="FA96" s="30" t="str">
        <f t="shared" si="1231"/>
        <v/>
      </c>
      <c r="FB96" s="30" t="str">
        <f t="shared" si="1232"/>
        <v/>
      </c>
      <c r="FC96" s="30" t="str">
        <f t="shared" si="1233"/>
        <v/>
      </c>
      <c r="FD96" s="30" t="str">
        <f t="shared" si="1234"/>
        <v/>
      </c>
      <c r="FE96" s="30" t="str">
        <f t="shared" si="1235"/>
        <v/>
      </c>
      <c r="FF96" s="30" t="str">
        <f t="shared" si="1236"/>
        <v/>
      </c>
      <c r="FG96" s="30" t="str">
        <f t="shared" si="1237"/>
        <v/>
      </c>
      <c r="FH96" s="30" t="str">
        <f t="shared" si="1238"/>
        <v/>
      </c>
      <c r="FI96" s="30" t="str">
        <f t="shared" si="1239"/>
        <v/>
      </c>
      <c r="FJ96" s="30" t="str">
        <f t="shared" si="1240"/>
        <v/>
      </c>
      <c r="FK96" s="30" t="str">
        <f t="shared" si="1241"/>
        <v/>
      </c>
      <c r="FL96" s="30" t="str">
        <f t="shared" si="1242"/>
        <v/>
      </c>
      <c r="FM96" s="30" t="str">
        <f t="shared" si="1243"/>
        <v/>
      </c>
      <c r="FN96" s="30" t="str">
        <f t="shared" si="1244"/>
        <v/>
      </c>
      <c r="FO96" s="30" t="str">
        <f t="shared" si="1245"/>
        <v/>
      </c>
      <c r="FP96" s="30" t="str">
        <f t="shared" si="1246"/>
        <v/>
      </c>
      <c r="FQ96" s="30" t="str">
        <f t="shared" si="1247"/>
        <v/>
      </c>
      <c r="FR96" s="30" t="str">
        <f t="shared" si="1248"/>
        <v/>
      </c>
      <c r="FS96" s="30" t="str">
        <f t="shared" si="1249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44"/>
        <v>ReplaceableTextures\\CommandButtons\\BTNI004.blp</v>
      </c>
      <c r="CN97" s="7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45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55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56">IF(V97="","","|n"&amp;DB$2&amp;"+"&amp;V97&amp;DB$1)</f>
        <v/>
      </c>
      <c r="DC97" s="30" t="str">
        <f t="shared" ref="DC97:DC99" si="1257">IF(W97="","","|n"&amp;DC$2&amp;"+"&amp;W97&amp;DC$1)</f>
        <v/>
      </c>
      <c r="DD97" s="30" t="str">
        <f t="shared" ref="DD97:DD99" si="1258">IF(X97="","","|n"&amp;DD$2&amp;"+"&amp;X97&amp;DD$1)</f>
        <v/>
      </c>
      <c r="DE97" s="30" t="str">
        <f t="shared" ref="DE97:DE99" si="1259">IF(Y97="","","|n"&amp;DE$2&amp;"+"&amp;Y97&amp;DE$1)</f>
        <v/>
      </c>
      <c r="DF97" s="30" t="str">
        <f t="shared" ref="DF97:DF99" si="1260">IF(Z97="","","|n"&amp;DF$2&amp;"+"&amp;Z97&amp;DF$1)</f>
        <v/>
      </c>
      <c r="DG97" s="30" t="str">
        <f t="shared" ref="DG97:DG99" si="1261">IF(AA97="","","|n"&amp;DG$2&amp;"+"&amp;AA97&amp;DG$1)</f>
        <v/>
      </c>
      <c r="DH97" s="30" t="str">
        <f t="shared" ref="DH97:DH99" si="1262">IF(AB97="","","|n"&amp;DH$2&amp;"+"&amp;AB97&amp;DH$1)</f>
        <v/>
      </c>
      <c r="DI97" s="30" t="str">
        <f t="shared" ref="DI97:DI99" si="1263">IF(AC97="","","|n"&amp;DI$2&amp;"+"&amp;AC97&amp;DI$1)</f>
        <v/>
      </c>
      <c r="DJ97" s="30" t="str">
        <f t="shared" ref="DJ97:DJ99" si="1264">IF(AD97="","","|n"&amp;DJ$2&amp;"+"&amp;AD97&amp;DJ$1)</f>
        <v/>
      </c>
      <c r="DK97" s="30" t="str">
        <f t="shared" ref="DK97:DK99" si="1265">IF(AE97="","","|n"&amp;DK$2&amp;"+"&amp;AE97&amp;DK$1)</f>
        <v/>
      </c>
      <c r="DL97" s="30" t="str">
        <f t="shared" ref="DL97:DL99" si="1266">IF(AF97="","","|n"&amp;DL$2&amp;"+"&amp;AF97&amp;DL$1)</f>
        <v/>
      </c>
      <c r="DM97" s="30" t="str">
        <f t="shared" ref="DM97:DM99" si="1267">IF(AG97="","","|n"&amp;DM$2&amp;"+"&amp;AG97&amp;DM$1)</f>
        <v/>
      </c>
      <c r="DN97" s="30" t="str">
        <f t="shared" ref="DN97:DN99" si="1268">IF(AH97="","","|n"&amp;DN$2&amp;"+"&amp;AH97&amp;DN$1)</f>
        <v/>
      </c>
      <c r="DO97" s="30" t="str">
        <f t="shared" ref="DO97:DO99" si="1269">IF(AI97="","","|n"&amp;DO$2&amp;"+"&amp;AI97&amp;DO$1)</f>
        <v/>
      </c>
      <c r="DP97" s="30" t="str">
        <f t="shared" ref="DP97:DP99" si="1270">IF(AJ97="","","|n"&amp;DP$2&amp;"+"&amp;AJ97&amp;DP$1)</f>
        <v/>
      </c>
      <c r="DQ97" s="30" t="str">
        <f t="shared" ref="DQ97:DQ99" si="1271">IF(AK97="","","|n"&amp;DQ$2&amp;"+"&amp;AK97&amp;DQ$1)</f>
        <v/>
      </c>
      <c r="DR97" s="30" t="str">
        <f t="shared" ref="DR97:DR99" si="1272">IF(AL97="","","|n"&amp;DR$2&amp;"+"&amp;AL97&amp;DR$1)</f>
        <v/>
      </c>
      <c r="DS97" s="30" t="str">
        <f t="shared" ref="DS97:DS99" si="1273">IF(AM97="","","|n"&amp;DS$2&amp;"+"&amp;AM97&amp;DS$1)</f>
        <v/>
      </c>
      <c r="DT97" s="30" t="str">
        <f t="shared" ref="DT97:DT99" si="1274">IF(AN97="","","|n"&amp;DT$2&amp;"+"&amp;AN97&amp;DT$1)</f>
        <v/>
      </c>
      <c r="DU97" s="30" t="str">
        <f t="shared" ref="DU97:DU99" si="1275">IF(AO97="","","|n"&amp;DU$2&amp;"+"&amp;AO97&amp;DU$1)</f>
        <v/>
      </c>
      <c r="DV97" s="30" t="str">
        <f t="shared" ref="DV97:DV99" si="1276">IF(AP97="","","|n"&amp;DV$2&amp;"+"&amp;AP97&amp;DV$1)</f>
        <v/>
      </c>
      <c r="DW97" s="30" t="str">
        <f t="shared" ref="DW97:DW99" si="1277">IF(AQ97="","","|n"&amp;DW$2&amp;"+"&amp;AQ97&amp;DW$1)</f>
        <v/>
      </c>
      <c r="DX97" s="30" t="str">
        <f t="shared" ref="DX97:DX99" si="1278">IF(AR97="","","|n"&amp;DX$2&amp;"+"&amp;AR97&amp;DX$1)</f>
        <v/>
      </c>
      <c r="DY97" s="30" t="str">
        <f t="shared" ref="DY97:DY99" si="1279">IF(AS97="","","|n"&amp;DY$2&amp;"+"&amp;AS97&amp;DY$1)</f>
        <v/>
      </c>
      <c r="DZ97" s="30" t="str">
        <f t="shared" ref="DZ97:DZ99" si="1280">IF(AT97="","","|n"&amp;DZ$2&amp;"+"&amp;AT97&amp;DZ$1)</f>
        <v/>
      </c>
      <c r="EA97" s="30" t="str">
        <f t="shared" ref="EA97:EA99" si="1281">IF(AU97="","","|n"&amp;EA$2&amp;"+"&amp;AU97&amp;EA$1)</f>
        <v/>
      </c>
      <c r="EB97" s="30" t="str">
        <f t="shared" ref="EB97:EB99" si="1282">IF(AV97="","","|n"&amp;EB$2&amp;"+"&amp;AV97&amp;EB$1)</f>
        <v/>
      </c>
      <c r="EC97" s="30" t="str">
        <f t="shared" ref="EC97:EC99" si="1283">IF(AW97="","","|n"&amp;EC$2&amp;"+"&amp;AW97&amp;EC$1)</f>
        <v/>
      </c>
      <c r="ED97" s="30" t="str">
        <f t="shared" ref="ED97:ED99" si="1284">IF(AX97="","","|n"&amp;ED$2&amp;"+"&amp;AX97&amp;ED$1)</f>
        <v/>
      </c>
      <c r="EE97" s="30" t="str">
        <f t="shared" ref="EE97:EE99" si="1285">IF(AY97="","","|n"&amp;EE$2&amp;"+"&amp;AY97&amp;EE$1)</f>
        <v/>
      </c>
      <c r="EF97" s="30" t="str">
        <f t="shared" ref="EF97:EF99" si="1286">IF(AZ97="","","|n"&amp;EF$2&amp;"+"&amp;AZ97&amp;EF$1)</f>
        <v/>
      </c>
      <c r="EG97" s="30" t="str">
        <f t="shared" ref="EG97:EG99" si="1287">IF(BA97="","","|n"&amp;EG$2&amp;"+"&amp;BA97&amp;EG$1)</f>
        <v/>
      </c>
      <c r="EH97" s="30" t="str">
        <f t="shared" ref="EH97:EH99" si="1288">IF(BB97="","","|n"&amp;EH$2&amp;"+"&amp;BB97&amp;EH$1)</f>
        <v/>
      </c>
      <c r="EI97" s="30" t="str">
        <f t="shared" ref="EI97:EI99" si="1289">IF(BC97="","","|n"&amp;EI$2&amp;"+"&amp;BC97&amp;EI$1)</f>
        <v/>
      </c>
      <c r="EJ97" s="30" t="str">
        <f t="shared" ref="EJ97:EJ99" si="1290">IF(BD97="","","|n"&amp;EJ$2&amp;"+"&amp;BD97&amp;EJ$1)</f>
        <v/>
      </c>
      <c r="EK97" s="30" t="str">
        <f t="shared" ref="EK97:EK99" si="1291">IF(BE97="","","|n"&amp;EK$2&amp;"+"&amp;BE97&amp;EK$1)</f>
        <v/>
      </c>
      <c r="EL97" s="30" t="str">
        <f t="shared" ref="EL97:EL99" si="1292">IF(BF97="","","|n"&amp;EL$2&amp;"+"&amp;BF97&amp;EL$1)</f>
        <v/>
      </c>
      <c r="EM97" s="30" t="str">
        <f t="shared" ref="EM97:EM99" si="1293">IF(BG97="","","|n"&amp;EM$2&amp;"+"&amp;BG97&amp;EM$1)</f>
        <v/>
      </c>
      <c r="EN97" s="30" t="str">
        <f t="shared" ref="EN97:EN99" si="1294">IF(BH97="","","|n"&amp;EN$2&amp;"+"&amp;BH97&amp;EN$1)</f>
        <v/>
      </c>
      <c r="EO97" s="30" t="str">
        <f t="shared" ref="EO97:EO99" si="1295">IF(BI97="","","|n"&amp;EO$2&amp;"+"&amp;BI97&amp;EO$1)</f>
        <v/>
      </c>
      <c r="EP97" s="30" t="str">
        <f t="shared" ref="EP97:EP99" si="1296">IF(BJ97="","","|n"&amp;EP$2&amp;"+"&amp;BJ97&amp;EP$1)</f>
        <v/>
      </c>
      <c r="EQ97" s="30" t="str">
        <f t="shared" ref="EQ97:EQ99" si="1297">IF(BK97="","","|n"&amp;EQ$2&amp;"+"&amp;BK97&amp;EQ$1)</f>
        <v/>
      </c>
      <c r="ER97" s="30" t="str">
        <f t="shared" ref="ER97:ER99" si="1298">IF(BL97="","","|n"&amp;ER$2&amp;"+"&amp;BL97&amp;ER$1)</f>
        <v/>
      </c>
      <c r="ES97" s="30" t="str">
        <f t="shared" ref="ES97:ES99" si="1299">IF(BM97="","","|n"&amp;ES$2&amp;"+"&amp;BM97&amp;ES$1)</f>
        <v/>
      </c>
      <c r="ET97" s="30" t="str">
        <f t="shared" ref="ET97:ET99" si="1300">IF(BN97="","","|n"&amp;ET$2&amp;"+"&amp;BN97&amp;ET$1)</f>
        <v/>
      </c>
      <c r="EU97" s="30" t="str">
        <f t="shared" ref="EU97:EU99" si="1301">IF(BO97="","","|n"&amp;EU$2&amp;"+"&amp;BO97&amp;EU$1)</f>
        <v/>
      </c>
      <c r="EV97" s="30" t="str">
        <f t="shared" ref="EV97:EV99" si="1302">IF(BP97="","","|n"&amp;EV$2&amp;"+"&amp;BP97&amp;EV$1)</f>
        <v/>
      </c>
      <c r="EW97" s="30" t="str">
        <f t="shared" ref="EW97:EW99" si="1303">IF(BQ97="","","|n"&amp;EW$2&amp;"+"&amp;BQ97&amp;EW$1)</f>
        <v/>
      </c>
      <c r="EX97" s="30" t="str">
        <f t="shared" ref="EX97:EX99" si="1304">IF(BR97="","","|n"&amp;EX$2&amp;"+"&amp;BR97&amp;EX$1)</f>
        <v/>
      </c>
      <c r="EY97" s="30" t="str">
        <f t="shared" ref="EY97:EY99" si="1305">IF(BS97="","","|n"&amp;EY$2&amp;"+"&amp;BS97&amp;EY$1)</f>
        <v/>
      </c>
      <c r="EZ97" s="30" t="str">
        <f t="shared" ref="EZ97:EZ99" si="1306">IF(BT97="","","|n"&amp;EZ$2&amp;"+"&amp;BT97&amp;EZ$1)</f>
        <v/>
      </c>
      <c r="FA97" s="30" t="str">
        <f t="shared" ref="FA97:FA99" si="1307">IF(BU97="","","|n"&amp;FA$2&amp;"+"&amp;BU97&amp;FA$1)</f>
        <v/>
      </c>
      <c r="FB97" s="30" t="str">
        <f t="shared" ref="FB97:FB99" si="1308">IF(BV97="","","|n"&amp;FB$2&amp;"+"&amp;BV97&amp;FB$1)</f>
        <v/>
      </c>
      <c r="FC97" s="30" t="str">
        <f t="shared" ref="FC97:FC99" si="1309">IF(BW97="","","|n"&amp;FC$2&amp;"+"&amp;BW97&amp;FC$1)</f>
        <v/>
      </c>
      <c r="FD97" s="30" t="str">
        <f t="shared" ref="FD97:FD99" si="1310">IF(BX97="","","|n"&amp;FD$2&amp;"+"&amp;BX97&amp;FD$1)</f>
        <v/>
      </c>
      <c r="FE97" s="30" t="str">
        <f t="shared" ref="FE97:FE99" si="1311">IF(BY97="","","|n"&amp;FE$2&amp;"+"&amp;BY97&amp;FE$1)</f>
        <v/>
      </c>
      <c r="FF97" s="30" t="str">
        <f t="shared" ref="FF97:FF99" si="1312">IF(BZ97="","","|n"&amp;FF$2&amp;"+"&amp;BZ97&amp;FF$1)</f>
        <v/>
      </c>
      <c r="FG97" s="30" t="str">
        <f t="shared" ref="FG97:FG99" si="1313">IF(CA97="","","|n"&amp;FG$2&amp;"+"&amp;CA97&amp;FG$1)</f>
        <v/>
      </c>
      <c r="FH97" s="30" t="str">
        <f t="shared" ref="FH97:FH99" si="1314">IF(CB97="","","|n"&amp;FH$2&amp;"+"&amp;CB97&amp;FH$1)</f>
        <v/>
      </c>
      <c r="FI97" s="30" t="str">
        <f t="shared" ref="FI97:FI99" si="1315">IF(CC97="","","|n"&amp;FI$2&amp;"+"&amp;CC97&amp;FI$1)</f>
        <v/>
      </c>
      <c r="FJ97" s="30" t="str">
        <f t="shared" ref="FJ97:FJ99" si="1316">IF(CD97="","","|n"&amp;FJ$2&amp;"+"&amp;CD97&amp;FJ$1)</f>
        <v/>
      </c>
      <c r="FK97" s="30" t="str">
        <f t="shared" ref="FK97:FK99" si="1317">IF(CE97="","","|n"&amp;FK$2&amp;"+"&amp;CE97&amp;FK$1)</f>
        <v/>
      </c>
      <c r="FL97" s="30" t="str">
        <f t="shared" ref="FL97:FL99" si="1318">IF(CF97="","","|n"&amp;FL$2&amp;"+"&amp;CF97&amp;FL$1)</f>
        <v/>
      </c>
      <c r="FM97" s="30" t="str">
        <f t="shared" ref="FM97:FM99" si="1319">IF(CG97="","","|n"&amp;FM$2&amp;"+"&amp;CG97&amp;FM$1)</f>
        <v/>
      </c>
      <c r="FN97" s="30" t="str">
        <f t="shared" ref="FN97:FN99" si="1320">IF(CH97="","","|n"&amp;FN$2&amp;"+"&amp;CH97&amp;FN$1)</f>
        <v/>
      </c>
      <c r="FO97" s="30" t="str">
        <f t="shared" ref="FO97:FO99" si="1321">IF(CI97="","","|n"&amp;FO$2&amp;"+"&amp;CI97&amp;FO$1)</f>
        <v/>
      </c>
      <c r="FP97" s="30" t="str">
        <f t="shared" ref="FP97:FP99" si="1322">IF(CJ97="","","|n"&amp;FP$2&amp;"+"&amp;CJ97&amp;FP$1)</f>
        <v/>
      </c>
      <c r="FQ97" s="30" t="str">
        <f t="shared" ref="FQ97:FQ99" si="1323">IF(CK97="","","|n"&amp;FQ$2&amp;"+"&amp;CK97&amp;FQ$1)</f>
        <v/>
      </c>
      <c r="FR97" s="30" t="str">
        <f t="shared" ref="FR97:FR99" si="1324">IF(CL97="","","|n"&amp;FR$2&amp;"+"&amp;CL97&amp;FR$1)</f>
        <v/>
      </c>
      <c r="FS97" s="30" t="str">
        <f t="shared" ref="FS97:FS99" si="1325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44"/>
        <v>ReplaceableTextures\\CommandButtons\\BTNI005.blp</v>
      </c>
      <c r="CN98" s="7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45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31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32">IF(V98="","","|n"&amp;DB$2&amp;"+"&amp;V98&amp;DB$1)</f>
        <v/>
      </c>
      <c r="DC98" s="30" t="str">
        <f t="shared" ref="DC98" si="1333">IF(W98="","","|n"&amp;DC$2&amp;"+"&amp;W98&amp;DC$1)</f>
        <v/>
      </c>
      <c r="DD98" s="30" t="str">
        <f t="shared" ref="DD98" si="1334">IF(X98="","","|n"&amp;DD$2&amp;"+"&amp;X98&amp;DD$1)</f>
        <v/>
      </c>
      <c r="DE98" s="30" t="str">
        <f t="shared" ref="DE98" si="1335">IF(Y98="","","|n"&amp;DE$2&amp;"+"&amp;Y98&amp;DE$1)</f>
        <v/>
      </c>
      <c r="DF98" s="30" t="str">
        <f t="shared" ref="DF98" si="1336">IF(Z98="","","|n"&amp;DF$2&amp;"+"&amp;Z98&amp;DF$1)</f>
        <v/>
      </c>
      <c r="DG98" s="30" t="str">
        <f t="shared" ref="DG98" si="1337">IF(AA98="","","|n"&amp;DG$2&amp;"+"&amp;AA98&amp;DG$1)</f>
        <v/>
      </c>
      <c r="DH98" s="30" t="str">
        <f t="shared" ref="DH98" si="1338">IF(AB98="","","|n"&amp;DH$2&amp;"+"&amp;AB98&amp;DH$1)</f>
        <v/>
      </c>
      <c r="DI98" s="30" t="str">
        <f t="shared" ref="DI98" si="1339">IF(AC98="","","|n"&amp;DI$2&amp;"+"&amp;AC98&amp;DI$1)</f>
        <v/>
      </c>
      <c r="DJ98" s="30" t="str">
        <f t="shared" ref="DJ98" si="1340">IF(AD98="","","|n"&amp;DJ$2&amp;"+"&amp;AD98&amp;DJ$1)</f>
        <v/>
      </c>
      <c r="DK98" s="30" t="str">
        <f t="shared" ref="DK98" si="1341">IF(AE98="","","|n"&amp;DK$2&amp;"+"&amp;AE98&amp;DK$1)</f>
        <v/>
      </c>
      <c r="DL98" s="30" t="str">
        <f t="shared" ref="DL98" si="1342">IF(AF98="","","|n"&amp;DL$2&amp;"+"&amp;AF98&amp;DL$1)</f>
        <v/>
      </c>
      <c r="DM98" s="30" t="str">
        <f t="shared" ref="DM98" si="1343">IF(AG98="","","|n"&amp;DM$2&amp;"+"&amp;AG98&amp;DM$1)</f>
        <v/>
      </c>
      <c r="DN98" s="30" t="str">
        <f t="shared" ref="DN98" si="1344">IF(AH98="","","|n"&amp;DN$2&amp;"+"&amp;AH98&amp;DN$1)</f>
        <v/>
      </c>
      <c r="DO98" s="30" t="str">
        <f t="shared" ref="DO98" si="1345">IF(AI98="","","|n"&amp;DO$2&amp;"+"&amp;AI98&amp;DO$1)</f>
        <v/>
      </c>
      <c r="DP98" s="30" t="str">
        <f t="shared" ref="DP98" si="1346">IF(AJ98="","","|n"&amp;DP$2&amp;"+"&amp;AJ98&amp;DP$1)</f>
        <v/>
      </c>
      <c r="DQ98" s="30" t="str">
        <f t="shared" ref="DQ98" si="1347">IF(AK98="","","|n"&amp;DQ$2&amp;"+"&amp;AK98&amp;DQ$1)</f>
        <v/>
      </c>
      <c r="DR98" s="30" t="str">
        <f t="shared" ref="DR98" si="1348">IF(AL98="","","|n"&amp;DR$2&amp;"+"&amp;AL98&amp;DR$1)</f>
        <v/>
      </c>
      <c r="DS98" s="30" t="str">
        <f t="shared" ref="DS98" si="1349">IF(AM98="","","|n"&amp;DS$2&amp;"+"&amp;AM98&amp;DS$1)</f>
        <v/>
      </c>
      <c r="DT98" s="30" t="str">
        <f t="shared" ref="DT98" si="1350">IF(AN98="","","|n"&amp;DT$2&amp;"+"&amp;AN98&amp;DT$1)</f>
        <v/>
      </c>
      <c r="DU98" s="30" t="str">
        <f t="shared" ref="DU98" si="1351">IF(AO98="","","|n"&amp;DU$2&amp;"+"&amp;AO98&amp;DU$1)</f>
        <v/>
      </c>
      <c r="DV98" s="30" t="str">
        <f t="shared" ref="DV98" si="1352">IF(AP98="","","|n"&amp;DV$2&amp;"+"&amp;AP98&amp;DV$1)</f>
        <v/>
      </c>
      <c r="DW98" s="30" t="str">
        <f t="shared" ref="DW98" si="1353">IF(AQ98="","","|n"&amp;DW$2&amp;"+"&amp;AQ98&amp;DW$1)</f>
        <v/>
      </c>
      <c r="DX98" s="30" t="str">
        <f t="shared" ref="DX98" si="1354">IF(AR98="","","|n"&amp;DX$2&amp;"+"&amp;AR98&amp;DX$1)</f>
        <v/>
      </c>
      <c r="DY98" s="30" t="str">
        <f t="shared" ref="DY98" si="1355">IF(AS98="","","|n"&amp;DY$2&amp;"+"&amp;AS98&amp;DY$1)</f>
        <v/>
      </c>
      <c r="DZ98" s="30" t="str">
        <f t="shared" ref="DZ98" si="1356">IF(AT98="","","|n"&amp;DZ$2&amp;"+"&amp;AT98&amp;DZ$1)</f>
        <v/>
      </c>
      <c r="EA98" s="30" t="str">
        <f t="shared" ref="EA98" si="1357">IF(AU98="","","|n"&amp;EA$2&amp;"+"&amp;AU98&amp;EA$1)</f>
        <v/>
      </c>
      <c r="EB98" s="30" t="str">
        <f t="shared" ref="EB98" si="1358">IF(AV98="","","|n"&amp;EB$2&amp;"+"&amp;AV98&amp;EB$1)</f>
        <v/>
      </c>
      <c r="EC98" s="30" t="str">
        <f t="shared" ref="EC98" si="1359">IF(AW98="","","|n"&amp;EC$2&amp;"+"&amp;AW98&amp;EC$1)</f>
        <v/>
      </c>
      <c r="ED98" s="30" t="str">
        <f t="shared" ref="ED98" si="1360">IF(AX98="","","|n"&amp;ED$2&amp;"+"&amp;AX98&amp;ED$1)</f>
        <v/>
      </c>
      <c r="EE98" s="30" t="str">
        <f t="shared" ref="EE98" si="1361">IF(AY98="","","|n"&amp;EE$2&amp;"+"&amp;AY98&amp;EE$1)</f>
        <v/>
      </c>
      <c r="EF98" s="30" t="str">
        <f t="shared" ref="EF98" si="1362">IF(AZ98="","","|n"&amp;EF$2&amp;"+"&amp;AZ98&amp;EF$1)</f>
        <v/>
      </c>
      <c r="EG98" s="30" t="str">
        <f t="shared" ref="EG98" si="1363">IF(BA98="","","|n"&amp;EG$2&amp;"+"&amp;BA98&amp;EG$1)</f>
        <v/>
      </c>
      <c r="EH98" s="30" t="str">
        <f t="shared" ref="EH98" si="1364">IF(BB98="","","|n"&amp;EH$2&amp;"+"&amp;BB98&amp;EH$1)</f>
        <v/>
      </c>
      <c r="EI98" s="30" t="str">
        <f t="shared" ref="EI98" si="1365">IF(BC98="","","|n"&amp;EI$2&amp;"+"&amp;BC98&amp;EI$1)</f>
        <v/>
      </c>
      <c r="EJ98" s="30" t="str">
        <f t="shared" ref="EJ98" si="1366">IF(BD98="","","|n"&amp;EJ$2&amp;"+"&amp;BD98&amp;EJ$1)</f>
        <v/>
      </c>
      <c r="EK98" s="30" t="str">
        <f t="shared" ref="EK98" si="1367">IF(BE98="","","|n"&amp;EK$2&amp;"+"&amp;BE98&amp;EK$1)</f>
        <v/>
      </c>
      <c r="EL98" s="30" t="str">
        <f t="shared" ref="EL98" si="1368">IF(BF98="","","|n"&amp;EL$2&amp;"+"&amp;BF98&amp;EL$1)</f>
        <v/>
      </c>
      <c r="EM98" s="30" t="str">
        <f t="shared" ref="EM98" si="1369">IF(BG98="","","|n"&amp;EM$2&amp;"+"&amp;BG98&amp;EM$1)</f>
        <v/>
      </c>
      <c r="EN98" s="30" t="str">
        <f t="shared" ref="EN98" si="1370">IF(BH98="","","|n"&amp;EN$2&amp;"+"&amp;BH98&amp;EN$1)</f>
        <v/>
      </c>
      <c r="EO98" s="30" t="str">
        <f t="shared" ref="EO98" si="1371">IF(BI98="","","|n"&amp;EO$2&amp;"+"&amp;BI98&amp;EO$1)</f>
        <v/>
      </c>
      <c r="EP98" s="30" t="str">
        <f t="shared" ref="EP98" si="1372">IF(BJ98="","","|n"&amp;EP$2&amp;"+"&amp;BJ98&amp;EP$1)</f>
        <v/>
      </c>
      <c r="EQ98" s="30" t="str">
        <f t="shared" ref="EQ98" si="1373">IF(BK98="","","|n"&amp;EQ$2&amp;"+"&amp;BK98&amp;EQ$1)</f>
        <v/>
      </c>
      <c r="ER98" s="30" t="str">
        <f t="shared" ref="ER98" si="1374">IF(BL98="","","|n"&amp;ER$2&amp;"+"&amp;BL98&amp;ER$1)</f>
        <v/>
      </c>
      <c r="ES98" s="30" t="str">
        <f t="shared" ref="ES98" si="1375">IF(BM98="","","|n"&amp;ES$2&amp;"+"&amp;BM98&amp;ES$1)</f>
        <v/>
      </c>
      <c r="ET98" s="30" t="str">
        <f t="shared" ref="ET98" si="1376">IF(BN98="","","|n"&amp;ET$2&amp;"+"&amp;BN98&amp;ET$1)</f>
        <v/>
      </c>
      <c r="EU98" s="30" t="str">
        <f t="shared" ref="EU98" si="1377">IF(BO98="","","|n"&amp;EU$2&amp;"+"&amp;BO98&amp;EU$1)</f>
        <v/>
      </c>
      <c r="EV98" s="30" t="str">
        <f t="shared" ref="EV98" si="1378">IF(BP98="","","|n"&amp;EV$2&amp;"+"&amp;BP98&amp;EV$1)</f>
        <v/>
      </c>
      <c r="EW98" s="30" t="str">
        <f t="shared" ref="EW98" si="1379">IF(BQ98="","","|n"&amp;EW$2&amp;"+"&amp;BQ98&amp;EW$1)</f>
        <v/>
      </c>
      <c r="EX98" s="30" t="str">
        <f t="shared" ref="EX98" si="1380">IF(BR98="","","|n"&amp;EX$2&amp;"+"&amp;BR98&amp;EX$1)</f>
        <v/>
      </c>
      <c r="EY98" s="30" t="str">
        <f t="shared" ref="EY98" si="1381">IF(BS98="","","|n"&amp;EY$2&amp;"+"&amp;BS98&amp;EY$1)</f>
        <v/>
      </c>
      <c r="EZ98" s="30" t="str">
        <f t="shared" ref="EZ98" si="1382">IF(BT98="","","|n"&amp;EZ$2&amp;"+"&amp;BT98&amp;EZ$1)</f>
        <v/>
      </c>
      <c r="FA98" s="30" t="str">
        <f t="shared" ref="FA98" si="1383">IF(BU98="","","|n"&amp;FA$2&amp;"+"&amp;BU98&amp;FA$1)</f>
        <v/>
      </c>
      <c r="FB98" s="30" t="str">
        <f t="shared" ref="FB98" si="1384">IF(BV98="","","|n"&amp;FB$2&amp;"+"&amp;BV98&amp;FB$1)</f>
        <v/>
      </c>
      <c r="FC98" s="30" t="str">
        <f t="shared" ref="FC98" si="1385">IF(BW98="","","|n"&amp;FC$2&amp;"+"&amp;BW98&amp;FC$1)</f>
        <v/>
      </c>
      <c r="FD98" s="30" t="str">
        <f t="shared" ref="FD98" si="1386">IF(BX98="","","|n"&amp;FD$2&amp;"+"&amp;BX98&amp;FD$1)</f>
        <v/>
      </c>
      <c r="FE98" s="30" t="str">
        <f t="shared" ref="FE98" si="1387">IF(BY98="","","|n"&amp;FE$2&amp;"+"&amp;BY98&amp;FE$1)</f>
        <v/>
      </c>
      <c r="FF98" s="30" t="str">
        <f t="shared" ref="FF98" si="1388">IF(BZ98="","","|n"&amp;FF$2&amp;"+"&amp;BZ98&amp;FF$1)</f>
        <v/>
      </c>
      <c r="FG98" s="30" t="str">
        <f t="shared" ref="FG98" si="1389">IF(CA98="","","|n"&amp;FG$2&amp;"+"&amp;CA98&amp;FG$1)</f>
        <v/>
      </c>
      <c r="FH98" s="30" t="str">
        <f t="shared" ref="FH98" si="1390">IF(CB98="","","|n"&amp;FH$2&amp;"+"&amp;CB98&amp;FH$1)</f>
        <v/>
      </c>
      <c r="FI98" s="30" t="str">
        <f t="shared" ref="FI98" si="1391">IF(CC98="","","|n"&amp;FI$2&amp;"+"&amp;CC98&amp;FI$1)</f>
        <v/>
      </c>
      <c r="FJ98" s="30" t="str">
        <f t="shared" ref="FJ98" si="1392">IF(CD98="","","|n"&amp;FJ$2&amp;"+"&amp;CD98&amp;FJ$1)</f>
        <v/>
      </c>
      <c r="FK98" s="30" t="str">
        <f t="shared" ref="FK98" si="1393">IF(CE98="","","|n"&amp;FK$2&amp;"+"&amp;CE98&amp;FK$1)</f>
        <v/>
      </c>
      <c r="FL98" s="30" t="str">
        <f t="shared" ref="FL98" si="1394">IF(CF98="","","|n"&amp;FL$2&amp;"+"&amp;CF98&amp;FL$1)</f>
        <v/>
      </c>
      <c r="FM98" s="30" t="str">
        <f t="shared" ref="FM98" si="1395">IF(CG98="","","|n"&amp;FM$2&amp;"+"&amp;CG98&amp;FM$1)</f>
        <v/>
      </c>
      <c r="FN98" s="30" t="str">
        <f t="shared" ref="FN98" si="1396">IF(CH98="","","|n"&amp;FN$2&amp;"+"&amp;CH98&amp;FN$1)</f>
        <v/>
      </c>
      <c r="FO98" s="30" t="str">
        <f t="shared" ref="FO98" si="1397">IF(CI98="","","|n"&amp;FO$2&amp;"+"&amp;CI98&amp;FO$1)</f>
        <v/>
      </c>
      <c r="FP98" s="30" t="str">
        <f t="shared" ref="FP98" si="1398">IF(CJ98="","","|n"&amp;FP$2&amp;"+"&amp;CJ98&amp;FP$1)</f>
        <v/>
      </c>
      <c r="FQ98" s="30" t="str">
        <f t="shared" ref="FQ98" si="1399">IF(CK98="","","|n"&amp;FQ$2&amp;"+"&amp;CK98&amp;FQ$1)</f>
        <v/>
      </c>
      <c r="FR98" s="30" t="str">
        <f t="shared" ref="FR98" si="1400">IF(CL98="","","|n"&amp;FR$2&amp;"+"&amp;CL98&amp;FR$1)</f>
        <v/>
      </c>
      <c r="FS98" s="30" t="str">
        <f t="shared" ref="FS98" si="1401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44"/>
        <v>ReplaceableTextures\\CommandButtons\\BTNI011.blp</v>
      </c>
      <c r="CN99" s="7" t="str">
        <f t="shared" si="1250"/>
        <v>InitUnitState('I011',,,,,,,,,,)</v>
      </c>
      <c r="CO99" s="7" t="str">
        <f t="shared" si="1251"/>
        <v>InitUnitNormal('I011',,,,,,,,,,)</v>
      </c>
      <c r="CP99" s="7" t="str">
        <f t="shared" si="1252"/>
        <v>InitUnitMagic('I011',,,,,,,,,,)</v>
      </c>
      <c r="CQ99" s="7" t="str">
        <f t="shared" si="1253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45" t="str">
        <f t="shared" si="1254"/>
        <v>|n</v>
      </c>
      <c r="CV99" s="29" t="str">
        <f t="shared" si="1255"/>
        <v>聚宝盆</v>
      </c>
      <c r="CW99" s="24"/>
      <c r="CX99" s="24"/>
      <c r="CY99" s="24"/>
      <c r="CZ99" s="24"/>
      <c r="DA99" s="24"/>
      <c r="DB99" s="30" t="str">
        <f t="shared" si="1256"/>
        <v/>
      </c>
      <c r="DC99" s="30" t="str">
        <f t="shared" si="1257"/>
        <v/>
      </c>
      <c r="DD99" s="30" t="str">
        <f t="shared" si="1258"/>
        <v/>
      </c>
      <c r="DE99" s="30" t="str">
        <f t="shared" si="1259"/>
        <v/>
      </c>
      <c r="DF99" s="30" t="str">
        <f t="shared" si="1260"/>
        <v/>
      </c>
      <c r="DG99" s="30" t="str">
        <f t="shared" si="1261"/>
        <v/>
      </c>
      <c r="DH99" s="30" t="str">
        <f t="shared" si="1262"/>
        <v/>
      </c>
      <c r="DI99" s="30" t="str">
        <f t="shared" si="1263"/>
        <v/>
      </c>
      <c r="DJ99" s="30" t="str">
        <f t="shared" si="1264"/>
        <v/>
      </c>
      <c r="DK99" s="30" t="str">
        <f t="shared" si="1265"/>
        <v/>
      </c>
      <c r="DL99" s="30" t="str">
        <f t="shared" si="1266"/>
        <v/>
      </c>
      <c r="DM99" s="30" t="str">
        <f t="shared" si="1267"/>
        <v/>
      </c>
      <c r="DN99" s="30" t="str">
        <f t="shared" si="1268"/>
        <v/>
      </c>
      <c r="DO99" s="30" t="str">
        <f t="shared" si="1269"/>
        <v/>
      </c>
      <c r="DP99" s="30" t="str">
        <f t="shared" si="1270"/>
        <v/>
      </c>
      <c r="DQ99" s="30" t="str">
        <f t="shared" si="1271"/>
        <v/>
      </c>
      <c r="DR99" s="30" t="str">
        <f t="shared" si="1272"/>
        <v/>
      </c>
      <c r="DS99" s="30" t="str">
        <f t="shared" si="1273"/>
        <v/>
      </c>
      <c r="DT99" s="30" t="str">
        <f t="shared" si="1274"/>
        <v/>
      </c>
      <c r="DU99" s="30" t="str">
        <f t="shared" si="1275"/>
        <v/>
      </c>
      <c r="DV99" s="30" t="str">
        <f t="shared" si="1276"/>
        <v/>
      </c>
      <c r="DW99" s="30" t="str">
        <f t="shared" si="1277"/>
        <v/>
      </c>
      <c r="DX99" s="30" t="str">
        <f t="shared" si="1278"/>
        <v/>
      </c>
      <c r="DY99" s="30" t="str">
        <f t="shared" si="1279"/>
        <v/>
      </c>
      <c r="DZ99" s="30" t="str">
        <f t="shared" si="1280"/>
        <v/>
      </c>
      <c r="EA99" s="30" t="str">
        <f t="shared" si="1281"/>
        <v/>
      </c>
      <c r="EB99" s="30" t="str">
        <f t="shared" si="1282"/>
        <v/>
      </c>
      <c r="EC99" s="30" t="str">
        <f t="shared" si="1283"/>
        <v/>
      </c>
      <c r="ED99" s="30" t="str">
        <f t="shared" si="1284"/>
        <v/>
      </c>
      <c r="EE99" s="30" t="str">
        <f t="shared" si="1285"/>
        <v/>
      </c>
      <c r="EF99" s="30" t="str">
        <f t="shared" si="1286"/>
        <v/>
      </c>
      <c r="EG99" s="30" t="str">
        <f t="shared" si="1287"/>
        <v/>
      </c>
      <c r="EH99" s="30" t="str">
        <f t="shared" si="1288"/>
        <v/>
      </c>
      <c r="EI99" s="30" t="str">
        <f t="shared" si="1289"/>
        <v/>
      </c>
      <c r="EJ99" s="30" t="str">
        <f t="shared" si="1290"/>
        <v/>
      </c>
      <c r="EK99" s="30" t="str">
        <f t="shared" si="1291"/>
        <v/>
      </c>
      <c r="EL99" s="30" t="str">
        <f t="shared" si="1292"/>
        <v/>
      </c>
      <c r="EM99" s="30" t="str">
        <f t="shared" si="1293"/>
        <v/>
      </c>
      <c r="EN99" s="30" t="str">
        <f t="shared" si="1294"/>
        <v/>
      </c>
      <c r="EO99" s="30" t="str">
        <f t="shared" si="1295"/>
        <v/>
      </c>
      <c r="EP99" s="30" t="str">
        <f t="shared" si="1296"/>
        <v/>
      </c>
      <c r="EQ99" s="30" t="str">
        <f t="shared" si="1297"/>
        <v/>
      </c>
      <c r="ER99" s="30" t="str">
        <f t="shared" si="1298"/>
        <v/>
      </c>
      <c r="ES99" s="30" t="str">
        <f t="shared" si="1299"/>
        <v/>
      </c>
      <c r="ET99" s="30" t="str">
        <f t="shared" si="1300"/>
        <v/>
      </c>
      <c r="EU99" s="30" t="str">
        <f t="shared" si="1301"/>
        <v/>
      </c>
      <c r="EV99" s="30" t="str">
        <f t="shared" si="1302"/>
        <v/>
      </c>
      <c r="EW99" s="30" t="str">
        <f t="shared" si="1303"/>
        <v/>
      </c>
      <c r="EX99" s="30" t="str">
        <f t="shared" si="1304"/>
        <v/>
      </c>
      <c r="EY99" s="30" t="str">
        <f t="shared" si="1305"/>
        <v/>
      </c>
      <c r="EZ99" s="30" t="str">
        <f t="shared" si="1306"/>
        <v/>
      </c>
      <c r="FA99" s="30" t="str">
        <f t="shared" si="1307"/>
        <v/>
      </c>
      <c r="FB99" s="30" t="str">
        <f t="shared" si="1308"/>
        <v/>
      </c>
      <c r="FC99" s="30" t="str">
        <f t="shared" si="1309"/>
        <v/>
      </c>
      <c r="FD99" s="30" t="str">
        <f t="shared" si="1310"/>
        <v/>
      </c>
      <c r="FE99" s="30" t="str">
        <f t="shared" si="1311"/>
        <v/>
      </c>
      <c r="FF99" s="30" t="str">
        <f t="shared" si="1312"/>
        <v/>
      </c>
      <c r="FG99" s="30" t="str">
        <f t="shared" si="1313"/>
        <v/>
      </c>
      <c r="FH99" s="30" t="str">
        <f t="shared" si="1314"/>
        <v/>
      </c>
      <c r="FI99" s="30" t="str">
        <f t="shared" si="1315"/>
        <v/>
      </c>
      <c r="FJ99" s="30" t="str">
        <f t="shared" si="1316"/>
        <v/>
      </c>
      <c r="FK99" s="30" t="str">
        <f t="shared" si="1317"/>
        <v/>
      </c>
      <c r="FL99" s="30" t="str">
        <f t="shared" si="1318"/>
        <v/>
      </c>
      <c r="FM99" s="30" t="str">
        <f t="shared" si="1319"/>
        <v/>
      </c>
      <c r="FN99" s="30" t="str">
        <f t="shared" si="1320"/>
        <v/>
      </c>
      <c r="FO99" s="30" t="str">
        <f t="shared" si="1321"/>
        <v/>
      </c>
      <c r="FP99" s="30" t="str">
        <f t="shared" si="1322"/>
        <v/>
      </c>
      <c r="FQ99" s="30" t="str">
        <f t="shared" si="1323"/>
        <v/>
      </c>
      <c r="FR99" s="30" t="str">
        <f t="shared" si="1324"/>
        <v/>
      </c>
      <c r="FS99" s="30" t="str">
        <f t="shared" si="1325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44"/>
        <v>ReplaceableTextures\\CommandButtons\\BTNI012.blp</v>
      </c>
      <c r="CN100" s="7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45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07">T100</f>
        <v>聚宝盆</v>
      </c>
      <c r="CW100" s="24"/>
      <c r="CX100" s="24"/>
      <c r="CY100" s="24"/>
      <c r="CZ100" s="24"/>
      <c r="DA100" s="24"/>
      <c r="DB100" s="30" t="str">
        <f t="shared" ref="DB100:DB101" si="1408">IF(V100="","","|n"&amp;DB$2&amp;"+"&amp;V100&amp;DB$1)</f>
        <v/>
      </c>
      <c r="DC100" s="30" t="str">
        <f t="shared" ref="DC100:DC101" si="1409">IF(W100="","","|n"&amp;DC$2&amp;"+"&amp;W100&amp;DC$1)</f>
        <v/>
      </c>
      <c r="DD100" s="30" t="str">
        <f t="shared" ref="DD100:DD101" si="1410">IF(X100="","","|n"&amp;DD$2&amp;"+"&amp;X100&amp;DD$1)</f>
        <v/>
      </c>
      <c r="DE100" s="30" t="str">
        <f t="shared" ref="DE100:DE101" si="1411">IF(Y100="","","|n"&amp;DE$2&amp;"+"&amp;Y100&amp;DE$1)</f>
        <v/>
      </c>
      <c r="DF100" s="30" t="str">
        <f t="shared" ref="DF100:DF101" si="1412">IF(Z100="","","|n"&amp;DF$2&amp;"+"&amp;Z100&amp;DF$1)</f>
        <v/>
      </c>
      <c r="DG100" s="30" t="str">
        <f t="shared" ref="DG100:DG101" si="1413">IF(AA100="","","|n"&amp;DG$2&amp;"+"&amp;AA100&amp;DG$1)</f>
        <v/>
      </c>
      <c r="DH100" s="30" t="str">
        <f t="shared" ref="DH100:DH101" si="1414">IF(AB100="","","|n"&amp;DH$2&amp;"+"&amp;AB100&amp;DH$1)</f>
        <v/>
      </c>
      <c r="DI100" s="30" t="str">
        <f t="shared" ref="DI100:DI101" si="1415">IF(AC100="","","|n"&amp;DI$2&amp;"+"&amp;AC100&amp;DI$1)</f>
        <v/>
      </c>
      <c r="DJ100" s="30" t="str">
        <f t="shared" ref="DJ100:DJ101" si="1416">IF(AD100="","","|n"&amp;DJ$2&amp;"+"&amp;AD100&amp;DJ$1)</f>
        <v/>
      </c>
      <c r="DK100" s="30" t="str">
        <f t="shared" ref="DK100:DK101" si="1417">IF(AE100="","","|n"&amp;DK$2&amp;"+"&amp;AE100&amp;DK$1)</f>
        <v/>
      </c>
      <c r="DL100" s="30" t="str">
        <f t="shared" ref="DL100:DL101" si="1418">IF(AF100="","","|n"&amp;DL$2&amp;"+"&amp;AF100&amp;DL$1)</f>
        <v/>
      </c>
      <c r="DM100" s="30" t="str">
        <f t="shared" ref="DM100:DM101" si="1419">IF(AG100="","","|n"&amp;DM$2&amp;"+"&amp;AG100&amp;DM$1)</f>
        <v/>
      </c>
      <c r="DN100" s="30" t="str">
        <f t="shared" ref="DN100:DN101" si="1420">IF(AH100="","","|n"&amp;DN$2&amp;"+"&amp;AH100&amp;DN$1)</f>
        <v/>
      </c>
      <c r="DO100" s="30" t="str">
        <f t="shared" ref="DO100:DO101" si="1421">IF(AI100="","","|n"&amp;DO$2&amp;"+"&amp;AI100&amp;DO$1)</f>
        <v/>
      </c>
      <c r="DP100" s="30" t="str">
        <f t="shared" ref="DP100:DP101" si="1422">IF(AJ100="","","|n"&amp;DP$2&amp;"+"&amp;AJ100&amp;DP$1)</f>
        <v/>
      </c>
      <c r="DQ100" s="30" t="str">
        <f t="shared" ref="DQ100:DQ101" si="1423">IF(AK100="","","|n"&amp;DQ$2&amp;"+"&amp;AK100&amp;DQ$1)</f>
        <v/>
      </c>
      <c r="DR100" s="30" t="str">
        <f t="shared" ref="DR100:DR101" si="1424">IF(AL100="","","|n"&amp;DR$2&amp;"+"&amp;AL100&amp;DR$1)</f>
        <v/>
      </c>
      <c r="DS100" s="30" t="str">
        <f t="shared" ref="DS100:DS101" si="1425">IF(AM100="","","|n"&amp;DS$2&amp;"+"&amp;AM100&amp;DS$1)</f>
        <v/>
      </c>
      <c r="DT100" s="30" t="str">
        <f t="shared" ref="DT100:DT101" si="1426">IF(AN100="","","|n"&amp;DT$2&amp;"+"&amp;AN100&amp;DT$1)</f>
        <v/>
      </c>
      <c r="DU100" s="30" t="str">
        <f t="shared" ref="DU100:DU101" si="1427">IF(AO100="","","|n"&amp;DU$2&amp;"+"&amp;AO100&amp;DU$1)</f>
        <v/>
      </c>
      <c r="DV100" s="30" t="str">
        <f t="shared" ref="DV100:DV101" si="1428">IF(AP100="","","|n"&amp;DV$2&amp;"+"&amp;AP100&amp;DV$1)</f>
        <v/>
      </c>
      <c r="DW100" s="30" t="str">
        <f t="shared" ref="DW100:DW101" si="1429">IF(AQ100="","","|n"&amp;DW$2&amp;"+"&amp;AQ100&amp;DW$1)</f>
        <v/>
      </c>
      <c r="DX100" s="30" t="str">
        <f t="shared" ref="DX100:DX101" si="1430">IF(AR100="","","|n"&amp;DX$2&amp;"+"&amp;AR100&amp;DX$1)</f>
        <v/>
      </c>
      <c r="DY100" s="30" t="str">
        <f t="shared" ref="DY100:DY101" si="1431">IF(AS100="","","|n"&amp;DY$2&amp;"+"&amp;AS100&amp;DY$1)</f>
        <v/>
      </c>
      <c r="DZ100" s="30" t="str">
        <f t="shared" ref="DZ100:DZ101" si="1432">IF(AT100="","","|n"&amp;DZ$2&amp;"+"&amp;AT100&amp;DZ$1)</f>
        <v/>
      </c>
      <c r="EA100" s="30" t="str">
        <f t="shared" ref="EA100:EA101" si="1433">IF(AU100="","","|n"&amp;EA$2&amp;"+"&amp;AU100&amp;EA$1)</f>
        <v/>
      </c>
      <c r="EB100" s="30" t="str">
        <f t="shared" ref="EB100:EB101" si="1434">IF(AV100="","","|n"&amp;EB$2&amp;"+"&amp;AV100&amp;EB$1)</f>
        <v/>
      </c>
      <c r="EC100" s="30" t="str">
        <f t="shared" ref="EC100:EC101" si="1435">IF(AW100="","","|n"&amp;EC$2&amp;"+"&amp;AW100&amp;EC$1)</f>
        <v/>
      </c>
      <c r="ED100" s="30" t="str">
        <f t="shared" ref="ED100:ED101" si="1436">IF(AX100="","","|n"&amp;ED$2&amp;"+"&amp;AX100&amp;ED$1)</f>
        <v/>
      </c>
      <c r="EE100" s="30" t="str">
        <f t="shared" ref="EE100:EE101" si="1437">IF(AY100="","","|n"&amp;EE$2&amp;"+"&amp;AY100&amp;EE$1)</f>
        <v/>
      </c>
      <c r="EF100" s="30" t="str">
        <f t="shared" ref="EF100:EF101" si="1438">IF(AZ100="","","|n"&amp;EF$2&amp;"+"&amp;AZ100&amp;EF$1)</f>
        <v/>
      </c>
      <c r="EG100" s="30" t="str">
        <f t="shared" ref="EG100:EG101" si="1439">IF(BA100="","","|n"&amp;EG$2&amp;"+"&amp;BA100&amp;EG$1)</f>
        <v/>
      </c>
      <c r="EH100" s="30" t="str">
        <f t="shared" ref="EH100:EH101" si="1440">IF(BB100="","","|n"&amp;EH$2&amp;"+"&amp;BB100&amp;EH$1)</f>
        <v/>
      </c>
      <c r="EI100" s="30" t="str">
        <f t="shared" ref="EI100:EI101" si="1441">IF(BC100="","","|n"&amp;EI$2&amp;"+"&amp;BC100&amp;EI$1)</f>
        <v/>
      </c>
      <c r="EJ100" s="30" t="str">
        <f t="shared" ref="EJ100:EJ101" si="1442">IF(BD100="","","|n"&amp;EJ$2&amp;"+"&amp;BD100&amp;EJ$1)</f>
        <v/>
      </c>
      <c r="EK100" s="30" t="str">
        <f t="shared" ref="EK100:EK101" si="1443">IF(BE100="","","|n"&amp;EK$2&amp;"+"&amp;BE100&amp;EK$1)</f>
        <v/>
      </c>
      <c r="EL100" s="30" t="str">
        <f t="shared" ref="EL100:EL101" si="1444">IF(BF100="","","|n"&amp;EL$2&amp;"+"&amp;BF100&amp;EL$1)</f>
        <v/>
      </c>
      <c r="EM100" s="30" t="str">
        <f t="shared" ref="EM100:EM101" si="1445">IF(BG100="","","|n"&amp;EM$2&amp;"+"&amp;BG100&amp;EM$1)</f>
        <v/>
      </c>
      <c r="EN100" s="30" t="str">
        <f t="shared" ref="EN100:EN101" si="1446">IF(BH100="","","|n"&amp;EN$2&amp;"+"&amp;BH100&amp;EN$1)</f>
        <v/>
      </c>
      <c r="EO100" s="30" t="str">
        <f t="shared" ref="EO100:EO101" si="1447">IF(BI100="","","|n"&amp;EO$2&amp;"+"&amp;BI100&amp;EO$1)</f>
        <v/>
      </c>
      <c r="EP100" s="30" t="str">
        <f t="shared" ref="EP100:EP101" si="1448">IF(BJ100="","","|n"&amp;EP$2&amp;"+"&amp;BJ100&amp;EP$1)</f>
        <v/>
      </c>
      <c r="EQ100" s="30" t="str">
        <f t="shared" ref="EQ100:EQ101" si="1449">IF(BK100="","","|n"&amp;EQ$2&amp;"+"&amp;BK100&amp;EQ$1)</f>
        <v/>
      </c>
      <c r="ER100" s="30" t="str">
        <f t="shared" ref="ER100:ER101" si="1450">IF(BL100="","","|n"&amp;ER$2&amp;"+"&amp;BL100&amp;ER$1)</f>
        <v/>
      </c>
      <c r="ES100" s="30" t="str">
        <f t="shared" ref="ES100:ES101" si="1451">IF(BM100="","","|n"&amp;ES$2&amp;"+"&amp;BM100&amp;ES$1)</f>
        <v/>
      </c>
      <c r="ET100" s="30" t="str">
        <f t="shared" ref="ET100:ET101" si="1452">IF(BN100="","","|n"&amp;ET$2&amp;"+"&amp;BN100&amp;ET$1)</f>
        <v/>
      </c>
      <c r="EU100" s="30" t="str">
        <f t="shared" ref="EU100:EU101" si="1453">IF(BO100="","","|n"&amp;EU$2&amp;"+"&amp;BO100&amp;EU$1)</f>
        <v/>
      </c>
      <c r="EV100" s="30" t="str">
        <f t="shared" ref="EV100:EV101" si="1454">IF(BP100="","","|n"&amp;EV$2&amp;"+"&amp;BP100&amp;EV$1)</f>
        <v/>
      </c>
      <c r="EW100" s="30" t="str">
        <f t="shared" ref="EW100:EW101" si="1455">IF(BQ100="","","|n"&amp;EW$2&amp;"+"&amp;BQ100&amp;EW$1)</f>
        <v/>
      </c>
      <c r="EX100" s="30" t="str">
        <f t="shared" ref="EX100:EX101" si="1456">IF(BR100="","","|n"&amp;EX$2&amp;"+"&amp;BR100&amp;EX$1)</f>
        <v/>
      </c>
      <c r="EY100" s="30" t="str">
        <f t="shared" ref="EY100:EY101" si="1457">IF(BS100="","","|n"&amp;EY$2&amp;"+"&amp;BS100&amp;EY$1)</f>
        <v/>
      </c>
      <c r="EZ100" s="30" t="str">
        <f t="shared" ref="EZ100:EZ101" si="1458">IF(BT100="","","|n"&amp;EZ$2&amp;"+"&amp;BT100&amp;EZ$1)</f>
        <v/>
      </c>
      <c r="FA100" s="30" t="str">
        <f t="shared" ref="FA100:FA101" si="1459">IF(BU100="","","|n"&amp;FA$2&amp;"+"&amp;BU100&amp;FA$1)</f>
        <v/>
      </c>
      <c r="FB100" s="30" t="str">
        <f t="shared" ref="FB100:FB101" si="1460">IF(BV100="","","|n"&amp;FB$2&amp;"+"&amp;BV100&amp;FB$1)</f>
        <v/>
      </c>
      <c r="FC100" s="30" t="str">
        <f t="shared" ref="FC100:FC101" si="1461">IF(BW100="","","|n"&amp;FC$2&amp;"+"&amp;BW100&amp;FC$1)</f>
        <v/>
      </c>
      <c r="FD100" s="30" t="str">
        <f t="shared" ref="FD100:FD101" si="1462">IF(BX100="","","|n"&amp;FD$2&amp;"+"&amp;BX100&amp;FD$1)</f>
        <v/>
      </c>
      <c r="FE100" s="30" t="str">
        <f t="shared" ref="FE100:FE101" si="1463">IF(BY100="","","|n"&amp;FE$2&amp;"+"&amp;BY100&amp;FE$1)</f>
        <v/>
      </c>
      <c r="FF100" s="30" t="str">
        <f t="shared" ref="FF100:FF101" si="1464">IF(BZ100="","","|n"&amp;FF$2&amp;"+"&amp;BZ100&amp;FF$1)</f>
        <v/>
      </c>
      <c r="FG100" s="30" t="str">
        <f t="shared" ref="FG100:FG101" si="1465">IF(CA100="","","|n"&amp;FG$2&amp;"+"&amp;CA100&amp;FG$1)</f>
        <v/>
      </c>
      <c r="FH100" s="30" t="str">
        <f t="shared" ref="FH100:FH101" si="1466">IF(CB100="","","|n"&amp;FH$2&amp;"+"&amp;CB100&amp;FH$1)</f>
        <v/>
      </c>
      <c r="FI100" s="30" t="str">
        <f t="shared" ref="FI100:FI101" si="1467">IF(CC100="","","|n"&amp;FI$2&amp;"+"&amp;CC100&amp;FI$1)</f>
        <v/>
      </c>
      <c r="FJ100" s="30" t="str">
        <f t="shared" ref="FJ100:FJ101" si="1468">IF(CD100="","","|n"&amp;FJ$2&amp;"+"&amp;CD100&amp;FJ$1)</f>
        <v/>
      </c>
      <c r="FK100" s="30" t="str">
        <f t="shared" ref="FK100:FK101" si="1469">IF(CE100="","","|n"&amp;FK$2&amp;"+"&amp;CE100&amp;FK$1)</f>
        <v/>
      </c>
      <c r="FL100" s="30" t="str">
        <f t="shared" ref="FL100:FL101" si="1470">IF(CF100="","","|n"&amp;FL$2&amp;"+"&amp;CF100&amp;FL$1)</f>
        <v/>
      </c>
      <c r="FM100" s="30" t="str">
        <f t="shared" ref="FM100:FM101" si="1471">IF(CG100="","","|n"&amp;FM$2&amp;"+"&amp;CG100&amp;FM$1)</f>
        <v/>
      </c>
      <c r="FN100" s="30" t="str">
        <f t="shared" ref="FN100:FN101" si="1472">IF(CH100="","","|n"&amp;FN$2&amp;"+"&amp;CH100&amp;FN$1)</f>
        <v/>
      </c>
      <c r="FO100" s="30" t="str">
        <f t="shared" ref="FO100:FO101" si="1473">IF(CI100="","","|n"&amp;FO$2&amp;"+"&amp;CI100&amp;FO$1)</f>
        <v/>
      </c>
      <c r="FP100" s="30" t="str">
        <f t="shared" ref="FP100:FP101" si="1474">IF(CJ100="","","|n"&amp;FP$2&amp;"+"&amp;CJ100&amp;FP$1)</f>
        <v/>
      </c>
      <c r="FQ100" s="30" t="str">
        <f t="shared" ref="FQ100:FQ101" si="1475">IF(CK100="","","|n"&amp;FQ$2&amp;"+"&amp;CK100&amp;FQ$1)</f>
        <v/>
      </c>
      <c r="FR100" s="30" t="str">
        <f t="shared" ref="FR100:FR101" si="1476">IF(CL100="","","|n"&amp;FR$2&amp;"+"&amp;CL100&amp;FR$1)</f>
        <v/>
      </c>
      <c r="FS100" s="30" t="str">
        <f t="shared" ref="FS100:FS101" si="1477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44"/>
        <v>ReplaceableTextures\\CommandButtons\\BTNI013.blp</v>
      </c>
      <c r="CN101" s="7" t="str">
        <f t="shared" si="1402"/>
        <v>InitUnitState('I013',,,,,,,,,,)</v>
      </c>
      <c r="CO101" s="7" t="str">
        <f t="shared" si="1403"/>
        <v>InitUnitNormal('I013',,,,,,,,,,)</v>
      </c>
      <c r="CP101" s="7" t="str">
        <f t="shared" si="1404"/>
        <v>InitUnitMagic('I013',,,,,,,,,,)</v>
      </c>
      <c r="CQ101" s="7" t="str">
        <f t="shared" si="1405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45" t="str">
        <f t="shared" si="1406"/>
        <v>|n</v>
      </c>
      <c r="CV101" s="29" t="str">
        <f t="shared" si="1407"/>
        <v>聚宝盆</v>
      </c>
      <c r="CW101" s="24"/>
      <c r="CX101" s="24"/>
      <c r="CY101" s="24"/>
      <c r="CZ101" s="24"/>
      <c r="DA101" s="24"/>
      <c r="DB101" s="30" t="str">
        <f t="shared" si="1408"/>
        <v/>
      </c>
      <c r="DC101" s="30" t="str">
        <f t="shared" si="1409"/>
        <v/>
      </c>
      <c r="DD101" s="30" t="str">
        <f t="shared" si="1410"/>
        <v/>
      </c>
      <c r="DE101" s="30" t="str">
        <f t="shared" si="1411"/>
        <v/>
      </c>
      <c r="DF101" s="30" t="str">
        <f t="shared" si="1412"/>
        <v/>
      </c>
      <c r="DG101" s="30" t="str">
        <f t="shared" si="1413"/>
        <v/>
      </c>
      <c r="DH101" s="30" t="str">
        <f t="shared" si="1414"/>
        <v/>
      </c>
      <c r="DI101" s="30" t="str">
        <f t="shared" si="1415"/>
        <v/>
      </c>
      <c r="DJ101" s="30" t="str">
        <f t="shared" si="1416"/>
        <v/>
      </c>
      <c r="DK101" s="30" t="str">
        <f t="shared" si="1417"/>
        <v/>
      </c>
      <c r="DL101" s="30" t="str">
        <f t="shared" si="1418"/>
        <v/>
      </c>
      <c r="DM101" s="30" t="str">
        <f t="shared" si="1419"/>
        <v/>
      </c>
      <c r="DN101" s="30" t="str">
        <f t="shared" si="1420"/>
        <v/>
      </c>
      <c r="DO101" s="30" t="str">
        <f t="shared" si="1421"/>
        <v/>
      </c>
      <c r="DP101" s="30" t="str">
        <f t="shared" si="1422"/>
        <v/>
      </c>
      <c r="DQ101" s="30" t="str">
        <f t="shared" si="1423"/>
        <v/>
      </c>
      <c r="DR101" s="30" t="str">
        <f t="shared" si="1424"/>
        <v/>
      </c>
      <c r="DS101" s="30" t="str">
        <f t="shared" si="1425"/>
        <v/>
      </c>
      <c r="DT101" s="30" t="str">
        <f t="shared" si="1426"/>
        <v/>
      </c>
      <c r="DU101" s="30" t="str">
        <f t="shared" si="1427"/>
        <v/>
      </c>
      <c r="DV101" s="30" t="str">
        <f t="shared" si="1428"/>
        <v/>
      </c>
      <c r="DW101" s="30" t="str">
        <f t="shared" si="1429"/>
        <v/>
      </c>
      <c r="DX101" s="30" t="str">
        <f t="shared" si="1430"/>
        <v/>
      </c>
      <c r="DY101" s="30" t="str">
        <f t="shared" si="1431"/>
        <v/>
      </c>
      <c r="DZ101" s="30" t="str">
        <f t="shared" si="1432"/>
        <v/>
      </c>
      <c r="EA101" s="30" t="str">
        <f t="shared" si="1433"/>
        <v/>
      </c>
      <c r="EB101" s="30" t="str">
        <f t="shared" si="1434"/>
        <v/>
      </c>
      <c r="EC101" s="30" t="str">
        <f t="shared" si="1435"/>
        <v/>
      </c>
      <c r="ED101" s="30" t="str">
        <f t="shared" si="1436"/>
        <v/>
      </c>
      <c r="EE101" s="30" t="str">
        <f t="shared" si="1437"/>
        <v/>
      </c>
      <c r="EF101" s="30" t="str">
        <f t="shared" si="1438"/>
        <v/>
      </c>
      <c r="EG101" s="30" t="str">
        <f t="shared" si="1439"/>
        <v/>
      </c>
      <c r="EH101" s="30" t="str">
        <f t="shared" si="1440"/>
        <v/>
      </c>
      <c r="EI101" s="30" t="str">
        <f t="shared" si="1441"/>
        <v/>
      </c>
      <c r="EJ101" s="30" t="str">
        <f t="shared" si="1442"/>
        <v/>
      </c>
      <c r="EK101" s="30" t="str">
        <f t="shared" si="1443"/>
        <v/>
      </c>
      <c r="EL101" s="30" t="str">
        <f t="shared" si="1444"/>
        <v/>
      </c>
      <c r="EM101" s="30" t="str">
        <f t="shared" si="1445"/>
        <v/>
      </c>
      <c r="EN101" s="30" t="str">
        <f t="shared" si="1446"/>
        <v/>
      </c>
      <c r="EO101" s="30" t="str">
        <f t="shared" si="1447"/>
        <v/>
      </c>
      <c r="EP101" s="30" t="str">
        <f t="shared" si="1448"/>
        <v/>
      </c>
      <c r="EQ101" s="30" t="str">
        <f t="shared" si="1449"/>
        <v/>
      </c>
      <c r="ER101" s="30" t="str">
        <f t="shared" si="1450"/>
        <v/>
      </c>
      <c r="ES101" s="30" t="str">
        <f t="shared" si="1451"/>
        <v/>
      </c>
      <c r="ET101" s="30" t="str">
        <f t="shared" si="1452"/>
        <v/>
      </c>
      <c r="EU101" s="30" t="str">
        <f t="shared" si="1453"/>
        <v/>
      </c>
      <c r="EV101" s="30" t="str">
        <f t="shared" si="1454"/>
        <v/>
      </c>
      <c r="EW101" s="30" t="str">
        <f t="shared" si="1455"/>
        <v/>
      </c>
      <c r="EX101" s="30" t="str">
        <f t="shared" si="1456"/>
        <v/>
      </c>
      <c r="EY101" s="30" t="str">
        <f t="shared" si="1457"/>
        <v/>
      </c>
      <c r="EZ101" s="30" t="str">
        <f t="shared" si="1458"/>
        <v/>
      </c>
      <c r="FA101" s="30" t="str">
        <f t="shared" si="1459"/>
        <v/>
      </c>
      <c r="FB101" s="30" t="str">
        <f t="shared" si="1460"/>
        <v/>
      </c>
      <c r="FC101" s="30" t="str">
        <f t="shared" si="1461"/>
        <v/>
      </c>
      <c r="FD101" s="30" t="str">
        <f t="shared" si="1462"/>
        <v/>
      </c>
      <c r="FE101" s="30" t="str">
        <f t="shared" si="1463"/>
        <v/>
      </c>
      <c r="FF101" s="30" t="str">
        <f t="shared" si="1464"/>
        <v/>
      </c>
      <c r="FG101" s="30" t="str">
        <f t="shared" si="1465"/>
        <v/>
      </c>
      <c r="FH101" s="30" t="str">
        <f t="shared" si="1466"/>
        <v/>
      </c>
      <c r="FI101" s="30" t="str">
        <f t="shared" si="1467"/>
        <v/>
      </c>
      <c r="FJ101" s="30" t="str">
        <f t="shared" si="1468"/>
        <v/>
      </c>
      <c r="FK101" s="30" t="str">
        <f t="shared" si="1469"/>
        <v/>
      </c>
      <c r="FL101" s="30" t="str">
        <f t="shared" si="1470"/>
        <v/>
      </c>
      <c r="FM101" s="30" t="str">
        <f t="shared" si="1471"/>
        <v/>
      </c>
      <c r="FN101" s="30" t="str">
        <f t="shared" si="1472"/>
        <v/>
      </c>
      <c r="FO101" s="30" t="str">
        <f t="shared" si="1473"/>
        <v/>
      </c>
      <c r="FP101" s="30" t="str">
        <f t="shared" si="1474"/>
        <v/>
      </c>
      <c r="FQ101" s="30" t="str">
        <f t="shared" si="1475"/>
        <v/>
      </c>
      <c r="FR101" s="30" t="str">
        <f t="shared" si="1476"/>
        <v/>
      </c>
      <c r="FS101" s="30" t="str">
        <f t="shared" si="1477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44"/>
        <v>ReplaceableTextures\\CommandButtons\\BTNI014.blp</v>
      </c>
      <c r="CN102" s="7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45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83">T102</f>
        <v>聚宝盆</v>
      </c>
      <c r="CW102" s="24"/>
      <c r="CX102" s="24"/>
      <c r="CY102" s="24"/>
      <c r="CZ102" s="24"/>
      <c r="DA102" s="24"/>
      <c r="DB102" s="30" t="str">
        <f t="shared" ref="DB102:DB141" si="1484">IF(V102="","","|n"&amp;DB$2&amp;"+"&amp;V102&amp;DB$1)</f>
        <v/>
      </c>
      <c r="DC102" s="30" t="str">
        <f t="shared" ref="DC102:DC141" si="1485">IF(W102="","","|n"&amp;DC$2&amp;"+"&amp;W102&amp;DC$1)</f>
        <v/>
      </c>
      <c r="DD102" s="30" t="str">
        <f t="shared" ref="DD102:DD141" si="1486">IF(X102="","","|n"&amp;DD$2&amp;"+"&amp;X102&amp;DD$1)</f>
        <v/>
      </c>
      <c r="DE102" s="30" t="str">
        <f t="shared" ref="DE102:DE141" si="1487">IF(Y102="","","|n"&amp;DE$2&amp;"+"&amp;Y102&amp;DE$1)</f>
        <v/>
      </c>
      <c r="DF102" s="30" t="str">
        <f t="shared" ref="DF102:DF141" si="1488">IF(Z102="","","|n"&amp;DF$2&amp;"+"&amp;Z102&amp;DF$1)</f>
        <v/>
      </c>
      <c r="DG102" s="30" t="str">
        <f t="shared" ref="DG102:DG141" si="1489">IF(AA102="","","|n"&amp;DG$2&amp;"+"&amp;AA102&amp;DG$1)</f>
        <v/>
      </c>
      <c r="DH102" s="30" t="str">
        <f t="shared" ref="DH102:DH141" si="1490">IF(AB102="","","|n"&amp;DH$2&amp;"+"&amp;AB102&amp;DH$1)</f>
        <v/>
      </c>
      <c r="DI102" s="30" t="str">
        <f t="shared" ref="DI102:DI141" si="1491">IF(AC102="","","|n"&amp;DI$2&amp;"+"&amp;AC102&amp;DI$1)</f>
        <v/>
      </c>
      <c r="DJ102" s="30" t="str">
        <f t="shared" ref="DJ102:DJ141" si="1492">IF(AD102="","","|n"&amp;DJ$2&amp;"+"&amp;AD102&amp;DJ$1)</f>
        <v/>
      </c>
      <c r="DK102" s="30" t="str">
        <f t="shared" ref="DK102:DK141" si="1493">IF(AE102="","","|n"&amp;DK$2&amp;"+"&amp;AE102&amp;DK$1)</f>
        <v/>
      </c>
      <c r="DL102" s="30" t="str">
        <f t="shared" ref="DL102:DL141" si="1494">IF(AF102="","","|n"&amp;DL$2&amp;"+"&amp;AF102&amp;DL$1)</f>
        <v/>
      </c>
      <c r="DM102" s="30" t="str">
        <f t="shared" ref="DM102:DM141" si="1495">IF(AG102="","","|n"&amp;DM$2&amp;"+"&amp;AG102&amp;DM$1)</f>
        <v/>
      </c>
      <c r="DN102" s="30" t="str">
        <f t="shared" ref="DN102:DN141" si="1496">IF(AH102="","","|n"&amp;DN$2&amp;"+"&amp;AH102&amp;DN$1)</f>
        <v/>
      </c>
      <c r="DO102" s="30" t="str">
        <f t="shared" ref="DO102:DO141" si="1497">IF(AI102="","","|n"&amp;DO$2&amp;"+"&amp;AI102&amp;DO$1)</f>
        <v/>
      </c>
      <c r="DP102" s="30" t="str">
        <f t="shared" ref="DP102:DP141" si="1498">IF(AJ102="","","|n"&amp;DP$2&amp;"+"&amp;AJ102&amp;DP$1)</f>
        <v/>
      </c>
      <c r="DQ102" s="30" t="str">
        <f t="shared" ref="DQ102:DQ141" si="1499">IF(AK102="","","|n"&amp;DQ$2&amp;"+"&amp;AK102&amp;DQ$1)</f>
        <v/>
      </c>
      <c r="DR102" s="30" t="str">
        <f t="shared" ref="DR102:DR141" si="1500">IF(AL102="","","|n"&amp;DR$2&amp;"+"&amp;AL102&amp;DR$1)</f>
        <v/>
      </c>
      <c r="DS102" s="30" t="str">
        <f t="shared" ref="DS102:DS141" si="1501">IF(AM102="","","|n"&amp;DS$2&amp;"+"&amp;AM102&amp;DS$1)</f>
        <v/>
      </c>
      <c r="DT102" s="30" t="str">
        <f t="shared" ref="DT102:DT141" si="1502">IF(AN102="","","|n"&amp;DT$2&amp;"+"&amp;AN102&amp;DT$1)</f>
        <v/>
      </c>
      <c r="DU102" s="30" t="str">
        <f t="shared" ref="DU102:DU141" si="1503">IF(AO102="","","|n"&amp;DU$2&amp;"+"&amp;AO102&amp;DU$1)</f>
        <v/>
      </c>
      <c r="DV102" s="30" t="str">
        <f t="shared" ref="DV102:DV141" si="1504">IF(AP102="","","|n"&amp;DV$2&amp;"+"&amp;AP102&amp;DV$1)</f>
        <v/>
      </c>
      <c r="DW102" s="30" t="str">
        <f t="shared" ref="DW102:DW141" si="1505">IF(AQ102="","","|n"&amp;DW$2&amp;"+"&amp;AQ102&amp;DW$1)</f>
        <v/>
      </c>
      <c r="DX102" s="30" t="str">
        <f t="shared" ref="DX102:DX141" si="1506">IF(AR102="","","|n"&amp;DX$2&amp;"+"&amp;AR102&amp;DX$1)</f>
        <v/>
      </c>
      <c r="DY102" s="30" t="str">
        <f t="shared" ref="DY102:DY141" si="1507">IF(AS102="","","|n"&amp;DY$2&amp;"+"&amp;AS102&amp;DY$1)</f>
        <v/>
      </c>
      <c r="DZ102" s="30" t="str">
        <f t="shared" ref="DZ102:DZ141" si="1508">IF(AT102="","","|n"&amp;DZ$2&amp;"+"&amp;AT102&amp;DZ$1)</f>
        <v/>
      </c>
      <c r="EA102" s="30" t="str">
        <f t="shared" ref="EA102:EA141" si="1509">IF(AU102="","","|n"&amp;EA$2&amp;"+"&amp;AU102&amp;EA$1)</f>
        <v/>
      </c>
      <c r="EB102" s="30" t="str">
        <f t="shared" ref="EB102:EB141" si="1510">IF(AV102="","","|n"&amp;EB$2&amp;"+"&amp;AV102&amp;EB$1)</f>
        <v/>
      </c>
      <c r="EC102" s="30" t="str">
        <f t="shared" ref="EC102:EC141" si="1511">IF(AW102="","","|n"&amp;EC$2&amp;"+"&amp;AW102&amp;EC$1)</f>
        <v/>
      </c>
      <c r="ED102" s="30" t="str">
        <f t="shared" ref="ED102:ED141" si="1512">IF(AX102="","","|n"&amp;ED$2&amp;"+"&amp;AX102&amp;ED$1)</f>
        <v/>
      </c>
      <c r="EE102" s="30" t="str">
        <f t="shared" ref="EE102:EE141" si="1513">IF(AY102="","","|n"&amp;EE$2&amp;"+"&amp;AY102&amp;EE$1)</f>
        <v/>
      </c>
      <c r="EF102" s="30" t="str">
        <f t="shared" ref="EF102:EF141" si="1514">IF(AZ102="","","|n"&amp;EF$2&amp;"+"&amp;AZ102&amp;EF$1)</f>
        <v/>
      </c>
      <c r="EG102" s="30" t="str">
        <f t="shared" ref="EG102:EG141" si="1515">IF(BA102="","","|n"&amp;EG$2&amp;"+"&amp;BA102&amp;EG$1)</f>
        <v/>
      </c>
      <c r="EH102" s="30" t="str">
        <f t="shared" ref="EH102:EH141" si="1516">IF(BB102="","","|n"&amp;EH$2&amp;"+"&amp;BB102&amp;EH$1)</f>
        <v/>
      </c>
      <c r="EI102" s="30" t="str">
        <f t="shared" ref="EI102:EI141" si="1517">IF(BC102="","","|n"&amp;EI$2&amp;"+"&amp;BC102&amp;EI$1)</f>
        <v/>
      </c>
      <c r="EJ102" s="30" t="str">
        <f t="shared" ref="EJ102:EJ141" si="1518">IF(BD102="","","|n"&amp;EJ$2&amp;"+"&amp;BD102&amp;EJ$1)</f>
        <v/>
      </c>
      <c r="EK102" s="30" t="str">
        <f t="shared" ref="EK102:EK141" si="1519">IF(BE102="","","|n"&amp;EK$2&amp;"+"&amp;BE102&amp;EK$1)</f>
        <v/>
      </c>
      <c r="EL102" s="30" t="str">
        <f t="shared" ref="EL102:EL141" si="1520">IF(BF102="","","|n"&amp;EL$2&amp;"+"&amp;BF102&amp;EL$1)</f>
        <v/>
      </c>
      <c r="EM102" s="30" t="str">
        <f t="shared" ref="EM102:EM141" si="1521">IF(BG102="","","|n"&amp;EM$2&amp;"+"&amp;BG102&amp;EM$1)</f>
        <v/>
      </c>
      <c r="EN102" s="30" t="str">
        <f t="shared" ref="EN102:EN141" si="1522">IF(BH102="","","|n"&amp;EN$2&amp;"+"&amp;BH102&amp;EN$1)</f>
        <v/>
      </c>
      <c r="EO102" s="30" t="str">
        <f t="shared" ref="EO102:EO141" si="1523">IF(BI102="","","|n"&amp;EO$2&amp;"+"&amp;BI102&amp;EO$1)</f>
        <v/>
      </c>
      <c r="EP102" s="30" t="str">
        <f t="shared" ref="EP102:EP141" si="1524">IF(BJ102="","","|n"&amp;EP$2&amp;"+"&amp;BJ102&amp;EP$1)</f>
        <v/>
      </c>
      <c r="EQ102" s="30" t="str">
        <f t="shared" ref="EQ102:EQ141" si="1525">IF(BK102="","","|n"&amp;EQ$2&amp;"+"&amp;BK102&amp;EQ$1)</f>
        <v/>
      </c>
      <c r="ER102" s="30" t="str">
        <f t="shared" ref="ER102:ER141" si="1526">IF(BL102="","","|n"&amp;ER$2&amp;"+"&amp;BL102&amp;ER$1)</f>
        <v/>
      </c>
      <c r="ES102" s="30" t="str">
        <f t="shared" ref="ES102:ES141" si="1527">IF(BM102="","","|n"&amp;ES$2&amp;"+"&amp;BM102&amp;ES$1)</f>
        <v/>
      </c>
      <c r="ET102" s="30" t="str">
        <f t="shared" ref="ET102:ET141" si="1528">IF(BN102="","","|n"&amp;ET$2&amp;"+"&amp;BN102&amp;ET$1)</f>
        <v/>
      </c>
      <c r="EU102" s="30" t="str">
        <f t="shared" ref="EU102:EU141" si="1529">IF(BO102="","","|n"&amp;EU$2&amp;"+"&amp;BO102&amp;EU$1)</f>
        <v/>
      </c>
      <c r="EV102" s="30" t="str">
        <f t="shared" ref="EV102:EV141" si="1530">IF(BP102="","","|n"&amp;EV$2&amp;"+"&amp;BP102&amp;EV$1)</f>
        <v/>
      </c>
      <c r="EW102" s="30" t="str">
        <f t="shared" ref="EW102:EW141" si="1531">IF(BQ102="","","|n"&amp;EW$2&amp;"+"&amp;BQ102&amp;EW$1)</f>
        <v/>
      </c>
      <c r="EX102" s="30" t="str">
        <f t="shared" ref="EX102:EX141" si="1532">IF(BR102="","","|n"&amp;EX$2&amp;"+"&amp;BR102&amp;EX$1)</f>
        <v/>
      </c>
      <c r="EY102" s="30" t="str">
        <f t="shared" ref="EY102:EY141" si="1533">IF(BS102="","","|n"&amp;EY$2&amp;"+"&amp;BS102&amp;EY$1)</f>
        <v/>
      </c>
      <c r="EZ102" s="30" t="str">
        <f t="shared" ref="EZ102:EZ141" si="1534">IF(BT102="","","|n"&amp;EZ$2&amp;"+"&amp;BT102&amp;EZ$1)</f>
        <v/>
      </c>
      <c r="FA102" s="30" t="str">
        <f t="shared" ref="FA102:FA141" si="1535">IF(BU102="","","|n"&amp;FA$2&amp;"+"&amp;BU102&amp;FA$1)</f>
        <v/>
      </c>
      <c r="FB102" s="30" t="str">
        <f t="shared" ref="FB102:FB141" si="1536">IF(BV102="","","|n"&amp;FB$2&amp;"+"&amp;BV102&amp;FB$1)</f>
        <v/>
      </c>
      <c r="FC102" s="30" t="str">
        <f t="shared" ref="FC102:FC141" si="1537">IF(BW102="","","|n"&amp;FC$2&amp;"+"&amp;BW102&amp;FC$1)</f>
        <v/>
      </c>
      <c r="FD102" s="30" t="str">
        <f t="shared" ref="FD102:FD141" si="1538">IF(BX102="","","|n"&amp;FD$2&amp;"+"&amp;BX102&amp;FD$1)</f>
        <v/>
      </c>
      <c r="FE102" s="30" t="str">
        <f t="shared" ref="FE102:FE141" si="1539">IF(BY102="","","|n"&amp;FE$2&amp;"+"&amp;BY102&amp;FE$1)</f>
        <v/>
      </c>
      <c r="FF102" s="30" t="str">
        <f t="shared" ref="FF102:FF141" si="1540">IF(BZ102="","","|n"&amp;FF$2&amp;"+"&amp;BZ102&amp;FF$1)</f>
        <v/>
      </c>
      <c r="FG102" s="30" t="str">
        <f t="shared" ref="FG102:FG141" si="1541">IF(CA102="","","|n"&amp;FG$2&amp;"+"&amp;CA102&amp;FG$1)</f>
        <v/>
      </c>
      <c r="FH102" s="30" t="str">
        <f t="shared" ref="FH102:FH141" si="1542">IF(CB102="","","|n"&amp;FH$2&amp;"+"&amp;CB102&amp;FH$1)</f>
        <v/>
      </c>
      <c r="FI102" s="30" t="str">
        <f t="shared" ref="FI102:FI141" si="1543">IF(CC102="","","|n"&amp;FI$2&amp;"+"&amp;CC102&amp;FI$1)</f>
        <v/>
      </c>
      <c r="FJ102" s="30" t="str">
        <f t="shared" ref="FJ102:FJ141" si="1544">IF(CD102="","","|n"&amp;FJ$2&amp;"+"&amp;CD102&amp;FJ$1)</f>
        <v/>
      </c>
      <c r="FK102" s="30" t="str">
        <f t="shared" ref="FK102:FK141" si="1545">IF(CE102="","","|n"&amp;FK$2&amp;"+"&amp;CE102&amp;FK$1)</f>
        <v/>
      </c>
      <c r="FL102" s="30" t="str">
        <f t="shared" ref="FL102:FL141" si="1546">IF(CF102="","","|n"&amp;FL$2&amp;"+"&amp;CF102&amp;FL$1)</f>
        <v/>
      </c>
      <c r="FM102" s="30" t="str">
        <f t="shared" ref="FM102:FM141" si="1547">IF(CG102="","","|n"&amp;FM$2&amp;"+"&amp;CG102&amp;FM$1)</f>
        <v/>
      </c>
      <c r="FN102" s="30" t="str">
        <f t="shared" ref="FN102:FN141" si="1548">IF(CH102="","","|n"&amp;FN$2&amp;"+"&amp;CH102&amp;FN$1)</f>
        <v/>
      </c>
      <c r="FO102" s="30" t="str">
        <f t="shared" ref="FO102:FO141" si="1549">IF(CI102="","","|n"&amp;FO$2&amp;"+"&amp;CI102&amp;FO$1)</f>
        <v/>
      </c>
      <c r="FP102" s="30" t="str">
        <f t="shared" ref="FP102:FP141" si="1550">IF(CJ102="","","|n"&amp;FP$2&amp;"+"&amp;CJ102&amp;FP$1)</f>
        <v/>
      </c>
      <c r="FQ102" s="30" t="str">
        <f t="shared" ref="FQ102:FQ141" si="1551">IF(CK102="","","|n"&amp;FQ$2&amp;"+"&amp;CK102&amp;FQ$1)</f>
        <v/>
      </c>
      <c r="FR102" s="30" t="str">
        <f t="shared" ref="FR102:FR141" si="1552">IF(CL102="","","|n"&amp;FR$2&amp;"+"&amp;CL102&amp;FR$1)</f>
        <v/>
      </c>
      <c r="FS102" s="30" t="str">
        <f t="shared" ref="FS102:FS141" si="1553">IF(CM102="","","|n"&amp;FS$2&amp;"+"&amp;CM102&amp;FS$1)</f>
        <v/>
      </c>
    </row>
    <row r="103" spans="1:175" ht="16.5">
      <c r="A103" s="110"/>
      <c r="B103" s="24" t="s">
        <v>571</v>
      </c>
      <c r="C103" s="124" t="s">
        <v>610</v>
      </c>
      <c r="T103" s="111" t="s">
        <v>530</v>
      </c>
      <c r="U103" s="32" t="str">
        <f t="shared" si="944"/>
        <v>ReplaceableTextures\\CommandButtons\\BTNINDA.blp</v>
      </c>
      <c r="CN103" s="7" t="str">
        <f t="shared" si="1478"/>
        <v>InitUnitState('INDA',,,,,,,,,,)</v>
      </c>
      <c r="CO103" s="7" t="str">
        <f t="shared" si="1479"/>
        <v>InitUnitNormal('INDA',,,,,,,,,,)</v>
      </c>
      <c r="CP103" s="7" t="str">
        <f t="shared" si="1480"/>
        <v>InitUnitMagic('INDA',,,,,,,,,,)</v>
      </c>
      <c r="CQ103" s="7" t="str">
        <f t="shared" si="1481"/>
        <v>InitUnitAdd('INDA',,,,,,,,,,)</v>
      </c>
      <c r="CR103" s="7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82"/>
        <v>|n</v>
      </c>
      <c r="CV103" s="29" t="str">
        <f t="shared" si="1483"/>
        <v>开出一个随机锦囊</v>
      </c>
      <c r="CW103" s="24"/>
      <c r="CX103" s="24"/>
      <c r="CY103" s="24"/>
      <c r="CZ103" s="24"/>
      <c r="DA103" s="24"/>
      <c r="DB103" s="30" t="str">
        <f t="shared" si="1484"/>
        <v/>
      </c>
      <c r="DC103" s="30" t="str">
        <f t="shared" si="1485"/>
        <v/>
      </c>
      <c r="DD103" s="30" t="str">
        <f t="shared" si="1486"/>
        <v/>
      </c>
      <c r="DE103" s="30" t="str">
        <f t="shared" si="1487"/>
        <v/>
      </c>
      <c r="DF103" s="30" t="str">
        <f t="shared" si="1488"/>
        <v/>
      </c>
      <c r="DG103" s="30" t="str">
        <f t="shared" si="1489"/>
        <v/>
      </c>
      <c r="DH103" s="30" t="str">
        <f t="shared" si="1490"/>
        <v/>
      </c>
      <c r="DI103" s="30" t="str">
        <f t="shared" si="1491"/>
        <v/>
      </c>
      <c r="DJ103" s="30" t="str">
        <f t="shared" si="1492"/>
        <v/>
      </c>
      <c r="DK103" s="30" t="str">
        <f t="shared" si="1493"/>
        <v/>
      </c>
      <c r="DL103" s="30" t="str">
        <f t="shared" si="1494"/>
        <v/>
      </c>
      <c r="DM103" s="30" t="str">
        <f t="shared" si="1495"/>
        <v/>
      </c>
      <c r="DN103" s="30" t="str">
        <f t="shared" si="1496"/>
        <v/>
      </c>
      <c r="DO103" s="30" t="str">
        <f t="shared" si="1497"/>
        <v/>
      </c>
      <c r="DP103" s="30" t="str">
        <f t="shared" si="1498"/>
        <v/>
      </c>
      <c r="DQ103" s="30" t="str">
        <f t="shared" si="1499"/>
        <v/>
      </c>
      <c r="DR103" s="30" t="str">
        <f t="shared" si="1500"/>
        <v/>
      </c>
      <c r="DS103" s="30" t="str">
        <f t="shared" si="1501"/>
        <v/>
      </c>
      <c r="DT103" s="30" t="str">
        <f t="shared" si="1502"/>
        <v/>
      </c>
      <c r="DU103" s="30" t="str">
        <f t="shared" si="1503"/>
        <v/>
      </c>
      <c r="DV103" s="30" t="str">
        <f t="shared" si="1504"/>
        <v/>
      </c>
      <c r="DW103" s="30" t="str">
        <f t="shared" si="1505"/>
        <v/>
      </c>
      <c r="DX103" s="30" t="str">
        <f t="shared" si="1506"/>
        <v/>
      </c>
      <c r="DY103" s="30" t="str">
        <f t="shared" si="1507"/>
        <v/>
      </c>
      <c r="DZ103" s="30" t="str">
        <f t="shared" si="1508"/>
        <v/>
      </c>
      <c r="EA103" s="30" t="str">
        <f t="shared" si="1509"/>
        <v/>
      </c>
      <c r="EB103" s="30" t="str">
        <f t="shared" si="1510"/>
        <v/>
      </c>
      <c r="EC103" s="30" t="str">
        <f t="shared" si="1511"/>
        <v/>
      </c>
      <c r="ED103" s="30" t="str">
        <f t="shared" si="1512"/>
        <v/>
      </c>
      <c r="EE103" s="30" t="str">
        <f t="shared" si="1513"/>
        <v/>
      </c>
      <c r="EF103" s="30" t="str">
        <f t="shared" si="1514"/>
        <v/>
      </c>
      <c r="EG103" s="30" t="str">
        <f t="shared" si="1515"/>
        <v/>
      </c>
      <c r="EH103" s="30" t="str">
        <f t="shared" si="1516"/>
        <v/>
      </c>
      <c r="EI103" s="30" t="str">
        <f t="shared" si="1517"/>
        <v/>
      </c>
      <c r="EJ103" s="30" t="str">
        <f t="shared" si="1518"/>
        <v/>
      </c>
      <c r="EK103" s="30" t="str">
        <f t="shared" si="1519"/>
        <v/>
      </c>
      <c r="EL103" s="30" t="str">
        <f t="shared" si="1520"/>
        <v/>
      </c>
      <c r="EM103" s="30" t="str">
        <f t="shared" si="1521"/>
        <v/>
      </c>
      <c r="EN103" s="30" t="str">
        <f t="shared" si="1522"/>
        <v/>
      </c>
      <c r="EO103" s="30" t="str">
        <f t="shared" si="1523"/>
        <v/>
      </c>
      <c r="EP103" s="30" t="str">
        <f t="shared" si="1524"/>
        <v/>
      </c>
      <c r="EQ103" s="30" t="str">
        <f t="shared" si="1525"/>
        <v/>
      </c>
      <c r="ER103" s="30" t="str">
        <f t="shared" si="1526"/>
        <v/>
      </c>
      <c r="ES103" s="30" t="str">
        <f t="shared" si="1527"/>
        <v/>
      </c>
      <c r="ET103" s="30" t="str">
        <f t="shared" si="1528"/>
        <v/>
      </c>
      <c r="EU103" s="30" t="str">
        <f t="shared" si="1529"/>
        <v/>
      </c>
      <c r="EV103" s="30" t="str">
        <f t="shared" si="1530"/>
        <v/>
      </c>
      <c r="EW103" s="30" t="str">
        <f t="shared" si="1531"/>
        <v/>
      </c>
      <c r="EX103" s="30" t="str">
        <f t="shared" si="1532"/>
        <v/>
      </c>
      <c r="EY103" s="30" t="str">
        <f t="shared" si="1533"/>
        <v/>
      </c>
      <c r="EZ103" s="30" t="str">
        <f t="shared" si="1534"/>
        <v/>
      </c>
      <c r="FA103" s="30" t="str">
        <f t="shared" si="1535"/>
        <v/>
      </c>
      <c r="FB103" s="30" t="str">
        <f t="shared" si="1536"/>
        <v/>
      </c>
      <c r="FC103" s="30" t="str">
        <f t="shared" si="1537"/>
        <v/>
      </c>
      <c r="FD103" s="30" t="str">
        <f t="shared" si="1538"/>
        <v/>
      </c>
      <c r="FE103" s="30" t="str">
        <f t="shared" si="1539"/>
        <v/>
      </c>
      <c r="FF103" s="30" t="str">
        <f t="shared" si="1540"/>
        <v/>
      </c>
      <c r="FG103" s="30" t="str">
        <f t="shared" si="1541"/>
        <v/>
      </c>
      <c r="FH103" s="30" t="str">
        <f t="shared" si="1542"/>
        <v/>
      </c>
      <c r="FI103" s="30" t="str">
        <f t="shared" si="1543"/>
        <v/>
      </c>
      <c r="FJ103" s="30" t="str">
        <f t="shared" si="1544"/>
        <v/>
      </c>
      <c r="FK103" s="30" t="str">
        <f t="shared" si="1545"/>
        <v/>
      </c>
      <c r="FL103" s="30" t="str">
        <f t="shared" si="1546"/>
        <v/>
      </c>
      <c r="FM103" s="30" t="str">
        <f t="shared" si="1547"/>
        <v/>
      </c>
      <c r="FN103" s="30" t="str">
        <f t="shared" si="1548"/>
        <v/>
      </c>
      <c r="FO103" s="30" t="str">
        <f t="shared" si="1549"/>
        <v/>
      </c>
      <c r="FP103" s="30" t="str">
        <f t="shared" si="1550"/>
        <v/>
      </c>
      <c r="FQ103" s="30" t="str">
        <f t="shared" si="1551"/>
        <v/>
      </c>
      <c r="FR103" s="30" t="str">
        <f t="shared" si="1552"/>
        <v/>
      </c>
      <c r="FS103" s="30" t="str">
        <f t="shared" si="1553"/>
        <v/>
      </c>
    </row>
    <row r="104" spans="1:175" ht="16.5">
      <c r="A104" s="110"/>
      <c r="B104" s="24" t="s">
        <v>572</v>
      </c>
      <c r="C104" s="124" t="s">
        <v>610</v>
      </c>
      <c r="T104" s="111" t="s">
        <v>530</v>
      </c>
      <c r="U104" s="32" t="str">
        <f t="shared" si="944"/>
        <v>ReplaceableTextures\\CommandButtons\\BTNINDB.blp</v>
      </c>
      <c r="CN104" s="7" t="str">
        <f t="shared" si="1478"/>
        <v>InitUnitState('INDB',,,,,,,,,,)</v>
      </c>
      <c r="CO104" s="7" t="str">
        <f t="shared" si="1479"/>
        <v>InitUnitNormal('INDB',,,,,,,,,,)</v>
      </c>
      <c r="CP104" s="7" t="str">
        <f t="shared" si="1480"/>
        <v>InitUnitMagic('INDB',,,,,,,,,,)</v>
      </c>
      <c r="CQ104" s="7" t="str">
        <f t="shared" si="1481"/>
        <v>InitUnitAdd('INDB',,,,,,,,,,)</v>
      </c>
      <c r="CR104" s="7" t="str">
        <f t="shared" si="1554"/>
        <v>InitEquipData('INDB',,"",,,,,'','','','','','',"ReplaceableTextures\\CommandButtons\\BTNIN04.blp")</v>
      </c>
      <c r="CU104" s="45" t="str">
        <f t="shared" si="1482"/>
        <v>|n</v>
      </c>
      <c r="CV104" s="29" t="str">
        <f t="shared" si="1483"/>
        <v>开出一个随机锦囊</v>
      </c>
      <c r="CW104" s="24"/>
      <c r="CX104" s="24"/>
      <c r="CY104" s="24"/>
      <c r="CZ104" s="24"/>
      <c r="DA104" s="24"/>
      <c r="DB104" s="30" t="str">
        <f t="shared" si="1484"/>
        <v/>
      </c>
      <c r="DC104" s="30" t="str">
        <f t="shared" si="1485"/>
        <v/>
      </c>
      <c r="DD104" s="30" t="str">
        <f t="shared" si="1486"/>
        <v/>
      </c>
      <c r="DE104" s="30" t="str">
        <f t="shared" si="1487"/>
        <v/>
      </c>
      <c r="DF104" s="30" t="str">
        <f t="shared" si="1488"/>
        <v/>
      </c>
      <c r="DG104" s="30" t="str">
        <f t="shared" si="1489"/>
        <v/>
      </c>
      <c r="DH104" s="30" t="str">
        <f t="shared" si="1490"/>
        <v/>
      </c>
      <c r="DI104" s="30" t="str">
        <f t="shared" si="1491"/>
        <v/>
      </c>
      <c r="DJ104" s="30" t="str">
        <f t="shared" si="1492"/>
        <v/>
      </c>
      <c r="DK104" s="30" t="str">
        <f t="shared" si="1493"/>
        <v/>
      </c>
      <c r="DL104" s="30" t="str">
        <f t="shared" si="1494"/>
        <v/>
      </c>
      <c r="DM104" s="30" t="str">
        <f t="shared" si="1495"/>
        <v/>
      </c>
      <c r="DN104" s="30" t="str">
        <f t="shared" si="1496"/>
        <v/>
      </c>
      <c r="DO104" s="30" t="str">
        <f t="shared" si="1497"/>
        <v/>
      </c>
      <c r="DP104" s="30" t="str">
        <f t="shared" si="1498"/>
        <v/>
      </c>
      <c r="DQ104" s="30" t="str">
        <f t="shared" si="1499"/>
        <v/>
      </c>
      <c r="DR104" s="30" t="str">
        <f t="shared" si="1500"/>
        <v/>
      </c>
      <c r="DS104" s="30" t="str">
        <f t="shared" si="1501"/>
        <v/>
      </c>
      <c r="DT104" s="30" t="str">
        <f t="shared" si="1502"/>
        <v/>
      </c>
      <c r="DU104" s="30" t="str">
        <f t="shared" si="1503"/>
        <v/>
      </c>
      <c r="DV104" s="30" t="str">
        <f t="shared" si="1504"/>
        <v/>
      </c>
      <c r="DW104" s="30" t="str">
        <f t="shared" si="1505"/>
        <v/>
      </c>
      <c r="DX104" s="30" t="str">
        <f t="shared" si="1506"/>
        <v/>
      </c>
      <c r="DY104" s="30" t="str">
        <f t="shared" si="1507"/>
        <v/>
      </c>
      <c r="DZ104" s="30" t="str">
        <f t="shared" si="1508"/>
        <v/>
      </c>
      <c r="EA104" s="30" t="str">
        <f t="shared" si="1509"/>
        <v/>
      </c>
      <c r="EB104" s="30" t="str">
        <f t="shared" si="1510"/>
        <v/>
      </c>
      <c r="EC104" s="30" t="str">
        <f t="shared" si="1511"/>
        <v/>
      </c>
      <c r="ED104" s="30" t="str">
        <f t="shared" si="1512"/>
        <v/>
      </c>
      <c r="EE104" s="30" t="str">
        <f t="shared" si="1513"/>
        <v/>
      </c>
      <c r="EF104" s="30" t="str">
        <f t="shared" si="1514"/>
        <v/>
      </c>
      <c r="EG104" s="30" t="str">
        <f t="shared" si="1515"/>
        <v/>
      </c>
      <c r="EH104" s="30" t="str">
        <f t="shared" si="1516"/>
        <v/>
      </c>
      <c r="EI104" s="30" t="str">
        <f t="shared" si="1517"/>
        <v/>
      </c>
      <c r="EJ104" s="30" t="str">
        <f t="shared" si="1518"/>
        <v/>
      </c>
      <c r="EK104" s="30" t="str">
        <f t="shared" si="1519"/>
        <v/>
      </c>
      <c r="EL104" s="30" t="str">
        <f t="shared" si="1520"/>
        <v/>
      </c>
      <c r="EM104" s="30" t="str">
        <f t="shared" si="1521"/>
        <v/>
      </c>
      <c r="EN104" s="30" t="str">
        <f t="shared" si="1522"/>
        <v/>
      </c>
      <c r="EO104" s="30" t="str">
        <f t="shared" si="1523"/>
        <v/>
      </c>
      <c r="EP104" s="30" t="str">
        <f t="shared" si="1524"/>
        <v/>
      </c>
      <c r="EQ104" s="30" t="str">
        <f t="shared" si="1525"/>
        <v/>
      </c>
      <c r="ER104" s="30" t="str">
        <f t="shared" si="1526"/>
        <v/>
      </c>
      <c r="ES104" s="30" t="str">
        <f t="shared" si="1527"/>
        <v/>
      </c>
      <c r="ET104" s="30" t="str">
        <f t="shared" si="1528"/>
        <v/>
      </c>
      <c r="EU104" s="30" t="str">
        <f t="shared" si="1529"/>
        <v/>
      </c>
      <c r="EV104" s="30" t="str">
        <f t="shared" si="1530"/>
        <v/>
      </c>
      <c r="EW104" s="30" t="str">
        <f t="shared" si="1531"/>
        <v/>
      </c>
      <c r="EX104" s="30" t="str">
        <f t="shared" si="1532"/>
        <v/>
      </c>
      <c r="EY104" s="30" t="str">
        <f t="shared" si="1533"/>
        <v/>
      </c>
      <c r="EZ104" s="30" t="str">
        <f t="shared" si="1534"/>
        <v/>
      </c>
      <c r="FA104" s="30" t="str">
        <f t="shared" si="1535"/>
        <v/>
      </c>
      <c r="FB104" s="30" t="str">
        <f t="shared" si="1536"/>
        <v/>
      </c>
      <c r="FC104" s="30" t="str">
        <f t="shared" si="1537"/>
        <v/>
      </c>
      <c r="FD104" s="30" t="str">
        <f t="shared" si="1538"/>
        <v/>
      </c>
      <c r="FE104" s="30" t="str">
        <f t="shared" si="1539"/>
        <v/>
      </c>
      <c r="FF104" s="30" t="str">
        <f t="shared" si="1540"/>
        <v/>
      </c>
      <c r="FG104" s="30" t="str">
        <f t="shared" si="1541"/>
        <v/>
      </c>
      <c r="FH104" s="30" t="str">
        <f t="shared" si="1542"/>
        <v/>
      </c>
      <c r="FI104" s="30" t="str">
        <f t="shared" si="1543"/>
        <v/>
      </c>
      <c r="FJ104" s="30" t="str">
        <f t="shared" si="1544"/>
        <v/>
      </c>
      <c r="FK104" s="30" t="str">
        <f t="shared" si="1545"/>
        <v/>
      </c>
      <c r="FL104" s="30" t="str">
        <f t="shared" si="1546"/>
        <v/>
      </c>
      <c r="FM104" s="30" t="str">
        <f t="shared" si="1547"/>
        <v/>
      </c>
      <c r="FN104" s="30" t="str">
        <f t="shared" si="1548"/>
        <v/>
      </c>
      <c r="FO104" s="30" t="str">
        <f t="shared" si="1549"/>
        <v/>
      </c>
      <c r="FP104" s="30" t="str">
        <f t="shared" si="1550"/>
        <v/>
      </c>
      <c r="FQ104" s="30" t="str">
        <f t="shared" si="1551"/>
        <v/>
      </c>
      <c r="FR104" s="30" t="str">
        <f t="shared" si="1552"/>
        <v/>
      </c>
      <c r="FS104" s="30" t="str">
        <f t="shared" si="1553"/>
        <v/>
      </c>
    </row>
    <row r="105" spans="1:175" ht="16.5">
      <c r="A105" s="110"/>
      <c r="B105" s="24" t="s">
        <v>573</v>
      </c>
      <c r="C105" s="124" t="s">
        <v>610</v>
      </c>
      <c r="T105" s="111" t="s">
        <v>530</v>
      </c>
      <c r="U105" s="32" t="str">
        <f t="shared" si="944"/>
        <v>ReplaceableTextures\\CommandButtons\\BTNINDC.blp</v>
      </c>
      <c r="CN105" s="7" t="str">
        <f t="shared" si="1478"/>
        <v>InitUnitState('INDC',,,,,,,,,,)</v>
      </c>
      <c r="CO105" s="7" t="str">
        <f t="shared" si="1479"/>
        <v>InitUnitNormal('INDC',,,,,,,,,,)</v>
      </c>
      <c r="CP105" s="7" t="str">
        <f t="shared" si="1480"/>
        <v>InitUnitMagic('INDC',,,,,,,,,,)</v>
      </c>
      <c r="CQ105" s="7" t="str">
        <f t="shared" si="1481"/>
        <v>InitUnitAdd('INDC',,,,,,,,,,)</v>
      </c>
      <c r="CR105" s="7" t="str">
        <f t="shared" si="1554"/>
        <v>InitEquipData('INDC',,"",,,,,'','','','','','',"ReplaceableTextures\\CommandButtons\\BTNIN05.blp")</v>
      </c>
      <c r="CU105" s="45" t="str">
        <f t="shared" si="1482"/>
        <v>|n</v>
      </c>
      <c r="CV105" s="29" t="str">
        <f t="shared" si="1483"/>
        <v>开出一个随机锦囊</v>
      </c>
      <c r="CW105" s="24"/>
      <c r="CX105" s="24"/>
      <c r="CY105" s="24"/>
      <c r="CZ105" s="24"/>
      <c r="DA105" s="24"/>
      <c r="DB105" s="30" t="str">
        <f t="shared" si="1484"/>
        <v/>
      </c>
      <c r="DC105" s="30" t="str">
        <f t="shared" si="1485"/>
        <v/>
      </c>
      <c r="DD105" s="30" t="str">
        <f t="shared" si="1486"/>
        <v/>
      </c>
      <c r="DE105" s="30" t="str">
        <f t="shared" si="1487"/>
        <v/>
      </c>
      <c r="DF105" s="30" t="str">
        <f t="shared" si="1488"/>
        <v/>
      </c>
      <c r="DG105" s="30" t="str">
        <f t="shared" si="1489"/>
        <v/>
      </c>
      <c r="DH105" s="30" t="str">
        <f t="shared" si="1490"/>
        <v/>
      </c>
      <c r="DI105" s="30" t="str">
        <f t="shared" si="1491"/>
        <v/>
      </c>
      <c r="DJ105" s="30" t="str">
        <f t="shared" si="1492"/>
        <v/>
      </c>
      <c r="DK105" s="30" t="str">
        <f t="shared" si="1493"/>
        <v/>
      </c>
      <c r="DL105" s="30" t="str">
        <f t="shared" si="1494"/>
        <v/>
      </c>
      <c r="DM105" s="30" t="str">
        <f t="shared" si="1495"/>
        <v/>
      </c>
      <c r="DN105" s="30" t="str">
        <f t="shared" si="1496"/>
        <v/>
      </c>
      <c r="DO105" s="30" t="str">
        <f t="shared" si="1497"/>
        <v/>
      </c>
      <c r="DP105" s="30" t="str">
        <f t="shared" si="1498"/>
        <v/>
      </c>
      <c r="DQ105" s="30" t="str">
        <f t="shared" si="1499"/>
        <v/>
      </c>
      <c r="DR105" s="30" t="str">
        <f t="shared" si="1500"/>
        <v/>
      </c>
      <c r="DS105" s="30" t="str">
        <f t="shared" si="1501"/>
        <v/>
      </c>
      <c r="DT105" s="30" t="str">
        <f t="shared" si="1502"/>
        <v/>
      </c>
      <c r="DU105" s="30" t="str">
        <f t="shared" si="1503"/>
        <v/>
      </c>
      <c r="DV105" s="30" t="str">
        <f t="shared" si="1504"/>
        <v/>
      </c>
      <c r="DW105" s="30" t="str">
        <f t="shared" si="1505"/>
        <v/>
      </c>
      <c r="DX105" s="30" t="str">
        <f t="shared" si="1506"/>
        <v/>
      </c>
      <c r="DY105" s="30" t="str">
        <f t="shared" si="1507"/>
        <v/>
      </c>
      <c r="DZ105" s="30" t="str">
        <f t="shared" si="1508"/>
        <v/>
      </c>
      <c r="EA105" s="30" t="str">
        <f t="shared" si="1509"/>
        <v/>
      </c>
      <c r="EB105" s="30" t="str">
        <f t="shared" si="1510"/>
        <v/>
      </c>
      <c r="EC105" s="30" t="str">
        <f t="shared" si="1511"/>
        <v/>
      </c>
      <c r="ED105" s="30" t="str">
        <f t="shared" si="1512"/>
        <v/>
      </c>
      <c r="EE105" s="30" t="str">
        <f t="shared" si="1513"/>
        <v/>
      </c>
      <c r="EF105" s="30" t="str">
        <f t="shared" si="1514"/>
        <v/>
      </c>
      <c r="EG105" s="30" t="str">
        <f t="shared" si="1515"/>
        <v/>
      </c>
      <c r="EH105" s="30" t="str">
        <f t="shared" si="1516"/>
        <v/>
      </c>
      <c r="EI105" s="30" t="str">
        <f t="shared" si="1517"/>
        <v/>
      </c>
      <c r="EJ105" s="30" t="str">
        <f t="shared" si="1518"/>
        <v/>
      </c>
      <c r="EK105" s="30" t="str">
        <f t="shared" si="1519"/>
        <v/>
      </c>
      <c r="EL105" s="30" t="str">
        <f t="shared" si="1520"/>
        <v/>
      </c>
      <c r="EM105" s="30" t="str">
        <f t="shared" si="1521"/>
        <v/>
      </c>
      <c r="EN105" s="30" t="str">
        <f t="shared" si="1522"/>
        <v/>
      </c>
      <c r="EO105" s="30" t="str">
        <f t="shared" si="1523"/>
        <v/>
      </c>
      <c r="EP105" s="30" t="str">
        <f t="shared" si="1524"/>
        <v/>
      </c>
      <c r="EQ105" s="30" t="str">
        <f t="shared" si="1525"/>
        <v/>
      </c>
      <c r="ER105" s="30" t="str">
        <f t="shared" si="1526"/>
        <v/>
      </c>
      <c r="ES105" s="30" t="str">
        <f t="shared" si="1527"/>
        <v/>
      </c>
      <c r="ET105" s="30" t="str">
        <f t="shared" si="1528"/>
        <v/>
      </c>
      <c r="EU105" s="30" t="str">
        <f t="shared" si="1529"/>
        <v/>
      </c>
      <c r="EV105" s="30" t="str">
        <f t="shared" si="1530"/>
        <v/>
      </c>
      <c r="EW105" s="30" t="str">
        <f t="shared" si="1531"/>
        <v/>
      </c>
      <c r="EX105" s="30" t="str">
        <f t="shared" si="1532"/>
        <v/>
      </c>
      <c r="EY105" s="30" t="str">
        <f t="shared" si="1533"/>
        <v/>
      </c>
      <c r="EZ105" s="30" t="str">
        <f t="shared" si="1534"/>
        <v/>
      </c>
      <c r="FA105" s="30" t="str">
        <f t="shared" si="1535"/>
        <v/>
      </c>
      <c r="FB105" s="30" t="str">
        <f t="shared" si="1536"/>
        <v/>
      </c>
      <c r="FC105" s="30" t="str">
        <f t="shared" si="1537"/>
        <v/>
      </c>
      <c r="FD105" s="30" t="str">
        <f t="shared" si="1538"/>
        <v/>
      </c>
      <c r="FE105" s="30" t="str">
        <f t="shared" si="1539"/>
        <v/>
      </c>
      <c r="FF105" s="30" t="str">
        <f t="shared" si="1540"/>
        <v/>
      </c>
      <c r="FG105" s="30" t="str">
        <f t="shared" si="1541"/>
        <v/>
      </c>
      <c r="FH105" s="30" t="str">
        <f t="shared" si="1542"/>
        <v/>
      </c>
      <c r="FI105" s="30" t="str">
        <f t="shared" si="1543"/>
        <v/>
      </c>
      <c r="FJ105" s="30" t="str">
        <f t="shared" si="1544"/>
        <v/>
      </c>
      <c r="FK105" s="30" t="str">
        <f t="shared" si="1545"/>
        <v/>
      </c>
      <c r="FL105" s="30" t="str">
        <f t="shared" si="1546"/>
        <v/>
      </c>
      <c r="FM105" s="30" t="str">
        <f t="shared" si="1547"/>
        <v/>
      </c>
      <c r="FN105" s="30" t="str">
        <f t="shared" si="1548"/>
        <v/>
      </c>
      <c r="FO105" s="30" t="str">
        <f t="shared" si="1549"/>
        <v/>
      </c>
      <c r="FP105" s="30" t="str">
        <f t="shared" si="1550"/>
        <v/>
      </c>
      <c r="FQ105" s="30" t="str">
        <f t="shared" si="1551"/>
        <v/>
      </c>
      <c r="FR105" s="30" t="str">
        <f t="shared" si="1552"/>
        <v/>
      </c>
      <c r="FS105" s="30" t="str">
        <f t="shared" si="1553"/>
        <v/>
      </c>
    </row>
    <row r="106" spans="1:175" ht="16.5">
      <c r="A106" s="110"/>
      <c r="B106" s="24" t="s">
        <v>574</v>
      </c>
      <c r="C106" s="124" t="s">
        <v>610</v>
      </c>
      <c r="T106" s="111" t="s">
        <v>530</v>
      </c>
      <c r="U106" s="32" t="str">
        <f t="shared" si="944"/>
        <v>ReplaceableTextures\\CommandButtons\\BTNINDD.blp</v>
      </c>
      <c r="CN106" s="7" t="str">
        <f t="shared" si="1478"/>
        <v>InitUnitState('INDD',,,,,,,,,,)</v>
      </c>
      <c r="CO106" s="7" t="str">
        <f t="shared" si="1479"/>
        <v>InitUnitNormal('INDD',,,,,,,,,,)</v>
      </c>
      <c r="CP106" s="7" t="str">
        <f t="shared" si="1480"/>
        <v>InitUnitMagic('INDD',,,,,,,,,,)</v>
      </c>
      <c r="CQ106" s="7" t="str">
        <f t="shared" si="1481"/>
        <v>InitUnitAdd('INDD',,,,,,,,,,)</v>
      </c>
      <c r="CR106" s="7" t="str">
        <f t="shared" si="1554"/>
        <v>InitEquipData('INDD',,"",,,,,'','','','','','',"ReplaceableTextures\\CommandButtons\\BTNIN06.blp")</v>
      </c>
      <c r="CU106" s="45" t="str">
        <f t="shared" si="1482"/>
        <v>|n</v>
      </c>
      <c r="CV106" s="29" t="str">
        <f t="shared" si="1483"/>
        <v>开出一个随机锦囊</v>
      </c>
      <c r="CW106" s="24"/>
      <c r="CX106" s="24"/>
      <c r="CY106" s="24"/>
      <c r="CZ106" s="24"/>
      <c r="DA106" s="24"/>
      <c r="DB106" s="30" t="str">
        <f t="shared" si="1484"/>
        <v/>
      </c>
      <c r="DC106" s="30" t="str">
        <f t="shared" si="1485"/>
        <v/>
      </c>
      <c r="DD106" s="30" t="str">
        <f t="shared" si="1486"/>
        <v/>
      </c>
      <c r="DE106" s="30" t="str">
        <f t="shared" si="1487"/>
        <v/>
      </c>
      <c r="DF106" s="30" t="str">
        <f t="shared" si="1488"/>
        <v/>
      </c>
      <c r="DG106" s="30" t="str">
        <f t="shared" si="1489"/>
        <v/>
      </c>
      <c r="DH106" s="30" t="str">
        <f t="shared" si="1490"/>
        <v/>
      </c>
      <c r="DI106" s="30" t="str">
        <f t="shared" si="1491"/>
        <v/>
      </c>
      <c r="DJ106" s="30" t="str">
        <f t="shared" si="1492"/>
        <v/>
      </c>
      <c r="DK106" s="30" t="str">
        <f t="shared" si="1493"/>
        <v/>
      </c>
      <c r="DL106" s="30" t="str">
        <f t="shared" si="1494"/>
        <v/>
      </c>
      <c r="DM106" s="30" t="str">
        <f t="shared" si="1495"/>
        <v/>
      </c>
      <c r="DN106" s="30" t="str">
        <f t="shared" si="1496"/>
        <v/>
      </c>
      <c r="DO106" s="30" t="str">
        <f t="shared" si="1497"/>
        <v/>
      </c>
      <c r="DP106" s="30" t="str">
        <f t="shared" si="1498"/>
        <v/>
      </c>
      <c r="DQ106" s="30" t="str">
        <f t="shared" si="1499"/>
        <v/>
      </c>
      <c r="DR106" s="30" t="str">
        <f t="shared" si="1500"/>
        <v/>
      </c>
      <c r="DS106" s="30" t="str">
        <f t="shared" si="1501"/>
        <v/>
      </c>
      <c r="DT106" s="30" t="str">
        <f t="shared" si="1502"/>
        <v/>
      </c>
      <c r="DU106" s="30" t="str">
        <f t="shared" si="1503"/>
        <v/>
      </c>
      <c r="DV106" s="30" t="str">
        <f t="shared" si="1504"/>
        <v/>
      </c>
      <c r="DW106" s="30" t="str">
        <f t="shared" si="1505"/>
        <v/>
      </c>
      <c r="DX106" s="30" t="str">
        <f t="shared" si="1506"/>
        <v/>
      </c>
      <c r="DY106" s="30" t="str">
        <f t="shared" si="1507"/>
        <v/>
      </c>
      <c r="DZ106" s="30" t="str">
        <f t="shared" si="1508"/>
        <v/>
      </c>
      <c r="EA106" s="30" t="str">
        <f t="shared" si="1509"/>
        <v/>
      </c>
      <c r="EB106" s="30" t="str">
        <f t="shared" si="1510"/>
        <v/>
      </c>
      <c r="EC106" s="30" t="str">
        <f t="shared" si="1511"/>
        <v/>
      </c>
      <c r="ED106" s="30" t="str">
        <f t="shared" si="1512"/>
        <v/>
      </c>
      <c r="EE106" s="30" t="str">
        <f t="shared" si="1513"/>
        <v/>
      </c>
      <c r="EF106" s="30" t="str">
        <f t="shared" si="1514"/>
        <v/>
      </c>
      <c r="EG106" s="30" t="str">
        <f t="shared" si="1515"/>
        <v/>
      </c>
      <c r="EH106" s="30" t="str">
        <f t="shared" si="1516"/>
        <v/>
      </c>
      <c r="EI106" s="30" t="str">
        <f t="shared" si="1517"/>
        <v/>
      </c>
      <c r="EJ106" s="30" t="str">
        <f t="shared" si="1518"/>
        <v/>
      </c>
      <c r="EK106" s="30" t="str">
        <f t="shared" si="1519"/>
        <v/>
      </c>
      <c r="EL106" s="30" t="str">
        <f t="shared" si="1520"/>
        <v/>
      </c>
      <c r="EM106" s="30" t="str">
        <f t="shared" si="1521"/>
        <v/>
      </c>
      <c r="EN106" s="30" t="str">
        <f t="shared" si="1522"/>
        <v/>
      </c>
      <c r="EO106" s="30" t="str">
        <f t="shared" si="1523"/>
        <v/>
      </c>
      <c r="EP106" s="30" t="str">
        <f t="shared" si="1524"/>
        <v/>
      </c>
      <c r="EQ106" s="30" t="str">
        <f t="shared" si="1525"/>
        <v/>
      </c>
      <c r="ER106" s="30" t="str">
        <f t="shared" si="1526"/>
        <v/>
      </c>
      <c r="ES106" s="30" t="str">
        <f t="shared" si="1527"/>
        <v/>
      </c>
      <c r="ET106" s="30" t="str">
        <f t="shared" si="1528"/>
        <v/>
      </c>
      <c r="EU106" s="30" t="str">
        <f t="shared" si="1529"/>
        <v/>
      </c>
      <c r="EV106" s="30" t="str">
        <f t="shared" si="1530"/>
        <v/>
      </c>
      <c r="EW106" s="30" t="str">
        <f t="shared" si="1531"/>
        <v/>
      </c>
      <c r="EX106" s="30" t="str">
        <f t="shared" si="1532"/>
        <v/>
      </c>
      <c r="EY106" s="30" t="str">
        <f t="shared" si="1533"/>
        <v/>
      </c>
      <c r="EZ106" s="30" t="str">
        <f t="shared" si="1534"/>
        <v/>
      </c>
      <c r="FA106" s="30" t="str">
        <f t="shared" si="1535"/>
        <v/>
      </c>
      <c r="FB106" s="30" t="str">
        <f t="shared" si="1536"/>
        <v/>
      </c>
      <c r="FC106" s="30" t="str">
        <f t="shared" si="1537"/>
        <v/>
      </c>
      <c r="FD106" s="30" t="str">
        <f t="shared" si="1538"/>
        <v/>
      </c>
      <c r="FE106" s="30" t="str">
        <f t="shared" si="1539"/>
        <v/>
      </c>
      <c r="FF106" s="30" t="str">
        <f t="shared" si="1540"/>
        <v/>
      </c>
      <c r="FG106" s="30" t="str">
        <f t="shared" si="1541"/>
        <v/>
      </c>
      <c r="FH106" s="30" t="str">
        <f t="shared" si="1542"/>
        <v/>
      </c>
      <c r="FI106" s="30" t="str">
        <f t="shared" si="1543"/>
        <v/>
      </c>
      <c r="FJ106" s="30" t="str">
        <f t="shared" si="1544"/>
        <v/>
      </c>
      <c r="FK106" s="30" t="str">
        <f t="shared" si="1545"/>
        <v/>
      </c>
      <c r="FL106" s="30" t="str">
        <f t="shared" si="1546"/>
        <v/>
      </c>
      <c r="FM106" s="30" t="str">
        <f t="shared" si="1547"/>
        <v/>
      </c>
      <c r="FN106" s="30" t="str">
        <f t="shared" si="1548"/>
        <v/>
      </c>
      <c r="FO106" s="30" t="str">
        <f t="shared" si="1549"/>
        <v/>
      </c>
      <c r="FP106" s="30" t="str">
        <f t="shared" si="1550"/>
        <v/>
      </c>
      <c r="FQ106" s="30" t="str">
        <f t="shared" si="1551"/>
        <v/>
      </c>
      <c r="FR106" s="30" t="str">
        <f t="shared" si="1552"/>
        <v/>
      </c>
      <c r="FS106" s="30" t="str">
        <f t="shared" si="1553"/>
        <v/>
      </c>
    </row>
    <row r="107" spans="1:175" ht="16.5">
      <c r="A107" s="110"/>
      <c r="B107" s="24" t="s">
        <v>575</v>
      </c>
      <c r="C107" s="124" t="s">
        <v>610</v>
      </c>
      <c r="T107" s="111" t="s">
        <v>530</v>
      </c>
      <c r="U107" s="32" t="str">
        <f t="shared" si="944"/>
        <v>ReplaceableTextures\\CommandButtons\\BTNINDE.blp</v>
      </c>
      <c r="CN107" s="7" t="str">
        <f t="shared" si="1478"/>
        <v>InitUnitState('INDE',,,,,,,,,,)</v>
      </c>
      <c r="CO107" s="7" t="str">
        <f t="shared" si="1479"/>
        <v>InitUnitNormal('INDE',,,,,,,,,,)</v>
      </c>
      <c r="CP107" s="7" t="str">
        <f t="shared" si="1480"/>
        <v>InitUnitMagic('INDE',,,,,,,,,,)</v>
      </c>
      <c r="CQ107" s="7" t="str">
        <f t="shared" si="1481"/>
        <v>InitUnitAdd('INDE',,,,,,,,,,)</v>
      </c>
      <c r="CR107" s="7" t="str">
        <f t="shared" si="1554"/>
        <v>InitEquipData('INDE',,"",,,,,'','','','','','',"ReplaceableTextures\\CommandButtons\\BTNIN07.blp")</v>
      </c>
      <c r="CU107" s="45" t="str">
        <f t="shared" si="1482"/>
        <v>|n</v>
      </c>
      <c r="CV107" s="29" t="str">
        <f t="shared" si="1483"/>
        <v>开出一个随机锦囊</v>
      </c>
      <c r="CW107" s="24"/>
      <c r="CX107" s="24"/>
      <c r="CY107" s="24"/>
      <c r="CZ107" s="24"/>
      <c r="DA107" s="24"/>
      <c r="DB107" s="30" t="str">
        <f t="shared" si="1484"/>
        <v/>
      </c>
      <c r="DC107" s="30" t="str">
        <f t="shared" si="1485"/>
        <v/>
      </c>
      <c r="DD107" s="30" t="str">
        <f t="shared" si="1486"/>
        <v/>
      </c>
      <c r="DE107" s="30" t="str">
        <f t="shared" si="1487"/>
        <v/>
      </c>
      <c r="DF107" s="30" t="str">
        <f t="shared" si="1488"/>
        <v/>
      </c>
      <c r="DG107" s="30" t="str">
        <f t="shared" si="1489"/>
        <v/>
      </c>
      <c r="DH107" s="30" t="str">
        <f t="shared" si="1490"/>
        <v/>
      </c>
      <c r="DI107" s="30" t="str">
        <f t="shared" si="1491"/>
        <v/>
      </c>
      <c r="DJ107" s="30" t="str">
        <f t="shared" si="1492"/>
        <v/>
      </c>
      <c r="DK107" s="30" t="str">
        <f t="shared" si="1493"/>
        <v/>
      </c>
      <c r="DL107" s="30" t="str">
        <f t="shared" si="1494"/>
        <v/>
      </c>
      <c r="DM107" s="30" t="str">
        <f t="shared" si="1495"/>
        <v/>
      </c>
      <c r="DN107" s="30" t="str">
        <f t="shared" si="1496"/>
        <v/>
      </c>
      <c r="DO107" s="30" t="str">
        <f t="shared" si="1497"/>
        <v/>
      </c>
      <c r="DP107" s="30" t="str">
        <f t="shared" si="1498"/>
        <v/>
      </c>
      <c r="DQ107" s="30" t="str">
        <f t="shared" si="1499"/>
        <v/>
      </c>
      <c r="DR107" s="30" t="str">
        <f t="shared" si="1500"/>
        <v/>
      </c>
      <c r="DS107" s="30" t="str">
        <f t="shared" si="1501"/>
        <v/>
      </c>
      <c r="DT107" s="30" t="str">
        <f t="shared" si="1502"/>
        <v/>
      </c>
      <c r="DU107" s="30" t="str">
        <f t="shared" si="1503"/>
        <v/>
      </c>
      <c r="DV107" s="30" t="str">
        <f t="shared" si="1504"/>
        <v/>
      </c>
      <c r="DW107" s="30" t="str">
        <f t="shared" si="1505"/>
        <v/>
      </c>
      <c r="DX107" s="30" t="str">
        <f t="shared" si="1506"/>
        <v/>
      </c>
      <c r="DY107" s="30" t="str">
        <f t="shared" si="1507"/>
        <v/>
      </c>
      <c r="DZ107" s="30" t="str">
        <f t="shared" si="1508"/>
        <v/>
      </c>
      <c r="EA107" s="30" t="str">
        <f t="shared" si="1509"/>
        <v/>
      </c>
      <c r="EB107" s="30" t="str">
        <f t="shared" si="1510"/>
        <v/>
      </c>
      <c r="EC107" s="30" t="str">
        <f t="shared" si="1511"/>
        <v/>
      </c>
      <c r="ED107" s="30" t="str">
        <f t="shared" si="1512"/>
        <v/>
      </c>
      <c r="EE107" s="30" t="str">
        <f t="shared" si="1513"/>
        <v/>
      </c>
      <c r="EF107" s="30" t="str">
        <f t="shared" si="1514"/>
        <v/>
      </c>
      <c r="EG107" s="30" t="str">
        <f t="shared" si="1515"/>
        <v/>
      </c>
      <c r="EH107" s="30" t="str">
        <f t="shared" si="1516"/>
        <v/>
      </c>
      <c r="EI107" s="30" t="str">
        <f t="shared" si="1517"/>
        <v/>
      </c>
      <c r="EJ107" s="30" t="str">
        <f t="shared" si="1518"/>
        <v/>
      </c>
      <c r="EK107" s="30" t="str">
        <f t="shared" si="1519"/>
        <v/>
      </c>
      <c r="EL107" s="30" t="str">
        <f t="shared" si="1520"/>
        <v/>
      </c>
      <c r="EM107" s="30" t="str">
        <f t="shared" si="1521"/>
        <v/>
      </c>
      <c r="EN107" s="30" t="str">
        <f t="shared" si="1522"/>
        <v/>
      </c>
      <c r="EO107" s="30" t="str">
        <f t="shared" si="1523"/>
        <v/>
      </c>
      <c r="EP107" s="30" t="str">
        <f t="shared" si="1524"/>
        <v/>
      </c>
      <c r="EQ107" s="30" t="str">
        <f t="shared" si="1525"/>
        <v/>
      </c>
      <c r="ER107" s="30" t="str">
        <f t="shared" si="1526"/>
        <v/>
      </c>
      <c r="ES107" s="30" t="str">
        <f t="shared" si="1527"/>
        <v/>
      </c>
      <c r="ET107" s="30" t="str">
        <f t="shared" si="1528"/>
        <v/>
      </c>
      <c r="EU107" s="30" t="str">
        <f t="shared" si="1529"/>
        <v/>
      </c>
      <c r="EV107" s="30" t="str">
        <f t="shared" si="1530"/>
        <v/>
      </c>
      <c r="EW107" s="30" t="str">
        <f t="shared" si="1531"/>
        <v/>
      </c>
      <c r="EX107" s="30" t="str">
        <f t="shared" si="1532"/>
        <v/>
      </c>
      <c r="EY107" s="30" t="str">
        <f t="shared" si="1533"/>
        <v/>
      </c>
      <c r="EZ107" s="30" t="str">
        <f t="shared" si="1534"/>
        <v/>
      </c>
      <c r="FA107" s="30" t="str">
        <f t="shared" si="1535"/>
        <v/>
      </c>
      <c r="FB107" s="30" t="str">
        <f t="shared" si="1536"/>
        <v/>
      </c>
      <c r="FC107" s="30" t="str">
        <f t="shared" si="1537"/>
        <v/>
      </c>
      <c r="FD107" s="30" t="str">
        <f t="shared" si="1538"/>
        <v/>
      </c>
      <c r="FE107" s="30" t="str">
        <f t="shared" si="1539"/>
        <v/>
      </c>
      <c r="FF107" s="30" t="str">
        <f t="shared" si="1540"/>
        <v/>
      </c>
      <c r="FG107" s="30" t="str">
        <f t="shared" si="1541"/>
        <v/>
      </c>
      <c r="FH107" s="30" t="str">
        <f t="shared" si="1542"/>
        <v/>
      </c>
      <c r="FI107" s="30" t="str">
        <f t="shared" si="1543"/>
        <v/>
      </c>
      <c r="FJ107" s="30" t="str">
        <f t="shared" si="1544"/>
        <v/>
      </c>
      <c r="FK107" s="30" t="str">
        <f t="shared" si="1545"/>
        <v/>
      </c>
      <c r="FL107" s="30" t="str">
        <f t="shared" si="1546"/>
        <v/>
      </c>
      <c r="FM107" s="30" t="str">
        <f t="shared" si="1547"/>
        <v/>
      </c>
      <c r="FN107" s="30" t="str">
        <f t="shared" si="1548"/>
        <v/>
      </c>
      <c r="FO107" s="30" t="str">
        <f t="shared" si="1549"/>
        <v/>
      </c>
      <c r="FP107" s="30" t="str">
        <f t="shared" si="1550"/>
        <v/>
      </c>
      <c r="FQ107" s="30" t="str">
        <f t="shared" si="1551"/>
        <v/>
      </c>
      <c r="FR107" s="30" t="str">
        <f t="shared" si="1552"/>
        <v/>
      </c>
      <c r="FS107" s="30" t="str">
        <f t="shared" si="1553"/>
        <v/>
      </c>
    </row>
    <row r="108" spans="1:175" ht="16.5">
      <c r="A108" s="110"/>
      <c r="B108" s="24" t="s">
        <v>576</v>
      </c>
      <c r="C108" s="124" t="s">
        <v>611</v>
      </c>
      <c r="T108" s="111" t="s">
        <v>530</v>
      </c>
      <c r="U108" s="32" t="str">
        <f t="shared" si="944"/>
        <v>ReplaceableTextures\\CommandButtons\\BTNINDF.blp</v>
      </c>
      <c r="CN108" s="7" t="str">
        <f t="shared" si="1478"/>
        <v>InitUnitState('INDF',,,,,,,,,,)</v>
      </c>
      <c r="CO108" s="7" t="str">
        <f t="shared" si="1479"/>
        <v>InitUnitNormal('INDF',,,,,,,,,,)</v>
      </c>
      <c r="CP108" s="7" t="str">
        <f t="shared" si="1480"/>
        <v>InitUnitMagic('INDF',,,,,,,,,,)</v>
      </c>
      <c r="CQ108" s="7" t="str">
        <f t="shared" si="1481"/>
        <v>InitUnitAdd('INDF',,,,,,,,,,)</v>
      </c>
      <c r="CR108" s="7" t="str">
        <f t="shared" si="1554"/>
        <v>InitEquipData('INDF',,"",,,,,'','','','','','',"ReplaceableTextures\\CommandButtons\\BTNIN08.blp")</v>
      </c>
      <c r="CU108" s="45" t="str">
        <f t="shared" si="1482"/>
        <v>|n</v>
      </c>
      <c r="CV108" s="29" t="str">
        <f t="shared" si="1483"/>
        <v>开出一个随机锦囊</v>
      </c>
      <c r="CW108" s="24"/>
      <c r="CX108" s="24"/>
      <c r="CY108" s="24"/>
      <c r="CZ108" s="24"/>
      <c r="DA108" s="24"/>
      <c r="DB108" s="30" t="str">
        <f t="shared" si="1484"/>
        <v/>
      </c>
      <c r="DC108" s="30" t="str">
        <f t="shared" si="1485"/>
        <v/>
      </c>
      <c r="DD108" s="30" t="str">
        <f t="shared" si="1486"/>
        <v/>
      </c>
      <c r="DE108" s="30" t="str">
        <f t="shared" si="1487"/>
        <v/>
      </c>
      <c r="DF108" s="30" t="str">
        <f t="shared" si="1488"/>
        <v/>
      </c>
      <c r="DG108" s="30" t="str">
        <f t="shared" si="1489"/>
        <v/>
      </c>
      <c r="DH108" s="30" t="str">
        <f t="shared" si="1490"/>
        <v/>
      </c>
      <c r="DI108" s="30" t="str">
        <f t="shared" si="1491"/>
        <v/>
      </c>
      <c r="DJ108" s="30" t="str">
        <f t="shared" si="1492"/>
        <v/>
      </c>
      <c r="DK108" s="30" t="str">
        <f t="shared" si="1493"/>
        <v/>
      </c>
      <c r="DL108" s="30" t="str">
        <f t="shared" si="1494"/>
        <v/>
      </c>
      <c r="DM108" s="30" t="str">
        <f t="shared" si="1495"/>
        <v/>
      </c>
      <c r="DN108" s="30" t="str">
        <f t="shared" si="1496"/>
        <v/>
      </c>
      <c r="DO108" s="30" t="str">
        <f t="shared" si="1497"/>
        <v/>
      </c>
      <c r="DP108" s="30" t="str">
        <f t="shared" si="1498"/>
        <v/>
      </c>
      <c r="DQ108" s="30" t="str">
        <f t="shared" si="1499"/>
        <v/>
      </c>
      <c r="DR108" s="30" t="str">
        <f t="shared" si="1500"/>
        <v/>
      </c>
      <c r="DS108" s="30" t="str">
        <f t="shared" si="1501"/>
        <v/>
      </c>
      <c r="DT108" s="30" t="str">
        <f t="shared" si="1502"/>
        <v/>
      </c>
      <c r="DU108" s="30" t="str">
        <f t="shared" si="1503"/>
        <v/>
      </c>
      <c r="DV108" s="30" t="str">
        <f t="shared" si="1504"/>
        <v/>
      </c>
      <c r="DW108" s="30" t="str">
        <f t="shared" si="1505"/>
        <v/>
      </c>
      <c r="DX108" s="30" t="str">
        <f t="shared" si="1506"/>
        <v/>
      </c>
      <c r="DY108" s="30" t="str">
        <f t="shared" si="1507"/>
        <v/>
      </c>
      <c r="DZ108" s="30" t="str">
        <f t="shared" si="1508"/>
        <v/>
      </c>
      <c r="EA108" s="30" t="str">
        <f t="shared" si="1509"/>
        <v/>
      </c>
      <c r="EB108" s="30" t="str">
        <f t="shared" si="1510"/>
        <v/>
      </c>
      <c r="EC108" s="30" t="str">
        <f t="shared" si="1511"/>
        <v/>
      </c>
      <c r="ED108" s="30" t="str">
        <f t="shared" si="1512"/>
        <v/>
      </c>
      <c r="EE108" s="30" t="str">
        <f t="shared" si="1513"/>
        <v/>
      </c>
      <c r="EF108" s="30" t="str">
        <f t="shared" si="1514"/>
        <v/>
      </c>
      <c r="EG108" s="30" t="str">
        <f t="shared" si="1515"/>
        <v/>
      </c>
      <c r="EH108" s="30" t="str">
        <f t="shared" si="1516"/>
        <v/>
      </c>
      <c r="EI108" s="30" t="str">
        <f t="shared" si="1517"/>
        <v/>
      </c>
      <c r="EJ108" s="30" t="str">
        <f t="shared" si="1518"/>
        <v/>
      </c>
      <c r="EK108" s="30" t="str">
        <f t="shared" si="1519"/>
        <v/>
      </c>
      <c r="EL108" s="30" t="str">
        <f t="shared" si="1520"/>
        <v/>
      </c>
      <c r="EM108" s="30" t="str">
        <f t="shared" si="1521"/>
        <v/>
      </c>
      <c r="EN108" s="30" t="str">
        <f t="shared" si="1522"/>
        <v/>
      </c>
      <c r="EO108" s="30" t="str">
        <f t="shared" si="1523"/>
        <v/>
      </c>
      <c r="EP108" s="30" t="str">
        <f t="shared" si="1524"/>
        <v/>
      </c>
      <c r="EQ108" s="30" t="str">
        <f t="shared" si="1525"/>
        <v/>
      </c>
      <c r="ER108" s="30" t="str">
        <f t="shared" si="1526"/>
        <v/>
      </c>
      <c r="ES108" s="30" t="str">
        <f t="shared" si="1527"/>
        <v/>
      </c>
      <c r="ET108" s="30" t="str">
        <f t="shared" si="1528"/>
        <v/>
      </c>
      <c r="EU108" s="30" t="str">
        <f t="shared" si="1529"/>
        <v/>
      </c>
      <c r="EV108" s="30" t="str">
        <f t="shared" si="1530"/>
        <v/>
      </c>
      <c r="EW108" s="30" t="str">
        <f t="shared" si="1531"/>
        <v/>
      </c>
      <c r="EX108" s="30" t="str">
        <f t="shared" si="1532"/>
        <v/>
      </c>
      <c r="EY108" s="30" t="str">
        <f t="shared" si="1533"/>
        <v/>
      </c>
      <c r="EZ108" s="30" t="str">
        <f t="shared" si="1534"/>
        <v/>
      </c>
      <c r="FA108" s="30" t="str">
        <f t="shared" si="1535"/>
        <v/>
      </c>
      <c r="FB108" s="30" t="str">
        <f t="shared" si="1536"/>
        <v/>
      </c>
      <c r="FC108" s="30" t="str">
        <f t="shared" si="1537"/>
        <v/>
      </c>
      <c r="FD108" s="30" t="str">
        <f t="shared" si="1538"/>
        <v/>
      </c>
      <c r="FE108" s="30" t="str">
        <f t="shared" si="1539"/>
        <v/>
      </c>
      <c r="FF108" s="30" t="str">
        <f t="shared" si="1540"/>
        <v/>
      </c>
      <c r="FG108" s="30" t="str">
        <f t="shared" si="1541"/>
        <v/>
      </c>
      <c r="FH108" s="30" t="str">
        <f t="shared" si="1542"/>
        <v/>
      </c>
      <c r="FI108" s="30" t="str">
        <f t="shared" si="1543"/>
        <v/>
      </c>
      <c r="FJ108" s="30" t="str">
        <f t="shared" si="1544"/>
        <v/>
      </c>
      <c r="FK108" s="30" t="str">
        <f t="shared" si="1545"/>
        <v/>
      </c>
      <c r="FL108" s="30" t="str">
        <f t="shared" si="1546"/>
        <v/>
      </c>
      <c r="FM108" s="30" t="str">
        <f t="shared" si="1547"/>
        <v/>
      </c>
      <c r="FN108" s="30" t="str">
        <f t="shared" si="1548"/>
        <v/>
      </c>
      <c r="FO108" s="30" t="str">
        <f t="shared" si="1549"/>
        <v/>
      </c>
      <c r="FP108" s="30" t="str">
        <f t="shared" si="1550"/>
        <v/>
      </c>
      <c r="FQ108" s="30" t="str">
        <f t="shared" si="1551"/>
        <v/>
      </c>
      <c r="FR108" s="30" t="str">
        <f t="shared" si="1552"/>
        <v/>
      </c>
      <c r="FS108" s="30" t="str">
        <f t="shared" si="1553"/>
        <v/>
      </c>
    </row>
    <row r="109" spans="1:175" ht="16.5">
      <c r="A109" s="110"/>
      <c r="B109" s="24" t="s">
        <v>577</v>
      </c>
      <c r="C109" s="124" t="s">
        <v>610</v>
      </c>
      <c r="T109" s="111" t="s">
        <v>530</v>
      </c>
      <c r="U109" s="32" t="str">
        <f t="shared" si="944"/>
        <v>ReplaceableTextures\\CommandButtons\\BTNINDG.blp</v>
      </c>
      <c r="CN109" s="7" t="str">
        <f t="shared" si="1478"/>
        <v>InitUnitState('INDG',,,,,,,,,,)</v>
      </c>
      <c r="CO109" s="7" t="str">
        <f t="shared" si="1479"/>
        <v>InitUnitNormal('INDG',,,,,,,,,,)</v>
      </c>
      <c r="CP109" s="7" t="str">
        <f t="shared" si="1480"/>
        <v>InitUnitMagic('INDG',,,,,,,,,,)</v>
      </c>
      <c r="CQ109" s="7" t="str">
        <f t="shared" si="1481"/>
        <v>InitUnitAdd('INDG',,,,,,,,,,)</v>
      </c>
      <c r="CR109" s="7" t="str">
        <f t="shared" si="1554"/>
        <v>InitEquipData('INDG',,"",,,,,'','','','','','',"ReplaceableTextures\\CommandButtons\\BTNIN09.blp")</v>
      </c>
      <c r="CU109" s="45" t="str">
        <f t="shared" si="1482"/>
        <v>|n</v>
      </c>
      <c r="CV109" s="29" t="str">
        <f t="shared" si="1483"/>
        <v>开出一个随机锦囊</v>
      </c>
      <c r="CW109" s="24"/>
      <c r="CX109" s="24"/>
      <c r="CY109" s="24"/>
      <c r="CZ109" s="24"/>
      <c r="DA109" s="24"/>
      <c r="DB109" s="30" t="str">
        <f t="shared" si="1484"/>
        <v/>
      </c>
      <c r="DC109" s="30" t="str">
        <f t="shared" si="1485"/>
        <v/>
      </c>
      <c r="DD109" s="30" t="str">
        <f t="shared" si="1486"/>
        <v/>
      </c>
      <c r="DE109" s="30" t="str">
        <f t="shared" si="1487"/>
        <v/>
      </c>
      <c r="DF109" s="30" t="str">
        <f t="shared" si="1488"/>
        <v/>
      </c>
      <c r="DG109" s="30" t="str">
        <f t="shared" si="1489"/>
        <v/>
      </c>
      <c r="DH109" s="30" t="str">
        <f t="shared" si="1490"/>
        <v/>
      </c>
      <c r="DI109" s="30" t="str">
        <f t="shared" si="1491"/>
        <v/>
      </c>
      <c r="DJ109" s="30" t="str">
        <f t="shared" si="1492"/>
        <v/>
      </c>
      <c r="DK109" s="30" t="str">
        <f t="shared" si="1493"/>
        <v/>
      </c>
      <c r="DL109" s="30" t="str">
        <f t="shared" si="1494"/>
        <v/>
      </c>
      <c r="DM109" s="30" t="str">
        <f t="shared" si="1495"/>
        <v/>
      </c>
      <c r="DN109" s="30" t="str">
        <f t="shared" si="1496"/>
        <v/>
      </c>
      <c r="DO109" s="30" t="str">
        <f t="shared" si="1497"/>
        <v/>
      </c>
      <c r="DP109" s="30" t="str">
        <f t="shared" si="1498"/>
        <v/>
      </c>
      <c r="DQ109" s="30" t="str">
        <f t="shared" si="1499"/>
        <v/>
      </c>
      <c r="DR109" s="30" t="str">
        <f t="shared" si="1500"/>
        <v/>
      </c>
      <c r="DS109" s="30" t="str">
        <f t="shared" si="1501"/>
        <v/>
      </c>
      <c r="DT109" s="30" t="str">
        <f t="shared" si="1502"/>
        <v/>
      </c>
      <c r="DU109" s="30" t="str">
        <f t="shared" si="1503"/>
        <v/>
      </c>
      <c r="DV109" s="30" t="str">
        <f t="shared" si="1504"/>
        <v/>
      </c>
      <c r="DW109" s="30" t="str">
        <f t="shared" si="1505"/>
        <v/>
      </c>
      <c r="DX109" s="30" t="str">
        <f t="shared" si="1506"/>
        <v/>
      </c>
      <c r="DY109" s="30" t="str">
        <f t="shared" si="1507"/>
        <v/>
      </c>
      <c r="DZ109" s="30" t="str">
        <f t="shared" si="1508"/>
        <v/>
      </c>
      <c r="EA109" s="30" t="str">
        <f t="shared" si="1509"/>
        <v/>
      </c>
      <c r="EB109" s="30" t="str">
        <f t="shared" si="1510"/>
        <v/>
      </c>
      <c r="EC109" s="30" t="str">
        <f t="shared" si="1511"/>
        <v/>
      </c>
      <c r="ED109" s="30" t="str">
        <f t="shared" si="1512"/>
        <v/>
      </c>
      <c r="EE109" s="30" t="str">
        <f t="shared" si="1513"/>
        <v/>
      </c>
      <c r="EF109" s="30" t="str">
        <f t="shared" si="1514"/>
        <v/>
      </c>
      <c r="EG109" s="30" t="str">
        <f t="shared" si="1515"/>
        <v/>
      </c>
      <c r="EH109" s="30" t="str">
        <f t="shared" si="1516"/>
        <v/>
      </c>
      <c r="EI109" s="30" t="str">
        <f t="shared" si="1517"/>
        <v/>
      </c>
      <c r="EJ109" s="30" t="str">
        <f t="shared" si="1518"/>
        <v/>
      </c>
      <c r="EK109" s="30" t="str">
        <f t="shared" si="1519"/>
        <v/>
      </c>
      <c r="EL109" s="30" t="str">
        <f t="shared" si="1520"/>
        <v/>
      </c>
      <c r="EM109" s="30" t="str">
        <f t="shared" si="1521"/>
        <v/>
      </c>
      <c r="EN109" s="30" t="str">
        <f t="shared" si="1522"/>
        <v/>
      </c>
      <c r="EO109" s="30" t="str">
        <f t="shared" si="1523"/>
        <v/>
      </c>
      <c r="EP109" s="30" t="str">
        <f t="shared" si="1524"/>
        <v/>
      </c>
      <c r="EQ109" s="30" t="str">
        <f t="shared" si="1525"/>
        <v/>
      </c>
      <c r="ER109" s="30" t="str">
        <f t="shared" si="1526"/>
        <v/>
      </c>
      <c r="ES109" s="30" t="str">
        <f t="shared" si="1527"/>
        <v/>
      </c>
      <c r="ET109" s="30" t="str">
        <f t="shared" si="1528"/>
        <v/>
      </c>
      <c r="EU109" s="30" t="str">
        <f t="shared" si="1529"/>
        <v/>
      </c>
      <c r="EV109" s="30" t="str">
        <f t="shared" si="1530"/>
        <v/>
      </c>
      <c r="EW109" s="30" t="str">
        <f t="shared" si="1531"/>
        <v/>
      </c>
      <c r="EX109" s="30" t="str">
        <f t="shared" si="1532"/>
        <v/>
      </c>
      <c r="EY109" s="30" t="str">
        <f t="shared" si="1533"/>
        <v/>
      </c>
      <c r="EZ109" s="30" t="str">
        <f t="shared" si="1534"/>
        <v/>
      </c>
      <c r="FA109" s="30" t="str">
        <f t="shared" si="1535"/>
        <v/>
      </c>
      <c r="FB109" s="30" t="str">
        <f t="shared" si="1536"/>
        <v/>
      </c>
      <c r="FC109" s="30" t="str">
        <f t="shared" si="1537"/>
        <v/>
      </c>
      <c r="FD109" s="30" t="str">
        <f t="shared" si="1538"/>
        <v/>
      </c>
      <c r="FE109" s="30" t="str">
        <f t="shared" si="1539"/>
        <v/>
      </c>
      <c r="FF109" s="30" t="str">
        <f t="shared" si="1540"/>
        <v/>
      </c>
      <c r="FG109" s="30" t="str">
        <f t="shared" si="1541"/>
        <v/>
      </c>
      <c r="FH109" s="30" t="str">
        <f t="shared" si="1542"/>
        <v/>
      </c>
      <c r="FI109" s="30" t="str">
        <f t="shared" si="1543"/>
        <v/>
      </c>
      <c r="FJ109" s="30" t="str">
        <f t="shared" si="1544"/>
        <v/>
      </c>
      <c r="FK109" s="30" t="str">
        <f t="shared" si="1545"/>
        <v/>
      </c>
      <c r="FL109" s="30" t="str">
        <f t="shared" si="1546"/>
        <v/>
      </c>
      <c r="FM109" s="30" t="str">
        <f t="shared" si="1547"/>
        <v/>
      </c>
      <c r="FN109" s="30" t="str">
        <f t="shared" si="1548"/>
        <v/>
      </c>
      <c r="FO109" s="30" t="str">
        <f t="shared" si="1549"/>
        <v/>
      </c>
      <c r="FP109" s="30" t="str">
        <f t="shared" si="1550"/>
        <v/>
      </c>
      <c r="FQ109" s="30" t="str">
        <f t="shared" si="1551"/>
        <v/>
      </c>
      <c r="FR109" s="30" t="str">
        <f t="shared" si="1552"/>
        <v/>
      </c>
      <c r="FS109" s="30" t="str">
        <f t="shared" si="1553"/>
        <v/>
      </c>
    </row>
    <row r="110" spans="1:175" ht="16.5">
      <c r="A110" s="110"/>
      <c r="B110" s="24" t="s">
        <v>578</v>
      </c>
      <c r="C110" s="124" t="s">
        <v>610</v>
      </c>
      <c r="T110" s="111" t="s">
        <v>530</v>
      </c>
      <c r="U110" s="32" t="str">
        <f t="shared" si="944"/>
        <v>ReplaceableTextures\\CommandButtons\\BTNINDH.blp</v>
      </c>
      <c r="CN110" s="7" t="str">
        <f t="shared" si="1478"/>
        <v>InitUnitState('INDH',,,,,,,,,,)</v>
      </c>
      <c r="CO110" s="7" t="str">
        <f t="shared" si="1479"/>
        <v>InitUnitNormal('INDH',,,,,,,,,,)</v>
      </c>
      <c r="CP110" s="7" t="str">
        <f t="shared" si="1480"/>
        <v>InitUnitMagic('INDH',,,,,,,,,,)</v>
      </c>
      <c r="CQ110" s="7" t="str">
        <f t="shared" si="1481"/>
        <v>InitUnitAdd('INDH',,,,,,,,,,)</v>
      </c>
      <c r="CR110" s="7" t="str">
        <f t="shared" si="1554"/>
        <v>InitEquipData('INDH',,"",,,,,'','','','','','',"ReplaceableTextures\\CommandButtons\\BTNIN10.blp")</v>
      </c>
      <c r="CU110" s="45" t="str">
        <f t="shared" si="1482"/>
        <v>|n</v>
      </c>
      <c r="CV110" s="29" t="str">
        <f t="shared" si="1483"/>
        <v>开出一个随机锦囊</v>
      </c>
      <c r="CW110" s="24"/>
      <c r="CX110" s="24"/>
      <c r="CY110" s="24"/>
      <c r="CZ110" s="24"/>
      <c r="DA110" s="24"/>
      <c r="DB110" s="30" t="str">
        <f t="shared" si="1484"/>
        <v/>
      </c>
      <c r="DC110" s="30" t="str">
        <f t="shared" si="1485"/>
        <v/>
      </c>
      <c r="DD110" s="30" t="str">
        <f t="shared" si="1486"/>
        <v/>
      </c>
      <c r="DE110" s="30" t="str">
        <f t="shared" si="1487"/>
        <v/>
      </c>
      <c r="DF110" s="30" t="str">
        <f t="shared" si="1488"/>
        <v/>
      </c>
      <c r="DG110" s="30" t="str">
        <f t="shared" si="1489"/>
        <v/>
      </c>
      <c r="DH110" s="30" t="str">
        <f t="shared" si="1490"/>
        <v/>
      </c>
      <c r="DI110" s="30" t="str">
        <f t="shared" si="1491"/>
        <v/>
      </c>
      <c r="DJ110" s="30" t="str">
        <f t="shared" si="1492"/>
        <v/>
      </c>
      <c r="DK110" s="30" t="str">
        <f t="shared" si="1493"/>
        <v/>
      </c>
      <c r="DL110" s="30" t="str">
        <f t="shared" si="1494"/>
        <v/>
      </c>
      <c r="DM110" s="30" t="str">
        <f t="shared" si="1495"/>
        <v/>
      </c>
      <c r="DN110" s="30" t="str">
        <f t="shared" si="1496"/>
        <v/>
      </c>
      <c r="DO110" s="30" t="str">
        <f t="shared" si="1497"/>
        <v/>
      </c>
      <c r="DP110" s="30" t="str">
        <f t="shared" si="1498"/>
        <v/>
      </c>
      <c r="DQ110" s="30" t="str">
        <f t="shared" si="1499"/>
        <v/>
      </c>
      <c r="DR110" s="30" t="str">
        <f t="shared" si="1500"/>
        <v/>
      </c>
      <c r="DS110" s="30" t="str">
        <f t="shared" si="1501"/>
        <v/>
      </c>
      <c r="DT110" s="30" t="str">
        <f t="shared" si="1502"/>
        <v/>
      </c>
      <c r="DU110" s="30" t="str">
        <f t="shared" si="1503"/>
        <v/>
      </c>
      <c r="DV110" s="30" t="str">
        <f t="shared" si="1504"/>
        <v/>
      </c>
      <c r="DW110" s="30" t="str">
        <f t="shared" si="1505"/>
        <v/>
      </c>
      <c r="DX110" s="30" t="str">
        <f t="shared" si="1506"/>
        <v/>
      </c>
      <c r="DY110" s="30" t="str">
        <f t="shared" si="1507"/>
        <v/>
      </c>
      <c r="DZ110" s="30" t="str">
        <f t="shared" si="1508"/>
        <v/>
      </c>
      <c r="EA110" s="30" t="str">
        <f t="shared" si="1509"/>
        <v/>
      </c>
      <c r="EB110" s="30" t="str">
        <f t="shared" si="1510"/>
        <v/>
      </c>
      <c r="EC110" s="30" t="str">
        <f t="shared" si="1511"/>
        <v/>
      </c>
      <c r="ED110" s="30" t="str">
        <f t="shared" si="1512"/>
        <v/>
      </c>
      <c r="EE110" s="30" t="str">
        <f t="shared" si="1513"/>
        <v/>
      </c>
      <c r="EF110" s="30" t="str">
        <f t="shared" si="1514"/>
        <v/>
      </c>
      <c r="EG110" s="30" t="str">
        <f t="shared" si="1515"/>
        <v/>
      </c>
      <c r="EH110" s="30" t="str">
        <f t="shared" si="1516"/>
        <v/>
      </c>
      <c r="EI110" s="30" t="str">
        <f t="shared" si="1517"/>
        <v/>
      </c>
      <c r="EJ110" s="30" t="str">
        <f t="shared" si="1518"/>
        <v/>
      </c>
      <c r="EK110" s="30" t="str">
        <f t="shared" si="1519"/>
        <v/>
      </c>
      <c r="EL110" s="30" t="str">
        <f t="shared" si="1520"/>
        <v/>
      </c>
      <c r="EM110" s="30" t="str">
        <f t="shared" si="1521"/>
        <v/>
      </c>
      <c r="EN110" s="30" t="str">
        <f t="shared" si="1522"/>
        <v/>
      </c>
      <c r="EO110" s="30" t="str">
        <f t="shared" si="1523"/>
        <v/>
      </c>
      <c r="EP110" s="30" t="str">
        <f t="shared" si="1524"/>
        <v/>
      </c>
      <c r="EQ110" s="30" t="str">
        <f t="shared" si="1525"/>
        <v/>
      </c>
      <c r="ER110" s="30" t="str">
        <f t="shared" si="1526"/>
        <v/>
      </c>
      <c r="ES110" s="30" t="str">
        <f t="shared" si="1527"/>
        <v/>
      </c>
      <c r="ET110" s="30" t="str">
        <f t="shared" si="1528"/>
        <v/>
      </c>
      <c r="EU110" s="30" t="str">
        <f t="shared" si="1529"/>
        <v/>
      </c>
      <c r="EV110" s="30" t="str">
        <f t="shared" si="1530"/>
        <v/>
      </c>
      <c r="EW110" s="30" t="str">
        <f t="shared" si="1531"/>
        <v/>
      </c>
      <c r="EX110" s="30" t="str">
        <f t="shared" si="1532"/>
        <v/>
      </c>
      <c r="EY110" s="30" t="str">
        <f t="shared" si="1533"/>
        <v/>
      </c>
      <c r="EZ110" s="30" t="str">
        <f t="shared" si="1534"/>
        <v/>
      </c>
      <c r="FA110" s="30" t="str">
        <f t="shared" si="1535"/>
        <v/>
      </c>
      <c r="FB110" s="30" t="str">
        <f t="shared" si="1536"/>
        <v/>
      </c>
      <c r="FC110" s="30" t="str">
        <f t="shared" si="1537"/>
        <v/>
      </c>
      <c r="FD110" s="30" t="str">
        <f t="shared" si="1538"/>
        <v/>
      </c>
      <c r="FE110" s="30" t="str">
        <f t="shared" si="1539"/>
        <v/>
      </c>
      <c r="FF110" s="30" t="str">
        <f t="shared" si="1540"/>
        <v/>
      </c>
      <c r="FG110" s="30" t="str">
        <f t="shared" si="1541"/>
        <v/>
      </c>
      <c r="FH110" s="30" t="str">
        <f t="shared" si="1542"/>
        <v/>
      </c>
      <c r="FI110" s="30" t="str">
        <f t="shared" si="1543"/>
        <v/>
      </c>
      <c r="FJ110" s="30" t="str">
        <f t="shared" si="1544"/>
        <v/>
      </c>
      <c r="FK110" s="30" t="str">
        <f t="shared" si="1545"/>
        <v/>
      </c>
      <c r="FL110" s="30" t="str">
        <f t="shared" si="1546"/>
        <v/>
      </c>
      <c r="FM110" s="30" t="str">
        <f t="shared" si="1547"/>
        <v/>
      </c>
      <c r="FN110" s="30" t="str">
        <f t="shared" si="1548"/>
        <v/>
      </c>
      <c r="FO110" s="30" t="str">
        <f t="shared" si="1549"/>
        <v/>
      </c>
      <c r="FP110" s="30" t="str">
        <f t="shared" si="1550"/>
        <v/>
      </c>
      <c r="FQ110" s="30" t="str">
        <f t="shared" si="1551"/>
        <v/>
      </c>
      <c r="FR110" s="30" t="str">
        <f t="shared" si="1552"/>
        <v/>
      </c>
      <c r="FS110" s="30" t="str">
        <f t="shared" si="1553"/>
        <v/>
      </c>
    </row>
    <row r="111" spans="1:175" ht="16.5">
      <c r="A111" s="110"/>
      <c r="B111" s="24" t="s">
        <v>579</v>
      </c>
      <c r="C111" s="124" t="s">
        <v>610</v>
      </c>
      <c r="T111" s="111" t="s">
        <v>530</v>
      </c>
      <c r="U111" s="32" t="str">
        <f t="shared" ref="U111:U118" si="1555">"ReplaceableTextures\\CommandButtons\\BTN"&amp;B111&amp;".blp"</f>
        <v>ReplaceableTextures\\CommandButtons\\BTNINDI.blp</v>
      </c>
      <c r="CN111" s="7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54"/>
        <v>InitEquipData('INDI',,"",,,,,'','','','','','',"ReplaceableTextures\\CommandButtons\\BTNIN11.blp")</v>
      </c>
      <c r="CU111" s="45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61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62">IF(V111="","","|n"&amp;DB$2&amp;"+"&amp;V111&amp;DB$1)</f>
        <v/>
      </c>
      <c r="DC111" s="30" t="str">
        <f t="shared" ref="DC111:DC118" si="1563">IF(W111="","","|n"&amp;DC$2&amp;"+"&amp;W111&amp;DC$1)</f>
        <v/>
      </c>
      <c r="DD111" s="30" t="str">
        <f t="shared" ref="DD111:DD118" si="1564">IF(X111="","","|n"&amp;DD$2&amp;"+"&amp;X111&amp;DD$1)</f>
        <v/>
      </c>
      <c r="DE111" s="30" t="str">
        <f t="shared" ref="DE111:DE118" si="1565">IF(Y111="","","|n"&amp;DE$2&amp;"+"&amp;Y111&amp;DE$1)</f>
        <v/>
      </c>
      <c r="DF111" s="30" t="str">
        <f t="shared" ref="DF111:DF118" si="1566">IF(Z111="","","|n"&amp;DF$2&amp;"+"&amp;Z111&amp;DF$1)</f>
        <v/>
      </c>
      <c r="DG111" s="30" t="str">
        <f t="shared" ref="DG111:DG118" si="1567">IF(AA111="","","|n"&amp;DG$2&amp;"+"&amp;AA111&amp;DG$1)</f>
        <v/>
      </c>
      <c r="DH111" s="30" t="str">
        <f t="shared" ref="DH111:DH118" si="1568">IF(AB111="","","|n"&amp;DH$2&amp;"+"&amp;AB111&amp;DH$1)</f>
        <v/>
      </c>
      <c r="DI111" s="30" t="str">
        <f t="shared" ref="DI111:DI118" si="1569">IF(AC111="","","|n"&amp;DI$2&amp;"+"&amp;AC111&amp;DI$1)</f>
        <v/>
      </c>
      <c r="DJ111" s="30" t="str">
        <f t="shared" ref="DJ111:DJ118" si="1570">IF(AD111="","","|n"&amp;DJ$2&amp;"+"&amp;AD111&amp;DJ$1)</f>
        <v/>
      </c>
      <c r="DK111" s="30" t="str">
        <f t="shared" ref="DK111:DK118" si="1571">IF(AE111="","","|n"&amp;DK$2&amp;"+"&amp;AE111&amp;DK$1)</f>
        <v/>
      </c>
      <c r="DL111" s="30" t="str">
        <f t="shared" ref="DL111:DL118" si="1572">IF(AF111="","","|n"&amp;DL$2&amp;"+"&amp;AF111&amp;DL$1)</f>
        <v/>
      </c>
      <c r="DM111" s="30" t="str">
        <f t="shared" ref="DM111:DM118" si="1573">IF(AG111="","","|n"&amp;DM$2&amp;"+"&amp;AG111&amp;DM$1)</f>
        <v/>
      </c>
      <c r="DN111" s="30" t="str">
        <f t="shared" ref="DN111:DN118" si="1574">IF(AH111="","","|n"&amp;DN$2&amp;"+"&amp;AH111&amp;DN$1)</f>
        <v/>
      </c>
      <c r="DO111" s="30" t="str">
        <f t="shared" ref="DO111:DO118" si="1575">IF(AI111="","","|n"&amp;DO$2&amp;"+"&amp;AI111&amp;DO$1)</f>
        <v/>
      </c>
      <c r="DP111" s="30" t="str">
        <f t="shared" ref="DP111:DP118" si="1576">IF(AJ111="","","|n"&amp;DP$2&amp;"+"&amp;AJ111&amp;DP$1)</f>
        <v/>
      </c>
      <c r="DQ111" s="30" t="str">
        <f t="shared" ref="DQ111:DQ118" si="1577">IF(AK111="","","|n"&amp;DQ$2&amp;"+"&amp;AK111&amp;DQ$1)</f>
        <v/>
      </c>
      <c r="DR111" s="30" t="str">
        <f t="shared" ref="DR111:DR118" si="1578">IF(AL111="","","|n"&amp;DR$2&amp;"+"&amp;AL111&amp;DR$1)</f>
        <v/>
      </c>
      <c r="DS111" s="30" t="str">
        <f t="shared" ref="DS111:DS118" si="1579">IF(AM111="","","|n"&amp;DS$2&amp;"+"&amp;AM111&amp;DS$1)</f>
        <v/>
      </c>
      <c r="DT111" s="30" t="str">
        <f t="shared" ref="DT111:DT118" si="1580">IF(AN111="","","|n"&amp;DT$2&amp;"+"&amp;AN111&amp;DT$1)</f>
        <v/>
      </c>
      <c r="DU111" s="30" t="str">
        <f t="shared" ref="DU111:DU118" si="1581">IF(AO111="","","|n"&amp;DU$2&amp;"+"&amp;AO111&amp;DU$1)</f>
        <v/>
      </c>
      <c r="DV111" s="30" t="str">
        <f t="shared" ref="DV111:DV118" si="1582">IF(AP111="","","|n"&amp;DV$2&amp;"+"&amp;AP111&amp;DV$1)</f>
        <v/>
      </c>
      <c r="DW111" s="30" t="str">
        <f t="shared" ref="DW111:DW118" si="1583">IF(AQ111="","","|n"&amp;DW$2&amp;"+"&amp;AQ111&amp;DW$1)</f>
        <v/>
      </c>
      <c r="DX111" s="30" t="str">
        <f t="shared" ref="DX111:DX118" si="1584">IF(AR111="","","|n"&amp;DX$2&amp;"+"&amp;AR111&amp;DX$1)</f>
        <v/>
      </c>
      <c r="DY111" s="30" t="str">
        <f t="shared" ref="DY111:DY118" si="1585">IF(AS111="","","|n"&amp;DY$2&amp;"+"&amp;AS111&amp;DY$1)</f>
        <v/>
      </c>
      <c r="DZ111" s="30" t="str">
        <f t="shared" ref="DZ111:DZ118" si="1586">IF(AT111="","","|n"&amp;DZ$2&amp;"+"&amp;AT111&amp;DZ$1)</f>
        <v/>
      </c>
      <c r="EA111" s="30" t="str">
        <f t="shared" ref="EA111:EA118" si="1587">IF(AU111="","","|n"&amp;EA$2&amp;"+"&amp;AU111&amp;EA$1)</f>
        <v/>
      </c>
      <c r="EB111" s="30" t="str">
        <f t="shared" ref="EB111:EB118" si="1588">IF(AV111="","","|n"&amp;EB$2&amp;"+"&amp;AV111&amp;EB$1)</f>
        <v/>
      </c>
      <c r="EC111" s="30" t="str">
        <f t="shared" ref="EC111:EC118" si="1589">IF(AW111="","","|n"&amp;EC$2&amp;"+"&amp;AW111&amp;EC$1)</f>
        <v/>
      </c>
      <c r="ED111" s="30" t="str">
        <f t="shared" ref="ED111:ED118" si="1590">IF(AX111="","","|n"&amp;ED$2&amp;"+"&amp;AX111&amp;ED$1)</f>
        <v/>
      </c>
      <c r="EE111" s="30" t="str">
        <f t="shared" ref="EE111:EE118" si="1591">IF(AY111="","","|n"&amp;EE$2&amp;"+"&amp;AY111&amp;EE$1)</f>
        <v/>
      </c>
      <c r="EF111" s="30" t="str">
        <f t="shared" ref="EF111:EF118" si="1592">IF(AZ111="","","|n"&amp;EF$2&amp;"+"&amp;AZ111&amp;EF$1)</f>
        <v/>
      </c>
      <c r="EG111" s="30" t="str">
        <f t="shared" ref="EG111:EG118" si="1593">IF(BA111="","","|n"&amp;EG$2&amp;"+"&amp;BA111&amp;EG$1)</f>
        <v/>
      </c>
      <c r="EH111" s="30" t="str">
        <f t="shared" ref="EH111:EH118" si="1594">IF(BB111="","","|n"&amp;EH$2&amp;"+"&amp;BB111&amp;EH$1)</f>
        <v/>
      </c>
      <c r="EI111" s="30" t="str">
        <f t="shared" ref="EI111:EI118" si="1595">IF(BC111="","","|n"&amp;EI$2&amp;"+"&amp;BC111&amp;EI$1)</f>
        <v/>
      </c>
      <c r="EJ111" s="30" t="str">
        <f t="shared" ref="EJ111:EJ118" si="1596">IF(BD111="","","|n"&amp;EJ$2&amp;"+"&amp;BD111&amp;EJ$1)</f>
        <v/>
      </c>
      <c r="EK111" s="30" t="str">
        <f t="shared" ref="EK111:EK118" si="1597">IF(BE111="","","|n"&amp;EK$2&amp;"+"&amp;BE111&amp;EK$1)</f>
        <v/>
      </c>
      <c r="EL111" s="30" t="str">
        <f t="shared" ref="EL111:EL118" si="1598">IF(BF111="","","|n"&amp;EL$2&amp;"+"&amp;BF111&amp;EL$1)</f>
        <v/>
      </c>
      <c r="EM111" s="30" t="str">
        <f t="shared" ref="EM111:EM118" si="1599">IF(BG111="","","|n"&amp;EM$2&amp;"+"&amp;BG111&amp;EM$1)</f>
        <v/>
      </c>
      <c r="EN111" s="30" t="str">
        <f t="shared" ref="EN111:EN118" si="1600">IF(BH111="","","|n"&amp;EN$2&amp;"+"&amp;BH111&amp;EN$1)</f>
        <v/>
      </c>
      <c r="EO111" s="30" t="str">
        <f t="shared" ref="EO111:EO118" si="1601">IF(BI111="","","|n"&amp;EO$2&amp;"+"&amp;BI111&amp;EO$1)</f>
        <v/>
      </c>
      <c r="EP111" s="30" t="str">
        <f t="shared" ref="EP111:EP118" si="1602">IF(BJ111="","","|n"&amp;EP$2&amp;"+"&amp;BJ111&amp;EP$1)</f>
        <v/>
      </c>
      <c r="EQ111" s="30" t="str">
        <f t="shared" ref="EQ111:EQ118" si="1603">IF(BK111="","","|n"&amp;EQ$2&amp;"+"&amp;BK111&amp;EQ$1)</f>
        <v/>
      </c>
      <c r="ER111" s="30" t="str">
        <f t="shared" ref="ER111:ER118" si="1604">IF(BL111="","","|n"&amp;ER$2&amp;"+"&amp;BL111&amp;ER$1)</f>
        <v/>
      </c>
      <c r="ES111" s="30" t="str">
        <f t="shared" ref="ES111:ES118" si="1605">IF(BM111="","","|n"&amp;ES$2&amp;"+"&amp;BM111&amp;ES$1)</f>
        <v/>
      </c>
      <c r="ET111" s="30" t="str">
        <f t="shared" ref="ET111:ET118" si="1606">IF(BN111="","","|n"&amp;ET$2&amp;"+"&amp;BN111&amp;ET$1)</f>
        <v/>
      </c>
      <c r="EU111" s="30" t="str">
        <f t="shared" ref="EU111:EU118" si="1607">IF(BO111="","","|n"&amp;EU$2&amp;"+"&amp;BO111&amp;EU$1)</f>
        <v/>
      </c>
      <c r="EV111" s="30" t="str">
        <f t="shared" ref="EV111:EV118" si="1608">IF(BP111="","","|n"&amp;EV$2&amp;"+"&amp;BP111&amp;EV$1)</f>
        <v/>
      </c>
      <c r="EW111" s="30" t="str">
        <f t="shared" ref="EW111:EW118" si="1609">IF(BQ111="","","|n"&amp;EW$2&amp;"+"&amp;BQ111&amp;EW$1)</f>
        <v/>
      </c>
      <c r="EX111" s="30" t="str">
        <f t="shared" ref="EX111:EX118" si="1610">IF(BR111="","","|n"&amp;EX$2&amp;"+"&amp;BR111&amp;EX$1)</f>
        <v/>
      </c>
      <c r="EY111" s="30" t="str">
        <f t="shared" ref="EY111:EY118" si="1611">IF(BS111="","","|n"&amp;EY$2&amp;"+"&amp;BS111&amp;EY$1)</f>
        <v/>
      </c>
      <c r="EZ111" s="30" t="str">
        <f t="shared" ref="EZ111:EZ118" si="1612">IF(BT111="","","|n"&amp;EZ$2&amp;"+"&amp;BT111&amp;EZ$1)</f>
        <v/>
      </c>
      <c r="FA111" s="30" t="str">
        <f t="shared" ref="FA111:FA118" si="1613">IF(BU111="","","|n"&amp;FA$2&amp;"+"&amp;BU111&amp;FA$1)</f>
        <v/>
      </c>
      <c r="FB111" s="30" t="str">
        <f t="shared" ref="FB111:FB118" si="1614">IF(BV111="","","|n"&amp;FB$2&amp;"+"&amp;BV111&amp;FB$1)</f>
        <v/>
      </c>
      <c r="FC111" s="30" t="str">
        <f t="shared" ref="FC111:FC118" si="1615">IF(BW111="","","|n"&amp;FC$2&amp;"+"&amp;BW111&amp;FC$1)</f>
        <v/>
      </c>
      <c r="FD111" s="30" t="str">
        <f t="shared" ref="FD111:FD118" si="1616">IF(BX111="","","|n"&amp;FD$2&amp;"+"&amp;BX111&amp;FD$1)</f>
        <v/>
      </c>
      <c r="FE111" s="30" t="str">
        <f t="shared" ref="FE111:FE118" si="1617">IF(BY111="","","|n"&amp;FE$2&amp;"+"&amp;BY111&amp;FE$1)</f>
        <v/>
      </c>
      <c r="FF111" s="30" t="str">
        <f t="shared" ref="FF111:FF118" si="1618">IF(BZ111="","","|n"&amp;FF$2&amp;"+"&amp;BZ111&amp;FF$1)</f>
        <v/>
      </c>
      <c r="FG111" s="30" t="str">
        <f t="shared" ref="FG111:FG118" si="1619">IF(CA111="","","|n"&amp;FG$2&amp;"+"&amp;CA111&amp;FG$1)</f>
        <v/>
      </c>
      <c r="FH111" s="30" t="str">
        <f t="shared" ref="FH111:FH118" si="1620">IF(CB111="","","|n"&amp;FH$2&amp;"+"&amp;CB111&amp;FH$1)</f>
        <v/>
      </c>
      <c r="FI111" s="30" t="str">
        <f t="shared" ref="FI111:FI118" si="1621">IF(CC111="","","|n"&amp;FI$2&amp;"+"&amp;CC111&amp;FI$1)</f>
        <v/>
      </c>
      <c r="FJ111" s="30" t="str">
        <f t="shared" ref="FJ111:FJ118" si="1622">IF(CD111="","","|n"&amp;FJ$2&amp;"+"&amp;CD111&amp;FJ$1)</f>
        <v/>
      </c>
      <c r="FK111" s="30" t="str">
        <f t="shared" ref="FK111:FK118" si="1623">IF(CE111="","","|n"&amp;FK$2&amp;"+"&amp;CE111&amp;FK$1)</f>
        <v/>
      </c>
      <c r="FL111" s="30" t="str">
        <f t="shared" ref="FL111:FL118" si="1624">IF(CF111="","","|n"&amp;FL$2&amp;"+"&amp;CF111&amp;FL$1)</f>
        <v/>
      </c>
      <c r="FM111" s="30" t="str">
        <f t="shared" ref="FM111:FM118" si="1625">IF(CG111="","","|n"&amp;FM$2&amp;"+"&amp;CG111&amp;FM$1)</f>
        <v/>
      </c>
      <c r="FN111" s="30" t="str">
        <f t="shared" ref="FN111:FN118" si="1626">IF(CH111="","","|n"&amp;FN$2&amp;"+"&amp;CH111&amp;FN$1)</f>
        <v/>
      </c>
      <c r="FO111" s="30" t="str">
        <f t="shared" ref="FO111:FO118" si="1627">IF(CI111="","","|n"&amp;FO$2&amp;"+"&amp;CI111&amp;FO$1)</f>
        <v/>
      </c>
      <c r="FP111" s="30" t="str">
        <f t="shared" ref="FP111:FP118" si="1628">IF(CJ111="","","|n"&amp;FP$2&amp;"+"&amp;CJ111&amp;FP$1)</f>
        <v/>
      </c>
      <c r="FQ111" s="30" t="str">
        <f t="shared" ref="FQ111:FQ118" si="1629">IF(CK111="","","|n"&amp;FQ$2&amp;"+"&amp;CK111&amp;FQ$1)</f>
        <v/>
      </c>
      <c r="FR111" s="30" t="str">
        <f t="shared" ref="FR111:FR118" si="1630">IF(CL111="","","|n"&amp;FR$2&amp;"+"&amp;CL111&amp;FR$1)</f>
        <v/>
      </c>
      <c r="FS111" s="30" t="str">
        <f t="shared" ref="FS111:FS118" si="1631">IF(CM111="","","|n"&amp;FS$2&amp;"+"&amp;CM111&amp;FS$1)</f>
        <v/>
      </c>
    </row>
    <row r="112" spans="1:175" ht="16.5">
      <c r="A112" s="110"/>
      <c r="B112" s="24" t="s">
        <v>580</v>
      </c>
      <c r="C112" s="124" t="s">
        <v>610</v>
      </c>
      <c r="T112" s="111" t="s">
        <v>530</v>
      </c>
      <c r="U112" s="32" t="str">
        <f t="shared" si="1555"/>
        <v>ReplaceableTextures\\CommandButtons\\BTNINDJ.blp</v>
      </c>
      <c r="CN112" s="7" t="str">
        <f t="shared" si="1556"/>
        <v>InitUnitState('INDJ',,,,,,,,,,)</v>
      </c>
      <c r="CO112" s="7" t="str">
        <f t="shared" si="1557"/>
        <v>InitUnitNormal('INDJ',,,,,,,,,,)</v>
      </c>
      <c r="CP112" s="7" t="str">
        <f t="shared" si="1558"/>
        <v>InitUnitMagic('INDJ',,,,,,,,,,)</v>
      </c>
      <c r="CQ112" s="7" t="str">
        <f t="shared" si="1559"/>
        <v>InitUnitAdd('INDJ',,,,,,,,,,)</v>
      </c>
      <c r="CR112" s="7" t="str">
        <f t="shared" si="1554"/>
        <v>InitEquipData('INDJ',,"",,,,,'','','','','','',"ReplaceableTextures\\CommandButtons\\BTNIN12.blp")</v>
      </c>
      <c r="CU112" s="45" t="str">
        <f t="shared" si="1560"/>
        <v>|n</v>
      </c>
      <c r="CV112" s="29" t="str">
        <f t="shared" si="1561"/>
        <v>开出一个随机锦囊</v>
      </c>
      <c r="CW112" s="24"/>
      <c r="CX112" s="24"/>
      <c r="CY112" s="24"/>
      <c r="CZ112" s="24"/>
      <c r="DA112" s="24"/>
      <c r="DB112" s="30" t="str">
        <f t="shared" si="1562"/>
        <v/>
      </c>
      <c r="DC112" s="30" t="str">
        <f t="shared" si="1563"/>
        <v/>
      </c>
      <c r="DD112" s="30" t="str">
        <f t="shared" si="1564"/>
        <v/>
      </c>
      <c r="DE112" s="30" t="str">
        <f t="shared" si="1565"/>
        <v/>
      </c>
      <c r="DF112" s="30" t="str">
        <f t="shared" si="1566"/>
        <v/>
      </c>
      <c r="DG112" s="30" t="str">
        <f t="shared" si="1567"/>
        <v/>
      </c>
      <c r="DH112" s="30" t="str">
        <f t="shared" si="1568"/>
        <v/>
      </c>
      <c r="DI112" s="30" t="str">
        <f t="shared" si="1569"/>
        <v/>
      </c>
      <c r="DJ112" s="30" t="str">
        <f t="shared" si="1570"/>
        <v/>
      </c>
      <c r="DK112" s="30" t="str">
        <f t="shared" si="1571"/>
        <v/>
      </c>
      <c r="DL112" s="30" t="str">
        <f t="shared" si="1572"/>
        <v/>
      </c>
      <c r="DM112" s="30" t="str">
        <f t="shared" si="1573"/>
        <v/>
      </c>
      <c r="DN112" s="30" t="str">
        <f t="shared" si="1574"/>
        <v/>
      </c>
      <c r="DO112" s="30" t="str">
        <f t="shared" si="1575"/>
        <v/>
      </c>
      <c r="DP112" s="30" t="str">
        <f t="shared" si="1576"/>
        <v/>
      </c>
      <c r="DQ112" s="30" t="str">
        <f t="shared" si="1577"/>
        <v/>
      </c>
      <c r="DR112" s="30" t="str">
        <f t="shared" si="1578"/>
        <v/>
      </c>
      <c r="DS112" s="30" t="str">
        <f t="shared" si="1579"/>
        <v/>
      </c>
      <c r="DT112" s="30" t="str">
        <f t="shared" si="1580"/>
        <v/>
      </c>
      <c r="DU112" s="30" t="str">
        <f t="shared" si="1581"/>
        <v/>
      </c>
      <c r="DV112" s="30" t="str">
        <f t="shared" si="1582"/>
        <v/>
      </c>
      <c r="DW112" s="30" t="str">
        <f t="shared" si="1583"/>
        <v/>
      </c>
      <c r="DX112" s="30" t="str">
        <f t="shared" si="1584"/>
        <v/>
      </c>
      <c r="DY112" s="30" t="str">
        <f t="shared" si="1585"/>
        <v/>
      </c>
      <c r="DZ112" s="30" t="str">
        <f t="shared" si="1586"/>
        <v/>
      </c>
      <c r="EA112" s="30" t="str">
        <f t="shared" si="1587"/>
        <v/>
      </c>
      <c r="EB112" s="30" t="str">
        <f t="shared" si="1588"/>
        <v/>
      </c>
      <c r="EC112" s="30" t="str">
        <f t="shared" si="1589"/>
        <v/>
      </c>
      <c r="ED112" s="30" t="str">
        <f t="shared" si="1590"/>
        <v/>
      </c>
      <c r="EE112" s="30" t="str">
        <f t="shared" si="1591"/>
        <v/>
      </c>
      <c r="EF112" s="30" t="str">
        <f t="shared" si="1592"/>
        <v/>
      </c>
      <c r="EG112" s="30" t="str">
        <f t="shared" si="1593"/>
        <v/>
      </c>
      <c r="EH112" s="30" t="str">
        <f t="shared" si="1594"/>
        <v/>
      </c>
      <c r="EI112" s="30" t="str">
        <f t="shared" si="1595"/>
        <v/>
      </c>
      <c r="EJ112" s="30" t="str">
        <f t="shared" si="1596"/>
        <v/>
      </c>
      <c r="EK112" s="30" t="str">
        <f t="shared" si="1597"/>
        <v/>
      </c>
      <c r="EL112" s="30" t="str">
        <f t="shared" si="1598"/>
        <v/>
      </c>
      <c r="EM112" s="30" t="str">
        <f t="shared" si="1599"/>
        <v/>
      </c>
      <c r="EN112" s="30" t="str">
        <f t="shared" si="1600"/>
        <v/>
      </c>
      <c r="EO112" s="30" t="str">
        <f t="shared" si="1601"/>
        <v/>
      </c>
      <c r="EP112" s="30" t="str">
        <f t="shared" si="1602"/>
        <v/>
      </c>
      <c r="EQ112" s="30" t="str">
        <f t="shared" si="1603"/>
        <v/>
      </c>
      <c r="ER112" s="30" t="str">
        <f t="shared" si="1604"/>
        <v/>
      </c>
      <c r="ES112" s="30" t="str">
        <f t="shared" si="1605"/>
        <v/>
      </c>
      <c r="ET112" s="30" t="str">
        <f t="shared" si="1606"/>
        <v/>
      </c>
      <c r="EU112" s="30" t="str">
        <f t="shared" si="1607"/>
        <v/>
      </c>
      <c r="EV112" s="30" t="str">
        <f t="shared" si="1608"/>
        <v/>
      </c>
      <c r="EW112" s="30" t="str">
        <f t="shared" si="1609"/>
        <v/>
      </c>
      <c r="EX112" s="30" t="str">
        <f t="shared" si="1610"/>
        <v/>
      </c>
      <c r="EY112" s="30" t="str">
        <f t="shared" si="1611"/>
        <v/>
      </c>
      <c r="EZ112" s="30" t="str">
        <f t="shared" si="1612"/>
        <v/>
      </c>
      <c r="FA112" s="30" t="str">
        <f t="shared" si="1613"/>
        <v/>
      </c>
      <c r="FB112" s="30" t="str">
        <f t="shared" si="1614"/>
        <v/>
      </c>
      <c r="FC112" s="30" t="str">
        <f t="shared" si="1615"/>
        <v/>
      </c>
      <c r="FD112" s="30" t="str">
        <f t="shared" si="1616"/>
        <v/>
      </c>
      <c r="FE112" s="30" t="str">
        <f t="shared" si="1617"/>
        <v/>
      </c>
      <c r="FF112" s="30" t="str">
        <f t="shared" si="1618"/>
        <v/>
      </c>
      <c r="FG112" s="30" t="str">
        <f t="shared" si="1619"/>
        <v/>
      </c>
      <c r="FH112" s="30" t="str">
        <f t="shared" si="1620"/>
        <v/>
      </c>
      <c r="FI112" s="30" t="str">
        <f t="shared" si="1621"/>
        <v/>
      </c>
      <c r="FJ112" s="30" t="str">
        <f t="shared" si="1622"/>
        <v/>
      </c>
      <c r="FK112" s="30" t="str">
        <f t="shared" si="1623"/>
        <v/>
      </c>
      <c r="FL112" s="30" t="str">
        <f t="shared" si="1624"/>
        <v/>
      </c>
      <c r="FM112" s="30" t="str">
        <f t="shared" si="1625"/>
        <v/>
      </c>
      <c r="FN112" s="30" t="str">
        <f t="shared" si="1626"/>
        <v/>
      </c>
      <c r="FO112" s="30" t="str">
        <f t="shared" si="1627"/>
        <v/>
      </c>
      <c r="FP112" s="30" t="str">
        <f t="shared" si="1628"/>
        <v/>
      </c>
      <c r="FQ112" s="30" t="str">
        <f t="shared" si="1629"/>
        <v/>
      </c>
      <c r="FR112" s="30" t="str">
        <f t="shared" si="1630"/>
        <v/>
      </c>
      <c r="FS112" s="30" t="str">
        <f t="shared" si="1631"/>
        <v/>
      </c>
    </row>
    <row r="113" spans="1:175" ht="16.5">
      <c r="A113" s="110"/>
      <c r="B113" s="24" t="s">
        <v>581</v>
      </c>
      <c r="C113" s="124" t="s">
        <v>610</v>
      </c>
      <c r="T113" s="111" t="s">
        <v>530</v>
      </c>
      <c r="U113" s="32" t="str">
        <f t="shared" si="1555"/>
        <v>ReplaceableTextures\\CommandButtons\\BTNINDK.blp</v>
      </c>
      <c r="CN113" s="7" t="str">
        <f t="shared" si="1556"/>
        <v>InitUnitState('INDK',,,,,,,,,,)</v>
      </c>
      <c r="CO113" s="7" t="str">
        <f t="shared" si="1557"/>
        <v>InitUnitNormal('INDK',,,,,,,,,,)</v>
      </c>
      <c r="CP113" s="7" t="str">
        <f t="shared" si="1558"/>
        <v>InitUnitMagic('INDK',,,,,,,,,,)</v>
      </c>
      <c r="CQ113" s="7" t="str">
        <f t="shared" si="1559"/>
        <v>InitUnitAdd('INDK',,,,,,,,,,)</v>
      </c>
      <c r="CR113" s="7" t="str">
        <f t="shared" si="1554"/>
        <v>InitEquipData('INDK',,"",,,,,'','','','','','',"ReplaceableTextures\\CommandButtons\\BTNIN13.blp")</v>
      </c>
      <c r="CU113" s="45" t="str">
        <f t="shared" si="1560"/>
        <v>|n</v>
      </c>
      <c r="CV113" s="29" t="str">
        <f t="shared" si="1561"/>
        <v>开出一个随机锦囊</v>
      </c>
      <c r="CW113" s="24"/>
      <c r="CX113" s="24"/>
      <c r="CY113" s="24"/>
      <c r="CZ113" s="24"/>
      <c r="DA113" s="24"/>
      <c r="DB113" s="30" t="str">
        <f t="shared" si="1562"/>
        <v/>
      </c>
      <c r="DC113" s="30" t="str">
        <f t="shared" si="1563"/>
        <v/>
      </c>
      <c r="DD113" s="30" t="str">
        <f t="shared" si="1564"/>
        <v/>
      </c>
      <c r="DE113" s="30" t="str">
        <f t="shared" si="1565"/>
        <v/>
      </c>
      <c r="DF113" s="30" t="str">
        <f t="shared" si="1566"/>
        <v/>
      </c>
      <c r="DG113" s="30" t="str">
        <f t="shared" si="1567"/>
        <v/>
      </c>
      <c r="DH113" s="30" t="str">
        <f t="shared" si="1568"/>
        <v/>
      </c>
      <c r="DI113" s="30" t="str">
        <f t="shared" si="1569"/>
        <v/>
      </c>
      <c r="DJ113" s="30" t="str">
        <f t="shared" si="1570"/>
        <v/>
      </c>
      <c r="DK113" s="30" t="str">
        <f t="shared" si="1571"/>
        <v/>
      </c>
      <c r="DL113" s="30" t="str">
        <f t="shared" si="1572"/>
        <v/>
      </c>
      <c r="DM113" s="30" t="str">
        <f t="shared" si="1573"/>
        <v/>
      </c>
      <c r="DN113" s="30" t="str">
        <f t="shared" si="1574"/>
        <v/>
      </c>
      <c r="DO113" s="30" t="str">
        <f t="shared" si="1575"/>
        <v/>
      </c>
      <c r="DP113" s="30" t="str">
        <f t="shared" si="1576"/>
        <v/>
      </c>
      <c r="DQ113" s="30" t="str">
        <f t="shared" si="1577"/>
        <v/>
      </c>
      <c r="DR113" s="30" t="str">
        <f t="shared" si="1578"/>
        <v/>
      </c>
      <c r="DS113" s="30" t="str">
        <f t="shared" si="1579"/>
        <v/>
      </c>
      <c r="DT113" s="30" t="str">
        <f t="shared" si="1580"/>
        <v/>
      </c>
      <c r="DU113" s="30" t="str">
        <f t="shared" si="1581"/>
        <v/>
      </c>
      <c r="DV113" s="30" t="str">
        <f t="shared" si="1582"/>
        <v/>
      </c>
      <c r="DW113" s="30" t="str">
        <f t="shared" si="1583"/>
        <v/>
      </c>
      <c r="DX113" s="30" t="str">
        <f t="shared" si="1584"/>
        <v/>
      </c>
      <c r="DY113" s="30" t="str">
        <f t="shared" si="1585"/>
        <v/>
      </c>
      <c r="DZ113" s="30" t="str">
        <f t="shared" si="1586"/>
        <v/>
      </c>
      <c r="EA113" s="30" t="str">
        <f t="shared" si="1587"/>
        <v/>
      </c>
      <c r="EB113" s="30" t="str">
        <f t="shared" si="1588"/>
        <v/>
      </c>
      <c r="EC113" s="30" t="str">
        <f t="shared" si="1589"/>
        <v/>
      </c>
      <c r="ED113" s="30" t="str">
        <f t="shared" si="1590"/>
        <v/>
      </c>
      <c r="EE113" s="30" t="str">
        <f t="shared" si="1591"/>
        <v/>
      </c>
      <c r="EF113" s="30" t="str">
        <f t="shared" si="1592"/>
        <v/>
      </c>
      <c r="EG113" s="30" t="str">
        <f t="shared" si="1593"/>
        <v/>
      </c>
      <c r="EH113" s="30" t="str">
        <f t="shared" si="1594"/>
        <v/>
      </c>
      <c r="EI113" s="30" t="str">
        <f t="shared" si="1595"/>
        <v/>
      </c>
      <c r="EJ113" s="30" t="str">
        <f t="shared" si="1596"/>
        <v/>
      </c>
      <c r="EK113" s="30" t="str">
        <f t="shared" si="1597"/>
        <v/>
      </c>
      <c r="EL113" s="30" t="str">
        <f t="shared" si="1598"/>
        <v/>
      </c>
      <c r="EM113" s="30" t="str">
        <f t="shared" si="1599"/>
        <v/>
      </c>
      <c r="EN113" s="30" t="str">
        <f t="shared" si="1600"/>
        <v/>
      </c>
      <c r="EO113" s="30" t="str">
        <f t="shared" si="1601"/>
        <v/>
      </c>
      <c r="EP113" s="30" t="str">
        <f t="shared" si="1602"/>
        <v/>
      </c>
      <c r="EQ113" s="30" t="str">
        <f t="shared" si="1603"/>
        <v/>
      </c>
      <c r="ER113" s="30" t="str">
        <f t="shared" si="1604"/>
        <v/>
      </c>
      <c r="ES113" s="30" t="str">
        <f t="shared" si="1605"/>
        <v/>
      </c>
      <c r="ET113" s="30" t="str">
        <f t="shared" si="1606"/>
        <v/>
      </c>
      <c r="EU113" s="30" t="str">
        <f t="shared" si="1607"/>
        <v/>
      </c>
      <c r="EV113" s="30" t="str">
        <f t="shared" si="1608"/>
        <v/>
      </c>
      <c r="EW113" s="30" t="str">
        <f t="shared" si="1609"/>
        <v/>
      </c>
      <c r="EX113" s="30" t="str">
        <f t="shared" si="1610"/>
        <v/>
      </c>
      <c r="EY113" s="30" t="str">
        <f t="shared" si="1611"/>
        <v/>
      </c>
      <c r="EZ113" s="30" t="str">
        <f t="shared" si="1612"/>
        <v/>
      </c>
      <c r="FA113" s="30" t="str">
        <f t="shared" si="1613"/>
        <v/>
      </c>
      <c r="FB113" s="30" t="str">
        <f t="shared" si="1614"/>
        <v/>
      </c>
      <c r="FC113" s="30" t="str">
        <f t="shared" si="1615"/>
        <v/>
      </c>
      <c r="FD113" s="30" t="str">
        <f t="shared" si="1616"/>
        <v/>
      </c>
      <c r="FE113" s="30" t="str">
        <f t="shared" si="1617"/>
        <v/>
      </c>
      <c r="FF113" s="30" t="str">
        <f t="shared" si="1618"/>
        <v/>
      </c>
      <c r="FG113" s="30" t="str">
        <f t="shared" si="1619"/>
        <v/>
      </c>
      <c r="FH113" s="30" t="str">
        <f t="shared" si="1620"/>
        <v/>
      </c>
      <c r="FI113" s="30" t="str">
        <f t="shared" si="1621"/>
        <v/>
      </c>
      <c r="FJ113" s="30" t="str">
        <f t="shared" si="1622"/>
        <v/>
      </c>
      <c r="FK113" s="30" t="str">
        <f t="shared" si="1623"/>
        <v/>
      </c>
      <c r="FL113" s="30" t="str">
        <f t="shared" si="1624"/>
        <v/>
      </c>
      <c r="FM113" s="30" t="str">
        <f t="shared" si="1625"/>
        <v/>
      </c>
      <c r="FN113" s="30" t="str">
        <f t="shared" si="1626"/>
        <v/>
      </c>
      <c r="FO113" s="30" t="str">
        <f t="shared" si="1627"/>
        <v/>
      </c>
      <c r="FP113" s="30" t="str">
        <f t="shared" si="1628"/>
        <v/>
      </c>
      <c r="FQ113" s="30" t="str">
        <f t="shared" si="1629"/>
        <v/>
      </c>
      <c r="FR113" s="30" t="str">
        <f t="shared" si="1630"/>
        <v/>
      </c>
      <c r="FS113" s="30" t="str">
        <f t="shared" si="1631"/>
        <v/>
      </c>
    </row>
    <row r="114" spans="1:175" ht="16.5">
      <c r="A114" s="110"/>
      <c r="B114" s="24" t="s">
        <v>582</v>
      </c>
      <c r="C114" s="124" t="s">
        <v>611</v>
      </c>
      <c r="T114" s="111" t="s">
        <v>530</v>
      </c>
      <c r="U114" s="32" t="str">
        <f t="shared" si="1555"/>
        <v>ReplaceableTextures\\CommandButtons\\BTNINDL.blp</v>
      </c>
      <c r="CN114" s="7" t="str">
        <f t="shared" si="1556"/>
        <v>InitUnitState('INDL',,,,,,,,,,)</v>
      </c>
      <c r="CO114" s="7" t="str">
        <f t="shared" si="1557"/>
        <v>InitUnitNormal('INDL',,,,,,,,,,)</v>
      </c>
      <c r="CP114" s="7" t="str">
        <f t="shared" si="1558"/>
        <v>InitUnitMagic('INDL',,,,,,,,,,)</v>
      </c>
      <c r="CQ114" s="7" t="str">
        <f t="shared" si="1559"/>
        <v>InitUnitAdd('INDL',,,,,,,,,,)</v>
      </c>
      <c r="CR114" s="7" t="str">
        <f t="shared" si="1554"/>
        <v>InitEquipData('INDL',,"",,,,,'','','','','','',"ReplaceableTextures\\CommandButtons\\BTNIN14.blp")</v>
      </c>
      <c r="CU114" s="45" t="str">
        <f t="shared" si="1560"/>
        <v>|n</v>
      </c>
      <c r="CV114" s="29" t="str">
        <f t="shared" si="1561"/>
        <v>开出一个随机锦囊</v>
      </c>
      <c r="CW114" s="24"/>
      <c r="CX114" s="24"/>
      <c r="CY114" s="24"/>
      <c r="CZ114" s="24"/>
      <c r="DA114" s="24"/>
      <c r="DB114" s="30" t="str">
        <f t="shared" si="1562"/>
        <v/>
      </c>
      <c r="DC114" s="30" t="str">
        <f t="shared" si="1563"/>
        <v/>
      </c>
      <c r="DD114" s="30" t="str">
        <f t="shared" si="1564"/>
        <v/>
      </c>
      <c r="DE114" s="30" t="str">
        <f t="shared" si="1565"/>
        <v/>
      </c>
      <c r="DF114" s="30" t="str">
        <f t="shared" si="1566"/>
        <v/>
      </c>
      <c r="DG114" s="30" t="str">
        <f t="shared" si="1567"/>
        <v/>
      </c>
      <c r="DH114" s="30" t="str">
        <f t="shared" si="1568"/>
        <v/>
      </c>
      <c r="DI114" s="30" t="str">
        <f t="shared" si="1569"/>
        <v/>
      </c>
      <c r="DJ114" s="30" t="str">
        <f t="shared" si="1570"/>
        <v/>
      </c>
      <c r="DK114" s="30" t="str">
        <f t="shared" si="1571"/>
        <v/>
      </c>
      <c r="DL114" s="30" t="str">
        <f t="shared" si="1572"/>
        <v/>
      </c>
      <c r="DM114" s="30" t="str">
        <f t="shared" si="1573"/>
        <v/>
      </c>
      <c r="DN114" s="30" t="str">
        <f t="shared" si="1574"/>
        <v/>
      </c>
      <c r="DO114" s="30" t="str">
        <f t="shared" si="1575"/>
        <v/>
      </c>
      <c r="DP114" s="30" t="str">
        <f t="shared" si="1576"/>
        <v/>
      </c>
      <c r="DQ114" s="30" t="str">
        <f t="shared" si="1577"/>
        <v/>
      </c>
      <c r="DR114" s="30" t="str">
        <f t="shared" si="1578"/>
        <v/>
      </c>
      <c r="DS114" s="30" t="str">
        <f t="shared" si="1579"/>
        <v/>
      </c>
      <c r="DT114" s="30" t="str">
        <f t="shared" si="1580"/>
        <v/>
      </c>
      <c r="DU114" s="30" t="str">
        <f t="shared" si="1581"/>
        <v/>
      </c>
      <c r="DV114" s="30" t="str">
        <f t="shared" si="1582"/>
        <v/>
      </c>
      <c r="DW114" s="30" t="str">
        <f t="shared" si="1583"/>
        <v/>
      </c>
      <c r="DX114" s="30" t="str">
        <f t="shared" si="1584"/>
        <v/>
      </c>
      <c r="DY114" s="30" t="str">
        <f t="shared" si="1585"/>
        <v/>
      </c>
      <c r="DZ114" s="30" t="str">
        <f t="shared" si="1586"/>
        <v/>
      </c>
      <c r="EA114" s="30" t="str">
        <f t="shared" si="1587"/>
        <v/>
      </c>
      <c r="EB114" s="30" t="str">
        <f t="shared" si="1588"/>
        <v/>
      </c>
      <c r="EC114" s="30" t="str">
        <f t="shared" si="1589"/>
        <v/>
      </c>
      <c r="ED114" s="30" t="str">
        <f t="shared" si="1590"/>
        <v/>
      </c>
      <c r="EE114" s="30" t="str">
        <f t="shared" si="1591"/>
        <v/>
      </c>
      <c r="EF114" s="30" t="str">
        <f t="shared" si="1592"/>
        <v/>
      </c>
      <c r="EG114" s="30" t="str">
        <f t="shared" si="1593"/>
        <v/>
      </c>
      <c r="EH114" s="30" t="str">
        <f t="shared" si="1594"/>
        <v/>
      </c>
      <c r="EI114" s="30" t="str">
        <f t="shared" si="1595"/>
        <v/>
      </c>
      <c r="EJ114" s="30" t="str">
        <f t="shared" si="1596"/>
        <v/>
      </c>
      <c r="EK114" s="30" t="str">
        <f t="shared" si="1597"/>
        <v/>
      </c>
      <c r="EL114" s="30" t="str">
        <f t="shared" si="1598"/>
        <v/>
      </c>
      <c r="EM114" s="30" t="str">
        <f t="shared" si="1599"/>
        <v/>
      </c>
      <c r="EN114" s="30" t="str">
        <f t="shared" si="1600"/>
        <v/>
      </c>
      <c r="EO114" s="30" t="str">
        <f t="shared" si="1601"/>
        <v/>
      </c>
      <c r="EP114" s="30" t="str">
        <f t="shared" si="1602"/>
        <v/>
      </c>
      <c r="EQ114" s="30" t="str">
        <f t="shared" si="1603"/>
        <v/>
      </c>
      <c r="ER114" s="30" t="str">
        <f t="shared" si="1604"/>
        <v/>
      </c>
      <c r="ES114" s="30" t="str">
        <f t="shared" si="1605"/>
        <v/>
      </c>
      <c r="ET114" s="30" t="str">
        <f t="shared" si="1606"/>
        <v/>
      </c>
      <c r="EU114" s="30" t="str">
        <f t="shared" si="1607"/>
        <v/>
      </c>
      <c r="EV114" s="30" t="str">
        <f t="shared" si="1608"/>
        <v/>
      </c>
      <c r="EW114" s="30" t="str">
        <f t="shared" si="1609"/>
        <v/>
      </c>
      <c r="EX114" s="30" t="str">
        <f t="shared" si="1610"/>
        <v/>
      </c>
      <c r="EY114" s="30" t="str">
        <f t="shared" si="1611"/>
        <v/>
      </c>
      <c r="EZ114" s="30" t="str">
        <f t="shared" si="1612"/>
        <v/>
      </c>
      <c r="FA114" s="30" t="str">
        <f t="shared" si="1613"/>
        <v/>
      </c>
      <c r="FB114" s="30" t="str">
        <f t="shared" si="1614"/>
        <v/>
      </c>
      <c r="FC114" s="30" t="str">
        <f t="shared" si="1615"/>
        <v/>
      </c>
      <c r="FD114" s="30" t="str">
        <f t="shared" si="1616"/>
        <v/>
      </c>
      <c r="FE114" s="30" t="str">
        <f t="shared" si="1617"/>
        <v/>
      </c>
      <c r="FF114" s="30" t="str">
        <f t="shared" si="1618"/>
        <v/>
      </c>
      <c r="FG114" s="30" t="str">
        <f t="shared" si="1619"/>
        <v/>
      </c>
      <c r="FH114" s="30" t="str">
        <f t="shared" si="1620"/>
        <v/>
      </c>
      <c r="FI114" s="30" t="str">
        <f t="shared" si="1621"/>
        <v/>
      </c>
      <c r="FJ114" s="30" t="str">
        <f t="shared" si="1622"/>
        <v/>
      </c>
      <c r="FK114" s="30" t="str">
        <f t="shared" si="1623"/>
        <v/>
      </c>
      <c r="FL114" s="30" t="str">
        <f t="shared" si="1624"/>
        <v/>
      </c>
      <c r="FM114" s="30" t="str">
        <f t="shared" si="1625"/>
        <v/>
      </c>
      <c r="FN114" s="30" t="str">
        <f t="shared" si="1626"/>
        <v/>
      </c>
      <c r="FO114" s="30" t="str">
        <f t="shared" si="1627"/>
        <v/>
      </c>
      <c r="FP114" s="30" t="str">
        <f t="shared" si="1628"/>
        <v/>
      </c>
      <c r="FQ114" s="30" t="str">
        <f t="shared" si="1629"/>
        <v/>
      </c>
      <c r="FR114" s="30" t="str">
        <f t="shared" si="1630"/>
        <v/>
      </c>
      <c r="FS114" s="30" t="str">
        <f t="shared" si="1631"/>
        <v/>
      </c>
    </row>
    <row r="115" spans="1:175" ht="16.5">
      <c r="A115" s="110"/>
      <c r="B115" s="24" t="s">
        <v>583</v>
      </c>
      <c r="C115" s="124" t="s">
        <v>610</v>
      </c>
      <c r="T115" s="111" t="s">
        <v>530</v>
      </c>
      <c r="U115" s="32" t="str">
        <f t="shared" si="1555"/>
        <v>ReplaceableTextures\\CommandButtons\\BTNINDM.blp</v>
      </c>
      <c r="CN115" s="7" t="str">
        <f t="shared" si="1556"/>
        <v>InitUnitState('INDM',,,,,,,,,,)</v>
      </c>
      <c r="CO115" s="7" t="str">
        <f t="shared" si="1557"/>
        <v>InitUnitNormal('INDM',,,,,,,,,,)</v>
      </c>
      <c r="CP115" s="7" t="str">
        <f t="shared" si="1558"/>
        <v>InitUnitMagic('INDM',,,,,,,,,,)</v>
      </c>
      <c r="CQ115" s="7" t="str">
        <f t="shared" si="1559"/>
        <v>InitUnitAdd('INDM',,,,,,,,,,)</v>
      </c>
      <c r="CR115" s="7" t="str">
        <f t="shared" si="1554"/>
        <v>InitEquipData('INDM',,"",,,,,'','','','','','',"ReplaceableTextures\\CommandButtons\\BTNIN15.blp")</v>
      </c>
      <c r="CU115" s="45" t="str">
        <f t="shared" si="1560"/>
        <v>|n</v>
      </c>
      <c r="CV115" s="29" t="str">
        <f t="shared" si="1561"/>
        <v>开出一个随机锦囊</v>
      </c>
      <c r="CW115" s="24"/>
      <c r="CX115" s="24"/>
      <c r="CY115" s="24"/>
      <c r="CZ115" s="24"/>
      <c r="DA115" s="24"/>
      <c r="DB115" s="30" t="str">
        <f t="shared" si="1562"/>
        <v/>
      </c>
      <c r="DC115" s="30" t="str">
        <f t="shared" si="1563"/>
        <v/>
      </c>
      <c r="DD115" s="30" t="str">
        <f t="shared" si="1564"/>
        <v/>
      </c>
      <c r="DE115" s="30" t="str">
        <f t="shared" si="1565"/>
        <v/>
      </c>
      <c r="DF115" s="30" t="str">
        <f t="shared" si="1566"/>
        <v/>
      </c>
      <c r="DG115" s="30" t="str">
        <f t="shared" si="1567"/>
        <v/>
      </c>
      <c r="DH115" s="30" t="str">
        <f t="shared" si="1568"/>
        <v/>
      </c>
      <c r="DI115" s="30" t="str">
        <f t="shared" si="1569"/>
        <v/>
      </c>
      <c r="DJ115" s="30" t="str">
        <f t="shared" si="1570"/>
        <v/>
      </c>
      <c r="DK115" s="30" t="str">
        <f t="shared" si="1571"/>
        <v/>
      </c>
      <c r="DL115" s="30" t="str">
        <f t="shared" si="1572"/>
        <v/>
      </c>
      <c r="DM115" s="30" t="str">
        <f t="shared" si="1573"/>
        <v/>
      </c>
      <c r="DN115" s="30" t="str">
        <f t="shared" si="1574"/>
        <v/>
      </c>
      <c r="DO115" s="30" t="str">
        <f t="shared" si="1575"/>
        <v/>
      </c>
      <c r="DP115" s="30" t="str">
        <f t="shared" si="1576"/>
        <v/>
      </c>
      <c r="DQ115" s="30" t="str">
        <f t="shared" si="1577"/>
        <v/>
      </c>
      <c r="DR115" s="30" t="str">
        <f t="shared" si="1578"/>
        <v/>
      </c>
      <c r="DS115" s="30" t="str">
        <f t="shared" si="1579"/>
        <v/>
      </c>
      <c r="DT115" s="30" t="str">
        <f t="shared" si="1580"/>
        <v/>
      </c>
      <c r="DU115" s="30" t="str">
        <f t="shared" si="1581"/>
        <v/>
      </c>
      <c r="DV115" s="30" t="str">
        <f t="shared" si="1582"/>
        <v/>
      </c>
      <c r="DW115" s="30" t="str">
        <f t="shared" si="1583"/>
        <v/>
      </c>
      <c r="DX115" s="30" t="str">
        <f t="shared" si="1584"/>
        <v/>
      </c>
      <c r="DY115" s="30" t="str">
        <f t="shared" si="1585"/>
        <v/>
      </c>
      <c r="DZ115" s="30" t="str">
        <f t="shared" si="1586"/>
        <v/>
      </c>
      <c r="EA115" s="30" t="str">
        <f t="shared" si="1587"/>
        <v/>
      </c>
      <c r="EB115" s="30" t="str">
        <f t="shared" si="1588"/>
        <v/>
      </c>
      <c r="EC115" s="30" t="str">
        <f t="shared" si="1589"/>
        <v/>
      </c>
      <c r="ED115" s="30" t="str">
        <f t="shared" si="1590"/>
        <v/>
      </c>
      <c r="EE115" s="30" t="str">
        <f t="shared" si="1591"/>
        <v/>
      </c>
      <c r="EF115" s="30" t="str">
        <f t="shared" si="1592"/>
        <v/>
      </c>
      <c r="EG115" s="30" t="str">
        <f t="shared" si="1593"/>
        <v/>
      </c>
      <c r="EH115" s="30" t="str">
        <f t="shared" si="1594"/>
        <v/>
      </c>
      <c r="EI115" s="30" t="str">
        <f t="shared" si="1595"/>
        <v/>
      </c>
      <c r="EJ115" s="30" t="str">
        <f t="shared" si="1596"/>
        <v/>
      </c>
      <c r="EK115" s="30" t="str">
        <f t="shared" si="1597"/>
        <v/>
      </c>
      <c r="EL115" s="30" t="str">
        <f t="shared" si="1598"/>
        <v/>
      </c>
      <c r="EM115" s="30" t="str">
        <f t="shared" si="1599"/>
        <v/>
      </c>
      <c r="EN115" s="30" t="str">
        <f t="shared" si="1600"/>
        <v/>
      </c>
      <c r="EO115" s="30" t="str">
        <f t="shared" si="1601"/>
        <v/>
      </c>
      <c r="EP115" s="30" t="str">
        <f t="shared" si="1602"/>
        <v/>
      </c>
      <c r="EQ115" s="30" t="str">
        <f t="shared" si="1603"/>
        <v/>
      </c>
      <c r="ER115" s="30" t="str">
        <f t="shared" si="1604"/>
        <v/>
      </c>
      <c r="ES115" s="30" t="str">
        <f t="shared" si="1605"/>
        <v/>
      </c>
      <c r="ET115" s="30" t="str">
        <f t="shared" si="1606"/>
        <v/>
      </c>
      <c r="EU115" s="30" t="str">
        <f t="shared" si="1607"/>
        <v/>
      </c>
      <c r="EV115" s="30" t="str">
        <f t="shared" si="1608"/>
        <v/>
      </c>
      <c r="EW115" s="30" t="str">
        <f t="shared" si="1609"/>
        <v/>
      </c>
      <c r="EX115" s="30" t="str">
        <f t="shared" si="1610"/>
        <v/>
      </c>
      <c r="EY115" s="30" t="str">
        <f t="shared" si="1611"/>
        <v/>
      </c>
      <c r="EZ115" s="30" t="str">
        <f t="shared" si="1612"/>
        <v/>
      </c>
      <c r="FA115" s="30" t="str">
        <f t="shared" si="1613"/>
        <v/>
      </c>
      <c r="FB115" s="30" t="str">
        <f t="shared" si="1614"/>
        <v/>
      </c>
      <c r="FC115" s="30" t="str">
        <f t="shared" si="1615"/>
        <v/>
      </c>
      <c r="FD115" s="30" t="str">
        <f t="shared" si="1616"/>
        <v/>
      </c>
      <c r="FE115" s="30" t="str">
        <f t="shared" si="1617"/>
        <v/>
      </c>
      <c r="FF115" s="30" t="str">
        <f t="shared" si="1618"/>
        <v/>
      </c>
      <c r="FG115" s="30" t="str">
        <f t="shared" si="1619"/>
        <v/>
      </c>
      <c r="FH115" s="30" t="str">
        <f t="shared" si="1620"/>
        <v/>
      </c>
      <c r="FI115" s="30" t="str">
        <f t="shared" si="1621"/>
        <v/>
      </c>
      <c r="FJ115" s="30" t="str">
        <f t="shared" si="1622"/>
        <v/>
      </c>
      <c r="FK115" s="30" t="str">
        <f t="shared" si="1623"/>
        <v/>
      </c>
      <c r="FL115" s="30" t="str">
        <f t="shared" si="1624"/>
        <v/>
      </c>
      <c r="FM115" s="30" t="str">
        <f t="shared" si="1625"/>
        <v/>
      </c>
      <c r="FN115" s="30" t="str">
        <f t="shared" si="1626"/>
        <v/>
      </c>
      <c r="FO115" s="30" t="str">
        <f t="shared" si="1627"/>
        <v/>
      </c>
      <c r="FP115" s="30" t="str">
        <f t="shared" si="1628"/>
        <v/>
      </c>
      <c r="FQ115" s="30" t="str">
        <f t="shared" si="1629"/>
        <v/>
      </c>
      <c r="FR115" s="30" t="str">
        <f t="shared" si="1630"/>
        <v/>
      </c>
      <c r="FS115" s="30" t="str">
        <f t="shared" si="1631"/>
        <v/>
      </c>
    </row>
    <row r="116" spans="1:175" ht="16.5">
      <c r="A116" s="110"/>
      <c r="B116" s="24" t="s">
        <v>584</v>
      </c>
      <c r="C116" s="124" t="s">
        <v>610</v>
      </c>
      <c r="T116" s="111" t="s">
        <v>530</v>
      </c>
      <c r="U116" s="32" t="str">
        <f t="shared" si="1555"/>
        <v>ReplaceableTextures\\CommandButtons\\BTNINDN.blp</v>
      </c>
      <c r="CN116" s="7" t="str">
        <f t="shared" si="1556"/>
        <v>InitUnitState('INDN',,,,,,,,,,)</v>
      </c>
      <c r="CO116" s="7" t="str">
        <f t="shared" si="1557"/>
        <v>InitUnitNormal('INDN',,,,,,,,,,)</v>
      </c>
      <c r="CP116" s="7" t="str">
        <f t="shared" si="1558"/>
        <v>InitUnitMagic('INDN',,,,,,,,,,)</v>
      </c>
      <c r="CQ116" s="7" t="str">
        <f t="shared" si="1559"/>
        <v>InitUnitAdd('INDN',,,,,,,,,,)</v>
      </c>
      <c r="CR116" s="7" t="str">
        <f t="shared" si="1554"/>
        <v>InitEquipData('INDN',,"",,,,,'','','','','','',"ReplaceableTextures\\CommandButtons\\BTNIN16.blp")</v>
      </c>
      <c r="CU116" s="45" t="str">
        <f t="shared" si="1560"/>
        <v>|n</v>
      </c>
      <c r="CV116" s="29" t="str">
        <f t="shared" si="1561"/>
        <v>开出一个随机锦囊</v>
      </c>
      <c r="CW116" s="24"/>
      <c r="CX116" s="24"/>
      <c r="CY116" s="24"/>
      <c r="CZ116" s="24"/>
      <c r="DA116" s="24"/>
      <c r="DB116" s="30" t="str">
        <f t="shared" si="1562"/>
        <v/>
      </c>
      <c r="DC116" s="30" t="str">
        <f t="shared" si="1563"/>
        <v/>
      </c>
      <c r="DD116" s="30" t="str">
        <f t="shared" si="1564"/>
        <v/>
      </c>
      <c r="DE116" s="30" t="str">
        <f t="shared" si="1565"/>
        <v/>
      </c>
      <c r="DF116" s="30" t="str">
        <f t="shared" si="1566"/>
        <v/>
      </c>
      <c r="DG116" s="30" t="str">
        <f t="shared" si="1567"/>
        <v/>
      </c>
      <c r="DH116" s="30" t="str">
        <f t="shared" si="1568"/>
        <v/>
      </c>
      <c r="DI116" s="30" t="str">
        <f t="shared" si="1569"/>
        <v/>
      </c>
      <c r="DJ116" s="30" t="str">
        <f t="shared" si="1570"/>
        <v/>
      </c>
      <c r="DK116" s="30" t="str">
        <f t="shared" si="1571"/>
        <v/>
      </c>
      <c r="DL116" s="30" t="str">
        <f t="shared" si="1572"/>
        <v/>
      </c>
      <c r="DM116" s="30" t="str">
        <f t="shared" si="1573"/>
        <v/>
      </c>
      <c r="DN116" s="30" t="str">
        <f t="shared" si="1574"/>
        <v/>
      </c>
      <c r="DO116" s="30" t="str">
        <f t="shared" si="1575"/>
        <v/>
      </c>
      <c r="DP116" s="30" t="str">
        <f t="shared" si="1576"/>
        <v/>
      </c>
      <c r="DQ116" s="30" t="str">
        <f t="shared" si="1577"/>
        <v/>
      </c>
      <c r="DR116" s="30" t="str">
        <f t="shared" si="1578"/>
        <v/>
      </c>
      <c r="DS116" s="30" t="str">
        <f t="shared" si="1579"/>
        <v/>
      </c>
      <c r="DT116" s="30" t="str">
        <f t="shared" si="1580"/>
        <v/>
      </c>
      <c r="DU116" s="30" t="str">
        <f t="shared" si="1581"/>
        <v/>
      </c>
      <c r="DV116" s="30" t="str">
        <f t="shared" si="1582"/>
        <v/>
      </c>
      <c r="DW116" s="30" t="str">
        <f t="shared" si="1583"/>
        <v/>
      </c>
      <c r="DX116" s="30" t="str">
        <f t="shared" si="1584"/>
        <v/>
      </c>
      <c r="DY116" s="30" t="str">
        <f t="shared" si="1585"/>
        <v/>
      </c>
      <c r="DZ116" s="30" t="str">
        <f t="shared" si="1586"/>
        <v/>
      </c>
      <c r="EA116" s="30" t="str">
        <f t="shared" si="1587"/>
        <v/>
      </c>
      <c r="EB116" s="30" t="str">
        <f t="shared" si="1588"/>
        <v/>
      </c>
      <c r="EC116" s="30" t="str">
        <f t="shared" si="1589"/>
        <v/>
      </c>
      <c r="ED116" s="30" t="str">
        <f t="shared" si="1590"/>
        <v/>
      </c>
      <c r="EE116" s="30" t="str">
        <f t="shared" si="1591"/>
        <v/>
      </c>
      <c r="EF116" s="30" t="str">
        <f t="shared" si="1592"/>
        <v/>
      </c>
      <c r="EG116" s="30" t="str">
        <f t="shared" si="1593"/>
        <v/>
      </c>
      <c r="EH116" s="30" t="str">
        <f t="shared" si="1594"/>
        <v/>
      </c>
      <c r="EI116" s="30" t="str">
        <f t="shared" si="1595"/>
        <v/>
      </c>
      <c r="EJ116" s="30" t="str">
        <f t="shared" si="1596"/>
        <v/>
      </c>
      <c r="EK116" s="30" t="str">
        <f t="shared" si="1597"/>
        <v/>
      </c>
      <c r="EL116" s="30" t="str">
        <f t="shared" si="1598"/>
        <v/>
      </c>
      <c r="EM116" s="30" t="str">
        <f t="shared" si="1599"/>
        <v/>
      </c>
      <c r="EN116" s="30" t="str">
        <f t="shared" si="1600"/>
        <v/>
      </c>
      <c r="EO116" s="30" t="str">
        <f t="shared" si="1601"/>
        <v/>
      </c>
      <c r="EP116" s="30" t="str">
        <f t="shared" si="1602"/>
        <v/>
      </c>
      <c r="EQ116" s="30" t="str">
        <f t="shared" si="1603"/>
        <v/>
      </c>
      <c r="ER116" s="30" t="str">
        <f t="shared" si="1604"/>
        <v/>
      </c>
      <c r="ES116" s="30" t="str">
        <f t="shared" si="1605"/>
        <v/>
      </c>
      <c r="ET116" s="30" t="str">
        <f t="shared" si="1606"/>
        <v/>
      </c>
      <c r="EU116" s="30" t="str">
        <f t="shared" si="1607"/>
        <v/>
      </c>
      <c r="EV116" s="30" t="str">
        <f t="shared" si="1608"/>
        <v/>
      </c>
      <c r="EW116" s="30" t="str">
        <f t="shared" si="1609"/>
        <v/>
      </c>
      <c r="EX116" s="30" t="str">
        <f t="shared" si="1610"/>
        <v/>
      </c>
      <c r="EY116" s="30" t="str">
        <f t="shared" si="1611"/>
        <v/>
      </c>
      <c r="EZ116" s="30" t="str">
        <f t="shared" si="1612"/>
        <v/>
      </c>
      <c r="FA116" s="30" t="str">
        <f t="shared" si="1613"/>
        <v/>
      </c>
      <c r="FB116" s="30" t="str">
        <f t="shared" si="1614"/>
        <v/>
      </c>
      <c r="FC116" s="30" t="str">
        <f t="shared" si="1615"/>
        <v/>
      </c>
      <c r="FD116" s="30" t="str">
        <f t="shared" si="1616"/>
        <v/>
      </c>
      <c r="FE116" s="30" t="str">
        <f t="shared" si="1617"/>
        <v/>
      </c>
      <c r="FF116" s="30" t="str">
        <f t="shared" si="1618"/>
        <v/>
      </c>
      <c r="FG116" s="30" t="str">
        <f t="shared" si="1619"/>
        <v/>
      </c>
      <c r="FH116" s="30" t="str">
        <f t="shared" si="1620"/>
        <v/>
      </c>
      <c r="FI116" s="30" t="str">
        <f t="shared" si="1621"/>
        <v/>
      </c>
      <c r="FJ116" s="30" t="str">
        <f t="shared" si="1622"/>
        <v/>
      </c>
      <c r="FK116" s="30" t="str">
        <f t="shared" si="1623"/>
        <v/>
      </c>
      <c r="FL116" s="30" t="str">
        <f t="shared" si="1624"/>
        <v/>
      </c>
      <c r="FM116" s="30" t="str">
        <f t="shared" si="1625"/>
        <v/>
      </c>
      <c r="FN116" s="30" t="str">
        <f t="shared" si="1626"/>
        <v/>
      </c>
      <c r="FO116" s="30" t="str">
        <f t="shared" si="1627"/>
        <v/>
      </c>
      <c r="FP116" s="30" t="str">
        <f t="shared" si="1628"/>
        <v/>
      </c>
      <c r="FQ116" s="30" t="str">
        <f t="shared" si="1629"/>
        <v/>
      </c>
      <c r="FR116" s="30" t="str">
        <f t="shared" si="1630"/>
        <v/>
      </c>
      <c r="FS116" s="30" t="str">
        <f t="shared" si="1631"/>
        <v/>
      </c>
    </row>
    <row r="117" spans="1:175" ht="16.5">
      <c r="A117" s="110"/>
      <c r="B117" s="24" t="s">
        <v>585</v>
      </c>
      <c r="C117" s="124" t="s">
        <v>610</v>
      </c>
      <c r="T117" s="111" t="s">
        <v>530</v>
      </c>
      <c r="U117" s="32" t="str">
        <f t="shared" si="1555"/>
        <v>ReplaceableTextures\\CommandButtons\\BTNINDO.blp</v>
      </c>
      <c r="CN117" s="7" t="str">
        <f t="shared" si="1556"/>
        <v>InitUnitState('INDO',,,,,,,,,,)</v>
      </c>
      <c r="CO117" s="7" t="str">
        <f t="shared" si="1557"/>
        <v>InitUnitNormal('INDO',,,,,,,,,,)</v>
      </c>
      <c r="CP117" s="7" t="str">
        <f t="shared" si="1558"/>
        <v>InitUnitMagic('INDO',,,,,,,,,,)</v>
      </c>
      <c r="CQ117" s="7" t="str">
        <f t="shared" si="1559"/>
        <v>InitUnitAdd('INDO',,,,,,,,,,)</v>
      </c>
      <c r="CR117" s="7" t="str">
        <f t="shared" si="1554"/>
        <v>InitEquipData('INDO',,"",,,,,'','','','','','',"ReplaceableTextures\\CommandButtons\\BTNIN17.blp")</v>
      </c>
      <c r="CU117" s="45" t="str">
        <f t="shared" si="1560"/>
        <v>|n</v>
      </c>
      <c r="CV117" s="29" t="str">
        <f t="shared" si="1561"/>
        <v>开出一个随机锦囊</v>
      </c>
      <c r="CW117" s="24"/>
      <c r="CX117" s="24"/>
      <c r="CY117" s="24"/>
      <c r="CZ117" s="24"/>
      <c r="DA117" s="24"/>
      <c r="DB117" s="30" t="str">
        <f t="shared" si="1562"/>
        <v/>
      </c>
      <c r="DC117" s="30" t="str">
        <f t="shared" si="1563"/>
        <v/>
      </c>
      <c r="DD117" s="30" t="str">
        <f t="shared" si="1564"/>
        <v/>
      </c>
      <c r="DE117" s="30" t="str">
        <f t="shared" si="1565"/>
        <v/>
      </c>
      <c r="DF117" s="30" t="str">
        <f t="shared" si="1566"/>
        <v/>
      </c>
      <c r="DG117" s="30" t="str">
        <f t="shared" si="1567"/>
        <v/>
      </c>
      <c r="DH117" s="30" t="str">
        <f t="shared" si="1568"/>
        <v/>
      </c>
      <c r="DI117" s="30" t="str">
        <f t="shared" si="1569"/>
        <v/>
      </c>
      <c r="DJ117" s="30" t="str">
        <f t="shared" si="1570"/>
        <v/>
      </c>
      <c r="DK117" s="30" t="str">
        <f t="shared" si="1571"/>
        <v/>
      </c>
      <c r="DL117" s="30" t="str">
        <f t="shared" si="1572"/>
        <v/>
      </c>
      <c r="DM117" s="30" t="str">
        <f t="shared" si="1573"/>
        <v/>
      </c>
      <c r="DN117" s="30" t="str">
        <f t="shared" si="1574"/>
        <v/>
      </c>
      <c r="DO117" s="30" t="str">
        <f t="shared" si="1575"/>
        <v/>
      </c>
      <c r="DP117" s="30" t="str">
        <f t="shared" si="1576"/>
        <v/>
      </c>
      <c r="DQ117" s="30" t="str">
        <f t="shared" si="1577"/>
        <v/>
      </c>
      <c r="DR117" s="30" t="str">
        <f t="shared" si="1578"/>
        <v/>
      </c>
      <c r="DS117" s="30" t="str">
        <f t="shared" si="1579"/>
        <v/>
      </c>
      <c r="DT117" s="30" t="str">
        <f t="shared" si="1580"/>
        <v/>
      </c>
      <c r="DU117" s="30" t="str">
        <f t="shared" si="1581"/>
        <v/>
      </c>
      <c r="DV117" s="30" t="str">
        <f t="shared" si="1582"/>
        <v/>
      </c>
      <c r="DW117" s="30" t="str">
        <f t="shared" si="1583"/>
        <v/>
      </c>
      <c r="DX117" s="30" t="str">
        <f t="shared" si="1584"/>
        <v/>
      </c>
      <c r="DY117" s="30" t="str">
        <f t="shared" si="1585"/>
        <v/>
      </c>
      <c r="DZ117" s="30" t="str">
        <f t="shared" si="1586"/>
        <v/>
      </c>
      <c r="EA117" s="30" t="str">
        <f t="shared" si="1587"/>
        <v/>
      </c>
      <c r="EB117" s="30" t="str">
        <f t="shared" si="1588"/>
        <v/>
      </c>
      <c r="EC117" s="30" t="str">
        <f t="shared" si="1589"/>
        <v/>
      </c>
      <c r="ED117" s="30" t="str">
        <f t="shared" si="1590"/>
        <v/>
      </c>
      <c r="EE117" s="30" t="str">
        <f t="shared" si="1591"/>
        <v/>
      </c>
      <c r="EF117" s="30" t="str">
        <f t="shared" si="1592"/>
        <v/>
      </c>
      <c r="EG117" s="30" t="str">
        <f t="shared" si="1593"/>
        <v/>
      </c>
      <c r="EH117" s="30" t="str">
        <f t="shared" si="1594"/>
        <v/>
      </c>
      <c r="EI117" s="30" t="str">
        <f t="shared" si="1595"/>
        <v/>
      </c>
      <c r="EJ117" s="30" t="str">
        <f t="shared" si="1596"/>
        <v/>
      </c>
      <c r="EK117" s="30" t="str">
        <f t="shared" si="1597"/>
        <v/>
      </c>
      <c r="EL117" s="30" t="str">
        <f t="shared" si="1598"/>
        <v/>
      </c>
      <c r="EM117" s="30" t="str">
        <f t="shared" si="1599"/>
        <v/>
      </c>
      <c r="EN117" s="30" t="str">
        <f t="shared" si="1600"/>
        <v/>
      </c>
      <c r="EO117" s="30" t="str">
        <f t="shared" si="1601"/>
        <v/>
      </c>
      <c r="EP117" s="30" t="str">
        <f t="shared" si="1602"/>
        <v/>
      </c>
      <c r="EQ117" s="30" t="str">
        <f t="shared" si="1603"/>
        <v/>
      </c>
      <c r="ER117" s="30" t="str">
        <f t="shared" si="1604"/>
        <v/>
      </c>
      <c r="ES117" s="30" t="str">
        <f t="shared" si="1605"/>
        <v/>
      </c>
      <c r="ET117" s="30" t="str">
        <f t="shared" si="1606"/>
        <v/>
      </c>
      <c r="EU117" s="30" t="str">
        <f t="shared" si="1607"/>
        <v/>
      </c>
      <c r="EV117" s="30" t="str">
        <f t="shared" si="1608"/>
        <v/>
      </c>
      <c r="EW117" s="30" t="str">
        <f t="shared" si="1609"/>
        <v/>
      </c>
      <c r="EX117" s="30" t="str">
        <f t="shared" si="1610"/>
        <v/>
      </c>
      <c r="EY117" s="30" t="str">
        <f t="shared" si="1611"/>
        <v/>
      </c>
      <c r="EZ117" s="30" t="str">
        <f t="shared" si="1612"/>
        <v/>
      </c>
      <c r="FA117" s="30" t="str">
        <f t="shared" si="1613"/>
        <v/>
      </c>
      <c r="FB117" s="30" t="str">
        <f t="shared" si="1614"/>
        <v/>
      </c>
      <c r="FC117" s="30" t="str">
        <f t="shared" si="1615"/>
        <v/>
      </c>
      <c r="FD117" s="30" t="str">
        <f t="shared" si="1616"/>
        <v/>
      </c>
      <c r="FE117" s="30" t="str">
        <f t="shared" si="1617"/>
        <v/>
      </c>
      <c r="FF117" s="30" t="str">
        <f t="shared" si="1618"/>
        <v/>
      </c>
      <c r="FG117" s="30" t="str">
        <f t="shared" si="1619"/>
        <v/>
      </c>
      <c r="FH117" s="30" t="str">
        <f t="shared" si="1620"/>
        <v/>
      </c>
      <c r="FI117" s="30" t="str">
        <f t="shared" si="1621"/>
        <v/>
      </c>
      <c r="FJ117" s="30" t="str">
        <f t="shared" si="1622"/>
        <v/>
      </c>
      <c r="FK117" s="30" t="str">
        <f t="shared" si="1623"/>
        <v/>
      </c>
      <c r="FL117" s="30" t="str">
        <f t="shared" si="1624"/>
        <v/>
      </c>
      <c r="FM117" s="30" t="str">
        <f t="shared" si="1625"/>
        <v/>
      </c>
      <c r="FN117" s="30" t="str">
        <f t="shared" si="1626"/>
        <v/>
      </c>
      <c r="FO117" s="30" t="str">
        <f t="shared" si="1627"/>
        <v/>
      </c>
      <c r="FP117" s="30" t="str">
        <f t="shared" si="1628"/>
        <v/>
      </c>
      <c r="FQ117" s="30" t="str">
        <f t="shared" si="1629"/>
        <v/>
      </c>
      <c r="FR117" s="30" t="str">
        <f t="shared" si="1630"/>
        <v/>
      </c>
      <c r="FS117" s="30" t="str">
        <f t="shared" si="1631"/>
        <v/>
      </c>
    </row>
    <row r="118" spans="1:175" ht="16.5">
      <c r="A118" s="110"/>
      <c r="B118" s="24" t="s">
        <v>586</v>
      </c>
      <c r="C118" s="124" t="s">
        <v>610</v>
      </c>
      <c r="T118" s="111" t="s">
        <v>530</v>
      </c>
      <c r="U118" s="32" t="str">
        <f t="shared" si="1555"/>
        <v>ReplaceableTextures\\CommandButtons\\BTNINDP.blp</v>
      </c>
      <c r="CN118" s="7" t="str">
        <f t="shared" si="1556"/>
        <v>InitUnitState('INDP',,,,,,,,,,)</v>
      </c>
      <c r="CO118" s="7" t="str">
        <f t="shared" si="1557"/>
        <v>InitUnitNormal('INDP',,,,,,,,,,)</v>
      </c>
      <c r="CP118" s="7" t="str">
        <f t="shared" si="1558"/>
        <v>InitUnitMagic('INDP',,,,,,,,,,)</v>
      </c>
      <c r="CQ118" s="7" t="str">
        <f t="shared" si="1559"/>
        <v>InitUnitAdd('INDP',,,,,,,,,,)</v>
      </c>
      <c r="CR118" s="7" t="str">
        <f t="shared" si="1554"/>
        <v>InitEquipData('INDP',,"",,,,,'','','','','','',"ReplaceableTextures\\CommandButtons\\BTNIN18.blp")</v>
      </c>
      <c r="CU118" s="45" t="str">
        <f t="shared" si="1560"/>
        <v>|n</v>
      </c>
      <c r="CV118" s="29" t="str">
        <f t="shared" si="1561"/>
        <v>开出一个随机锦囊</v>
      </c>
      <c r="CW118" s="24"/>
      <c r="CX118" s="24"/>
      <c r="CY118" s="24"/>
      <c r="CZ118" s="24"/>
      <c r="DA118" s="24"/>
      <c r="DB118" s="30" t="str">
        <f t="shared" si="1562"/>
        <v/>
      </c>
      <c r="DC118" s="30" t="str">
        <f t="shared" si="1563"/>
        <v/>
      </c>
      <c r="DD118" s="30" t="str">
        <f t="shared" si="1564"/>
        <v/>
      </c>
      <c r="DE118" s="30" t="str">
        <f t="shared" si="1565"/>
        <v/>
      </c>
      <c r="DF118" s="30" t="str">
        <f t="shared" si="1566"/>
        <v/>
      </c>
      <c r="DG118" s="30" t="str">
        <f t="shared" si="1567"/>
        <v/>
      </c>
      <c r="DH118" s="30" t="str">
        <f t="shared" si="1568"/>
        <v/>
      </c>
      <c r="DI118" s="30" t="str">
        <f t="shared" si="1569"/>
        <v/>
      </c>
      <c r="DJ118" s="30" t="str">
        <f t="shared" si="1570"/>
        <v/>
      </c>
      <c r="DK118" s="30" t="str">
        <f t="shared" si="1571"/>
        <v/>
      </c>
      <c r="DL118" s="30" t="str">
        <f t="shared" si="1572"/>
        <v/>
      </c>
      <c r="DM118" s="30" t="str">
        <f t="shared" si="1573"/>
        <v/>
      </c>
      <c r="DN118" s="30" t="str">
        <f t="shared" si="1574"/>
        <v/>
      </c>
      <c r="DO118" s="30" t="str">
        <f t="shared" si="1575"/>
        <v/>
      </c>
      <c r="DP118" s="30" t="str">
        <f t="shared" si="1576"/>
        <v/>
      </c>
      <c r="DQ118" s="30" t="str">
        <f t="shared" si="1577"/>
        <v/>
      </c>
      <c r="DR118" s="30" t="str">
        <f t="shared" si="1578"/>
        <v/>
      </c>
      <c r="DS118" s="30" t="str">
        <f t="shared" si="1579"/>
        <v/>
      </c>
      <c r="DT118" s="30" t="str">
        <f t="shared" si="1580"/>
        <v/>
      </c>
      <c r="DU118" s="30" t="str">
        <f t="shared" si="1581"/>
        <v/>
      </c>
      <c r="DV118" s="30" t="str">
        <f t="shared" si="1582"/>
        <v/>
      </c>
      <c r="DW118" s="30" t="str">
        <f t="shared" si="1583"/>
        <v/>
      </c>
      <c r="DX118" s="30" t="str">
        <f t="shared" si="1584"/>
        <v/>
      </c>
      <c r="DY118" s="30" t="str">
        <f t="shared" si="1585"/>
        <v/>
      </c>
      <c r="DZ118" s="30" t="str">
        <f t="shared" si="1586"/>
        <v/>
      </c>
      <c r="EA118" s="30" t="str">
        <f t="shared" si="1587"/>
        <v/>
      </c>
      <c r="EB118" s="30" t="str">
        <f t="shared" si="1588"/>
        <v/>
      </c>
      <c r="EC118" s="30" t="str">
        <f t="shared" si="1589"/>
        <v/>
      </c>
      <c r="ED118" s="30" t="str">
        <f t="shared" si="1590"/>
        <v/>
      </c>
      <c r="EE118" s="30" t="str">
        <f t="shared" si="1591"/>
        <v/>
      </c>
      <c r="EF118" s="30" t="str">
        <f t="shared" si="1592"/>
        <v/>
      </c>
      <c r="EG118" s="30" t="str">
        <f t="shared" si="1593"/>
        <v/>
      </c>
      <c r="EH118" s="30" t="str">
        <f t="shared" si="1594"/>
        <v/>
      </c>
      <c r="EI118" s="30" t="str">
        <f t="shared" si="1595"/>
        <v/>
      </c>
      <c r="EJ118" s="30" t="str">
        <f t="shared" si="1596"/>
        <v/>
      </c>
      <c r="EK118" s="30" t="str">
        <f t="shared" si="1597"/>
        <v/>
      </c>
      <c r="EL118" s="30" t="str">
        <f t="shared" si="1598"/>
        <v/>
      </c>
      <c r="EM118" s="30" t="str">
        <f t="shared" si="1599"/>
        <v/>
      </c>
      <c r="EN118" s="30" t="str">
        <f t="shared" si="1600"/>
        <v/>
      </c>
      <c r="EO118" s="30" t="str">
        <f t="shared" si="1601"/>
        <v/>
      </c>
      <c r="EP118" s="30" t="str">
        <f t="shared" si="1602"/>
        <v/>
      </c>
      <c r="EQ118" s="30" t="str">
        <f t="shared" si="1603"/>
        <v/>
      </c>
      <c r="ER118" s="30" t="str">
        <f t="shared" si="1604"/>
        <v/>
      </c>
      <c r="ES118" s="30" t="str">
        <f t="shared" si="1605"/>
        <v/>
      </c>
      <c r="ET118" s="30" t="str">
        <f t="shared" si="1606"/>
        <v/>
      </c>
      <c r="EU118" s="30" t="str">
        <f t="shared" si="1607"/>
        <v/>
      </c>
      <c r="EV118" s="30" t="str">
        <f t="shared" si="1608"/>
        <v/>
      </c>
      <c r="EW118" s="30" t="str">
        <f t="shared" si="1609"/>
        <v/>
      </c>
      <c r="EX118" s="30" t="str">
        <f t="shared" si="1610"/>
        <v/>
      </c>
      <c r="EY118" s="30" t="str">
        <f t="shared" si="1611"/>
        <v/>
      </c>
      <c r="EZ118" s="30" t="str">
        <f t="shared" si="1612"/>
        <v/>
      </c>
      <c r="FA118" s="30" t="str">
        <f t="shared" si="1613"/>
        <v/>
      </c>
      <c r="FB118" s="30" t="str">
        <f t="shared" si="1614"/>
        <v/>
      </c>
      <c r="FC118" s="30" t="str">
        <f t="shared" si="1615"/>
        <v/>
      </c>
      <c r="FD118" s="30" t="str">
        <f t="shared" si="1616"/>
        <v/>
      </c>
      <c r="FE118" s="30" t="str">
        <f t="shared" si="1617"/>
        <v/>
      </c>
      <c r="FF118" s="30" t="str">
        <f t="shared" si="1618"/>
        <v/>
      </c>
      <c r="FG118" s="30" t="str">
        <f t="shared" si="1619"/>
        <v/>
      </c>
      <c r="FH118" s="30" t="str">
        <f t="shared" si="1620"/>
        <v/>
      </c>
      <c r="FI118" s="30" t="str">
        <f t="shared" si="1621"/>
        <v/>
      </c>
      <c r="FJ118" s="30" t="str">
        <f t="shared" si="1622"/>
        <v/>
      </c>
      <c r="FK118" s="30" t="str">
        <f t="shared" si="1623"/>
        <v/>
      </c>
      <c r="FL118" s="30" t="str">
        <f t="shared" si="1624"/>
        <v/>
      </c>
      <c r="FM118" s="30" t="str">
        <f t="shared" si="1625"/>
        <v/>
      </c>
      <c r="FN118" s="30" t="str">
        <f t="shared" si="1626"/>
        <v/>
      </c>
      <c r="FO118" s="30" t="str">
        <f t="shared" si="1627"/>
        <v/>
      </c>
      <c r="FP118" s="30" t="str">
        <f t="shared" si="1628"/>
        <v/>
      </c>
      <c r="FQ118" s="30" t="str">
        <f t="shared" si="1629"/>
        <v/>
      </c>
      <c r="FR118" s="30" t="str">
        <f t="shared" si="1630"/>
        <v/>
      </c>
      <c r="FS118" s="30" t="str">
        <f t="shared" si="1631"/>
        <v/>
      </c>
    </row>
    <row r="119" spans="1:175" ht="16.5">
      <c r="A119" s="110"/>
      <c r="B119" s="24" t="s">
        <v>587</v>
      </c>
      <c r="C119" s="124" t="s">
        <v>610</v>
      </c>
      <c r="T119" s="111" t="s">
        <v>530</v>
      </c>
      <c r="U119" s="32" t="str">
        <f t="shared" si="944"/>
        <v>ReplaceableTextures\\CommandButtons\\BTNINDQ.blp</v>
      </c>
      <c r="CN119" s="7" t="str">
        <f t="shared" si="1478"/>
        <v>InitUnitState('INDQ',,,,,,,,,,)</v>
      </c>
      <c r="CO119" s="7" t="str">
        <f t="shared" si="1479"/>
        <v>InitUnitNormal('INDQ',,,,,,,,,,)</v>
      </c>
      <c r="CP119" s="7" t="str">
        <f t="shared" si="1480"/>
        <v>InitUnitMagic('INDQ',,,,,,,,,,)</v>
      </c>
      <c r="CQ119" s="7" t="str">
        <f t="shared" si="1481"/>
        <v>InitUnitAdd('INDQ',,,,,,,,,,)</v>
      </c>
      <c r="CR119" s="7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45" t="str">
        <f t="shared" si="1482"/>
        <v>|n</v>
      </c>
      <c r="CV119" s="29" t="str">
        <f t="shared" si="1483"/>
        <v>开出一个随机锦囊</v>
      </c>
      <c r="CW119" s="24"/>
      <c r="CX119" s="24"/>
      <c r="CY119" s="24"/>
      <c r="CZ119" s="24"/>
      <c r="DA119" s="24"/>
      <c r="DB119" s="30" t="str">
        <f t="shared" si="1484"/>
        <v/>
      </c>
      <c r="DC119" s="30" t="str">
        <f t="shared" si="1485"/>
        <v/>
      </c>
      <c r="DD119" s="30" t="str">
        <f t="shared" si="1486"/>
        <v/>
      </c>
      <c r="DE119" s="30" t="str">
        <f t="shared" si="1487"/>
        <v/>
      </c>
      <c r="DF119" s="30" t="str">
        <f t="shared" si="1488"/>
        <v/>
      </c>
      <c r="DG119" s="30" t="str">
        <f t="shared" si="1489"/>
        <v/>
      </c>
      <c r="DH119" s="30" t="str">
        <f t="shared" si="1490"/>
        <v/>
      </c>
      <c r="DI119" s="30" t="str">
        <f t="shared" si="1491"/>
        <v/>
      </c>
      <c r="DJ119" s="30" t="str">
        <f t="shared" si="1492"/>
        <v/>
      </c>
      <c r="DK119" s="30" t="str">
        <f t="shared" si="1493"/>
        <v/>
      </c>
      <c r="DL119" s="30" t="str">
        <f t="shared" si="1494"/>
        <v/>
      </c>
      <c r="DM119" s="30" t="str">
        <f t="shared" si="1495"/>
        <v/>
      </c>
      <c r="DN119" s="30" t="str">
        <f t="shared" si="1496"/>
        <v/>
      </c>
      <c r="DO119" s="30" t="str">
        <f t="shared" si="1497"/>
        <v/>
      </c>
      <c r="DP119" s="30" t="str">
        <f t="shared" si="1498"/>
        <v/>
      </c>
      <c r="DQ119" s="30" t="str">
        <f t="shared" si="1499"/>
        <v/>
      </c>
      <c r="DR119" s="30" t="str">
        <f t="shared" si="1500"/>
        <v/>
      </c>
      <c r="DS119" s="30" t="str">
        <f t="shared" si="1501"/>
        <v/>
      </c>
      <c r="DT119" s="30" t="str">
        <f t="shared" si="1502"/>
        <v/>
      </c>
      <c r="DU119" s="30" t="str">
        <f t="shared" si="1503"/>
        <v/>
      </c>
      <c r="DV119" s="30" t="str">
        <f t="shared" si="1504"/>
        <v/>
      </c>
      <c r="DW119" s="30" t="str">
        <f t="shared" si="1505"/>
        <v/>
      </c>
      <c r="DX119" s="30" t="str">
        <f t="shared" si="1506"/>
        <v/>
      </c>
      <c r="DY119" s="30" t="str">
        <f t="shared" si="1507"/>
        <v/>
      </c>
      <c r="DZ119" s="30" t="str">
        <f t="shared" si="1508"/>
        <v/>
      </c>
      <c r="EA119" s="30" t="str">
        <f t="shared" si="1509"/>
        <v/>
      </c>
      <c r="EB119" s="30" t="str">
        <f t="shared" si="1510"/>
        <v/>
      </c>
      <c r="EC119" s="30" t="str">
        <f t="shared" si="1511"/>
        <v/>
      </c>
      <c r="ED119" s="30" t="str">
        <f t="shared" si="1512"/>
        <v/>
      </c>
      <c r="EE119" s="30" t="str">
        <f t="shared" si="1513"/>
        <v/>
      </c>
      <c r="EF119" s="30" t="str">
        <f t="shared" si="1514"/>
        <v/>
      </c>
      <c r="EG119" s="30" t="str">
        <f t="shared" si="1515"/>
        <v/>
      </c>
      <c r="EH119" s="30" t="str">
        <f t="shared" si="1516"/>
        <v/>
      </c>
      <c r="EI119" s="30" t="str">
        <f t="shared" si="1517"/>
        <v/>
      </c>
      <c r="EJ119" s="30" t="str">
        <f t="shared" si="1518"/>
        <v/>
      </c>
      <c r="EK119" s="30" t="str">
        <f t="shared" si="1519"/>
        <v/>
      </c>
      <c r="EL119" s="30" t="str">
        <f t="shared" si="1520"/>
        <v/>
      </c>
      <c r="EM119" s="30" t="str">
        <f t="shared" si="1521"/>
        <v/>
      </c>
      <c r="EN119" s="30" t="str">
        <f t="shared" si="1522"/>
        <v/>
      </c>
      <c r="EO119" s="30" t="str">
        <f t="shared" si="1523"/>
        <v/>
      </c>
      <c r="EP119" s="30" t="str">
        <f t="shared" si="1524"/>
        <v/>
      </c>
      <c r="EQ119" s="30" t="str">
        <f t="shared" si="1525"/>
        <v/>
      </c>
      <c r="ER119" s="30" t="str">
        <f t="shared" si="1526"/>
        <v/>
      </c>
      <c r="ES119" s="30" t="str">
        <f t="shared" si="1527"/>
        <v/>
      </c>
      <c r="ET119" s="30" t="str">
        <f t="shared" si="1528"/>
        <v/>
      </c>
      <c r="EU119" s="30" t="str">
        <f t="shared" si="1529"/>
        <v/>
      </c>
      <c r="EV119" s="30" t="str">
        <f t="shared" si="1530"/>
        <v/>
      </c>
      <c r="EW119" s="30" t="str">
        <f t="shared" si="1531"/>
        <v/>
      </c>
      <c r="EX119" s="30" t="str">
        <f t="shared" si="1532"/>
        <v/>
      </c>
      <c r="EY119" s="30" t="str">
        <f t="shared" si="1533"/>
        <v/>
      </c>
      <c r="EZ119" s="30" t="str">
        <f t="shared" si="1534"/>
        <v/>
      </c>
      <c r="FA119" s="30" t="str">
        <f t="shared" si="1535"/>
        <v/>
      </c>
      <c r="FB119" s="30" t="str">
        <f t="shared" si="1536"/>
        <v/>
      </c>
      <c r="FC119" s="30" t="str">
        <f t="shared" si="1537"/>
        <v/>
      </c>
      <c r="FD119" s="30" t="str">
        <f t="shared" si="1538"/>
        <v/>
      </c>
      <c r="FE119" s="30" t="str">
        <f t="shared" si="1539"/>
        <v/>
      </c>
      <c r="FF119" s="30" t="str">
        <f t="shared" si="1540"/>
        <v/>
      </c>
      <c r="FG119" s="30" t="str">
        <f t="shared" si="1541"/>
        <v/>
      </c>
      <c r="FH119" s="30" t="str">
        <f t="shared" si="1542"/>
        <v/>
      </c>
      <c r="FI119" s="30" t="str">
        <f t="shared" si="1543"/>
        <v/>
      </c>
      <c r="FJ119" s="30" t="str">
        <f t="shared" si="1544"/>
        <v/>
      </c>
      <c r="FK119" s="30" t="str">
        <f t="shared" si="1545"/>
        <v/>
      </c>
      <c r="FL119" s="30" t="str">
        <f t="shared" si="1546"/>
        <v/>
      </c>
      <c r="FM119" s="30" t="str">
        <f t="shared" si="1547"/>
        <v/>
      </c>
      <c r="FN119" s="30" t="str">
        <f t="shared" si="1548"/>
        <v/>
      </c>
      <c r="FO119" s="30" t="str">
        <f t="shared" si="1549"/>
        <v/>
      </c>
      <c r="FP119" s="30" t="str">
        <f t="shared" si="1550"/>
        <v/>
      </c>
      <c r="FQ119" s="30" t="str">
        <f t="shared" si="1551"/>
        <v/>
      </c>
      <c r="FR119" s="30" t="str">
        <f t="shared" si="1552"/>
        <v/>
      </c>
      <c r="FS119" s="30" t="str">
        <f t="shared" si="1553"/>
        <v/>
      </c>
    </row>
    <row r="120" spans="1:175" ht="16.5">
      <c r="A120" s="110"/>
      <c r="B120" s="24" t="s">
        <v>588</v>
      </c>
      <c r="C120" s="124" t="s">
        <v>611</v>
      </c>
      <c r="T120" s="111" t="s">
        <v>530</v>
      </c>
      <c r="U120" s="32" t="str">
        <f t="shared" si="944"/>
        <v>ReplaceableTextures\\CommandButtons\\BTNINDR.blp</v>
      </c>
      <c r="CN120" s="7" t="str">
        <f t="shared" si="1478"/>
        <v>InitUnitState('INDR',,,,,,,,,,)</v>
      </c>
      <c r="CO120" s="7" t="str">
        <f t="shared" si="1479"/>
        <v>InitUnitNormal('INDR',,,,,,,,,,)</v>
      </c>
      <c r="CP120" s="7" t="str">
        <f t="shared" si="1480"/>
        <v>InitUnitMagic('INDR',,,,,,,,,,)</v>
      </c>
      <c r="CQ120" s="7" t="str">
        <f t="shared" si="1481"/>
        <v>InitUnitAdd('INDR',,,,,,,,,,)</v>
      </c>
      <c r="CR120" s="7" t="str">
        <f t="shared" si="1632"/>
        <v>InitEquipData('INDR',,"",,,,,'','','','','','',"ReplaceableTextures\\CommandButtons\\BTNIP02.blp")</v>
      </c>
      <c r="CU120" s="45" t="str">
        <f t="shared" si="1482"/>
        <v>|n</v>
      </c>
      <c r="CV120" s="29" t="str">
        <f t="shared" si="1483"/>
        <v>开出一个随机锦囊</v>
      </c>
      <c r="CW120" s="24"/>
      <c r="CX120" s="24"/>
      <c r="CY120" s="24"/>
      <c r="CZ120" s="24"/>
      <c r="DA120" s="24"/>
      <c r="DB120" s="30" t="str">
        <f t="shared" si="1484"/>
        <v/>
      </c>
      <c r="DC120" s="30" t="str">
        <f t="shared" si="1485"/>
        <v/>
      </c>
      <c r="DD120" s="30" t="str">
        <f t="shared" si="1486"/>
        <v/>
      </c>
      <c r="DE120" s="30" t="str">
        <f t="shared" si="1487"/>
        <v/>
      </c>
      <c r="DF120" s="30" t="str">
        <f t="shared" si="1488"/>
        <v/>
      </c>
      <c r="DG120" s="30" t="str">
        <f t="shared" si="1489"/>
        <v/>
      </c>
      <c r="DH120" s="30" t="str">
        <f t="shared" si="1490"/>
        <v/>
      </c>
      <c r="DI120" s="30" t="str">
        <f t="shared" si="1491"/>
        <v/>
      </c>
      <c r="DJ120" s="30" t="str">
        <f t="shared" si="1492"/>
        <v/>
      </c>
      <c r="DK120" s="30" t="str">
        <f t="shared" si="1493"/>
        <v/>
      </c>
      <c r="DL120" s="30" t="str">
        <f t="shared" si="1494"/>
        <v/>
      </c>
      <c r="DM120" s="30" t="str">
        <f t="shared" si="1495"/>
        <v/>
      </c>
      <c r="DN120" s="30" t="str">
        <f t="shared" si="1496"/>
        <v/>
      </c>
      <c r="DO120" s="30" t="str">
        <f t="shared" si="1497"/>
        <v/>
      </c>
      <c r="DP120" s="30" t="str">
        <f t="shared" si="1498"/>
        <v/>
      </c>
      <c r="DQ120" s="30" t="str">
        <f t="shared" si="1499"/>
        <v/>
      </c>
      <c r="DR120" s="30" t="str">
        <f t="shared" si="1500"/>
        <v/>
      </c>
      <c r="DS120" s="30" t="str">
        <f t="shared" si="1501"/>
        <v/>
      </c>
      <c r="DT120" s="30" t="str">
        <f t="shared" si="1502"/>
        <v/>
      </c>
      <c r="DU120" s="30" t="str">
        <f t="shared" si="1503"/>
        <v/>
      </c>
      <c r="DV120" s="30" t="str">
        <f t="shared" si="1504"/>
        <v/>
      </c>
      <c r="DW120" s="30" t="str">
        <f t="shared" si="1505"/>
        <v/>
      </c>
      <c r="DX120" s="30" t="str">
        <f t="shared" si="1506"/>
        <v/>
      </c>
      <c r="DY120" s="30" t="str">
        <f t="shared" si="1507"/>
        <v/>
      </c>
      <c r="DZ120" s="30" t="str">
        <f t="shared" si="1508"/>
        <v/>
      </c>
      <c r="EA120" s="30" t="str">
        <f t="shared" si="1509"/>
        <v/>
      </c>
      <c r="EB120" s="30" t="str">
        <f t="shared" si="1510"/>
        <v/>
      </c>
      <c r="EC120" s="30" t="str">
        <f t="shared" si="1511"/>
        <v/>
      </c>
      <c r="ED120" s="30" t="str">
        <f t="shared" si="1512"/>
        <v/>
      </c>
      <c r="EE120" s="30" t="str">
        <f t="shared" si="1513"/>
        <v/>
      </c>
      <c r="EF120" s="30" t="str">
        <f t="shared" si="1514"/>
        <v/>
      </c>
      <c r="EG120" s="30" t="str">
        <f t="shared" si="1515"/>
        <v/>
      </c>
      <c r="EH120" s="30" t="str">
        <f t="shared" si="1516"/>
        <v/>
      </c>
      <c r="EI120" s="30" t="str">
        <f t="shared" si="1517"/>
        <v/>
      </c>
      <c r="EJ120" s="30" t="str">
        <f t="shared" si="1518"/>
        <v/>
      </c>
      <c r="EK120" s="30" t="str">
        <f t="shared" si="1519"/>
        <v/>
      </c>
      <c r="EL120" s="30" t="str">
        <f t="shared" si="1520"/>
        <v/>
      </c>
      <c r="EM120" s="30" t="str">
        <f t="shared" si="1521"/>
        <v/>
      </c>
      <c r="EN120" s="30" t="str">
        <f t="shared" si="1522"/>
        <v/>
      </c>
      <c r="EO120" s="30" t="str">
        <f t="shared" si="1523"/>
        <v/>
      </c>
      <c r="EP120" s="30" t="str">
        <f t="shared" si="1524"/>
        <v/>
      </c>
      <c r="EQ120" s="30" t="str">
        <f t="shared" si="1525"/>
        <v/>
      </c>
      <c r="ER120" s="30" t="str">
        <f t="shared" si="1526"/>
        <v/>
      </c>
      <c r="ES120" s="30" t="str">
        <f t="shared" si="1527"/>
        <v/>
      </c>
      <c r="ET120" s="30" t="str">
        <f t="shared" si="1528"/>
        <v/>
      </c>
      <c r="EU120" s="30" t="str">
        <f t="shared" si="1529"/>
        <v/>
      </c>
      <c r="EV120" s="30" t="str">
        <f t="shared" si="1530"/>
        <v/>
      </c>
      <c r="EW120" s="30" t="str">
        <f t="shared" si="1531"/>
        <v/>
      </c>
      <c r="EX120" s="30" t="str">
        <f t="shared" si="1532"/>
        <v/>
      </c>
      <c r="EY120" s="30" t="str">
        <f t="shared" si="1533"/>
        <v/>
      </c>
      <c r="EZ120" s="30" t="str">
        <f t="shared" si="1534"/>
        <v/>
      </c>
      <c r="FA120" s="30" t="str">
        <f t="shared" si="1535"/>
        <v/>
      </c>
      <c r="FB120" s="30" t="str">
        <f t="shared" si="1536"/>
        <v/>
      </c>
      <c r="FC120" s="30" t="str">
        <f t="shared" si="1537"/>
        <v/>
      </c>
      <c r="FD120" s="30" t="str">
        <f t="shared" si="1538"/>
        <v/>
      </c>
      <c r="FE120" s="30" t="str">
        <f t="shared" si="1539"/>
        <v/>
      </c>
      <c r="FF120" s="30" t="str">
        <f t="shared" si="1540"/>
        <v/>
      </c>
      <c r="FG120" s="30" t="str">
        <f t="shared" si="1541"/>
        <v/>
      </c>
      <c r="FH120" s="30" t="str">
        <f t="shared" si="1542"/>
        <v/>
      </c>
      <c r="FI120" s="30" t="str">
        <f t="shared" si="1543"/>
        <v/>
      </c>
      <c r="FJ120" s="30" t="str">
        <f t="shared" si="1544"/>
        <v/>
      </c>
      <c r="FK120" s="30" t="str">
        <f t="shared" si="1545"/>
        <v/>
      </c>
      <c r="FL120" s="30" t="str">
        <f t="shared" si="1546"/>
        <v/>
      </c>
      <c r="FM120" s="30" t="str">
        <f t="shared" si="1547"/>
        <v/>
      </c>
      <c r="FN120" s="30" t="str">
        <f t="shared" si="1548"/>
        <v/>
      </c>
      <c r="FO120" s="30" t="str">
        <f t="shared" si="1549"/>
        <v/>
      </c>
      <c r="FP120" s="30" t="str">
        <f t="shared" si="1550"/>
        <v/>
      </c>
      <c r="FQ120" s="30" t="str">
        <f t="shared" si="1551"/>
        <v/>
      </c>
      <c r="FR120" s="30" t="str">
        <f t="shared" si="1552"/>
        <v/>
      </c>
      <c r="FS120" s="30" t="str">
        <f t="shared" si="1553"/>
        <v/>
      </c>
    </row>
    <row r="121" spans="1:175" ht="16.5">
      <c r="A121" s="110"/>
      <c r="B121" s="24" t="s">
        <v>589</v>
      </c>
      <c r="C121" s="124" t="s">
        <v>610</v>
      </c>
      <c r="T121" s="111" t="s">
        <v>530</v>
      </c>
      <c r="U121" s="32" t="str">
        <f t="shared" ref="U121:U122" si="1633">"ReplaceableTextures\\CommandButtons\\BTN"&amp;B121&amp;".blp"</f>
        <v>ReplaceableTextures\\CommandButtons\\BTNINDS.blp</v>
      </c>
      <c r="CN121" s="7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632"/>
        <v>InitEquipData('INDS',,"",,,,,'','','','','','',"ReplaceableTextures\\CommandButtons\\BTNIP03.blp")</v>
      </c>
      <c r="CU121" s="45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39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40">IF(V121="","","|n"&amp;DB$2&amp;"+"&amp;V121&amp;DB$1)</f>
        <v/>
      </c>
      <c r="DC121" s="30" t="str">
        <f t="shared" ref="DC121:DC122" si="1641">IF(W121="","","|n"&amp;DC$2&amp;"+"&amp;W121&amp;DC$1)</f>
        <v/>
      </c>
      <c r="DD121" s="30" t="str">
        <f t="shared" ref="DD121:DD122" si="1642">IF(X121="","","|n"&amp;DD$2&amp;"+"&amp;X121&amp;DD$1)</f>
        <v/>
      </c>
      <c r="DE121" s="30" t="str">
        <f t="shared" ref="DE121:DE122" si="1643">IF(Y121="","","|n"&amp;DE$2&amp;"+"&amp;Y121&amp;DE$1)</f>
        <v/>
      </c>
      <c r="DF121" s="30" t="str">
        <f t="shared" ref="DF121:DF122" si="1644">IF(Z121="","","|n"&amp;DF$2&amp;"+"&amp;Z121&amp;DF$1)</f>
        <v/>
      </c>
      <c r="DG121" s="30" t="str">
        <f t="shared" ref="DG121:DG122" si="1645">IF(AA121="","","|n"&amp;DG$2&amp;"+"&amp;AA121&amp;DG$1)</f>
        <v/>
      </c>
      <c r="DH121" s="30" t="str">
        <f t="shared" ref="DH121:DH122" si="1646">IF(AB121="","","|n"&amp;DH$2&amp;"+"&amp;AB121&amp;DH$1)</f>
        <v/>
      </c>
      <c r="DI121" s="30" t="str">
        <f t="shared" ref="DI121:DI122" si="1647">IF(AC121="","","|n"&amp;DI$2&amp;"+"&amp;AC121&amp;DI$1)</f>
        <v/>
      </c>
      <c r="DJ121" s="30" t="str">
        <f t="shared" ref="DJ121:DJ122" si="1648">IF(AD121="","","|n"&amp;DJ$2&amp;"+"&amp;AD121&amp;DJ$1)</f>
        <v/>
      </c>
      <c r="DK121" s="30" t="str">
        <f t="shared" ref="DK121:DK122" si="1649">IF(AE121="","","|n"&amp;DK$2&amp;"+"&amp;AE121&amp;DK$1)</f>
        <v/>
      </c>
      <c r="DL121" s="30" t="str">
        <f t="shared" ref="DL121:DL122" si="1650">IF(AF121="","","|n"&amp;DL$2&amp;"+"&amp;AF121&amp;DL$1)</f>
        <v/>
      </c>
      <c r="DM121" s="30" t="str">
        <f t="shared" ref="DM121:DM122" si="1651">IF(AG121="","","|n"&amp;DM$2&amp;"+"&amp;AG121&amp;DM$1)</f>
        <v/>
      </c>
      <c r="DN121" s="30" t="str">
        <f t="shared" ref="DN121:DN122" si="1652">IF(AH121="","","|n"&amp;DN$2&amp;"+"&amp;AH121&amp;DN$1)</f>
        <v/>
      </c>
      <c r="DO121" s="30" t="str">
        <f t="shared" ref="DO121:DO122" si="1653">IF(AI121="","","|n"&amp;DO$2&amp;"+"&amp;AI121&amp;DO$1)</f>
        <v/>
      </c>
      <c r="DP121" s="30" t="str">
        <f t="shared" ref="DP121:DP122" si="1654">IF(AJ121="","","|n"&amp;DP$2&amp;"+"&amp;AJ121&amp;DP$1)</f>
        <v/>
      </c>
      <c r="DQ121" s="30" t="str">
        <f t="shared" ref="DQ121:DQ122" si="1655">IF(AK121="","","|n"&amp;DQ$2&amp;"+"&amp;AK121&amp;DQ$1)</f>
        <v/>
      </c>
      <c r="DR121" s="30" t="str">
        <f t="shared" ref="DR121:DR122" si="1656">IF(AL121="","","|n"&amp;DR$2&amp;"+"&amp;AL121&amp;DR$1)</f>
        <v/>
      </c>
      <c r="DS121" s="30" t="str">
        <f t="shared" ref="DS121:DS122" si="1657">IF(AM121="","","|n"&amp;DS$2&amp;"+"&amp;AM121&amp;DS$1)</f>
        <v/>
      </c>
      <c r="DT121" s="30" t="str">
        <f t="shared" ref="DT121:DT122" si="1658">IF(AN121="","","|n"&amp;DT$2&amp;"+"&amp;AN121&amp;DT$1)</f>
        <v/>
      </c>
      <c r="DU121" s="30" t="str">
        <f t="shared" ref="DU121:DU122" si="1659">IF(AO121="","","|n"&amp;DU$2&amp;"+"&amp;AO121&amp;DU$1)</f>
        <v/>
      </c>
      <c r="DV121" s="30" t="str">
        <f t="shared" ref="DV121:DV122" si="1660">IF(AP121="","","|n"&amp;DV$2&amp;"+"&amp;AP121&amp;DV$1)</f>
        <v/>
      </c>
      <c r="DW121" s="30" t="str">
        <f t="shared" ref="DW121:DW122" si="1661">IF(AQ121="","","|n"&amp;DW$2&amp;"+"&amp;AQ121&amp;DW$1)</f>
        <v/>
      </c>
      <c r="DX121" s="30" t="str">
        <f t="shared" ref="DX121:DX122" si="1662">IF(AR121="","","|n"&amp;DX$2&amp;"+"&amp;AR121&amp;DX$1)</f>
        <v/>
      </c>
      <c r="DY121" s="30" t="str">
        <f t="shared" ref="DY121:DY122" si="1663">IF(AS121="","","|n"&amp;DY$2&amp;"+"&amp;AS121&amp;DY$1)</f>
        <v/>
      </c>
      <c r="DZ121" s="30" t="str">
        <f t="shared" ref="DZ121:DZ122" si="1664">IF(AT121="","","|n"&amp;DZ$2&amp;"+"&amp;AT121&amp;DZ$1)</f>
        <v/>
      </c>
      <c r="EA121" s="30" t="str">
        <f t="shared" ref="EA121:EA122" si="1665">IF(AU121="","","|n"&amp;EA$2&amp;"+"&amp;AU121&amp;EA$1)</f>
        <v/>
      </c>
      <c r="EB121" s="30" t="str">
        <f t="shared" ref="EB121:EB122" si="1666">IF(AV121="","","|n"&amp;EB$2&amp;"+"&amp;AV121&amp;EB$1)</f>
        <v/>
      </c>
      <c r="EC121" s="30" t="str">
        <f t="shared" ref="EC121:EC122" si="1667">IF(AW121="","","|n"&amp;EC$2&amp;"+"&amp;AW121&amp;EC$1)</f>
        <v/>
      </c>
      <c r="ED121" s="30" t="str">
        <f t="shared" ref="ED121:ED122" si="1668">IF(AX121="","","|n"&amp;ED$2&amp;"+"&amp;AX121&amp;ED$1)</f>
        <v/>
      </c>
      <c r="EE121" s="30" t="str">
        <f t="shared" ref="EE121:EE122" si="1669">IF(AY121="","","|n"&amp;EE$2&amp;"+"&amp;AY121&amp;EE$1)</f>
        <v/>
      </c>
      <c r="EF121" s="30" t="str">
        <f t="shared" ref="EF121:EF122" si="1670">IF(AZ121="","","|n"&amp;EF$2&amp;"+"&amp;AZ121&amp;EF$1)</f>
        <v/>
      </c>
      <c r="EG121" s="30" t="str">
        <f t="shared" ref="EG121:EG122" si="1671">IF(BA121="","","|n"&amp;EG$2&amp;"+"&amp;BA121&amp;EG$1)</f>
        <v/>
      </c>
      <c r="EH121" s="30" t="str">
        <f t="shared" ref="EH121:EH122" si="1672">IF(BB121="","","|n"&amp;EH$2&amp;"+"&amp;BB121&amp;EH$1)</f>
        <v/>
      </c>
      <c r="EI121" s="30" t="str">
        <f t="shared" ref="EI121:EI122" si="1673">IF(BC121="","","|n"&amp;EI$2&amp;"+"&amp;BC121&amp;EI$1)</f>
        <v/>
      </c>
      <c r="EJ121" s="30" t="str">
        <f t="shared" ref="EJ121:EJ122" si="1674">IF(BD121="","","|n"&amp;EJ$2&amp;"+"&amp;BD121&amp;EJ$1)</f>
        <v/>
      </c>
      <c r="EK121" s="30" t="str">
        <f t="shared" ref="EK121:EK122" si="1675">IF(BE121="","","|n"&amp;EK$2&amp;"+"&amp;BE121&amp;EK$1)</f>
        <v/>
      </c>
      <c r="EL121" s="30" t="str">
        <f t="shared" ref="EL121:EL122" si="1676">IF(BF121="","","|n"&amp;EL$2&amp;"+"&amp;BF121&amp;EL$1)</f>
        <v/>
      </c>
      <c r="EM121" s="30" t="str">
        <f t="shared" ref="EM121:EM122" si="1677">IF(BG121="","","|n"&amp;EM$2&amp;"+"&amp;BG121&amp;EM$1)</f>
        <v/>
      </c>
      <c r="EN121" s="30" t="str">
        <f t="shared" ref="EN121:EN122" si="1678">IF(BH121="","","|n"&amp;EN$2&amp;"+"&amp;BH121&amp;EN$1)</f>
        <v/>
      </c>
      <c r="EO121" s="30" t="str">
        <f t="shared" ref="EO121:EO122" si="1679">IF(BI121="","","|n"&amp;EO$2&amp;"+"&amp;BI121&amp;EO$1)</f>
        <v/>
      </c>
      <c r="EP121" s="30" t="str">
        <f t="shared" ref="EP121:EP122" si="1680">IF(BJ121="","","|n"&amp;EP$2&amp;"+"&amp;BJ121&amp;EP$1)</f>
        <v/>
      </c>
      <c r="EQ121" s="30" t="str">
        <f t="shared" ref="EQ121:EQ122" si="1681">IF(BK121="","","|n"&amp;EQ$2&amp;"+"&amp;BK121&amp;EQ$1)</f>
        <v/>
      </c>
      <c r="ER121" s="30" t="str">
        <f t="shared" ref="ER121:ER122" si="1682">IF(BL121="","","|n"&amp;ER$2&amp;"+"&amp;BL121&amp;ER$1)</f>
        <v/>
      </c>
      <c r="ES121" s="30" t="str">
        <f t="shared" ref="ES121:ES122" si="1683">IF(BM121="","","|n"&amp;ES$2&amp;"+"&amp;BM121&amp;ES$1)</f>
        <v/>
      </c>
      <c r="ET121" s="30" t="str">
        <f t="shared" ref="ET121:ET122" si="1684">IF(BN121="","","|n"&amp;ET$2&amp;"+"&amp;BN121&amp;ET$1)</f>
        <v/>
      </c>
      <c r="EU121" s="30" t="str">
        <f t="shared" ref="EU121:EU122" si="1685">IF(BO121="","","|n"&amp;EU$2&amp;"+"&amp;BO121&amp;EU$1)</f>
        <v/>
      </c>
      <c r="EV121" s="30" t="str">
        <f t="shared" ref="EV121:EV122" si="1686">IF(BP121="","","|n"&amp;EV$2&amp;"+"&amp;BP121&amp;EV$1)</f>
        <v/>
      </c>
      <c r="EW121" s="30" t="str">
        <f t="shared" ref="EW121:EW122" si="1687">IF(BQ121="","","|n"&amp;EW$2&amp;"+"&amp;BQ121&amp;EW$1)</f>
        <v/>
      </c>
      <c r="EX121" s="30" t="str">
        <f t="shared" ref="EX121:EX122" si="1688">IF(BR121="","","|n"&amp;EX$2&amp;"+"&amp;BR121&amp;EX$1)</f>
        <v/>
      </c>
      <c r="EY121" s="30" t="str">
        <f t="shared" ref="EY121:EY122" si="1689">IF(BS121="","","|n"&amp;EY$2&amp;"+"&amp;BS121&amp;EY$1)</f>
        <v/>
      </c>
      <c r="EZ121" s="30" t="str">
        <f t="shared" ref="EZ121:EZ122" si="1690">IF(BT121="","","|n"&amp;EZ$2&amp;"+"&amp;BT121&amp;EZ$1)</f>
        <v/>
      </c>
      <c r="FA121" s="30" t="str">
        <f t="shared" ref="FA121:FA122" si="1691">IF(BU121="","","|n"&amp;FA$2&amp;"+"&amp;BU121&amp;FA$1)</f>
        <v/>
      </c>
      <c r="FB121" s="30" t="str">
        <f t="shared" ref="FB121:FB122" si="1692">IF(BV121="","","|n"&amp;FB$2&amp;"+"&amp;BV121&amp;FB$1)</f>
        <v/>
      </c>
      <c r="FC121" s="30" t="str">
        <f t="shared" ref="FC121:FC122" si="1693">IF(BW121="","","|n"&amp;FC$2&amp;"+"&amp;BW121&amp;FC$1)</f>
        <v/>
      </c>
      <c r="FD121" s="30" t="str">
        <f t="shared" ref="FD121:FD122" si="1694">IF(BX121="","","|n"&amp;FD$2&amp;"+"&amp;BX121&amp;FD$1)</f>
        <v/>
      </c>
      <c r="FE121" s="30" t="str">
        <f t="shared" ref="FE121:FE122" si="1695">IF(BY121="","","|n"&amp;FE$2&amp;"+"&amp;BY121&amp;FE$1)</f>
        <v/>
      </c>
      <c r="FF121" s="30" t="str">
        <f t="shared" ref="FF121:FF122" si="1696">IF(BZ121="","","|n"&amp;FF$2&amp;"+"&amp;BZ121&amp;FF$1)</f>
        <v/>
      </c>
      <c r="FG121" s="30" t="str">
        <f t="shared" ref="FG121:FG122" si="1697">IF(CA121="","","|n"&amp;FG$2&amp;"+"&amp;CA121&amp;FG$1)</f>
        <v/>
      </c>
      <c r="FH121" s="30" t="str">
        <f t="shared" ref="FH121:FH122" si="1698">IF(CB121="","","|n"&amp;FH$2&amp;"+"&amp;CB121&amp;FH$1)</f>
        <v/>
      </c>
      <c r="FI121" s="30" t="str">
        <f t="shared" ref="FI121:FI122" si="1699">IF(CC121="","","|n"&amp;FI$2&amp;"+"&amp;CC121&amp;FI$1)</f>
        <v/>
      </c>
      <c r="FJ121" s="30" t="str">
        <f t="shared" ref="FJ121:FJ122" si="1700">IF(CD121="","","|n"&amp;FJ$2&amp;"+"&amp;CD121&amp;FJ$1)</f>
        <v/>
      </c>
      <c r="FK121" s="30" t="str">
        <f t="shared" ref="FK121:FK122" si="1701">IF(CE121="","","|n"&amp;FK$2&amp;"+"&amp;CE121&amp;FK$1)</f>
        <v/>
      </c>
      <c r="FL121" s="30" t="str">
        <f t="shared" ref="FL121:FL122" si="1702">IF(CF121="","","|n"&amp;FL$2&amp;"+"&amp;CF121&amp;FL$1)</f>
        <v/>
      </c>
      <c r="FM121" s="30" t="str">
        <f t="shared" ref="FM121:FM122" si="1703">IF(CG121="","","|n"&amp;FM$2&amp;"+"&amp;CG121&amp;FM$1)</f>
        <v/>
      </c>
      <c r="FN121" s="30" t="str">
        <f t="shared" ref="FN121:FN122" si="1704">IF(CH121="","","|n"&amp;FN$2&amp;"+"&amp;CH121&amp;FN$1)</f>
        <v/>
      </c>
      <c r="FO121" s="30" t="str">
        <f t="shared" ref="FO121:FO122" si="1705">IF(CI121="","","|n"&amp;FO$2&amp;"+"&amp;CI121&amp;FO$1)</f>
        <v/>
      </c>
      <c r="FP121" s="30" t="str">
        <f t="shared" ref="FP121:FP122" si="1706">IF(CJ121="","","|n"&amp;FP$2&amp;"+"&amp;CJ121&amp;FP$1)</f>
        <v/>
      </c>
      <c r="FQ121" s="30" t="str">
        <f t="shared" ref="FQ121:FQ122" si="1707">IF(CK121="","","|n"&amp;FQ$2&amp;"+"&amp;CK121&amp;FQ$1)</f>
        <v/>
      </c>
      <c r="FR121" s="30" t="str">
        <f t="shared" ref="FR121:FR122" si="1708">IF(CL121="","","|n"&amp;FR$2&amp;"+"&amp;CL121&amp;FR$1)</f>
        <v/>
      </c>
      <c r="FS121" s="30" t="str">
        <f t="shared" ref="FS121:FS122" si="1709">IF(CM121="","","|n"&amp;FS$2&amp;"+"&amp;CM121&amp;FS$1)</f>
        <v/>
      </c>
    </row>
    <row r="122" spans="1:175" ht="16.5">
      <c r="A122" s="110"/>
      <c r="B122" s="123" t="s">
        <v>590</v>
      </c>
      <c r="C122" s="124" t="s">
        <v>610</v>
      </c>
      <c r="T122" s="111" t="s">
        <v>530</v>
      </c>
      <c r="U122" s="32" t="str">
        <f t="shared" si="1633"/>
        <v>ReplaceableTextures\\CommandButtons\\BTNINDT.blp</v>
      </c>
      <c r="CN122" s="7" t="str">
        <f t="shared" si="1634"/>
        <v>InitUnitState('INDT',,,,,,,,,,)</v>
      </c>
      <c r="CO122" s="7" t="str">
        <f t="shared" si="1635"/>
        <v>InitUnitNormal('INDT',,,,,,,,,,)</v>
      </c>
      <c r="CP122" s="7" t="str">
        <f t="shared" si="1636"/>
        <v>InitUnitMagic('INDT',,,,,,,,,,)</v>
      </c>
      <c r="CQ122" s="7" t="str">
        <f t="shared" si="1637"/>
        <v>InitUnitAdd('INDT',,,,,,,,,,)</v>
      </c>
      <c r="CR122" s="7" t="str">
        <f t="shared" si="1632"/>
        <v>InitEquipData('INDT',,"",,,,,'','','','','','',"ReplaceableTextures\\CommandButtons\\BTNIT01.blp")</v>
      </c>
      <c r="CU122" s="45" t="str">
        <f t="shared" si="1638"/>
        <v>|n</v>
      </c>
      <c r="CV122" s="29" t="str">
        <f t="shared" si="1639"/>
        <v>开出一个随机锦囊</v>
      </c>
      <c r="CW122" s="24"/>
      <c r="CX122" s="24"/>
      <c r="CY122" s="24"/>
      <c r="CZ122" s="24"/>
      <c r="DA122" s="24"/>
      <c r="DB122" s="30" t="str">
        <f t="shared" si="1640"/>
        <v/>
      </c>
      <c r="DC122" s="30" t="str">
        <f t="shared" si="1641"/>
        <v/>
      </c>
      <c r="DD122" s="30" t="str">
        <f t="shared" si="1642"/>
        <v/>
      </c>
      <c r="DE122" s="30" t="str">
        <f t="shared" si="1643"/>
        <v/>
      </c>
      <c r="DF122" s="30" t="str">
        <f t="shared" si="1644"/>
        <v/>
      </c>
      <c r="DG122" s="30" t="str">
        <f t="shared" si="1645"/>
        <v/>
      </c>
      <c r="DH122" s="30" t="str">
        <f t="shared" si="1646"/>
        <v/>
      </c>
      <c r="DI122" s="30" t="str">
        <f t="shared" si="1647"/>
        <v/>
      </c>
      <c r="DJ122" s="30" t="str">
        <f t="shared" si="1648"/>
        <v/>
      </c>
      <c r="DK122" s="30" t="str">
        <f t="shared" si="1649"/>
        <v/>
      </c>
      <c r="DL122" s="30" t="str">
        <f t="shared" si="1650"/>
        <v/>
      </c>
      <c r="DM122" s="30" t="str">
        <f t="shared" si="1651"/>
        <v/>
      </c>
      <c r="DN122" s="30" t="str">
        <f t="shared" si="1652"/>
        <v/>
      </c>
      <c r="DO122" s="30" t="str">
        <f t="shared" si="1653"/>
        <v/>
      </c>
      <c r="DP122" s="30" t="str">
        <f t="shared" si="1654"/>
        <v/>
      </c>
      <c r="DQ122" s="30" t="str">
        <f t="shared" si="1655"/>
        <v/>
      </c>
      <c r="DR122" s="30" t="str">
        <f t="shared" si="1656"/>
        <v/>
      </c>
      <c r="DS122" s="30" t="str">
        <f t="shared" si="1657"/>
        <v/>
      </c>
      <c r="DT122" s="30" t="str">
        <f t="shared" si="1658"/>
        <v/>
      </c>
      <c r="DU122" s="30" t="str">
        <f t="shared" si="1659"/>
        <v/>
      </c>
      <c r="DV122" s="30" t="str">
        <f t="shared" si="1660"/>
        <v/>
      </c>
      <c r="DW122" s="30" t="str">
        <f t="shared" si="1661"/>
        <v/>
      </c>
      <c r="DX122" s="30" t="str">
        <f t="shared" si="1662"/>
        <v/>
      </c>
      <c r="DY122" s="30" t="str">
        <f t="shared" si="1663"/>
        <v/>
      </c>
      <c r="DZ122" s="30" t="str">
        <f t="shared" si="1664"/>
        <v/>
      </c>
      <c r="EA122" s="30" t="str">
        <f t="shared" si="1665"/>
        <v/>
      </c>
      <c r="EB122" s="30" t="str">
        <f t="shared" si="1666"/>
        <v/>
      </c>
      <c r="EC122" s="30" t="str">
        <f t="shared" si="1667"/>
        <v/>
      </c>
      <c r="ED122" s="30" t="str">
        <f t="shared" si="1668"/>
        <v/>
      </c>
      <c r="EE122" s="30" t="str">
        <f t="shared" si="1669"/>
        <v/>
      </c>
      <c r="EF122" s="30" t="str">
        <f t="shared" si="1670"/>
        <v/>
      </c>
      <c r="EG122" s="30" t="str">
        <f t="shared" si="1671"/>
        <v/>
      </c>
      <c r="EH122" s="30" t="str">
        <f t="shared" si="1672"/>
        <v/>
      </c>
      <c r="EI122" s="30" t="str">
        <f t="shared" si="1673"/>
        <v/>
      </c>
      <c r="EJ122" s="30" t="str">
        <f t="shared" si="1674"/>
        <v/>
      </c>
      <c r="EK122" s="30" t="str">
        <f t="shared" si="1675"/>
        <v/>
      </c>
      <c r="EL122" s="30" t="str">
        <f t="shared" si="1676"/>
        <v/>
      </c>
      <c r="EM122" s="30" t="str">
        <f t="shared" si="1677"/>
        <v/>
      </c>
      <c r="EN122" s="30" t="str">
        <f t="shared" si="1678"/>
        <v/>
      </c>
      <c r="EO122" s="30" t="str">
        <f t="shared" si="1679"/>
        <v/>
      </c>
      <c r="EP122" s="30" t="str">
        <f t="shared" si="1680"/>
        <v/>
      </c>
      <c r="EQ122" s="30" t="str">
        <f t="shared" si="1681"/>
        <v/>
      </c>
      <c r="ER122" s="30" t="str">
        <f t="shared" si="1682"/>
        <v/>
      </c>
      <c r="ES122" s="30" t="str">
        <f t="shared" si="1683"/>
        <v/>
      </c>
      <c r="ET122" s="30" t="str">
        <f t="shared" si="1684"/>
        <v/>
      </c>
      <c r="EU122" s="30" t="str">
        <f t="shared" si="1685"/>
        <v/>
      </c>
      <c r="EV122" s="30" t="str">
        <f t="shared" si="1686"/>
        <v/>
      </c>
      <c r="EW122" s="30" t="str">
        <f t="shared" si="1687"/>
        <v/>
      </c>
      <c r="EX122" s="30" t="str">
        <f t="shared" si="1688"/>
        <v/>
      </c>
      <c r="EY122" s="30" t="str">
        <f t="shared" si="1689"/>
        <v/>
      </c>
      <c r="EZ122" s="30" t="str">
        <f t="shared" si="1690"/>
        <v/>
      </c>
      <c r="FA122" s="30" t="str">
        <f t="shared" si="1691"/>
        <v/>
      </c>
      <c r="FB122" s="30" t="str">
        <f t="shared" si="1692"/>
        <v/>
      </c>
      <c r="FC122" s="30" t="str">
        <f t="shared" si="1693"/>
        <v/>
      </c>
      <c r="FD122" s="30" t="str">
        <f t="shared" si="1694"/>
        <v/>
      </c>
      <c r="FE122" s="30" t="str">
        <f t="shared" si="1695"/>
        <v/>
      </c>
      <c r="FF122" s="30" t="str">
        <f t="shared" si="1696"/>
        <v/>
      </c>
      <c r="FG122" s="30" t="str">
        <f t="shared" si="1697"/>
        <v/>
      </c>
      <c r="FH122" s="30" t="str">
        <f t="shared" si="1698"/>
        <v/>
      </c>
      <c r="FI122" s="30" t="str">
        <f t="shared" si="1699"/>
        <v/>
      </c>
      <c r="FJ122" s="30" t="str">
        <f t="shared" si="1700"/>
        <v/>
      </c>
      <c r="FK122" s="30" t="str">
        <f t="shared" si="1701"/>
        <v/>
      </c>
      <c r="FL122" s="30" t="str">
        <f t="shared" si="1702"/>
        <v/>
      </c>
      <c r="FM122" s="30" t="str">
        <f t="shared" si="1703"/>
        <v/>
      </c>
      <c r="FN122" s="30" t="str">
        <f t="shared" si="1704"/>
        <v/>
      </c>
      <c r="FO122" s="30" t="str">
        <f t="shared" si="1705"/>
        <v/>
      </c>
      <c r="FP122" s="30" t="str">
        <f t="shared" si="1706"/>
        <v/>
      </c>
      <c r="FQ122" s="30" t="str">
        <f t="shared" si="1707"/>
        <v/>
      </c>
      <c r="FR122" s="30" t="str">
        <f t="shared" si="1708"/>
        <v/>
      </c>
      <c r="FS122" s="30" t="str">
        <f t="shared" si="1709"/>
        <v/>
      </c>
    </row>
    <row r="123" spans="1:175" ht="16.5">
      <c r="A123" s="110"/>
      <c r="B123" s="123" t="s">
        <v>591</v>
      </c>
      <c r="C123" s="124" t="s">
        <v>610</v>
      </c>
      <c r="T123" s="111" t="s">
        <v>530</v>
      </c>
      <c r="U123" s="32" t="str">
        <f t="shared" ref="U123:U124" si="1710">"ReplaceableTextures\\CommandButtons\\BTN"&amp;B123&amp;".blp"</f>
        <v>ReplaceableTextures\\CommandButtons\\BTNINDU.blp</v>
      </c>
      <c r="CN123" s="7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632"/>
        <v>InitEquipData('INDU',,"",,,,,'','','','','','',"ReplaceableTextures\\CommandButtons\\BTNIT02.blp")</v>
      </c>
      <c r="CU123" s="45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16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17">IF(V123="","","|n"&amp;DB$2&amp;"+"&amp;V123&amp;DB$1)</f>
        <v/>
      </c>
      <c r="DC123" s="30" t="str">
        <f t="shared" ref="DC123:DC124" si="1718">IF(W123="","","|n"&amp;DC$2&amp;"+"&amp;W123&amp;DC$1)</f>
        <v/>
      </c>
      <c r="DD123" s="30" t="str">
        <f t="shared" ref="DD123:DD124" si="1719">IF(X123="","","|n"&amp;DD$2&amp;"+"&amp;X123&amp;DD$1)</f>
        <v/>
      </c>
      <c r="DE123" s="30" t="str">
        <f t="shared" ref="DE123:DE124" si="1720">IF(Y123="","","|n"&amp;DE$2&amp;"+"&amp;Y123&amp;DE$1)</f>
        <v/>
      </c>
      <c r="DF123" s="30" t="str">
        <f t="shared" ref="DF123:DF124" si="1721">IF(Z123="","","|n"&amp;DF$2&amp;"+"&amp;Z123&amp;DF$1)</f>
        <v/>
      </c>
      <c r="DG123" s="30" t="str">
        <f t="shared" ref="DG123:DG124" si="1722">IF(AA123="","","|n"&amp;DG$2&amp;"+"&amp;AA123&amp;DG$1)</f>
        <v/>
      </c>
      <c r="DH123" s="30" t="str">
        <f t="shared" ref="DH123:DH124" si="1723">IF(AB123="","","|n"&amp;DH$2&amp;"+"&amp;AB123&amp;DH$1)</f>
        <v/>
      </c>
      <c r="DI123" s="30" t="str">
        <f t="shared" ref="DI123:DI124" si="1724">IF(AC123="","","|n"&amp;DI$2&amp;"+"&amp;AC123&amp;DI$1)</f>
        <v/>
      </c>
      <c r="DJ123" s="30" t="str">
        <f t="shared" ref="DJ123:DJ124" si="1725">IF(AD123="","","|n"&amp;DJ$2&amp;"+"&amp;AD123&amp;DJ$1)</f>
        <v/>
      </c>
      <c r="DK123" s="30" t="str">
        <f t="shared" ref="DK123:DK124" si="1726">IF(AE123="","","|n"&amp;DK$2&amp;"+"&amp;AE123&amp;DK$1)</f>
        <v/>
      </c>
      <c r="DL123" s="30" t="str">
        <f t="shared" ref="DL123:DL124" si="1727">IF(AF123="","","|n"&amp;DL$2&amp;"+"&amp;AF123&amp;DL$1)</f>
        <v/>
      </c>
      <c r="DM123" s="30" t="str">
        <f t="shared" ref="DM123:DM124" si="1728">IF(AG123="","","|n"&amp;DM$2&amp;"+"&amp;AG123&amp;DM$1)</f>
        <v/>
      </c>
      <c r="DN123" s="30" t="str">
        <f t="shared" ref="DN123:DN124" si="1729">IF(AH123="","","|n"&amp;DN$2&amp;"+"&amp;AH123&amp;DN$1)</f>
        <v/>
      </c>
      <c r="DO123" s="30" t="str">
        <f t="shared" ref="DO123:DO124" si="1730">IF(AI123="","","|n"&amp;DO$2&amp;"+"&amp;AI123&amp;DO$1)</f>
        <v/>
      </c>
      <c r="DP123" s="30" t="str">
        <f t="shared" ref="DP123:DP124" si="1731">IF(AJ123="","","|n"&amp;DP$2&amp;"+"&amp;AJ123&amp;DP$1)</f>
        <v/>
      </c>
      <c r="DQ123" s="30" t="str">
        <f t="shared" ref="DQ123:DQ124" si="1732">IF(AK123="","","|n"&amp;DQ$2&amp;"+"&amp;AK123&amp;DQ$1)</f>
        <v/>
      </c>
      <c r="DR123" s="30" t="str">
        <f t="shared" ref="DR123:DR124" si="1733">IF(AL123="","","|n"&amp;DR$2&amp;"+"&amp;AL123&amp;DR$1)</f>
        <v/>
      </c>
      <c r="DS123" s="30" t="str">
        <f t="shared" ref="DS123:DS124" si="1734">IF(AM123="","","|n"&amp;DS$2&amp;"+"&amp;AM123&amp;DS$1)</f>
        <v/>
      </c>
      <c r="DT123" s="30" t="str">
        <f t="shared" ref="DT123:DT124" si="1735">IF(AN123="","","|n"&amp;DT$2&amp;"+"&amp;AN123&amp;DT$1)</f>
        <v/>
      </c>
      <c r="DU123" s="30" t="str">
        <f t="shared" ref="DU123:DU124" si="1736">IF(AO123="","","|n"&amp;DU$2&amp;"+"&amp;AO123&amp;DU$1)</f>
        <v/>
      </c>
      <c r="DV123" s="30" t="str">
        <f t="shared" ref="DV123:DV124" si="1737">IF(AP123="","","|n"&amp;DV$2&amp;"+"&amp;AP123&amp;DV$1)</f>
        <v/>
      </c>
      <c r="DW123" s="30" t="str">
        <f t="shared" ref="DW123:DW124" si="1738">IF(AQ123="","","|n"&amp;DW$2&amp;"+"&amp;AQ123&amp;DW$1)</f>
        <v/>
      </c>
      <c r="DX123" s="30" t="str">
        <f t="shared" ref="DX123:DX124" si="1739">IF(AR123="","","|n"&amp;DX$2&amp;"+"&amp;AR123&amp;DX$1)</f>
        <v/>
      </c>
      <c r="DY123" s="30" t="str">
        <f t="shared" ref="DY123:DY124" si="1740">IF(AS123="","","|n"&amp;DY$2&amp;"+"&amp;AS123&amp;DY$1)</f>
        <v/>
      </c>
      <c r="DZ123" s="30" t="str">
        <f t="shared" ref="DZ123:DZ124" si="1741">IF(AT123="","","|n"&amp;DZ$2&amp;"+"&amp;AT123&amp;DZ$1)</f>
        <v/>
      </c>
      <c r="EA123" s="30" t="str">
        <f t="shared" ref="EA123:EA124" si="1742">IF(AU123="","","|n"&amp;EA$2&amp;"+"&amp;AU123&amp;EA$1)</f>
        <v/>
      </c>
      <c r="EB123" s="30" t="str">
        <f t="shared" ref="EB123:EB124" si="1743">IF(AV123="","","|n"&amp;EB$2&amp;"+"&amp;AV123&amp;EB$1)</f>
        <v/>
      </c>
      <c r="EC123" s="30" t="str">
        <f t="shared" ref="EC123:EC124" si="1744">IF(AW123="","","|n"&amp;EC$2&amp;"+"&amp;AW123&amp;EC$1)</f>
        <v/>
      </c>
      <c r="ED123" s="30" t="str">
        <f t="shared" ref="ED123:ED124" si="1745">IF(AX123="","","|n"&amp;ED$2&amp;"+"&amp;AX123&amp;ED$1)</f>
        <v/>
      </c>
      <c r="EE123" s="30" t="str">
        <f t="shared" ref="EE123:EE124" si="1746">IF(AY123="","","|n"&amp;EE$2&amp;"+"&amp;AY123&amp;EE$1)</f>
        <v/>
      </c>
      <c r="EF123" s="30" t="str">
        <f t="shared" ref="EF123:EF124" si="1747">IF(AZ123="","","|n"&amp;EF$2&amp;"+"&amp;AZ123&amp;EF$1)</f>
        <v/>
      </c>
      <c r="EG123" s="30" t="str">
        <f t="shared" ref="EG123:EG124" si="1748">IF(BA123="","","|n"&amp;EG$2&amp;"+"&amp;BA123&amp;EG$1)</f>
        <v/>
      </c>
      <c r="EH123" s="30" t="str">
        <f t="shared" ref="EH123:EH124" si="1749">IF(BB123="","","|n"&amp;EH$2&amp;"+"&amp;BB123&amp;EH$1)</f>
        <v/>
      </c>
      <c r="EI123" s="30" t="str">
        <f t="shared" ref="EI123:EI124" si="1750">IF(BC123="","","|n"&amp;EI$2&amp;"+"&amp;BC123&amp;EI$1)</f>
        <v/>
      </c>
      <c r="EJ123" s="30" t="str">
        <f t="shared" ref="EJ123:EJ124" si="1751">IF(BD123="","","|n"&amp;EJ$2&amp;"+"&amp;BD123&amp;EJ$1)</f>
        <v/>
      </c>
      <c r="EK123" s="30" t="str">
        <f t="shared" ref="EK123:EK124" si="1752">IF(BE123="","","|n"&amp;EK$2&amp;"+"&amp;BE123&amp;EK$1)</f>
        <v/>
      </c>
      <c r="EL123" s="30" t="str">
        <f t="shared" ref="EL123:EL124" si="1753">IF(BF123="","","|n"&amp;EL$2&amp;"+"&amp;BF123&amp;EL$1)</f>
        <v/>
      </c>
      <c r="EM123" s="30" t="str">
        <f t="shared" ref="EM123:EM124" si="1754">IF(BG123="","","|n"&amp;EM$2&amp;"+"&amp;BG123&amp;EM$1)</f>
        <v/>
      </c>
      <c r="EN123" s="30" t="str">
        <f t="shared" ref="EN123:EN124" si="1755">IF(BH123="","","|n"&amp;EN$2&amp;"+"&amp;BH123&amp;EN$1)</f>
        <v/>
      </c>
      <c r="EO123" s="30" t="str">
        <f t="shared" ref="EO123:EO124" si="1756">IF(BI123="","","|n"&amp;EO$2&amp;"+"&amp;BI123&amp;EO$1)</f>
        <v/>
      </c>
      <c r="EP123" s="30" t="str">
        <f t="shared" ref="EP123:EP124" si="1757">IF(BJ123="","","|n"&amp;EP$2&amp;"+"&amp;BJ123&amp;EP$1)</f>
        <v/>
      </c>
      <c r="EQ123" s="30" t="str">
        <f t="shared" ref="EQ123:EQ124" si="1758">IF(BK123="","","|n"&amp;EQ$2&amp;"+"&amp;BK123&amp;EQ$1)</f>
        <v/>
      </c>
      <c r="ER123" s="30" t="str">
        <f t="shared" ref="ER123:ER124" si="1759">IF(BL123="","","|n"&amp;ER$2&amp;"+"&amp;BL123&amp;ER$1)</f>
        <v/>
      </c>
      <c r="ES123" s="30" t="str">
        <f t="shared" ref="ES123:ES124" si="1760">IF(BM123="","","|n"&amp;ES$2&amp;"+"&amp;BM123&amp;ES$1)</f>
        <v/>
      </c>
      <c r="ET123" s="30" t="str">
        <f t="shared" ref="ET123:ET124" si="1761">IF(BN123="","","|n"&amp;ET$2&amp;"+"&amp;BN123&amp;ET$1)</f>
        <v/>
      </c>
      <c r="EU123" s="30" t="str">
        <f t="shared" ref="EU123:EU124" si="1762">IF(BO123="","","|n"&amp;EU$2&amp;"+"&amp;BO123&amp;EU$1)</f>
        <v/>
      </c>
      <c r="EV123" s="30" t="str">
        <f t="shared" ref="EV123:EV124" si="1763">IF(BP123="","","|n"&amp;EV$2&amp;"+"&amp;BP123&amp;EV$1)</f>
        <v/>
      </c>
      <c r="EW123" s="30" t="str">
        <f t="shared" ref="EW123:EW124" si="1764">IF(BQ123="","","|n"&amp;EW$2&amp;"+"&amp;BQ123&amp;EW$1)</f>
        <v/>
      </c>
      <c r="EX123" s="30" t="str">
        <f t="shared" ref="EX123:EX124" si="1765">IF(BR123="","","|n"&amp;EX$2&amp;"+"&amp;BR123&amp;EX$1)</f>
        <v/>
      </c>
      <c r="EY123" s="30" t="str">
        <f t="shared" ref="EY123:EY124" si="1766">IF(BS123="","","|n"&amp;EY$2&amp;"+"&amp;BS123&amp;EY$1)</f>
        <v/>
      </c>
      <c r="EZ123" s="30" t="str">
        <f t="shared" ref="EZ123:EZ124" si="1767">IF(BT123="","","|n"&amp;EZ$2&amp;"+"&amp;BT123&amp;EZ$1)</f>
        <v/>
      </c>
      <c r="FA123" s="30" t="str">
        <f t="shared" ref="FA123:FA124" si="1768">IF(BU123="","","|n"&amp;FA$2&amp;"+"&amp;BU123&amp;FA$1)</f>
        <v/>
      </c>
      <c r="FB123" s="30" t="str">
        <f t="shared" ref="FB123:FB124" si="1769">IF(BV123="","","|n"&amp;FB$2&amp;"+"&amp;BV123&amp;FB$1)</f>
        <v/>
      </c>
      <c r="FC123" s="30" t="str">
        <f t="shared" ref="FC123:FC124" si="1770">IF(BW123="","","|n"&amp;FC$2&amp;"+"&amp;BW123&amp;FC$1)</f>
        <v/>
      </c>
      <c r="FD123" s="30" t="str">
        <f t="shared" ref="FD123:FD124" si="1771">IF(BX123="","","|n"&amp;FD$2&amp;"+"&amp;BX123&amp;FD$1)</f>
        <v/>
      </c>
      <c r="FE123" s="30" t="str">
        <f t="shared" ref="FE123:FE124" si="1772">IF(BY123="","","|n"&amp;FE$2&amp;"+"&amp;BY123&amp;FE$1)</f>
        <v/>
      </c>
      <c r="FF123" s="30" t="str">
        <f t="shared" ref="FF123:FF124" si="1773">IF(BZ123="","","|n"&amp;FF$2&amp;"+"&amp;BZ123&amp;FF$1)</f>
        <v/>
      </c>
      <c r="FG123" s="30" t="str">
        <f t="shared" ref="FG123:FG124" si="1774">IF(CA123="","","|n"&amp;FG$2&amp;"+"&amp;CA123&amp;FG$1)</f>
        <v/>
      </c>
      <c r="FH123" s="30" t="str">
        <f t="shared" ref="FH123:FH124" si="1775">IF(CB123="","","|n"&amp;FH$2&amp;"+"&amp;CB123&amp;FH$1)</f>
        <v/>
      </c>
      <c r="FI123" s="30" t="str">
        <f t="shared" ref="FI123:FI124" si="1776">IF(CC123="","","|n"&amp;FI$2&amp;"+"&amp;CC123&amp;FI$1)</f>
        <v/>
      </c>
      <c r="FJ123" s="30" t="str">
        <f t="shared" ref="FJ123:FJ124" si="1777">IF(CD123="","","|n"&amp;FJ$2&amp;"+"&amp;CD123&amp;FJ$1)</f>
        <v/>
      </c>
      <c r="FK123" s="30" t="str">
        <f t="shared" ref="FK123:FK124" si="1778">IF(CE123="","","|n"&amp;FK$2&amp;"+"&amp;CE123&amp;FK$1)</f>
        <v/>
      </c>
      <c r="FL123" s="30" t="str">
        <f t="shared" ref="FL123:FL124" si="1779">IF(CF123="","","|n"&amp;FL$2&amp;"+"&amp;CF123&amp;FL$1)</f>
        <v/>
      </c>
      <c r="FM123" s="30" t="str">
        <f t="shared" ref="FM123:FM124" si="1780">IF(CG123="","","|n"&amp;FM$2&amp;"+"&amp;CG123&amp;FM$1)</f>
        <v/>
      </c>
      <c r="FN123" s="30" t="str">
        <f t="shared" ref="FN123:FN124" si="1781">IF(CH123="","","|n"&amp;FN$2&amp;"+"&amp;CH123&amp;FN$1)</f>
        <v/>
      </c>
      <c r="FO123" s="30" t="str">
        <f t="shared" ref="FO123:FO124" si="1782">IF(CI123="","","|n"&amp;FO$2&amp;"+"&amp;CI123&amp;FO$1)</f>
        <v/>
      </c>
      <c r="FP123" s="30" t="str">
        <f t="shared" ref="FP123:FP124" si="1783">IF(CJ123="","","|n"&amp;FP$2&amp;"+"&amp;CJ123&amp;FP$1)</f>
        <v/>
      </c>
      <c r="FQ123" s="30" t="str">
        <f t="shared" ref="FQ123:FQ124" si="1784">IF(CK123="","","|n"&amp;FQ$2&amp;"+"&amp;CK123&amp;FQ$1)</f>
        <v/>
      </c>
      <c r="FR123" s="30" t="str">
        <f t="shared" ref="FR123:FR124" si="1785">IF(CL123="","","|n"&amp;FR$2&amp;"+"&amp;CL123&amp;FR$1)</f>
        <v/>
      </c>
      <c r="FS123" s="30" t="str">
        <f t="shared" ref="FS123:FS124" si="1786">IF(CM123="","","|n"&amp;FS$2&amp;"+"&amp;CM123&amp;FS$1)</f>
        <v/>
      </c>
    </row>
    <row r="124" spans="1:175" ht="16.5">
      <c r="A124" s="110"/>
      <c r="B124" s="123" t="s">
        <v>592</v>
      </c>
      <c r="C124" s="124" t="s">
        <v>610</v>
      </c>
      <c r="T124" s="111" t="s">
        <v>530</v>
      </c>
      <c r="U124" s="32" t="str">
        <f t="shared" si="1710"/>
        <v>ReplaceableTextures\\CommandButtons\\BTNINDV.blp</v>
      </c>
      <c r="CN124" s="7" t="str">
        <f t="shared" si="1711"/>
        <v>InitUnitState('INDV',,,,,,,,,,)</v>
      </c>
      <c r="CO124" s="7" t="str">
        <f t="shared" si="1712"/>
        <v>InitUnitNormal('INDV',,,,,,,,,,)</v>
      </c>
      <c r="CP124" s="7" t="str">
        <f t="shared" si="1713"/>
        <v>InitUnitMagic('INDV',,,,,,,,,,)</v>
      </c>
      <c r="CQ124" s="7" t="str">
        <f t="shared" si="1714"/>
        <v>InitUnitAdd('INDV',,,,,,,,,,)</v>
      </c>
      <c r="CR124" s="7" t="str">
        <f t="shared" si="1632"/>
        <v>InitEquipData('INDV',,"",,,,,'','','','','','',"ReplaceableTextures\\CommandButtons\\BTNIT03.blp")</v>
      </c>
      <c r="CU124" s="45" t="str">
        <f t="shared" si="1715"/>
        <v>|n</v>
      </c>
      <c r="CV124" s="29" t="str">
        <f t="shared" si="1716"/>
        <v>开出一个随机锦囊</v>
      </c>
      <c r="CW124" s="24"/>
      <c r="CX124" s="24"/>
      <c r="CY124" s="24"/>
      <c r="CZ124" s="24"/>
      <c r="DA124" s="24"/>
      <c r="DB124" s="30" t="str">
        <f t="shared" si="1717"/>
        <v/>
      </c>
      <c r="DC124" s="30" t="str">
        <f t="shared" si="1718"/>
        <v/>
      </c>
      <c r="DD124" s="30" t="str">
        <f t="shared" si="1719"/>
        <v/>
      </c>
      <c r="DE124" s="30" t="str">
        <f t="shared" si="1720"/>
        <v/>
      </c>
      <c r="DF124" s="30" t="str">
        <f t="shared" si="1721"/>
        <v/>
      </c>
      <c r="DG124" s="30" t="str">
        <f t="shared" si="1722"/>
        <v/>
      </c>
      <c r="DH124" s="30" t="str">
        <f t="shared" si="1723"/>
        <v/>
      </c>
      <c r="DI124" s="30" t="str">
        <f t="shared" si="1724"/>
        <v/>
      </c>
      <c r="DJ124" s="30" t="str">
        <f t="shared" si="1725"/>
        <v/>
      </c>
      <c r="DK124" s="30" t="str">
        <f t="shared" si="1726"/>
        <v/>
      </c>
      <c r="DL124" s="30" t="str">
        <f t="shared" si="1727"/>
        <v/>
      </c>
      <c r="DM124" s="30" t="str">
        <f t="shared" si="1728"/>
        <v/>
      </c>
      <c r="DN124" s="30" t="str">
        <f t="shared" si="1729"/>
        <v/>
      </c>
      <c r="DO124" s="30" t="str">
        <f t="shared" si="1730"/>
        <v/>
      </c>
      <c r="DP124" s="30" t="str">
        <f t="shared" si="1731"/>
        <v/>
      </c>
      <c r="DQ124" s="30" t="str">
        <f t="shared" si="1732"/>
        <v/>
      </c>
      <c r="DR124" s="30" t="str">
        <f t="shared" si="1733"/>
        <v/>
      </c>
      <c r="DS124" s="30" t="str">
        <f t="shared" si="1734"/>
        <v/>
      </c>
      <c r="DT124" s="30" t="str">
        <f t="shared" si="1735"/>
        <v/>
      </c>
      <c r="DU124" s="30" t="str">
        <f t="shared" si="1736"/>
        <v/>
      </c>
      <c r="DV124" s="30" t="str">
        <f t="shared" si="1737"/>
        <v/>
      </c>
      <c r="DW124" s="30" t="str">
        <f t="shared" si="1738"/>
        <v/>
      </c>
      <c r="DX124" s="30" t="str">
        <f t="shared" si="1739"/>
        <v/>
      </c>
      <c r="DY124" s="30" t="str">
        <f t="shared" si="1740"/>
        <v/>
      </c>
      <c r="DZ124" s="30" t="str">
        <f t="shared" si="1741"/>
        <v/>
      </c>
      <c r="EA124" s="30" t="str">
        <f t="shared" si="1742"/>
        <v/>
      </c>
      <c r="EB124" s="30" t="str">
        <f t="shared" si="1743"/>
        <v/>
      </c>
      <c r="EC124" s="30" t="str">
        <f t="shared" si="1744"/>
        <v/>
      </c>
      <c r="ED124" s="30" t="str">
        <f t="shared" si="1745"/>
        <v/>
      </c>
      <c r="EE124" s="30" t="str">
        <f t="shared" si="1746"/>
        <v/>
      </c>
      <c r="EF124" s="30" t="str">
        <f t="shared" si="1747"/>
        <v/>
      </c>
      <c r="EG124" s="30" t="str">
        <f t="shared" si="1748"/>
        <v/>
      </c>
      <c r="EH124" s="30" t="str">
        <f t="shared" si="1749"/>
        <v/>
      </c>
      <c r="EI124" s="30" t="str">
        <f t="shared" si="1750"/>
        <v/>
      </c>
      <c r="EJ124" s="30" t="str">
        <f t="shared" si="1751"/>
        <v/>
      </c>
      <c r="EK124" s="30" t="str">
        <f t="shared" si="1752"/>
        <v/>
      </c>
      <c r="EL124" s="30" t="str">
        <f t="shared" si="1753"/>
        <v/>
      </c>
      <c r="EM124" s="30" t="str">
        <f t="shared" si="1754"/>
        <v/>
      </c>
      <c r="EN124" s="30" t="str">
        <f t="shared" si="1755"/>
        <v/>
      </c>
      <c r="EO124" s="30" t="str">
        <f t="shared" si="1756"/>
        <v/>
      </c>
      <c r="EP124" s="30" t="str">
        <f t="shared" si="1757"/>
        <v/>
      </c>
      <c r="EQ124" s="30" t="str">
        <f t="shared" si="1758"/>
        <v/>
      </c>
      <c r="ER124" s="30" t="str">
        <f t="shared" si="1759"/>
        <v/>
      </c>
      <c r="ES124" s="30" t="str">
        <f t="shared" si="1760"/>
        <v/>
      </c>
      <c r="ET124" s="30" t="str">
        <f t="shared" si="1761"/>
        <v/>
      </c>
      <c r="EU124" s="30" t="str">
        <f t="shared" si="1762"/>
        <v/>
      </c>
      <c r="EV124" s="30" t="str">
        <f t="shared" si="1763"/>
        <v/>
      </c>
      <c r="EW124" s="30" t="str">
        <f t="shared" si="1764"/>
        <v/>
      </c>
      <c r="EX124" s="30" t="str">
        <f t="shared" si="1765"/>
        <v/>
      </c>
      <c r="EY124" s="30" t="str">
        <f t="shared" si="1766"/>
        <v/>
      </c>
      <c r="EZ124" s="30" t="str">
        <f t="shared" si="1767"/>
        <v/>
      </c>
      <c r="FA124" s="30" t="str">
        <f t="shared" si="1768"/>
        <v/>
      </c>
      <c r="FB124" s="30" t="str">
        <f t="shared" si="1769"/>
        <v/>
      </c>
      <c r="FC124" s="30" t="str">
        <f t="shared" si="1770"/>
        <v/>
      </c>
      <c r="FD124" s="30" t="str">
        <f t="shared" si="1771"/>
        <v/>
      </c>
      <c r="FE124" s="30" t="str">
        <f t="shared" si="1772"/>
        <v/>
      </c>
      <c r="FF124" s="30" t="str">
        <f t="shared" si="1773"/>
        <v/>
      </c>
      <c r="FG124" s="30" t="str">
        <f t="shared" si="1774"/>
        <v/>
      </c>
      <c r="FH124" s="30" t="str">
        <f t="shared" si="1775"/>
        <v/>
      </c>
      <c r="FI124" s="30" t="str">
        <f t="shared" si="1776"/>
        <v/>
      </c>
      <c r="FJ124" s="30" t="str">
        <f t="shared" si="1777"/>
        <v/>
      </c>
      <c r="FK124" s="30" t="str">
        <f t="shared" si="1778"/>
        <v/>
      </c>
      <c r="FL124" s="30" t="str">
        <f t="shared" si="1779"/>
        <v/>
      </c>
      <c r="FM124" s="30" t="str">
        <f t="shared" si="1780"/>
        <v/>
      </c>
      <c r="FN124" s="30" t="str">
        <f t="shared" si="1781"/>
        <v/>
      </c>
      <c r="FO124" s="30" t="str">
        <f t="shared" si="1782"/>
        <v/>
      </c>
      <c r="FP124" s="30" t="str">
        <f t="shared" si="1783"/>
        <v/>
      </c>
      <c r="FQ124" s="30" t="str">
        <f t="shared" si="1784"/>
        <v/>
      </c>
      <c r="FR124" s="30" t="str">
        <f t="shared" si="1785"/>
        <v/>
      </c>
      <c r="FS124" s="30" t="str">
        <f t="shared" si="1786"/>
        <v/>
      </c>
    </row>
    <row r="125" spans="1:175" ht="16.5">
      <c r="A125" s="110"/>
      <c r="B125" s="123" t="s">
        <v>593</v>
      </c>
      <c r="C125" s="124" t="s">
        <v>610</v>
      </c>
      <c r="T125" s="111" t="s">
        <v>530</v>
      </c>
      <c r="U125" s="32" t="str">
        <f t="shared" si="944"/>
        <v>ReplaceableTextures\\CommandButtons\\BTNINDW.blp</v>
      </c>
      <c r="CN125" s="7" t="str">
        <f t="shared" si="1478"/>
        <v>InitUnitState('INDW',,,,,,,,,,)</v>
      </c>
      <c r="CO125" s="7" t="str">
        <f t="shared" si="1479"/>
        <v>InitUnitNormal('INDW',,,,,,,,,,)</v>
      </c>
      <c r="CP125" s="7" t="str">
        <f t="shared" si="1480"/>
        <v>InitUnitMagic('INDW',,,,,,,,,,)</v>
      </c>
      <c r="CQ125" s="7" t="str">
        <f t="shared" si="1481"/>
        <v>InitUnitAdd('INDW',,,,,,,,,,)</v>
      </c>
      <c r="CR125" s="7" t="str">
        <f t="shared" si="1632"/>
        <v>InitEquipData('INDW',,"",,,,,'','','','','','',"ReplaceableTextures\\CommandButtons\\BTNIT04.blp")</v>
      </c>
      <c r="CU125" s="45" t="str">
        <f t="shared" si="1482"/>
        <v>|n</v>
      </c>
      <c r="CV125" s="29" t="str">
        <f t="shared" si="1483"/>
        <v>开出一个随机锦囊</v>
      </c>
      <c r="CW125" s="24"/>
      <c r="CX125" s="24"/>
      <c r="CY125" s="24"/>
      <c r="CZ125" s="24"/>
      <c r="DA125" s="24"/>
      <c r="DB125" s="30" t="str">
        <f t="shared" si="1484"/>
        <v/>
      </c>
      <c r="DC125" s="30" t="str">
        <f t="shared" si="1485"/>
        <v/>
      </c>
      <c r="DD125" s="30" t="str">
        <f t="shared" si="1486"/>
        <v/>
      </c>
      <c r="DE125" s="30" t="str">
        <f t="shared" si="1487"/>
        <v/>
      </c>
      <c r="DF125" s="30" t="str">
        <f t="shared" si="1488"/>
        <v/>
      </c>
      <c r="DG125" s="30" t="str">
        <f t="shared" si="1489"/>
        <v/>
      </c>
      <c r="DH125" s="30" t="str">
        <f t="shared" si="1490"/>
        <v/>
      </c>
      <c r="DI125" s="30" t="str">
        <f t="shared" si="1491"/>
        <v/>
      </c>
      <c r="DJ125" s="30" t="str">
        <f t="shared" si="1492"/>
        <v/>
      </c>
      <c r="DK125" s="30" t="str">
        <f t="shared" si="1493"/>
        <v/>
      </c>
      <c r="DL125" s="30" t="str">
        <f t="shared" si="1494"/>
        <v/>
      </c>
      <c r="DM125" s="30" t="str">
        <f t="shared" si="1495"/>
        <v/>
      </c>
      <c r="DN125" s="30" t="str">
        <f t="shared" si="1496"/>
        <v/>
      </c>
      <c r="DO125" s="30" t="str">
        <f t="shared" si="1497"/>
        <v/>
      </c>
      <c r="DP125" s="30" t="str">
        <f t="shared" si="1498"/>
        <v/>
      </c>
      <c r="DQ125" s="30" t="str">
        <f t="shared" si="1499"/>
        <v/>
      </c>
      <c r="DR125" s="30" t="str">
        <f t="shared" si="1500"/>
        <v/>
      </c>
      <c r="DS125" s="30" t="str">
        <f t="shared" si="1501"/>
        <v/>
      </c>
      <c r="DT125" s="30" t="str">
        <f t="shared" si="1502"/>
        <v/>
      </c>
      <c r="DU125" s="30" t="str">
        <f t="shared" si="1503"/>
        <v/>
      </c>
      <c r="DV125" s="30" t="str">
        <f t="shared" si="1504"/>
        <v/>
      </c>
      <c r="DW125" s="30" t="str">
        <f t="shared" si="1505"/>
        <v/>
      </c>
      <c r="DX125" s="30" t="str">
        <f t="shared" si="1506"/>
        <v/>
      </c>
      <c r="DY125" s="30" t="str">
        <f t="shared" si="1507"/>
        <v/>
      </c>
      <c r="DZ125" s="30" t="str">
        <f t="shared" si="1508"/>
        <v/>
      </c>
      <c r="EA125" s="30" t="str">
        <f t="shared" si="1509"/>
        <v/>
      </c>
      <c r="EB125" s="30" t="str">
        <f t="shared" si="1510"/>
        <v/>
      </c>
      <c r="EC125" s="30" t="str">
        <f t="shared" si="1511"/>
        <v/>
      </c>
      <c r="ED125" s="30" t="str">
        <f t="shared" si="1512"/>
        <v/>
      </c>
      <c r="EE125" s="30" t="str">
        <f t="shared" si="1513"/>
        <v/>
      </c>
      <c r="EF125" s="30" t="str">
        <f t="shared" si="1514"/>
        <v/>
      </c>
      <c r="EG125" s="30" t="str">
        <f t="shared" si="1515"/>
        <v/>
      </c>
      <c r="EH125" s="30" t="str">
        <f t="shared" si="1516"/>
        <v/>
      </c>
      <c r="EI125" s="30" t="str">
        <f t="shared" si="1517"/>
        <v/>
      </c>
      <c r="EJ125" s="30" t="str">
        <f t="shared" si="1518"/>
        <v/>
      </c>
      <c r="EK125" s="30" t="str">
        <f t="shared" si="1519"/>
        <v/>
      </c>
      <c r="EL125" s="30" t="str">
        <f t="shared" si="1520"/>
        <v/>
      </c>
      <c r="EM125" s="30" t="str">
        <f t="shared" si="1521"/>
        <v/>
      </c>
      <c r="EN125" s="30" t="str">
        <f t="shared" si="1522"/>
        <v/>
      </c>
      <c r="EO125" s="30" t="str">
        <f t="shared" si="1523"/>
        <v/>
      </c>
      <c r="EP125" s="30" t="str">
        <f t="shared" si="1524"/>
        <v/>
      </c>
      <c r="EQ125" s="30" t="str">
        <f t="shared" si="1525"/>
        <v/>
      </c>
      <c r="ER125" s="30" t="str">
        <f t="shared" si="1526"/>
        <v/>
      </c>
      <c r="ES125" s="30" t="str">
        <f t="shared" si="1527"/>
        <v/>
      </c>
      <c r="ET125" s="30" t="str">
        <f t="shared" si="1528"/>
        <v/>
      </c>
      <c r="EU125" s="30" t="str">
        <f t="shared" si="1529"/>
        <v/>
      </c>
      <c r="EV125" s="30" t="str">
        <f t="shared" si="1530"/>
        <v/>
      </c>
      <c r="EW125" s="30" t="str">
        <f t="shared" si="1531"/>
        <v/>
      </c>
      <c r="EX125" s="30" t="str">
        <f t="shared" si="1532"/>
        <v/>
      </c>
      <c r="EY125" s="30" t="str">
        <f t="shared" si="1533"/>
        <v/>
      </c>
      <c r="EZ125" s="30" t="str">
        <f t="shared" si="1534"/>
        <v/>
      </c>
      <c r="FA125" s="30" t="str">
        <f t="shared" si="1535"/>
        <v/>
      </c>
      <c r="FB125" s="30" t="str">
        <f t="shared" si="1536"/>
        <v/>
      </c>
      <c r="FC125" s="30" t="str">
        <f t="shared" si="1537"/>
        <v/>
      </c>
      <c r="FD125" s="30" t="str">
        <f t="shared" si="1538"/>
        <v/>
      </c>
      <c r="FE125" s="30" t="str">
        <f t="shared" si="1539"/>
        <v/>
      </c>
      <c r="FF125" s="30" t="str">
        <f t="shared" si="1540"/>
        <v/>
      </c>
      <c r="FG125" s="30" t="str">
        <f t="shared" si="1541"/>
        <v/>
      </c>
      <c r="FH125" s="30" t="str">
        <f t="shared" si="1542"/>
        <v/>
      </c>
      <c r="FI125" s="30" t="str">
        <f t="shared" si="1543"/>
        <v/>
      </c>
      <c r="FJ125" s="30" t="str">
        <f t="shared" si="1544"/>
        <v/>
      </c>
      <c r="FK125" s="30" t="str">
        <f t="shared" si="1545"/>
        <v/>
      </c>
      <c r="FL125" s="30" t="str">
        <f t="shared" si="1546"/>
        <v/>
      </c>
      <c r="FM125" s="30" t="str">
        <f t="shared" si="1547"/>
        <v/>
      </c>
      <c r="FN125" s="30" t="str">
        <f t="shared" si="1548"/>
        <v/>
      </c>
      <c r="FO125" s="30" t="str">
        <f t="shared" si="1549"/>
        <v/>
      </c>
      <c r="FP125" s="30" t="str">
        <f t="shared" si="1550"/>
        <v/>
      </c>
      <c r="FQ125" s="30" t="str">
        <f t="shared" si="1551"/>
        <v/>
      </c>
      <c r="FR125" s="30" t="str">
        <f t="shared" si="1552"/>
        <v/>
      </c>
      <c r="FS125" s="30" t="str">
        <f t="shared" si="1553"/>
        <v/>
      </c>
    </row>
    <row r="126" spans="1:175" ht="16.5">
      <c r="A126" s="110"/>
      <c r="B126" s="123" t="s">
        <v>594</v>
      </c>
      <c r="C126" s="124" t="s">
        <v>611</v>
      </c>
      <c r="T126" s="111" t="s">
        <v>530</v>
      </c>
      <c r="U126" s="32" t="str">
        <f t="shared" ref="U126" si="1787">"ReplaceableTextures\\CommandButtons\\BTN"&amp;B126&amp;".blp"</f>
        <v>ReplaceableTextures\\CommandButtons\\BTNINDX.blp</v>
      </c>
      <c r="CN126" s="7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632"/>
        <v>InitEquipData('INDX',,"",,,,,'','','','','','',"ReplaceableTextures\\CommandButtons\\BTNIT05.blp")</v>
      </c>
      <c r="CU126" s="45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793">T126</f>
        <v>开出一个随机锦囊</v>
      </c>
      <c r="CW126" s="24"/>
      <c r="CX126" s="24"/>
      <c r="CY126" s="24"/>
      <c r="CZ126" s="24"/>
      <c r="DA126" s="24"/>
      <c r="DB126" s="30" t="str">
        <f t="shared" ref="DB126" si="1794">IF(V126="","","|n"&amp;DB$2&amp;"+"&amp;V126&amp;DB$1)</f>
        <v/>
      </c>
      <c r="DC126" s="30" t="str">
        <f t="shared" ref="DC126" si="1795">IF(W126="","","|n"&amp;DC$2&amp;"+"&amp;W126&amp;DC$1)</f>
        <v/>
      </c>
      <c r="DD126" s="30" t="str">
        <f t="shared" ref="DD126" si="1796">IF(X126="","","|n"&amp;DD$2&amp;"+"&amp;X126&amp;DD$1)</f>
        <v/>
      </c>
      <c r="DE126" s="30" t="str">
        <f t="shared" ref="DE126" si="1797">IF(Y126="","","|n"&amp;DE$2&amp;"+"&amp;Y126&amp;DE$1)</f>
        <v/>
      </c>
      <c r="DF126" s="30" t="str">
        <f t="shared" ref="DF126" si="1798">IF(Z126="","","|n"&amp;DF$2&amp;"+"&amp;Z126&amp;DF$1)</f>
        <v/>
      </c>
      <c r="DG126" s="30" t="str">
        <f t="shared" ref="DG126" si="1799">IF(AA126="","","|n"&amp;DG$2&amp;"+"&amp;AA126&amp;DG$1)</f>
        <v/>
      </c>
      <c r="DH126" s="30" t="str">
        <f t="shared" ref="DH126" si="1800">IF(AB126="","","|n"&amp;DH$2&amp;"+"&amp;AB126&amp;DH$1)</f>
        <v/>
      </c>
      <c r="DI126" s="30" t="str">
        <f t="shared" ref="DI126" si="1801">IF(AC126="","","|n"&amp;DI$2&amp;"+"&amp;AC126&amp;DI$1)</f>
        <v/>
      </c>
      <c r="DJ126" s="30" t="str">
        <f t="shared" ref="DJ126" si="1802">IF(AD126="","","|n"&amp;DJ$2&amp;"+"&amp;AD126&amp;DJ$1)</f>
        <v/>
      </c>
      <c r="DK126" s="30" t="str">
        <f t="shared" ref="DK126" si="1803">IF(AE126="","","|n"&amp;DK$2&amp;"+"&amp;AE126&amp;DK$1)</f>
        <v/>
      </c>
      <c r="DL126" s="30" t="str">
        <f t="shared" ref="DL126" si="1804">IF(AF126="","","|n"&amp;DL$2&amp;"+"&amp;AF126&amp;DL$1)</f>
        <v/>
      </c>
      <c r="DM126" s="30" t="str">
        <f t="shared" ref="DM126" si="1805">IF(AG126="","","|n"&amp;DM$2&amp;"+"&amp;AG126&amp;DM$1)</f>
        <v/>
      </c>
      <c r="DN126" s="30" t="str">
        <f t="shared" ref="DN126" si="1806">IF(AH126="","","|n"&amp;DN$2&amp;"+"&amp;AH126&amp;DN$1)</f>
        <v/>
      </c>
      <c r="DO126" s="30" t="str">
        <f t="shared" ref="DO126" si="1807">IF(AI126="","","|n"&amp;DO$2&amp;"+"&amp;AI126&amp;DO$1)</f>
        <v/>
      </c>
      <c r="DP126" s="30" t="str">
        <f t="shared" ref="DP126" si="1808">IF(AJ126="","","|n"&amp;DP$2&amp;"+"&amp;AJ126&amp;DP$1)</f>
        <v/>
      </c>
      <c r="DQ126" s="30" t="str">
        <f t="shared" ref="DQ126" si="1809">IF(AK126="","","|n"&amp;DQ$2&amp;"+"&amp;AK126&amp;DQ$1)</f>
        <v/>
      </c>
      <c r="DR126" s="30" t="str">
        <f t="shared" ref="DR126" si="1810">IF(AL126="","","|n"&amp;DR$2&amp;"+"&amp;AL126&amp;DR$1)</f>
        <v/>
      </c>
      <c r="DS126" s="30" t="str">
        <f t="shared" ref="DS126" si="1811">IF(AM126="","","|n"&amp;DS$2&amp;"+"&amp;AM126&amp;DS$1)</f>
        <v/>
      </c>
      <c r="DT126" s="30" t="str">
        <f t="shared" ref="DT126" si="1812">IF(AN126="","","|n"&amp;DT$2&amp;"+"&amp;AN126&amp;DT$1)</f>
        <v/>
      </c>
      <c r="DU126" s="30" t="str">
        <f t="shared" ref="DU126" si="1813">IF(AO126="","","|n"&amp;DU$2&amp;"+"&amp;AO126&amp;DU$1)</f>
        <v/>
      </c>
      <c r="DV126" s="30" t="str">
        <f t="shared" ref="DV126" si="1814">IF(AP126="","","|n"&amp;DV$2&amp;"+"&amp;AP126&amp;DV$1)</f>
        <v/>
      </c>
      <c r="DW126" s="30" t="str">
        <f t="shared" ref="DW126" si="1815">IF(AQ126="","","|n"&amp;DW$2&amp;"+"&amp;AQ126&amp;DW$1)</f>
        <v/>
      </c>
      <c r="DX126" s="30" t="str">
        <f t="shared" ref="DX126" si="1816">IF(AR126="","","|n"&amp;DX$2&amp;"+"&amp;AR126&amp;DX$1)</f>
        <v/>
      </c>
      <c r="DY126" s="30" t="str">
        <f t="shared" ref="DY126" si="1817">IF(AS126="","","|n"&amp;DY$2&amp;"+"&amp;AS126&amp;DY$1)</f>
        <v/>
      </c>
      <c r="DZ126" s="30" t="str">
        <f t="shared" ref="DZ126" si="1818">IF(AT126="","","|n"&amp;DZ$2&amp;"+"&amp;AT126&amp;DZ$1)</f>
        <v/>
      </c>
      <c r="EA126" s="30" t="str">
        <f t="shared" ref="EA126" si="1819">IF(AU126="","","|n"&amp;EA$2&amp;"+"&amp;AU126&amp;EA$1)</f>
        <v/>
      </c>
      <c r="EB126" s="30" t="str">
        <f t="shared" ref="EB126" si="1820">IF(AV126="","","|n"&amp;EB$2&amp;"+"&amp;AV126&amp;EB$1)</f>
        <v/>
      </c>
      <c r="EC126" s="30" t="str">
        <f t="shared" ref="EC126" si="1821">IF(AW126="","","|n"&amp;EC$2&amp;"+"&amp;AW126&amp;EC$1)</f>
        <v/>
      </c>
      <c r="ED126" s="30" t="str">
        <f t="shared" ref="ED126" si="1822">IF(AX126="","","|n"&amp;ED$2&amp;"+"&amp;AX126&amp;ED$1)</f>
        <v/>
      </c>
      <c r="EE126" s="30" t="str">
        <f t="shared" ref="EE126" si="1823">IF(AY126="","","|n"&amp;EE$2&amp;"+"&amp;AY126&amp;EE$1)</f>
        <v/>
      </c>
      <c r="EF126" s="30" t="str">
        <f t="shared" ref="EF126" si="1824">IF(AZ126="","","|n"&amp;EF$2&amp;"+"&amp;AZ126&amp;EF$1)</f>
        <v/>
      </c>
      <c r="EG126" s="30" t="str">
        <f t="shared" ref="EG126" si="1825">IF(BA126="","","|n"&amp;EG$2&amp;"+"&amp;BA126&amp;EG$1)</f>
        <v/>
      </c>
      <c r="EH126" s="30" t="str">
        <f t="shared" ref="EH126" si="1826">IF(BB126="","","|n"&amp;EH$2&amp;"+"&amp;BB126&amp;EH$1)</f>
        <v/>
      </c>
      <c r="EI126" s="30" t="str">
        <f t="shared" ref="EI126" si="1827">IF(BC126="","","|n"&amp;EI$2&amp;"+"&amp;BC126&amp;EI$1)</f>
        <v/>
      </c>
      <c r="EJ126" s="30" t="str">
        <f t="shared" ref="EJ126" si="1828">IF(BD126="","","|n"&amp;EJ$2&amp;"+"&amp;BD126&amp;EJ$1)</f>
        <v/>
      </c>
      <c r="EK126" s="30" t="str">
        <f t="shared" ref="EK126" si="1829">IF(BE126="","","|n"&amp;EK$2&amp;"+"&amp;BE126&amp;EK$1)</f>
        <v/>
      </c>
      <c r="EL126" s="30" t="str">
        <f t="shared" ref="EL126" si="1830">IF(BF126="","","|n"&amp;EL$2&amp;"+"&amp;BF126&amp;EL$1)</f>
        <v/>
      </c>
      <c r="EM126" s="30" t="str">
        <f t="shared" ref="EM126" si="1831">IF(BG126="","","|n"&amp;EM$2&amp;"+"&amp;BG126&amp;EM$1)</f>
        <v/>
      </c>
      <c r="EN126" s="30" t="str">
        <f t="shared" ref="EN126" si="1832">IF(BH126="","","|n"&amp;EN$2&amp;"+"&amp;BH126&amp;EN$1)</f>
        <v/>
      </c>
      <c r="EO126" s="30" t="str">
        <f t="shared" ref="EO126" si="1833">IF(BI126="","","|n"&amp;EO$2&amp;"+"&amp;BI126&amp;EO$1)</f>
        <v/>
      </c>
      <c r="EP126" s="30" t="str">
        <f t="shared" ref="EP126" si="1834">IF(BJ126="","","|n"&amp;EP$2&amp;"+"&amp;BJ126&amp;EP$1)</f>
        <v/>
      </c>
      <c r="EQ126" s="30" t="str">
        <f t="shared" ref="EQ126" si="1835">IF(BK126="","","|n"&amp;EQ$2&amp;"+"&amp;BK126&amp;EQ$1)</f>
        <v/>
      </c>
      <c r="ER126" s="30" t="str">
        <f t="shared" ref="ER126" si="1836">IF(BL126="","","|n"&amp;ER$2&amp;"+"&amp;BL126&amp;ER$1)</f>
        <v/>
      </c>
      <c r="ES126" s="30" t="str">
        <f t="shared" ref="ES126" si="1837">IF(BM126="","","|n"&amp;ES$2&amp;"+"&amp;BM126&amp;ES$1)</f>
        <v/>
      </c>
      <c r="ET126" s="30" t="str">
        <f t="shared" ref="ET126" si="1838">IF(BN126="","","|n"&amp;ET$2&amp;"+"&amp;BN126&amp;ET$1)</f>
        <v/>
      </c>
      <c r="EU126" s="30" t="str">
        <f t="shared" ref="EU126" si="1839">IF(BO126="","","|n"&amp;EU$2&amp;"+"&amp;BO126&amp;EU$1)</f>
        <v/>
      </c>
      <c r="EV126" s="30" t="str">
        <f t="shared" ref="EV126" si="1840">IF(BP126="","","|n"&amp;EV$2&amp;"+"&amp;BP126&amp;EV$1)</f>
        <v/>
      </c>
      <c r="EW126" s="30" t="str">
        <f t="shared" ref="EW126" si="1841">IF(BQ126="","","|n"&amp;EW$2&amp;"+"&amp;BQ126&amp;EW$1)</f>
        <v/>
      </c>
      <c r="EX126" s="30" t="str">
        <f t="shared" ref="EX126" si="1842">IF(BR126="","","|n"&amp;EX$2&amp;"+"&amp;BR126&amp;EX$1)</f>
        <v/>
      </c>
      <c r="EY126" s="30" t="str">
        <f t="shared" ref="EY126" si="1843">IF(BS126="","","|n"&amp;EY$2&amp;"+"&amp;BS126&amp;EY$1)</f>
        <v/>
      </c>
      <c r="EZ126" s="30" t="str">
        <f t="shared" ref="EZ126" si="1844">IF(BT126="","","|n"&amp;EZ$2&amp;"+"&amp;BT126&amp;EZ$1)</f>
        <v/>
      </c>
      <c r="FA126" s="30" t="str">
        <f t="shared" ref="FA126" si="1845">IF(BU126="","","|n"&amp;FA$2&amp;"+"&amp;BU126&amp;FA$1)</f>
        <v/>
      </c>
      <c r="FB126" s="30" t="str">
        <f t="shared" ref="FB126" si="1846">IF(BV126="","","|n"&amp;FB$2&amp;"+"&amp;BV126&amp;FB$1)</f>
        <v/>
      </c>
      <c r="FC126" s="30" t="str">
        <f t="shared" ref="FC126" si="1847">IF(BW126="","","|n"&amp;FC$2&amp;"+"&amp;BW126&amp;FC$1)</f>
        <v/>
      </c>
      <c r="FD126" s="30" t="str">
        <f t="shared" ref="FD126" si="1848">IF(BX126="","","|n"&amp;FD$2&amp;"+"&amp;BX126&amp;FD$1)</f>
        <v/>
      </c>
      <c r="FE126" s="30" t="str">
        <f t="shared" ref="FE126" si="1849">IF(BY126="","","|n"&amp;FE$2&amp;"+"&amp;BY126&amp;FE$1)</f>
        <v/>
      </c>
      <c r="FF126" s="30" t="str">
        <f t="shared" ref="FF126" si="1850">IF(BZ126="","","|n"&amp;FF$2&amp;"+"&amp;BZ126&amp;FF$1)</f>
        <v/>
      </c>
      <c r="FG126" s="30" t="str">
        <f t="shared" ref="FG126" si="1851">IF(CA126="","","|n"&amp;FG$2&amp;"+"&amp;CA126&amp;FG$1)</f>
        <v/>
      </c>
      <c r="FH126" s="30" t="str">
        <f t="shared" ref="FH126" si="1852">IF(CB126="","","|n"&amp;FH$2&amp;"+"&amp;CB126&amp;FH$1)</f>
        <v/>
      </c>
      <c r="FI126" s="30" t="str">
        <f t="shared" ref="FI126" si="1853">IF(CC126="","","|n"&amp;FI$2&amp;"+"&amp;CC126&amp;FI$1)</f>
        <v/>
      </c>
      <c r="FJ126" s="30" t="str">
        <f t="shared" ref="FJ126" si="1854">IF(CD126="","","|n"&amp;FJ$2&amp;"+"&amp;CD126&amp;FJ$1)</f>
        <v/>
      </c>
      <c r="FK126" s="30" t="str">
        <f t="shared" ref="FK126" si="1855">IF(CE126="","","|n"&amp;FK$2&amp;"+"&amp;CE126&amp;FK$1)</f>
        <v/>
      </c>
      <c r="FL126" s="30" t="str">
        <f t="shared" ref="FL126" si="1856">IF(CF126="","","|n"&amp;FL$2&amp;"+"&amp;CF126&amp;FL$1)</f>
        <v/>
      </c>
      <c r="FM126" s="30" t="str">
        <f t="shared" ref="FM126" si="1857">IF(CG126="","","|n"&amp;FM$2&amp;"+"&amp;CG126&amp;FM$1)</f>
        <v/>
      </c>
      <c r="FN126" s="30" t="str">
        <f t="shared" ref="FN126" si="1858">IF(CH126="","","|n"&amp;FN$2&amp;"+"&amp;CH126&amp;FN$1)</f>
        <v/>
      </c>
      <c r="FO126" s="30" t="str">
        <f t="shared" ref="FO126" si="1859">IF(CI126="","","|n"&amp;FO$2&amp;"+"&amp;CI126&amp;FO$1)</f>
        <v/>
      </c>
      <c r="FP126" s="30" t="str">
        <f t="shared" ref="FP126" si="1860">IF(CJ126="","","|n"&amp;FP$2&amp;"+"&amp;CJ126&amp;FP$1)</f>
        <v/>
      </c>
      <c r="FQ126" s="30" t="str">
        <f t="shared" ref="FQ126" si="1861">IF(CK126="","","|n"&amp;FQ$2&amp;"+"&amp;CK126&amp;FQ$1)</f>
        <v/>
      </c>
      <c r="FR126" s="30" t="str">
        <f t="shared" ref="FR126" si="1862">IF(CL126="","","|n"&amp;FR$2&amp;"+"&amp;CL126&amp;FR$1)</f>
        <v/>
      </c>
      <c r="FS126" s="30" t="str">
        <f t="shared" ref="FS126" si="1863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44"/>
        <v>ReplaceableTextures\\CommandButtons\\BTNIN00.blp</v>
      </c>
      <c r="CN127" s="7" t="str">
        <f t="shared" si="1478"/>
        <v>InitUnitState('IN00',,,,,,,,,,)</v>
      </c>
      <c r="CO127" s="7" t="str">
        <f t="shared" si="1479"/>
        <v>InitUnitNormal('IN00',,,,,,,,,,)</v>
      </c>
      <c r="CP127" s="7" t="str">
        <f t="shared" si="1480"/>
        <v>InitUnitMagic('IN00',,,,,,,,,,)</v>
      </c>
      <c r="CQ127" s="7" t="str">
        <f t="shared" si="1481"/>
        <v>InitUnitAdd('IN00',,,,,,,,,,)</v>
      </c>
      <c r="CR127" s="7" t="str">
        <f t="shared" si="1632"/>
        <v>InitEquipData('IN00',,"",,,,,'','','','','','',"ReplaceableTextures\\CommandButtons\\BTNIT06.blp")</v>
      </c>
      <c r="CU127" s="45" t="str">
        <f t="shared" si="1482"/>
        <v>|n</v>
      </c>
      <c r="CV127" s="29" t="str">
        <f t="shared" si="1483"/>
        <v>开出一个随机锦囊</v>
      </c>
      <c r="CW127" s="24"/>
      <c r="CX127" s="24"/>
      <c r="CY127" s="24"/>
      <c r="CZ127" s="24"/>
      <c r="DA127" s="24"/>
      <c r="DB127" s="30" t="str">
        <f t="shared" si="1484"/>
        <v/>
      </c>
      <c r="DC127" s="30" t="str">
        <f t="shared" si="1485"/>
        <v/>
      </c>
      <c r="DD127" s="30" t="str">
        <f t="shared" si="1486"/>
        <v/>
      </c>
      <c r="DE127" s="30" t="str">
        <f t="shared" si="1487"/>
        <v/>
      </c>
      <c r="DF127" s="30" t="str">
        <f t="shared" si="1488"/>
        <v/>
      </c>
      <c r="DG127" s="30" t="str">
        <f t="shared" si="1489"/>
        <v/>
      </c>
      <c r="DH127" s="30" t="str">
        <f t="shared" si="1490"/>
        <v/>
      </c>
      <c r="DI127" s="30" t="str">
        <f t="shared" si="1491"/>
        <v/>
      </c>
      <c r="DJ127" s="30" t="str">
        <f t="shared" si="1492"/>
        <v/>
      </c>
      <c r="DK127" s="30" t="str">
        <f t="shared" si="1493"/>
        <v/>
      </c>
      <c r="DL127" s="30" t="str">
        <f t="shared" si="1494"/>
        <v/>
      </c>
      <c r="DM127" s="30" t="str">
        <f t="shared" si="1495"/>
        <v/>
      </c>
      <c r="DN127" s="30" t="str">
        <f t="shared" si="1496"/>
        <v/>
      </c>
      <c r="DO127" s="30" t="str">
        <f t="shared" si="1497"/>
        <v/>
      </c>
      <c r="DP127" s="30" t="str">
        <f t="shared" si="1498"/>
        <v/>
      </c>
      <c r="DQ127" s="30" t="str">
        <f t="shared" si="1499"/>
        <v/>
      </c>
      <c r="DR127" s="30" t="str">
        <f t="shared" si="1500"/>
        <v/>
      </c>
      <c r="DS127" s="30" t="str">
        <f t="shared" si="1501"/>
        <v/>
      </c>
      <c r="DT127" s="30" t="str">
        <f t="shared" si="1502"/>
        <v/>
      </c>
      <c r="DU127" s="30" t="str">
        <f t="shared" si="1503"/>
        <v/>
      </c>
      <c r="DV127" s="30" t="str">
        <f t="shared" si="1504"/>
        <v/>
      </c>
      <c r="DW127" s="30" t="str">
        <f t="shared" si="1505"/>
        <v/>
      </c>
      <c r="DX127" s="30" t="str">
        <f t="shared" si="1506"/>
        <v/>
      </c>
      <c r="DY127" s="30" t="str">
        <f t="shared" si="1507"/>
        <v/>
      </c>
      <c r="DZ127" s="30" t="str">
        <f t="shared" si="1508"/>
        <v/>
      </c>
      <c r="EA127" s="30" t="str">
        <f t="shared" si="1509"/>
        <v/>
      </c>
      <c r="EB127" s="30" t="str">
        <f t="shared" si="1510"/>
        <v/>
      </c>
      <c r="EC127" s="30" t="str">
        <f t="shared" si="1511"/>
        <v/>
      </c>
      <c r="ED127" s="30" t="str">
        <f t="shared" si="1512"/>
        <v/>
      </c>
      <c r="EE127" s="30" t="str">
        <f t="shared" si="1513"/>
        <v/>
      </c>
      <c r="EF127" s="30" t="str">
        <f t="shared" si="1514"/>
        <v/>
      </c>
      <c r="EG127" s="30" t="str">
        <f t="shared" si="1515"/>
        <v/>
      </c>
      <c r="EH127" s="30" t="str">
        <f t="shared" si="1516"/>
        <v/>
      </c>
      <c r="EI127" s="30" t="str">
        <f t="shared" si="1517"/>
        <v/>
      </c>
      <c r="EJ127" s="30" t="str">
        <f t="shared" si="1518"/>
        <v/>
      </c>
      <c r="EK127" s="30" t="str">
        <f t="shared" si="1519"/>
        <v/>
      </c>
      <c r="EL127" s="30" t="str">
        <f t="shared" si="1520"/>
        <v/>
      </c>
      <c r="EM127" s="30" t="str">
        <f t="shared" si="1521"/>
        <v/>
      </c>
      <c r="EN127" s="30" t="str">
        <f t="shared" si="1522"/>
        <v/>
      </c>
      <c r="EO127" s="30" t="str">
        <f t="shared" si="1523"/>
        <v/>
      </c>
      <c r="EP127" s="30" t="str">
        <f t="shared" si="1524"/>
        <v/>
      </c>
      <c r="EQ127" s="30" t="str">
        <f t="shared" si="1525"/>
        <v/>
      </c>
      <c r="ER127" s="30" t="str">
        <f t="shared" si="1526"/>
        <v/>
      </c>
      <c r="ES127" s="30" t="str">
        <f t="shared" si="1527"/>
        <v/>
      </c>
      <c r="ET127" s="30" t="str">
        <f t="shared" si="1528"/>
        <v/>
      </c>
      <c r="EU127" s="30" t="str">
        <f t="shared" si="1529"/>
        <v/>
      </c>
      <c r="EV127" s="30" t="str">
        <f t="shared" si="1530"/>
        <v/>
      </c>
      <c r="EW127" s="30" t="str">
        <f t="shared" si="1531"/>
        <v/>
      </c>
      <c r="EX127" s="30" t="str">
        <f t="shared" si="1532"/>
        <v/>
      </c>
      <c r="EY127" s="30" t="str">
        <f t="shared" si="1533"/>
        <v/>
      </c>
      <c r="EZ127" s="30" t="str">
        <f t="shared" si="1534"/>
        <v/>
      </c>
      <c r="FA127" s="30" t="str">
        <f t="shared" si="1535"/>
        <v/>
      </c>
      <c r="FB127" s="30" t="str">
        <f t="shared" si="1536"/>
        <v/>
      </c>
      <c r="FC127" s="30" t="str">
        <f t="shared" si="1537"/>
        <v/>
      </c>
      <c r="FD127" s="30" t="str">
        <f t="shared" si="1538"/>
        <v/>
      </c>
      <c r="FE127" s="30" t="str">
        <f t="shared" si="1539"/>
        <v/>
      </c>
      <c r="FF127" s="30" t="str">
        <f t="shared" si="1540"/>
        <v/>
      </c>
      <c r="FG127" s="30" t="str">
        <f t="shared" si="1541"/>
        <v/>
      </c>
      <c r="FH127" s="30" t="str">
        <f t="shared" si="1542"/>
        <v/>
      </c>
      <c r="FI127" s="30" t="str">
        <f t="shared" si="1543"/>
        <v/>
      </c>
      <c r="FJ127" s="30" t="str">
        <f t="shared" si="1544"/>
        <v/>
      </c>
      <c r="FK127" s="30" t="str">
        <f t="shared" si="1545"/>
        <v/>
      </c>
      <c r="FL127" s="30" t="str">
        <f t="shared" si="1546"/>
        <v/>
      </c>
      <c r="FM127" s="30" t="str">
        <f t="shared" si="1547"/>
        <v/>
      </c>
      <c r="FN127" s="30" t="str">
        <f t="shared" si="1548"/>
        <v/>
      </c>
      <c r="FO127" s="30" t="str">
        <f t="shared" si="1549"/>
        <v/>
      </c>
      <c r="FP127" s="30" t="str">
        <f t="shared" si="1550"/>
        <v/>
      </c>
      <c r="FQ127" s="30" t="str">
        <f t="shared" si="1551"/>
        <v/>
      </c>
      <c r="FR127" s="30" t="str">
        <f t="shared" si="1552"/>
        <v/>
      </c>
      <c r="FS127" s="30" t="str">
        <f t="shared" si="1553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44"/>
        <v>ReplaceableTextures\\CommandButtons\\BTNIN01.blp</v>
      </c>
      <c r="CN128" s="7" t="str">
        <f t="shared" si="1478"/>
        <v>InitUnitState('IN01',,,,,,,,,,)</v>
      </c>
      <c r="CO128" s="7" t="str">
        <f t="shared" si="1479"/>
        <v>InitUnitNormal('IN01',,,,,,,,,,)</v>
      </c>
      <c r="CP128" s="7" t="str">
        <f t="shared" si="1480"/>
        <v>InitUnitMagic('IN01',,,,,,,,,,)</v>
      </c>
      <c r="CQ128" s="7" t="str">
        <f t="shared" si="1481"/>
        <v>InitUnitAdd('IN01',,,,,,,,,,)</v>
      </c>
      <c r="CR128" s="7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82"/>
        <v>|n</v>
      </c>
      <c r="CV128" s="29" t="str">
        <f t="shared" si="1483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84"/>
        <v/>
      </c>
      <c r="DC128" s="30" t="str">
        <f t="shared" si="1485"/>
        <v/>
      </c>
      <c r="DD128" s="30" t="str">
        <f t="shared" si="1486"/>
        <v/>
      </c>
      <c r="DE128" s="30" t="str">
        <f t="shared" si="1487"/>
        <v/>
      </c>
      <c r="DF128" s="30" t="str">
        <f t="shared" si="1488"/>
        <v/>
      </c>
      <c r="DG128" s="30" t="str">
        <f t="shared" si="1489"/>
        <v/>
      </c>
      <c r="DH128" s="30" t="str">
        <f t="shared" si="1490"/>
        <v/>
      </c>
      <c r="DI128" s="30" t="str">
        <f t="shared" si="1491"/>
        <v/>
      </c>
      <c r="DJ128" s="30" t="str">
        <f t="shared" si="1492"/>
        <v/>
      </c>
      <c r="DK128" s="30" t="str">
        <f t="shared" si="1493"/>
        <v/>
      </c>
      <c r="DL128" s="30" t="str">
        <f t="shared" si="1494"/>
        <v/>
      </c>
      <c r="DM128" s="30" t="str">
        <f t="shared" si="1495"/>
        <v/>
      </c>
      <c r="DN128" s="30" t="str">
        <f t="shared" si="1496"/>
        <v/>
      </c>
      <c r="DO128" s="30" t="str">
        <f t="shared" si="1497"/>
        <v/>
      </c>
      <c r="DP128" s="30" t="str">
        <f t="shared" si="1498"/>
        <v/>
      </c>
      <c r="DQ128" s="30" t="str">
        <f t="shared" si="1499"/>
        <v/>
      </c>
      <c r="DR128" s="30" t="str">
        <f t="shared" si="1500"/>
        <v/>
      </c>
      <c r="DS128" s="30" t="str">
        <f t="shared" si="1501"/>
        <v/>
      </c>
      <c r="DT128" s="30" t="str">
        <f t="shared" si="1502"/>
        <v/>
      </c>
      <c r="DU128" s="30" t="str">
        <f t="shared" si="1503"/>
        <v/>
      </c>
      <c r="DV128" s="30" t="str">
        <f t="shared" si="1504"/>
        <v/>
      </c>
      <c r="DW128" s="30" t="str">
        <f t="shared" si="1505"/>
        <v/>
      </c>
      <c r="DX128" s="30" t="str">
        <f t="shared" si="1506"/>
        <v/>
      </c>
      <c r="DY128" s="30" t="str">
        <f t="shared" si="1507"/>
        <v/>
      </c>
      <c r="DZ128" s="30" t="str">
        <f t="shared" si="1508"/>
        <v/>
      </c>
      <c r="EA128" s="30" t="str">
        <f t="shared" si="1509"/>
        <v/>
      </c>
      <c r="EB128" s="30" t="str">
        <f t="shared" si="1510"/>
        <v/>
      </c>
      <c r="EC128" s="30" t="str">
        <f t="shared" si="1511"/>
        <v/>
      </c>
      <c r="ED128" s="30" t="str">
        <f t="shared" si="1512"/>
        <v/>
      </c>
      <c r="EE128" s="30" t="str">
        <f t="shared" si="1513"/>
        <v/>
      </c>
      <c r="EF128" s="30" t="str">
        <f t="shared" si="1514"/>
        <v/>
      </c>
      <c r="EG128" s="30" t="str">
        <f t="shared" si="1515"/>
        <v/>
      </c>
      <c r="EH128" s="30" t="str">
        <f t="shared" si="1516"/>
        <v/>
      </c>
      <c r="EI128" s="30" t="str">
        <f t="shared" si="1517"/>
        <v/>
      </c>
      <c r="EJ128" s="30" t="str">
        <f t="shared" si="1518"/>
        <v/>
      </c>
      <c r="EK128" s="30" t="str">
        <f t="shared" si="1519"/>
        <v/>
      </c>
      <c r="EL128" s="30" t="str">
        <f t="shared" si="1520"/>
        <v/>
      </c>
      <c r="EM128" s="30" t="str">
        <f t="shared" si="1521"/>
        <v/>
      </c>
      <c r="EN128" s="30" t="str">
        <f t="shared" si="1522"/>
        <v/>
      </c>
      <c r="EO128" s="30" t="str">
        <f t="shared" si="1523"/>
        <v/>
      </c>
      <c r="EP128" s="30" t="str">
        <f t="shared" si="1524"/>
        <v/>
      </c>
      <c r="EQ128" s="30" t="str">
        <f t="shared" si="1525"/>
        <v/>
      </c>
      <c r="ER128" s="30" t="str">
        <f t="shared" si="1526"/>
        <v/>
      </c>
      <c r="ES128" s="30" t="str">
        <f t="shared" si="1527"/>
        <v/>
      </c>
      <c r="ET128" s="30" t="str">
        <f t="shared" si="1528"/>
        <v/>
      </c>
      <c r="EU128" s="30" t="str">
        <f t="shared" si="1529"/>
        <v/>
      </c>
      <c r="EV128" s="30" t="str">
        <f t="shared" si="1530"/>
        <v/>
      </c>
      <c r="EW128" s="30" t="str">
        <f t="shared" si="1531"/>
        <v/>
      </c>
      <c r="EX128" s="30" t="str">
        <f t="shared" si="1532"/>
        <v/>
      </c>
      <c r="EY128" s="30" t="str">
        <f t="shared" si="1533"/>
        <v/>
      </c>
      <c r="EZ128" s="30" t="str">
        <f t="shared" si="1534"/>
        <v/>
      </c>
      <c r="FA128" s="30" t="str">
        <f t="shared" si="1535"/>
        <v/>
      </c>
      <c r="FB128" s="30" t="str">
        <f t="shared" si="1536"/>
        <v/>
      </c>
      <c r="FC128" s="30" t="str">
        <f t="shared" si="1537"/>
        <v/>
      </c>
      <c r="FD128" s="30" t="str">
        <f t="shared" si="1538"/>
        <v/>
      </c>
      <c r="FE128" s="30" t="str">
        <f t="shared" si="1539"/>
        <v/>
      </c>
      <c r="FF128" s="30" t="str">
        <f t="shared" si="1540"/>
        <v/>
      </c>
      <c r="FG128" s="30" t="str">
        <f t="shared" si="1541"/>
        <v/>
      </c>
      <c r="FH128" s="30" t="str">
        <f t="shared" si="1542"/>
        <v/>
      </c>
      <c r="FI128" s="30" t="str">
        <f t="shared" si="1543"/>
        <v/>
      </c>
      <c r="FJ128" s="30" t="str">
        <f t="shared" si="1544"/>
        <v/>
      </c>
      <c r="FK128" s="30" t="str">
        <f t="shared" si="1545"/>
        <v/>
      </c>
      <c r="FL128" s="30" t="str">
        <f t="shared" si="1546"/>
        <v/>
      </c>
      <c r="FM128" s="30" t="str">
        <f t="shared" si="1547"/>
        <v/>
      </c>
      <c r="FN128" s="30" t="str">
        <f t="shared" si="1548"/>
        <v/>
      </c>
      <c r="FO128" s="30" t="str">
        <f t="shared" si="1549"/>
        <v/>
      </c>
      <c r="FP128" s="30" t="str">
        <f t="shared" si="1550"/>
        <v/>
      </c>
      <c r="FQ128" s="30" t="str">
        <f t="shared" si="1551"/>
        <v/>
      </c>
      <c r="FR128" s="30" t="str">
        <f t="shared" si="1552"/>
        <v/>
      </c>
      <c r="FS128" s="30" t="str">
        <f t="shared" si="1553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44"/>
        <v>ReplaceableTextures\\CommandButtons\\BTNIN02.blp</v>
      </c>
      <c r="CN129" s="7" t="str">
        <f t="shared" si="1478"/>
        <v>InitUnitState('IN02',,,,,,,,,,)</v>
      </c>
      <c r="CO129" s="7" t="str">
        <f t="shared" si="1479"/>
        <v>InitUnitNormal('IN02',,,,,,,,,,)</v>
      </c>
      <c r="CP129" s="7" t="str">
        <f t="shared" si="1480"/>
        <v>InitUnitMagic('IN02',,,,,,,,,,)</v>
      </c>
      <c r="CQ129" s="7" t="str">
        <f t="shared" si="1481"/>
        <v>InitUnitAdd('IN02',,,,,,,,,,)</v>
      </c>
      <c r="CR129" s="7" t="str">
        <f t="shared" si="1864"/>
        <v>InitEquipData('IN02',,"",,,,,'','','','','','',"ReplaceableTextures\\CommandButtons\\BTNIN17.blp")</v>
      </c>
      <c r="CU129" s="45" t="str">
        <f t="shared" si="1482"/>
        <v>|n</v>
      </c>
      <c r="CV129" s="29" t="str">
        <f t="shared" si="1483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84"/>
        <v/>
      </c>
      <c r="DC129" s="30" t="str">
        <f t="shared" si="1485"/>
        <v/>
      </c>
      <c r="DD129" s="30" t="str">
        <f t="shared" si="1486"/>
        <v/>
      </c>
      <c r="DE129" s="30" t="str">
        <f t="shared" si="1487"/>
        <v/>
      </c>
      <c r="DF129" s="30" t="str">
        <f t="shared" si="1488"/>
        <v/>
      </c>
      <c r="DG129" s="30" t="str">
        <f t="shared" si="1489"/>
        <v/>
      </c>
      <c r="DH129" s="30" t="str">
        <f t="shared" si="1490"/>
        <v/>
      </c>
      <c r="DI129" s="30" t="str">
        <f t="shared" si="1491"/>
        <v/>
      </c>
      <c r="DJ129" s="30" t="str">
        <f t="shared" si="1492"/>
        <v/>
      </c>
      <c r="DK129" s="30" t="str">
        <f t="shared" si="1493"/>
        <v/>
      </c>
      <c r="DL129" s="30" t="str">
        <f t="shared" si="1494"/>
        <v/>
      </c>
      <c r="DM129" s="30" t="str">
        <f t="shared" si="1495"/>
        <v/>
      </c>
      <c r="DN129" s="30" t="str">
        <f t="shared" si="1496"/>
        <v/>
      </c>
      <c r="DO129" s="30" t="str">
        <f t="shared" si="1497"/>
        <v/>
      </c>
      <c r="DP129" s="30" t="str">
        <f t="shared" si="1498"/>
        <v/>
      </c>
      <c r="DQ129" s="30" t="str">
        <f t="shared" si="1499"/>
        <v/>
      </c>
      <c r="DR129" s="30" t="str">
        <f t="shared" si="1500"/>
        <v/>
      </c>
      <c r="DS129" s="30" t="str">
        <f t="shared" si="1501"/>
        <v/>
      </c>
      <c r="DT129" s="30" t="str">
        <f t="shared" si="1502"/>
        <v/>
      </c>
      <c r="DU129" s="30" t="str">
        <f t="shared" si="1503"/>
        <v/>
      </c>
      <c r="DV129" s="30" t="str">
        <f t="shared" si="1504"/>
        <v/>
      </c>
      <c r="DW129" s="30" t="str">
        <f t="shared" si="1505"/>
        <v/>
      </c>
      <c r="DX129" s="30" t="str">
        <f t="shared" si="1506"/>
        <v/>
      </c>
      <c r="DY129" s="30" t="str">
        <f t="shared" si="1507"/>
        <v/>
      </c>
      <c r="DZ129" s="30" t="str">
        <f t="shared" si="1508"/>
        <v/>
      </c>
      <c r="EA129" s="30" t="str">
        <f t="shared" si="1509"/>
        <v/>
      </c>
      <c r="EB129" s="30" t="str">
        <f t="shared" si="1510"/>
        <v/>
      </c>
      <c r="EC129" s="30" t="str">
        <f t="shared" si="1511"/>
        <v/>
      </c>
      <c r="ED129" s="30" t="str">
        <f t="shared" si="1512"/>
        <v/>
      </c>
      <c r="EE129" s="30" t="str">
        <f t="shared" si="1513"/>
        <v/>
      </c>
      <c r="EF129" s="30" t="str">
        <f t="shared" si="1514"/>
        <v/>
      </c>
      <c r="EG129" s="30" t="str">
        <f t="shared" si="1515"/>
        <v/>
      </c>
      <c r="EH129" s="30" t="str">
        <f t="shared" si="1516"/>
        <v/>
      </c>
      <c r="EI129" s="30" t="str">
        <f t="shared" si="1517"/>
        <v/>
      </c>
      <c r="EJ129" s="30" t="str">
        <f t="shared" si="1518"/>
        <v/>
      </c>
      <c r="EK129" s="30" t="str">
        <f t="shared" si="1519"/>
        <v/>
      </c>
      <c r="EL129" s="30" t="str">
        <f t="shared" si="1520"/>
        <v/>
      </c>
      <c r="EM129" s="30" t="str">
        <f t="shared" si="1521"/>
        <v/>
      </c>
      <c r="EN129" s="30" t="str">
        <f t="shared" si="1522"/>
        <v/>
      </c>
      <c r="EO129" s="30" t="str">
        <f t="shared" si="1523"/>
        <v/>
      </c>
      <c r="EP129" s="30" t="str">
        <f t="shared" si="1524"/>
        <v/>
      </c>
      <c r="EQ129" s="30" t="str">
        <f t="shared" si="1525"/>
        <v/>
      </c>
      <c r="ER129" s="30" t="str">
        <f t="shared" si="1526"/>
        <v/>
      </c>
      <c r="ES129" s="30" t="str">
        <f t="shared" si="1527"/>
        <v/>
      </c>
      <c r="ET129" s="30" t="str">
        <f t="shared" si="1528"/>
        <v/>
      </c>
      <c r="EU129" s="30" t="str">
        <f t="shared" si="1529"/>
        <v/>
      </c>
      <c r="EV129" s="30" t="str">
        <f t="shared" si="1530"/>
        <v/>
      </c>
      <c r="EW129" s="30" t="str">
        <f t="shared" si="1531"/>
        <v/>
      </c>
      <c r="EX129" s="30" t="str">
        <f t="shared" si="1532"/>
        <v/>
      </c>
      <c r="EY129" s="30" t="str">
        <f t="shared" si="1533"/>
        <v/>
      </c>
      <c r="EZ129" s="30" t="str">
        <f t="shared" si="1534"/>
        <v/>
      </c>
      <c r="FA129" s="30" t="str">
        <f t="shared" si="1535"/>
        <v/>
      </c>
      <c r="FB129" s="30" t="str">
        <f t="shared" si="1536"/>
        <v/>
      </c>
      <c r="FC129" s="30" t="str">
        <f t="shared" si="1537"/>
        <v/>
      </c>
      <c r="FD129" s="30" t="str">
        <f t="shared" si="1538"/>
        <v/>
      </c>
      <c r="FE129" s="30" t="str">
        <f t="shared" si="1539"/>
        <v/>
      </c>
      <c r="FF129" s="30" t="str">
        <f t="shared" si="1540"/>
        <v/>
      </c>
      <c r="FG129" s="30" t="str">
        <f t="shared" si="1541"/>
        <v/>
      </c>
      <c r="FH129" s="30" t="str">
        <f t="shared" si="1542"/>
        <v/>
      </c>
      <c r="FI129" s="30" t="str">
        <f t="shared" si="1543"/>
        <v/>
      </c>
      <c r="FJ129" s="30" t="str">
        <f t="shared" si="1544"/>
        <v/>
      </c>
      <c r="FK129" s="30" t="str">
        <f t="shared" si="1545"/>
        <v/>
      </c>
      <c r="FL129" s="30" t="str">
        <f t="shared" si="1546"/>
        <v/>
      </c>
      <c r="FM129" s="30" t="str">
        <f t="shared" si="1547"/>
        <v/>
      </c>
      <c r="FN129" s="30" t="str">
        <f t="shared" si="1548"/>
        <v/>
      </c>
      <c r="FO129" s="30" t="str">
        <f t="shared" si="1549"/>
        <v/>
      </c>
      <c r="FP129" s="30" t="str">
        <f t="shared" si="1550"/>
        <v/>
      </c>
      <c r="FQ129" s="30" t="str">
        <f t="shared" si="1551"/>
        <v/>
      </c>
      <c r="FR129" s="30" t="str">
        <f t="shared" si="1552"/>
        <v/>
      </c>
      <c r="FS129" s="30" t="str">
        <f t="shared" si="1553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44"/>
        <v>ReplaceableTextures\\CommandButtons\\BTNIN03.blp</v>
      </c>
      <c r="CN130" s="7" t="str">
        <f t="shared" si="1478"/>
        <v>InitUnitState('IN03',,,,,,,,,,)</v>
      </c>
      <c r="CO130" s="7" t="str">
        <f t="shared" si="1479"/>
        <v>InitUnitNormal('IN03',,,,,,,,,,)</v>
      </c>
      <c r="CP130" s="7" t="str">
        <f t="shared" si="1480"/>
        <v>InitUnitMagic('IN03',,,,,,,,,,)</v>
      </c>
      <c r="CQ130" s="7" t="str">
        <f t="shared" si="1481"/>
        <v>InitUnitAdd('IN03',,,,,,,,,,)</v>
      </c>
      <c r="CR130" s="7" t="str">
        <f t="shared" si="1864"/>
        <v>InitEquipData('IN03',,"",,,,,'','','','','','',"ReplaceableTextures\\CommandButtons\\BTNIN18.blp")</v>
      </c>
      <c r="CU130" s="45" t="str">
        <f t="shared" si="1482"/>
        <v>|n</v>
      </c>
      <c r="CV130" s="29" t="str">
        <f t="shared" si="1483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84"/>
        <v/>
      </c>
      <c r="DC130" s="30" t="str">
        <f t="shared" si="1485"/>
        <v/>
      </c>
      <c r="DD130" s="30" t="str">
        <f t="shared" si="1486"/>
        <v/>
      </c>
      <c r="DE130" s="30" t="str">
        <f t="shared" si="1487"/>
        <v/>
      </c>
      <c r="DF130" s="30" t="str">
        <f t="shared" si="1488"/>
        <v/>
      </c>
      <c r="DG130" s="30" t="str">
        <f t="shared" si="1489"/>
        <v/>
      </c>
      <c r="DH130" s="30" t="str">
        <f t="shared" si="1490"/>
        <v/>
      </c>
      <c r="DI130" s="30" t="str">
        <f t="shared" si="1491"/>
        <v/>
      </c>
      <c r="DJ130" s="30" t="str">
        <f t="shared" si="1492"/>
        <v/>
      </c>
      <c r="DK130" s="30" t="str">
        <f t="shared" si="1493"/>
        <v/>
      </c>
      <c r="DL130" s="30" t="str">
        <f t="shared" si="1494"/>
        <v/>
      </c>
      <c r="DM130" s="30" t="str">
        <f t="shared" si="1495"/>
        <v/>
      </c>
      <c r="DN130" s="30" t="str">
        <f t="shared" si="1496"/>
        <v/>
      </c>
      <c r="DO130" s="30" t="str">
        <f t="shared" si="1497"/>
        <v/>
      </c>
      <c r="DP130" s="30" t="str">
        <f t="shared" si="1498"/>
        <v/>
      </c>
      <c r="DQ130" s="30" t="str">
        <f t="shared" si="1499"/>
        <v/>
      </c>
      <c r="DR130" s="30" t="str">
        <f t="shared" si="1500"/>
        <v/>
      </c>
      <c r="DS130" s="30" t="str">
        <f t="shared" si="1501"/>
        <v/>
      </c>
      <c r="DT130" s="30" t="str">
        <f t="shared" si="1502"/>
        <v/>
      </c>
      <c r="DU130" s="30" t="str">
        <f t="shared" si="1503"/>
        <v/>
      </c>
      <c r="DV130" s="30" t="str">
        <f t="shared" si="1504"/>
        <v/>
      </c>
      <c r="DW130" s="30" t="str">
        <f t="shared" si="1505"/>
        <v/>
      </c>
      <c r="DX130" s="30" t="str">
        <f t="shared" si="1506"/>
        <v/>
      </c>
      <c r="DY130" s="30" t="str">
        <f t="shared" si="1507"/>
        <v/>
      </c>
      <c r="DZ130" s="30" t="str">
        <f t="shared" si="1508"/>
        <v/>
      </c>
      <c r="EA130" s="30" t="str">
        <f t="shared" si="1509"/>
        <v/>
      </c>
      <c r="EB130" s="30" t="str">
        <f t="shared" si="1510"/>
        <v/>
      </c>
      <c r="EC130" s="30" t="str">
        <f t="shared" si="1511"/>
        <v/>
      </c>
      <c r="ED130" s="30" t="str">
        <f t="shared" si="1512"/>
        <v/>
      </c>
      <c r="EE130" s="30" t="str">
        <f t="shared" si="1513"/>
        <v/>
      </c>
      <c r="EF130" s="30" t="str">
        <f t="shared" si="1514"/>
        <v/>
      </c>
      <c r="EG130" s="30" t="str">
        <f t="shared" si="1515"/>
        <v/>
      </c>
      <c r="EH130" s="30" t="str">
        <f t="shared" si="1516"/>
        <v/>
      </c>
      <c r="EI130" s="30" t="str">
        <f t="shared" si="1517"/>
        <v/>
      </c>
      <c r="EJ130" s="30" t="str">
        <f t="shared" si="1518"/>
        <v/>
      </c>
      <c r="EK130" s="30" t="str">
        <f t="shared" si="1519"/>
        <v/>
      </c>
      <c r="EL130" s="30" t="str">
        <f t="shared" si="1520"/>
        <v/>
      </c>
      <c r="EM130" s="30" t="str">
        <f t="shared" si="1521"/>
        <v/>
      </c>
      <c r="EN130" s="30" t="str">
        <f t="shared" si="1522"/>
        <v/>
      </c>
      <c r="EO130" s="30" t="str">
        <f t="shared" si="1523"/>
        <v/>
      </c>
      <c r="EP130" s="30" t="str">
        <f t="shared" si="1524"/>
        <v/>
      </c>
      <c r="EQ130" s="30" t="str">
        <f t="shared" si="1525"/>
        <v/>
      </c>
      <c r="ER130" s="30" t="str">
        <f t="shared" si="1526"/>
        <v/>
      </c>
      <c r="ES130" s="30" t="str">
        <f t="shared" si="1527"/>
        <v/>
      </c>
      <c r="ET130" s="30" t="str">
        <f t="shared" si="1528"/>
        <v/>
      </c>
      <c r="EU130" s="30" t="str">
        <f t="shared" si="1529"/>
        <v/>
      </c>
      <c r="EV130" s="30" t="str">
        <f t="shared" si="1530"/>
        <v/>
      </c>
      <c r="EW130" s="30" t="str">
        <f t="shared" si="1531"/>
        <v/>
      </c>
      <c r="EX130" s="30" t="str">
        <f t="shared" si="1532"/>
        <v/>
      </c>
      <c r="EY130" s="30" t="str">
        <f t="shared" si="1533"/>
        <v/>
      </c>
      <c r="EZ130" s="30" t="str">
        <f t="shared" si="1534"/>
        <v/>
      </c>
      <c r="FA130" s="30" t="str">
        <f t="shared" si="1535"/>
        <v/>
      </c>
      <c r="FB130" s="30" t="str">
        <f t="shared" si="1536"/>
        <v/>
      </c>
      <c r="FC130" s="30" t="str">
        <f t="shared" si="1537"/>
        <v/>
      </c>
      <c r="FD130" s="30" t="str">
        <f t="shared" si="1538"/>
        <v/>
      </c>
      <c r="FE130" s="30" t="str">
        <f t="shared" si="1539"/>
        <v/>
      </c>
      <c r="FF130" s="30" t="str">
        <f t="shared" si="1540"/>
        <v/>
      </c>
      <c r="FG130" s="30" t="str">
        <f t="shared" si="1541"/>
        <v/>
      </c>
      <c r="FH130" s="30" t="str">
        <f t="shared" si="1542"/>
        <v/>
      </c>
      <c r="FI130" s="30" t="str">
        <f t="shared" si="1543"/>
        <v/>
      </c>
      <c r="FJ130" s="30" t="str">
        <f t="shared" si="1544"/>
        <v/>
      </c>
      <c r="FK130" s="30" t="str">
        <f t="shared" si="1545"/>
        <v/>
      </c>
      <c r="FL130" s="30" t="str">
        <f t="shared" si="1546"/>
        <v/>
      </c>
      <c r="FM130" s="30" t="str">
        <f t="shared" si="1547"/>
        <v/>
      </c>
      <c r="FN130" s="30" t="str">
        <f t="shared" si="1548"/>
        <v/>
      </c>
      <c r="FO130" s="30" t="str">
        <f t="shared" si="1549"/>
        <v/>
      </c>
      <c r="FP130" s="30" t="str">
        <f t="shared" si="1550"/>
        <v/>
      </c>
      <c r="FQ130" s="30" t="str">
        <f t="shared" si="1551"/>
        <v/>
      </c>
      <c r="FR130" s="30" t="str">
        <f t="shared" si="1552"/>
        <v/>
      </c>
      <c r="FS130" s="30" t="str">
        <f t="shared" si="1553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44"/>
        <v>ReplaceableTextures\\CommandButtons\\BTNIN04.blp</v>
      </c>
      <c r="CN131" s="7" t="str">
        <f t="shared" si="1478"/>
        <v>InitUnitState('IN04',,,,,,,,,,)</v>
      </c>
      <c r="CO131" s="7" t="str">
        <f t="shared" si="1479"/>
        <v>InitUnitNormal('IN04',,,,,,,,,,)</v>
      </c>
      <c r="CP131" s="7" t="str">
        <f t="shared" si="1480"/>
        <v>InitUnitMagic('IN04',,,,,,,,,,)</v>
      </c>
      <c r="CQ131" s="7" t="str">
        <f t="shared" si="1481"/>
        <v>InitUnitAdd('IN04',,,,,,,,,,)</v>
      </c>
      <c r="CR131" s="7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45" t="str">
        <f t="shared" si="1482"/>
        <v>|n</v>
      </c>
      <c r="CV131" s="29" t="str">
        <f t="shared" si="1483"/>
        <v>秒杀雷神化身</v>
      </c>
      <c r="CW131" s="24"/>
      <c r="CX131" s="24"/>
      <c r="CY131" s="24"/>
      <c r="CZ131" s="24"/>
      <c r="DA131" s="24"/>
      <c r="DB131" s="30" t="str">
        <f t="shared" si="1484"/>
        <v/>
      </c>
      <c r="DC131" s="30" t="str">
        <f t="shared" si="1485"/>
        <v/>
      </c>
      <c r="DD131" s="30" t="str">
        <f t="shared" si="1486"/>
        <v/>
      </c>
      <c r="DE131" s="30" t="str">
        <f t="shared" si="1487"/>
        <v/>
      </c>
      <c r="DF131" s="30" t="str">
        <f t="shared" si="1488"/>
        <v/>
      </c>
      <c r="DG131" s="30" t="str">
        <f t="shared" si="1489"/>
        <v/>
      </c>
      <c r="DH131" s="30" t="str">
        <f t="shared" si="1490"/>
        <v/>
      </c>
      <c r="DI131" s="30" t="str">
        <f t="shared" si="1491"/>
        <v/>
      </c>
      <c r="DJ131" s="30" t="str">
        <f t="shared" si="1492"/>
        <v/>
      </c>
      <c r="DK131" s="30" t="str">
        <f t="shared" si="1493"/>
        <v/>
      </c>
      <c r="DL131" s="30" t="str">
        <f t="shared" si="1494"/>
        <v/>
      </c>
      <c r="DM131" s="30" t="str">
        <f t="shared" si="1495"/>
        <v/>
      </c>
      <c r="DN131" s="30" t="str">
        <f t="shared" si="1496"/>
        <v/>
      </c>
      <c r="DO131" s="30" t="str">
        <f t="shared" si="1497"/>
        <v/>
      </c>
      <c r="DP131" s="30" t="str">
        <f t="shared" si="1498"/>
        <v/>
      </c>
      <c r="DQ131" s="30" t="str">
        <f t="shared" si="1499"/>
        <v/>
      </c>
      <c r="DR131" s="30" t="str">
        <f t="shared" si="1500"/>
        <v/>
      </c>
      <c r="DS131" s="30" t="str">
        <f t="shared" si="1501"/>
        <v/>
      </c>
      <c r="DT131" s="30" t="str">
        <f t="shared" si="1502"/>
        <v/>
      </c>
      <c r="DU131" s="30" t="str">
        <f t="shared" si="1503"/>
        <v/>
      </c>
      <c r="DV131" s="30" t="str">
        <f t="shared" si="1504"/>
        <v/>
      </c>
      <c r="DW131" s="30" t="str">
        <f t="shared" si="1505"/>
        <v/>
      </c>
      <c r="DX131" s="30" t="str">
        <f t="shared" si="1506"/>
        <v/>
      </c>
      <c r="DY131" s="30" t="str">
        <f t="shared" si="1507"/>
        <v/>
      </c>
      <c r="DZ131" s="30" t="str">
        <f t="shared" si="1508"/>
        <v/>
      </c>
      <c r="EA131" s="30" t="str">
        <f t="shared" si="1509"/>
        <v/>
      </c>
      <c r="EB131" s="30" t="str">
        <f t="shared" si="1510"/>
        <v/>
      </c>
      <c r="EC131" s="30" t="str">
        <f t="shared" si="1511"/>
        <v/>
      </c>
      <c r="ED131" s="30" t="str">
        <f t="shared" si="1512"/>
        <v/>
      </c>
      <c r="EE131" s="30" t="str">
        <f t="shared" si="1513"/>
        <v/>
      </c>
      <c r="EF131" s="30" t="str">
        <f t="shared" si="1514"/>
        <v/>
      </c>
      <c r="EG131" s="30" t="str">
        <f t="shared" si="1515"/>
        <v/>
      </c>
      <c r="EH131" s="30" t="str">
        <f t="shared" si="1516"/>
        <v/>
      </c>
      <c r="EI131" s="30" t="str">
        <f t="shared" si="1517"/>
        <v/>
      </c>
      <c r="EJ131" s="30" t="str">
        <f t="shared" si="1518"/>
        <v/>
      </c>
      <c r="EK131" s="30" t="str">
        <f t="shared" si="1519"/>
        <v/>
      </c>
      <c r="EL131" s="30" t="str">
        <f t="shared" si="1520"/>
        <v/>
      </c>
      <c r="EM131" s="30" t="str">
        <f t="shared" si="1521"/>
        <v/>
      </c>
      <c r="EN131" s="30" t="str">
        <f t="shared" si="1522"/>
        <v/>
      </c>
      <c r="EO131" s="30" t="str">
        <f t="shared" si="1523"/>
        <v/>
      </c>
      <c r="EP131" s="30" t="str">
        <f t="shared" si="1524"/>
        <v/>
      </c>
      <c r="EQ131" s="30" t="str">
        <f t="shared" si="1525"/>
        <v/>
      </c>
      <c r="ER131" s="30" t="str">
        <f t="shared" si="1526"/>
        <v/>
      </c>
      <c r="ES131" s="30" t="str">
        <f t="shared" si="1527"/>
        <v/>
      </c>
      <c r="ET131" s="30" t="str">
        <f t="shared" si="1528"/>
        <v/>
      </c>
      <c r="EU131" s="30" t="str">
        <f t="shared" si="1529"/>
        <v/>
      </c>
      <c r="EV131" s="30" t="str">
        <f t="shared" si="1530"/>
        <v/>
      </c>
      <c r="EW131" s="30" t="str">
        <f t="shared" si="1531"/>
        <v/>
      </c>
      <c r="EX131" s="30" t="str">
        <f t="shared" si="1532"/>
        <v/>
      </c>
      <c r="EY131" s="30" t="str">
        <f t="shared" si="1533"/>
        <v/>
      </c>
      <c r="EZ131" s="30" t="str">
        <f t="shared" si="1534"/>
        <v/>
      </c>
      <c r="FA131" s="30" t="str">
        <f t="shared" si="1535"/>
        <v/>
      </c>
      <c r="FB131" s="30" t="str">
        <f t="shared" si="1536"/>
        <v/>
      </c>
      <c r="FC131" s="30" t="str">
        <f t="shared" si="1537"/>
        <v/>
      </c>
      <c r="FD131" s="30" t="str">
        <f t="shared" si="1538"/>
        <v/>
      </c>
      <c r="FE131" s="30" t="str">
        <f t="shared" si="1539"/>
        <v/>
      </c>
      <c r="FF131" s="30" t="str">
        <f t="shared" si="1540"/>
        <v/>
      </c>
      <c r="FG131" s="30" t="str">
        <f t="shared" si="1541"/>
        <v/>
      </c>
      <c r="FH131" s="30" t="str">
        <f t="shared" si="1542"/>
        <v/>
      </c>
      <c r="FI131" s="30" t="str">
        <f t="shared" si="1543"/>
        <v/>
      </c>
      <c r="FJ131" s="30" t="str">
        <f t="shared" si="1544"/>
        <v/>
      </c>
      <c r="FK131" s="30" t="str">
        <f t="shared" si="1545"/>
        <v/>
      </c>
      <c r="FL131" s="30" t="str">
        <f t="shared" si="1546"/>
        <v/>
      </c>
      <c r="FM131" s="30" t="str">
        <f t="shared" si="1547"/>
        <v/>
      </c>
      <c r="FN131" s="30" t="str">
        <f t="shared" si="1548"/>
        <v/>
      </c>
      <c r="FO131" s="30" t="str">
        <f t="shared" si="1549"/>
        <v/>
      </c>
      <c r="FP131" s="30" t="str">
        <f t="shared" si="1550"/>
        <v/>
      </c>
      <c r="FQ131" s="30" t="str">
        <f t="shared" si="1551"/>
        <v/>
      </c>
      <c r="FR131" s="30" t="str">
        <f t="shared" si="1552"/>
        <v/>
      </c>
      <c r="FS131" s="30" t="str">
        <f t="shared" si="1553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44"/>
        <v>ReplaceableTextures\\CommandButtons\\BTNIN05.blp</v>
      </c>
      <c r="CN132" s="7" t="str">
        <f t="shared" si="1478"/>
        <v>InitUnitState('IN05',,,,,,,,,,)</v>
      </c>
      <c r="CO132" s="7" t="str">
        <f t="shared" si="1479"/>
        <v>InitUnitNormal('IN05',,,,,,,,,,)</v>
      </c>
      <c r="CP132" s="7" t="str">
        <f t="shared" si="1480"/>
        <v>InitUnitMagic('IN05',,,,,,,,,,)</v>
      </c>
      <c r="CQ132" s="7" t="str">
        <f t="shared" si="1481"/>
        <v>InitUnitAdd('IN05',,,,,,,,,,)</v>
      </c>
      <c r="CR132" s="7" t="str">
        <f t="shared" si="1865"/>
        <v>InitEquipData('IN05',,"",,,,,'','','','','','',"ReplaceableTextures\\CommandButtons\\BTNIP02.blp")</v>
      </c>
      <c r="CU132" s="45" t="str">
        <f t="shared" si="1482"/>
        <v>|n</v>
      </c>
      <c r="CV132" s="29" t="str">
        <f t="shared" si="1483"/>
        <v>秒杀灾厄</v>
      </c>
      <c r="CW132" s="24"/>
      <c r="CX132" s="24"/>
      <c r="CY132" s="24"/>
      <c r="CZ132" s="24"/>
      <c r="DA132" s="24"/>
      <c r="DB132" s="30" t="str">
        <f t="shared" si="1484"/>
        <v/>
      </c>
      <c r="DC132" s="30" t="str">
        <f t="shared" si="1485"/>
        <v/>
      </c>
      <c r="DD132" s="30" t="str">
        <f t="shared" si="1486"/>
        <v/>
      </c>
      <c r="DE132" s="30" t="str">
        <f t="shared" si="1487"/>
        <v/>
      </c>
      <c r="DF132" s="30" t="str">
        <f t="shared" si="1488"/>
        <v/>
      </c>
      <c r="DG132" s="30" t="str">
        <f t="shared" si="1489"/>
        <v/>
      </c>
      <c r="DH132" s="30" t="str">
        <f t="shared" si="1490"/>
        <v/>
      </c>
      <c r="DI132" s="30" t="str">
        <f t="shared" si="1491"/>
        <v/>
      </c>
      <c r="DJ132" s="30" t="str">
        <f t="shared" si="1492"/>
        <v/>
      </c>
      <c r="DK132" s="30" t="str">
        <f t="shared" si="1493"/>
        <v/>
      </c>
      <c r="DL132" s="30" t="str">
        <f t="shared" si="1494"/>
        <v/>
      </c>
      <c r="DM132" s="30" t="str">
        <f t="shared" si="1495"/>
        <v/>
      </c>
      <c r="DN132" s="30" t="str">
        <f t="shared" si="1496"/>
        <v/>
      </c>
      <c r="DO132" s="30" t="str">
        <f t="shared" si="1497"/>
        <v/>
      </c>
      <c r="DP132" s="30" t="str">
        <f t="shared" si="1498"/>
        <v/>
      </c>
      <c r="DQ132" s="30" t="str">
        <f t="shared" si="1499"/>
        <v/>
      </c>
      <c r="DR132" s="30" t="str">
        <f t="shared" si="1500"/>
        <v/>
      </c>
      <c r="DS132" s="30" t="str">
        <f t="shared" si="1501"/>
        <v/>
      </c>
      <c r="DT132" s="30" t="str">
        <f t="shared" si="1502"/>
        <v/>
      </c>
      <c r="DU132" s="30" t="str">
        <f t="shared" si="1503"/>
        <v/>
      </c>
      <c r="DV132" s="30" t="str">
        <f t="shared" si="1504"/>
        <v/>
      </c>
      <c r="DW132" s="30" t="str">
        <f t="shared" si="1505"/>
        <v/>
      </c>
      <c r="DX132" s="30" t="str">
        <f t="shared" si="1506"/>
        <v/>
      </c>
      <c r="DY132" s="30" t="str">
        <f t="shared" si="1507"/>
        <v/>
      </c>
      <c r="DZ132" s="30" t="str">
        <f t="shared" si="1508"/>
        <v/>
      </c>
      <c r="EA132" s="30" t="str">
        <f t="shared" si="1509"/>
        <v/>
      </c>
      <c r="EB132" s="30" t="str">
        <f t="shared" si="1510"/>
        <v/>
      </c>
      <c r="EC132" s="30" t="str">
        <f t="shared" si="1511"/>
        <v/>
      </c>
      <c r="ED132" s="30" t="str">
        <f t="shared" si="1512"/>
        <v/>
      </c>
      <c r="EE132" s="30" t="str">
        <f t="shared" si="1513"/>
        <v/>
      </c>
      <c r="EF132" s="30" t="str">
        <f t="shared" si="1514"/>
        <v/>
      </c>
      <c r="EG132" s="30" t="str">
        <f t="shared" si="1515"/>
        <v/>
      </c>
      <c r="EH132" s="30" t="str">
        <f t="shared" si="1516"/>
        <v/>
      </c>
      <c r="EI132" s="30" t="str">
        <f t="shared" si="1517"/>
        <v/>
      </c>
      <c r="EJ132" s="30" t="str">
        <f t="shared" si="1518"/>
        <v/>
      </c>
      <c r="EK132" s="30" t="str">
        <f t="shared" si="1519"/>
        <v/>
      </c>
      <c r="EL132" s="30" t="str">
        <f t="shared" si="1520"/>
        <v/>
      </c>
      <c r="EM132" s="30" t="str">
        <f t="shared" si="1521"/>
        <v/>
      </c>
      <c r="EN132" s="30" t="str">
        <f t="shared" si="1522"/>
        <v/>
      </c>
      <c r="EO132" s="30" t="str">
        <f t="shared" si="1523"/>
        <v/>
      </c>
      <c r="EP132" s="30" t="str">
        <f t="shared" si="1524"/>
        <v/>
      </c>
      <c r="EQ132" s="30" t="str">
        <f t="shared" si="1525"/>
        <v/>
      </c>
      <c r="ER132" s="30" t="str">
        <f t="shared" si="1526"/>
        <v/>
      </c>
      <c r="ES132" s="30" t="str">
        <f t="shared" si="1527"/>
        <v/>
      </c>
      <c r="ET132" s="30" t="str">
        <f t="shared" si="1528"/>
        <v/>
      </c>
      <c r="EU132" s="30" t="str">
        <f t="shared" si="1529"/>
        <v/>
      </c>
      <c r="EV132" s="30" t="str">
        <f t="shared" si="1530"/>
        <v/>
      </c>
      <c r="EW132" s="30" t="str">
        <f t="shared" si="1531"/>
        <v/>
      </c>
      <c r="EX132" s="30" t="str">
        <f t="shared" si="1532"/>
        <v/>
      </c>
      <c r="EY132" s="30" t="str">
        <f t="shared" si="1533"/>
        <v/>
      </c>
      <c r="EZ132" s="30" t="str">
        <f t="shared" si="1534"/>
        <v/>
      </c>
      <c r="FA132" s="30" t="str">
        <f t="shared" si="1535"/>
        <v/>
      </c>
      <c r="FB132" s="30" t="str">
        <f t="shared" si="1536"/>
        <v/>
      </c>
      <c r="FC132" s="30" t="str">
        <f t="shared" si="1537"/>
        <v/>
      </c>
      <c r="FD132" s="30" t="str">
        <f t="shared" si="1538"/>
        <v/>
      </c>
      <c r="FE132" s="30" t="str">
        <f t="shared" si="1539"/>
        <v/>
      </c>
      <c r="FF132" s="30" t="str">
        <f t="shared" si="1540"/>
        <v/>
      </c>
      <c r="FG132" s="30" t="str">
        <f t="shared" si="1541"/>
        <v/>
      </c>
      <c r="FH132" s="30" t="str">
        <f t="shared" si="1542"/>
        <v/>
      </c>
      <c r="FI132" s="30" t="str">
        <f t="shared" si="1543"/>
        <v/>
      </c>
      <c r="FJ132" s="30" t="str">
        <f t="shared" si="1544"/>
        <v/>
      </c>
      <c r="FK132" s="30" t="str">
        <f t="shared" si="1545"/>
        <v/>
      </c>
      <c r="FL132" s="30" t="str">
        <f t="shared" si="1546"/>
        <v/>
      </c>
      <c r="FM132" s="30" t="str">
        <f t="shared" si="1547"/>
        <v/>
      </c>
      <c r="FN132" s="30" t="str">
        <f t="shared" si="1548"/>
        <v/>
      </c>
      <c r="FO132" s="30" t="str">
        <f t="shared" si="1549"/>
        <v/>
      </c>
      <c r="FP132" s="30" t="str">
        <f t="shared" si="1550"/>
        <v/>
      </c>
      <c r="FQ132" s="30" t="str">
        <f t="shared" si="1551"/>
        <v/>
      </c>
      <c r="FR132" s="30" t="str">
        <f t="shared" si="1552"/>
        <v/>
      </c>
      <c r="FS132" s="30" t="str">
        <f t="shared" si="1553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44"/>
        <v>ReplaceableTextures\\CommandButtons\\BTNIN06.blp</v>
      </c>
      <c r="CN133" s="7" t="str">
        <f t="shared" si="1478"/>
        <v>InitUnitState('IN06',,,,,,,,,,)</v>
      </c>
      <c r="CO133" s="7" t="str">
        <f t="shared" si="1479"/>
        <v>InitUnitNormal('IN06',,,,,,,,,,)</v>
      </c>
      <c r="CP133" s="7" t="str">
        <f t="shared" si="1480"/>
        <v>InitUnitMagic('IN06',,,,,,,,,,)</v>
      </c>
      <c r="CQ133" s="7" t="str">
        <f t="shared" si="1481"/>
        <v>InitUnitAdd('IN06',,,,,,,,,,)</v>
      </c>
      <c r="CR133" s="7" t="str">
        <f t="shared" si="1865"/>
        <v>InitEquipData('IN06',,"",,,,,'','','','','','',"ReplaceableTextures\\CommandButtons\\BTNIP03.blp")</v>
      </c>
      <c r="CU133" s="45" t="str">
        <f t="shared" si="1482"/>
        <v>|n</v>
      </c>
      <c r="CV133" s="29" t="str">
        <f t="shared" si="1483"/>
        <v>秒杀芥子魔</v>
      </c>
      <c r="CW133" s="24"/>
      <c r="CX133" s="24"/>
      <c r="CY133" s="24"/>
      <c r="CZ133" s="24"/>
      <c r="DA133" s="24"/>
      <c r="DB133" s="30" t="str">
        <f t="shared" si="1484"/>
        <v/>
      </c>
      <c r="DC133" s="30" t="str">
        <f t="shared" si="1485"/>
        <v/>
      </c>
      <c r="DD133" s="30" t="str">
        <f t="shared" si="1486"/>
        <v/>
      </c>
      <c r="DE133" s="30" t="str">
        <f t="shared" si="1487"/>
        <v/>
      </c>
      <c r="DF133" s="30" t="str">
        <f t="shared" si="1488"/>
        <v/>
      </c>
      <c r="DG133" s="30" t="str">
        <f t="shared" si="1489"/>
        <v/>
      </c>
      <c r="DH133" s="30" t="str">
        <f t="shared" si="1490"/>
        <v/>
      </c>
      <c r="DI133" s="30" t="str">
        <f t="shared" si="1491"/>
        <v/>
      </c>
      <c r="DJ133" s="30" t="str">
        <f t="shared" si="1492"/>
        <v/>
      </c>
      <c r="DK133" s="30" t="str">
        <f t="shared" si="1493"/>
        <v/>
      </c>
      <c r="DL133" s="30" t="str">
        <f t="shared" si="1494"/>
        <v/>
      </c>
      <c r="DM133" s="30" t="str">
        <f t="shared" si="1495"/>
        <v/>
      </c>
      <c r="DN133" s="30" t="str">
        <f t="shared" si="1496"/>
        <v/>
      </c>
      <c r="DO133" s="30" t="str">
        <f t="shared" si="1497"/>
        <v/>
      </c>
      <c r="DP133" s="30" t="str">
        <f t="shared" si="1498"/>
        <v/>
      </c>
      <c r="DQ133" s="30" t="str">
        <f t="shared" si="1499"/>
        <v/>
      </c>
      <c r="DR133" s="30" t="str">
        <f t="shared" si="1500"/>
        <v/>
      </c>
      <c r="DS133" s="30" t="str">
        <f t="shared" si="1501"/>
        <v/>
      </c>
      <c r="DT133" s="30" t="str">
        <f t="shared" si="1502"/>
        <v/>
      </c>
      <c r="DU133" s="30" t="str">
        <f t="shared" si="1503"/>
        <v/>
      </c>
      <c r="DV133" s="30" t="str">
        <f t="shared" si="1504"/>
        <v/>
      </c>
      <c r="DW133" s="30" t="str">
        <f t="shared" si="1505"/>
        <v/>
      </c>
      <c r="DX133" s="30" t="str">
        <f t="shared" si="1506"/>
        <v/>
      </c>
      <c r="DY133" s="30" t="str">
        <f t="shared" si="1507"/>
        <v/>
      </c>
      <c r="DZ133" s="30" t="str">
        <f t="shared" si="1508"/>
        <v/>
      </c>
      <c r="EA133" s="30" t="str">
        <f t="shared" si="1509"/>
        <v/>
      </c>
      <c r="EB133" s="30" t="str">
        <f t="shared" si="1510"/>
        <v/>
      </c>
      <c r="EC133" s="30" t="str">
        <f t="shared" si="1511"/>
        <v/>
      </c>
      <c r="ED133" s="30" t="str">
        <f t="shared" si="1512"/>
        <v/>
      </c>
      <c r="EE133" s="30" t="str">
        <f t="shared" si="1513"/>
        <v/>
      </c>
      <c r="EF133" s="30" t="str">
        <f t="shared" si="1514"/>
        <v/>
      </c>
      <c r="EG133" s="30" t="str">
        <f t="shared" si="1515"/>
        <v/>
      </c>
      <c r="EH133" s="30" t="str">
        <f t="shared" si="1516"/>
        <v/>
      </c>
      <c r="EI133" s="30" t="str">
        <f t="shared" si="1517"/>
        <v/>
      </c>
      <c r="EJ133" s="30" t="str">
        <f t="shared" si="1518"/>
        <v/>
      </c>
      <c r="EK133" s="30" t="str">
        <f t="shared" si="1519"/>
        <v/>
      </c>
      <c r="EL133" s="30" t="str">
        <f t="shared" si="1520"/>
        <v/>
      </c>
      <c r="EM133" s="30" t="str">
        <f t="shared" si="1521"/>
        <v/>
      </c>
      <c r="EN133" s="30" t="str">
        <f t="shared" si="1522"/>
        <v/>
      </c>
      <c r="EO133" s="30" t="str">
        <f t="shared" si="1523"/>
        <v/>
      </c>
      <c r="EP133" s="30" t="str">
        <f t="shared" si="1524"/>
        <v/>
      </c>
      <c r="EQ133" s="30" t="str">
        <f t="shared" si="1525"/>
        <v/>
      </c>
      <c r="ER133" s="30" t="str">
        <f t="shared" si="1526"/>
        <v/>
      </c>
      <c r="ES133" s="30" t="str">
        <f t="shared" si="1527"/>
        <v/>
      </c>
      <c r="ET133" s="30" t="str">
        <f t="shared" si="1528"/>
        <v/>
      </c>
      <c r="EU133" s="30" t="str">
        <f t="shared" si="1529"/>
        <v/>
      </c>
      <c r="EV133" s="30" t="str">
        <f t="shared" si="1530"/>
        <v/>
      </c>
      <c r="EW133" s="30" t="str">
        <f t="shared" si="1531"/>
        <v/>
      </c>
      <c r="EX133" s="30" t="str">
        <f t="shared" si="1532"/>
        <v/>
      </c>
      <c r="EY133" s="30" t="str">
        <f t="shared" si="1533"/>
        <v/>
      </c>
      <c r="EZ133" s="30" t="str">
        <f t="shared" si="1534"/>
        <v/>
      </c>
      <c r="FA133" s="30" t="str">
        <f t="shared" si="1535"/>
        <v/>
      </c>
      <c r="FB133" s="30" t="str">
        <f t="shared" si="1536"/>
        <v/>
      </c>
      <c r="FC133" s="30" t="str">
        <f t="shared" si="1537"/>
        <v/>
      </c>
      <c r="FD133" s="30" t="str">
        <f t="shared" si="1538"/>
        <v/>
      </c>
      <c r="FE133" s="30" t="str">
        <f t="shared" si="1539"/>
        <v/>
      </c>
      <c r="FF133" s="30" t="str">
        <f t="shared" si="1540"/>
        <v/>
      </c>
      <c r="FG133" s="30" t="str">
        <f t="shared" si="1541"/>
        <v/>
      </c>
      <c r="FH133" s="30" t="str">
        <f t="shared" si="1542"/>
        <v/>
      </c>
      <c r="FI133" s="30" t="str">
        <f t="shared" si="1543"/>
        <v/>
      </c>
      <c r="FJ133" s="30" t="str">
        <f t="shared" si="1544"/>
        <v/>
      </c>
      <c r="FK133" s="30" t="str">
        <f t="shared" si="1545"/>
        <v/>
      </c>
      <c r="FL133" s="30" t="str">
        <f t="shared" si="1546"/>
        <v/>
      </c>
      <c r="FM133" s="30" t="str">
        <f t="shared" si="1547"/>
        <v/>
      </c>
      <c r="FN133" s="30" t="str">
        <f t="shared" si="1548"/>
        <v/>
      </c>
      <c r="FO133" s="30" t="str">
        <f t="shared" si="1549"/>
        <v/>
      </c>
      <c r="FP133" s="30" t="str">
        <f t="shared" si="1550"/>
        <v/>
      </c>
      <c r="FQ133" s="30" t="str">
        <f t="shared" si="1551"/>
        <v/>
      </c>
      <c r="FR133" s="30" t="str">
        <f t="shared" si="1552"/>
        <v/>
      </c>
      <c r="FS133" s="30" t="str">
        <f t="shared" si="1553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44"/>
        <v>ReplaceableTextures\\CommandButtons\\BTNIN07.blp</v>
      </c>
      <c r="CN134" s="7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65"/>
        <v>InitEquipData('IN07',,"",,,,,'','','','','','',"ReplaceableTextures\\CommandButtons\\BTNIT01.blp")</v>
      </c>
      <c r="CU134" s="45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71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72">IF(V134="","","|n"&amp;DB$2&amp;"+"&amp;V134&amp;DB$1)</f>
        <v/>
      </c>
      <c r="DC134" s="30" t="str">
        <f t="shared" ref="DC134:DC139" si="1873">IF(W134="","","|n"&amp;DC$2&amp;"+"&amp;W134&amp;DC$1)</f>
        <v/>
      </c>
      <c r="DD134" s="30" t="str">
        <f t="shared" ref="DD134:DD139" si="1874">IF(X134="","","|n"&amp;DD$2&amp;"+"&amp;X134&amp;DD$1)</f>
        <v/>
      </c>
      <c r="DE134" s="30" t="str">
        <f t="shared" ref="DE134:DE139" si="1875">IF(Y134="","","|n"&amp;DE$2&amp;"+"&amp;Y134&amp;DE$1)</f>
        <v/>
      </c>
      <c r="DF134" s="30" t="str">
        <f t="shared" ref="DF134:DF139" si="1876">IF(Z134="","","|n"&amp;DF$2&amp;"+"&amp;Z134&amp;DF$1)</f>
        <v/>
      </c>
      <c r="DG134" s="30" t="str">
        <f t="shared" ref="DG134:DG139" si="1877">IF(AA134="","","|n"&amp;DG$2&amp;"+"&amp;AA134&amp;DG$1)</f>
        <v/>
      </c>
      <c r="DH134" s="30" t="str">
        <f t="shared" ref="DH134:DH139" si="1878">IF(AB134="","","|n"&amp;DH$2&amp;"+"&amp;AB134&amp;DH$1)</f>
        <v/>
      </c>
      <c r="DI134" s="30" t="str">
        <f t="shared" ref="DI134:DI139" si="1879">IF(AC134="","","|n"&amp;DI$2&amp;"+"&amp;AC134&amp;DI$1)</f>
        <v/>
      </c>
      <c r="DJ134" s="30" t="str">
        <f t="shared" ref="DJ134:DJ139" si="1880">IF(AD134="","","|n"&amp;DJ$2&amp;"+"&amp;AD134&amp;DJ$1)</f>
        <v/>
      </c>
      <c r="DK134" s="30" t="str">
        <f t="shared" ref="DK134:DK139" si="1881">IF(AE134="","","|n"&amp;DK$2&amp;"+"&amp;AE134&amp;DK$1)</f>
        <v/>
      </c>
      <c r="DL134" s="30" t="str">
        <f t="shared" ref="DL134:DL139" si="1882">IF(AF134="","","|n"&amp;DL$2&amp;"+"&amp;AF134&amp;DL$1)</f>
        <v/>
      </c>
      <c r="DM134" s="30" t="str">
        <f t="shared" ref="DM134:DM139" si="1883">IF(AG134="","","|n"&amp;DM$2&amp;"+"&amp;AG134&amp;DM$1)</f>
        <v/>
      </c>
      <c r="DN134" s="30" t="str">
        <f t="shared" ref="DN134:DN139" si="1884">IF(AH134="","","|n"&amp;DN$2&amp;"+"&amp;AH134&amp;DN$1)</f>
        <v/>
      </c>
      <c r="DO134" s="30" t="str">
        <f t="shared" ref="DO134:DO139" si="1885">IF(AI134="","","|n"&amp;DO$2&amp;"+"&amp;AI134&amp;DO$1)</f>
        <v/>
      </c>
      <c r="DP134" s="30" t="str">
        <f t="shared" ref="DP134:DP139" si="1886">IF(AJ134="","","|n"&amp;DP$2&amp;"+"&amp;AJ134&amp;DP$1)</f>
        <v/>
      </c>
      <c r="DQ134" s="30" t="str">
        <f t="shared" ref="DQ134:DQ139" si="1887">IF(AK134="","","|n"&amp;DQ$2&amp;"+"&amp;AK134&amp;DQ$1)</f>
        <v/>
      </c>
      <c r="DR134" s="30" t="str">
        <f t="shared" ref="DR134:DR139" si="1888">IF(AL134="","","|n"&amp;DR$2&amp;"+"&amp;AL134&amp;DR$1)</f>
        <v/>
      </c>
      <c r="DS134" s="30" t="str">
        <f t="shared" ref="DS134:DS139" si="1889">IF(AM134="","","|n"&amp;DS$2&amp;"+"&amp;AM134&amp;DS$1)</f>
        <v/>
      </c>
      <c r="DT134" s="30" t="str">
        <f t="shared" ref="DT134:DT139" si="1890">IF(AN134="","","|n"&amp;DT$2&amp;"+"&amp;AN134&amp;DT$1)</f>
        <v/>
      </c>
      <c r="DU134" s="30" t="str">
        <f t="shared" ref="DU134:DU139" si="1891">IF(AO134="","","|n"&amp;DU$2&amp;"+"&amp;AO134&amp;DU$1)</f>
        <v/>
      </c>
      <c r="DV134" s="30" t="str">
        <f t="shared" ref="DV134:DV139" si="1892">IF(AP134="","","|n"&amp;DV$2&amp;"+"&amp;AP134&amp;DV$1)</f>
        <v/>
      </c>
      <c r="DW134" s="30" t="str">
        <f t="shared" ref="DW134:DW139" si="1893">IF(AQ134="","","|n"&amp;DW$2&amp;"+"&amp;AQ134&amp;DW$1)</f>
        <v/>
      </c>
      <c r="DX134" s="30" t="str">
        <f t="shared" ref="DX134:DX139" si="1894">IF(AR134="","","|n"&amp;DX$2&amp;"+"&amp;AR134&amp;DX$1)</f>
        <v/>
      </c>
      <c r="DY134" s="30" t="str">
        <f t="shared" ref="DY134:DY139" si="1895">IF(AS134="","","|n"&amp;DY$2&amp;"+"&amp;AS134&amp;DY$1)</f>
        <v/>
      </c>
      <c r="DZ134" s="30" t="str">
        <f t="shared" ref="DZ134:DZ139" si="1896">IF(AT134="","","|n"&amp;DZ$2&amp;"+"&amp;AT134&amp;DZ$1)</f>
        <v/>
      </c>
      <c r="EA134" s="30" t="str">
        <f t="shared" ref="EA134:EA139" si="1897">IF(AU134="","","|n"&amp;EA$2&amp;"+"&amp;AU134&amp;EA$1)</f>
        <v/>
      </c>
      <c r="EB134" s="30" t="str">
        <f t="shared" ref="EB134:EB139" si="1898">IF(AV134="","","|n"&amp;EB$2&amp;"+"&amp;AV134&amp;EB$1)</f>
        <v/>
      </c>
      <c r="EC134" s="30" t="str">
        <f t="shared" ref="EC134:EC139" si="1899">IF(AW134="","","|n"&amp;EC$2&amp;"+"&amp;AW134&amp;EC$1)</f>
        <v/>
      </c>
      <c r="ED134" s="30" t="str">
        <f t="shared" ref="ED134:ED139" si="1900">IF(AX134="","","|n"&amp;ED$2&amp;"+"&amp;AX134&amp;ED$1)</f>
        <v/>
      </c>
      <c r="EE134" s="30" t="str">
        <f t="shared" ref="EE134:EE139" si="1901">IF(AY134="","","|n"&amp;EE$2&amp;"+"&amp;AY134&amp;EE$1)</f>
        <v/>
      </c>
      <c r="EF134" s="30" t="str">
        <f t="shared" ref="EF134:EF139" si="1902">IF(AZ134="","","|n"&amp;EF$2&amp;"+"&amp;AZ134&amp;EF$1)</f>
        <v/>
      </c>
      <c r="EG134" s="30" t="str">
        <f t="shared" ref="EG134:EG139" si="1903">IF(BA134="","","|n"&amp;EG$2&amp;"+"&amp;BA134&amp;EG$1)</f>
        <v/>
      </c>
      <c r="EH134" s="30" t="str">
        <f t="shared" ref="EH134:EH139" si="1904">IF(BB134="","","|n"&amp;EH$2&amp;"+"&amp;BB134&amp;EH$1)</f>
        <v/>
      </c>
      <c r="EI134" s="30" t="str">
        <f t="shared" ref="EI134:EI139" si="1905">IF(BC134="","","|n"&amp;EI$2&amp;"+"&amp;BC134&amp;EI$1)</f>
        <v/>
      </c>
      <c r="EJ134" s="30" t="str">
        <f t="shared" ref="EJ134:EJ139" si="1906">IF(BD134="","","|n"&amp;EJ$2&amp;"+"&amp;BD134&amp;EJ$1)</f>
        <v/>
      </c>
      <c r="EK134" s="30" t="str">
        <f t="shared" ref="EK134:EK139" si="1907">IF(BE134="","","|n"&amp;EK$2&amp;"+"&amp;BE134&amp;EK$1)</f>
        <v/>
      </c>
      <c r="EL134" s="30" t="str">
        <f t="shared" ref="EL134:EL139" si="1908">IF(BF134="","","|n"&amp;EL$2&amp;"+"&amp;BF134&amp;EL$1)</f>
        <v/>
      </c>
      <c r="EM134" s="30" t="str">
        <f t="shared" ref="EM134:EM139" si="1909">IF(BG134="","","|n"&amp;EM$2&amp;"+"&amp;BG134&amp;EM$1)</f>
        <v/>
      </c>
      <c r="EN134" s="30" t="str">
        <f t="shared" ref="EN134:EN139" si="1910">IF(BH134="","","|n"&amp;EN$2&amp;"+"&amp;BH134&amp;EN$1)</f>
        <v/>
      </c>
      <c r="EO134" s="30" t="str">
        <f t="shared" ref="EO134:EO139" si="1911">IF(BI134="","","|n"&amp;EO$2&amp;"+"&amp;BI134&amp;EO$1)</f>
        <v/>
      </c>
      <c r="EP134" s="30" t="str">
        <f t="shared" ref="EP134:EP139" si="1912">IF(BJ134="","","|n"&amp;EP$2&amp;"+"&amp;BJ134&amp;EP$1)</f>
        <v/>
      </c>
      <c r="EQ134" s="30" t="str">
        <f t="shared" ref="EQ134:EQ139" si="1913">IF(BK134="","","|n"&amp;EQ$2&amp;"+"&amp;BK134&amp;EQ$1)</f>
        <v/>
      </c>
      <c r="ER134" s="30" t="str">
        <f t="shared" ref="ER134:ER139" si="1914">IF(BL134="","","|n"&amp;ER$2&amp;"+"&amp;BL134&amp;ER$1)</f>
        <v/>
      </c>
      <c r="ES134" s="30" t="str">
        <f t="shared" ref="ES134:ES139" si="1915">IF(BM134="","","|n"&amp;ES$2&amp;"+"&amp;BM134&amp;ES$1)</f>
        <v/>
      </c>
      <c r="ET134" s="30" t="str">
        <f t="shared" ref="ET134:ET139" si="1916">IF(BN134="","","|n"&amp;ET$2&amp;"+"&amp;BN134&amp;ET$1)</f>
        <v/>
      </c>
      <c r="EU134" s="30" t="str">
        <f t="shared" ref="EU134:EU139" si="1917">IF(BO134="","","|n"&amp;EU$2&amp;"+"&amp;BO134&amp;EU$1)</f>
        <v/>
      </c>
      <c r="EV134" s="30" t="str">
        <f t="shared" ref="EV134:EV139" si="1918">IF(BP134="","","|n"&amp;EV$2&amp;"+"&amp;BP134&amp;EV$1)</f>
        <v/>
      </c>
      <c r="EW134" s="30" t="str">
        <f t="shared" ref="EW134:EW139" si="1919">IF(BQ134="","","|n"&amp;EW$2&amp;"+"&amp;BQ134&amp;EW$1)</f>
        <v/>
      </c>
      <c r="EX134" s="30" t="str">
        <f t="shared" ref="EX134:EX139" si="1920">IF(BR134="","","|n"&amp;EX$2&amp;"+"&amp;BR134&amp;EX$1)</f>
        <v/>
      </c>
      <c r="EY134" s="30" t="str">
        <f t="shared" ref="EY134:EY139" si="1921">IF(BS134="","","|n"&amp;EY$2&amp;"+"&amp;BS134&amp;EY$1)</f>
        <v/>
      </c>
      <c r="EZ134" s="30" t="str">
        <f t="shared" ref="EZ134:EZ139" si="1922">IF(BT134="","","|n"&amp;EZ$2&amp;"+"&amp;BT134&amp;EZ$1)</f>
        <v/>
      </c>
      <c r="FA134" s="30" t="str">
        <f t="shared" ref="FA134:FA139" si="1923">IF(BU134="","","|n"&amp;FA$2&amp;"+"&amp;BU134&amp;FA$1)</f>
        <v/>
      </c>
      <c r="FB134" s="30" t="str">
        <f t="shared" ref="FB134:FB139" si="1924">IF(BV134="","","|n"&amp;FB$2&amp;"+"&amp;BV134&amp;FB$1)</f>
        <v/>
      </c>
      <c r="FC134" s="30" t="str">
        <f t="shared" ref="FC134:FC139" si="1925">IF(BW134="","","|n"&amp;FC$2&amp;"+"&amp;BW134&amp;FC$1)</f>
        <v/>
      </c>
      <c r="FD134" s="30" t="str">
        <f t="shared" ref="FD134:FD139" si="1926">IF(BX134="","","|n"&amp;FD$2&amp;"+"&amp;BX134&amp;FD$1)</f>
        <v/>
      </c>
      <c r="FE134" s="30" t="str">
        <f t="shared" ref="FE134:FE139" si="1927">IF(BY134="","","|n"&amp;FE$2&amp;"+"&amp;BY134&amp;FE$1)</f>
        <v/>
      </c>
      <c r="FF134" s="30" t="str">
        <f t="shared" ref="FF134:FF139" si="1928">IF(BZ134="","","|n"&amp;FF$2&amp;"+"&amp;BZ134&amp;FF$1)</f>
        <v/>
      </c>
      <c r="FG134" s="30" t="str">
        <f t="shared" ref="FG134:FG139" si="1929">IF(CA134="","","|n"&amp;FG$2&amp;"+"&amp;CA134&amp;FG$1)</f>
        <v/>
      </c>
      <c r="FH134" s="30" t="str">
        <f t="shared" ref="FH134:FH139" si="1930">IF(CB134="","","|n"&amp;FH$2&amp;"+"&amp;CB134&amp;FH$1)</f>
        <v/>
      </c>
      <c r="FI134" s="30" t="str">
        <f t="shared" ref="FI134:FI139" si="1931">IF(CC134="","","|n"&amp;FI$2&amp;"+"&amp;CC134&amp;FI$1)</f>
        <v/>
      </c>
      <c r="FJ134" s="30" t="str">
        <f t="shared" ref="FJ134:FJ139" si="1932">IF(CD134="","","|n"&amp;FJ$2&amp;"+"&amp;CD134&amp;FJ$1)</f>
        <v/>
      </c>
      <c r="FK134" s="30" t="str">
        <f t="shared" ref="FK134:FK139" si="1933">IF(CE134="","","|n"&amp;FK$2&amp;"+"&amp;CE134&amp;FK$1)</f>
        <v/>
      </c>
      <c r="FL134" s="30" t="str">
        <f t="shared" ref="FL134:FL139" si="1934">IF(CF134="","","|n"&amp;FL$2&amp;"+"&amp;CF134&amp;FL$1)</f>
        <v/>
      </c>
      <c r="FM134" s="30" t="str">
        <f t="shared" ref="FM134:FM139" si="1935">IF(CG134="","","|n"&amp;FM$2&amp;"+"&amp;CG134&amp;FM$1)</f>
        <v/>
      </c>
      <c r="FN134" s="30" t="str">
        <f t="shared" ref="FN134:FN139" si="1936">IF(CH134="","","|n"&amp;FN$2&amp;"+"&amp;CH134&amp;FN$1)</f>
        <v/>
      </c>
      <c r="FO134" s="30" t="str">
        <f t="shared" ref="FO134:FO139" si="1937">IF(CI134="","","|n"&amp;FO$2&amp;"+"&amp;CI134&amp;FO$1)</f>
        <v/>
      </c>
      <c r="FP134" s="30" t="str">
        <f t="shared" ref="FP134:FP139" si="1938">IF(CJ134="","","|n"&amp;FP$2&amp;"+"&amp;CJ134&amp;FP$1)</f>
        <v/>
      </c>
      <c r="FQ134" s="30" t="str">
        <f t="shared" ref="FQ134:FQ139" si="1939">IF(CK134="","","|n"&amp;FQ$2&amp;"+"&amp;CK134&amp;FQ$1)</f>
        <v/>
      </c>
      <c r="FR134" s="30" t="str">
        <f t="shared" ref="FR134:FR139" si="1940">IF(CL134="","","|n"&amp;FR$2&amp;"+"&amp;CL134&amp;FR$1)</f>
        <v/>
      </c>
      <c r="FS134" s="30" t="str">
        <f t="shared" ref="FS134:FS139" si="1941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44"/>
        <v>ReplaceableTextures\\CommandButtons\\BTNIN08.blp</v>
      </c>
      <c r="CN135" s="7" t="str">
        <f t="shared" si="1866"/>
        <v>InitUnitState('IN08',,,,,,,,,,)</v>
      </c>
      <c r="CO135" s="7" t="str">
        <f t="shared" si="1867"/>
        <v>InitUnitNormal('IN08',,,,,,,,,,)</v>
      </c>
      <c r="CP135" s="7" t="str">
        <f t="shared" si="1868"/>
        <v>InitUnitMagic('IN08',,,,,,,,,,)</v>
      </c>
      <c r="CQ135" s="7" t="str">
        <f t="shared" si="1869"/>
        <v>InitUnitAdd('IN08',,,,,,,,,,)</v>
      </c>
      <c r="CR135" s="7" t="str">
        <f t="shared" si="1865"/>
        <v>InitEquipData('IN08',,"",,,,,'','','','','','',"ReplaceableTextures\\CommandButtons\\BTNIT02.blp")</v>
      </c>
      <c r="CU135" s="45" t="str">
        <f t="shared" si="1870"/>
        <v>|n</v>
      </c>
      <c r="CV135" s="29" t="str">
        <f t="shared" si="1871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72"/>
        <v/>
      </c>
      <c r="DC135" s="30" t="str">
        <f t="shared" si="1873"/>
        <v/>
      </c>
      <c r="DD135" s="30" t="str">
        <f t="shared" si="1874"/>
        <v/>
      </c>
      <c r="DE135" s="30" t="str">
        <f t="shared" si="1875"/>
        <v/>
      </c>
      <c r="DF135" s="30" t="str">
        <f t="shared" si="1876"/>
        <v/>
      </c>
      <c r="DG135" s="30" t="str">
        <f t="shared" si="1877"/>
        <v/>
      </c>
      <c r="DH135" s="30" t="str">
        <f t="shared" si="1878"/>
        <v/>
      </c>
      <c r="DI135" s="30" t="str">
        <f t="shared" si="1879"/>
        <v/>
      </c>
      <c r="DJ135" s="30" t="str">
        <f t="shared" si="1880"/>
        <v/>
      </c>
      <c r="DK135" s="30" t="str">
        <f t="shared" si="1881"/>
        <v/>
      </c>
      <c r="DL135" s="30" t="str">
        <f t="shared" si="1882"/>
        <v/>
      </c>
      <c r="DM135" s="30" t="str">
        <f t="shared" si="1883"/>
        <v/>
      </c>
      <c r="DN135" s="30" t="str">
        <f t="shared" si="1884"/>
        <v/>
      </c>
      <c r="DO135" s="30" t="str">
        <f t="shared" si="1885"/>
        <v/>
      </c>
      <c r="DP135" s="30" t="str">
        <f t="shared" si="1886"/>
        <v/>
      </c>
      <c r="DQ135" s="30" t="str">
        <f t="shared" si="1887"/>
        <v/>
      </c>
      <c r="DR135" s="30" t="str">
        <f t="shared" si="1888"/>
        <v/>
      </c>
      <c r="DS135" s="30" t="str">
        <f t="shared" si="1889"/>
        <v/>
      </c>
      <c r="DT135" s="30" t="str">
        <f t="shared" si="1890"/>
        <v/>
      </c>
      <c r="DU135" s="30" t="str">
        <f t="shared" si="1891"/>
        <v/>
      </c>
      <c r="DV135" s="30" t="str">
        <f t="shared" si="1892"/>
        <v/>
      </c>
      <c r="DW135" s="30" t="str">
        <f t="shared" si="1893"/>
        <v/>
      </c>
      <c r="DX135" s="30" t="str">
        <f t="shared" si="1894"/>
        <v/>
      </c>
      <c r="DY135" s="30" t="str">
        <f t="shared" si="1895"/>
        <v/>
      </c>
      <c r="DZ135" s="30" t="str">
        <f t="shared" si="1896"/>
        <v/>
      </c>
      <c r="EA135" s="30" t="str">
        <f t="shared" si="1897"/>
        <v/>
      </c>
      <c r="EB135" s="30" t="str">
        <f t="shared" si="1898"/>
        <v/>
      </c>
      <c r="EC135" s="30" t="str">
        <f t="shared" si="1899"/>
        <v/>
      </c>
      <c r="ED135" s="30" t="str">
        <f t="shared" si="1900"/>
        <v/>
      </c>
      <c r="EE135" s="30" t="str">
        <f t="shared" si="1901"/>
        <v/>
      </c>
      <c r="EF135" s="30" t="str">
        <f t="shared" si="1902"/>
        <v/>
      </c>
      <c r="EG135" s="30" t="str">
        <f t="shared" si="1903"/>
        <v/>
      </c>
      <c r="EH135" s="30" t="str">
        <f t="shared" si="1904"/>
        <v/>
      </c>
      <c r="EI135" s="30" t="str">
        <f t="shared" si="1905"/>
        <v/>
      </c>
      <c r="EJ135" s="30" t="str">
        <f t="shared" si="1906"/>
        <v/>
      </c>
      <c r="EK135" s="30" t="str">
        <f t="shared" si="1907"/>
        <v/>
      </c>
      <c r="EL135" s="30" t="str">
        <f t="shared" si="1908"/>
        <v/>
      </c>
      <c r="EM135" s="30" t="str">
        <f t="shared" si="1909"/>
        <v/>
      </c>
      <c r="EN135" s="30" t="str">
        <f t="shared" si="1910"/>
        <v/>
      </c>
      <c r="EO135" s="30" t="str">
        <f t="shared" si="1911"/>
        <v/>
      </c>
      <c r="EP135" s="30" t="str">
        <f t="shared" si="1912"/>
        <v/>
      </c>
      <c r="EQ135" s="30" t="str">
        <f t="shared" si="1913"/>
        <v/>
      </c>
      <c r="ER135" s="30" t="str">
        <f t="shared" si="1914"/>
        <v/>
      </c>
      <c r="ES135" s="30" t="str">
        <f t="shared" si="1915"/>
        <v/>
      </c>
      <c r="ET135" s="30" t="str">
        <f t="shared" si="1916"/>
        <v/>
      </c>
      <c r="EU135" s="30" t="str">
        <f t="shared" si="1917"/>
        <v/>
      </c>
      <c r="EV135" s="30" t="str">
        <f t="shared" si="1918"/>
        <v/>
      </c>
      <c r="EW135" s="30" t="str">
        <f t="shared" si="1919"/>
        <v/>
      </c>
      <c r="EX135" s="30" t="str">
        <f t="shared" si="1920"/>
        <v/>
      </c>
      <c r="EY135" s="30" t="str">
        <f t="shared" si="1921"/>
        <v/>
      </c>
      <c r="EZ135" s="30" t="str">
        <f t="shared" si="1922"/>
        <v/>
      </c>
      <c r="FA135" s="30" t="str">
        <f t="shared" si="1923"/>
        <v/>
      </c>
      <c r="FB135" s="30" t="str">
        <f t="shared" si="1924"/>
        <v/>
      </c>
      <c r="FC135" s="30" t="str">
        <f t="shared" si="1925"/>
        <v/>
      </c>
      <c r="FD135" s="30" t="str">
        <f t="shared" si="1926"/>
        <v/>
      </c>
      <c r="FE135" s="30" t="str">
        <f t="shared" si="1927"/>
        <v/>
      </c>
      <c r="FF135" s="30" t="str">
        <f t="shared" si="1928"/>
        <v/>
      </c>
      <c r="FG135" s="30" t="str">
        <f t="shared" si="1929"/>
        <v/>
      </c>
      <c r="FH135" s="30" t="str">
        <f t="shared" si="1930"/>
        <v/>
      </c>
      <c r="FI135" s="30" t="str">
        <f t="shared" si="1931"/>
        <v/>
      </c>
      <c r="FJ135" s="30" t="str">
        <f t="shared" si="1932"/>
        <v/>
      </c>
      <c r="FK135" s="30" t="str">
        <f t="shared" si="1933"/>
        <v/>
      </c>
      <c r="FL135" s="30" t="str">
        <f t="shared" si="1934"/>
        <v/>
      </c>
      <c r="FM135" s="30" t="str">
        <f t="shared" si="1935"/>
        <v/>
      </c>
      <c r="FN135" s="30" t="str">
        <f t="shared" si="1936"/>
        <v/>
      </c>
      <c r="FO135" s="30" t="str">
        <f t="shared" si="1937"/>
        <v/>
      </c>
      <c r="FP135" s="30" t="str">
        <f t="shared" si="1938"/>
        <v/>
      </c>
      <c r="FQ135" s="30" t="str">
        <f t="shared" si="1939"/>
        <v/>
      </c>
      <c r="FR135" s="30" t="str">
        <f t="shared" si="1940"/>
        <v/>
      </c>
      <c r="FS135" s="30" t="str">
        <f t="shared" si="1941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44"/>
        <v>ReplaceableTextures\\CommandButtons\\BTNIN09.blp</v>
      </c>
      <c r="CN136" s="7" t="str">
        <f t="shared" si="1866"/>
        <v>InitUnitState('IN09',,,,,,,,,,)</v>
      </c>
      <c r="CO136" s="7" t="str">
        <f t="shared" si="1867"/>
        <v>InitUnitNormal('IN09',,,,,,,,,,)</v>
      </c>
      <c r="CP136" s="7" t="str">
        <f t="shared" si="1868"/>
        <v>InitUnitMagic('IN09',,,,,,,,,,)</v>
      </c>
      <c r="CQ136" s="7" t="str">
        <f t="shared" si="1869"/>
        <v>InitUnitAdd('IN09',,,,,,,,,,)</v>
      </c>
      <c r="CR136" s="7" t="str">
        <f t="shared" si="1865"/>
        <v>InitEquipData('IN09',,"",,,,,'','','','','','',"ReplaceableTextures\\CommandButtons\\BTNIT03.blp")</v>
      </c>
      <c r="CU136" s="45" t="str">
        <f t="shared" si="1870"/>
        <v>|n</v>
      </c>
      <c r="CV136" s="29" t="str">
        <f t="shared" si="1871"/>
        <v>暂停场上已存在的进攻怪10秒</v>
      </c>
      <c r="CW136" s="24"/>
      <c r="CX136" s="24"/>
      <c r="CY136" s="24"/>
      <c r="CZ136" s="24"/>
      <c r="DA136" s="24"/>
      <c r="DB136" s="30" t="str">
        <f t="shared" si="1872"/>
        <v/>
      </c>
      <c r="DC136" s="30" t="str">
        <f t="shared" si="1873"/>
        <v/>
      </c>
      <c r="DD136" s="30" t="str">
        <f t="shared" si="1874"/>
        <v/>
      </c>
      <c r="DE136" s="30" t="str">
        <f t="shared" si="1875"/>
        <v/>
      </c>
      <c r="DF136" s="30" t="str">
        <f t="shared" si="1876"/>
        <v/>
      </c>
      <c r="DG136" s="30" t="str">
        <f t="shared" si="1877"/>
        <v/>
      </c>
      <c r="DH136" s="30" t="str">
        <f t="shared" si="1878"/>
        <v/>
      </c>
      <c r="DI136" s="30" t="str">
        <f t="shared" si="1879"/>
        <v/>
      </c>
      <c r="DJ136" s="30" t="str">
        <f t="shared" si="1880"/>
        <v/>
      </c>
      <c r="DK136" s="30" t="str">
        <f t="shared" si="1881"/>
        <v/>
      </c>
      <c r="DL136" s="30" t="str">
        <f t="shared" si="1882"/>
        <v/>
      </c>
      <c r="DM136" s="30" t="str">
        <f t="shared" si="1883"/>
        <v/>
      </c>
      <c r="DN136" s="30" t="str">
        <f t="shared" si="1884"/>
        <v/>
      </c>
      <c r="DO136" s="30" t="str">
        <f t="shared" si="1885"/>
        <v/>
      </c>
      <c r="DP136" s="30" t="str">
        <f t="shared" si="1886"/>
        <v/>
      </c>
      <c r="DQ136" s="30" t="str">
        <f t="shared" si="1887"/>
        <v/>
      </c>
      <c r="DR136" s="30" t="str">
        <f t="shared" si="1888"/>
        <v/>
      </c>
      <c r="DS136" s="30" t="str">
        <f t="shared" si="1889"/>
        <v/>
      </c>
      <c r="DT136" s="30" t="str">
        <f t="shared" si="1890"/>
        <v/>
      </c>
      <c r="DU136" s="30" t="str">
        <f t="shared" si="1891"/>
        <v/>
      </c>
      <c r="DV136" s="30" t="str">
        <f t="shared" si="1892"/>
        <v/>
      </c>
      <c r="DW136" s="30" t="str">
        <f t="shared" si="1893"/>
        <v/>
      </c>
      <c r="DX136" s="30" t="str">
        <f t="shared" si="1894"/>
        <v/>
      </c>
      <c r="DY136" s="30" t="str">
        <f t="shared" si="1895"/>
        <v/>
      </c>
      <c r="DZ136" s="30" t="str">
        <f t="shared" si="1896"/>
        <v/>
      </c>
      <c r="EA136" s="30" t="str">
        <f t="shared" si="1897"/>
        <v/>
      </c>
      <c r="EB136" s="30" t="str">
        <f t="shared" si="1898"/>
        <v/>
      </c>
      <c r="EC136" s="30" t="str">
        <f t="shared" si="1899"/>
        <v/>
      </c>
      <c r="ED136" s="30" t="str">
        <f t="shared" si="1900"/>
        <v/>
      </c>
      <c r="EE136" s="30" t="str">
        <f t="shared" si="1901"/>
        <v/>
      </c>
      <c r="EF136" s="30" t="str">
        <f t="shared" si="1902"/>
        <v/>
      </c>
      <c r="EG136" s="30" t="str">
        <f t="shared" si="1903"/>
        <v/>
      </c>
      <c r="EH136" s="30" t="str">
        <f t="shared" si="1904"/>
        <v/>
      </c>
      <c r="EI136" s="30" t="str">
        <f t="shared" si="1905"/>
        <v/>
      </c>
      <c r="EJ136" s="30" t="str">
        <f t="shared" si="1906"/>
        <v/>
      </c>
      <c r="EK136" s="30" t="str">
        <f t="shared" si="1907"/>
        <v/>
      </c>
      <c r="EL136" s="30" t="str">
        <f t="shared" si="1908"/>
        <v/>
      </c>
      <c r="EM136" s="30" t="str">
        <f t="shared" si="1909"/>
        <v/>
      </c>
      <c r="EN136" s="30" t="str">
        <f t="shared" si="1910"/>
        <v/>
      </c>
      <c r="EO136" s="30" t="str">
        <f t="shared" si="1911"/>
        <v/>
      </c>
      <c r="EP136" s="30" t="str">
        <f t="shared" si="1912"/>
        <v/>
      </c>
      <c r="EQ136" s="30" t="str">
        <f t="shared" si="1913"/>
        <v/>
      </c>
      <c r="ER136" s="30" t="str">
        <f t="shared" si="1914"/>
        <v/>
      </c>
      <c r="ES136" s="30" t="str">
        <f t="shared" si="1915"/>
        <v/>
      </c>
      <c r="ET136" s="30" t="str">
        <f t="shared" si="1916"/>
        <v/>
      </c>
      <c r="EU136" s="30" t="str">
        <f t="shared" si="1917"/>
        <v/>
      </c>
      <c r="EV136" s="30" t="str">
        <f t="shared" si="1918"/>
        <v/>
      </c>
      <c r="EW136" s="30" t="str">
        <f t="shared" si="1919"/>
        <v/>
      </c>
      <c r="EX136" s="30" t="str">
        <f t="shared" si="1920"/>
        <v/>
      </c>
      <c r="EY136" s="30" t="str">
        <f t="shared" si="1921"/>
        <v/>
      </c>
      <c r="EZ136" s="30" t="str">
        <f t="shared" si="1922"/>
        <v/>
      </c>
      <c r="FA136" s="30" t="str">
        <f t="shared" si="1923"/>
        <v/>
      </c>
      <c r="FB136" s="30" t="str">
        <f t="shared" si="1924"/>
        <v/>
      </c>
      <c r="FC136" s="30" t="str">
        <f t="shared" si="1925"/>
        <v/>
      </c>
      <c r="FD136" s="30" t="str">
        <f t="shared" si="1926"/>
        <v/>
      </c>
      <c r="FE136" s="30" t="str">
        <f t="shared" si="1927"/>
        <v/>
      </c>
      <c r="FF136" s="30" t="str">
        <f t="shared" si="1928"/>
        <v/>
      </c>
      <c r="FG136" s="30" t="str">
        <f t="shared" si="1929"/>
        <v/>
      </c>
      <c r="FH136" s="30" t="str">
        <f t="shared" si="1930"/>
        <v/>
      </c>
      <c r="FI136" s="30" t="str">
        <f t="shared" si="1931"/>
        <v/>
      </c>
      <c r="FJ136" s="30" t="str">
        <f t="shared" si="1932"/>
        <v/>
      </c>
      <c r="FK136" s="30" t="str">
        <f t="shared" si="1933"/>
        <v/>
      </c>
      <c r="FL136" s="30" t="str">
        <f t="shared" si="1934"/>
        <v/>
      </c>
      <c r="FM136" s="30" t="str">
        <f t="shared" si="1935"/>
        <v/>
      </c>
      <c r="FN136" s="30" t="str">
        <f t="shared" si="1936"/>
        <v/>
      </c>
      <c r="FO136" s="30" t="str">
        <f t="shared" si="1937"/>
        <v/>
      </c>
      <c r="FP136" s="30" t="str">
        <f t="shared" si="1938"/>
        <v/>
      </c>
      <c r="FQ136" s="30" t="str">
        <f t="shared" si="1939"/>
        <v/>
      </c>
      <c r="FR136" s="30" t="str">
        <f t="shared" si="1940"/>
        <v/>
      </c>
      <c r="FS136" s="30" t="str">
        <f t="shared" si="1941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44"/>
        <v>ReplaceableTextures\\CommandButtons\\BTNIN10.blp</v>
      </c>
      <c r="CN137" s="7" t="str">
        <f t="shared" si="1866"/>
        <v>InitUnitState('IN10',,,,,,,,,,)</v>
      </c>
      <c r="CO137" s="7" t="str">
        <f t="shared" si="1867"/>
        <v>InitUnitNormal('IN10',,,,,,,,,,)</v>
      </c>
      <c r="CP137" s="7" t="str">
        <f t="shared" si="1868"/>
        <v>InitUnitMagic('IN10',,,,,,,,,,)</v>
      </c>
      <c r="CQ137" s="7" t="str">
        <f t="shared" si="1869"/>
        <v>InitUnitAdd('IN10',,,,,,,,,,)</v>
      </c>
      <c r="CR137" s="7" t="str">
        <f t="shared" si="1865"/>
        <v>InitEquipData('IN10',,"",,,,,'','','','','','',"ReplaceableTextures\\CommandButtons\\BTNIT04.blp")</v>
      </c>
      <c r="CU137" s="45" t="str">
        <f t="shared" si="1870"/>
        <v>|n</v>
      </c>
      <c r="CV137" s="29" t="str">
        <f t="shared" si="1871"/>
        <v>暂停场上已存在的进攻怪20秒</v>
      </c>
      <c r="CW137" s="24"/>
      <c r="CX137" s="24"/>
      <c r="CY137" s="24"/>
      <c r="CZ137" s="24"/>
      <c r="DA137" s="24"/>
      <c r="DB137" s="30" t="str">
        <f t="shared" si="1872"/>
        <v/>
      </c>
      <c r="DC137" s="30" t="str">
        <f t="shared" si="1873"/>
        <v/>
      </c>
      <c r="DD137" s="30" t="str">
        <f t="shared" si="1874"/>
        <v/>
      </c>
      <c r="DE137" s="30" t="str">
        <f t="shared" si="1875"/>
        <v/>
      </c>
      <c r="DF137" s="30" t="str">
        <f t="shared" si="1876"/>
        <v/>
      </c>
      <c r="DG137" s="30" t="str">
        <f t="shared" si="1877"/>
        <v/>
      </c>
      <c r="DH137" s="30" t="str">
        <f t="shared" si="1878"/>
        <v/>
      </c>
      <c r="DI137" s="30" t="str">
        <f t="shared" si="1879"/>
        <v/>
      </c>
      <c r="DJ137" s="30" t="str">
        <f t="shared" si="1880"/>
        <v/>
      </c>
      <c r="DK137" s="30" t="str">
        <f t="shared" si="1881"/>
        <v/>
      </c>
      <c r="DL137" s="30" t="str">
        <f t="shared" si="1882"/>
        <v/>
      </c>
      <c r="DM137" s="30" t="str">
        <f t="shared" si="1883"/>
        <v/>
      </c>
      <c r="DN137" s="30" t="str">
        <f t="shared" si="1884"/>
        <v/>
      </c>
      <c r="DO137" s="30" t="str">
        <f t="shared" si="1885"/>
        <v/>
      </c>
      <c r="DP137" s="30" t="str">
        <f t="shared" si="1886"/>
        <v/>
      </c>
      <c r="DQ137" s="30" t="str">
        <f t="shared" si="1887"/>
        <v/>
      </c>
      <c r="DR137" s="30" t="str">
        <f t="shared" si="1888"/>
        <v/>
      </c>
      <c r="DS137" s="30" t="str">
        <f t="shared" si="1889"/>
        <v/>
      </c>
      <c r="DT137" s="30" t="str">
        <f t="shared" si="1890"/>
        <v/>
      </c>
      <c r="DU137" s="30" t="str">
        <f t="shared" si="1891"/>
        <v/>
      </c>
      <c r="DV137" s="30" t="str">
        <f t="shared" si="1892"/>
        <v/>
      </c>
      <c r="DW137" s="30" t="str">
        <f t="shared" si="1893"/>
        <v/>
      </c>
      <c r="DX137" s="30" t="str">
        <f t="shared" si="1894"/>
        <v/>
      </c>
      <c r="DY137" s="30" t="str">
        <f t="shared" si="1895"/>
        <v/>
      </c>
      <c r="DZ137" s="30" t="str">
        <f t="shared" si="1896"/>
        <v/>
      </c>
      <c r="EA137" s="30" t="str">
        <f t="shared" si="1897"/>
        <v/>
      </c>
      <c r="EB137" s="30" t="str">
        <f t="shared" si="1898"/>
        <v/>
      </c>
      <c r="EC137" s="30" t="str">
        <f t="shared" si="1899"/>
        <v/>
      </c>
      <c r="ED137" s="30" t="str">
        <f t="shared" si="1900"/>
        <v/>
      </c>
      <c r="EE137" s="30" t="str">
        <f t="shared" si="1901"/>
        <v/>
      </c>
      <c r="EF137" s="30" t="str">
        <f t="shared" si="1902"/>
        <v/>
      </c>
      <c r="EG137" s="30" t="str">
        <f t="shared" si="1903"/>
        <v/>
      </c>
      <c r="EH137" s="30" t="str">
        <f t="shared" si="1904"/>
        <v/>
      </c>
      <c r="EI137" s="30" t="str">
        <f t="shared" si="1905"/>
        <v/>
      </c>
      <c r="EJ137" s="30" t="str">
        <f t="shared" si="1906"/>
        <v/>
      </c>
      <c r="EK137" s="30" t="str">
        <f t="shared" si="1907"/>
        <v/>
      </c>
      <c r="EL137" s="30" t="str">
        <f t="shared" si="1908"/>
        <v/>
      </c>
      <c r="EM137" s="30" t="str">
        <f t="shared" si="1909"/>
        <v/>
      </c>
      <c r="EN137" s="30" t="str">
        <f t="shared" si="1910"/>
        <v/>
      </c>
      <c r="EO137" s="30" t="str">
        <f t="shared" si="1911"/>
        <v/>
      </c>
      <c r="EP137" s="30" t="str">
        <f t="shared" si="1912"/>
        <v/>
      </c>
      <c r="EQ137" s="30" t="str">
        <f t="shared" si="1913"/>
        <v/>
      </c>
      <c r="ER137" s="30" t="str">
        <f t="shared" si="1914"/>
        <v/>
      </c>
      <c r="ES137" s="30" t="str">
        <f t="shared" si="1915"/>
        <v/>
      </c>
      <c r="ET137" s="30" t="str">
        <f t="shared" si="1916"/>
        <v/>
      </c>
      <c r="EU137" s="30" t="str">
        <f t="shared" si="1917"/>
        <v/>
      </c>
      <c r="EV137" s="30" t="str">
        <f t="shared" si="1918"/>
        <v/>
      </c>
      <c r="EW137" s="30" t="str">
        <f t="shared" si="1919"/>
        <v/>
      </c>
      <c r="EX137" s="30" t="str">
        <f t="shared" si="1920"/>
        <v/>
      </c>
      <c r="EY137" s="30" t="str">
        <f t="shared" si="1921"/>
        <v/>
      </c>
      <c r="EZ137" s="30" t="str">
        <f t="shared" si="1922"/>
        <v/>
      </c>
      <c r="FA137" s="30" t="str">
        <f t="shared" si="1923"/>
        <v/>
      </c>
      <c r="FB137" s="30" t="str">
        <f t="shared" si="1924"/>
        <v/>
      </c>
      <c r="FC137" s="30" t="str">
        <f t="shared" si="1925"/>
        <v/>
      </c>
      <c r="FD137" s="30" t="str">
        <f t="shared" si="1926"/>
        <v/>
      </c>
      <c r="FE137" s="30" t="str">
        <f t="shared" si="1927"/>
        <v/>
      </c>
      <c r="FF137" s="30" t="str">
        <f t="shared" si="1928"/>
        <v/>
      </c>
      <c r="FG137" s="30" t="str">
        <f t="shared" si="1929"/>
        <v/>
      </c>
      <c r="FH137" s="30" t="str">
        <f t="shared" si="1930"/>
        <v/>
      </c>
      <c r="FI137" s="30" t="str">
        <f t="shared" si="1931"/>
        <v/>
      </c>
      <c r="FJ137" s="30" t="str">
        <f t="shared" si="1932"/>
        <v/>
      </c>
      <c r="FK137" s="30" t="str">
        <f t="shared" si="1933"/>
        <v/>
      </c>
      <c r="FL137" s="30" t="str">
        <f t="shared" si="1934"/>
        <v/>
      </c>
      <c r="FM137" s="30" t="str">
        <f t="shared" si="1935"/>
        <v/>
      </c>
      <c r="FN137" s="30" t="str">
        <f t="shared" si="1936"/>
        <v/>
      </c>
      <c r="FO137" s="30" t="str">
        <f t="shared" si="1937"/>
        <v/>
      </c>
      <c r="FP137" s="30" t="str">
        <f t="shared" si="1938"/>
        <v/>
      </c>
      <c r="FQ137" s="30" t="str">
        <f t="shared" si="1939"/>
        <v/>
      </c>
      <c r="FR137" s="30" t="str">
        <f t="shared" si="1940"/>
        <v/>
      </c>
      <c r="FS137" s="30" t="str">
        <f t="shared" si="1941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44"/>
        <v>ReplaceableTextures\\CommandButtons\\BTNIN11.blp</v>
      </c>
      <c r="CN138" s="7" t="str">
        <f t="shared" si="1866"/>
        <v>InitUnitState('IN11',,,,,,,,,,)</v>
      </c>
      <c r="CO138" s="7" t="str">
        <f t="shared" si="1867"/>
        <v>InitUnitNormal('IN11',,,,,,,,,,)</v>
      </c>
      <c r="CP138" s="7" t="str">
        <f t="shared" si="1868"/>
        <v>InitUnitMagic('IN11',,,,,,,,,,)</v>
      </c>
      <c r="CQ138" s="7" t="str">
        <f t="shared" si="1869"/>
        <v>InitUnitAdd('IN11',,,,,,,,,,)</v>
      </c>
      <c r="CR138" s="7" t="str">
        <f t="shared" si="1865"/>
        <v>InitEquipData('IN11',,"",,,,,'','','','','','',"ReplaceableTextures\\CommandButtons\\BTNIT05.blp")</v>
      </c>
      <c r="CU138" s="45" t="str">
        <f t="shared" si="1870"/>
        <v>|n</v>
      </c>
      <c r="CV138" s="29" t="str">
        <f t="shared" si="1871"/>
        <v>5秒内提高300%伤害加成</v>
      </c>
      <c r="CW138" s="24"/>
      <c r="CX138" s="24"/>
      <c r="CY138" s="24"/>
      <c r="CZ138" s="24"/>
      <c r="DA138" s="24"/>
      <c r="DB138" s="30" t="str">
        <f t="shared" si="1872"/>
        <v/>
      </c>
      <c r="DC138" s="30" t="str">
        <f t="shared" si="1873"/>
        <v/>
      </c>
      <c r="DD138" s="30" t="str">
        <f t="shared" si="1874"/>
        <v/>
      </c>
      <c r="DE138" s="30" t="str">
        <f t="shared" si="1875"/>
        <v/>
      </c>
      <c r="DF138" s="30" t="str">
        <f t="shared" si="1876"/>
        <v/>
      </c>
      <c r="DG138" s="30" t="str">
        <f t="shared" si="1877"/>
        <v/>
      </c>
      <c r="DH138" s="30" t="str">
        <f t="shared" si="1878"/>
        <v/>
      </c>
      <c r="DI138" s="30" t="str">
        <f t="shared" si="1879"/>
        <v/>
      </c>
      <c r="DJ138" s="30" t="str">
        <f t="shared" si="1880"/>
        <v/>
      </c>
      <c r="DK138" s="30" t="str">
        <f t="shared" si="1881"/>
        <v/>
      </c>
      <c r="DL138" s="30" t="str">
        <f t="shared" si="1882"/>
        <v/>
      </c>
      <c r="DM138" s="30" t="str">
        <f t="shared" si="1883"/>
        <v/>
      </c>
      <c r="DN138" s="30" t="str">
        <f t="shared" si="1884"/>
        <v/>
      </c>
      <c r="DO138" s="30" t="str">
        <f t="shared" si="1885"/>
        <v/>
      </c>
      <c r="DP138" s="30" t="str">
        <f t="shared" si="1886"/>
        <v/>
      </c>
      <c r="DQ138" s="30" t="str">
        <f t="shared" si="1887"/>
        <v/>
      </c>
      <c r="DR138" s="30" t="str">
        <f t="shared" si="1888"/>
        <v/>
      </c>
      <c r="DS138" s="30" t="str">
        <f t="shared" si="1889"/>
        <v/>
      </c>
      <c r="DT138" s="30" t="str">
        <f t="shared" si="1890"/>
        <v/>
      </c>
      <c r="DU138" s="30" t="str">
        <f t="shared" si="1891"/>
        <v/>
      </c>
      <c r="DV138" s="30" t="str">
        <f t="shared" si="1892"/>
        <v/>
      </c>
      <c r="DW138" s="30" t="str">
        <f t="shared" si="1893"/>
        <v/>
      </c>
      <c r="DX138" s="30" t="str">
        <f t="shared" si="1894"/>
        <v/>
      </c>
      <c r="DY138" s="30" t="str">
        <f t="shared" si="1895"/>
        <v/>
      </c>
      <c r="DZ138" s="30" t="str">
        <f t="shared" si="1896"/>
        <v/>
      </c>
      <c r="EA138" s="30" t="str">
        <f t="shared" si="1897"/>
        <v/>
      </c>
      <c r="EB138" s="30" t="str">
        <f t="shared" si="1898"/>
        <v/>
      </c>
      <c r="EC138" s="30" t="str">
        <f t="shared" si="1899"/>
        <v/>
      </c>
      <c r="ED138" s="30" t="str">
        <f t="shared" si="1900"/>
        <v/>
      </c>
      <c r="EE138" s="30" t="str">
        <f t="shared" si="1901"/>
        <v/>
      </c>
      <c r="EF138" s="30" t="str">
        <f t="shared" si="1902"/>
        <v/>
      </c>
      <c r="EG138" s="30" t="str">
        <f t="shared" si="1903"/>
        <v/>
      </c>
      <c r="EH138" s="30" t="str">
        <f t="shared" si="1904"/>
        <v/>
      </c>
      <c r="EI138" s="30" t="str">
        <f t="shared" si="1905"/>
        <v/>
      </c>
      <c r="EJ138" s="30" t="str">
        <f t="shared" si="1906"/>
        <v/>
      </c>
      <c r="EK138" s="30" t="str">
        <f t="shared" si="1907"/>
        <v/>
      </c>
      <c r="EL138" s="30" t="str">
        <f t="shared" si="1908"/>
        <v/>
      </c>
      <c r="EM138" s="30" t="str">
        <f t="shared" si="1909"/>
        <v/>
      </c>
      <c r="EN138" s="30" t="str">
        <f t="shared" si="1910"/>
        <v/>
      </c>
      <c r="EO138" s="30" t="str">
        <f t="shared" si="1911"/>
        <v/>
      </c>
      <c r="EP138" s="30" t="str">
        <f t="shared" si="1912"/>
        <v/>
      </c>
      <c r="EQ138" s="30" t="str">
        <f t="shared" si="1913"/>
        <v/>
      </c>
      <c r="ER138" s="30" t="str">
        <f t="shared" si="1914"/>
        <v/>
      </c>
      <c r="ES138" s="30" t="str">
        <f t="shared" si="1915"/>
        <v/>
      </c>
      <c r="ET138" s="30" t="str">
        <f t="shared" si="1916"/>
        <v/>
      </c>
      <c r="EU138" s="30" t="str">
        <f t="shared" si="1917"/>
        <v/>
      </c>
      <c r="EV138" s="30" t="str">
        <f t="shared" si="1918"/>
        <v/>
      </c>
      <c r="EW138" s="30" t="str">
        <f t="shared" si="1919"/>
        <v/>
      </c>
      <c r="EX138" s="30" t="str">
        <f t="shared" si="1920"/>
        <v/>
      </c>
      <c r="EY138" s="30" t="str">
        <f t="shared" si="1921"/>
        <v/>
      </c>
      <c r="EZ138" s="30" t="str">
        <f t="shared" si="1922"/>
        <v/>
      </c>
      <c r="FA138" s="30" t="str">
        <f t="shared" si="1923"/>
        <v/>
      </c>
      <c r="FB138" s="30" t="str">
        <f t="shared" si="1924"/>
        <v/>
      </c>
      <c r="FC138" s="30" t="str">
        <f t="shared" si="1925"/>
        <v/>
      </c>
      <c r="FD138" s="30" t="str">
        <f t="shared" si="1926"/>
        <v/>
      </c>
      <c r="FE138" s="30" t="str">
        <f t="shared" si="1927"/>
        <v/>
      </c>
      <c r="FF138" s="30" t="str">
        <f t="shared" si="1928"/>
        <v/>
      </c>
      <c r="FG138" s="30" t="str">
        <f t="shared" si="1929"/>
        <v/>
      </c>
      <c r="FH138" s="30" t="str">
        <f t="shared" si="1930"/>
        <v/>
      </c>
      <c r="FI138" s="30" t="str">
        <f t="shared" si="1931"/>
        <v/>
      </c>
      <c r="FJ138" s="30" t="str">
        <f t="shared" si="1932"/>
        <v/>
      </c>
      <c r="FK138" s="30" t="str">
        <f t="shared" si="1933"/>
        <v/>
      </c>
      <c r="FL138" s="30" t="str">
        <f t="shared" si="1934"/>
        <v/>
      </c>
      <c r="FM138" s="30" t="str">
        <f t="shared" si="1935"/>
        <v/>
      </c>
      <c r="FN138" s="30" t="str">
        <f t="shared" si="1936"/>
        <v/>
      </c>
      <c r="FO138" s="30" t="str">
        <f t="shared" si="1937"/>
        <v/>
      </c>
      <c r="FP138" s="30" t="str">
        <f t="shared" si="1938"/>
        <v/>
      </c>
      <c r="FQ138" s="30" t="str">
        <f t="shared" si="1939"/>
        <v/>
      </c>
      <c r="FR138" s="30" t="str">
        <f t="shared" si="1940"/>
        <v/>
      </c>
      <c r="FS138" s="30" t="str">
        <f t="shared" si="1941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44"/>
        <v>ReplaceableTextures\\CommandButtons\\BTNIN12.blp</v>
      </c>
      <c r="CN139" s="7" t="str">
        <f t="shared" si="1866"/>
        <v>InitUnitState('IN12',,,,,,,,,,)</v>
      </c>
      <c r="CO139" s="7" t="str">
        <f t="shared" si="1867"/>
        <v>InitUnitNormal('IN12',,,,,,,,,,)</v>
      </c>
      <c r="CP139" s="7" t="str">
        <f t="shared" si="1868"/>
        <v>InitUnitMagic('IN12',,,,,,,,,,)</v>
      </c>
      <c r="CQ139" s="7" t="str">
        <f t="shared" si="1869"/>
        <v>InitUnitAdd('IN12',,,,,,,,,,)</v>
      </c>
      <c r="CR139" s="7" t="str">
        <f t="shared" si="1865"/>
        <v>InitEquipData('IN12',,"",,,,,'','','','','','',"ReplaceableTextures\\CommandButtons\\BTNIT06.blp")</v>
      </c>
      <c r="CU139" s="45" t="str">
        <f t="shared" si="1870"/>
        <v>|n</v>
      </c>
      <c r="CV139" s="29" t="str">
        <f t="shared" si="1871"/>
        <v>获得20000金币</v>
      </c>
      <c r="CW139" s="24"/>
      <c r="CX139" s="24"/>
      <c r="CY139" s="24"/>
      <c r="CZ139" s="24"/>
      <c r="DA139" s="24"/>
      <c r="DB139" s="30" t="str">
        <f t="shared" si="1872"/>
        <v/>
      </c>
      <c r="DC139" s="30" t="str">
        <f t="shared" si="1873"/>
        <v/>
      </c>
      <c r="DD139" s="30" t="str">
        <f t="shared" si="1874"/>
        <v/>
      </c>
      <c r="DE139" s="30" t="str">
        <f t="shared" si="1875"/>
        <v/>
      </c>
      <c r="DF139" s="30" t="str">
        <f t="shared" si="1876"/>
        <v/>
      </c>
      <c r="DG139" s="30" t="str">
        <f t="shared" si="1877"/>
        <v/>
      </c>
      <c r="DH139" s="30" t="str">
        <f t="shared" si="1878"/>
        <v/>
      </c>
      <c r="DI139" s="30" t="str">
        <f t="shared" si="1879"/>
        <v/>
      </c>
      <c r="DJ139" s="30" t="str">
        <f t="shared" si="1880"/>
        <v/>
      </c>
      <c r="DK139" s="30" t="str">
        <f t="shared" si="1881"/>
        <v/>
      </c>
      <c r="DL139" s="30" t="str">
        <f t="shared" si="1882"/>
        <v/>
      </c>
      <c r="DM139" s="30" t="str">
        <f t="shared" si="1883"/>
        <v/>
      </c>
      <c r="DN139" s="30" t="str">
        <f t="shared" si="1884"/>
        <v/>
      </c>
      <c r="DO139" s="30" t="str">
        <f t="shared" si="1885"/>
        <v/>
      </c>
      <c r="DP139" s="30" t="str">
        <f t="shared" si="1886"/>
        <v/>
      </c>
      <c r="DQ139" s="30" t="str">
        <f t="shared" si="1887"/>
        <v/>
      </c>
      <c r="DR139" s="30" t="str">
        <f t="shared" si="1888"/>
        <v/>
      </c>
      <c r="DS139" s="30" t="str">
        <f t="shared" si="1889"/>
        <v/>
      </c>
      <c r="DT139" s="30" t="str">
        <f t="shared" si="1890"/>
        <v/>
      </c>
      <c r="DU139" s="30" t="str">
        <f t="shared" si="1891"/>
        <v/>
      </c>
      <c r="DV139" s="30" t="str">
        <f t="shared" si="1892"/>
        <v/>
      </c>
      <c r="DW139" s="30" t="str">
        <f t="shared" si="1893"/>
        <v/>
      </c>
      <c r="DX139" s="30" t="str">
        <f t="shared" si="1894"/>
        <v/>
      </c>
      <c r="DY139" s="30" t="str">
        <f t="shared" si="1895"/>
        <v/>
      </c>
      <c r="DZ139" s="30" t="str">
        <f t="shared" si="1896"/>
        <v/>
      </c>
      <c r="EA139" s="30" t="str">
        <f t="shared" si="1897"/>
        <v/>
      </c>
      <c r="EB139" s="30" t="str">
        <f t="shared" si="1898"/>
        <v/>
      </c>
      <c r="EC139" s="30" t="str">
        <f t="shared" si="1899"/>
        <v/>
      </c>
      <c r="ED139" s="30" t="str">
        <f t="shared" si="1900"/>
        <v/>
      </c>
      <c r="EE139" s="30" t="str">
        <f t="shared" si="1901"/>
        <v/>
      </c>
      <c r="EF139" s="30" t="str">
        <f t="shared" si="1902"/>
        <v/>
      </c>
      <c r="EG139" s="30" t="str">
        <f t="shared" si="1903"/>
        <v/>
      </c>
      <c r="EH139" s="30" t="str">
        <f t="shared" si="1904"/>
        <v/>
      </c>
      <c r="EI139" s="30" t="str">
        <f t="shared" si="1905"/>
        <v/>
      </c>
      <c r="EJ139" s="30" t="str">
        <f t="shared" si="1906"/>
        <v/>
      </c>
      <c r="EK139" s="30" t="str">
        <f t="shared" si="1907"/>
        <v/>
      </c>
      <c r="EL139" s="30" t="str">
        <f t="shared" si="1908"/>
        <v/>
      </c>
      <c r="EM139" s="30" t="str">
        <f t="shared" si="1909"/>
        <v/>
      </c>
      <c r="EN139" s="30" t="str">
        <f t="shared" si="1910"/>
        <v/>
      </c>
      <c r="EO139" s="30" t="str">
        <f t="shared" si="1911"/>
        <v/>
      </c>
      <c r="EP139" s="30" t="str">
        <f t="shared" si="1912"/>
        <v/>
      </c>
      <c r="EQ139" s="30" t="str">
        <f t="shared" si="1913"/>
        <v/>
      </c>
      <c r="ER139" s="30" t="str">
        <f t="shared" si="1914"/>
        <v/>
      </c>
      <c r="ES139" s="30" t="str">
        <f t="shared" si="1915"/>
        <v/>
      </c>
      <c r="ET139" s="30" t="str">
        <f t="shared" si="1916"/>
        <v/>
      </c>
      <c r="EU139" s="30" t="str">
        <f t="shared" si="1917"/>
        <v/>
      </c>
      <c r="EV139" s="30" t="str">
        <f t="shared" si="1918"/>
        <v/>
      </c>
      <c r="EW139" s="30" t="str">
        <f t="shared" si="1919"/>
        <v/>
      </c>
      <c r="EX139" s="30" t="str">
        <f t="shared" si="1920"/>
        <v/>
      </c>
      <c r="EY139" s="30" t="str">
        <f t="shared" si="1921"/>
        <v/>
      </c>
      <c r="EZ139" s="30" t="str">
        <f t="shared" si="1922"/>
        <v/>
      </c>
      <c r="FA139" s="30" t="str">
        <f t="shared" si="1923"/>
        <v/>
      </c>
      <c r="FB139" s="30" t="str">
        <f t="shared" si="1924"/>
        <v/>
      </c>
      <c r="FC139" s="30" t="str">
        <f t="shared" si="1925"/>
        <v/>
      </c>
      <c r="FD139" s="30" t="str">
        <f t="shared" si="1926"/>
        <v/>
      </c>
      <c r="FE139" s="30" t="str">
        <f t="shared" si="1927"/>
        <v/>
      </c>
      <c r="FF139" s="30" t="str">
        <f t="shared" si="1928"/>
        <v/>
      </c>
      <c r="FG139" s="30" t="str">
        <f t="shared" si="1929"/>
        <v/>
      </c>
      <c r="FH139" s="30" t="str">
        <f t="shared" si="1930"/>
        <v/>
      </c>
      <c r="FI139" s="30" t="str">
        <f t="shared" si="1931"/>
        <v/>
      </c>
      <c r="FJ139" s="30" t="str">
        <f t="shared" si="1932"/>
        <v/>
      </c>
      <c r="FK139" s="30" t="str">
        <f t="shared" si="1933"/>
        <v/>
      </c>
      <c r="FL139" s="30" t="str">
        <f t="shared" si="1934"/>
        <v/>
      </c>
      <c r="FM139" s="30" t="str">
        <f t="shared" si="1935"/>
        <v/>
      </c>
      <c r="FN139" s="30" t="str">
        <f t="shared" si="1936"/>
        <v/>
      </c>
      <c r="FO139" s="30" t="str">
        <f t="shared" si="1937"/>
        <v/>
      </c>
      <c r="FP139" s="30" t="str">
        <f t="shared" si="1938"/>
        <v/>
      </c>
      <c r="FQ139" s="30" t="str">
        <f t="shared" si="1939"/>
        <v/>
      </c>
      <c r="FR139" s="30" t="str">
        <f t="shared" si="1940"/>
        <v/>
      </c>
      <c r="FS139" s="30" t="str">
        <f t="shared" si="1941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44"/>
        <v>ReplaceableTextures\\CommandButtons\\BTNIN13.blp</v>
      </c>
      <c r="CN140" s="7" t="str">
        <f t="shared" si="1478"/>
        <v>InitUnitState('IN13',,,,,,,,,,)</v>
      </c>
      <c r="CO140" s="7" t="str">
        <f t="shared" si="1479"/>
        <v>InitUnitNormal('IN13',,,,,,,,,,)</v>
      </c>
      <c r="CP140" s="7" t="str">
        <f t="shared" si="1480"/>
        <v>InitUnitMagic('IN13',,,,,,,,,,)</v>
      </c>
      <c r="CQ140" s="7" t="str">
        <f t="shared" si="1481"/>
        <v>InitUnitAdd('IN13',,,,,,,,,,)</v>
      </c>
      <c r="CR140" s="7" t="str">
        <f t="shared" si="1865"/>
        <v>InitEquipData('IN13',,"",,,,,'','','','','','',"ReplaceableTextures\\CommandButtons\\BTNIT07.blp")</v>
      </c>
      <c r="CU140" s="45" t="str">
        <f t="shared" si="1482"/>
        <v>|n</v>
      </c>
      <c r="CV140" s="29" t="str">
        <f t="shared" si="1483"/>
        <v>获得2000金币</v>
      </c>
      <c r="CW140" s="24"/>
      <c r="CX140" s="24"/>
      <c r="CY140" s="24"/>
      <c r="CZ140" s="24"/>
      <c r="DA140" s="24"/>
      <c r="DB140" s="30" t="str">
        <f t="shared" si="1484"/>
        <v/>
      </c>
      <c r="DC140" s="30" t="str">
        <f t="shared" si="1485"/>
        <v/>
      </c>
      <c r="DD140" s="30" t="str">
        <f t="shared" si="1486"/>
        <v/>
      </c>
      <c r="DE140" s="30" t="str">
        <f t="shared" si="1487"/>
        <v/>
      </c>
      <c r="DF140" s="30" t="str">
        <f t="shared" si="1488"/>
        <v/>
      </c>
      <c r="DG140" s="30" t="str">
        <f t="shared" si="1489"/>
        <v/>
      </c>
      <c r="DH140" s="30" t="str">
        <f t="shared" si="1490"/>
        <v/>
      </c>
      <c r="DI140" s="30" t="str">
        <f t="shared" si="1491"/>
        <v/>
      </c>
      <c r="DJ140" s="30" t="str">
        <f t="shared" si="1492"/>
        <v/>
      </c>
      <c r="DK140" s="30" t="str">
        <f t="shared" si="1493"/>
        <v/>
      </c>
      <c r="DL140" s="30" t="str">
        <f t="shared" si="1494"/>
        <v/>
      </c>
      <c r="DM140" s="30" t="str">
        <f t="shared" si="1495"/>
        <v/>
      </c>
      <c r="DN140" s="30" t="str">
        <f t="shared" si="1496"/>
        <v/>
      </c>
      <c r="DO140" s="30" t="str">
        <f t="shared" si="1497"/>
        <v/>
      </c>
      <c r="DP140" s="30" t="str">
        <f t="shared" si="1498"/>
        <v/>
      </c>
      <c r="DQ140" s="30" t="str">
        <f t="shared" si="1499"/>
        <v/>
      </c>
      <c r="DR140" s="30" t="str">
        <f t="shared" si="1500"/>
        <v/>
      </c>
      <c r="DS140" s="30" t="str">
        <f t="shared" si="1501"/>
        <v/>
      </c>
      <c r="DT140" s="30" t="str">
        <f t="shared" si="1502"/>
        <v/>
      </c>
      <c r="DU140" s="30" t="str">
        <f t="shared" si="1503"/>
        <v/>
      </c>
      <c r="DV140" s="30" t="str">
        <f t="shared" si="1504"/>
        <v/>
      </c>
      <c r="DW140" s="30" t="str">
        <f t="shared" si="1505"/>
        <v/>
      </c>
      <c r="DX140" s="30" t="str">
        <f t="shared" si="1506"/>
        <v/>
      </c>
      <c r="DY140" s="30" t="str">
        <f t="shared" si="1507"/>
        <v/>
      </c>
      <c r="DZ140" s="30" t="str">
        <f t="shared" si="1508"/>
        <v/>
      </c>
      <c r="EA140" s="30" t="str">
        <f t="shared" si="1509"/>
        <v/>
      </c>
      <c r="EB140" s="30" t="str">
        <f t="shared" si="1510"/>
        <v/>
      </c>
      <c r="EC140" s="30" t="str">
        <f t="shared" si="1511"/>
        <v/>
      </c>
      <c r="ED140" s="30" t="str">
        <f t="shared" si="1512"/>
        <v/>
      </c>
      <c r="EE140" s="30" t="str">
        <f t="shared" si="1513"/>
        <v/>
      </c>
      <c r="EF140" s="30" t="str">
        <f t="shared" si="1514"/>
        <v/>
      </c>
      <c r="EG140" s="30" t="str">
        <f t="shared" si="1515"/>
        <v/>
      </c>
      <c r="EH140" s="30" t="str">
        <f t="shared" si="1516"/>
        <v/>
      </c>
      <c r="EI140" s="30" t="str">
        <f t="shared" si="1517"/>
        <v/>
      </c>
      <c r="EJ140" s="30" t="str">
        <f t="shared" si="1518"/>
        <v/>
      </c>
      <c r="EK140" s="30" t="str">
        <f t="shared" si="1519"/>
        <v/>
      </c>
      <c r="EL140" s="30" t="str">
        <f t="shared" si="1520"/>
        <v/>
      </c>
      <c r="EM140" s="30" t="str">
        <f t="shared" si="1521"/>
        <v/>
      </c>
      <c r="EN140" s="30" t="str">
        <f t="shared" si="1522"/>
        <v/>
      </c>
      <c r="EO140" s="30" t="str">
        <f t="shared" si="1523"/>
        <v/>
      </c>
      <c r="EP140" s="30" t="str">
        <f t="shared" si="1524"/>
        <v/>
      </c>
      <c r="EQ140" s="30" t="str">
        <f t="shared" si="1525"/>
        <v/>
      </c>
      <c r="ER140" s="30" t="str">
        <f t="shared" si="1526"/>
        <v/>
      </c>
      <c r="ES140" s="30" t="str">
        <f t="shared" si="1527"/>
        <v/>
      </c>
      <c r="ET140" s="30" t="str">
        <f t="shared" si="1528"/>
        <v/>
      </c>
      <c r="EU140" s="30" t="str">
        <f t="shared" si="1529"/>
        <v/>
      </c>
      <c r="EV140" s="30" t="str">
        <f t="shared" si="1530"/>
        <v/>
      </c>
      <c r="EW140" s="30" t="str">
        <f t="shared" si="1531"/>
        <v/>
      </c>
      <c r="EX140" s="30" t="str">
        <f t="shared" si="1532"/>
        <v/>
      </c>
      <c r="EY140" s="30" t="str">
        <f t="shared" si="1533"/>
        <v/>
      </c>
      <c r="EZ140" s="30" t="str">
        <f t="shared" si="1534"/>
        <v/>
      </c>
      <c r="FA140" s="30" t="str">
        <f t="shared" si="1535"/>
        <v/>
      </c>
      <c r="FB140" s="30" t="str">
        <f t="shared" si="1536"/>
        <v/>
      </c>
      <c r="FC140" s="30" t="str">
        <f t="shared" si="1537"/>
        <v/>
      </c>
      <c r="FD140" s="30" t="str">
        <f t="shared" si="1538"/>
        <v/>
      </c>
      <c r="FE140" s="30" t="str">
        <f t="shared" si="1539"/>
        <v/>
      </c>
      <c r="FF140" s="30" t="str">
        <f t="shared" si="1540"/>
        <v/>
      </c>
      <c r="FG140" s="30" t="str">
        <f t="shared" si="1541"/>
        <v/>
      </c>
      <c r="FH140" s="30" t="str">
        <f t="shared" si="1542"/>
        <v/>
      </c>
      <c r="FI140" s="30" t="str">
        <f t="shared" si="1543"/>
        <v/>
      </c>
      <c r="FJ140" s="30" t="str">
        <f t="shared" si="1544"/>
        <v/>
      </c>
      <c r="FK140" s="30" t="str">
        <f t="shared" si="1545"/>
        <v/>
      </c>
      <c r="FL140" s="30" t="str">
        <f t="shared" si="1546"/>
        <v/>
      </c>
      <c r="FM140" s="30" t="str">
        <f t="shared" si="1547"/>
        <v/>
      </c>
      <c r="FN140" s="30" t="str">
        <f t="shared" si="1548"/>
        <v/>
      </c>
      <c r="FO140" s="30" t="str">
        <f t="shared" si="1549"/>
        <v/>
      </c>
      <c r="FP140" s="30" t="str">
        <f t="shared" si="1550"/>
        <v/>
      </c>
      <c r="FQ140" s="30" t="str">
        <f t="shared" si="1551"/>
        <v/>
      </c>
      <c r="FR140" s="30" t="str">
        <f t="shared" si="1552"/>
        <v/>
      </c>
      <c r="FS140" s="30" t="str">
        <f t="shared" si="1553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44"/>
        <v>ReplaceableTextures\\CommandButtons\\BTNIN14.blp</v>
      </c>
      <c r="CN141" s="7" t="str">
        <f t="shared" si="1478"/>
        <v>InitUnitState('IN14',,,,,,,,,,)</v>
      </c>
      <c r="CO141" s="7" t="str">
        <f t="shared" si="1479"/>
        <v>InitUnitNormal('IN14',,,,,,,,,,)</v>
      </c>
      <c r="CP141" s="7" t="str">
        <f t="shared" si="1480"/>
        <v>InitUnitMagic('IN14',,,,,,,,,,)</v>
      </c>
      <c r="CQ141" s="7" t="str">
        <f t="shared" si="1481"/>
        <v>InitUnitAdd('IN14',,,,,,,,,,)</v>
      </c>
      <c r="CR141" s="7" t="str">
        <f t="shared" si="1865"/>
        <v>InitEquipData('IN14',,"",,,,,'','','','','','',"ReplaceableTextures\\CommandButtons\\BTNIT08.blp")</v>
      </c>
      <c r="CU141" s="45" t="str">
        <f t="shared" si="1482"/>
        <v>|n</v>
      </c>
      <c r="CV141" s="29" t="str">
        <f t="shared" si="1483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84"/>
        <v/>
      </c>
      <c r="DC141" s="30" t="str">
        <f t="shared" si="1485"/>
        <v/>
      </c>
      <c r="DD141" s="30" t="str">
        <f t="shared" si="1486"/>
        <v/>
      </c>
      <c r="DE141" s="30" t="str">
        <f t="shared" si="1487"/>
        <v/>
      </c>
      <c r="DF141" s="30" t="str">
        <f t="shared" si="1488"/>
        <v/>
      </c>
      <c r="DG141" s="30" t="str">
        <f t="shared" si="1489"/>
        <v/>
      </c>
      <c r="DH141" s="30" t="str">
        <f t="shared" si="1490"/>
        <v/>
      </c>
      <c r="DI141" s="30" t="str">
        <f t="shared" si="1491"/>
        <v/>
      </c>
      <c r="DJ141" s="30" t="str">
        <f t="shared" si="1492"/>
        <v/>
      </c>
      <c r="DK141" s="30" t="str">
        <f t="shared" si="1493"/>
        <v/>
      </c>
      <c r="DL141" s="30" t="str">
        <f t="shared" si="1494"/>
        <v/>
      </c>
      <c r="DM141" s="30" t="str">
        <f t="shared" si="1495"/>
        <v/>
      </c>
      <c r="DN141" s="30" t="str">
        <f t="shared" si="1496"/>
        <v/>
      </c>
      <c r="DO141" s="30" t="str">
        <f t="shared" si="1497"/>
        <v/>
      </c>
      <c r="DP141" s="30" t="str">
        <f t="shared" si="1498"/>
        <v/>
      </c>
      <c r="DQ141" s="30" t="str">
        <f t="shared" si="1499"/>
        <v/>
      </c>
      <c r="DR141" s="30" t="str">
        <f t="shared" si="1500"/>
        <v/>
      </c>
      <c r="DS141" s="30" t="str">
        <f t="shared" si="1501"/>
        <v/>
      </c>
      <c r="DT141" s="30" t="str">
        <f t="shared" si="1502"/>
        <v/>
      </c>
      <c r="DU141" s="30" t="str">
        <f t="shared" si="1503"/>
        <v/>
      </c>
      <c r="DV141" s="30" t="str">
        <f t="shared" si="1504"/>
        <v/>
      </c>
      <c r="DW141" s="30" t="str">
        <f t="shared" si="1505"/>
        <v/>
      </c>
      <c r="DX141" s="30" t="str">
        <f t="shared" si="1506"/>
        <v/>
      </c>
      <c r="DY141" s="30" t="str">
        <f t="shared" si="1507"/>
        <v/>
      </c>
      <c r="DZ141" s="30" t="str">
        <f t="shared" si="1508"/>
        <v/>
      </c>
      <c r="EA141" s="30" t="str">
        <f t="shared" si="1509"/>
        <v/>
      </c>
      <c r="EB141" s="30" t="str">
        <f t="shared" si="1510"/>
        <v/>
      </c>
      <c r="EC141" s="30" t="str">
        <f t="shared" si="1511"/>
        <v/>
      </c>
      <c r="ED141" s="30" t="str">
        <f t="shared" si="1512"/>
        <v/>
      </c>
      <c r="EE141" s="30" t="str">
        <f t="shared" si="1513"/>
        <v/>
      </c>
      <c r="EF141" s="30" t="str">
        <f t="shared" si="1514"/>
        <v/>
      </c>
      <c r="EG141" s="30" t="str">
        <f t="shared" si="1515"/>
        <v/>
      </c>
      <c r="EH141" s="30" t="str">
        <f t="shared" si="1516"/>
        <v/>
      </c>
      <c r="EI141" s="30" t="str">
        <f t="shared" si="1517"/>
        <v/>
      </c>
      <c r="EJ141" s="30" t="str">
        <f t="shared" si="1518"/>
        <v/>
      </c>
      <c r="EK141" s="30" t="str">
        <f t="shared" si="1519"/>
        <v/>
      </c>
      <c r="EL141" s="30" t="str">
        <f t="shared" si="1520"/>
        <v/>
      </c>
      <c r="EM141" s="30" t="str">
        <f t="shared" si="1521"/>
        <v/>
      </c>
      <c r="EN141" s="30" t="str">
        <f t="shared" si="1522"/>
        <v/>
      </c>
      <c r="EO141" s="30" t="str">
        <f t="shared" si="1523"/>
        <v/>
      </c>
      <c r="EP141" s="30" t="str">
        <f t="shared" si="1524"/>
        <v/>
      </c>
      <c r="EQ141" s="30" t="str">
        <f t="shared" si="1525"/>
        <v/>
      </c>
      <c r="ER141" s="30" t="str">
        <f t="shared" si="1526"/>
        <v/>
      </c>
      <c r="ES141" s="30" t="str">
        <f t="shared" si="1527"/>
        <v/>
      </c>
      <c r="ET141" s="30" t="str">
        <f t="shared" si="1528"/>
        <v/>
      </c>
      <c r="EU141" s="30" t="str">
        <f t="shared" si="1529"/>
        <v/>
      </c>
      <c r="EV141" s="30" t="str">
        <f t="shared" si="1530"/>
        <v/>
      </c>
      <c r="EW141" s="30" t="str">
        <f t="shared" si="1531"/>
        <v/>
      </c>
      <c r="EX141" s="30" t="str">
        <f t="shared" si="1532"/>
        <v/>
      </c>
      <c r="EY141" s="30" t="str">
        <f t="shared" si="1533"/>
        <v/>
      </c>
      <c r="EZ141" s="30" t="str">
        <f t="shared" si="1534"/>
        <v/>
      </c>
      <c r="FA141" s="30" t="str">
        <f t="shared" si="1535"/>
        <v/>
      </c>
      <c r="FB141" s="30" t="str">
        <f t="shared" si="1536"/>
        <v/>
      </c>
      <c r="FC141" s="30" t="str">
        <f t="shared" si="1537"/>
        <v/>
      </c>
      <c r="FD141" s="30" t="str">
        <f t="shared" si="1538"/>
        <v/>
      </c>
      <c r="FE141" s="30" t="str">
        <f t="shared" si="1539"/>
        <v/>
      </c>
      <c r="FF141" s="30" t="str">
        <f t="shared" si="1540"/>
        <v/>
      </c>
      <c r="FG141" s="30" t="str">
        <f t="shared" si="1541"/>
        <v/>
      </c>
      <c r="FH141" s="30" t="str">
        <f t="shared" si="1542"/>
        <v/>
      </c>
      <c r="FI141" s="30" t="str">
        <f t="shared" si="1543"/>
        <v/>
      </c>
      <c r="FJ141" s="30" t="str">
        <f t="shared" si="1544"/>
        <v/>
      </c>
      <c r="FK141" s="30" t="str">
        <f t="shared" si="1545"/>
        <v/>
      </c>
      <c r="FL141" s="30" t="str">
        <f t="shared" si="1546"/>
        <v/>
      </c>
      <c r="FM141" s="30" t="str">
        <f t="shared" si="1547"/>
        <v/>
      </c>
      <c r="FN141" s="30" t="str">
        <f t="shared" si="1548"/>
        <v/>
      </c>
      <c r="FO141" s="30" t="str">
        <f t="shared" si="1549"/>
        <v/>
      </c>
      <c r="FP141" s="30" t="str">
        <f t="shared" si="1550"/>
        <v/>
      </c>
      <c r="FQ141" s="30" t="str">
        <f t="shared" si="1551"/>
        <v/>
      </c>
      <c r="FR141" s="30" t="str">
        <f t="shared" si="1552"/>
        <v/>
      </c>
      <c r="FS141" s="30" t="str">
        <f t="shared" si="1553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44"/>
        <v>ReplaceableTextures\\CommandButtons\\BTNIN15.blp</v>
      </c>
      <c r="CN142" s="7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65"/>
        <v>InitEquipData('IN15',,"",,,,,'','','','','','',"ReplaceableTextures\\CommandButtons\\BTNIT09.blp")</v>
      </c>
      <c r="CU142" s="45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47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48">IF(V142="","","|n"&amp;DB$2&amp;"+"&amp;V142&amp;DB$1)</f>
        <v/>
      </c>
      <c r="DC142" s="30" t="str">
        <f t="shared" ref="DC142:DC144" si="1949">IF(W142="","","|n"&amp;DC$2&amp;"+"&amp;W142&amp;DC$1)</f>
        <v/>
      </c>
      <c r="DD142" s="30" t="str">
        <f t="shared" ref="DD142:DD144" si="1950">IF(X142="","","|n"&amp;DD$2&amp;"+"&amp;X142&amp;DD$1)</f>
        <v/>
      </c>
      <c r="DE142" s="30" t="str">
        <f t="shared" ref="DE142:DE144" si="1951">IF(Y142="","","|n"&amp;DE$2&amp;"+"&amp;Y142&amp;DE$1)</f>
        <v/>
      </c>
      <c r="DF142" s="30" t="str">
        <f t="shared" ref="DF142:DF144" si="1952">IF(Z142="","","|n"&amp;DF$2&amp;"+"&amp;Z142&amp;DF$1)</f>
        <v/>
      </c>
      <c r="DG142" s="30" t="str">
        <f t="shared" ref="DG142:DG144" si="1953">IF(AA142="","","|n"&amp;DG$2&amp;"+"&amp;AA142&amp;DG$1)</f>
        <v/>
      </c>
      <c r="DH142" s="30" t="str">
        <f t="shared" ref="DH142:DH144" si="1954">IF(AB142="","","|n"&amp;DH$2&amp;"+"&amp;AB142&amp;DH$1)</f>
        <v/>
      </c>
      <c r="DI142" s="30" t="str">
        <f t="shared" ref="DI142:DI144" si="1955">IF(AC142="","","|n"&amp;DI$2&amp;"+"&amp;AC142&amp;DI$1)</f>
        <v/>
      </c>
      <c r="DJ142" s="30" t="str">
        <f t="shared" ref="DJ142:DJ144" si="1956">IF(AD142="","","|n"&amp;DJ$2&amp;"+"&amp;AD142&amp;DJ$1)</f>
        <v/>
      </c>
      <c r="DK142" s="30" t="str">
        <f t="shared" ref="DK142:DK144" si="1957">IF(AE142="","","|n"&amp;DK$2&amp;"+"&amp;AE142&amp;DK$1)</f>
        <v/>
      </c>
      <c r="DL142" s="30" t="str">
        <f t="shared" ref="DL142:DL144" si="1958">IF(AF142="","","|n"&amp;DL$2&amp;"+"&amp;AF142&amp;DL$1)</f>
        <v/>
      </c>
      <c r="DM142" s="30" t="str">
        <f t="shared" ref="DM142:DM144" si="1959">IF(AG142="","","|n"&amp;DM$2&amp;"+"&amp;AG142&amp;DM$1)</f>
        <v/>
      </c>
      <c r="DN142" s="30" t="str">
        <f t="shared" ref="DN142:DN144" si="1960">IF(AH142="","","|n"&amp;DN$2&amp;"+"&amp;AH142&amp;DN$1)</f>
        <v/>
      </c>
      <c r="DO142" s="30" t="str">
        <f t="shared" ref="DO142:DO144" si="1961">IF(AI142="","","|n"&amp;DO$2&amp;"+"&amp;AI142&amp;DO$1)</f>
        <v/>
      </c>
      <c r="DP142" s="30" t="str">
        <f t="shared" ref="DP142:DP144" si="1962">IF(AJ142="","","|n"&amp;DP$2&amp;"+"&amp;AJ142&amp;DP$1)</f>
        <v/>
      </c>
      <c r="DQ142" s="30" t="str">
        <f t="shared" ref="DQ142:DQ144" si="1963">IF(AK142="","","|n"&amp;DQ$2&amp;"+"&amp;AK142&amp;DQ$1)</f>
        <v/>
      </c>
      <c r="DR142" s="30" t="str">
        <f t="shared" ref="DR142:DR144" si="1964">IF(AL142="","","|n"&amp;DR$2&amp;"+"&amp;AL142&amp;DR$1)</f>
        <v/>
      </c>
      <c r="DS142" s="30" t="str">
        <f t="shared" ref="DS142:DS144" si="1965">IF(AM142="","","|n"&amp;DS$2&amp;"+"&amp;AM142&amp;DS$1)</f>
        <v/>
      </c>
      <c r="DT142" s="30" t="str">
        <f t="shared" ref="DT142:DT144" si="1966">IF(AN142="","","|n"&amp;DT$2&amp;"+"&amp;AN142&amp;DT$1)</f>
        <v/>
      </c>
      <c r="DU142" s="30" t="str">
        <f t="shared" ref="DU142:DU144" si="1967">IF(AO142="","","|n"&amp;DU$2&amp;"+"&amp;AO142&amp;DU$1)</f>
        <v/>
      </c>
      <c r="DV142" s="30" t="str">
        <f t="shared" ref="DV142:DV144" si="1968">IF(AP142="","","|n"&amp;DV$2&amp;"+"&amp;AP142&amp;DV$1)</f>
        <v/>
      </c>
      <c r="DW142" s="30" t="str">
        <f t="shared" ref="DW142:DW144" si="1969">IF(AQ142="","","|n"&amp;DW$2&amp;"+"&amp;AQ142&amp;DW$1)</f>
        <v/>
      </c>
      <c r="DX142" s="30" t="str">
        <f t="shared" ref="DX142:DX144" si="1970">IF(AR142="","","|n"&amp;DX$2&amp;"+"&amp;AR142&amp;DX$1)</f>
        <v/>
      </c>
      <c r="DY142" s="30" t="str">
        <f t="shared" ref="DY142:DY144" si="1971">IF(AS142="","","|n"&amp;DY$2&amp;"+"&amp;AS142&amp;DY$1)</f>
        <v/>
      </c>
      <c r="DZ142" s="30" t="str">
        <f t="shared" ref="DZ142:DZ144" si="1972">IF(AT142="","","|n"&amp;DZ$2&amp;"+"&amp;AT142&amp;DZ$1)</f>
        <v/>
      </c>
      <c r="EA142" s="30" t="str">
        <f t="shared" ref="EA142:EA144" si="1973">IF(AU142="","","|n"&amp;EA$2&amp;"+"&amp;AU142&amp;EA$1)</f>
        <v/>
      </c>
      <c r="EB142" s="30" t="str">
        <f t="shared" ref="EB142:EB144" si="1974">IF(AV142="","","|n"&amp;EB$2&amp;"+"&amp;AV142&amp;EB$1)</f>
        <v/>
      </c>
      <c r="EC142" s="30" t="str">
        <f t="shared" ref="EC142:EC144" si="1975">IF(AW142="","","|n"&amp;EC$2&amp;"+"&amp;AW142&amp;EC$1)</f>
        <v/>
      </c>
      <c r="ED142" s="30" t="str">
        <f t="shared" ref="ED142:ED144" si="1976">IF(AX142="","","|n"&amp;ED$2&amp;"+"&amp;AX142&amp;ED$1)</f>
        <v/>
      </c>
      <c r="EE142" s="30" t="str">
        <f t="shared" ref="EE142:EE144" si="1977">IF(AY142="","","|n"&amp;EE$2&amp;"+"&amp;AY142&amp;EE$1)</f>
        <v/>
      </c>
      <c r="EF142" s="30" t="str">
        <f t="shared" ref="EF142:EF144" si="1978">IF(AZ142="","","|n"&amp;EF$2&amp;"+"&amp;AZ142&amp;EF$1)</f>
        <v/>
      </c>
      <c r="EG142" s="30" t="str">
        <f t="shared" ref="EG142:EG144" si="1979">IF(BA142="","","|n"&amp;EG$2&amp;"+"&amp;BA142&amp;EG$1)</f>
        <v/>
      </c>
      <c r="EH142" s="30" t="str">
        <f t="shared" ref="EH142:EH144" si="1980">IF(BB142="","","|n"&amp;EH$2&amp;"+"&amp;BB142&amp;EH$1)</f>
        <v/>
      </c>
      <c r="EI142" s="30" t="str">
        <f t="shared" ref="EI142:EI144" si="1981">IF(BC142="","","|n"&amp;EI$2&amp;"+"&amp;BC142&amp;EI$1)</f>
        <v/>
      </c>
      <c r="EJ142" s="30" t="str">
        <f t="shared" ref="EJ142:EJ144" si="1982">IF(BD142="","","|n"&amp;EJ$2&amp;"+"&amp;BD142&amp;EJ$1)</f>
        <v/>
      </c>
      <c r="EK142" s="30" t="str">
        <f t="shared" ref="EK142:EK144" si="1983">IF(BE142="","","|n"&amp;EK$2&amp;"+"&amp;BE142&amp;EK$1)</f>
        <v/>
      </c>
      <c r="EL142" s="30" t="str">
        <f t="shared" ref="EL142:EL144" si="1984">IF(BF142="","","|n"&amp;EL$2&amp;"+"&amp;BF142&amp;EL$1)</f>
        <v/>
      </c>
      <c r="EM142" s="30" t="str">
        <f t="shared" ref="EM142:EM144" si="1985">IF(BG142="","","|n"&amp;EM$2&amp;"+"&amp;BG142&amp;EM$1)</f>
        <v/>
      </c>
      <c r="EN142" s="30" t="str">
        <f t="shared" ref="EN142:EN144" si="1986">IF(BH142="","","|n"&amp;EN$2&amp;"+"&amp;BH142&amp;EN$1)</f>
        <v/>
      </c>
      <c r="EO142" s="30" t="str">
        <f t="shared" ref="EO142:EO144" si="1987">IF(BI142="","","|n"&amp;EO$2&amp;"+"&amp;BI142&amp;EO$1)</f>
        <v/>
      </c>
      <c r="EP142" s="30" t="str">
        <f t="shared" ref="EP142:EP144" si="1988">IF(BJ142="","","|n"&amp;EP$2&amp;"+"&amp;BJ142&amp;EP$1)</f>
        <v/>
      </c>
      <c r="EQ142" s="30" t="str">
        <f t="shared" ref="EQ142:EQ144" si="1989">IF(BK142="","","|n"&amp;EQ$2&amp;"+"&amp;BK142&amp;EQ$1)</f>
        <v/>
      </c>
      <c r="ER142" s="30" t="str">
        <f t="shared" ref="ER142:ER144" si="1990">IF(BL142="","","|n"&amp;ER$2&amp;"+"&amp;BL142&amp;ER$1)</f>
        <v/>
      </c>
      <c r="ES142" s="30" t="str">
        <f t="shared" ref="ES142:ES144" si="1991">IF(BM142="","","|n"&amp;ES$2&amp;"+"&amp;BM142&amp;ES$1)</f>
        <v/>
      </c>
      <c r="ET142" s="30" t="str">
        <f t="shared" ref="ET142:ET144" si="1992">IF(BN142="","","|n"&amp;ET$2&amp;"+"&amp;BN142&amp;ET$1)</f>
        <v/>
      </c>
      <c r="EU142" s="30" t="str">
        <f t="shared" ref="EU142:EU144" si="1993">IF(BO142="","","|n"&amp;EU$2&amp;"+"&amp;BO142&amp;EU$1)</f>
        <v/>
      </c>
      <c r="EV142" s="30" t="str">
        <f t="shared" ref="EV142:EV144" si="1994">IF(BP142="","","|n"&amp;EV$2&amp;"+"&amp;BP142&amp;EV$1)</f>
        <v/>
      </c>
      <c r="EW142" s="30" t="str">
        <f t="shared" ref="EW142:EW144" si="1995">IF(BQ142="","","|n"&amp;EW$2&amp;"+"&amp;BQ142&amp;EW$1)</f>
        <v/>
      </c>
      <c r="EX142" s="30" t="str">
        <f t="shared" ref="EX142:EX144" si="1996">IF(BR142="","","|n"&amp;EX$2&amp;"+"&amp;BR142&amp;EX$1)</f>
        <v/>
      </c>
      <c r="EY142" s="30" t="str">
        <f t="shared" ref="EY142:EY144" si="1997">IF(BS142="","","|n"&amp;EY$2&amp;"+"&amp;BS142&amp;EY$1)</f>
        <v/>
      </c>
      <c r="EZ142" s="30" t="str">
        <f t="shared" ref="EZ142:EZ144" si="1998">IF(BT142="","","|n"&amp;EZ$2&amp;"+"&amp;BT142&amp;EZ$1)</f>
        <v/>
      </c>
      <c r="FA142" s="30" t="str">
        <f t="shared" ref="FA142:FA144" si="1999">IF(BU142="","","|n"&amp;FA$2&amp;"+"&amp;BU142&amp;FA$1)</f>
        <v/>
      </c>
      <c r="FB142" s="30" t="str">
        <f t="shared" ref="FB142:FB144" si="2000">IF(BV142="","","|n"&amp;FB$2&amp;"+"&amp;BV142&amp;FB$1)</f>
        <v/>
      </c>
      <c r="FC142" s="30" t="str">
        <f t="shared" ref="FC142:FC144" si="2001">IF(BW142="","","|n"&amp;FC$2&amp;"+"&amp;BW142&amp;FC$1)</f>
        <v/>
      </c>
      <c r="FD142" s="30" t="str">
        <f t="shared" ref="FD142:FD144" si="2002">IF(BX142="","","|n"&amp;FD$2&amp;"+"&amp;BX142&amp;FD$1)</f>
        <v/>
      </c>
      <c r="FE142" s="30" t="str">
        <f t="shared" ref="FE142:FE144" si="2003">IF(BY142="","","|n"&amp;FE$2&amp;"+"&amp;BY142&amp;FE$1)</f>
        <v/>
      </c>
      <c r="FF142" s="30" t="str">
        <f t="shared" ref="FF142:FF144" si="2004">IF(BZ142="","","|n"&amp;FF$2&amp;"+"&amp;BZ142&amp;FF$1)</f>
        <v/>
      </c>
      <c r="FG142" s="30" t="str">
        <f t="shared" ref="FG142:FG144" si="2005">IF(CA142="","","|n"&amp;FG$2&amp;"+"&amp;CA142&amp;FG$1)</f>
        <v/>
      </c>
      <c r="FH142" s="30" t="str">
        <f t="shared" ref="FH142:FH144" si="2006">IF(CB142="","","|n"&amp;FH$2&amp;"+"&amp;CB142&amp;FH$1)</f>
        <v/>
      </c>
      <c r="FI142" s="30" t="str">
        <f t="shared" ref="FI142:FI144" si="2007">IF(CC142="","","|n"&amp;FI$2&amp;"+"&amp;CC142&amp;FI$1)</f>
        <v/>
      </c>
      <c r="FJ142" s="30" t="str">
        <f t="shared" ref="FJ142:FJ144" si="2008">IF(CD142="","","|n"&amp;FJ$2&amp;"+"&amp;CD142&amp;FJ$1)</f>
        <v/>
      </c>
      <c r="FK142" s="30" t="str">
        <f t="shared" ref="FK142:FK144" si="2009">IF(CE142="","","|n"&amp;FK$2&amp;"+"&amp;CE142&amp;FK$1)</f>
        <v/>
      </c>
      <c r="FL142" s="30" t="str">
        <f t="shared" ref="FL142:FL144" si="2010">IF(CF142="","","|n"&amp;FL$2&amp;"+"&amp;CF142&amp;FL$1)</f>
        <v/>
      </c>
      <c r="FM142" s="30" t="str">
        <f t="shared" ref="FM142:FM144" si="2011">IF(CG142="","","|n"&amp;FM$2&amp;"+"&amp;CG142&amp;FM$1)</f>
        <v/>
      </c>
      <c r="FN142" s="30" t="str">
        <f t="shared" ref="FN142:FN144" si="2012">IF(CH142="","","|n"&amp;FN$2&amp;"+"&amp;CH142&amp;FN$1)</f>
        <v/>
      </c>
      <c r="FO142" s="30" t="str">
        <f t="shared" ref="FO142:FO144" si="2013">IF(CI142="","","|n"&amp;FO$2&amp;"+"&amp;CI142&amp;FO$1)</f>
        <v/>
      </c>
      <c r="FP142" s="30" t="str">
        <f t="shared" ref="FP142:FP144" si="2014">IF(CJ142="","","|n"&amp;FP$2&amp;"+"&amp;CJ142&amp;FP$1)</f>
        <v/>
      </c>
      <c r="FQ142" s="30" t="str">
        <f t="shared" ref="FQ142:FQ144" si="2015">IF(CK142="","","|n"&amp;FQ$2&amp;"+"&amp;CK142&amp;FQ$1)</f>
        <v/>
      </c>
      <c r="FR142" s="30" t="str">
        <f t="shared" ref="FR142:FR144" si="2016">IF(CL142="","","|n"&amp;FR$2&amp;"+"&amp;CL142&amp;FR$1)</f>
        <v/>
      </c>
      <c r="FS142" s="30" t="str">
        <f t="shared" ref="FS142:FS144" si="2017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44"/>
        <v>ReplaceableTextures\\CommandButtons\\BTNIN16.blp</v>
      </c>
      <c r="CN143" s="7" t="str">
        <f t="shared" si="1942"/>
        <v>InitUnitState('IN16',,,,,,,,,,)</v>
      </c>
      <c r="CO143" s="7" t="str">
        <f t="shared" si="1943"/>
        <v>InitUnitNormal('IN16',,,,,,,,,,)</v>
      </c>
      <c r="CP143" s="7" t="str">
        <f t="shared" si="1944"/>
        <v>InitUnitMagic('IN16',,,,,,,,,,)</v>
      </c>
      <c r="CQ143" s="7" t="str">
        <f t="shared" si="1945"/>
        <v>InitUnitAdd('IN16',,,,,,,,,,)</v>
      </c>
      <c r="CR143" s="7" t="str">
        <f t="shared" si="1865"/>
        <v>InitEquipData('IN16',,"",,,,,'','','','','','',"ReplaceableTextures\\CommandButtons\\BTNIT10.blp")</v>
      </c>
      <c r="CU143" s="45" t="str">
        <f t="shared" si="1946"/>
        <v>|n</v>
      </c>
      <c r="CV143" s="29" t="str">
        <f t="shared" si="1947"/>
        <v>获得一个鸿蒙结晶</v>
      </c>
      <c r="CW143" s="24"/>
      <c r="CX143" s="24"/>
      <c r="CY143" s="24"/>
      <c r="CZ143" s="24"/>
      <c r="DA143" s="24"/>
      <c r="DB143" s="30" t="str">
        <f t="shared" si="1948"/>
        <v/>
      </c>
      <c r="DC143" s="30" t="str">
        <f t="shared" si="1949"/>
        <v/>
      </c>
      <c r="DD143" s="30" t="str">
        <f t="shared" si="1950"/>
        <v/>
      </c>
      <c r="DE143" s="30" t="str">
        <f t="shared" si="1951"/>
        <v/>
      </c>
      <c r="DF143" s="30" t="str">
        <f t="shared" si="1952"/>
        <v/>
      </c>
      <c r="DG143" s="30" t="str">
        <f t="shared" si="1953"/>
        <v/>
      </c>
      <c r="DH143" s="30" t="str">
        <f t="shared" si="1954"/>
        <v/>
      </c>
      <c r="DI143" s="30" t="str">
        <f t="shared" si="1955"/>
        <v/>
      </c>
      <c r="DJ143" s="30" t="str">
        <f t="shared" si="1956"/>
        <v/>
      </c>
      <c r="DK143" s="30" t="str">
        <f t="shared" si="1957"/>
        <v/>
      </c>
      <c r="DL143" s="30" t="str">
        <f t="shared" si="1958"/>
        <v/>
      </c>
      <c r="DM143" s="30" t="str">
        <f t="shared" si="1959"/>
        <v/>
      </c>
      <c r="DN143" s="30" t="str">
        <f t="shared" si="1960"/>
        <v/>
      </c>
      <c r="DO143" s="30" t="str">
        <f t="shared" si="1961"/>
        <v/>
      </c>
      <c r="DP143" s="30" t="str">
        <f t="shared" si="1962"/>
        <v/>
      </c>
      <c r="DQ143" s="30" t="str">
        <f t="shared" si="1963"/>
        <v/>
      </c>
      <c r="DR143" s="30" t="str">
        <f t="shared" si="1964"/>
        <v/>
      </c>
      <c r="DS143" s="30" t="str">
        <f t="shared" si="1965"/>
        <v/>
      </c>
      <c r="DT143" s="30" t="str">
        <f t="shared" si="1966"/>
        <v/>
      </c>
      <c r="DU143" s="30" t="str">
        <f t="shared" si="1967"/>
        <v/>
      </c>
      <c r="DV143" s="30" t="str">
        <f t="shared" si="1968"/>
        <v/>
      </c>
      <c r="DW143" s="30" t="str">
        <f t="shared" si="1969"/>
        <v/>
      </c>
      <c r="DX143" s="30" t="str">
        <f t="shared" si="1970"/>
        <v/>
      </c>
      <c r="DY143" s="30" t="str">
        <f t="shared" si="1971"/>
        <v/>
      </c>
      <c r="DZ143" s="30" t="str">
        <f t="shared" si="1972"/>
        <v/>
      </c>
      <c r="EA143" s="30" t="str">
        <f t="shared" si="1973"/>
        <v/>
      </c>
      <c r="EB143" s="30" t="str">
        <f t="shared" si="1974"/>
        <v/>
      </c>
      <c r="EC143" s="30" t="str">
        <f t="shared" si="1975"/>
        <v/>
      </c>
      <c r="ED143" s="30" t="str">
        <f t="shared" si="1976"/>
        <v/>
      </c>
      <c r="EE143" s="30" t="str">
        <f t="shared" si="1977"/>
        <v/>
      </c>
      <c r="EF143" s="30" t="str">
        <f t="shared" si="1978"/>
        <v/>
      </c>
      <c r="EG143" s="30" t="str">
        <f t="shared" si="1979"/>
        <v/>
      </c>
      <c r="EH143" s="30" t="str">
        <f t="shared" si="1980"/>
        <v/>
      </c>
      <c r="EI143" s="30" t="str">
        <f t="shared" si="1981"/>
        <v/>
      </c>
      <c r="EJ143" s="30" t="str">
        <f t="shared" si="1982"/>
        <v/>
      </c>
      <c r="EK143" s="30" t="str">
        <f t="shared" si="1983"/>
        <v/>
      </c>
      <c r="EL143" s="30" t="str">
        <f t="shared" si="1984"/>
        <v/>
      </c>
      <c r="EM143" s="30" t="str">
        <f t="shared" si="1985"/>
        <v/>
      </c>
      <c r="EN143" s="30" t="str">
        <f t="shared" si="1986"/>
        <v/>
      </c>
      <c r="EO143" s="30" t="str">
        <f t="shared" si="1987"/>
        <v/>
      </c>
      <c r="EP143" s="30" t="str">
        <f t="shared" si="1988"/>
        <v/>
      </c>
      <c r="EQ143" s="30" t="str">
        <f t="shared" si="1989"/>
        <v/>
      </c>
      <c r="ER143" s="30" t="str">
        <f t="shared" si="1990"/>
        <v/>
      </c>
      <c r="ES143" s="30" t="str">
        <f t="shared" si="1991"/>
        <v/>
      </c>
      <c r="ET143" s="30" t="str">
        <f t="shared" si="1992"/>
        <v/>
      </c>
      <c r="EU143" s="30" t="str">
        <f t="shared" si="1993"/>
        <v/>
      </c>
      <c r="EV143" s="30" t="str">
        <f t="shared" si="1994"/>
        <v/>
      </c>
      <c r="EW143" s="30" t="str">
        <f t="shared" si="1995"/>
        <v/>
      </c>
      <c r="EX143" s="30" t="str">
        <f t="shared" si="1996"/>
        <v/>
      </c>
      <c r="EY143" s="30" t="str">
        <f t="shared" si="1997"/>
        <v/>
      </c>
      <c r="EZ143" s="30" t="str">
        <f t="shared" si="1998"/>
        <v/>
      </c>
      <c r="FA143" s="30" t="str">
        <f t="shared" si="1999"/>
        <v/>
      </c>
      <c r="FB143" s="30" t="str">
        <f t="shared" si="2000"/>
        <v/>
      </c>
      <c r="FC143" s="30" t="str">
        <f t="shared" si="2001"/>
        <v/>
      </c>
      <c r="FD143" s="30" t="str">
        <f t="shared" si="2002"/>
        <v/>
      </c>
      <c r="FE143" s="30" t="str">
        <f t="shared" si="2003"/>
        <v/>
      </c>
      <c r="FF143" s="30" t="str">
        <f t="shared" si="2004"/>
        <v/>
      </c>
      <c r="FG143" s="30" t="str">
        <f t="shared" si="2005"/>
        <v/>
      </c>
      <c r="FH143" s="30" t="str">
        <f t="shared" si="2006"/>
        <v/>
      </c>
      <c r="FI143" s="30" t="str">
        <f t="shared" si="2007"/>
        <v/>
      </c>
      <c r="FJ143" s="30" t="str">
        <f t="shared" si="2008"/>
        <v/>
      </c>
      <c r="FK143" s="30" t="str">
        <f t="shared" si="2009"/>
        <v/>
      </c>
      <c r="FL143" s="30" t="str">
        <f t="shared" si="2010"/>
        <v/>
      </c>
      <c r="FM143" s="30" t="str">
        <f t="shared" si="2011"/>
        <v/>
      </c>
      <c r="FN143" s="30" t="str">
        <f t="shared" si="2012"/>
        <v/>
      </c>
      <c r="FO143" s="30" t="str">
        <f t="shared" si="2013"/>
        <v/>
      </c>
      <c r="FP143" s="30" t="str">
        <f t="shared" si="2014"/>
        <v/>
      </c>
      <c r="FQ143" s="30" t="str">
        <f t="shared" si="2015"/>
        <v/>
      </c>
      <c r="FR143" s="30" t="str">
        <f t="shared" si="2016"/>
        <v/>
      </c>
      <c r="FS143" s="30" t="str">
        <f t="shared" si="2017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44"/>
        <v>ReplaceableTextures\\CommandButtons\\BTNIN17.blp</v>
      </c>
      <c r="CN144" s="7" t="str">
        <f t="shared" si="1942"/>
        <v>InitUnitState('IN17',,,,,,,,,,)</v>
      </c>
      <c r="CO144" s="7" t="str">
        <f t="shared" si="1943"/>
        <v>InitUnitNormal('IN17',,,,,,,,,,)</v>
      </c>
      <c r="CP144" s="7" t="str">
        <f t="shared" si="1944"/>
        <v>InitUnitMagic('IN17',,,,,,,,,,)</v>
      </c>
      <c r="CQ144" s="7" t="str">
        <f t="shared" si="1945"/>
        <v>InitUnitAdd('IN17',,,,,,,,,,)</v>
      </c>
      <c r="CR144" s="7" t="str">
        <f t="shared" si="1865"/>
        <v>InitEquipData('IN17',,"",,,,,'','','','','','',"ReplaceableTextures\\CommandButtons\\BTNIT11.blp")</v>
      </c>
      <c r="CU144" s="45" t="str">
        <f t="shared" si="1946"/>
        <v>|n</v>
      </c>
      <c r="CV144" s="29" t="str">
        <f t="shared" si="1947"/>
        <v>杀敌数+3000</v>
      </c>
      <c r="CW144" s="24"/>
      <c r="CX144" s="24"/>
      <c r="CY144" s="24"/>
      <c r="CZ144" s="24"/>
      <c r="DA144" s="24"/>
      <c r="DB144" s="30" t="str">
        <f t="shared" si="1948"/>
        <v/>
      </c>
      <c r="DC144" s="30" t="str">
        <f t="shared" si="1949"/>
        <v/>
      </c>
      <c r="DD144" s="30" t="str">
        <f t="shared" si="1950"/>
        <v/>
      </c>
      <c r="DE144" s="30" t="str">
        <f t="shared" si="1951"/>
        <v/>
      </c>
      <c r="DF144" s="30" t="str">
        <f t="shared" si="1952"/>
        <v/>
      </c>
      <c r="DG144" s="30" t="str">
        <f t="shared" si="1953"/>
        <v/>
      </c>
      <c r="DH144" s="30" t="str">
        <f t="shared" si="1954"/>
        <v/>
      </c>
      <c r="DI144" s="30" t="str">
        <f t="shared" si="1955"/>
        <v/>
      </c>
      <c r="DJ144" s="30" t="str">
        <f t="shared" si="1956"/>
        <v/>
      </c>
      <c r="DK144" s="30" t="str">
        <f t="shared" si="1957"/>
        <v/>
      </c>
      <c r="DL144" s="30" t="str">
        <f t="shared" si="1958"/>
        <v/>
      </c>
      <c r="DM144" s="30" t="str">
        <f t="shared" si="1959"/>
        <v/>
      </c>
      <c r="DN144" s="30" t="str">
        <f t="shared" si="1960"/>
        <v/>
      </c>
      <c r="DO144" s="30" t="str">
        <f t="shared" si="1961"/>
        <v/>
      </c>
      <c r="DP144" s="30" t="str">
        <f t="shared" si="1962"/>
        <v/>
      </c>
      <c r="DQ144" s="30" t="str">
        <f t="shared" si="1963"/>
        <v/>
      </c>
      <c r="DR144" s="30" t="str">
        <f t="shared" si="1964"/>
        <v/>
      </c>
      <c r="DS144" s="30" t="str">
        <f t="shared" si="1965"/>
        <v/>
      </c>
      <c r="DT144" s="30" t="str">
        <f t="shared" si="1966"/>
        <v/>
      </c>
      <c r="DU144" s="30" t="str">
        <f t="shared" si="1967"/>
        <v/>
      </c>
      <c r="DV144" s="30" t="str">
        <f t="shared" si="1968"/>
        <v/>
      </c>
      <c r="DW144" s="30" t="str">
        <f t="shared" si="1969"/>
        <v/>
      </c>
      <c r="DX144" s="30" t="str">
        <f t="shared" si="1970"/>
        <v/>
      </c>
      <c r="DY144" s="30" t="str">
        <f t="shared" si="1971"/>
        <v/>
      </c>
      <c r="DZ144" s="30" t="str">
        <f t="shared" si="1972"/>
        <v/>
      </c>
      <c r="EA144" s="30" t="str">
        <f t="shared" si="1973"/>
        <v/>
      </c>
      <c r="EB144" s="30" t="str">
        <f t="shared" si="1974"/>
        <v/>
      </c>
      <c r="EC144" s="30" t="str">
        <f t="shared" si="1975"/>
        <v/>
      </c>
      <c r="ED144" s="30" t="str">
        <f t="shared" si="1976"/>
        <v/>
      </c>
      <c r="EE144" s="30" t="str">
        <f t="shared" si="1977"/>
        <v/>
      </c>
      <c r="EF144" s="30" t="str">
        <f t="shared" si="1978"/>
        <v/>
      </c>
      <c r="EG144" s="30" t="str">
        <f t="shared" si="1979"/>
        <v/>
      </c>
      <c r="EH144" s="30" t="str">
        <f t="shared" si="1980"/>
        <v/>
      </c>
      <c r="EI144" s="30" t="str">
        <f t="shared" si="1981"/>
        <v/>
      </c>
      <c r="EJ144" s="30" t="str">
        <f t="shared" si="1982"/>
        <v/>
      </c>
      <c r="EK144" s="30" t="str">
        <f t="shared" si="1983"/>
        <v/>
      </c>
      <c r="EL144" s="30" t="str">
        <f t="shared" si="1984"/>
        <v/>
      </c>
      <c r="EM144" s="30" t="str">
        <f t="shared" si="1985"/>
        <v/>
      </c>
      <c r="EN144" s="30" t="str">
        <f t="shared" si="1986"/>
        <v/>
      </c>
      <c r="EO144" s="30" t="str">
        <f t="shared" si="1987"/>
        <v/>
      </c>
      <c r="EP144" s="30" t="str">
        <f t="shared" si="1988"/>
        <v/>
      </c>
      <c r="EQ144" s="30" t="str">
        <f t="shared" si="1989"/>
        <v/>
      </c>
      <c r="ER144" s="30" t="str">
        <f t="shared" si="1990"/>
        <v/>
      </c>
      <c r="ES144" s="30" t="str">
        <f t="shared" si="1991"/>
        <v/>
      </c>
      <c r="ET144" s="30" t="str">
        <f t="shared" si="1992"/>
        <v/>
      </c>
      <c r="EU144" s="30" t="str">
        <f t="shared" si="1993"/>
        <v/>
      </c>
      <c r="EV144" s="30" t="str">
        <f t="shared" si="1994"/>
        <v/>
      </c>
      <c r="EW144" s="30" t="str">
        <f t="shared" si="1995"/>
        <v/>
      </c>
      <c r="EX144" s="30" t="str">
        <f t="shared" si="1996"/>
        <v/>
      </c>
      <c r="EY144" s="30" t="str">
        <f t="shared" si="1997"/>
        <v/>
      </c>
      <c r="EZ144" s="30" t="str">
        <f t="shared" si="1998"/>
        <v/>
      </c>
      <c r="FA144" s="30" t="str">
        <f t="shared" si="1999"/>
        <v/>
      </c>
      <c r="FB144" s="30" t="str">
        <f t="shared" si="2000"/>
        <v/>
      </c>
      <c r="FC144" s="30" t="str">
        <f t="shared" si="2001"/>
        <v/>
      </c>
      <c r="FD144" s="30" t="str">
        <f t="shared" si="2002"/>
        <v/>
      </c>
      <c r="FE144" s="30" t="str">
        <f t="shared" si="2003"/>
        <v/>
      </c>
      <c r="FF144" s="30" t="str">
        <f t="shared" si="2004"/>
        <v/>
      </c>
      <c r="FG144" s="30" t="str">
        <f t="shared" si="2005"/>
        <v/>
      </c>
      <c r="FH144" s="30" t="str">
        <f t="shared" si="2006"/>
        <v/>
      </c>
      <c r="FI144" s="30" t="str">
        <f t="shared" si="2007"/>
        <v/>
      </c>
      <c r="FJ144" s="30" t="str">
        <f t="shared" si="2008"/>
        <v/>
      </c>
      <c r="FK144" s="30" t="str">
        <f t="shared" si="2009"/>
        <v/>
      </c>
      <c r="FL144" s="30" t="str">
        <f t="shared" si="2010"/>
        <v/>
      </c>
      <c r="FM144" s="30" t="str">
        <f t="shared" si="2011"/>
        <v/>
      </c>
      <c r="FN144" s="30" t="str">
        <f t="shared" si="2012"/>
        <v/>
      </c>
      <c r="FO144" s="30" t="str">
        <f t="shared" si="2013"/>
        <v/>
      </c>
      <c r="FP144" s="30" t="str">
        <f t="shared" si="2014"/>
        <v/>
      </c>
      <c r="FQ144" s="30" t="str">
        <f t="shared" si="2015"/>
        <v/>
      </c>
      <c r="FR144" s="30" t="str">
        <f t="shared" si="2016"/>
        <v/>
      </c>
      <c r="FS144" s="30" t="str">
        <f t="shared" si="2017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44"/>
        <v>ReplaceableTextures\\CommandButtons\\BTNIN18.blp</v>
      </c>
      <c r="CN145" s="7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65"/>
        <v>InitEquipData('IN18',,"",,,,,'','','','','','',"ReplaceableTextures\\CommandButtons\\BTNIT12.blp")</v>
      </c>
      <c r="CU145" s="45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23">T145</f>
        <v>杀敌数+300</v>
      </c>
      <c r="CW145" s="24"/>
      <c r="CX145" s="24"/>
      <c r="CY145" s="24"/>
      <c r="CZ145" s="24"/>
      <c r="DA145" s="24"/>
      <c r="DB145" s="30" t="str">
        <f t="shared" ref="DB145" si="2024">IF(V145="","","|n"&amp;DB$2&amp;"+"&amp;V145&amp;DB$1)</f>
        <v/>
      </c>
      <c r="DC145" s="30" t="str">
        <f t="shared" ref="DC145" si="2025">IF(W145="","","|n"&amp;DC$2&amp;"+"&amp;W145&amp;DC$1)</f>
        <v/>
      </c>
      <c r="DD145" s="30" t="str">
        <f t="shared" ref="DD145" si="2026">IF(X145="","","|n"&amp;DD$2&amp;"+"&amp;X145&amp;DD$1)</f>
        <v/>
      </c>
      <c r="DE145" s="30" t="str">
        <f t="shared" ref="DE145" si="2027">IF(Y145="","","|n"&amp;DE$2&amp;"+"&amp;Y145&amp;DE$1)</f>
        <v/>
      </c>
      <c r="DF145" s="30" t="str">
        <f t="shared" ref="DF145" si="2028">IF(Z145="","","|n"&amp;DF$2&amp;"+"&amp;Z145&amp;DF$1)</f>
        <v/>
      </c>
      <c r="DG145" s="30" t="str">
        <f t="shared" ref="DG145" si="2029">IF(AA145="","","|n"&amp;DG$2&amp;"+"&amp;AA145&amp;DG$1)</f>
        <v/>
      </c>
      <c r="DH145" s="30" t="str">
        <f t="shared" ref="DH145" si="2030">IF(AB145="","","|n"&amp;DH$2&amp;"+"&amp;AB145&amp;DH$1)</f>
        <v/>
      </c>
      <c r="DI145" s="30" t="str">
        <f t="shared" ref="DI145" si="2031">IF(AC145="","","|n"&amp;DI$2&amp;"+"&amp;AC145&amp;DI$1)</f>
        <v/>
      </c>
      <c r="DJ145" s="30" t="str">
        <f t="shared" ref="DJ145" si="2032">IF(AD145="","","|n"&amp;DJ$2&amp;"+"&amp;AD145&amp;DJ$1)</f>
        <v/>
      </c>
      <c r="DK145" s="30" t="str">
        <f t="shared" ref="DK145" si="2033">IF(AE145="","","|n"&amp;DK$2&amp;"+"&amp;AE145&amp;DK$1)</f>
        <v/>
      </c>
      <c r="DL145" s="30" t="str">
        <f t="shared" ref="DL145" si="2034">IF(AF145="","","|n"&amp;DL$2&amp;"+"&amp;AF145&amp;DL$1)</f>
        <v/>
      </c>
      <c r="DM145" s="30" t="str">
        <f t="shared" ref="DM145" si="2035">IF(AG145="","","|n"&amp;DM$2&amp;"+"&amp;AG145&amp;DM$1)</f>
        <v/>
      </c>
      <c r="DN145" s="30" t="str">
        <f t="shared" ref="DN145" si="2036">IF(AH145="","","|n"&amp;DN$2&amp;"+"&amp;AH145&amp;DN$1)</f>
        <v/>
      </c>
      <c r="DO145" s="30" t="str">
        <f t="shared" ref="DO145" si="2037">IF(AI145="","","|n"&amp;DO$2&amp;"+"&amp;AI145&amp;DO$1)</f>
        <v/>
      </c>
      <c r="DP145" s="30" t="str">
        <f t="shared" ref="DP145" si="2038">IF(AJ145="","","|n"&amp;DP$2&amp;"+"&amp;AJ145&amp;DP$1)</f>
        <v/>
      </c>
      <c r="DQ145" s="30" t="str">
        <f t="shared" ref="DQ145" si="2039">IF(AK145="","","|n"&amp;DQ$2&amp;"+"&amp;AK145&amp;DQ$1)</f>
        <v/>
      </c>
      <c r="DR145" s="30" t="str">
        <f t="shared" ref="DR145" si="2040">IF(AL145="","","|n"&amp;DR$2&amp;"+"&amp;AL145&amp;DR$1)</f>
        <v/>
      </c>
      <c r="DS145" s="30" t="str">
        <f t="shared" ref="DS145" si="2041">IF(AM145="","","|n"&amp;DS$2&amp;"+"&amp;AM145&amp;DS$1)</f>
        <v/>
      </c>
      <c r="DT145" s="30" t="str">
        <f t="shared" ref="DT145" si="2042">IF(AN145="","","|n"&amp;DT$2&amp;"+"&amp;AN145&amp;DT$1)</f>
        <v/>
      </c>
      <c r="DU145" s="30" t="str">
        <f t="shared" ref="DU145" si="2043">IF(AO145="","","|n"&amp;DU$2&amp;"+"&amp;AO145&amp;DU$1)</f>
        <v/>
      </c>
      <c r="DV145" s="30" t="str">
        <f t="shared" ref="DV145" si="2044">IF(AP145="","","|n"&amp;DV$2&amp;"+"&amp;AP145&amp;DV$1)</f>
        <v/>
      </c>
      <c r="DW145" s="30" t="str">
        <f t="shared" ref="DW145" si="2045">IF(AQ145="","","|n"&amp;DW$2&amp;"+"&amp;AQ145&amp;DW$1)</f>
        <v/>
      </c>
      <c r="DX145" s="30" t="str">
        <f t="shared" ref="DX145" si="2046">IF(AR145="","","|n"&amp;DX$2&amp;"+"&amp;AR145&amp;DX$1)</f>
        <v/>
      </c>
      <c r="DY145" s="30" t="str">
        <f t="shared" ref="DY145" si="2047">IF(AS145="","","|n"&amp;DY$2&amp;"+"&amp;AS145&amp;DY$1)</f>
        <v/>
      </c>
      <c r="DZ145" s="30" t="str">
        <f t="shared" ref="DZ145" si="2048">IF(AT145="","","|n"&amp;DZ$2&amp;"+"&amp;AT145&amp;DZ$1)</f>
        <v/>
      </c>
      <c r="EA145" s="30" t="str">
        <f t="shared" ref="EA145" si="2049">IF(AU145="","","|n"&amp;EA$2&amp;"+"&amp;AU145&amp;EA$1)</f>
        <v/>
      </c>
      <c r="EB145" s="30" t="str">
        <f t="shared" ref="EB145" si="2050">IF(AV145="","","|n"&amp;EB$2&amp;"+"&amp;AV145&amp;EB$1)</f>
        <v/>
      </c>
      <c r="EC145" s="30" t="str">
        <f t="shared" ref="EC145" si="2051">IF(AW145="","","|n"&amp;EC$2&amp;"+"&amp;AW145&amp;EC$1)</f>
        <v/>
      </c>
      <c r="ED145" s="30" t="str">
        <f t="shared" ref="ED145" si="2052">IF(AX145="","","|n"&amp;ED$2&amp;"+"&amp;AX145&amp;ED$1)</f>
        <v/>
      </c>
      <c r="EE145" s="30" t="str">
        <f t="shared" ref="EE145" si="2053">IF(AY145="","","|n"&amp;EE$2&amp;"+"&amp;AY145&amp;EE$1)</f>
        <v/>
      </c>
      <c r="EF145" s="30" t="str">
        <f t="shared" ref="EF145" si="2054">IF(AZ145="","","|n"&amp;EF$2&amp;"+"&amp;AZ145&amp;EF$1)</f>
        <v/>
      </c>
      <c r="EG145" s="30" t="str">
        <f t="shared" ref="EG145" si="2055">IF(BA145="","","|n"&amp;EG$2&amp;"+"&amp;BA145&amp;EG$1)</f>
        <v/>
      </c>
      <c r="EH145" s="30" t="str">
        <f t="shared" ref="EH145" si="2056">IF(BB145="","","|n"&amp;EH$2&amp;"+"&amp;BB145&amp;EH$1)</f>
        <v/>
      </c>
      <c r="EI145" s="30" t="str">
        <f t="shared" ref="EI145" si="2057">IF(BC145="","","|n"&amp;EI$2&amp;"+"&amp;BC145&amp;EI$1)</f>
        <v/>
      </c>
      <c r="EJ145" s="30" t="str">
        <f t="shared" ref="EJ145" si="2058">IF(BD145="","","|n"&amp;EJ$2&amp;"+"&amp;BD145&amp;EJ$1)</f>
        <v/>
      </c>
      <c r="EK145" s="30" t="str">
        <f t="shared" ref="EK145" si="2059">IF(BE145="","","|n"&amp;EK$2&amp;"+"&amp;BE145&amp;EK$1)</f>
        <v/>
      </c>
      <c r="EL145" s="30" t="str">
        <f t="shared" ref="EL145" si="2060">IF(BF145="","","|n"&amp;EL$2&amp;"+"&amp;BF145&amp;EL$1)</f>
        <v/>
      </c>
      <c r="EM145" s="30" t="str">
        <f t="shared" ref="EM145" si="2061">IF(BG145="","","|n"&amp;EM$2&amp;"+"&amp;BG145&amp;EM$1)</f>
        <v/>
      </c>
      <c r="EN145" s="30" t="str">
        <f t="shared" ref="EN145" si="2062">IF(BH145="","","|n"&amp;EN$2&amp;"+"&amp;BH145&amp;EN$1)</f>
        <v/>
      </c>
      <c r="EO145" s="30" t="str">
        <f t="shared" ref="EO145" si="2063">IF(BI145="","","|n"&amp;EO$2&amp;"+"&amp;BI145&amp;EO$1)</f>
        <v/>
      </c>
      <c r="EP145" s="30" t="str">
        <f t="shared" ref="EP145" si="2064">IF(BJ145="","","|n"&amp;EP$2&amp;"+"&amp;BJ145&amp;EP$1)</f>
        <v/>
      </c>
      <c r="EQ145" s="30" t="str">
        <f t="shared" ref="EQ145" si="2065">IF(BK145="","","|n"&amp;EQ$2&amp;"+"&amp;BK145&amp;EQ$1)</f>
        <v/>
      </c>
      <c r="ER145" s="30" t="str">
        <f t="shared" ref="ER145" si="2066">IF(BL145="","","|n"&amp;ER$2&amp;"+"&amp;BL145&amp;ER$1)</f>
        <v/>
      </c>
      <c r="ES145" s="30" t="str">
        <f t="shared" ref="ES145" si="2067">IF(BM145="","","|n"&amp;ES$2&amp;"+"&amp;BM145&amp;ES$1)</f>
        <v/>
      </c>
      <c r="ET145" s="30" t="str">
        <f t="shared" ref="ET145" si="2068">IF(BN145="","","|n"&amp;ET$2&amp;"+"&amp;BN145&amp;ET$1)</f>
        <v/>
      </c>
      <c r="EU145" s="30" t="str">
        <f t="shared" ref="EU145" si="2069">IF(BO145="","","|n"&amp;EU$2&amp;"+"&amp;BO145&amp;EU$1)</f>
        <v/>
      </c>
      <c r="EV145" s="30" t="str">
        <f t="shared" ref="EV145" si="2070">IF(BP145="","","|n"&amp;EV$2&amp;"+"&amp;BP145&amp;EV$1)</f>
        <v/>
      </c>
      <c r="EW145" s="30" t="str">
        <f t="shared" ref="EW145" si="2071">IF(BQ145="","","|n"&amp;EW$2&amp;"+"&amp;BQ145&amp;EW$1)</f>
        <v/>
      </c>
      <c r="EX145" s="30" t="str">
        <f t="shared" ref="EX145" si="2072">IF(BR145="","","|n"&amp;EX$2&amp;"+"&amp;BR145&amp;EX$1)</f>
        <v/>
      </c>
      <c r="EY145" s="30" t="str">
        <f t="shared" ref="EY145" si="2073">IF(BS145="","","|n"&amp;EY$2&amp;"+"&amp;BS145&amp;EY$1)</f>
        <v/>
      </c>
      <c r="EZ145" s="30" t="str">
        <f t="shared" ref="EZ145" si="2074">IF(BT145="","","|n"&amp;EZ$2&amp;"+"&amp;BT145&amp;EZ$1)</f>
        <v/>
      </c>
      <c r="FA145" s="30" t="str">
        <f t="shared" ref="FA145" si="2075">IF(BU145="","","|n"&amp;FA$2&amp;"+"&amp;BU145&amp;FA$1)</f>
        <v/>
      </c>
      <c r="FB145" s="30" t="str">
        <f t="shared" ref="FB145" si="2076">IF(BV145="","","|n"&amp;FB$2&amp;"+"&amp;BV145&amp;FB$1)</f>
        <v/>
      </c>
      <c r="FC145" s="30" t="str">
        <f t="shared" ref="FC145" si="2077">IF(BW145="","","|n"&amp;FC$2&amp;"+"&amp;BW145&amp;FC$1)</f>
        <v/>
      </c>
      <c r="FD145" s="30" t="str">
        <f t="shared" ref="FD145" si="2078">IF(BX145="","","|n"&amp;FD$2&amp;"+"&amp;BX145&amp;FD$1)</f>
        <v/>
      </c>
      <c r="FE145" s="30" t="str">
        <f t="shared" ref="FE145" si="2079">IF(BY145="","","|n"&amp;FE$2&amp;"+"&amp;BY145&amp;FE$1)</f>
        <v/>
      </c>
      <c r="FF145" s="30" t="str">
        <f t="shared" ref="FF145" si="2080">IF(BZ145="","","|n"&amp;FF$2&amp;"+"&amp;BZ145&amp;FF$1)</f>
        <v/>
      </c>
      <c r="FG145" s="30" t="str">
        <f t="shared" ref="FG145" si="2081">IF(CA145="","","|n"&amp;FG$2&amp;"+"&amp;CA145&amp;FG$1)</f>
        <v/>
      </c>
      <c r="FH145" s="30" t="str">
        <f t="shared" ref="FH145" si="2082">IF(CB145="","","|n"&amp;FH$2&amp;"+"&amp;CB145&amp;FH$1)</f>
        <v/>
      </c>
      <c r="FI145" s="30" t="str">
        <f t="shared" ref="FI145" si="2083">IF(CC145="","","|n"&amp;FI$2&amp;"+"&amp;CC145&amp;FI$1)</f>
        <v/>
      </c>
      <c r="FJ145" s="30" t="str">
        <f t="shared" ref="FJ145" si="2084">IF(CD145="","","|n"&amp;FJ$2&amp;"+"&amp;CD145&amp;FJ$1)</f>
        <v/>
      </c>
      <c r="FK145" s="30" t="str">
        <f t="shared" ref="FK145" si="2085">IF(CE145="","","|n"&amp;FK$2&amp;"+"&amp;CE145&amp;FK$1)</f>
        <v/>
      </c>
      <c r="FL145" s="30" t="str">
        <f t="shared" ref="FL145" si="2086">IF(CF145="","","|n"&amp;FL$2&amp;"+"&amp;CF145&amp;FL$1)</f>
        <v/>
      </c>
      <c r="FM145" s="30" t="str">
        <f t="shared" ref="FM145" si="2087">IF(CG145="","","|n"&amp;FM$2&amp;"+"&amp;CG145&amp;FM$1)</f>
        <v/>
      </c>
      <c r="FN145" s="30" t="str">
        <f t="shared" ref="FN145" si="2088">IF(CH145="","","|n"&amp;FN$2&amp;"+"&amp;CH145&amp;FN$1)</f>
        <v/>
      </c>
      <c r="FO145" s="30" t="str">
        <f t="shared" ref="FO145" si="2089">IF(CI145="","","|n"&amp;FO$2&amp;"+"&amp;CI145&amp;FO$1)</f>
        <v/>
      </c>
      <c r="FP145" s="30" t="str">
        <f t="shared" ref="FP145" si="2090">IF(CJ145="","","|n"&amp;FP$2&amp;"+"&amp;CJ145&amp;FP$1)</f>
        <v/>
      </c>
      <c r="FQ145" s="30" t="str">
        <f t="shared" ref="FQ145" si="2091">IF(CK145="","","|n"&amp;FQ$2&amp;"+"&amp;CK145&amp;FQ$1)</f>
        <v/>
      </c>
      <c r="FR145" s="30" t="str">
        <f t="shared" ref="FR145" si="2092">IF(CL145="","","|n"&amp;FR$2&amp;"+"&amp;CL145&amp;FR$1)</f>
        <v/>
      </c>
      <c r="FS145" s="30" t="str">
        <f t="shared" ref="FS145" si="2093">IF(CM145="","","|n"&amp;FS$2&amp;"+"&amp;CM145&amp;FS$1)</f>
        <v/>
      </c>
    </row>
    <row r="146" spans="1:175" ht="16.5">
      <c r="A146" s="110"/>
      <c r="B146" s="110" t="s">
        <v>612</v>
      </c>
      <c r="C146" s="125" t="s">
        <v>613</v>
      </c>
      <c r="T146" s="86" t="s">
        <v>614</v>
      </c>
      <c r="U146" s="32" t="str">
        <f t="shared" ref="U146" si="2094">"ReplaceableTextures\\CommandButtons\\BTN"&amp;B146&amp;".blp"</f>
        <v>ReplaceableTextures\\CommandButtons\\BTNIN19.blp</v>
      </c>
      <c r="CN146" s="7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7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7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7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7" t="str">
        <f t="shared" si="1865"/>
        <v>InitEquipData('IN19',,"",,,,,'','','','','','',"ReplaceableTextures\\CommandButtons\\BTNIT13.blp")</v>
      </c>
      <c r="CU146" s="45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0">T146</f>
        <v>使用获得随机类型技能附魔卡</v>
      </c>
      <c r="CW146" s="24"/>
      <c r="CX146" s="24"/>
      <c r="CY146" s="24"/>
      <c r="CZ146" s="24"/>
      <c r="DA146" s="24"/>
      <c r="DB146" s="30" t="str">
        <f t="shared" ref="DB146" si="2101">IF(V146="","","|n"&amp;DB$2&amp;"+"&amp;V146&amp;DB$1)</f>
        <v/>
      </c>
      <c r="DC146" s="30" t="str">
        <f t="shared" ref="DC146" si="2102">IF(W146="","","|n"&amp;DC$2&amp;"+"&amp;W146&amp;DC$1)</f>
        <v/>
      </c>
      <c r="DD146" s="30" t="str">
        <f t="shared" ref="DD146" si="2103">IF(X146="","","|n"&amp;DD$2&amp;"+"&amp;X146&amp;DD$1)</f>
        <v/>
      </c>
      <c r="DE146" s="30" t="str">
        <f t="shared" ref="DE146" si="2104">IF(Y146="","","|n"&amp;DE$2&amp;"+"&amp;Y146&amp;DE$1)</f>
        <v/>
      </c>
      <c r="DF146" s="30" t="str">
        <f t="shared" ref="DF146" si="2105">IF(Z146="","","|n"&amp;DF$2&amp;"+"&amp;Z146&amp;DF$1)</f>
        <v/>
      </c>
      <c r="DG146" s="30" t="str">
        <f t="shared" ref="DG146" si="2106">IF(AA146="","","|n"&amp;DG$2&amp;"+"&amp;AA146&amp;DG$1)</f>
        <v/>
      </c>
      <c r="DH146" s="30" t="str">
        <f t="shared" ref="DH146" si="2107">IF(AB146="","","|n"&amp;DH$2&amp;"+"&amp;AB146&amp;DH$1)</f>
        <v/>
      </c>
      <c r="DI146" s="30" t="str">
        <f t="shared" ref="DI146" si="2108">IF(AC146="","","|n"&amp;DI$2&amp;"+"&amp;AC146&amp;DI$1)</f>
        <v/>
      </c>
      <c r="DJ146" s="30" t="str">
        <f t="shared" ref="DJ146" si="2109">IF(AD146="","","|n"&amp;DJ$2&amp;"+"&amp;AD146&amp;DJ$1)</f>
        <v/>
      </c>
      <c r="DK146" s="30" t="str">
        <f t="shared" ref="DK146" si="2110">IF(AE146="","","|n"&amp;DK$2&amp;"+"&amp;AE146&amp;DK$1)</f>
        <v/>
      </c>
      <c r="DL146" s="30" t="str">
        <f t="shared" ref="DL146" si="2111">IF(AF146="","","|n"&amp;DL$2&amp;"+"&amp;AF146&amp;DL$1)</f>
        <v/>
      </c>
      <c r="DM146" s="30" t="str">
        <f t="shared" ref="DM146" si="2112">IF(AG146="","","|n"&amp;DM$2&amp;"+"&amp;AG146&amp;DM$1)</f>
        <v/>
      </c>
      <c r="DN146" s="30" t="str">
        <f t="shared" ref="DN146" si="2113">IF(AH146="","","|n"&amp;DN$2&amp;"+"&amp;AH146&amp;DN$1)</f>
        <v/>
      </c>
      <c r="DO146" s="30" t="str">
        <f t="shared" ref="DO146" si="2114">IF(AI146="","","|n"&amp;DO$2&amp;"+"&amp;AI146&amp;DO$1)</f>
        <v/>
      </c>
      <c r="DP146" s="30" t="str">
        <f t="shared" ref="DP146" si="2115">IF(AJ146="","","|n"&amp;DP$2&amp;"+"&amp;AJ146&amp;DP$1)</f>
        <v/>
      </c>
      <c r="DQ146" s="30" t="str">
        <f t="shared" ref="DQ146" si="2116">IF(AK146="","","|n"&amp;DQ$2&amp;"+"&amp;AK146&amp;DQ$1)</f>
        <v/>
      </c>
      <c r="DR146" s="30" t="str">
        <f t="shared" ref="DR146" si="2117">IF(AL146="","","|n"&amp;DR$2&amp;"+"&amp;AL146&amp;DR$1)</f>
        <v/>
      </c>
      <c r="DS146" s="30" t="str">
        <f t="shared" ref="DS146" si="2118">IF(AM146="","","|n"&amp;DS$2&amp;"+"&amp;AM146&amp;DS$1)</f>
        <v/>
      </c>
      <c r="DT146" s="30" t="str">
        <f t="shared" ref="DT146" si="2119">IF(AN146="","","|n"&amp;DT$2&amp;"+"&amp;AN146&amp;DT$1)</f>
        <v/>
      </c>
      <c r="DU146" s="30" t="str">
        <f t="shared" ref="DU146" si="2120">IF(AO146="","","|n"&amp;DU$2&amp;"+"&amp;AO146&amp;DU$1)</f>
        <v/>
      </c>
      <c r="DV146" s="30" t="str">
        <f t="shared" ref="DV146" si="2121">IF(AP146="","","|n"&amp;DV$2&amp;"+"&amp;AP146&amp;DV$1)</f>
        <v/>
      </c>
      <c r="DW146" s="30" t="str">
        <f t="shared" ref="DW146" si="2122">IF(AQ146="","","|n"&amp;DW$2&amp;"+"&amp;AQ146&amp;DW$1)</f>
        <v/>
      </c>
      <c r="DX146" s="30" t="str">
        <f t="shared" ref="DX146" si="2123">IF(AR146="","","|n"&amp;DX$2&amp;"+"&amp;AR146&amp;DX$1)</f>
        <v/>
      </c>
      <c r="DY146" s="30" t="str">
        <f t="shared" ref="DY146" si="2124">IF(AS146="","","|n"&amp;DY$2&amp;"+"&amp;AS146&amp;DY$1)</f>
        <v/>
      </c>
      <c r="DZ146" s="30" t="str">
        <f t="shared" ref="DZ146" si="2125">IF(AT146="","","|n"&amp;DZ$2&amp;"+"&amp;AT146&amp;DZ$1)</f>
        <v/>
      </c>
      <c r="EA146" s="30" t="str">
        <f t="shared" ref="EA146" si="2126">IF(AU146="","","|n"&amp;EA$2&amp;"+"&amp;AU146&amp;EA$1)</f>
        <v/>
      </c>
      <c r="EB146" s="30" t="str">
        <f t="shared" ref="EB146" si="2127">IF(AV146="","","|n"&amp;EB$2&amp;"+"&amp;AV146&amp;EB$1)</f>
        <v/>
      </c>
      <c r="EC146" s="30" t="str">
        <f t="shared" ref="EC146" si="2128">IF(AW146="","","|n"&amp;EC$2&amp;"+"&amp;AW146&amp;EC$1)</f>
        <v/>
      </c>
      <c r="ED146" s="30" t="str">
        <f t="shared" ref="ED146" si="2129">IF(AX146="","","|n"&amp;ED$2&amp;"+"&amp;AX146&amp;ED$1)</f>
        <v/>
      </c>
      <c r="EE146" s="30" t="str">
        <f t="shared" ref="EE146" si="2130">IF(AY146="","","|n"&amp;EE$2&amp;"+"&amp;AY146&amp;EE$1)</f>
        <v/>
      </c>
      <c r="EF146" s="30" t="str">
        <f t="shared" ref="EF146" si="2131">IF(AZ146="","","|n"&amp;EF$2&amp;"+"&amp;AZ146&amp;EF$1)</f>
        <v/>
      </c>
      <c r="EG146" s="30" t="str">
        <f t="shared" ref="EG146" si="2132">IF(BA146="","","|n"&amp;EG$2&amp;"+"&amp;BA146&amp;EG$1)</f>
        <v/>
      </c>
      <c r="EH146" s="30" t="str">
        <f t="shared" ref="EH146" si="2133">IF(BB146="","","|n"&amp;EH$2&amp;"+"&amp;BB146&amp;EH$1)</f>
        <v/>
      </c>
      <c r="EI146" s="30" t="str">
        <f t="shared" ref="EI146" si="2134">IF(BC146="","","|n"&amp;EI$2&amp;"+"&amp;BC146&amp;EI$1)</f>
        <v/>
      </c>
      <c r="EJ146" s="30" t="str">
        <f t="shared" ref="EJ146" si="2135">IF(BD146="","","|n"&amp;EJ$2&amp;"+"&amp;BD146&amp;EJ$1)</f>
        <v/>
      </c>
      <c r="EK146" s="30" t="str">
        <f t="shared" ref="EK146" si="2136">IF(BE146="","","|n"&amp;EK$2&amp;"+"&amp;BE146&amp;EK$1)</f>
        <v/>
      </c>
      <c r="EL146" s="30" t="str">
        <f t="shared" ref="EL146" si="2137">IF(BF146="","","|n"&amp;EL$2&amp;"+"&amp;BF146&amp;EL$1)</f>
        <v/>
      </c>
      <c r="EM146" s="30" t="str">
        <f t="shared" ref="EM146" si="2138">IF(BG146="","","|n"&amp;EM$2&amp;"+"&amp;BG146&amp;EM$1)</f>
        <v/>
      </c>
      <c r="EN146" s="30" t="str">
        <f t="shared" ref="EN146" si="2139">IF(BH146="","","|n"&amp;EN$2&amp;"+"&amp;BH146&amp;EN$1)</f>
        <v/>
      </c>
      <c r="EO146" s="30" t="str">
        <f t="shared" ref="EO146" si="2140">IF(BI146="","","|n"&amp;EO$2&amp;"+"&amp;BI146&amp;EO$1)</f>
        <v/>
      </c>
      <c r="EP146" s="30" t="str">
        <f t="shared" ref="EP146" si="2141">IF(BJ146="","","|n"&amp;EP$2&amp;"+"&amp;BJ146&amp;EP$1)</f>
        <v/>
      </c>
      <c r="EQ146" s="30" t="str">
        <f t="shared" ref="EQ146" si="2142">IF(BK146="","","|n"&amp;EQ$2&amp;"+"&amp;BK146&amp;EQ$1)</f>
        <v/>
      </c>
      <c r="ER146" s="30" t="str">
        <f t="shared" ref="ER146" si="2143">IF(BL146="","","|n"&amp;ER$2&amp;"+"&amp;BL146&amp;ER$1)</f>
        <v/>
      </c>
      <c r="ES146" s="30" t="str">
        <f t="shared" ref="ES146" si="2144">IF(BM146="","","|n"&amp;ES$2&amp;"+"&amp;BM146&amp;ES$1)</f>
        <v/>
      </c>
      <c r="ET146" s="30" t="str">
        <f t="shared" ref="ET146" si="2145">IF(BN146="","","|n"&amp;ET$2&amp;"+"&amp;BN146&amp;ET$1)</f>
        <v/>
      </c>
      <c r="EU146" s="30" t="str">
        <f t="shared" ref="EU146" si="2146">IF(BO146="","","|n"&amp;EU$2&amp;"+"&amp;BO146&amp;EU$1)</f>
        <v/>
      </c>
      <c r="EV146" s="30" t="str">
        <f t="shared" ref="EV146" si="2147">IF(BP146="","","|n"&amp;EV$2&amp;"+"&amp;BP146&amp;EV$1)</f>
        <v/>
      </c>
      <c r="EW146" s="30" t="str">
        <f t="shared" ref="EW146" si="2148">IF(BQ146="","","|n"&amp;EW$2&amp;"+"&amp;BQ146&amp;EW$1)</f>
        <v/>
      </c>
      <c r="EX146" s="30" t="str">
        <f t="shared" ref="EX146" si="2149">IF(BR146="","","|n"&amp;EX$2&amp;"+"&amp;BR146&amp;EX$1)</f>
        <v/>
      </c>
      <c r="EY146" s="30" t="str">
        <f t="shared" ref="EY146" si="2150">IF(BS146="","","|n"&amp;EY$2&amp;"+"&amp;BS146&amp;EY$1)</f>
        <v/>
      </c>
      <c r="EZ146" s="30" t="str">
        <f t="shared" ref="EZ146" si="2151">IF(BT146="","","|n"&amp;EZ$2&amp;"+"&amp;BT146&amp;EZ$1)</f>
        <v/>
      </c>
      <c r="FA146" s="30" t="str">
        <f t="shared" ref="FA146" si="2152">IF(BU146="","","|n"&amp;FA$2&amp;"+"&amp;BU146&amp;FA$1)</f>
        <v/>
      </c>
      <c r="FB146" s="30" t="str">
        <f t="shared" ref="FB146" si="2153">IF(BV146="","","|n"&amp;FB$2&amp;"+"&amp;BV146&amp;FB$1)</f>
        <v/>
      </c>
      <c r="FC146" s="30" t="str">
        <f t="shared" ref="FC146" si="2154">IF(BW146="","","|n"&amp;FC$2&amp;"+"&amp;BW146&amp;FC$1)</f>
        <v/>
      </c>
      <c r="FD146" s="30" t="str">
        <f t="shared" ref="FD146" si="2155">IF(BX146="","","|n"&amp;FD$2&amp;"+"&amp;BX146&amp;FD$1)</f>
        <v/>
      </c>
      <c r="FE146" s="30" t="str">
        <f t="shared" ref="FE146" si="2156">IF(BY146="","","|n"&amp;FE$2&amp;"+"&amp;BY146&amp;FE$1)</f>
        <v/>
      </c>
      <c r="FF146" s="30" t="str">
        <f t="shared" ref="FF146" si="2157">IF(BZ146="","","|n"&amp;FF$2&amp;"+"&amp;BZ146&amp;FF$1)</f>
        <v/>
      </c>
      <c r="FG146" s="30" t="str">
        <f t="shared" ref="FG146" si="2158">IF(CA146="","","|n"&amp;FG$2&amp;"+"&amp;CA146&amp;FG$1)</f>
        <v/>
      </c>
      <c r="FH146" s="30" t="str">
        <f t="shared" ref="FH146" si="2159">IF(CB146="","","|n"&amp;FH$2&amp;"+"&amp;CB146&amp;FH$1)</f>
        <v/>
      </c>
      <c r="FI146" s="30" t="str">
        <f t="shared" ref="FI146" si="2160">IF(CC146="","","|n"&amp;FI$2&amp;"+"&amp;CC146&amp;FI$1)</f>
        <v/>
      </c>
      <c r="FJ146" s="30" t="str">
        <f t="shared" ref="FJ146" si="2161">IF(CD146="","","|n"&amp;FJ$2&amp;"+"&amp;CD146&amp;FJ$1)</f>
        <v/>
      </c>
      <c r="FK146" s="30" t="str">
        <f t="shared" ref="FK146" si="2162">IF(CE146="","","|n"&amp;FK$2&amp;"+"&amp;CE146&amp;FK$1)</f>
        <v/>
      </c>
      <c r="FL146" s="30" t="str">
        <f t="shared" ref="FL146" si="2163">IF(CF146="","","|n"&amp;FL$2&amp;"+"&amp;CF146&amp;FL$1)</f>
        <v/>
      </c>
      <c r="FM146" s="30" t="str">
        <f t="shared" ref="FM146" si="2164">IF(CG146="","","|n"&amp;FM$2&amp;"+"&amp;CG146&amp;FM$1)</f>
        <v/>
      </c>
      <c r="FN146" s="30" t="str">
        <f t="shared" ref="FN146" si="2165">IF(CH146="","","|n"&amp;FN$2&amp;"+"&amp;CH146&amp;FN$1)</f>
        <v/>
      </c>
      <c r="FO146" s="30" t="str">
        <f t="shared" ref="FO146" si="2166">IF(CI146="","","|n"&amp;FO$2&amp;"+"&amp;CI146&amp;FO$1)</f>
        <v/>
      </c>
      <c r="FP146" s="30" t="str">
        <f t="shared" ref="FP146" si="2167">IF(CJ146="","","|n"&amp;FP$2&amp;"+"&amp;CJ146&amp;FP$1)</f>
        <v/>
      </c>
      <c r="FQ146" s="30" t="str">
        <f t="shared" ref="FQ146" si="2168">IF(CK146="","","|n"&amp;FQ$2&amp;"+"&amp;CK146&amp;FQ$1)</f>
        <v/>
      </c>
      <c r="FR146" s="30" t="str">
        <f t="shared" ref="FR146" si="2169">IF(CL146="","","|n"&amp;FR$2&amp;"+"&amp;CL146&amp;FR$1)</f>
        <v/>
      </c>
      <c r="FS146" s="30" t="str">
        <f t="shared" ref="FS146" si="2170">IF(CM146="","","|n"&amp;FS$2&amp;"+"&amp;CM146&amp;FS$1)</f>
        <v/>
      </c>
    </row>
    <row r="147" spans="1:175" ht="16.5">
      <c r="A147" s="110"/>
      <c r="B147" s="110" t="s">
        <v>331</v>
      </c>
      <c r="C147" s="110" t="s">
        <v>332</v>
      </c>
      <c r="T147" s="113" t="s">
        <v>333</v>
      </c>
      <c r="U147" s="32" t="str">
        <f t="shared" si="944"/>
        <v>ReplaceableTextures\\CommandButtons\\BTNIP01.blp</v>
      </c>
      <c r="CN147" s="7" t="str">
        <f t="shared" si="950"/>
        <v>InitUnitState('IP01',,,,,,,,,,)</v>
      </c>
      <c r="CO147" s="7" t="str">
        <f t="shared" si="951"/>
        <v>InitUnitNormal('IP01',,,,,,,,,,)</v>
      </c>
      <c r="CP147" s="7" t="str">
        <f t="shared" si="952"/>
        <v>InitUnitMagic('IP01',,,,,,,,,,)</v>
      </c>
      <c r="CQ147" s="7" t="str">
        <f t="shared" si="953"/>
        <v>InitUnitAdd('IP01',,,,,,,,,,)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45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" si="2172">T147</f>
        <v>进入时渊副本消耗时渊碎片</v>
      </c>
      <c r="CW147" s="24"/>
      <c r="CX147" s="24"/>
      <c r="CY147" s="24"/>
      <c r="CZ147" s="24"/>
      <c r="DA147" s="24"/>
      <c r="DB147" s="30" t="str">
        <f t="shared" ref="DB147" si="2173">IF(V147="","","|n"&amp;DB$2&amp;"+"&amp;V147&amp;DB$1)</f>
        <v/>
      </c>
      <c r="DC147" s="30" t="str">
        <f t="shared" ref="DC147" si="2174">IF(W147="","","|n"&amp;DC$2&amp;"+"&amp;W147&amp;DC$1)</f>
        <v/>
      </c>
      <c r="DD147" s="30" t="str">
        <f t="shared" ref="DD147" si="2175">IF(X147="","","|n"&amp;DD$2&amp;"+"&amp;X147&amp;DD$1)</f>
        <v/>
      </c>
      <c r="DE147" s="30" t="str">
        <f t="shared" ref="DE147" si="2176">IF(Y147="","","|n"&amp;DE$2&amp;"+"&amp;Y147&amp;DE$1)</f>
        <v/>
      </c>
      <c r="DF147" s="30" t="str">
        <f t="shared" ref="DF147" si="2177">IF(Z147="","","|n"&amp;DF$2&amp;"+"&amp;Z147&amp;DF$1)</f>
        <v/>
      </c>
      <c r="DG147" s="30" t="str">
        <f t="shared" ref="DG147" si="2178">IF(AA147="","","|n"&amp;DG$2&amp;"+"&amp;AA147&amp;DG$1)</f>
        <v/>
      </c>
      <c r="DH147" s="30" t="str">
        <f t="shared" ref="DH147" si="2179">IF(AB147="","","|n"&amp;DH$2&amp;"+"&amp;AB147&amp;DH$1)</f>
        <v/>
      </c>
      <c r="DI147" s="30" t="str">
        <f t="shared" ref="DI147" si="2180">IF(AC147="","","|n"&amp;DI$2&amp;"+"&amp;AC147&amp;DI$1)</f>
        <v/>
      </c>
      <c r="DJ147" s="30" t="str">
        <f t="shared" ref="DJ147" si="2181">IF(AD147="","","|n"&amp;DJ$2&amp;"+"&amp;AD147&amp;DJ$1)</f>
        <v/>
      </c>
      <c r="DK147" s="30" t="str">
        <f t="shared" ref="DK147" si="2182">IF(AE147="","","|n"&amp;DK$2&amp;"+"&amp;AE147&amp;DK$1)</f>
        <v/>
      </c>
      <c r="DL147" s="30" t="str">
        <f t="shared" ref="DL147" si="2183">IF(AF147="","","|n"&amp;DL$2&amp;"+"&amp;AF147&amp;DL$1)</f>
        <v/>
      </c>
      <c r="DM147" s="30" t="str">
        <f t="shared" ref="DM147" si="2184">IF(AG147="","","|n"&amp;DM$2&amp;"+"&amp;AG147&amp;DM$1)</f>
        <v/>
      </c>
      <c r="DN147" s="30" t="str">
        <f t="shared" ref="DN147" si="2185">IF(AH147="","","|n"&amp;DN$2&amp;"+"&amp;AH147&amp;DN$1)</f>
        <v/>
      </c>
      <c r="DO147" s="30" t="str">
        <f t="shared" ref="DO147" si="2186">IF(AI147="","","|n"&amp;DO$2&amp;"+"&amp;AI147&amp;DO$1)</f>
        <v/>
      </c>
      <c r="DP147" s="30" t="str">
        <f t="shared" ref="DP147" si="2187">IF(AJ147="","","|n"&amp;DP$2&amp;"+"&amp;AJ147&amp;DP$1)</f>
        <v/>
      </c>
      <c r="DQ147" s="30" t="str">
        <f t="shared" ref="DQ147" si="2188">IF(AK147="","","|n"&amp;DQ$2&amp;"+"&amp;AK147&amp;DQ$1)</f>
        <v/>
      </c>
      <c r="DR147" s="30" t="str">
        <f t="shared" ref="DR147" si="2189">IF(AL147="","","|n"&amp;DR$2&amp;"+"&amp;AL147&amp;DR$1)</f>
        <v/>
      </c>
      <c r="DS147" s="30" t="str">
        <f t="shared" ref="DS147" si="2190">IF(AM147="","","|n"&amp;DS$2&amp;"+"&amp;AM147&amp;DS$1)</f>
        <v/>
      </c>
      <c r="DT147" s="30" t="str">
        <f t="shared" ref="DT147" si="2191">IF(AN147="","","|n"&amp;DT$2&amp;"+"&amp;AN147&amp;DT$1)</f>
        <v/>
      </c>
      <c r="DU147" s="30" t="str">
        <f t="shared" ref="DU147" si="2192">IF(AO147="","","|n"&amp;DU$2&amp;"+"&amp;AO147&amp;DU$1)</f>
        <v/>
      </c>
      <c r="DV147" s="30" t="str">
        <f t="shared" ref="DV147" si="2193">IF(AP147="","","|n"&amp;DV$2&amp;"+"&amp;AP147&amp;DV$1)</f>
        <v/>
      </c>
      <c r="DW147" s="30" t="str">
        <f t="shared" ref="DW147" si="2194">IF(AQ147="","","|n"&amp;DW$2&amp;"+"&amp;AQ147&amp;DW$1)</f>
        <v/>
      </c>
      <c r="DX147" s="30" t="str">
        <f t="shared" ref="DX147" si="2195">IF(AR147="","","|n"&amp;DX$2&amp;"+"&amp;AR147&amp;DX$1)</f>
        <v/>
      </c>
      <c r="DY147" s="30" t="str">
        <f t="shared" ref="DY147" si="2196">IF(AS147="","","|n"&amp;DY$2&amp;"+"&amp;AS147&amp;DY$1)</f>
        <v/>
      </c>
      <c r="DZ147" s="30" t="str">
        <f t="shared" ref="DZ147" si="2197">IF(AT147="","","|n"&amp;DZ$2&amp;"+"&amp;AT147&amp;DZ$1)</f>
        <v/>
      </c>
      <c r="EA147" s="30" t="str">
        <f t="shared" ref="EA147" si="2198">IF(AU147="","","|n"&amp;EA$2&amp;"+"&amp;AU147&amp;EA$1)</f>
        <v/>
      </c>
      <c r="EB147" s="30" t="str">
        <f t="shared" ref="EB147" si="2199">IF(AV147="","","|n"&amp;EB$2&amp;"+"&amp;AV147&amp;EB$1)</f>
        <v/>
      </c>
      <c r="EC147" s="30" t="str">
        <f t="shared" ref="EC147" si="2200">IF(AW147="","","|n"&amp;EC$2&amp;"+"&amp;AW147&amp;EC$1)</f>
        <v/>
      </c>
      <c r="ED147" s="30" t="str">
        <f t="shared" ref="ED147" si="2201">IF(AX147="","","|n"&amp;ED$2&amp;"+"&amp;AX147&amp;ED$1)</f>
        <v/>
      </c>
      <c r="EE147" s="30" t="str">
        <f t="shared" ref="EE147" si="2202">IF(AY147="","","|n"&amp;EE$2&amp;"+"&amp;AY147&amp;EE$1)</f>
        <v/>
      </c>
      <c r="EF147" s="30" t="str">
        <f t="shared" ref="EF147" si="2203">IF(AZ147="","","|n"&amp;EF$2&amp;"+"&amp;AZ147&amp;EF$1)</f>
        <v/>
      </c>
      <c r="EG147" s="30" t="str">
        <f t="shared" ref="EG147" si="2204">IF(BA147="","","|n"&amp;EG$2&amp;"+"&amp;BA147&amp;EG$1)</f>
        <v/>
      </c>
      <c r="EH147" s="30" t="str">
        <f t="shared" ref="EH147" si="2205">IF(BB147="","","|n"&amp;EH$2&amp;"+"&amp;BB147&amp;EH$1)</f>
        <v/>
      </c>
      <c r="EI147" s="30" t="str">
        <f t="shared" ref="EI147" si="2206">IF(BC147="","","|n"&amp;EI$2&amp;"+"&amp;BC147&amp;EI$1)</f>
        <v/>
      </c>
      <c r="EJ147" s="30" t="str">
        <f t="shared" ref="EJ147" si="2207">IF(BD147="","","|n"&amp;EJ$2&amp;"+"&amp;BD147&amp;EJ$1)</f>
        <v/>
      </c>
      <c r="EK147" s="30" t="str">
        <f t="shared" ref="EK147" si="2208">IF(BE147="","","|n"&amp;EK$2&amp;"+"&amp;BE147&amp;EK$1)</f>
        <v/>
      </c>
      <c r="EL147" s="30" t="str">
        <f t="shared" ref="EL147" si="2209">IF(BF147="","","|n"&amp;EL$2&amp;"+"&amp;BF147&amp;EL$1)</f>
        <v/>
      </c>
      <c r="EM147" s="30" t="str">
        <f t="shared" ref="EM147" si="2210">IF(BG147="","","|n"&amp;EM$2&amp;"+"&amp;BG147&amp;EM$1)</f>
        <v/>
      </c>
      <c r="EN147" s="30" t="str">
        <f t="shared" ref="EN147" si="2211">IF(BH147="","","|n"&amp;EN$2&amp;"+"&amp;BH147&amp;EN$1)</f>
        <v/>
      </c>
      <c r="EO147" s="30" t="str">
        <f t="shared" ref="EO147" si="2212">IF(BI147="","","|n"&amp;EO$2&amp;"+"&amp;BI147&amp;EO$1)</f>
        <v/>
      </c>
      <c r="EP147" s="30" t="str">
        <f t="shared" ref="EP147" si="2213">IF(BJ147="","","|n"&amp;EP$2&amp;"+"&amp;BJ147&amp;EP$1)</f>
        <v/>
      </c>
      <c r="EQ147" s="30" t="str">
        <f t="shared" ref="EQ147" si="2214">IF(BK147="","","|n"&amp;EQ$2&amp;"+"&amp;BK147&amp;EQ$1)</f>
        <v/>
      </c>
      <c r="ER147" s="30" t="str">
        <f t="shared" ref="ER147" si="2215">IF(BL147="","","|n"&amp;ER$2&amp;"+"&amp;BL147&amp;ER$1)</f>
        <v/>
      </c>
      <c r="ES147" s="30" t="str">
        <f t="shared" ref="ES147" si="2216">IF(BM147="","","|n"&amp;ES$2&amp;"+"&amp;BM147&amp;ES$1)</f>
        <v/>
      </c>
      <c r="ET147" s="30" t="str">
        <f t="shared" ref="ET147" si="2217">IF(BN147="","","|n"&amp;ET$2&amp;"+"&amp;BN147&amp;ET$1)</f>
        <v/>
      </c>
      <c r="EU147" s="30" t="str">
        <f t="shared" ref="EU147" si="2218">IF(BO147="","","|n"&amp;EU$2&amp;"+"&amp;BO147&amp;EU$1)</f>
        <v/>
      </c>
      <c r="EV147" s="30" t="str">
        <f t="shared" ref="EV147" si="2219">IF(BP147="","","|n"&amp;EV$2&amp;"+"&amp;BP147&amp;EV$1)</f>
        <v/>
      </c>
      <c r="EW147" s="30" t="str">
        <f t="shared" ref="EW147" si="2220">IF(BQ147="","","|n"&amp;EW$2&amp;"+"&amp;BQ147&amp;EW$1)</f>
        <v/>
      </c>
      <c r="EX147" s="30" t="str">
        <f t="shared" ref="EX147" si="2221">IF(BR147="","","|n"&amp;EX$2&amp;"+"&amp;BR147&amp;EX$1)</f>
        <v/>
      </c>
      <c r="EY147" s="30" t="str">
        <f t="shared" ref="EY147" si="2222">IF(BS147="","","|n"&amp;EY$2&amp;"+"&amp;BS147&amp;EY$1)</f>
        <v/>
      </c>
      <c r="EZ147" s="30" t="str">
        <f t="shared" ref="EZ147" si="2223">IF(BT147="","","|n"&amp;EZ$2&amp;"+"&amp;BT147&amp;EZ$1)</f>
        <v/>
      </c>
      <c r="FA147" s="30" t="str">
        <f t="shared" ref="FA147" si="2224">IF(BU147="","","|n"&amp;FA$2&amp;"+"&amp;BU147&amp;FA$1)</f>
        <v/>
      </c>
      <c r="FB147" s="30" t="str">
        <f t="shared" ref="FB147" si="2225">IF(BV147="","","|n"&amp;FB$2&amp;"+"&amp;BV147&amp;FB$1)</f>
        <v/>
      </c>
      <c r="FC147" s="30" t="str">
        <f t="shared" ref="FC147" si="2226">IF(BW147="","","|n"&amp;FC$2&amp;"+"&amp;BW147&amp;FC$1)</f>
        <v/>
      </c>
      <c r="FD147" s="30" t="str">
        <f t="shared" ref="FD147" si="2227">IF(BX147="","","|n"&amp;FD$2&amp;"+"&amp;BX147&amp;FD$1)</f>
        <v/>
      </c>
      <c r="FE147" s="30" t="str">
        <f t="shared" ref="FE147" si="2228">IF(BY147="","","|n"&amp;FE$2&amp;"+"&amp;BY147&amp;FE$1)</f>
        <v/>
      </c>
      <c r="FF147" s="30" t="str">
        <f t="shared" ref="FF147" si="2229">IF(BZ147="","","|n"&amp;FF$2&amp;"+"&amp;BZ147&amp;FF$1)</f>
        <v/>
      </c>
      <c r="FG147" s="30" t="str">
        <f t="shared" ref="FG147" si="2230">IF(CA147="","","|n"&amp;FG$2&amp;"+"&amp;CA147&amp;FG$1)</f>
        <v/>
      </c>
      <c r="FH147" s="30" t="str">
        <f t="shared" ref="FH147" si="2231">IF(CB147="","","|n"&amp;FH$2&amp;"+"&amp;CB147&amp;FH$1)</f>
        <v/>
      </c>
      <c r="FI147" s="30" t="str">
        <f t="shared" ref="FI147" si="2232">IF(CC147="","","|n"&amp;FI$2&amp;"+"&amp;CC147&amp;FI$1)</f>
        <v/>
      </c>
      <c r="FJ147" s="30" t="str">
        <f t="shared" ref="FJ147" si="2233">IF(CD147="","","|n"&amp;FJ$2&amp;"+"&amp;CD147&amp;FJ$1)</f>
        <v/>
      </c>
      <c r="FK147" s="30" t="str">
        <f t="shared" ref="FK147" si="2234">IF(CE147="","","|n"&amp;FK$2&amp;"+"&amp;CE147&amp;FK$1)</f>
        <v/>
      </c>
      <c r="FL147" s="30" t="str">
        <f t="shared" ref="FL147" si="2235">IF(CF147="","","|n"&amp;FL$2&amp;"+"&amp;CF147&amp;FL$1)</f>
        <v/>
      </c>
      <c r="FM147" s="30" t="str">
        <f t="shared" ref="FM147" si="2236">IF(CG147="","","|n"&amp;FM$2&amp;"+"&amp;CG147&amp;FM$1)</f>
        <v/>
      </c>
      <c r="FN147" s="30" t="str">
        <f t="shared" ref="FN147" si="2237">IF(CH147="","","|n"&amp;FN$2&amp;"+"&amp;CH147&amp;FN$1)</f>
        <v/>
      </c>
      <c r="FO147" s="30" t="str">
        <f t="shared" ref="FO147" si="2238">IF(CI147="","","|n"&amp;FO$2&amp;"+"&amp;CI147&amp;FO$1)</f>
        <v/>
      </c>
      <c r="FP147" s="30" t="str">
        <f t="shared" ref="FP147" si="2239">IF(CJ147="","","|n"&amp;FP$2&amp;"+"&amp;CJ147&amp;FP$1)</f>
        <v/>
      </c>
      <c r="FQ147" s="30" t="str">
        <f t="shared" ref="FQ147" si="2240">IF(CK147="","","|n"&amp;FQ$2&amp;"+"&amp;CK147&amp;FQ$1)</f>
        <v/>
      </c>
      <c r="FR147" s="30" t="str">
        <f t="shared" ref="FR147" si="2241">IF(CL147="","","|n"&amp;FR$2&amp;"+"&amp;CL147&amp;FR$1)</f>
        <v/>
      </c>
      <c r="FS147" s="30" t="str">
        <f t="shared" ref="FS147" si="2242">IF(CM147="","","|n"&amp;FS$2&amp;"+"&amp;CM147&amp;FS$1)</f>
        <v/>
      </c>
    </row>
    <row r="148" spans="1:175" ht="16.5">
      <c r="A148" s="114"/>
      <c r="B148" s="110" t="s">
        <v>336</v>
      </c>
      <c r="C148" s="114" t="s">
        <v>338</v>
      </c>
      <c r="T148" s="115" t="s">
        <v>340</v>
      </c>
      <c r="U148" s="32" t="str">
        <f t="shared" si="944"/>
        <v>ReplaceableTextures\\CommandButtons\\BTNIP02.blp</v>
      </c>
      <c r="CN148" s="7" t="str">
        <f t="shared" si="950"/>
        <v>InitUnitState('IP02',,,,,,,,,,)</v>
      </c>
      <c r="CO148" s="7" t="str">
        <f t="shared" si="951"/>
        <v>InitUnitNormal('IP02',,,,,,,,,,)</v>
      </c>
      <c r="CP148" s="7" t="str">
        <f t="shared" si="952"/>
        <v>InitUnitMagic('IP02',,,,,,,,,,)</v>
      </c>
      <c r="CQ148" s="7" t="str">
        <f t="shared" si="953"/>
        <v>InitUnitAdd('IP02',,,,,,,,,,)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45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49" si="2244">T148</f>
        <v>消耗补天石，可重铸指定法宝</v>
      </c>
      <c r="CW148" s="24"/>
      <c r="CX148" s="24"/>
      <c r="CY148" s="24"/>
      <c r="CZ148" s="24"/>
      <c r="DA148" s="24"/>
      <c r="DB148" s="30" t="str">
        <f t="shared" ref="DB148:DB149" si="2245">IF(V148="","","|n"&amp;DB$2&amp;"+"&amp;V148&amp;DB$1)</f>
        <v/>
      </c>
      <c r="DC148" s="30" t="str">
        <f t="shared" ref="DC148:DC149" si="2246">IF(W148="","","|n"&amp;DC$2&amp;"+"&amp;W148&amp;DC$1)</f>
        <v/>
      </c>
      <c r="DD148" s="30" t="str">
        <f t="shared" ref="DD148:DD149" si="2247">IF(X148="","","|n"&amp;DD$2&amp;"+"&amp;X148&amp;DD$1)</f>
        <v/>
      </c>
      <c r="DE148" s="30" t="str">
        <f t="shared" ref="DE148:DE149" si="2248">IF(Y148="","","|n"&amp;DE$2&amp;"+"&amp;Y148&amp;DE$1)</f>
        <v/>
      </c>
      <c r="DF148" s="30" t="str">
        <f t="shared" ref="DF148:DF149" si="2249">IF(Z148="","","|n"&amp;DF$2&amp;"+"&amp;Z148&amp;DF$1)</f>
        <v/>
      </c>
      <c r="DG148" s="30" t="str">
        <f t="shared" ref="DG148:DG149" si="2250">IF(AA148="","","|n"&amp;DG$2&amp;"+"&amp;AA148&amp;DG$1)</f>
        <v/>
      </c>
      <c r="DH148" s="30" t="str">
        <f t="shared" ref="DH148:DH149" si="2251">IF(AB148="","","|n"&amp;DH$2&amp;"+"&amp;AB148&amp;DH$1)</f>
        <v/>
      </c>
      <c r="DI148" s="30" t="str">
        <f t="shared" ref="DI148:DI149" si="2252">IF(AC148="","","|n"&amp;DI$2&amp;"+"&amp;AC148&amp;DI$1)</f>
        <v/>
      </c>
      <c r="DJ148" s="30" t="str">
        <f t="shared" ref="DJ148:DJ149" si="2253">IF(AD148="","","|n"&amp;DJ$2&amp;"+"&amp;AD148&amp;DJ$1)</f>
        <v/>
      </c>
      <c r="DK148" s="30" t="str">
        <f t="shared" ref="DK148:DK149" si="2254">IF(AE148="","","|n"&amp;DK$2&amp;"+"&amp;AE148&amp;DK$1)</f>
        <v/>
      </c>
      <c r="DL148" s="30" t="str">
        <f t="shared" ref="DL148:DL149" si="2255">IF(AF148="","","|n"&amp;DL$2&amp;"+"&amp;AF148&amp;DL$1)</f>
        <v/>
      </c>
      <c r="DM148" s="30" t="str">
        <f t="shared" ref="DM148:DM149" si="2256">IF(AG148="","","|n"&amp;DM$2&amp;"+"&amp;AG148&amp;DM$1)</f>
        <v/>
      </c>
      <c r="DN148" s="30" t="str">
        <f t="shared" ref="DN148:DN149" si="2257">IF(AH148="","","|n"&amp;DN$2&amp;"+"&amp;AH148&amp;DN$1)</f>
        <v/>
      </c>
      <c r="DO148" s="30" t="str">
        <f t="shared" ref="DO148:DO149" si="2258">IF(AI148="","","|n"&amp;DO$2&amp;"+"&amp;AI148&amp;DO$1)</f>
        <v/>
      </c>
      <c r="DP148" s="30" t="str">
        <f t="shared" ref="DP148:DP149" si="2259">IF(AJ148="","","|n"&amp;DP$2&amp;"+"&amp;AJ148&amp;DP$1)</f>
        <v/>
      </c>
      <c r="DQ148" s="30" t="str">
        <f t="shared" ref="DQ148:DQ149" si="2260">IF(AK148="","","|n"&amp;DQ$2&amp;"+"&amp;AK148&amp;DQ$1)</f>
        <v/>
      </c>
      <c r="DR148" s="30" t="str">
        <f t="shared" ref="DR148:DR149" si="2261">IF(AL148="","","|n"&amp;DR$2&amp;"+"&amp;AL148&amp;DR$1)</f>
        <v/>
      </c>
      <c r="DS148" s="30" t="str">
        <f t="shared" ref="DS148:DS149" si="2262">IF(AM148="","","|n"&amp;DS$2&amp;"+"&amp;AM148&amp;DS$1)</f>
        <v/>
      </c>
      <c r="DT148" s="30" t="str">
        <f t="shared" ref="DT148:DT149" si="2263">IF(AN148="","","|n"&amp;DT$2&amp;"+"&amp;AN148&amp;DT$1)</f>
        <v/>
      </c>
      <c r="DU148" s="30" t="str">
        <f t="shared" ref="DU148:DU149" si="2264">IF(AO148="","","|n"&amp;DU$2&amp;"+"&amp;AO148&amp;DU$1)</f>
        <v/>
      </c>
      <c r="DV148" s="30" t="str">
        <f t="shared" ref="DV148:DV149" si="2265">IF(AP148="","","|n"&amp;DV$2&amp;"+"&amp;AP148&amp;DV$1)</f>
        <v/>
      </c>
      <c r="DW148" s="30" t="str">
        <f t="shared" ref="DW148:DW149" si="2266">IF(AQ148="","","|n"&amp;DW$2&amp;"+"&amp;AQ148&amp;DW$1)</f>
        <v/>
      </c>
      <c r="DX148" s="30" t="str">
        <f t="shared" ref="DX148:DX149" si="2267">IF(AR148="","","|n"&amp;DX$2&amp;"+"&amp;AR148&amp;DX$1)</f>
        <v/>
      </c>
      <c r="DY148" s="30" t="str">
        <f t="shared" ref="DY148:DY149" si="2268">IF(AS148="","","|n"&amp;DY$2&amp;"+"&amp;AS148&amp;DY$1)</f>
        <v/>
      </c>
      <c r="DZ148" s="30" t="str">
        <f t="shared" ref="DZ148:DZ149" si="2269">IF(AT148="","","|n"&amp;DZ$2&amp;"+"&amp;AT148&amp;DZ$1)</f>
        <v/>
      </c>
      <c r="EA148" s="30" t="str">
        <f t="shared" ref="EA148:EA149" si="2270">IF(AU148="","","|n"&amp;EA$2&amp;"+"&amp;AU148&amp;EA$1)</f>
        <v/>
      </c>
      <c r="EB148" s="30" t="str">
        <f t="shared" ref="EB148:EB149" si="2271">IF(AV148="","","|n"&amp;EB$2&amp;"+"&amp;AV148&amp;EB$1)</f>
        <v/>
      </c>
      <c r="EC148" s="30" t="str">
        <f t="shared" ref="EC148:EC149" si="2272">IF(AW148="","","|n"&amp;EC$2&amp;"+"&amp;AW148&amp;EC$1)</f>
        <v/>
      </c>
      <c r="ED148" s="30" t="str">
        <f t="shared" ref="ED148:ED149" si="2273">IF(AX148="","","|n"&amp;ED$2&amp;"+"&amp;AX148&amp;ED$1)</f>
        <v/>
      </c>
      <c r="EE148" s="30" t="str">
        <f t="shared" ref="EE148:EE149" si="2274">IF(AY148="","","|n"&amp;EE$2&amp;"+"&amp;AY148&amp;EE$1)</f>
        <v/>
      </c>
      <c r="EF148" s="30" t="str">
        <f t="shared" ref="EF148:EF149" si="2275">IF(AZ148="","","|n"&amp;EF$2&amp;"+"&amp;AZ148&amp;EF$1)</f>
        <v/>
      </c>
      <c r="EG148" s="30" t="str">
        <f t="shared" ref="EG148:EG149" si="2276">IF(BA148="","","|n"&amp;EG$2&amp;"+"&amp;BA148&amp;EG$1)</f>
        <v/>
      </c>
      <c r="EH148" s="30" t="str">
        <f t="shared" ref="EH148:EH149" si="2277">IF(BB148="","","|n"&amp;EH$2&amp;"+"&amp;BB148&amp;EH$1)</f>
        <v/>
      </c>
      <c r="EI148" s="30" t="str">
        <f t="shared" ref="EI148:EI149" si="2278">IF(BC148="","","|n"&amp;EI$2&amp;"+"&amp;BC148&amp;EI$1)</f>
        <v/>
      </c>
      <c r="EJ148" s="30" t="str">
        <f t="shared" ref="EJ148:EJ149" si="2279">IF(BD148="","","|n"&amp;EJ$2&amp;"+"&amp;BD148&amp;EJ$1)</f>
        <v/>
      </c>
      <c r="EK148" s="30" t="str">
        <f t="shared" ref="EK148:EK149" si="2280">IF(BE148="","","|n"&amp;EK$2&amp;"+"&amp;BE148&amp;EK$1)</f>
        <v/>
      </c>
      <c r="EL148" s="30" t="str">
        <f t="shared" ref="EL148:EL149" si="2281">IF(BF148="","","|n"&amp;EL$2&amp;"+"&amp;BF148&amp;EL$1)</f>
        <v/>
      </c>
      <c r="EM148" s="30" t="str">
        <f t="shared" ref="EM148:EM149" si="2282">IF(BG148="","","|n"&amp;EM$2&amp;"+"&amp;BG148&amp;EM$1)</f>
        <v/>
      </c>
      <c r="EN148" s="30" t="str">
        <f t="shared" ref="EN148:EN149" si="2283">IF(BH148="","","|n"&amp;EN$2&amp;"+"&amp;BH148&amp;EN$1)</f>
        <v/>
      </c>
      <c r="EO148" s="30" t="str">
        <f t="shared" ref="EO148:EO149" si="2284">IF(BI148="","","|n"&amp;EO$2&amp;"+"&amp;BI148&amp;EO$1)</f>
        <v/>
      </c>
      <c r="EP148" s="30" t="str">
        <f t="shared" ref="EP148:EP149" si="2285">IF(BJ148="","","|n"&amp;EP$2&amp;"+"&amp;BJ148&amp;EP$1)</f>
        <v/>
      </c>
      <c r="EQ148" s="30" t="str">
        <f t="shared" ref="EQ148:EQ149" si="2286">IF(BK148="","","|n"&amp;EQ$2&amp;"+"&amp;BK148&amp;EQ$1)</f>
        <v/>
      </c>
      <c r="ER148" s="30" t="str">
        <f t="shared" ref="ER148:ER149" si="2287">IF(BL148="","","|n"&amp;ER$2&amp;"+"&amp;BL148&amp;ER$1)</f>
        <v/>
      </c>
      <c r="ES148" s="30" t="str">
        <f t="shared" ref="ES148:ES149" si="2288">IF(BM148="","","|n"&amp;ES$2&amp;"+"&amp;BM148&amp;ES$1)</f>
        <v/>
      </c>
      <c r="ET148" s="30" t="str">
        <f t="shared" ref="ET148:ET149" si="2289">IF(BN148="","","|n"&amp;ET$2&amp;"+"&amp;BN148&amp;ET$1)</f>
        <v/>
      </c>
      <c r="EU148" s="30" t="str">
        <f t="shared" ref="EU148:EU149" si="2290">IF(BO148="","","|n"&amp;EU$2&amp;"+"&amp;BO148&amp;EU$1)</f>
        <v/>
      </c>
      <c r="EV148" s="30" t="str">
        <f t="shared" ref="EV148:EV149" si="2291">IF(BP148="","","|n"&amp;EV$2&amp;"+"&amp;BP148&amp;EV$1)</f>
        <v/>
      </c>
      <c r="EW148" s="30" t="str">
        <f t="shared" ref="EW148:EW149" si="2292">IF(BQ148="","","|n"&amp;EW$2&amp;"+"&amp;BQ148&amp;EW$1)</f>
        <v/>
      </c>
      <c r="EX148" s="30" t="str">
        <f t="shared" ref="EX148:EX149" si="2293">IF(BR148="","","|n"&amp;EX$2&amp;"+"&amp;BR148&amp;EX$1)</f>
        <v/>
      </c>
      <c r="EY148" s="30" t="str">
        <f t="shared" ref="EY148:EY149" si="2294">IF(BS148="","","|n"&amp;EY$2&amp;"+"&amp;BS148&amp;EY$1)</f>
        <v/>
      </c>
      <c r="EZ148" s="30" t="str">
        <f t="shared" ref="EZ148:EZ149" si="2295">IF(BT148="","","|n"&amp;EZ$2&amp;"+"&amp;BT148&amp;EZ$1)</f>
        <v/>
      </c>
      <c r="FA148" s="30" t="str">
        <f t="shared" ref="FA148:FA149" si="2296">IF(BU148="","","|n"&amp;FA$2&amp;"+"&amp;BU148&amp;FA$1)</f>
        <v/>
      </c>
      <c r="FB148" s="30" t="str">
        <f t="shared" ref="FB148:FB149" si="2297">IF(BV148="","","|n"&amp;FB$2&amp;"+"&amp;BV148&amp;FB$1)</f>
        <v/>
      </c>
      <c r="FC148" s="30" t="str">
        <f t="shared" ref="FC148:FC149" si="2298">IF(BW148="","","|n"&amp;FC$2&amp;"+"&amp;BW148&amp;FC$1)</f>
        <v/>
      </c>
      <c r="FD148" s="30" t="str">
        <f t="shared" ref="FD148:FD149" si="2299">IF(BX148="","","|n"&amp;FD$2&amp;"+"&amp;BX148&amp;FD$1)</f>
        <v/>
      </c>
      <c r="FE148" s="30" t="str">
        <f t="shared" ref="FE148:FE149" si="2300">IF(BY148="","","|n"&amp;FE$2&amp;"+"&amp;BY148&amp;FE$1)</f>
        <v/>
      </c>
      <c r="FF148" s="30" t="str">
        <f t="shared" ref="FF148:FF149" si="2301">IF(BZ148="","","|n"&amp;FF$2&amp;"+"&amp;BZ148&amp;FF$1)</f>
        <v/>
      </c>
      <c r="FG148" s="30" t="str">
        <f t="shared" ref="FG148:FG149" si="2302">IF(CA148="","","|n"&amp;FG$2&amp;"+"&amp;CA148&amp;FG$1)</f>
        <v/>
      </c>
      <c r="FH148" s="30" t="str">
        <f t="shared" ref="FH148:FH149" si="2303">IF(CB148="","","|n"&amp;FH$2&amp;"+"&amp;CB148&amp;FH$1)</f>
        <v/>
      </c>
      <c r="FI148" s="30" t="str">
        <f t="shared" ref="FI148:FI149" si="2304">IF(CC148="","","|n"&amp;FI$2&amp;"+"&amp;CC148&amp;FI$1)</f>
        <v/>
      </c>
      <c r="FJ148" s="30" t="str">
        <f t="shared" ref="FJ148:FJ149" si="2305">IF(CD148="","","|n"&amp;FJ$2&amp;"+"&amp;CD148&amp;FJ$1)</f>
        <v/>
      </c>
      <c r="FK148" s="30" t="str">
        <f t="shared" ref="FK148:FK149" si="2306">IF(CE148="","","|n"&amp;FK$2&amp;"+"&amp;CE148&amp;FK$1)</f>
        <v/>
      </c>
      <c r="FL148" s="30" t="str">
        <f t="shared" ref="FL148:FL149" si="2307">IF(CF148="","","|n"&amp;FL$2&amp;"+"&amp;CF148&amp;FL$1)</f>
        <v/>
      </c>
      <c r="FM148" s="30" t="str">
        <f t="shared" ref="FM148:FM149" si="2308">IF(CG148="","","|n"&amp;FM$2&amp;"+"&amp;CG148&amp;FM$1)</f>
        <v/>
      </c>
      <c r="FN148" s="30" t="str">
        <f t="shared" ref="FN148:FN149" si="2309">IF(CH148="","","|n"&amp;FN$2&amp;"+"&amp;CH148&amp;FN$1)</f>
        <v/>
      </c>
      <c r="FO148" s="30" t="str">
        <f t="shared" ref="FO148:FO149" si="2310">IF(CI148="","","|n"&amp;FO$2&amp;"+"&amp;CI148&amp;FO$1)</f>
        <v/>
      </c>
      <c r="FP148" s="30" t="str">
        <f t="shared" ref="FP148:FP149" si="2311">IF(CJ148="","","|n"&amp;FP$2&amp;"+"&amp;CJ148&amp;FP$1)</f>
        <v/>
      </c>
      <c r="FQ148" s="30" t="str">
        <f t="shared" ref="FQ148:FQ149" si="2312">IF(CK148="","","|n"&amp;FQ$2&amp;"+"&amp;CK148&amp;FQ$1)</f>
        <v/>
      </c>
      <c r="FR148" s="30" t="str">
        <f t="shared" ref="FR148:FR149" si="2313">IF(CL148="","","|n"&amp;FR$2&amp;"+"&amp;CL148&amp;FR$1)</f>
        <v/>
      </c>
      <c r="FS148" s="30" t="str">
        <f t="shared" ref="FS148:FS149" si="2314">IF(CM148="","","|n"&amp;FS$2&amp;"+"&amp;CM148&amp;FS$1)</f>
        <v/>
      </c>
    </row>
    <row r="149" spans="1:175" ht="16.5">
      <c r="A149" s="114"/>
      <c r="B149" s="110" t="s">
        <v>337</v>
      </c>
      <c r="C149" s="114" t="s">
        <v>339</v>
      </c>
      <c r="T149" s="114" t="s">
        <v>341</v>
      </c>
      <c r="U149" s="32" t="str">
        <f t="shared" si="944"/>
        <v>ReplaceableTextures\\CommandButtons\\BTNIP03.blp</v>
      </c>
      <c r="CN149" s="7" t="str">
        <f t="shared" si="950"/>
        <v>InitUnitState('IP03',,,,,,,,,,)</v>
      </c>
      <c r="CO149" s="7" t="str">
        <f t="shared" si="951"/>
        <v>InitUnitNormal('IP03',,,,,,,,,,)</v>
      </c>
      <c r="CP149" s="7" t="str">
        <f t="shared" si="952"/>
        <v>InitUnitMagic('IP03',,,,,,,,,,)</v>
      </c>
      <c r="CQ149" s="7" t="str">
        <f t="shared" si="953"/>
        <v>InitUnitAdd('IP03',,,,,,,,,,)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45" t="str">
        <f t="shared" si="2243"/>
        <v>|n</v>
      </c>
      <c r="CV149" s="29" t="str">
        <f t="shared" si="2244"/>
        <v>消耗鸿蒙结晶，可将指定法宝锻造为高一品阶的随机法宝。</v>
      </c>
      <c r="CW149" s="24"/>
      <c r="CX149" s="24"/>
      <c r="CY149" s="24"/>
      <c r="CZ149" s="24"/>
      <c r="DA149" s="24"/>
      <c r="DB149" s="30" t="str">
        <f t="shared" si="2245"/>
        <v/>
      </c>
      <c r="DC149" s="30" t="str">
        <f t="shared" si="2246"/>
        <v/>
      </c>
      <c r="DD149" s="30" t="str">
        <f t="shared" si="2247"/>
        <v/>
      </c>
      <c r="DE149" s="30" t="str">
        <f t="shared" si="2248"/>
        <v/>
      </c>
      <c r="DF149" s="30" t="str">
        <f t="shared" si="2249"/>
        <v/>
      </c>
      <c r="DG149" s="30" t="str">
        <f t="shared" si="2250"/>
        <v/>
      </c>
      <c r="DH149" s="30" t="str">
        <f t="shared" si="2251"/>
        <v/>
      </c>
      <c r="DI149" s="30" t="str">
        <f t="shared" si="2252"/>
        <v/>
      </c>
      <c r="DJ149" s="30" t="str">
        <f t="shared" si="2253"/>
        <v/>
      </c>
      <c r="DK149" s="30" t="str">
        <f t="shared" si="2254"/>
        <v/>
      </c>
      <c r="DL149" s="30" t="str">
        <f t="shared" si="2255"/>
        <v/>
      </c>
      <c r="DM149" s="30" t="str">
        <f t="shared" si="2256"/>
        <v/>
      </c>
      <c r="DN149" s="30" t="str">
        <f t="shared" si="2257"/>
        <v/>
      </c>
      <c r="DO149" s="30" t="str">
        <f t="shared" si="2258"/>
        <v/>
      </c>
      <c r="DP149" s="30" t="str">
        <f t="shared" si="2259"/>
        <v/>
      </c>
      <c r="DQ149" s="30" t="str">
        <f t="shared" si="2260"/>
        <v/>
      </c>
      <c r="DR149" s="30" t="str">
        <f t="shared" si="2261"/>
        <v/>
      </c>
      <c r="DS149" s="30" t="str">
        <f t="shared" si="2262"/>
        <v/>
      </c>
      <c r="DT149" s="30" t="str">
        <f t="shared" si="2263"/>
        <v/>
      </c>
      <c r="DU149" s="30" t="str">
        <f t="shared" si="2264"/>
        <v/>
      </c>
      <c r="DV149" s="30" t="str">
        <f t="shared" si="2265"/>
        <v/>
      </c>
      <c r="DW149" s="30" t="str">
        <f t="shared" si="2266"/>
        <v/>
      </c>
      <c r="DX149" s="30" t="str">
        <f t="shared" si="2267"/>
        <v/>
      </c>
      <c r="DY149" s="30" t="str">
        <f t="shared" si="2268"/>
        <v/>
      </c>
      <c r="DZ149" s="30" t="str">
        <f t="shared" si="2269"/>
        <v/>
      </c>
      <c r="EA149" s="30" t="str">
        <f t="shared" si="2270"/>
        <v/>
      </c>
      <c r="EB149" s="30" t="str">
        <f t="shared" si="2271"/>
        <v/>
      </c>
      <c r="EC149" s="30" t="str">
        <f t="shared" si="2272"/>
        <v/>
      </c>
      <c r="ED149" s="30" t="str">
        <f t="shared" si="2273"/>
        <v/>
      </c>
      <c r="EE149" s="30" t="str">
        <f t="shared" si="2274"/>
        <v/>
      </c>
      <c r="EF149" s="30" t="str">
        <f t="shared" si="2275"/>
        <v/>
      </c>
      <c r="EG149" s="30" t="str">
        <f t="shared" si="2276"/>
        <v/>
      </c>
      <c r="EH149" s="30" t="str">
        <f t="shared" si="2277"/>
        <v/>
      </c>
      <c r="EI149" s="30" t="str">
        <f t="shared" si="2278"/>
        <v/>
      </c>
      <c r="EJ149" s="30" t="str">
        <f t="shared" si="2279"/>
        <v/>
      </c>
      <c r="EK149" s="30" t="str">
        <f t="shared" si="2280"/>
        <v/>
      </c>
      <c r="EL149" s="30" t="str">
        <f t="shared" si="2281"/>
        <v/>
      </c>
      <c r="EM149" s="30" t="str">
        <f t="shared" si="2282"/>
        <v/>
      </c>
      <c r="EN149" s="30" t="str">
        <f t="shared" si="2283"/>
        <v/>
      </c>
      <c r="EO149" s="30" t="str">
        <f t="shared" si="2284"/>
        <v/>
      </c>
      <c r="EP149" s="30" t="str">
        <f t="shared" si="2285"/>
        <v/>
      </c>
      <c r="EQ149" s="30" t="str">
        <f t="shared" si="2286"/>
        <v/>
      </c>
      <c r="ER149" s="30" t="str">
        <f t="shared" si="2287"/>
        <v/>
      </c>
      <c r="ES149" s="30" t="str">
        <f t="shared" si="2288"/>
        <v/>
      </c>
      <c r="ET149" s="30" t="str">
        <f t="shared" si="2289"/>
        <v/>
      </c>
      <c r="EU149" s="30" t="str">
        <f t="shared" si="2290"/>
        <v/>
      </c>
      <c r="EV149" s="30" t="str">
        <f t="shared" si="2291"/>
        <v/>
      </c>
      <c r="EW149" s="30" t="str">
        <f t="shared" si="2292"/>
        <v/>
      </c>
      <c r="EX149" s="30" t="str">
        <f t="shared" si="2293"/>
        <v/>
      </c>
      <c r="EY149" s="30" t="str">
        <f t="shared" si="2294"/>
        <v/>
      </c>
      <c r="EZ149" s="30" t="str">
        <f t="shared" si="2295"/>
        <v/>
      </c>
      <c r="FA149" s="30" t="str">
        <f t="shared" si="2296"/>
        <v/>
      </c>
      <c r="FB149" s="30" t="str">
        <f t="shared" si="2297"/>
        <v/>
      </c>
      <c r="FC149" s="30" t="str">
        <f t="shared" si="2298"/>
        <v/>
      </c>
      <c r="FD149" s="30" t="str">
        <f t="shared" si="2299"/>
        <v/>
      </c>
      <c r="FE149" s="30" t="str">
        <f t="shared" si="2300"/>
        <v/>
      </c>
      <c r="FF149" s="30" t="str">
        <f t="shared" si="2301"/>
        <v/>
      </c>
      <c r="FG149" s="30" t="str">
        <f t="shared" si="2302"/>
        <v/>
      </c>
      <c r="FH149" s="30" t="str">
        <f t="shared" si="2303"/>
        <v/>
      </c>
      <c r="FI149" s="30" t="str">
        <f t="shared" si="2304"/>
        <v/>
      </c>
      <c r="FJ149" s="30" t="str">
        <f t="shared" si="2305"/>
        <v/>
      </c>
      <c r="FK149" s="30" t="str">
        <f t="shared" si="2306"/>
        <v/>
      </c>
      <c r="FL149" s="30" t="str">
        <f t="shared" si="2307"/>
        <v/>
      </c>
      <c r="FM149" s="30" t="str">
        <f t="shared" si="2308"/>
        <v/>
      </c>
      <c r="FN149" s="30" t="str">
        <f t="shared" si="2309"/>
        <v/>
      </c>
      <c r="FO149" s="30" t="str">
        <f t="shared" si="2310"/>
        <v/>
      </c>
      <c r="FP149" s="30" t="str">
        <f t="shared" si="2311"/>
        <v/>
      </c>
      <c r="FQ149" s="30" t="str">
        <f t="shared" si="2312"/>
        <v/>
      </c>
      <c r="FR149" s="30" t="str">
        <f t="shared" si="2313"/>
        <v/>
      </c>
      <c r="FS149" s="30" t="str">
        <f t="shared" si="2314"/>
        <v/>
      </c>
    </row>
    <row r="150" spans="1:175" ht="16.5">
      <c r="A150" s="114"/>
      <c r="B150" s="110" t="s">
        <v>361</v>
      </c>
      <c r="C150" s="114" t="s">
        <v>362</v>
      </c>
      <c r="R150" s="25">
        <v>-7657</v>
      </c>
      <c r="S150" s="25">
        <v>-4635</v>
      </c>
      <c r="T150" s="114" t="s">
        <v>362</v>
      </c>
      <c r="U150" s="32" t="str">
        <f t="shared" si="944"/>
        <v>ReplaceableTextures\\CommandButtons\\BTNIT01.blp</v>
      </c>
      <c r="CN150" s="7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7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7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7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7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45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" si="2320">T150</f>
        <v>境界挑战1</v>
      </c>
      <c r="CW150" s="24"/>
      <c r="CX150" s="24"/>
      <c r="CY150" s="24"/>
      <c r="CZ150" s="24"/>
      <c r="DA150" s="24"/>
      <c r="DB150" s="30" t="str">
        <f t="shared" ref="DB150" si="2321">IF(V150="","","|n"&amp;DB$2&amp;"+"&amp;V150&amp;DB$1)</f>
        <v/>
      </c>
      <c r="DC150" s="30" t="str">
        <f t="shared" ref="DC150" si="2322">IF(W150="","","|n"&amp;DC$2&amp;"+"&amp;W150&amp;DC$1)</f>
        <v/>
      </c>
      <c r="DD150" s="30" t="str">
        <f t="shared" ref="DD150" si="2323">IF(X150="","","|n"&amp;DD$2&amp;"+"&amp;X150&amp;DD$1)</f>
        <v/>
      </c>
      <c r="DE150" s="30" t="str">
        <f t="shared" ref="DE150" si="2324">IF(Y150="","","|n"&amp;DE$2&amp;"+"&amp;Y150&amp;DE$1)</f>
        <v/>
      </c>
      <c r="DF150" s="30" t="str">
        <f t="shared" ref="DF150" si="2325">IF(Z150="","","|n"&amp;DF$2&amp;"+"&amp;Z150&amp;DF$1)</f>
        <v/>
      </c>
      <c r="DG150" s="30" t="str">
        <f t="shared" ref="DG150" si="2326">IF(AA150="","","|n"&amp;DG$2&amp;"+"&amp;AA150&amp;DG$1)</f>
        <v/>
      </c>
      <c r="DH150" s="30" t="str">
        <f t="shared" ref="DH150" si="2327">IF(AB150="","","|n"&amp;DH$2&amp;"+"&amp;AB150&amp;DH$1)</f>
        <v/>
      </c>
      <c r="DI150" s="30" t="str">
        <f t="shared" ref="DI150" si="2328">IF(AC150="","","|n"&amp;DI$2&amp;"+"&amp;AC150&amp;DI$1)</f>
        <v/>
      </c>
      <c r="DJ150" s="30" t="str">
        <f t="shared" ref="DJ150" si="2329">IF(AD150="","","|n"&amp;DJ$2&amp;"+"&amp;AD150&amp;DJ$1)</f>
        <v/>
      </c>
      <c r="DK150" s="30" t="str">
        <f t="shared" ref="DK150" si="2330">IF(AE150="","","|n"&amp;DK$2&amp;"+"&amp;AE150&amp;DK$1)</f>
        <v/>
      </c>
      <c r="DL150" s="30" t="str">
        <f t="shared" ref="DL150" si="2331">IF(AF150="","","|n"&amp;DL$2&amp;"+"&amp;AF150&amp;DL$1)</f>
        <v/>
      </c>
      <c r="DM150" s="30" t="str">
        <f t="shared" ref="DM150" si="2332">IF(AG150="","","|n"&amp;DM$2&amp;"+"&amp;AG150&amp;DM$1)</f>
        <v/>
      </c>
      <c r="DN150" s="30" t="str">
        <f t="shared" ref="DN150" si="2333">IF(AH150="","","|n"&amp;DN$2&amp;"+"&amp;AH150&amp;DN$1)</f>
        <v/>
      </c>
      <c r="DO150" s="30" t="str">
        <f t="shared" ref="DO150" si="2334">IF(AI150="","","|n"&amp;DO$2&amp;"+"&amp;AI150&amp;DO$1)</f>
        <v/>
      </c>
      <c r="DP150" s="30" t="str">
        <f t="shared" ref="DP150" si="2335">IF(AJ150="","","|n"&amp;DP$2&amp;"+"&amp;AJ150&amp;DP$1)</f>
        <v/>
      </c>
      <c r="DQ150" s="30" t="str">
        <f t="shared" ref="DQ150" si="2336">IF(AK150="","","|n"&amp;DQ$2&amp;"+"&amp;AK150&amp;DQ$1)</f>
        <v/>
      </c>
      <c r="DR150" s="30" t="str">
        <f t="shared" ref="DR150" si="2337">IF(AL150="","","|n"&amp;DR$2&amp;"+"&amp;AL150&amp;DR$1)</f>
        <v/>
      </c>
      <c r="DS150" s="30" t="str">
        <f t="shared" ref="DS150" si="2338">IF(AM150="","","|n"&amp;DS$2&amp;"+"&amp;AM150&amp;DS$1)</f>
        <v/>
      </c>
      <c r="DT150" s="30" t="str">
        <f t="shared" ref="DT150" si="2339">IF(AN150="","","|n"&amp;DT$2&amp;"+"&amp;AN150&amp;DT$1)</f>
        <v/>
      </c>
      <c r="DU150" s="30" t="str">
        <f t="shared" ref="DU150" si="2340">IF(AO150="","","|n"&amp;DU$2&amp;"+"&amp;AO150&amp;DU$1)</f>
        <v/>
      </c>
      <c r="DV150" s="30" t="str">
        <f t="shared" ref="DV150" si="2341">IF(AP150="","","|n"&amp;DV$2&amp;"+"&amp;AP150&amp;DV$1)</f>
        <v/>
      </c>
      <c r="DW150" s="30" t="str">
        <f t="shared" ref="DW150" si="2342">IF(AQ150="","","|n"&amp;DW$2&amp;"+"&amp;AQ150&amp;DW$1)</f>
        <v/>
      </c>
      <c r="DX150" s="30" t="str">
        <f t="shared" ref="DX150" si="2343">IF(AR150="","","|n"&amp;DX$2&amp;"+"&amp;AR150&amp;DX$1)</f>
        <v/>
      </c>
      <c r="DY150" s="30" t="str">
        <f t="shared" ref="DY150" si="2344">IF(AS150="","","|n"&amp;DY$2&amp;"+"&amp;AS150&amp;DY$1)</f>
        <v/>
      </c>
      <c r="DZ150" s="30" t="str">
        <f t="shared" ref="DZ150" si="2345">IF(AT150="","","|n"&amp;DZ$2&amp;"+"&amp;AT150&amp;DZ$1)</f>
        <v/>
      </c>
      <c r="EA150" s="30" t="str">
        <f t="shared" ref="EA150" si="2346">IF(AU150="","","|n"&amp;EA$2&amp;"+"&amp;AU150&amp;EA$1)</f>
        <v/>
      </c>
      <c r="EB150" s="30" t="str">
        <f t="shared" ref="EB150" si="2347">IF(AV150="","","|n"&amp;EB$2&amp;"+"&amp;AV150&amp;EB$1)</f>
        <v/>
      </c>
      <c r="EC150" s="30" t="str">
        <f t="shared" ref="EC150" si="2348">IF(AW150="","","|n"&amp;EC$2&amp;"+"&amp;AW150&amp;EC$1)</f>
        <v/>
      </c>
      <c r="ED150" s="30" t="str">
        <f t="shared" ref="ED150" si="2349">IF(AX150="","","|n"&amp;ED$2&amp;"+"&amp;AX150&amp;ED$1)</f>
        <v/>
      </c>
      <c r="EE150" s="30" t="str">
        <f t="shared" ref="EE150" si="2350">IF(AY150="","","|n"&amp;EE$2&amp;"+"&amp;AY150&amp;EE$1)</f>
        <v/>
      </c>
      <c r="EF150" s="30" t="str">
        <f t="shared" ref="EF150" si="2351">IF(AZ150="","","|n"&amp;EF$2&amp;"+"&amp;AZ150&amp;EF$1)</f>
        <v/>
      </c>
      <c r="EG150" s="30" t="str">
        <f t="shared" ref="EG150" si="2352">IF(BA150="","","|n"&amp;EG$2&amp;"+"&amp;BA150&amp;EG$1)</f>
        <v/>
      </c>
      <c r="EH150" s="30" t="str">
        <f t="shared" ref="EH150" si="2353">IF(BB150="","","|n"&amp;EH$2&amp;"+"&amp;BB150&amp;EH$1)</f>
        <v/>
      </c>
      <c r="EI150" s="30" t="str">
        <f t="shared" ref="EI150" si="2354">IF(BC150="","","|n"&amp;EI$2&amp;"+"&amp;BC150&amp;EI$1)</f>
        <v/>
      </c>
      <c r="EJ150" s="30" t="str">
        <f t="shared" ref="EJ150" si="2355">IF(BD150="","","|n"&amp;EJ$2&amp;"+"&amp;BD150&amp;EJ$1)</f>
        <v/>
      </c>
      <c r="EK150" s="30" t="str">
        <f t="shared" ref="EK150" si="2356">IF(BE150="","","|n"&amp;EK$2&amp;"+"&amp;BE150&amp;EK$1)</f>
        <v/>
      </c>
      <c r="EL150" s="30" t="str">
        <f t="shared" ref="EL150" si="2357">IF(BF150="","","|n"&amp;EL$2&amp;"+"&amp;BF150&amp;EL$1)</f>
        <v/>
      </c>
      <c r="EM150" s="30" t="str">
        <f t="shared" ref="EM150" si="2358">IF(BG150="","","|n"&amp;EM$2&amp;"+"&amp;BG150&amp;EM$1)</f>
        <v/>
      </c>
      <c r="EN150" s="30" t="str">
        <f t="shared" ref="EN150" si="2359">IF(BH150="","","|n"&amp;EN$2&amp;"+"&amp;BH150&amp;EN$1)</f>
        <v/>
      </c>
      <c r="EO150" s="30" t="str">
        <f t="shared" ref="EO150" si="2360">IF(BI150="","","|n"&amp;EO$2&amp;"+"&amp;BI150&amp;EO$1)</f>
        <v/>
      </c>
      <c r="EP150" s="30" t="str">
        <f t="shared" ref="EP150" si="2361">IF(BJ150="","","|n"&amp;EP$2&amp;"+"&amp;BJ150&amp;EP$1)</f>
        <v/>
      </c>
      <c r="EQ150" s="30" t="str">
        <f t="shared" ref="EQ150" si="2362">IF(BK150="","","|n"&amp;EQ$2&amp;"+"&amp;BK150&amp;EQ$1)</f>
        <v/>
      </c>
      <c r="ER150" s="30" t="str">
        <f t="shared" ref="ER150" si="2363">IF(BL150="","","|n"&amp;ER$2&amp;"+"&amp;BL150&amp;ER$1)</f>
        <v/>
      </c>
      <c r="ES150" s="30" t="str">
        <f t="shared" ref="ES150" si="2364">IF(BM150="","","|n"&amp;ES$2&amp;"+"&amp;BM150&amp;ES$1)</f>
        <v/>
      </c>
      <c r="ET150" s="30" t="str">
        <f t="shared" ref="ET150" si="2365">IF(BN150="","","|n"&amp;ET$2&amp;"+"&amp;BN150&amp;ET$1)</f>
        <v/>
      </c>
      <c r="EU150" s="30" t="str">
        <f t="shared" ref="EU150" si="2366">IF(BO150="","","|n"&amp;EU$2&amp;"+"&amp;BO150&amp;EU$1)</f>
        <v/>
      </c>
      <c r="EV150" s="30" t="str">
        <f t="shared" ref="EV150" si="2367">IF(BP150="","","|n"&amp;EV$2&amp;"+"&amp;BP150&amp;EV$1)</f>
        <v/>
      </c>
      <c r="EW150" s="30" t="str">
        <f t="shared" ref="EW150" si="2368">IF(BQ150="","","|n"&amp;EW$2&amp;"+"&amp;BQ150&amp;EW$1)</f>
        <v/>
      </c>
      <c r="EX150" s="30" t="str">
        <f t="shared" ref="EX150" si="2369">IF(BR150="","","|n"&amp;EX$2&amp;"+"&amp;BR150&amp;EX$1)</f>
        <v/>
      </c>
      <c r="EY150" s="30" t="str">
        <f t="shared" ref="EY150" si="2370">IF(BS150="","","|n"&amp;EY$2&amp;"+"&amp;BS150&amp;EY$1)</f>
        <v/>
      </c>
      <c r="EZ150" s="30" t="str">
        <f t="shared" ref="EZ150" si="2371">IF(BT150="","","|n"&amp;EZ$2&amp;"+"&amp;BT150&amp;EZ$1)</f>
        <v/>
      </c>
      <c r="FA150" s="30" t="str">
        <f t="shared" ref="FA150" si="2372">IF(BU150="","","|n"&amp;FA$2&amp;"+"&amp;BU150&amp;FA$1)</f>
        <v/>
      </c>
      <c r="FB150" s="30" t="str">
        <f t="shared" ref="FB150" si="2373">IF(BV150="","","|n"&amp;FB$2&amp;"+"&amp;BV150&amp;FB$1)</f>
        <v/>
      </c>
      <c r="FC150" s="30" t="str">
        <f t="shared" ref="FC150" si="2374">IF(BW150="","","|n"&amp;FC$2&amp;"+"&amp;BW150&amp;FC$1)</f>
        <v/>
      </c>
      <c r="FD150" s="30" t="str">
        <f t="shared" ref="FD150" si="2375">IF(BX150="","","|n"&amp;FD$2&amp;"+"&amp;BX150&amp;FD$1)</f>
        <v/>
      </c>
      <c r="FE150" s="30" t="str">
        <f t="shared" ref="FE150" si="2376">IF(BY150="","","|n"&amp;FE$2&amp;"+"&amp;BY150&amp;FE$1)</f>
        <v/>
      </c>
      <c r="FF150" s="30" t="str">
        <f t="shared" ref="FF150" si="2377">IF(BZ150="","","|n"&amp;FF$2&amp;"+"&amp;BZ150&amp;FF$1)</f>
        <v/>
      </c>
      <c r="FG150" s="30" t="str">
        <f t="shared" ref="FG150" si="2378">IF(CA150="","","|n"&amp;FG$2&amp;"+"&amp;CA150&amp;FG$1)</f>
        <v/>
      </c>
      <c r="FH150" s="30" t="str">
        <f t="shared" ref="FH150" si="2379">IF(CB150="","","|n"&amp;FH$2&amp;"+"&amp;CB150&amp;FH$1)</f>
        <v/>
      </c>
      <c r="FI150" s="30" t="str">
        <f t="shared" ref="FI150" si="2380">IF(CC150="","","|n"&amp;FI$2&amp;"+"&amp;CC150&amp;FI$1)</f>
        <v/>
      </c>
      <c r="FJ150" s="30" t="str">
        <f t="shared" ref="FJ150" si="2381">IF(CD150="","","|n"&amp;FJ$2&amp;"+"&amp;CD150&amp;FJ$1)</f>
        <v/>
      </c>
      <c r="FK150" s="30" t="str">
        <f t="shared" ref="FK150" si="2382">IF(CE150="","","|n"&amp;FK$2&amp;"+"&amp;CE150&amp;FK$1)</f>
        <v/>
      </c>
      <c r="FL150" s="30" t="str">
        <f t="shared" ref="FL150" si="2383">IF(CF150="","","|n"&amp;FL$2&amp;"+"&amp;CF150&amp;FL$1)</f>
        <v/>
      </c>
      <c r="FM150" s="30" t="str">
        <f t="shared" ref="FM150" si="2384">IF(CG150="","","|n"&amp;FM$2&amp;"+"&amp;CG150&amp;FM$1)</f>
        <v/>
      </c>
      <c r="FN150" s="30" t="str">
        <f t="shared" ref="FN150" si="2385">IF(CH150="","","|n"&amp;FN$2&amp;"+"&amp;CH150&amp;FN$1)</f>
        <v/>
      </c>
      <c r="FO150" s="30" t="str">
        <f t="shared" ref="FO150" si="2386">IF(CI150="","","|n"&amp;FO$2&amp;"+"&amp;CI150&amp;FO$1)</f>
        <v/>
      </c>
      <c r="FP150" s="30" t="str">
        <f t="shared" ref="FP150" si="2387">IF(CJ150="","","|n"&amp;FP$2&amp;"+"&amp;CJ150&amp;FP$1)</f>
        <v/>
      </c>
      <c r="FQ150" s="30" t="str">
        <f t="shared" ref="FQ150" si="2388">IF(CK150="","","|n"&amp;FQ$2&amp;"+"&amp;CK150&amp;FQ$1)</f>
        <v/>
      </c>
      <c r="FR150" s="30" t="str">
        <f t="shared" ref="FR150" si="2389">IF(CL150="","","|n"&amp;FR$2&amp;"+"&amp;CL150&amp;FR$1)</f>
        <v/>
      </c>
      <c r="FS150" s="30" t="str">
        <f t="shared" ref="FS150" si="2390">IF(CM150="","","|n"&amp;FS$2&amp;"+"&amp;CM150&amp;FS$1)</f>
        <v/>
      </c>
    </row>
    <row r="151" spans="1:175" ht="16.5">
      <c r="A151" s="114"/>
      <c r="B151" s="110" t="s">
        <v>363</v>
      </c>
      <c r="C151" s="114" t="s">
        <v>364</v>
      </c>
      <c r="R151" s="25">
        <v>-7872</v>
      </c>
      <c r="S151" s="25">
        <v>-2816</v>
      </c>
      <c r="T151" s="114" t="s">
        <v>364</v>
      </c>
      <c r="U151" s="32" t="str">
        <f t="shared" si="944"/>
        <v>ReplaceableTextures\\CommandButtons\\BTNIT02.blp</v>
      </c>
      <c r="CN151" s="7" t="str">
        <f t="shared" ref="CN151:CN165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7" t="str">
        <f t="shared" ref="CO151:CO165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7" t="str">
        <f t="shared" ref="CP151:CP165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7" t="str">
        <f t="shared" ref="CQ151:CQ165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7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45" t="str">
        <f t="shared" ref="CU151:CU165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29" t="str">
        <f t="shared" ref="CV151:CV165" si="2397">T151</f>
        <v>境界挑战2</v>
      </c>
      <c r="CW151" s="24"/>
      <c r="CX151" s="24"/>
      <c r="CY151" s="24"/>
      <c r="CZ151" s="24"/>
      <c r="DA151" s="24"/>
      <c r="DB151" s="30" t="str">
        <f t="shared" ref="DB151:DB165" si="2398">IF(V151="","","|n"&amp;DB$2&amp;"+"&amp;V151&amp;DB$1)</f>
        <v/>
      </c>
      <c r="DC151" s="30" t="str">
        <f t="shared" ref="DC151:DC165" si="2399">IF(W151="","","|n"&amp;DC$2&amp;"+"&amp;W151&amp;DC$1)</f>
        <v/>
      </c>
      <c r="DD151" s="30" t="str">
        <f t="shared" ref="DD151:DD165" si="2400">IF(X151="","","|n"&amp;DD$2&amp;"+"&amp;X151&amp;DD$1)</f>
        <v/>
      </c>
      <c r="DE151" s="30" t="str">
        <f t="shared" ref="DE151:DE165" si="2401">IF(Y151="","","|n"&amp;DE$2&amp;"+"&amp;Y151&amp;DE$1)</f>
        <v/>
      </c>
      <c r="DF151" s="30" t="str">
        <f t="shared" ref="DF151:DF165" si="2402">IF(Z151="","","|n"&amp;DF$2&amp;"+"&amp;Z151&amp;DF$1)</f>
        <v/>
      </c>
      <c r="DG151" s="30" t="str">
        <f t="shared" ref="DG151:DG165" si="2403">IF(AA151="","","|n"&amp;DG$2&amp;"+"&amp;AA151&amp;DG$1)</f>
        <v/>
      </c>
      <c r="DH151" s="30" t="str">
        <f t="shared" ref="DH151:DH165" si="2404">IF(AB151="","","|n"&amp;DH$2&amp;"+"&amp;AB151&amp;DH$1)</f>
        <v/>
      </c>
      <c r="DI151" s="30" t="str">
        <f t="shared" ref="DI151:DI165" si="2405">IF(AC151="","","|n"&amp;DI$2&amp;"+"&amp;AC151&amp;DI$1)</f>
        <v/>
      </c>
      <c r="DJ151" s="30" t="str">
        <f t="shared" ref="DJ151:DJ165" si="2406">IF(AD151="","","|n"&amp;DJ$2&amp;"+"&amp;AD151&amp;DJ$1)</f>
        <v/>
      </c>
      <c r="DK151" s="30" t="str">
        <f t="shared" ref="DK151:DK165" si="2407">IF(AE151="","","|n"&amp;DK$2&amp;"+"&amp;AE151&amp;DK$1)</f>
        <v/>
      </c>
      <c r="DL151" s="30" t="str">
        <f t="shared" ref="DL151:DL165" si="2408">IF(AF151="","","|n"&amp;DL$2&amp;"+"&amp;AF151&amp;DL$1)</f>
        <v/>
      </c>
      <c r="DM151" s="30" t="str">
        <f t="shared" ref="DM151:DM165" si="2409">IF(AG151="","","|n"&amp;DM$2&amp;"+"&amp;AG151&amp;DM$1)</f>
        <v/>
      </c>
      <c r="DN151" s="30" t="str">
        <f t="shared" ref="DN151:DN165" si="2410">IF(AH151="","","|n"&amp;DN$2&amp;"+"&amp;AH151&amp;DN$1)</f>
        <v/>
      </c>
      <c r="DO151" s="30" t="str">
        <f t="shared" ref="DO151:DO165" si="2411">IF(AI151="","","|n"&amp;DO$2&amp;"+"&amp;AI151&amp;DO$1)</f>
        <v/>
      </c>
      <c r="DP151" s="30" t="str">
        <f t="shared" ref="DP151:DP165" si="2412">IF(AJ151="","","|n"&amp;DP$2&amp;"+"&amp;AJ151&amp;DP$1)</f>
        <v/>
      </c>
      <c r="DQ151" s="30" t="str">
        <f t="shared" ref="DQ151:DQ165" si="2413">IF(AK151="","","|n"&amp;DQ$2&amp;"+"&amp;AK151&amp;DQ$1)</f>
        <v/>
      </c>
      <c r="DR151" s="30" t="str">
        <f t="shared" ref="DR151:DR165" si="2414">IF(AL151="","","|n"&amp;DR$2&amp;"+"&amp;AL151&amp;DR$1)</f>
        <v/>
      </c>
      <c r="DS151" s="30" t="str">
        <f t="shared" ref="DS151:DS165" si="2415">IF(AM151="","","|n"&amp;DS$2&amp;"+"&amp;AM151&amp;DS$1)</f>
        <v/>
      </c>
      <c r="DT151" s="30" t="str">
        <f t="shared" ref="DT151:DT165" si="2416">IF(AN151="","","|n"&amp;DT$2&amp;"+"&amp;AN151&amp;DT$1)</f>
        <v/>
      </c>
      <c r="DU151" s="30" t="str">
        <f t="shared" ref="DU151:DU165" si="2417">IF(AO151="","","|n"&amp;DU$2&amp;"+"&amp;AO151&amp;DU$1)</f>
        <v/>
      </c>
      <c r="DV151" s="30" t="str">
        <f t="shared" ref="DV151:DV165" si="2418">IF(AP151="","","|n"&amp;DV$2&amp;"+"&amp;AP151&amp;DV$1)</f>
        <v/>
      </c>
      <c r="DW151" s="30" t="str">
        <f t="shared" ref="DW151:DW165" si="2419">IF(AQ151="","","|n"&amp;DW$2&amp;"+"&amp;AQ151&amp;DW$1)</f>
        <v/>
      </c>
      <c r="DX151" s="30" t="str">
        <f t="shared" ref="DX151:DX165" si="2420">IF(AR151="","","|n"&amp;DX$2&amp;"+"&amp;AR151&amp;DX$1)</f>
        <v/>
      </c>
      <c r="DY151" s="30" t="str">
        <f t="shared" ref="DY151:DY165" si="2421">IF(AS151="","","|n"&amp;DY$2&amp;"+"&amp;AS151&amp;DY$1)</f>
        <v/>
      </c>
      <c r="DZ151" s="30" t="str">
        <f t="shared" ref="DZ151:DZ165" si="2422">IF(AT151="","","|n"&amp;DZ$2&amp;"+"&amp;AT151&amp;DZ$1)</f>
        <v/>
      </c>
      <c r="EA151" s="30" t="str">
        <f t="shared" ref="EA151:EA165" si="2423">IF(AU151="","","|n"&amp;EA$2&amp;"+"&amp;AU151&amp;EA$1)</f>
        <v/>
      </c>
      <c r="EB151" s="30" t="str">
        <f t="shared" ref="EB151:EB165" si="2424">IF(AV151="","","|n"&amp;EB$2&amp;"+"&amp;AV151&amp;EB$1)</f>
        <v/>
      </c>
      <c r="EC151" s="30" t="str">
        <f t="shared" ref="EC151:EC165" si="2425">IF(AW151="","","|n"&amp;EC$2&amp;"+"&amp;AW151&amp;EC$1)</f>
        <v/>
      </c>
      <c r="ED151" s="30" t="str">
        <f t="shared" ref="ED151:ED165" si="2426">IF(AX151="","","|n"&amp;ED$2&amp;"+"&amp;AX151&amp;ED$1)</f>
        <v/>
      </c>
      <c r="EE151" s="30" t="str">
        <f t="shared" ref="EE151:EE165" si="2427">IF(AY151="","","|n"&amp;EE$2&amp;"+"&amp;AY151&amp;EE$1)</f>
        <v/>
      </c>
      <c r="EF151" s="30" t="str">
        <f t="shared" ref="EF151:EF165" si="2428">IF(AZ151="","","|n"&amp;EF$2&amp;"+"&amp;AZ151&amp;EF$1)</f>
        <v/>
      </c>
      <c r="EG151" s="30" t="str">
        <f t="shared" ref="EG151:EG165" si="2429">IF(BA151="","","|n"&amp;EG$2&amp;"+"&amp;BA151&amp;EG$1)</f>
        <v/>
      </c>
      <c r="EH151" s="30" t="str">
        <f t="shared" ref="EH151:EH165" si="2430">IF(BB151="","","|n"&amp;EH$2&amp;"+"&amp;BB151&amp;EH$1)</f>
        <v/>
      </c>
      <c r="EI151" s="30" t="str">
        <f t="shared" ref="EI151:EI165" si="2431">IF(BC151="","","|n"&amp;EI$2&amp;"+"&amp;BC151&amp;EI$1)</f>
        <v/>
      </c>
      <c r="EJ151" s="30" t="str">
        <f t="shared" ref="EJ151:EJ165" si="2432">IF(BD151="","","|n"&amp;EJ$2&amp;"+"&amp;BD151&amp;EJ$1)</f>
        <v/>
      </c>
      <c r="EK151" s="30" t="str">
        <f t="shared" ref="EK151:EK165" si="2433">IF(BE151="","","|n"&amp;EK$2&amp;"+"&amp;BE151&amp;EK$1)</f>
        <v/>
      </c>
      <c r="EL151" s="30" t="str">
        <f t="shared" ref="EL151:EL165" si="2434">IF(BF151="","","|n"&amp;EL$2&amp;"+"&amp;BF151&amp;EL$1)</f>
        <v/>
      </c>
      <c r="EM151" s="30" t="str">
        <f t="shared" ref="EM151:EM165" si="2435">IF(BG151="","","|n"&amp;EM$2&amp;"+"&amp;BG151&amp;EM$1)</f>
        <v/>
      </c>
      <c r="EN151" s="30" t="str">
        <f t="shared" ref="EN151:EN165" si="2436">IF(BH151="","","|n"&amp;EN$2&amp;"+"&amp;BH151&amp;EN$1)</f>
        <v/>
      </c>
      <c r="EO151" s="30" t="str">
        <f t="shared" ref="EO151:EO165" si="2437">IF(BI151="","","|n"&amp;EO$2&amp;"+"&amp;BI151&amp;EO$1)</f>
        <v/>
      </c>
      <c r="EP151" s="30" t="str">
        <f t="shared" ref="EP151:EP165" si="2438">IF(BJ151="","","|n"&amp;EP$2&amp;"+"&amp;BJ151&amp;EP$1)</f>
        <v/>
      </c>
      <c r="EQ151" s="30" t="str">
        <f t="shared" ref="EQ151:EQ165" si="2439">IF(BK151="","","|n"&amp;EQ$2&amp;"+"&amp;BK151&amp;EQ$1)</f>
        <v/>
      </c>
      <c r="ER151" s="30" t="str">
        <f t="shared" ref="ER151:ER165" si="2440">IF(BL151="","","|n"&amp;ER$2&amp;"+"&amp;BL151&amp;ER$1)</f>
        <v/>
      </c>
      <c r="ES151" s="30" t="str">
        <f t="shared" ref="ES151:ES165" si="2441">IF(BM151="","","|n"&amp;ES$2&amp;"+"&amp;BM151&amp;ES$1)</f>
        <v/>
      </c>
      <c r="ET151" s="30" t="str">
        <f t="shared" ref="ET151:ET165" si="2442">IF(BN151="","","|n"&amp;ET$2&amp;"+"&amp;BN151&amp;ET$1)</f>
        <v/>
      </c>
      <c r="EU151" s="30" t="str">
        <f t="shared" ref="EU151:EU165" si="2443">IF(BO151="","","|n"&amp;EU$2&amp;"+"&amp;BO151&amp;EU$1)</f>
        <v/>
      </c>
      <c r="EV151" s="30" t="str">
        <f t="shared" ref="EV151:EV165" si="2444">IF(BP151="","","|n"&amp;EV$2&amp;"+"&amp;BP151&amp;EV$1)</f>
        <v/>
      </c>
      <c r="EW151" s="30" t="str">
        <f t="shared" ref="EW151:EW165" si="2445">IF(BQ151="","","|n"&amp;EW$2&amp;"+"&amp;BQ151&amp;EW$1)</f>
        <v/>
      </c>
      <c r="EX151" s="30" t="str">
        <f t="shared" ref="EX151:EX165" si="2446">IF(BR151="","","|n"&amp;EX$2&amp;"+"&amp;BR151&amp;EX$1)</f>
        <v/>
      </c>
      <c r="EY151" s="30" t="str">
        <f t="shared" ref="EY151:EY165" si="2447">IF(BS151="","","|n"&amp;EY$2&amp;"+"&amp;BS151&amp;EY$1)</f>
        <v/>
      </c>
      <c r="EZ151" s="30" t="str">
        <f t="shared" ref="EZ151:EZ165" si="2448">IF(BT151="","","|n"&amp;EZ$2&amp;"+"&amp;BT151&amp;EZ$1)</f>
        <v/>
      </c>
      <c r="FA151" s="30" t="str">
        <f t="shared" ref="FA151:FA165" si="2449">IF(BU151="","","|n"&amp;FA$2&amp;"+"&amp;BU151&amp;FA$1)</f>
        <v/>
      </c>
      <c r="FB151" s="30" t="str">
        <f t="shared" ref="FB151:FB165" si="2450">IF(BV151="","","|n"&amp;FB$2&amp;"+"&amp;BV151&amp;FB$1)</f>
        <v/>
      </c>
      <c r="FC151" s="30" t="str">
        <f t="shared" ref="FC151:FC165" si="2451">IF(BW151="","","|n"&amp;FC$2&amp;"+"&amp;BW151&amp;FC$1)</f>
        <v/>
      </c>
      <c r="FD151" s="30" t="str">
        <f t="shared" ref="FD151:FD165" si="2452">IF(BX151="","","|n"&amp;FD$2&amp;"+"&amp;BX151&amp;FD$1)</f>
        <v/>
      </c>
      <c r="FE151" s="30" t="str">
        <f t="shared" ref="FE151:FE165" si="2453">IF(BY151="","","|n"&amp;FE$2&amp;"+"&amp;BY151&amp;FE$1)</f>
        <v/>
      </c>
      <c r="FF151" s="30" t="str">
        <f t="shared" ref="FF151:FF165" si="2454">IF(BZ151="","","|n"&amp;FF$2&amp;"+"&amp;BZ151&amp;FF$1)</f>
        <v/>
      </c>
      <c r="FG151" s="30" t="str">
        <f t="shared" ref="FG151:FG165" si="2455">IF(CA151="","","|n"&amp;FG$2&amp;"+"&amp;CA151&amp;FG$1)</f>
        <v/>
      </c>
      <c r="FH151" s="30" t="str">
        <f t="shared" ref="FH151:FH165" si="2456">IF(CB151="","","|n"&amp;FH$2&amp;"+"&amp;CB151&amp;FH$1)</f>
        <v/>
      </c>
      <c r="FI151" s="30" t="str">
        <f t="shared" ref="FI151:FI165" si="2457">IF(CC151="","","|n"&amp;FI$2&amp;"+"&amp;CC151&amp;FI$1)</f>
        <v/>
      </c>
      <c r="FJ151" s="30" t="str">
        <f t="shared" ref="FJ151:FJ165" si="2458">IF(CD151="","","|n"&amp;FJ$2&amp;"+"&amp;CD151&amp;FJ$1)</f>
        <v/>
      </c>
      <c r="FK151" s="30" t="str">
        <f t="shared" ref="FK151:FK165" si="2459">IF(CE151="","","|n"&amp;FK$2&amp;"+"&amp;CE151&amp;FK$1)</f>
        <v/>
      </c>
      <c r="FL151" s="30" t="str">
        <f t="shared" ref="FL151:FL165" si="2460">IF(CF151="","","|n"&amp;FL$2&amp;"+"&amp;CF151&amp;FL$1)</f>
        <v/>
      </c>
      <c r="FM151" s="30" t="str">
        <f t="shared" ref="FM151:FM165" si="2461">IF(CG151="","","|n"&amp;FM$2&amp;"+"&amp;CG151&amp;FM$1)</f>
        <v/>
      </c>
      <c r="FN151" s="30" t="str">
        <f t="shared" ref="FN151:FN165" si="2462">IF(CH151="","","|n"&amp;FN$2&amp;"+"&amp;CH151&amp;FN$1)</f>
        <v/>
      </c>
      <c r="FO151" s="30" t="str">
        <f t="shared" ref="FO151:FO165" si="2463">IF(CI151="","","|n"&amp;FO$2&amp;"+"&amp;CI151&amp;FO$1)</f>
        <v/>
      </c>
      <c r="FP151" s="30" t="str">
        <f t="shared" ref="FP151:FP165" si="2464">IF(CJ151="","","|n"&amp;FP$2&amp;"+"&amp;CJ151&amp;FP$1)</f>
        <v/>
      </c>
      <c r="FQ151" s="30" t="str">
        <f t="shared" ref="FQ151:FQ165" si="2465">IF(CK151="","","|n"&amp;FQ$2&amp;"+"&amp;CK151&amp;FQ$1)</f>
        <v/>
      </c>
      <c r="FR151" s="30" t="str">
        <f t="shared" ref="FR151:FR165" si="2466">IF(CL151="","","|n"&amp;FR$2&amp;"+"&amp;CL151&amp;FR$1)</f>
        <v/>
      </c>
      <c r="FS151" s="30" t="str">
        <f t="shared" ref="FS151:FS165" si="2467">IF(CM151="","","|n"&amp;FS$2&amp;"+"&amp;CM151&amp;FS$1)</f>
        <v/>
      </c>
    </row>
    <row r="152" spans="1:175" ht="16.5">
      <c r="A152" s="114"/>
      <c r="B152" s="110" t="s">
        <v>365</v>
      </c>
      <c r="C152" s="114" t="s">
        <v>366</v>
      </c>
      <c r="R152" s="25">
        <v>-8048</v>
      </c>
      <c r="S152" s="25">
        <v>-1563</v>
      </c>
      <c r="T152" s="114" t="s">
        <v>366</v>
      </c>
      <c r="U152" s="32" t="str">
        <f t="shared" si="944"/>
        <v>ReplaceableTextures\\CommandButtons\\BTNIT03.blp</v>
      </c>
      <c r="CN152" s="7" t="str">
        <f t="shared" si="2391"/>
        <v>InitUnitState('IT03',,,,,,,,,,)</v>
      </c>
      <c r="CO152" s="7" t="str">
        <f t="shared" si="2392"/>
        <v>InitUnitNormal('IT03',,,,,,,,,,)</v>
      </c>
      <c r="CP152" s="7" t="str">
        <f t="shared" si="2393"/>
        <v>InitUnitMagic('IT03',,,,,,,,,,)</v>
      </c>
      <c r="CQ152" s="7" t="str">
        <f t="shared" si="2394"/>
        <v>InitUnitAdd('IT03',,,,,,,,,,)</v>
      </c>
      <c r="CR152" s="7" t="str">
        <f t="shared" si="2395"/>
        <v>InitEquipData('IT03',,"",,,,,'','','','','','',"ReplaceableTextures\\CommandButtons\\BTNIT04.blp")</v>
      </c>
      <c r="CU152" s="45" t="str">
        <f t="shared" si="2396"/>
        <v>|n</v>
      </c>
      <c r="CV152" s="29" t="str">
        <f t="shared" si="2397"/>
        <v>境界挑战3</v>
      </c>
      <c r="CW152" s="24"/>
      <c r="CX152" s="24"/>
      <c r="CY152" s="24"/>
      <c r="CZ152" s="24"/>
      <c r="DA152" s="24"/>
      <c r="DB152" s="30" t="str">
        <f t="shared" si="2398"/>
        <v/>
      </c>
      <c r="DC152" s="30" t="str">
        <f t="shared" si="2399"/>
        <v/>
      </c>
      <c r="DD152" s="30" t="str">
        <f t="shared" si="2400"/>
        <v/>
      </c>
      <c r="DE152" s="30" t="str">
        <f t="shared" si="2401"/>
        <v/>
      </c>
      <c r="DF152" s="30" t="str">
        <f t="shared" si="2402"/>
        <v/>
      </c>
      <c r="DG152" s="30" t="str">
        <f t="shared" si="2403"/>
        <v/>
      </c>
      <c r="DH152" s="30" t="str">
        <f t="shared" si="2404"/>
        <v/>
      </c>
      <c r="DI152" s="30" t="str">
        <f t="shared" si="2405"/>
        <v/>
      </c>
      <c r="DJ152" s="30" t="str">
        <f t="shared" si="2406"/>
        <v/>
      </c>
      <c r="DK152" s="30" t="str">
        <f t="shared" si="2407"/>
        <v/>
      </c>
      <c r="DL152" s="30" t="str">
        <f t="shared" si="2408"/>
        <v/>
      </c>
      <c r="DM152" s="30" t="str">
        <f t="shared" si="2409"/>
        <v/>
      </c>
      <c r="DN152" s="30" t="str">
        <f t="shared" si="2410"/>
        <v/>
      </c>
      <c r="DO152" s="30" t="str">
        <f t="shared" si="2411"/>
        <v/>
      </c>
      <c r="DP152" s="30" t="str">
        <f t="shared" si="2412"/>
        <v/>
      </c>
      <c r="DQ152" s="30" t="str">
        <f t="shared" si="2413"/>
        <v/>
      </c>
      <c r="DR152" s="30" t="str">
        <f t="shared" si="2414"/>
        <v/>
      </c>
      <c r="DS152" s="30" t="str">
        <f t="shared" si="2415"/>
        <v/>
      </c>
      <c r="DT152" s="30" t="str">
        <f t="shared" si="2416"/>
        <v/>
      </c>
      <c r="DU152" s="30" t="str">
        <f t="shared" si="2417"/>
        <v/>
      </c>
      <c r="DV152" s="30" t="str">
        <f t="shared" si="2418"/>
        <v/>
      </c>
      <c r="DW152" s="30" t="str">
        <f t="shared" si="2419"/>
        <v/>
      </c>
      <c r="DX152" s="30" t="str">
        <f t="shared" si="2420"/>
        <v/>
      </c>
      <c r="DY152" s="30" t="str">
        <f t="shared" si="2421"/>
        <v/>
      </c>
      <c r="DZ152" s="30" t="str">
        <f t="shared" si="2422"/>
        <v/>
      </c>
      <c r="EA152" s="30" t="str">
        <f t="shared" si="2423"/>
        <v/>
      </c>
      <c r="EB152" s="30" t="str">
        <f t="shared" si="2424"/>
        <v/>
      </c>
      <c r="EC152" s="30" t="str">
        <f t="shared" si="2425"/>
        <v/>
      </c>
      <c r="ED152" s="30" t="str">
        <f t="shared" si="2426"/>
        <v/>
      </c>
      <c r="EE152" s="30" t="str">
        <f t="shared" si="2427"/>
        <v/>
      </c>
      <c r="EF152" s="30" t="str">
        <f t="shared" si="2428"/>
        <v/>
      </c>
      <c r="EG152" s="30" t="str">
        <f t="shared" si="2429"/>
        <v/>
      </c>
      <c r="EH152" s="30" t="str">
        <f t="shared" si="2430"/>
        <v/>
      </c>
      <c r="EI152" s="30" t="str">
        <f t="shared" si="2431"/>
        <v/>
      </c>
      <c r="EJ152" s="30" t="str">
        <f t="shared" si="2432"/>
        <v/>
      </c>
      <c r="EK152" s="30" t="str">
        <f t="shared" si="2433"/>
        <v/>
      </c>
      <c r="EL152" s="30" t="str">
        <f t="shared" si="2434"/>
        <v/>
      </c>
      <c r="EM152" s="30" t="str">
        <f t="shared" si="2435"/>
        <v/>
      </c>
      <c r="EN152" s="30" t="str">
        <f t="shared" si="2436"/>
        <v/>
      </c>
      <c r="EO152" s="30" t="str">
        <f t="shared" si="2437"/>
        <v/>
      </c>
      <c r="EP152" s="30" t="str">
        <f t="shared" si="2438"/>
        <v/>
      </c>
      <c r="EQ152" s="30" t="str">
        <f t="shared" si="2439"/>
        <v/>
      </c>
      <c r="ER152" s="30" t="str">
        <f t="shared" si="2440"/>
        <v/>
      </c>
      <c r="ES152" s="30" t="str">
        <f t="shared" si="2441"/>
        <v/>
      </c>
      <c r="ET152" s="30" t="str">
        <f t="shared" si="2442"/>
        <v/>
      </c>
      <c r="EU152" s="30" t="str">
        <f t="shared" si="2443"/>
        <v/>
      </c>
      <c r="EV152" s="30" t="str">
        <f t="shared" si="2444"/>
        <v/>
      </c>
      <c r="EW152" s="30" t="str">
        <f t="shared" si="2445"/>
        <v/>
      </c>
      <c r="EX152" s="30" t="str">
        <f t="shared" si="2446"/>
        <v/>
      </c>
      <c r="EY152" s="30" t="str">
        <f t="shared" si="2447"/>
        <v/>
      </c>
      <c r="EZ152" s="30" t="str">
        <f t="shared" si="2448"/>
        <v/>
      </c>
      <c r="FA152" s="30" t="str">
        <f t="shared" si="2449"/>
        <v/>
      </c>
      <c r="FB152" s="30" t="str">
        <f t="shared" si="2450"/>
        <v/>
      </c>
      <c r="FC152" s="30" t="str">
        <f t="shared" si="2451"/>
        <v/>
      </c>
      <c r="FD152" s="30" t="str">
        <f t="shared" si="2452"/>
        <v/>
      </c>
      <c r="FE152" s="30" t="str">
        <f t="shared" si="2453"/>
        <v/>
      </c>
      <c r="FF152" s="30" t="str">
        <f t="shared" si="2454"/>
        <v/>
      </c>
      <c r="FG152" s="30" t="str">
        <f t="shared" si="2455"/>
        <v/>
      </c>
      <c r="FH152" s="30" t="str">
        <f t="shared" si="2456"/>
        <v/>
      </c>
      <c r="FI152" s="30" t="str">
        <f t="shared" si="2457"/>
        <v/>
      </c>
      <c r="FJ152" s="30" t="str">
        <f t="shared" si="2458"/>
        <v/>
      </c>
      <c r="FK152" s="30" t="str">
        <f t="shared" si="2459"/>
        <v/>
      </c>
      <c r="FL152" s="30" t="str">
        <f t="shared" si="2460"/>
        <v/>
      </c>
      <c r="FM152" s="30" t="str">
        <f t="shared" si="2461"/>
        <v/>
      </c>
      <c r="FN152" s="30" t="str">
        <f t="shared" si="2462"/>
        <v/>
      </c>
      <c r="FO152" s="30" t="str">
        <f t="shared" si="2463"/>
        <v/>
      </c>
      <c r="FP152" s="30" t="str">
        <f t="shared" si="2464"/>
        <v/>
      </c>
      <c r="FQ152" s="30" t="str">
        <f t="shared" si="2465"/>
        <v/>
      </c>
      <c r="FR152" s="30" t="str">
        <f t="shared" si="2466"/>
        <v/>
      </c>
      <c r="FS152" s="30" t="str">
        <f t="shared" si="2467"/>
        <v/>
      </c>
    </row>
    <row r="153" spans="1:175" ht="16.5">
      <c r="A153" s="114"/>
      <c r="B153" s="110" t="s">
        <v>367</v>
      </c>
      <c r="C153" s="114" t="s">
        <v>368</v>
      </c>
      <c r="R153" s="25">
        <v>-7794</v>
      </c>
      <c r="S153" s="25">
        <v>195</v>
      </c>
      <c r="T153" s="114" t="s">
        <v>368</v>
      </c>
      <c r="U153" s="32" t="str">
        <f t="shared" si="944"/>
        <v>ReplaceableTextures\\CommandButtons\\BTNIT04.blp</v>
      </c>
      <c r="CN153" s="7" t="str">
        <f t="shared" si="2391"/>
        <v>InitUnitState('IT04',,,,,,,,,,)</v>
      </c>
      <c r="CO153" s="7" t="str">
        <f t="shared" si="2392"/>
        <v>InitUnitNormal('IT04',,,,,,,,,,)</v>
      </c>
      <c r="CP153" s="7" t="str">
        <f t="shared" si="2393"/>
        <v>InitUnitMagic('IT04',,,,,,,,,,)</v>
      </c>
      <c r="CQ153" s="7" t="str">
        <f t="shared" si="2394"/>
        <v>InitUnitAdd('IT04',,,,,,,,,,)</v>
      </c>
      <c r="CR153" s="7" t="str">
        <f t="shared" si="2395"/>
        <v>InitEquipData('IT04',,"",,,,,'','','','','','',"ReplaceableTextures\\CommandButtons\\BTNIT05.blp")</v>
      </c>
      <c r="CU153" s="45" t="str">
        <f t="shared" si="2396"/>
        <v>|n</v>
      </c>
      <c r="CV153" s="29" t="str">
        <f t="shared" si="2397"/>
        <v>境界挑战4</v>
      </c>
      <c r="CW153" s="24"/>
      <c r="CX153" s="24"/>
      <c r="CY153" s="24"/>
      <c r="CZ153" s="24"/>
      <c r="DA153" s="24"/>
      <c r="DB153" s="30" t="str">
        <f t="shared" si="2398"/>
        <v/>
      </c>
      <c r="DC153" s="30" t="str">
        <f t="shared" si="2399"/>
        <v/>
      </c>
      <c r="DD153" s="30" t="str">
        <f t="shared" si="2400"/>
        <v/>
      </c>
      <c r="DE153" s="30" t="str">
        <f t="shared" si="2401"/>
        <v/>
      </c>
      <c r="DF153" s="30" t="str">
        <f t="shared" si="2402"/>
        <v/>
      </c>
      <c r="DG153" s="30" t="str">
        <f t="shared" si="2403"/>
        <v/>
      </c>
      <c r="DH153" s="30" t="str">
        <f t="shared" si="2404"/>
        <v/>
      </c>
      <c r="DI153" s="30" t="str">
        <f t="shared" si="2405"/>
        <v/>
      </c>
      <c r="DJ153" s="30" t="str">
        <f t="shared" si="2406"/>
        <v/>
      </c>
      <c r="DK153" s="30" t="str">
        <f t="shared" si="2407"/>
        <v/>
      </c>
      <c r="DL153" s="30" t="str">
        <f t="shared" si="2408"/>
        <v/>
      </c>
      <c r="DM153" s="30" t="str">
        <f t="shared" si="2409"/>
        <v/>
      </c>
      <c r="DN153" s="30" t="str">
        <f t="shared" si="2410"/>
        <v/>
      </c>
      <c r="DO153" s="30" t="str">
        <f t="shared" si="2411"/>
        <v/>
      </c>
      <c r="DP153" s="30" t="str">
        <f t="shared" si="2412"/>
        <v/>
      </c>
      <c r="DQ153" s="30" t="str">
        <f t="shared" si="2413"/>
        <v/>
      </c>
      <c r="DR153" s="30" t="str">
        <f t="shared" si="2414"/>
        <v/>
      </c>
      <c r="DS153" s="30" t="str">
        <f t="shared" si="2415"/>
        <v/>
      </c>
      <c r="DT153" s="30" t="str">
        <f t="shared" si="2416"/>
        <v/>
      </c>
      <c r="DU153" s="30" t="str">
        <f t="shared" si="2417"/>
        <v/>
      </c>
      <c r="DV153" s="30" t="str">
        <f t="shared" si="2418"/>
        <v/>
      </c>
      <c r="DW153" s="30" t="str">
        <f t="shared" si="2419"/>
        <v/>
      </c>
      <c r="DX153" s="30" t="str">
        <f t="shared" si="2420"/>
        <v/>
      </c>
      <c r="DY153" s="30" t="str">
        <f t="shared" si="2421"/>
        <v/>
      </c>
      <c r="DZ153" s="30" t="str">
        <f t="shared" si="2422"/>
        <v/>
      </c>
      <c r="EA153" s="30" t="str">
        <f t="shared" si="2423"/>
        <v/>
      </c>
      <c r="EB153" s="30" t="str">
        <f t="shared" si="2424"/>
        <v/>
      </c>
      <c r="EC153" s="30" t="str">
        <f t="shared" si="2425"/>
        <v/>
      </c>
      <c r="ED153" s="30" t="str">
        <f t="shared" si="2426"/>
        <v/>
      </c>
      <c r="EE153" s="30" t="str">
        <f t="shared" si="2427"/>
        <v/>
      </c>
      <c r="EF153" s="30" t="str">
        <f t="shared" si="2428"/>
        <v/>
      </c>
      <c r="EG153" s="30" t="str">
        <f t="shared" si="2429"/>
        <v/>
      </c>
      <c r="EH153" s="30" t="str">
        <f t="shared" si="2430"/>
        <v/>
      </c>
      <c r="EI153" s="30" t="str">
        <f t="shared" si="2431"/>
        <v/>
      </c>
      <c r="EJ153" s="30" t="str">
        <f t="shared" si="2432"/>
        <v/>
      </c>
      <c r="EK153" s="30" t="str">
        <f t="shared" si="2433"/>
        <v/>
      </c>
      <c r="EL153" s="30" t="str">
        <f t="shared" si="2434"/>
        <v/>
      </c>
      <c r="EM153" s="30" t="str">
        <f t="shared" si="2435"/>
        <v/>
      </c>
      <c r="EN153" s="30" t="str">
        <f t="shared" si="2436"/>
        <v/>
      </c>
      <c r="EO153" s="30" t="str">
        <f t="shared" si="2437"/>
        <v/>
      </c>
      <c r="EP153" s="30" t="str">
        <f t="shared" si="2438"/>
        <v/>
      </c>
      <c r="EQ153" s="30" t="str">
        <f t="shared" si="2439"/>
        <v/>
      </c>
      <c r="ER153" s="30" t="str">
        <f t="shared" si="2440"/>
        <v/>
      </c>
      <c r="ES153" s="30" t="str">
        <f t="shared" si="2441"/>
        <v/>
      </c>
      <c r="ET153" s="30" t="str">
        <f t="shared" si="2442"/>
        <v/>
      </c>
      <c r="EU153" s="30" t="str">
        <f t="shared" si="2443"/>
        <v/>
      </c>
      <c r="EV153" s="30" t="str">
        <f t="shared" si="2444"/>
        <v/>
      </c>
      <c r="EW153" s="30" t="str">
        <f t="shared" si="2445"/>
        <v/>
      </c>
      <c r="EX153" s="30" t="str">
        <f t="shared" si="2446"/>
        <v/>
      </c>
      <c r="EY153" s="30" t="str">
        <f t="shared" si="2447"/>
        <v/>
      </c>
      <c r="EZ153" s="30" t="str">
        <f t="shared" si="2448"/>
        <v/>
      </c>
      <c r="FA153" s="30" t="str">
        <f t="shared" si="2449"/>
        <v/>
      </c>
      <c r="FB153" s="30" t="str">
        <f t="shared" si="2450"/>
        <v/>
      </c>
      <c r="FC153" s="30" t="str">
        <f t="shared" si="2451"/>
        <v/>
      </c>
      <c r="FD153" s="30" t="str">
        <f t="shared" si="2452"/>
        <v/>
      </c>
      <c r="FE153" s="30" t="str">
        <f t="shared" si="2453"/>
        <v/>
      </c>
      <c r="FF153" s="30" t="str">
        <f t="shared" si="2454"/>
        <v/>
      </c>
      <c r="FG153" s="30" t="str">
        <f t="shared" si="2455"/>
        <v/>
      </c>
      <c r="FH153" s="30" t="str">
        <f t="shared" si="2456"/>
        <v/>
      </c>
      <c r="FI153" s="30" t="str">
        <f t="shared" si="2457"/>
        <v/>
      </c>
      <c r="FJ153" s="30" t="str">
        <f t="shared" si="2458"/>
        <v/>
      </c>
      <c r="FK153" s="30" t="str">
        <f t="shared" si="2459"/>
        <v/>
      </c>
      <c r="FL153" s="30" t="str">
        <f t="shared" si="2460"/>
        <v/>
      </c>
      <c r="FM153" s="30" t="str">
        <f t="shared" si="2461"/>
        <v/>
      </c>
      <c r="FN153" s="30" t="str">
        <f t="shared" si="2462"/>
        <v/>
      </c>
      <c r="FO153" s="30" t="str">
        <f t="shared" si="2463"/>
        <v/>
      </c>
      <c r="FP153" s="30" t="str">
        <f t="shared" si="2464"/>
        <v/>
      </c>
      <c r="FQ153" s="30" t="str">
        <f t="shared" si="2465"/>
        <v/>
      </c>
      <c r="FR153" s="30" t="str">
        <f t="shared" si="2466"/>
        <v/>
      </c>
      <c r="FS153" s="30" t="str">
        <f t="shared" si="2467"/>
        <v/>
      </c>
    </row>
    <row r="154" spans="1:175" ht="16.5">
      <c r="A154" s="114"/>
      <c r="B154" s="110" t="s">
        <v>369</v>
      </c>
      <c r="C154" s="114" t="s">
        <v>370</v>
      </c>
      <c r="R154" s="25">
        <v>-8110</v>
      </c>
      <c r="S154" s="25">
        <v>1810</v>
      </c>
      <c r="T154" s="114" t="s">
        <v>370</v>
      </c>
      <c r="U154" s="32" t="str">
        <f t="shared" si="944"/>
        <v>ReplaceableTextures\\CommandButtons\\BTNIT05.blp</v>
      </c>
      <c r="CN154" s="7" t="str">
        <f t="shared" si="2391"/>
        <v>InitUnitState('IT05',,,,,,,,,,)</v>
      </c>
      <c r="CO154" s="7" t="str">
        <f t="shared" si="2392"/>
        <v>InitUnitNormal('IT05',,,,,,,,,,)</v>
      </c>
      <c r="CP154" s="7" t="str">
        <f t="shared" si="2393"/>
        <v>InitUnitMagic('IT05',,,,,,,,,,)</v>
      </c>
      <c r="CQ154" s="7" t="str">
        <f t="shared" si="2394"/>
        <v>InitUnitAdd('IT05',,,,,,,,,,)</v>
      </c>
      <c r="CR154" s="7" t="str">
        <f t="shared" si="2395"/>
        <v>InitEquipData('IT05',,"",,,,,'','','','','','',"ReplaceableTextures\\CommandButtons\\BTNIT06.blp")</v>
      </c>
      <c r="CU154" s="45" t="str">
        <f t="shared" si="2396"/>
        <v>|n</v>
      </c>
      <c r="CV154" s="29" t="str">
        <f t="shared" si="2397"/>
        <v>境界挑战5</v>
      </c>
      <c r="CW154" s="24"/>
      <c r="CX154" s="24"/>
      <c r="CY154" s="24"/>
      <c r="CZ154" s="24"/>
      <c r="DA154" s="24"/>
      <c r="DB154" s="30" t="str">
        <f t="shared" si="2398"/>
        <v/>
      </c>
      <c r="DC154" s="30" t="str">
        <f t="shared" si="2399"/>
        <v/>
      </c>
      <c r="DD154" s="30" t="str">
        <f t="shared" si="2400"/>
        <v/>
      </c>
      <c r="DE154" s="30" t="str">
        <f t="shared" si="2401"/>
        <v/>
      </c>
      <c r="DF154" s="30" t="str">
        <f t="shared" si="2402"/>
        <v/>
      </c>
      <c r="DG154" s="30" t="str">
        <f t="shared" si="2403"/>
        <v/>
      </c>
      <c r="DH154" s="30" t="str">
        <f t="shared" si="2404"/>
        <v/>
      </c>
      <c r="DI154" s="30" t="str">
        <f t="shared" si="2405"/>
        <v/>
      </c>
      <c r="DJ154" s="30" t="str">
        <f t="shared" si="2406"/>
        <v/>
      </c>
      <c r="DK154" s="30" t="str">
        <f t="shared" si="2407"/>
        <v/>
      </c>
      <c r="DL154" s="30" t="str">
        <f t="shared" si="2408"/>
        <v/>
      </c>
      <c r="DM154" s="30" t="str">
        <f t="shared" si="2409"/>
        <v/>
      </c>
      <c r="DN154" s="30" t="str">
        <f t="shared" si="2410"/>
        <v/>
      </c>
      <c r="DO154" s="30" t="str">
        <f t="shared" si="2411"/>
        <v/>
      </c>
      <c r="DP154" s="30" t="str">
        <f t="shared" si="2412"/>
        <v/>
      </c>
      <c r="DQ154" s="30" t="str">
        <f t="shared" si="2413"/>
        <v/>
      </c>
      <c r="DR154" s="30" t="str">
        <f t="shared" si="2414"/>
        <v/>
      </c>
      <c r="DS154" s="30" t="str">
        <f t="shared" si="2415"/>
        <v/>
      </c>
      <c r="DT154" s="30" t="str">
        <f t="shared" si="2416"/>
        <v/>
      </c>
      <c r="DU154" s="30" t="str">
        <f t="shared" si="2417"/>
        <v/>
      </c>
      <c r="DV154" s="30" t="str">
        <f t="shared" si="2418"/>
        <v/>
      </c>
      <c r="DW154" s="30" t="str">
        <f t="shared" si="2419"/>
        <v/>
      </c>
      <c r="DX154" s="30" t="str">
        <f t="shared" si="2420"/>
        <v/>
      </c>
      <c r="DY154" s="30" t="str">
        <f t="shared" si="2421"/>
        <v/>
      </c>
      <c r="DZ154" s="30" t="str">
        <f t="shared" si="2422"/>
        <v/>
      </c>
      <c r="EA154" s="30" t="str">
        <f t="shared" si="2423"/>
        <v/>
      </c>
      <c r="EB154" s="30" t="str">
        <f t="shared" si="2424"/>
        <v/>
      </c>
      <c r="EC154" s="30" t="str">
        <f t="shared" si="2425"/>
        <v/>
      </c>
      <c r="ED154" s="30" t="str">
        <f t="shared" si="2426"/>
        <v/>
      </c>
      <c r="EE154" s="30" t="str">
        <f t="shared" si="2427"/>
        <v/>
      </c>
      <c r="EF154" s="30" t="str">
        <f t="shared" si="2428"/>
        <v/>
      </c>
      <c r="EG154" s="30" t="str">
        <f t="shared" si="2429"/>
        <v/>
      </c>
      <c r="EH154" s="30" t="str">
        <f t="shared" si="2430"/>
        <v/>
      </c>
      <c r="EI154" s="30" t="str">
        <f t="shared" si="2431"/>
        <v/>
      </c>
      <c r="EJ154" s="30" t="str">
        <f t="shared" si="2432"/>
        <v/>
      </c>
      <c r="EK154" s="30" t="str">
        <f t="shared" si="2433"/>
        <v/>
      </c>
      <c r="EL154" s="30" t="str">
        <f t="shared" si="2434"/>
        <v/>
      </c>
      <c r="EM154" s="30" t="str">
        <f t="shared" si="2435"/>
        <v/>
      </c>
      <c r="EN154" s="30" t="str">
        <f t="shared" si="2436"/>
        <v/>
      </c>
      <c r="EO154" s="30" t="str">
        <f t="shared" si="2437"/>
        <v/>
      </c>
      <c r="EP154" s="30" t="str">
        <f t="shared" si="2438"/>
        <v/>
      </c>
      <c r="EQ154" s="30" t="str">
        <f t="shared" si="2439"/>
        <v/>
      </c>
      <c r="ER154" s="30" t="str">
        <f t="shared" si="2440"/>
        <v/>
      </c>
      <c r="ES154" s="30" t="str">
        <f t="shared" si="2441"/>
        <v/>
      </c>
      <c r="ET154" s="30" t="str">
        <f t="shared" si="2442"/>
        <v/>
      </c>
      <c r="EU154" s="30" t="str">
        <f t="shared" si="2443"/>
        <v/>
      </c>
      <c r="EV154" s="30" t="str">
        <f t="shared" si="2444"/>
        <v/>
      </c>
      <c r="EW154" s="30" t="str">
        <f t="shared" si="2445"/>
        <v/>
      </c>
      <c r="EX154" s="30" t="str">
        <f t="shared" si="2446"/>
        <v/>
      </c>
      <c r="EY154" s="30" t="str">
        <f t="shared" si="2447"/>
        <v/>
      </c>
      <c r="EZ154" s="30" t="str">
        <f t="shared" si="2448"/>
        <v/>
      </c>
      <c r="FA154" s="30" t="str">
        <f t="shared" si="2449"/>
        <v/>
      </c>
      <c r="FB154" s="30" t="str">
        <f t="shared" si="2450"/>
        <v/>
      </c>
      <c r="FC154" s="30" t="str">
        <f t="shared" si="2451"/>
        <v/>
      </c>
      <c r="FD154" s="30" t="str">
        <f t="shared" si="2452"/>
        <v/>
      </c>
      <c r="FE154" s="30" t="str">
        <f t="shared" si="2453"/>
        <v/>
      </c>
      <c r="FF154" s="30" t="str">
        <f t="shared" si="2454"/>
        <v/>
      </c>
      <c r="FG154" s="30" t="str">
        <f t="shared" si="2455"/>
        <v/>
      </c>
      <c r="FH154" s="30" t="str">
        <f t="shared" si="2456"/>
        <v/>
      </c>
      <c r="FI154" s="30" t="str">
        <f t="shared" si="2457"/>
        <v/>
      </c>
      <c r="FJ154" s="30" t="str">
        <f t="shared" si="2458"/>
        <v/>
      </c>
      <c r="FK154" s="30" t="str">
        <f t="shared" si="2459"/>
        <v/>
      </c>
      <c r="FL154" s="30" t="str">
        <f t="shared" si="2460"/>
        <v/>
      </c>
      <c r="FM154" s="30" t="str">
        <f t="shared" si="2461"/>
        <v/>
      </c>
      <c r="FN154" s="30" t="str">
        <f t="shared" si="2462"/>
        <v/>
      </c>
      <c r="FO154" s="30" t="str">
        <f t="shared" si="2463"/>
        <v/>
      </c>
      <c r="FP154" s="30" t="str">
        <f t="shared" si="2464"/>
        <v/>
      </c>
      <c r="FQ154" s="30" t="str">
        <f t="shared" si="2465"/>
        <v/>
      </c>
      <c r="FR154" s="30" t="str">
        <f t="shared" si="2466"/>
        <v/>
      </c>
      <c r="FS154" s="30" t="str">
        <f t="shared" si="2467"/>
        <v/>
      </c>
    </row>
    <row r="155" spans="1:175" ht="16.5">
      <c r="A155" s="114"/>
      <c r="B155" s="110" t="s">
        <v>371</v>
      </c>
      <c r="C155" s="114" t="s">
        <v>372</v>
      </c>
      <c r="R155" s="25">
        <v>-7896</v>
      </c>
      <c r="S155" s="25">
        <v>3839</v>
      </c>
      <c r="T155" s="114" t="s">
        <v>372</v>
      </c>
      <c r="U155" s="32" t="str">
        <f t="shared" si="944"/>
        <v>ReplaceableTextures\\CommandButtons\\BTNIT06.blp</v>
      </c>
      <c r="CN155" s="7" t="str">
        <f t="shared" si="2391"/>
        <v>InitUnitState('IT06',,,,,,,,,,)</v>
      </c>
      <c r="CO155" s="7" t="str">
        <f t="shared" si="2392"/>
        <v>InitUnitNormal('IT06',,,,,,,,,,)</v>
      </c>
      <c r="CP155" s="7" t="str">
        <f t="shared" si="2393"/>
        <v>InitUnitMagic('IT06',,,,,,,,,,)</v>
      </c>
      <c r="CQ155" s="7" t="str">
        <f t="shared" si="2394"/>
        <v>InitUnitAdd('IT06',,,,,,,,,,)</v>
      </c>
      <c r="CR155" s="7" t="str">
        <f t="shared" si="2395"/>
        <v>InitEquipData('IT06',,"",,,,,'','','','','','',"ReplaceableTextures\\CommandButtons\\BTNIT07.blp")</v>
      </c>
      <c r="CU155" s="45" t="str">
        <f t="shared" si="2396"/>
        <v>|n</v>
      </c>
      <c r="CV155" s="29" t="str">
        <f t="shared" si="2397"/>
        <v>境界挑战6</v>
      </c>
      <c r="CW155" s="24"/>
      <c r="CX155" s="24"/>
      <c r="CY155" s="24"/>
      <c r="CZ155" s="24"/>
      <c r="DA155" s="24"/>
      <c r="DB155" s="30" t="str">
        <f t="shared" si="2398"/>
        <v/>
      </c>
      <c r="DC155" s="30" t="str">
        <f t="shared" si="2399"/>
        <v/>
      </c>
      <c r="DD155" s="30" t="str">
        <f t="shared" si="2400"/>
        <v/>
      </c>
      <c r="DE155" s="30" t="str">
        <f t="shared" si="2401"/>
        <v/>
      </c>
      <c r="DF155" s="30" t="str">
        <f t="shared" si="2402"/>
        <v/>
      </c>
      <c r="DG155" s="30" t="str">
        <f t="shared" si="2403"/>
        <v/>
      </c>
      <c r="DH155" s="30" t="str">
        <f t="shared" si="2404"/>
        <v/>
      </c>
      <c r="DI155" s="30" t="str">
        <f t="shared" si="2405"/>
        <v/>
      </c>
      <c r="DJ155" s="30" t="str">
        <f t="shared" si="2406"/>
        <v/>
      </c>
      <c r="DK155" s="30" t="str">
        <f t="shared" si="2407"/>
        <v/>
      </c>
      <c r="DL155" s="30" t="str">
        <f t="shared" si="2408"/>
        <v/>
      </c>
      <c r="DM155" s="30" t="str">
        <f t="shared" si="2409"/>
        <v/>
      </c>
      <c r="DN155" s="30" t="str">
        <f t="shared" si="2410"/>
        <v/>
      </c>
      <c r="DO155" s="30" t="str">
        <f t="shared" si="2411"/>
        <v/>
      </c>
      <c r="DP155" s="30" t="str">
        <f t="shared" si="2412"/>
        <v/>
      </c>
      <c r="DQ155" s="30" t="str">
        <f t="shared" si="2413"/>
        <v/>
      </c>
      <c r="DR155" s="30" t="str">
        <f t="shared" si="2414"/>
        <v/>
      </c>
      <c r="DS155" s="30" t="str">
        <f t="shared" si="2415"/>
        <v/>
      </c>
      <c r="DT155" s="30" t="str">
        <f t="shared" si="2416"/>
        <v/>
      </c>
      <c r="DU155" s="30" t="str">
        <f t="shared" si="2417"/>
        <v/>
      </c>
      <c r="DV155" s="30" t="str">
        <f t="shared" si="2418"/>
        <v/>
      </c>
      <c r="DW155" s="30" t="str">
        <f t="shared" si="2419"/>
        <v/>
      </c>
      <c r="DX155" s="30" t="str">
        <f t="shared" si="2420"/>
        <v/>
      </c>
      <c r="DY155" s="30" t="str">
        <f t="shared" si="2421"/>
        <v/>
      </c>
      <c r="DZ155" s="30" t="str">
        <f t="shared" si="2422"/>
        <v/>
      </c>
      <c r="EA155" s="30" t="str">
        <f t="shared" si="2423"/>
        <v/>
      </c>
      <c r="EB155" s="30" t="str">
        <f t="shared" si="2424"/>
        <v/>
      </c>
      <c r="EC155" s="30" t="str">
        <f t="shared" si="2425"/>
        <v/>
      </c>
      <c r="ED155" s="30" t="str">
        <f t="shared" si="2426"/>
        <v/>
      </c>
      <c r="EE155" s="30" t="str">
        <f t="shared" si="2427"/>
        <v/>
      </c>
      <c r="EF155" s="30" t="str">
        <f t="shared" si="2428"/>
        <v/>
      </c>
      <c r="EG155" s="30" t="str">
        <f t="shared" si="2429"/>
        <v/>
      </c>
      <c r="EH155" s="30" t="str">
        <f t="shared" si="2430"/>
        <v/>
      </c>
      <c r="EI155" s="30" t="str">
        <f t="shared" si="2431"/>
        <v/>
      </c>
      <c r="EJ155" s="30" t="str">
        <f t="shared" si="2432"/>
        <v/>
      </c>
      <c r="EK155" s="30" t="str">
        <f t="shared" si="2433"/>
        <v/>
      </c>
      <c r="EL155" s="30" t="str">
        <f t="shared" si="2434"/>
        <v/>
      </c>
      <c r="EM155" s="30" t="str">
        <f t="shared" si="2435"/>
        <v/>
      </c>
      <c r="EN155" s="30" t="str">
        <f t="shared" si="2436"/>
        <v/>
      </c>
      <c r="EO155" s="30" t="str">
        <f t="shared" si="2437"/>
        <v/>
      </c>
      <c r="EP155" s="30" t="str">
        <f t="shared" si="2438"/>
        <v/>
      </c>
      <c r="EQ155" s="30" t="str">
        <f t="shared" si="2439"/>
        <v/>
      </c>
      <c r="ER155" s="30" t="str">
        <f t="shared" si="2440"/>
        <v/>
      </c>
      <c r="ES155" s="30" t="str">
        <f t="shared" si="2441"/>
        <v/>
      </c>
      <c r="ET155" s="30" t="str">
        <f t="shared" si="2442"/>
        <v/>
      </c>
      <c r="EU155" s="30" t="str">
        <f t="shared" si="2443"/>
        <v/>
      </c>
      <c r="EV155" s="30" t="str">
        <f t="shared" si="2444"/>
        <v/>
      </c>
      <c r="EW155" s="30" t="str">
        <f t="shared" si="2445"/>
        <v/>
      </c>
      <c r="EX155" s="30" t="str">
        <f t="shared" si="2446"/>
        <v/>
      </c>
      <c r="EY155" s="30" t="str">
        <f t="shared" si="2447"/>
        <v/>
      </c>
      <c r="EZ155" s="30" t="str">
        <f t="shared" si="2448"/>
        <v/>
      </c>
      <c r="FA155" s="30" t="str">
        <f t="shared" si="2449"/>
        <v/>
      </c>
      <c r="FB155" s="30" t="str">
        <f t="shared" si="2450"/>
        <v/>
      </c>
      <c r="FC155" s="30" t="str">
        <f t="shared" si="2451"/>
        <v/>
      </c>
      <c r="FD155" s="30" t="str">
        <f t="shared" si="2452"/>
        <v/>
      </c>
      <c r="FE155" s="30" t="str">
        <f t="shared" si="2453"/>
        <v/>
      </c>
      <c r="FF155" s="30" t="str">
        <f t="shared" si="2454"/>
        <v/>
      </c>
      <c r="FG155" s="30" t="str">
        <f t="shared" si="2455"/>
        <v/>
      </c>
      <c r="FH155" s="30" t="str">
        <f t="shared" si="2456"/>
        <v/>
      </c>
      <c r="FI155" s="30" t="str">
        <f t="shared" si="2457"/>
        <v/>
      </c>
      <c r="FJ155" s="30" t="str">
        <f t="shared" si="2458"/>
        <v/>
      </c>
      <c r="FK155" s="30" t="str">
        <f t="shared" si="2459"/>
        <v/>
      </c>
      <c r="FL155" s="30" t="str">
        <f t="shared" si="2460"/>
        <v/>
      </c>
      <c r="FM155" s="30" t="str">
        <f t="shared" si="2461"/>
        <v/>
      </c>
      <c r="FN155" s="30" t="str">
        <f t="shared" si="2462"/>
        <v/>
      </c>
      <c r="FO155" s="30" t="str">
        <f t="shared" si="2463"/>
        <v/>
      </c>
      <c r="FP155" s="30" t="str">
        <f t="shared" si="2464"/>
        <v/>
      </c>
      <c r="FQ155" s="30" t="str">
        <f t="shared" si="2465"/>
        <v/>
      </c>
      <c r="FR155" s="30" t="str">
        <f t="shared" si="2466"/>
        <v/>
      </c>
      <c r="FS155" s="30" t="str">
        <f t="shared" si="2467"/>
        <v/>
      </c>
    </row>
    <row r="156" spans="1:175" ht="16.5">
      <c r="A156" s="114"/>
      <c r="B156" s="110" t="s">
        <v>373</v>
      </c>
      <c r="C156" s="114" t="s">
        <v>374</v>
      </c>
      <c r="R156" s="25">
        <v>-7896</v>
      </c>
      <c r="S156" s="25">
        <v>5906</v>
      </c>
      <c r="T156" s="114" t="s">
        <v>374</v>
      </c>
      <c r="U156" s="32" t="str">
        <f t="shared" si="944"/>
        <v>ReplaceableTextures\\CommandButtons\\BTNIT07.blp</v>
      </c>
      <c r="CN156" s="7" t="str">
        <f t="shared" si="2391"/>
        <v>InitUnitState('IT07',,,,,,,,,,)</v>
      </c>
      <c r="CO156" s="7" t="str">
        <f t="shared" si="2392"/>
        <v>InitUnitNormal('IT07',,,,,,,,,,)</v>
      </c>
      <c r="CP156" s="7" t="str">
        <f t="shared" si="2393"/>
        <v>InitUnitMagic('IT07',,,,,,,,,,)</v>
      </c>
      <c r="CQ156" s="7" t="str">
        <f t="shared" si="2394"/>
        <v>InitUnitAdd('IT07',,,,,,,,,,)</v>
      </c>
      <c r="CR156" s="7" t="str">
        <f t="shared" si="2395"/>
        <v>InitEquipData('IT07',,"",,,,,'','','','','','',"ReplaceableTextures\\CommandButtons\\BTNIT08.blp")</v>
      </c>
      <c r="CU156" s="45" t="str">
        <f t="shared" si="2396"/>
        <v>|n</v>
      </c>
      <c r="CV156" s="29" t="str">
        <f t="shared" si="2397"/>
        <v>境界挑战7</v>
      </c>
      <c r="CW156" s="24"/>
      <c r="CX156" s="24"/>
      <c r="CY156" s="24"/>
      <c r="CZ156" s="24"/>
      <c r="DA156" s="24"/>
      <c r="DB156" s="30" t="str">
        <f t="shared" si="2398"/>
        <v/>
      </c>
      <c r="DC156" s="30" t="str">
        <f t="shared" si="2399"/>
        <v/>
      </c>
      <c r="DD156" s="30" t="str">
        <f t="shared" si="2400"/>
        <v/>
      </c>
      <c r="DE156" s="30" t="str">
        <f t="shared" si="2401"/>
        <v/>
      </c>
      <c r="DF156" s="30" t="str">
        <f t="shared" si="2402"/>
        <v/>
      </c>
      <c r="DG156" s="30" t="str">
        <f t="shared" si="2403"/>
        <v/>
      </c>
      <c r="DH156" s="30" t="str">
        <f t="shared" si="2404"/>
        <v/>
      </c>
      <c r="DI156" s="30" t="str">
        <f t="shared" si="2405"/>
        <v/>
      </c>
      <c r="DJ156" s="30" t="str">
        <f t="shared" si="2406"/>
        <v/>
      </c>
      <c r="DK156" s="30" t="str">
        <f t="shared" si="2407"/>
        <v/>
      </c>
      <c r="DL156" s="30" t="str">
        <f t="shared" si="2408"/>
        <v/>
      </c>
      <c r="DM156" s="30" t="str">
        <f t="shared" si="2409"/>
        <v/>
      </c>
      <c r="DN156" s="30" t="str">
        <f t="shared" si="2410"/>
        <v/>
      </c>
      <c r="DO156" s="30" t="str">
        <f t="shared" si="2411"/>
        <v/>
      </c>
      <c r="DP156" s="30" t="str">
        <f t="shared" si="2412"/>
        <v/>
      </c>
      <c r="DQ156" s="30" t="str">
        <f t="shared" si="2413"/>
        <v/>
      </c>
      <c r="DR156" s="30" t="str">
        <f t="shared" si="2414"/>
        <v/>
      </c>
      <c r="DS156" s="30" t="str">
        <f t="shared" si="2415"/>
        <v/>
      </c>
      <c r="DT156" s="30" t="str">
        <f t="shared" si="2416"/>
        <v/>
      </c>
      <c r="DU156" s="30" t="str">
        <f t="shared" si="2417"/>
        <v/>
      </c>
      <c r="DV156" s="30" t="str">
        <f t="shared" si="2418"/>
        <v/>
      </c>
      <c r="DW156" s="30" t="str">
        <f t="shared" si="2419"/>
        <v/>
      </c>
      <c r="DX156" s="30" t="str">
        <f t="shared" si="2420"/>
        <v/>
      </c>
      <c r="DY156" s="30" t="str">
        <f t="shared" si="2421"/>
        <v/>
      </c>
      <c r="DZ156" s="30" t="str">
        <f t="shared" si="2422"/>
        <v/>
      </c>
      <c r="EA156" s="30" t="str">
        <f t="shared" si="2423"/>
        <v/>
      </c>
      <c r="EB156" s="30" t="str">
        <f t="shared" si="2424"/>
        <v/>
      </c>
      <c r="EC156" s="30" t="str">
        <f t="shared" si="2425"/>
        <v/>
      </c>
      <c r="ED156" s="30" t="str">
        <f t="shared" si="2426"/>
        <v/>
      </c>
      <c r="EE156" s="30" t="str">
        <f t="shared" si="2427"/>
        <v/>
      </c>
      <c r="EF156" s="30" t="str">
        <f t="shared" si="2428"/>
        <v/>
      </c>
      <c r="EG156" s="30" t="str">
        <f t="shared" si="2429"/>
        <v/>
      </c>
      <c r="EH156" s="30" t="str">
        <f t="shared" si="2430"/>
        <v/>
      </c>
      <c r="EI156" s="30" t="str">
        <f t="shared" si="2431"/>
        <v/>
      </c>
      <c r="EJ156" s="30" t="str">
        <f t="shared" si="2432"/>
        <v/>
      </c>
      <c r="EK156" s="30" t="str">
        <f t="shared" si="2433"/>
        <v/>
      </c>
      <c r="EL156" s="30" t="str">
        <f t="shared" si="2434"/>
        <v/>
      </c>
      <c r="EM156" s="30" t="str">
        <f t="shared" si="2435"/>
        <v/>
      </c>
      <c r="EN156" s="30" t="str">
        <f t="shared" si="2436"/>
        <v/>
      </c>
      <c r="EO156" s="30" t="str">
        <f t="shared" si="2437"/>
        <v/>
      </c>
      <c r="EP156" s="30" t="str">
        <f t="shared" si="2438"/>
        <v/>
      </c>
      <c r="EQ156" s="30" t="str">
        <f t="shared" si="2439"/>
        <v/>
      </c>
      <c r="ER156" s="30" t="str">
        <f t="shared" si="2440"/>
        <v/>
      </c>
      <c r="ES156" s="30" t="str">
        <f t="shared" si="2441"/>
        <v/>
      </c>
      <c r="ET156" s="30" t="str">
        <f t="shared" si="2442"/>
        <v/>
      </c>
      <c r="EU156" s="30" t="str">
        <f t="shared" si="2443"/>
        <v/>
      </c>
      <c r="EV156" s="30" t="str">
        <f t="shared" si="2444"/>
        <v/>
      </c>
      <c r="EW156" s="30" t="str">
        <f t="shared" si="2445"/>
        <v/>
      </c>
      <c r="EX156" s="30" t="str">
        <f t="shared" si="2446"/>
        <v/>
      </c>
      <c r="EY156" s="30" t="str">
        <f t="shared" si="2447"/>
        <v/>
      </c>
      <c r="EZ156" s="30" t="str">
        <f t="shared" si="2448"/>
        <v/>
      </c>
      <c r="FA156" s="30" t="str">
        <f t="shared" si="2449"/>
        <v/>
      </c>
      <c r="FB156" s="30" t="str">
        <f t="shared" si="2450"/>
        <v/>
      </c>
      <c r="FC156" s="30" t="str">
        <f t="shared" si="2451"/>
        <v/>
      </c>
      <c r="FD156" s="30" t="str">
        <f t="shared" si="2452"/>
        <v/>
      </c>
      <c r="FE156" s="30" t="str">
        <f t="shared" si="2453"/>
        <v/>
      </c>
      <c r="FF156" s="30" t="str">
        <f t="shared" si="2454"/>
        <v/>
      </c>
      <c r="FG156" s="30" t="str">
        <f t="shared" si="2455"/>
        <v/>
      </c>
      <c r="FH156" s="30" t="str">
        <f t="shared" si="2456"/>
        <v/>
      </c>
      <c r="FI156" s="30" t="str">
        <f t="shared" si="2457"/>
        <v/>
      </c>
      <c r="FJ156" s="30" t="str">
        <f t="shared" si="2458"/>
        <v/>
      </c>
      <c r="FK156" s="30" t="str">
        <f t="shared" si="2459"/>
        <v/>
      </c>
      <c r="FL156" s="30" t="str">
        <f t="shared" si="2460"/>
        <v/>
      </c>
      <c r="FM156" s="30" t="str">
        <f t="shared" si="2461"/>
        <v/>
      </c>
      <c r="FN156" s="30" t="str">
        <f t="shared" si="2462"/>
        <v/>
      </c>
      <c r="FO156" s="30" t="str">
        <f t="shared" si="2463"/>
        <v/>
      </c>
      <c r="FP156" s="30" t="str">
        <f t="shared" si="2464"/>
        <v/>
      </c>
      <c r="FQ156" s="30" t="str">
        <f t="shared" si="2465"/>
        <v/>
      </c>
      <c r="FR156" s="30" t="str">
        <f t="shared" si="2466"/>
        <v/>
      </c>
      <c r="FS156" s="30" t="str">
        <f t="shared" si="2467"/>
        <v/>
      </c>
    </row>
    <row r="157" spans="1:175" ht="16.5">
      <c r="A157" s="114" t="s">
        <v>416</v>
      </c>
      <c r="B157" s="110" t="s">
        <v>375</v>
      </c>
      <c r="C157" s="114" t="s">
        <v>376</v>
      </c>
      <c r="R157" s="25">
        <v>-7970</v>
      </c>
      <c r="S157" s="25">
        <v>7965</v>
      </c>
      <c r="T157" s="114" t="s">
        <v>376</v>
      </c>
      <c r="U157" s="32" t="str">
        <f t="shared" si="944"/>
        <v>ReplaceableTextures\\CommandButtons\\BTNIT08.blp</v>
      </c>
      <c r="CN157" s="7" t="str">
        <f t="shared" si="2391"/>
        <v>InitUnitState('IT08',,,,,,,,,,)</v>
      </c>
      <c r="CO157" s="7" t="str">
        <f t="shared" si="2392"/>
        <v>InitUnitNormal('IT08',,,,,,,,,,)</v>
      </c>
      <c r="CP157" s="7" t="str">
        <f t="shared" si="2393"/>
        <v>InitUnitMagic('IT08',,,,,,,,,,)</v>
      </c>
      <c r="CQ157" s="7" t="str">
        <f t="shared" si="2394"/>
        <v>InitUnitAdd('IT08',,,,,,,,,,)</v>
      </c>
      <c r="CR157" s="7" t="str">
        <f t="shared" si="2395"/>
        <v>InitEquipData('IT08',,".",,,,,'','','','','','',"ReplaceableTextures\\CommandButtons\\BTNIT09.blp")</v>
      </c>
      <c r="CU157" s="45" t="str">
        <f t="shared" si="2396"/>
        <v>|n</v>
      </c>
      <c r="CV157" s="29" t="str">
        <f t="shared" si="2397"/>
        <v>境界挑战8</v>
      </c>
      <c r="CW157" s="24"/>
      <c r="CX157" s="24"/>
      <c r="CY157" s="24"/>
      <c r="CZ157" s="24"/>
      <c r="DA157" s="24"/>
      <c r="DB157" s="30" t="str">
        <f t="shared" si="2398"/>
        <v/>
      </c>
      <c r="DC157" s="30" t="str">
        <f t="shared" si="2399"/>
        <v/>
      </c>
      <c r="DD157" s="30" t="str">
        <f t="shared" si="2400"/>
        <v/>
      </c>
      <c r="DE157" s="30" t="str">
        <f t="shared" si="2401"/>
        <v/>
      </c>
      <c r="DF157" s="30" t="str">
        <f t="shared" si="2402"/>
        <v/>
      </c>
      <c r="DG157" s="30" t="str">
        <f t="shared" si="2403"/>
        <v/>
      </c>
      <c r="DH157" s="30" t="str">
        <f t="shared" si="2404"/>
        <v/>
      </c>
      <c r="DI157" s="30" t="str">
        <f t="shared" si="2405"/>
        <v/>
      </c>
      <c r="DJ157" s="30" t="str">
        <f t="shared" si="2406"/>
        <v/>
      </c>
      <c r="DK157" s="30" t="str">
        <f t="shared" si="2407"/>
        <v/>
      </c>
      <c r="DL157" s="30" t="str">
        <f t="shared" si="2408"/>
        <v/>
      </c>
      <c r="DM157" s="30" t="str">
        <f t="shared" si="2409"/>
        <v/>
      </c>
      <c r="DN157" s="30" t="str">
        <f t="shared" si="2410"/>
        <v/>
      </c>
      <c r="DO157" s="30" t="str">
        <f t="shared" si="2411"/>
        <v/>
      </c>
      <c r="DP157" s="30" t="str">
        <f t="shared" si="2412"/>
        <v/>
      </c>
      <c r="DQ157" s="30" t="str">
        <f t="shared" si="2413"/>
        <v/>
      </c>
      <c r="DR157" s="30" t="str">
        <f t="shared" si="2414"/>
        <v/>
      </c>
      <c r="DS157" s="30" t="str">
        <f t="shared" si="2415"/>
        <v/>
      </c>
      <c r="DT157" s="30" t="str">
        <f t="shared" si="2416"/>
        <v/>
      </c>
      <c r="DU157" s="30" t="str">
        <f t="shared" si="2417"/>
        <v/>
      </c>
      <c r="DV157" s="30" t="str">
        <f t="shared" si="2418"/>
        <v/>
      </c>
      <c r="DW157" s="30" t="str">
        <f t="shared" si="2419"/>
        <v/>
      </c>
      <c r="DX157" s="30" t="str">
        <f t="shared" si="2420"/>
        <v/>
      </c>
      <c r="DY157" s="30" t="str">
        <f t="shared" si="2421"/>
        <v/>
      </c>
      <c r="DZ157" s="30" t="str">
        <f t="shared" si="2422"/>
        <v/>
      </c>
      <c r="EA157" s="30" t="str">
        <f t="shared" si="2423"/>
        <v/>
      </c>
      <c r="EB157" s="30" t="str">
        <f t="shared" si="2424"/>
        <v/>
      </c>
      <c r="EC157" s="30" t="str">
        <f t="shared" si="2425"/>
        <v/>
      </c>
      <c r="ED157" s="30" t="str">
        <f t="shared" si="2426"/>
        <v/>
      </c>
      <c r="EE157" s="30" t="str">
        <f t="shared" si="2427"/>
        <v/>
      </c>
      <c r="EF157" s="30" t="str">
        <f t="shared" si="2428"/>
        <v/>
      </c>
      <c r="EG157" s="30" t="str">
        <f t="shared" si="2429"/>
        <v/>
      </c>
      <c r="EH157" s="30" t="str">
        <f t="shared" si="2430"/>
        <v/>
      </c>
      <c r="EI157" s="30" t="str">
        <f t="shared" si="2431"/>
        <v/>
      </c>
      <c r="EJ157" s="30" t="str">
        <f t="shared" si="2432"/>
        <v/>
      </c>
      <c r="EK157" s="30" t="str">
        <f t="shared" si="2433"/>
        <v/>
      </c>
      <c r="EL157" s="30" t="str">
        <f t="shared" si="2434"/>
        <v/>
      </c>
      <c r="EM157" s="30" t="str">
        <f t="shared" si="2435"/>
        <v/>
      </c>
      <c r="EN157" s="30" t="str">
        <f t="shared" si="2436"/>
        <v/>
      </c>
      <c r="EO157" s="30" t="str">
        <f t="shared" si="2437"/>
        <v/>
      </c>
      <c r="EP157" s="30" t="str">
        <f t="shared" si="2438"/>
        <v/>
      </c>
      <c r="EQ157" s="30" t="str">
        <f t="shared" si="2439"/>
        <v/>
      </c>
      <c r="ER157" s="30" t="str">
        <f t="shared" si="2440"/>
        <v/>
      </c>
      <c r="ES157" s="30" t="str">
        <f t="shared" si="2441"/>
        <v/>
      </c>
      <c r="ET157" s="30" t="str">
        <f t="shared" si="2442"/>
        <v/>
      </c>
      <c r="EU157" s="30" t="str">
        <f t="shared" si="2443"/>
        <v/>
      </c>
      <c r="EV157" s="30" t="str">
        <f t="shared" si="2444"/>
        <v/>
      </c>
      <c r="EW157" s="30" t="str">
        <f t="shared" si="2445"/>
        <v/>
      </c>
      <c r="EX157" s="30" t="str">
        <f t="shared" si="2446"/>
        <v/>
      </c>
      <c r="EY157" s="30" t="str">
        <f t="shared" si="2447"/>
        <v/>
      </c>
      <c r="EZ157" s="30" t="str">
        <f t="shared" si="2448"/>
        <v/>
      </c>
      <c r="FA157" s="30" t="str">
        <f t="shared" si="2449"/>
        <v/>
      </c>
      <c r="FB157" s="30" t="str">
        <f t="shared" si="2450"/>
        <v/>
      </c>
      <c r="FC157" s="30" t="str">
        <f t="shared" si="2451"/>
        <v/>
      </c>
      <c r="FD157" s="30" t="str">
        <f t="shared" si="2452"/>
        <v/>
      </c>
      <c r="FE157" s="30" t="str">
        <f t="shared" si="2453"/>
        <v/>
      </c>
      <c r="FF157" s="30" t="str">
        <f t="shared" si="2454"/>
        <v/>
      </c>
      <c r="FG157" s="30" t="str">
        <f t="shared" si="2455"/>
        <v/>
      </c>
      <c r="FH157" s="30" t="str">
        <f t="shared" si="2456"/>
        <v/>
      </c>
      <c r="FI157" s="30" t="str">
        <f t="shared" si="2457"/>
        <v/>
      </c>
      <c r="FJ157" s="30" t="str">
        <f t="shared" si="2458"/>
        <v/>
      </c>
      <c r="FK157" s="30" t="str">
        <f t="shared" si="2459"/>
        <v/>
      </c>
      <c r="FL157" s="30" t="str">
        <f t="shared" si="2460"/>
        <v/>
      </c>
      <c r="FM157" s="30" t="str">
        <f t="shared" si="2461"/>
        <v/>
      </c>
      <c r="FN157" s="30" t="str">
        <f t="shared" si="2462"/>
        <v/>
      </c>
      <c r="FO157" s="30" t="str">
        <f t="shared" si="2463"/>
        <v/>
      </c>
      <c r="FP157" s="30" t="str">
        <f t="shared" si="2464"/>
        <v/>
      </c>
      <c r="FQ157" s="30" t="str">
        <f t="shared" si="2465"/>
        <v/>
      </c>
      <c r="FR157" s="30" t="str">
        <f t="shared" si="2466"/>
        <v/>
      </c>
      <c r="FS157" s="30" t="str">
        <f t="shared" si="2467"/>
        <v/>
      </c>
    </row>
    <row r="158" spans="1:175" ht="16.5">
      <c r="A158" s="114"/>
      <c r="B158" s="110" t="s">
        <v>377</v>
      </c>
      <c r="C158" s="114" t="s">
        <v>378</v>
      </c>
      <c r="R158" s="25">
        <v>2100</v>
      </c>
      <c r="S158" s="25">
        <v>-5120</v>
      </c>
      <c r="T158" s="114" t="s">
        <v>378</v>
      </c>
      <c r="U158" s="32" t="str">
        <f t="shared" si="944"/>
        <v>ReplaceableTextures\\CommandButtons\\BTNIT09.blp</v>
      </c>
      <c r="CN158" s="7" t="str">
        <f t="shared" si="2391"/>
        <v>InitUnitState('IT09',,,,,,,,,,)</v>
      </c>
      <c r="CO158" s="7" t="str">
        <f t="shared" si="2392"/>
        <v>InitUnitNormal('IT09',,,,,,,,,,)</v>
      </c>
      <c r="CP158" s="7" t="str">
        <f t="shared" si="2393"/>
        <v>InitUnitMagic('IT09',,,,,,,,,,)</v>
      </c>
      <c r="CQ158" s="7" t="str">
        <f t="shared" si="2394"/>
        <v>InitUnitAdd('IT09',,,,,,,,,,)</v>
      </c>
      <c r="CR158" s="7" t="str">
        <f t="shared" si="2395"/>
        <v>InitEquipData('IT09',,"",,,,,'','','','','','',"ReplaceableTextures\\CommandButtons\\BTNIT10.blp")</v>
      </c>
      <c r="CU158" s="45" t="str">
        <f t="shared" si="2396"/>
        <v>|n</v>
      </c>
      <c r="CV158" s="29" t="str">
        <f t="shared" si="2397"/>
        <v>境界挑战9</v>
      </c>
      <c r="CW158" s="24"/>
      <c r="CX158" s="24"/>
      <c r="CY158" s="24"/>
      <c r="CZ158" s="24"/>
      <c r="DA158" s="24"/>
      <c r="DB158" s="30" t="str">
        <f t="shared" si="2398"/>
        <v/>
      </c>
      <c r="DC158" s="30" t="str">
        <f t="shared" si="2399"/>
        <v/>
      </c>
      <c r="DD158" s="30" t="str">
        <f t="shared" si="2400"/>
        <v/>
      </c>
      <c r="DE158" s="30" t="str">
        <f t="shared" si="2401"/>
        <v/>
      </c>
      <c r="DF158" s="30" t="str">
        <f t="shared" si="2402"/>
        <v/>
      </c>
      <c r="DG158" s="30" t="str">
        <f t="shared" si="2403"/>
        <v/>
      </c>
      <c r="DH158" s="30" t="str">
        <f t="shared" si="2404"/>
        <v/>
      </c>
      <c r="DI158" s="30" t="str">
        <f t="shared" si="2405"/>
        <v/>
      </c>
      <c r="DJ158" s="30" t="str">
        <f t="shared" si="2406"/>
        <v/>
      </c>
      <c r="DK158" s="30" t="str">
        <f t="shared" si="2407"/>
        <v/>
      </c>
      <c r="DL158" s="30" t="str">
        <f t="shared" si="2408"/>
        <v/>
      </c>
      <c r="DM158" s="30" t="str">
        <f t="shared" si="2409"/>
        <v/>
      </c>
      <c r="DN158" s="30" t="str">
        <f t="shared" si="2410"/>
        <v/>
      </c>
      <c r="DO158" s="30" t="str">
        <f t="shared" si="2411"/>
        <v/>
      </c>
      <c r="DP158" s="30" t="str">
        <f t="shared" si="2412"/>
        <v/>
      </c>
      <c r="DQ158" s="30" t="str">
        <f t="shared" si="2413"/>
        <v/>
      </c>
      <c r="DR158" s="30" t="str">
        <f t="shared" si="2414"/>
        <v/>
      </c>
      <c r="DS158" s="30" t="str">
        <f t="shared" si="2415"/>
        <v/>
      </c>
      <c r="DT158" s="30" t="str">
        <f t="shared" si="2416"/>
        <v/>
      </c>
      <c r="DU158" s="30" t="str">
        <f t="shared" si="2417"/>
        <v/>
      </c>
      <c r="DV158" s="30" t="str">
        <f t="shared" si="2418"/>
        <v/>
      </c>
      <c r="DW158" s="30" t="str">
        <f t="shared" si="2419"/>
        <v/>
      </c>
      <c r="DX158" s="30" t="str">
        <f t="shared" si="2420"/>
        <v/>
      </c>
      <c r="DY158" s="30" t="str">
        <f t="shared" si="2421"/>
        <v/>
      </c>
      <c r="DZ158" s="30" t="str">
        <f t="shared" si="2422"/>
        <v/>
      </c>
      <c r="EA158" s="30" t="str">
        <f t="shared" si="2423"/>
        <v/>
      </c>
      <c r="EB158" s="30" t="str">
        <f t="shared" si="2424"/>
        <v/>
      </c>
      <c r="EC158" s="30" t="str">
        <f t="shared" si="2425"/>
        <v/>
      </c>
      <c r="ED158" s="30" t="str">
        <f t="shared" si="2426"/>
        <v/>
      </c>
      <c r="EE158" s="30" t="str">
        <f t="shared" si="2427"/>
        <v/>
      </c>
      <c r="EF158" s="30" t="str">
        <f t="shared" si="2428"/>
        <v/>
      </c>
      <c r="EG158" s="30" t="str">
        <f t="shared" si="2429"/>
        <v/>
      </c>
      <c r="EH158" s="30" t="str">
        <f t="shared" si="2430"/>
        <v/>
      </c>
      <c r="EI158" s="30" t="str">
        <f t="shared" si="2431"/>
        <v/>
      </c>
      <c r="EJ158" s="30" t="str">
        <f t="shared" si="2432"/>
        <v/>
      </c>
      <c r="EK158" s="30" t="str">
        <f t="shared" si="2433"/>
        <v/>
      </c>
      <c r="EL158" s="30" t="str">
        <f t="shared" si="2434"/>
        <v/>
      </c>
      <c r="EM158" s="30" t="str">
        <f t="shared" si="2435"/>
        <v/>
      </c>
      <c r="EN158" s="30" t="str">
        <f t="shared" si="2436"/>
        <v/>
      </c>
      <c r="EO158" s="30" t="str">
        <f t="shared" si="2437"/>
        <v/>
      </c>
      <c r="EP158" s="30" t="str">
        <f t="shared" si="2438"/>
        <v/>
      </c>
      <c r="EQ158" s="30" t="str">
        <f t="shared" si="2439"/>
        <v/>
      </c>
      <c r="ER158" s="30" t="str">
        <f t="shared" si="2440"/>
        <v/>
      </c>
      <c r="ES158" s="30" t="str">
        <f t="shared" si="2441"/>
        <v/>
      </c>
      <c r="ET158" s="30" t="str">
        <f t="shared" si="2442"/>
        <v/>
      </c>
      <c r="EU158" s="30" t="str">
        <f t="shared" si="2443"/>
        <v/>
      </c>
      <c r="EV158" s="30" t="str">
        <f t="shared" si="2444"/>
        <v/>
      </c>
      <c r="EW158" s="30" t="str">
        <f t="shared" si="2445"/>
        <v/>
      </c>
      <c r="EX158" s="30" t="str">
        <f t="shared" si="2446"/>
        <v/>
      </c>
      <c r="EY158" s="30" t="str">
        <f t="shared" si="2447"/>
        <v/>
      </c>
      <c r="EZ158" s="30" t="str">
        <f t="shared" si="2448"/>
        <v/>
      </c>
      <c r="FA158" s="30" t="str">
        <f t="shared" si="2449"/>
        <v/>
      </c>
      <c r="FB158" s="30" t="str">
        <f t="shared" si="2450"/>
        <v/>
      </c>
      <c r="FC158" s="30" t="str">
        <f t="shared" si="2451"/>
        <v/>
      </c>
      <c r="FD158" s="30" t="str">
        <f t="shared" si="2452"/>
        <v/>
      </c>
      <c r="FE158" s="30" t="str">
        <f t="shared" si="2453"/>
        <v/>
      </c>
      <c r="FF158" s="30" t="str">
        <f t="shared" si="2454"/>
        <v/>
      </c>
      <c r="FG158" s="30" t="str">
        <f t="shared" si="2455"/>
        <v/>
      </c>
      <c r="FH158" s="30" t="str">
        <f t="shared" si="2456"/>
        <v/>
      </c>
      <c r="FI158" s="30" t="str">
        <f t="shared" si="2457"/>
        <v/>
      </c>
      <c r="FJ158" s="30" t="str">
        <f t="shared" si="2458"/>
        <v/>
      </c>
      <c r="FK158" s="30" t="str">
        <f t="shared" si="2459"/>
        <v/>
      </c>
      <c r="FL158" s="30" t="str">
        <f t="shared" si="2460"/>
        <v/>
      </c>
      <c r="FM158" s="30" t="str">
        <f t="shared" si="2461"/>
        <v/>
      </c>
      <c r="FN158" s="30" t="str">
        <f t="shared" si="2462"/>
        <v/>
      </c>
      <c r="FO158" s="30" t="str">
        <f t="shared" si="2463"/>
        <v/>
      </c>
      <c r="FP158" s="30" t="str">
        <f t="shared" si="2464"/>
        <v/>
      </c>
      <c r="FQ158" s="30" t="str">
        <f t="shared" si="2465"/>
        <v/>
      </c>
      <c r="FR158" s="30" t="str">
        <f t="shared" si="2466"/>
        <v/>
      </c>
      <c r="FS158" s="30" t="str">
        <f t="shared" si="2467"/>
        <v/>
      </c>
    </row>
    <row r="159" spans="1:175" ht="16.5">
      <c r="A159" s="114"/>
      <c r="B159" s="110" t="s">
        <v>379</v>
      </c>
      <c r="C159" s="114" t="s">
        <v>380</v>
      </c>
      <c r="R159" s="25">
        <v>4814</v>
      </c>
      <c r="S159" s="25">
        <v>-8830</v>
      </c>
      <c r="T159" s="114" t="s">
        <v>380</v>
      </c>
      <c r="U159" s="32" t="str">
        <f t="shared" si="944"/>
        <v>ReplaceableTextures\\CommandButtons\\BTNIT10.blp</v>
      </c>
      <c r="CN159" s="7" t="str">
        <f t="shared" si="2391"/>
        <v>InitUnitState('IT10',,,,,,,,,,)</v>
      </c>
      <c r="CO159" s="7" t="str">
        <f t="shared" si="2392"/>
        <v>InitUnitNormal('IT10',,,,,,,,,,)</v>
      </c>
      <c r="CP159" s="7" t="str">
        <f t="shared" si="2393"/>
        <v>InitUnitMagic('IT10',,,,,,,,,,)</v>
      </c>
      <c r="CQ159" s="7" t="str">
        <f t="shared" si="2394"/>
        <v>InitUnitAdd('IT10',,,,,,,,,,)</v>
      </c>
      <c r="CR159" s="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165&amp;CR$1&amp;")"</f>
        <v>InitEquipData('IT10',,"",,,,,'','','','','','',"ReplaceableTextures\\CommandButtons\\BTNIS02.blp")</v>
      </c>
      <c r="CU159" s="45" t="str">
        <f t="shared" si="2396"/>
        <v>|n</v>
      </c>
      <c r="CV159" s="29" t="str">
        <f t="shared" si="2397"/>
        <v>境界挑战10</v>
      </c>
      <c r="CW159" s="24"/>
      <c r="CX159" s="24"/>
      <c r="CY159" s="24"/>
      <c r="CZ159" s="24"/>
      <c r="DA159" s="24"/>
      <c r="DB159" s="30" t="str">
        <f t="shared" si="2398"/>
        <v/>
      </c>
      <c r="DC159" s="30" t="str">
        <f t="shared" si="2399"/>
        <v/>
      </c>
      <c r="DD159" s="30" t="str">
        <f t="shared" si="2400"/>
        <v/>
      </c>
      <c r="DE159" s="30" t="str">
        <f t="shared" si="2401"/>
        <v/>
      </c>
      <c r="DF159" s="30" t="str">
        <f t="shared" si="2402"/>
        <v/>
      </c>
      <c r="DG159" s="30" t="str">
        <f t="shared" si="2403"/>
        <v/>
      </c>
      <c r="DH159" s="30" t="str">
        <f t="shared" si="2404"/>
        <v/>
      </c>
      <c r="DI159" s="30" t="str">
        <f t="shared" si="2405"/>
        <v/>
      </c>
      <c r="DJ159" s="30" t="str">
        <f t="shared" si="2406"/>
        <v/>
      </c>
      <c r="DK159" s="30" t="str">
        <f t="shared" si="2407"/>
        <v/>
      </c>
      <c r="DL159" s="30" t="str">
        <f t="shared" si="2408"/>
        <v/>
      </c>
      <c r="DM159" s="30" t="str">
        <f t="shared" si="2409"/>
        <v/>
      </c>
      <c r="DN159" s="30" t="str">
        <f t="shared" si="2410"/>
        <v/>
      </c>
      <c r="DO159" s="30" t="str">
        <f t="shared" si="2411"/>
        <v/>
      </c>
      <c r="DP159" s="30" t="str">
        <f t="shared" si="2412"/>
        <v/>
      </c>
      <c r="DQ159" s="30" t="str">
        <f t="shared" si="2413"/>
        <v/>
      </c>
      <c r="DR159" s="30" t="str">
        <f t="shared" si="2414"/>
        <v/>
      </c>
      <c r="DS159" s="30" t="str">
        <f t="shared" si="2415"/>
        <v/>
      </c>
      <c r="DT159" s="30" t="str">
        <f t="shared" si="2416"/>
        <v/>
      </c>
      <c r="DU159" s="30" t="str">
        <f t="shared" si="2417"/>
        <v/>
      </c>
      <c r="DV159" s="30" t="str">
        <f t="shared" si="2418"/>
        <v/>
      </c>
      <c r="DW159" s="30" t="str">
        <f t="shared" si="2419"/>
        <v/>
      </c>
      <c r="DX159" s="30" t="str">
        <f t="shared" si="2420"/>
        <v/>
      </c>
      <c r="DY159" s="30" t="str">
        <f t="shared" si="2421"/>
        <v/>
      </c>
      <c r="DZ159" s="30" t="str">
        <f t="shared" si="2422"/>
        <v/>
      </c>
      <c r="EA159" s="30" t="str">
        <f t="shared" si="2423"/>
        <v/>
      </c>
      <c r="EB159" s="30" t="str">
        <f t="shared" si="2424"/>
        <v/>
      </c>
      <c r="EC159" s="30" t="str">
        <f t="shared" si="2425"/>
        <v/>
      </c>
      <c r="ED159" s="30" t="str">
        <f t="shared" si="2426"/>
        <v/>
      </c>
      <c r="EE159" s="30" t="str">
        <f t="shared" si="2427"/>
        <v/>
      </c>
      <c r="EF159" s="30" t="str">
        <f t="shared" si="2428"/>
        <v/>
      </c>
      <c r="EG159" s="30" t="str">
        <f t="shared" si="2429"/>
        <v/>
      </c>
      <c r="EH159" s="30" t="str">
        <f t="shared" si="2430"/>
        <v/>
      </c>
      <c r="EI159" s="30" t="str">
        <f t="shared" si="2431"/>
        <v/>
      </c>
      <c r="EJ159" s="30" t="str">
        <f t="shared" si="2432"/>
        <v/>
      </c>
      <c r="EK159" s="30" t="str">
        <f t="shared" si="2433"/>
        <v/>
      </c>
      <c r="EL159" s="30" t="str">
        <f t="shared" si="2434"/>
        <v/>
      </c>
      <c r="EM159" s="30" t="str">
        <f t="shared" si="2435"/>
        <v/>
      </c>
      <c r="EN159" s="30" t="str">
        <f t="shared" si="2436"/>
        <v/>
      </c>
      <c r="EO159" s="30" t="str">
        <f t="shared" si="2437"/>
        <v/>
      </c>
      <c r="EP159" s="30" t="str">
        <f t="shared" si="2438"/>
        <v/>
      </c>
      <c r="EQ159" s="30" t="str">
        <f t="shared" si="2439"/>
        <v/>
      </c>
      <c r="ER159" s="30" t="str">
        <f t="shared" si="2440"/>
        <v/>
      </c>
      <c r="ES159" s="30" t="str">
        <f t="shared" si="2441"/>
        <v/>
      </c>
      <c r="ET159" s="30" t="str">
        <f t="shared" si="2442"/>
        <v/>
      </c>
      <c r="EU159" s="30" t="str">
        <f t="shared" si="2443"/>
        <v/>
      </c>
      <c r="EV159" s="30" t="str">
        <f t="shared" si="2444"/>
        <v/>
      </c>
      <c r="EW159" s="30" t="str">
        <f t="shared" si="2445"/>
        <v/>
      </c>
      <c r="EX159" s="30" t="str">
        <f t="shared" si="2446"/>
        <v/>
      </c>
      <c r="EY159" s="30" t="str">
        <f t="shared" si="2447"/>
        <v/>
      </c>
      <c r="EZ159" s="30" t="str">
        <f t="shared" si="2448"/>
        <v/>
      </c>
      <c r="FA159" s="30" t="str">
        <f t="shared" si="2449"/>
        <v/>
      </c>
      <c r="FB159" s="30" t="str">
        <f t="shared" si="2450"/>
        <v/>
      </c>
      <c r="FC159" s="30" t="str">
        <f t="shared" si="2451"/>
        <v/>
      </c>
      <c r="FD159" s="30" t="str">
        <f t="shared" si="2452"/>
        <v/>
      </c>
      <c r="FE159" s="30" t="str">
        <f t="shared" si="2453"/>
        <v/>
      </c>
      <c r="FF159" s="30" t="str">
        <f t="shared" si="2454"/>
        <v/>
      </c>
      <c r="FG159" s="30" t="str">
        <f t="shared" si="2455"/>
        <v/>
      </c>
      <c r="FH159" s="30" t="str">
        <f t="shared" si="2456"/>
        <v/>
      </c>
      <c r="FI159" s="30" t="str">
        <f t="shared" si="2457"/>
        <v/>
      </c>
      <c r="FJ159" s="30" t="str">
        <f t="shared" si="2458"/>
        <v/>
      </c>
      <c r="FK159" s="30" t="str">
        <f t="shared" si="2459"/>
        <v/>
      </c>
      <c r="FL159" s="30" t="str">
        <f t="shared" si="2460"/>
        <v/>
      </c>
      <c r="FM159" s="30" t="str">
        <f t="shared" si="2461"/>
        <v/>
      </c>
      <c r="FN159" s="30" t="str">
        <f t="shared" si="2462"/>
        <v/>
      </c>
      <c r="FO159" s="30" t="str">
        <f t="shared" si="2463"/>
        <v/>
      </c>
      <c r="FP159" s="30" t="str">
        <f t="shared" si="2464"/>
        <v/>
      </c>
      <c r="FQ159" s="30" t="str">
        <f t="shared" si="2465"/>
        <v/>
      </c>
      <c r="FR159" s="30" t="str">
        <f t="shared" si="2466"/>
        <v/>
      </c>
      <c r="FS159" s="30" t="str">
        <f t="shared" si="2467"/>
        <v/>
      </c>
    </row>
    <row r="160" spans="1:175" ht="16.5">
      <c r="A160" s="114" t="s">
        <v>416</v>
      </c>
      <c r="B160" s="110" t="s">
        <v>417</v>
      </c>
      <c r="C160" s="114" t="s">
        <v>421</v>
      </c>
      <c r="T160" s="114" t="s">
        <v>421</v>
      </c>
      <c r="U160" s="32" t="str">
        <f t="shared" si="944"/>
        <v>ReplaceableTextures\\CommandButtons\\BTNIT11.blp</v>
      </c>
      <c r="CN160" s="7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7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7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7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7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45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29" t="str">
        <f t="shared" ref="CV160:CV162" si="2474">T160</f>
        <v>境界挑战11</v>
      </c>
      <c r="CW160" s="24"/>
      <c r="CX160" s="24"/>
      <c r="CY160" s="24"/>
      <c r="CZ160" s="24"/>
      <c r="DA160" s="24"/>
      <c r="DB160" s="30" t="str">
        <f t="shared" ref="DB160:DB162" si="2475">IF(V160="","","|n"&amp;DB$2&amp;"+"&amp;V160&amp;DB$1)</f>
        <v/>
      </c>
      <c r="DC160" s="30" t="str">
        <f t="shared" ref="DC160:DC162" si="2476">IF(W160="","","|n"&amp;DC$2&amp;"+"&amp;W160&amp;DC$1)</f>
        <v/>
      </c>
      <c r="DD160" s="30" t="str">
        <f t="shared" ref="DD160:DD162" si="2477">IF(X160="","","|n"&amp;DD$2&amp;"+"&amp;X160&amp;DD$1)</f>
        <v/>
      </c>
      <c r="DE160" s="30" t="str">
        <f t="shared" ref="DE160:DE162" si="2478">IF(Y160="","","|n"&amp;DE$2&amp;"+"&amp;Y160&amp;DE$1)</f>
        <v/>
      </c>
      <c r="DF160" s="30" t="str">
        <f t="shared" ref="DF160:DF162" si="2479">IF(Z160="","","|n"&amp;DF$2&amp;"+"&amp;Z160&amp;DF$1)</f>
        <v/>
      </c>
      <c r="DG160" s="30" t="str">
        <f t="shared" ref="DG160:DG162" si="2480">IF(AA160="","","|n"&amp;DG$2&amp;"+"&amp;AA160&amp;DG$1)</f>
        <v/>
      </c>
      <c r="DH160" s="30" t="str">
        <f t="shared" ref="DH160:DH162" si="2481">IF(AB160="","","|n"&amp;DH$2&amp;"+"&amp;AB160&amp;DH$1)</f>
        <v/>
      </c>
      <c r="DI160" s="30" t="str">
        <f t="shared" ref="DI160:DI162" si="2482">IF(AC160="","","|n"&amp;DI$2&amp;"+"&amp;AC160&amp;DI$1)</f>
        <v/>
      </c>
      <c r="DJ160" s="30" t="str">
        <f t="shared" ref="DJ160:DJ162" si="2483">IF(AD160="","","|n"&amp;DJ$2&amp;"+"&amp;AD160&amp;DJ$1)</f>
        <v/>
      </c>
      <c r="DK160" s="30" t="str">
        <f t="shared" ref="DK160:DK162" si="2484">IF(AE160="","","|n"&amp;DK$2&amp;"+"&amp;AE160&amp;DK$1)</f>
        <v/>
      </c>
      <c r="DL160" s="30" t="str">
        <f t="shared" ref="DL160:DL162" si="2485">IF(AF160="","","|n"&amp;DL$2&amp;"+"&amp;AF160&amp;DL$1)</f>
        <v/>
      </c>
      <c r="DM160" s="30" t="str">
        <f t="shared" ref="DM160:DM162" si="2486">IF(AG160="","","|n"&amp;DM$2&amp;"+"&amp;AG160&amp;DM$1)</f>
        <v/>
      </c>
      <c r="DN160" s="30" t="str">
        <f t="shared" ref="DN160:DN162" si="2487">IF(AH160="","","|n"&amp;DN$2&amp;"+"&amp;AH160&amp;DN$1)</f>
        <v/>
      </c>
      <c r="DO160" s="30" t="str">
        <f t="shared" ref="DO160:DO162" si="2488">IF(AI160="","","|n"&amp;DO$2&amp;"+"&amp;AI160&amp;DO$1)</f>
        <v/>
      </c>
      <c r="DP160" s="30" t="str">
        <f t="shared" ref="DP160:DP162" si="2489">IF(AJ160="","","|n"&amp;DP$2&amp;"+"&amp;AJ160&amp;DP$1)</f>
        <v/>
      </c>
      <c r="DQ160" s="30" t="str">
        <f t="shared" ref="DQ160:DQ162" si="2490">IF(AK160="","","|n"&amp;DQ$2&amp;"+"&amp;AK160&amp;DQ$1)</f>
        <v/>
      </c>
      <c r="DR160" s="30" t="str">
        <f t="shared" ref="DR160:DR162" si="2491">IF(AL160="","","|n"&amp;DR$2&amp;"+"&amp;AL160&amp;DR$1)</f>
        <v/>
      </c>
      <c r="DS160" s="30" t="str">
        <f t="shared" ref="DS160:DS162" si="2492">IF(AM160="","","|n"&amp;DS$2&amp;"+"&amp;AM160&amp;DS$1)</f>
        <v/>
      </c>
      <c r="DT160" s="30" t="str">
        <f t="shared" ref="DT160:DT162" si="2493">IF(AN160="","","|n"&amp;DT$2&amp;"+"&amp;AN160&amp;DT$1)</f>
        <v/>
      </c>
      <c r="DU160" s="30" t="str">
        <f t="shared" ref="DU160:DU162" si="2494">IF(AO160="","","|n"&amp;DU$2&amp;"+"&amp;AO160&amp;DU$1)</f>
        <v/>
      </c>
      <c r="DV160" s="30" t="str">
        <f t="shared" ref="DV160:DV162" si="2495">IF(AP160="","","|n"&amp;DV$2&amp;"+"&amp;AP160&amp;DV$1)</f>
        <v/>
      </c>
      <c r="DW160" s="30" t="str">
        <f t="shared" ref="DW160:DW162" si="2496">IF(AQ160="","","|n"&amp;DW$2&amp;"+"&amp;AQ160&amp;DW$1)</f>
        <v/>
      </c>
      <c r="DX160" s="30" t="str">
        <f t="shared" ref="DX160:DX162" si="2497">IF(AR160="","","|n"&amp;DX$2&amp;"+"&amp;AR160&amp;DX$1)</f>
        <v/>
      </c>
      <c r="DY160" s="30" t="str">
        <f t="shared" ref="DY160:DY162" si="2498">IF(AS160="","","|n"&amp;DY$2&amp;"+"&amp;AS160&amp;DY$1)</f>
        <v/>
      </c>
      <c r="DZ160" s="30" t="str">
        <f t="shared" ref="DZ160:DZ162" si="2499">IF(AT160="","","|n"&amp;DZ$2&amp;"+"&amp;AT160&amp;DZ$1)</f>
        <v/>
      </c>
      <c r="EA160" s="30" t="str">
        <f t="shared" ref="EA160:EA162" si="2500">IF(AU160="","","|n"&amp;EA$2&amp;"+"&amp;AU160&amp;EA$1)</f>
        <v/>
      </c>
      <c r="EB160" s="30" t="str">
        <f t="shared" ref="EB160:EB162" si="2501">IF(AV160="","","|n"&amp;EB$2&amp;"+"&amp;AV160&amp;EB$1)</f>
        <v/>
      </c>
      <c r="EC160" s="30" t="str">
        <f t="shared" ref="EC160:EC162" si="2502">IF(AW160="","","|n"&amp;EC$2&amp;"+"&amp;AW160&amp;EC$1)</f>
        <v/>
      </c>
      <c r="ED160" s="30" t="str">
        <f t="shared" ref="ED160:ED162" si="2503">IF(AX160="","","|n"&amp;ED$2&amp;"+"&amp;AX160&amp;ED$1)</f>
        <v/>
      </c>
      <c r="EE160" s="30" t="str">
        <f t="shared" ref="EE160:EE162" si="2504">IF(AY160="","","|n"&amp;EE$2&amp;"+"&amp;AY160&amp;EE$1)</f>
        <v/>
      </c>
      <c r="EF160" s="30" t="str">
        <f t="shared" ref="EF160:EF162" si="2505">IF(AZ160="","","|n"&amp;EF$2&amp;"+"&amp;AZ160&amp;EF$1)</f>
        <v/>
      </c>
      <c r="EG160" s="30" t="str">
        <f t="shared" ref="EG160:EG162" si="2506">IF(BA160="","","|n"&amp;EG$2&amp;"+"&amp;BA160&amp;EG$1)</f>
        <v/>
      </c>
      <c r="EH160" s="30" t="str">
        <f t="shared" ref="EH160:EH162" si="2507">IF(BB160="","","|n"&amp;EH$2&amp;"+"&amp;BB160&amp;EH$1)</f>
        <v/>
      </c>
      <c r="EI160" s="30" t="str">
        <f t="shared" ref="EI160:EI162" si="2508">IF(BC160="","","|n"&amp;EI$2&amp;"+"&amp;BC160&amp;EI$1)</f>
        <v/>
      </c>
      <c r="EJ160" s="30" t="str">
        <f t="shared" ref="EJ160:EJ162" si="2509">IF(BD160="","","|n"&amp;EJ$2&amp;"+"&amp;BD160&amp;EJ$1)</f>
        <v/>
      </c>
      <c r="EK160" s="30" t="str">
        <f t="shared" ref="EK160:EK162" si="2510">IF(BE160="","","|n"&amp;EK$2&amp;"+"&amp;BE160&amp;EK$1)</f>
        <v/>
      </c>
      <c r="EL160" s="30" t="str">
        <f t="shared" ref="EL160:EL162" si="2511">IF(BF160="","","|n"&amp;EL$2&amp;"+"&amp;BF160&amp;EL$1)</f>
        <v/>
      </c>
      <c r="EM160" s="30" t="str">
        <f t="shared" ref="EM160:EM162" si="2512">IF(BG160="","","|n"&amp;EM$2&amp;"+"&amp;BG160&amp;EM$1)</f>
        <v/>
      </c>
      <c r="EN160" s="30" t="str">
        <f t="shared" ref="EN160:EN162" si="2513">IF(BH160="","","|n"&amp;EN$2&amp;"+"&amp;BH160&amp;EN$1)</f>
        <v/>
      </c>
      <c r="EO160" s="30" t="str">
        <f t="shared" ref="EO160:EO162" si="2514">IF(BI160="","","|n"&amp;EO$2&amp;"+"&amp;BI160&amp;EO$1)</f>
        <v/>
      </c>
      <c r="EP160" s="30" t="str">
        <f t="shared" ref="EP160:EP162" si="2515">IF(BJ160="","","|n"&amp;EP$2&amp;"+"&amp;BJ160&amp;EP$1)</f>
        <v/>
      </c>
      <c r="EQ160" s="30" t="str">
        <f t="shared" ref="EQ160:EQ162" si="2516">IF(BK160="","","|n"&amp;EQ$2&amp;"+"&amp;BK160&amp;EQ$1)</f>
        <v/>
      </c>
      <c r="ER160" s="30" t="str">
        <f t="shared" ref="ER160:ER162" si="2517">IF(BL160="","","|n"&amp;ER$2&amp;"+"&amp;BL160&amp;ER$1)</f>
        <v/>
      </c>
      <c r="ES160" s="30" t="str">
        <f t="shared" ref="ES160:ES162" si="2518">IF(BM160="","","|n"&amp;ES$2&amp;"+"&amp;BM160&amp;ES$1)</f>
        <v/>
      </c>
      <c r="ET160" s="30" t="str">
        <f t="shared" ref="ET160:ET162" si="2519">IF(BN160="","","|n"&amp;ET$2&amp;"+"&amp;BN160&amp;ET$1)</f>
        <v/>
      </c>
      <c r="EU160" s="30" t="str">
        <f t="shared" ref="EU160:EU162" si="2520">IF(BO160="","","|n"&amp;EU$2&amp;"+"&amp;BO160&amp;EU$1)</f>
        <v/>
      </c>
      <c r="EV160" s="30" t="str">
        <f t="shared" ref="EV160:EV162" si="2521">IF(BP160="","","|n"&amp;EV$2&amp;"+"&amp;BP160&amp;EV$1)</f>
        <v/>
      </c>
      <c r="EW160" s="30" t="str">
        <f t="shared" ref="EW160:EW162" si="2522">IF(BQ160="","","|n"&amp;EW$2&amp;"+"&amp;BQ160&amp;EW$1)</f>
        <v/>
      </c>
      <c r="EX160" s="30" t="str">
        <f t="shared" ref="EX160:EX162" si="2523">IF(BR160="","","|n"&amp;EX$2&amp;"+"&amp;BR160&amp;EX$1)</f>
        <v/>
      </c>
      <c r="EY160" s="30" t="str">
        <f t="shared" ref="EY160:EY162" si="2524">IF(BS160="","","|n"&amp;EY$2&amp;"+"&amp;BS160&amp;EY$1)</f>
        <v/>
      </c>
      <c r="EZ160" s="30" t="str">
        <f t="shared" ref="EZ160:EZ162" si="2525">IF(BT160="","","|n"&amp;EZ$2&amp;"+"&amp;BT160&amp;EZ$1)</f>
        <v/>
      </c>
      <c r="FA160" s="30" t="str">
        <f t="shared" ref="FA160:FA162" si="2526">IF(BU160="","","|n"&amp;FA$2&amp;"+"&amp;BU160&amp;FA$1)</f>
        <v/>
      </c>
      <c r="FB160" s="30" t="str">
        <f t="shared" ref="FB160:FB162" si="2527">IF(BV160="","","|n"&amp;FB$2&amp;"+"&amp;BV160&amp;FB$1)</f>
        <v/>
      </c>
      <c r="FC160" s="30" t="str">
        <f t="shared" ref="FC160:FC162" si="2528">IF(BW160="","","|n"&amp;FC$2&amp;"+"&amp;BW160&amp;FC$1)</f>
        <v/>
      </c>
      <c r="FD160" s="30" t="str">
        <f t="shared" ref="FD160:FD162" si="2529">IF(BX160="","","|n"&amp;FD$2&amp;"+"&amp;BX160&amp;FD$1)</f>
        <v/>
      </c>
      <c r="FE160" s="30" t="str">
        <f t="shared" ref="FE160:FE162" si="2530">IF(BY160="","","|n"&amp;FE$2&amp;"+"&amp;BY160&amp;FE$1)</f>
        <v/>
      </c>
      <c r="FF160" s="30" t="str">
        <f t="shared" ref="FF160:FF162" si="2531">IF(BZ160="","","|n"&amp;FF$2&amp;"+"&amp;BZ160&amp;FF$1)</f>
        <v/>
      </c>
      <c r="FG160" s="30" t="str">
        <f t="shared" ref="FG160:FG162" si="2532">IF(CA160="","","|n"&amp;FG$2&amp;"+"&amp;CA160&amp;FG$1)</f>
        <v/>
      </c>
      <c r="FH160" s="30" t="str">
        <f t="shared" ref="FH160:FH162" si="2533">IF(CB160="","","|n"&amp;FH$2&amp;"+"&amp;CB160&amp;FH$1)</f>
        <v/>
      </c>
      <c r="FI160" s="30" t="str">
        <f t="shared" ref="FI160:FI162" si="2534">IF(CC160="","","|n"&amp;FI$2&amp;"+"&amp;CC160&amp;FI$1)</f>
        <v/>
      </c>
      <c r="FJ160" s="30" t="str">
        <f t="shared" ref="FJ160:FJ162" si="2535">IF(CD160="","","|n"&amp;FJ$2&amp;"+"&amp;CD160&amp;FJ$1)</f>
        <v/>
      </c>
      <c r="FK160" s="30" t="str">
        <f t="shared" ref="FK160:FK162" si="2536">IF(CE160="","","|n"&amp;FK$2&amp;"+"&amp;CE160&amp;FK$1)</f>
        <v/>
      </c>
      <c r="FL160" s="30" t="str">
        <f t="shared" ref="FL160:FL162" si="2537">IF(CF160="","","|n"&amp;FL$2&amp;"+"&amp;CF160&amp;FL$1)</f>
        <v/>
      </c>
      <c r="FM160" s="30" t="str">
        <f t="shared" ref="FM160:FM162" si="2538">IF(CG160="","","|n"&amp;FM$2&amp;"+"&amp;CG160&amp;FM$1)</f>
        <v/>
      </c>
      <c r="FN160" s="30" t="str">
        <f t="shared" ref="FN160:FN162" si="2539">IF(CH160="","","|n"&amp;FN$2&amp;"+"&amp;CH160&amp;FN$1)</f>
        <v/>
      </c>
      <c r="FO160" s="30" t="str">
        <f t="shared" ref="FO160:FO162" si="2540">IF(CI160="","","|n"&amp;FO$2&amp;"+"&amp;CI160&amp;FO$1)</f>
        <v/>
      </c>
      <c r="FP160" s="30" t="str">
        <f t="shared" ref="FP160:FP162" si="2541">IF(CJ160="","","|n"&amp;FP$2&amp;"+"&amp;CJ160&amp;FP$1)</f>
        <v/>
      </c>
      <c r="FQ160" s="30" t="str">
        <f t="shared" ref="FQ160:FQ162" si="2542">IF(CK160="","","|n"&amp;FQ$2&amp;"+"&amp;CK160&amp;FQ$1)</f>
        <v/>
      </c>
      <c r="FR160" s="30" t="str">
        <f t="shared" ref="FR160:FR162" si="2543">IF(CL160="","","|n"&amp;FR$2&amp;"+"&amp;CL160&amp;FR$1)</f>
        <v/>
      </c>
      <c r="FS160" s="30" t="str">
        <f t="shared" ref="FS160:FS162" si="2544">IF(CM160="","","|n"&amp;FS$2&amp;"+"&amp;CM160&amp;FS$1)</f>
        <v/>
      </c>
    </row>
    <row r="161" spans="1:175" ht="16.5">
      <c r="A161" s="114"/>
      <c r="B161" s="110" t="s">
        <v>418</v>
      </c>
      <c r="C161" s="114" t="s">
        <v>422</v>
      </c>
      <c r="T161" s="114" t="s">
        <v>422</v>
      </c>
      <c r="U161" s="32" t="str">
        <f t="shared" si="944"/>
        <v>ReplaceableTextures\\CommandButtons\\BTNIT12.blp</v>
      </c>
      <c r="CN161" s="7" t="str">
        <f t="shared" si="2468"/>
        <v>InitUnitState('IT12',,,,,,,,,,)</v>
      </c>
      <c r="CO161" s="7" t="str">
        <f t="shared" si="2469"/>
        <v>InitUnitNormal('IT12',,,,,,,,,,)</v>
      </c>
      <c r="CP161" s="7" t="str">
        <f t="shared" si="2470"/>
        <v>InitUnitMagic('IT12',,,,,,,,,,)</v>
      </c>
      <c r="CQ161" s="7" t="str">
        <f t="shared" si="2471"/>
        <v>InitUnitAdd('IT12',,,,,,,,,,)</v>
      </c>
      <c r="CR161" s="7" t="str">
        <f t="shared" si="2472"/>
        <v>InitEquipData('IT12',,"",,,,,'','','','','','',"ReplaceableTextures\\CommandButtons\\BTNIT13.blp")</v>
      </c>
      <c r="CU161" s="45" t="str">
        <f t="shared" si="2473"/>
        <v>|n</v>
      </c>
      <c r="CV161" s="29" t="str">
        <f t="shared" si="2474"/>
        <v>境界挑战12</v>
      </c>
      <c r="CW161" s="24"/>
      <c r="CX161" s="24"/>
      <c r="CY161" s="24"/>
      <c r="CZ161" s="24"/>
      <c r="DA161" s="24"/>
      <c r="DB161" s="30" t="str">
        <f t="shared" si="2475"/>
        <v/>
      </c>
      <c r="DC161" s="30" t="str">
        <f t="shared" si="2476"/>
        <v/>
      </c>
      <c r="DD161" s="30" t="str">
        <f t="shared" si="2477"/>
        <v/>
      </c>
      <c r="DE161" s="30" t="str">
        <f t="shared" si="2478"/>
        <v/>
      </c>
      <c r="DF161" s="30" t="str">
        <f t="shared" si="2479"/>
        <v/>
      </c>
      <c r="DG161" s="30" t="str">
        <f t="shared" si="2480"/>
        <v/>
      </c>
      <c r="DH161" s="30" t="str">
        <f t="shared" si="2481"/>
        <v/>
      </c>
      <c r="DI161" s="30" t="str">
        <f t="shared" si="2482"/>
        <v/>
      </c>
      <c r="DJ161" s="30" t="str">
        <f t="shared" si="2483"/>
        <v/>
      </c>
      <c r="DK161" s="30" t="str">
        <f t="shared" si="2484"/>
        <v/>
      </c>
      <c r="DL161" s="30" t="str">
        <f t="shared" si="2485"/>
        <v/>
      </c>
      <c r="DM161" s="30" t="str">
        <f t="shared" si="2486"/>
        <v/>
      </c>
      <c r="DN161" s="30" t="str">
        <f t="shared" si="2487"/>
        <v/>
      </c>
      <c r="DO161" s="30" t="str">
        <f t="shared" si="2488"/>
        <v/>
      </c>
      <c r="DP161" s="30" t="str">
        <f t="shared" si="2489"/>
        <v/>
      </c>
      <c r="DQ161" s="30" t="str">
        <f t="shared" si="2490"/>
        <v/>
      </c>
      <c r="DR161" s="30" t="str">
        <f t="shared" si="2491"/>
        <v/>
      </c>
      <c r="DS161" s="30" t="str">
        <f t="shared" si="2492"/>
        <v/>
      </c>
      <c r="DT161" s="30" t="str">
        <f t="shared" si="2493"/>
        <v/>
      </c>
      <c r="DU161" s="30" t="str">
        <f t="shared" si="2494"/>
        <v/>
      </c>
      <c r="DV161" s="30" t="str">
        <f t="shared" si="2495"/>
        <v/>
      </c>
      <c r="DW161" s="30" t="str">
        <f t="shared" si="2496"/>
        <v/>
      </c>
      <c r="DX161" s="30" t="str">
        <f t="shared" si="2497"/>
        <v/>
      </c>
      <c r="DY161" s="30" t="str">
        <f t="shared" si="2498"/>
        <v/>
      </c>
      <c r="DZ161" s="30" t="str">
        <f t="shared" si="2499"/>
        <v/>
      </c>
      <c r="EA161" s="30" t="str">
        <f t="shared" si="2500"/>
        <v/>
      </c>
      <c r="EB161" s="30" t="str">
        <f t="shared" si="2501"/>
        <v/>
      </c>
      <c r="EC161" s="30" t="str">
        <f t="shared" si="2502"/>
        <v/>
      </c>
      <c r="ED161" s="30" t="str">
        <f t="shared" si="2503"/>
        <v/>
      </c>
      <c r="EE161" s="30" t="str">
        <f t="shared" si="2504"/>
        <v/>
      </c>
      <c r="EF161" s="30" t="str">
        <f t="shared" si="2505"/>
        <v/>
      </c>
      <c r="EG161" s="30" t="str">
        <f t="shared" si="2506"/>
        <v/>
      </c>
      <c r="EH161" s="30" t="str">
        <f t="shared" si="2507"/>
        <v/>
      </c>
      <c r="EI161" s="30" t="str">
        <f t="shared" si="2508"/>
        <v/>
      </c>
      <c r="EJ161" s="30" t="str">
        <f t="shared" si="2509"/>
        <v/>
      </c>
      <c r="EK161" s="30" t="str">
        <f t="shared" si="2510"/>
        <v/>
      </c>
      <c r="EL161" s="30" t="str">
        <f t="shared" si="2511"/>
        <v/>
      </c>
      <c r="EM161" s="30" t="str">
        <f t="shared" si="2512"/>
        <v/>
      </c>
      <c r="EN161" s="30" t="str">
        <f t="shared" si="2513"/>
        <v/>
      </c>
      <c r="EO161" s="30" t="str">
        <f t="shared" si="2514"/>
        <v/>
      </c>
      <c r="EP161" s="30" t="str">
        <f t="shared" si="2515"/>
        <v/>
      </c>
      <c r="EQ161" s="30" t="str">
        <f t="shared" si="2516"/>
        <v/>
      </c>
      <c r="ER161" s="30" t="str">
        <f t="shared" si="2517"/>
        <v/>
      </c>
      <c r="ES161" s="30" t="str">
        <f t="shared" si="2518"/>
        <v/>
      </c>
      <c r="ET161" s="30" t="str">
        <f t="shared" si="2519"/>
        <v/>
      </c>
      <c r="EU161" s="30" t="str">
        <f t="shared" si="2520"/>
        <v/>
      </c>
      <c r="EV161" s="30" t="str">
        <f t="shared" si="2521"/>
        <v/>
      </c>
      <c r="EW161" s="30" t="str">
        <f t="shared" si="2522"/>
        <v/>
      </c>
      <c r="EX161" s="30" t="str">
        <f t="shared" si="2523"/>
        <v/>
      </c>
      <c r="EY161" s="30" t="str">
        <f t="shared" si="2524"/>
        <v/>
      </c>
      <c r="EZ161" s="30" t="str">
        <f t="shared" si="2525"/>
        <v/>
      </c>
      <c r="FA161" s="30" t="str">
        <f t="shared" si="2526"/>
        <v/>
      </c>
      <c r="FB161" s="30" t="str">
        <f t="shared" si="2527"/>
        <v/>
      </c>
      <c r="FC161" s="30" t="str">
        <f t="shared" si="2528"/>
        <v/>
      </c>
      <c r="FD161" s="30" t="str">
        <f t="shared" si="2529"/>
        <v/>
      </c>
      <c r="FE161" s="30" t="str">
        <f t="shared" si="2530"/>
        <v/>
      </c>
      <c r="FF161" s="30" t="str">
        <f t="shared" si="2531"/>
        <v/>
      </c>
      <c r="FG161" s="30" t="str">
        <f t="shared" si="2532"/>
        <v/>
      </c>
      <c r="FH161" s="30" t="str">
        <f t="shared" si="2533"/>
        <v/>
      </c>
      <c r="FI161" s="30" t="str">
        <f t="shared" si="2534"/>
        <v/>
      </c>
      <c r="FJ161" s="30" t="str">
        <f t="shared" si="2535"/>
        <v/>
      </c>
      <c r="FK161" s="30" t="str">
        <f t="shared" si="2536"/>
        <v/>
      </c>
      <c r="FL161" s="30" t="str">
        <f t="shared" si="2537"/>
        <v/>
      </c>
      <c r="FM161" s="30" t="str">
        <f t="shared" si="2538"/>
        <v/>
      </c>
      <c r="FN161" s="30" t="str">
        <f t="shared" si="2539"/>
        <v/>
      </c>
      <c r="FO161" s="30" t="str">
        <f t="shared" si="2540"/>
        <v/>
      </c>
      <c r="FP161" s="30" t="str">
        <f t="shared" si="2541"/>
        <v/>
      </c>
      <c r="FQ161" s="30" t="str">
        <f t="shared" si="2542"/>
        <v/>
      </c>
      <c r="FR161" s="30" t="str">
        <f t="shared" si="2543"/>
        <v/>
      </c>
      <c r="FS161" s="30" t="str">
        <f t="shared" si="2544"/>
        <v/>
      </c>
    </row>
    <row r="162" spans="1:175" ht="16.5">
      <c r="A162" s="114"/>
      <c r="B162" s="110" t="s">
        <v>419</v>
      </c>
      <c r="C162" s="114" t="s">
        <v>423</v>
      </c>
      <c r="T162" s="114" t="s">
        <v>423</v>
      </c>
      <c r="U162" s="32" t="str">
        <f t="shared" si="944"/>
        <v>ReplaceableTextures\\CommandButtons\\BTNIT13.blp</v>
      </c>
      <c r="CN162" s="7" t="str">
        <f t="shared" si="2468"/>
        <v>InitUnitState('IT13',,,,,,,,,,)</v>
      </c>
      <c r="CO162" s="7" t="str">
        <f t="shared" si="2469"/>
        <v>InitUnitNormal('IT13',,,,,,,,,,)</v>
      </c>
      <c r="CP162" s="7" t="str">
        <f t="shared" si="2470"/>
        <v>InitUnitMagic('IT13',,,,,,,,,,)</v>
      </c>
      <c r="CQ162" s="7" t="str">
        <f t="shared" si="2471"/>
        <v>InitUnitAdd('IT13',,,,,,,,,,)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168&amp;CR$1&amp;")"</f>
        <v>InitEquipData('IT13',,"",,,,,'','','','','','',"ReplaceableTextures\\CommandButtons\\BTNIS05.blp")</v>
      </c>
      <c r="CU162" s="45" t="str">
        <f t="shared" si="2473"/>
        <v>|n</v>
      </c>
      <c r="CV162" s="29" t="str">
        <f t="shared" si="2474"/>
        <v>境界挑战13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 ht="16.5">
      <c r="A163" s="114"/>
      <c r="B163" s="110" t="s">
        <v>420</v>
      </c>
      <c r="C163" s="114" t="s">
        <v>424</v>
      </c>
      <c r="T163" s="114" t="s">
        <v>424</v>
      </c>
      <c r="U163" s="32" t="str">
        <f t="shared" si="944"/>
        <v>ReplaceableTextures\\CommandButtons\\BTNIT14.blp</v>
      </c>
      <c r="CN163" s="7" t="str">
        <f t="shared" ref="CN163:CN164" si="2545"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7" t="str">
        <f t="shared" ref="CO163:CO164" si="2546"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7" t="str">
        <f t="shared" ref="CP163:CP164" si="2547"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7" t="str">
        <f t="shared" ref="CQ163:CQ164" si="2548"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InitEquipData('IT14',,"",,,,,'','','','','','',"ReplaceableTextures\\CommandButtons\\BTNIH00.blp")</v>
      </c>
      <c r="CU163" s="45" t="str">
        <f t="shared" ref="CU163:CU164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29" t="str">
        <f t="shared" ref="CV163:CV164" si="2550">T163</f>
        <v>境界挑战14</v>
      </c>
      <c r="CW163" s="24"/>
      <c r="CX163" s="24"/>
      <c r="CY163" s="24"/>
      <c r="CZ163" s="24"/>
      <c r="DA163" s="24"/>
      <c r="DB163" s="30" t="str">
        <f t="shared" ref="DB163:DB164" si="2551">IF(V163="","","|n"&amp;DB$2&amp;"+"&amp;V163&amp;DB$1)</f>
        <v/>
      </c>
      <c r="DC163" s="30" t="str">
        <f t="shared" ref="DC163:DC164" si="2552">IF(W163="","","|n"&amp;DC$2&amp;"+"&amp;W163&amp;DC$1)</f>
        <v/>
      </c>
      <c r="DD163" s="30" t="str">
        <f t="shared" ref="DD163:DD164" si="2553">IF(X163="","","|n"&amp;DD$2&amp;"+"&amp;X163&amp;DD$1)</f>
        <v/>
      </c>
      <c r="DE163" s="30" t="str">
        <f t="shared" ref="DE163:DE164" si="2554">IF(Y163="","","|n"&amp;DE$2&amp;"+"&amp;Y163&amp;DE$1)</f>
        <v/>
      </c>
      <c r="DF163" s="30" t="str">
        <f t="shared" ref="DF163:DF164" si="2555">IF(Z163="","","|n"&amp;DF$2&amp;"+"&amp;Z163&amp;DF$1)</f>
        <v/>
      </c>
      <c r="DG163" s="30" t="str">
        <f t="shared" ref="DG163:DG164" si="2556">IF(AA163="","","|n"&amp;DG$2&amp;"+"&amp;AA163&amp;DG$1)</f>
        <v/>
      </c>
      <c r="DH163" s="30" t="str">
        <f t="shared" ref="DH163:DH164" si="2557">IF(AB163="","","|n"&amp;DH$2&amp;"+"&amp;AB163&amp;DH$1)</f>
        <v/>
      </c>
      <c r="DI163" s="30" t="str">
        <f t="shared" ref="DI163:DI164" si="2558">IF(AC163="","","|n"&amp;DI$2&amp;"+"&amp;AC163&amp;DI$1)</f>
        <v/>
      </c>
      <c r="DJ163" s="30" t="str">
        <f t="shared" ref="DJ163:DJ164" si="2559">IF(AD163="","","|n"&amp;DJ$2&amp;"+"&amp;AD163&amp;DJ$1)</f>
        <v/>
      </c>
      <c r="DK163" s="30" t="str">
        <f t="shared" ref="DK163:DK164" si="2560">IF(AE163="","","|n"&amp;DK$2&amp;"+"&amp;AE163&amp;DK$1)</f>
        <v/>
      </c>
      <c r="DL163" s="30" t="str">
        <f t="shared" ref="DL163:DL164" si="2561">IF(AF163="","","|n"&amp;DL$2&amp;"+"&amp;AF163&amp;DL$1)</f>
        <v/>
      </c>
      <c r="DM163" s="30" t="str">
        <f t="shared" ref="DM163:DM164" si="2562">IF(AG163="","","|n"&amp;DM$2&amp;"+"&amp;AG163&amp;DM$1)</f>
        <v/>
      </c>
      <c r="DN163" s="30" t="str">
        <f t="shared" ref="DN163:DN164" si="2563">IF(AH163="","","|n"&amp;DN$2&amp;"+"&amp;AH163&amp;DN$1)</f>
        <v/>
      </c>
      <c r="DO163" s="30" t="str">
        <f t="shared" ref="DO163:DO164" si="2564">IF(AI163="","","|n"&amp;DO$2&amp;"+"&amp;AI163&amp;DO$1)</f>
        <v/>
      </c>
      <c r="DP163" s="30" t="str">
        <f t="shared" ref="DP163:DP164" si="2565">IF(AJ163="","","|n"&amp;DP$2&amp;"+"&amp;AJ163&amp;DP$1)</f>
        <v/>
      </c>
      <c r="DQ163" s="30" t="str">
        <f t="shared" ref="DQ163:DQ164" si="2566">IF(AK163="","","|n"&amp;DQ$2&amp;"+"&amp;AK163&amp;DQ$1)</f>
        <v/>
      </c>
      <c r="DR163" s="30" t="str">
        <f t="shared" ref="DR163:DR164" si="2567">IF(AL163="","","|n"&amp;DR$2&amp;"+"&amp;AL163&amp;DR$1)</f>
        <v/>
      </c>
      <c r="DS163" s="30" t="str">
        <f t="shared" ref="DS163:DS164" si="2568">IF(AM163="","","|n"&amp;DS$2&amp;"+"&amp;AM163&amp;DS$1)</f>
        <v/>
      </c>
      <c r="DT163" s="30" t="str">
        <f t="shared" ref="DT163:DT164" si="2569">IF(AN163="","","|n"&amp;DT$2&amp;"+"&amp;AN163&amp;DT$1)</f>
        <v/>
      </c>
      <c r="DU163" s="30" t="str">
        <f t="shared" ref="DU163:DU164" si="2570">IF(AO163="","","|n"&amp;DU$2&amp;"+"&amp;AO163&amp;DU$1)</f>
        <v/>
      </c>
      <c r="DV163" s="30" t="str">
        <f t="shared" ref="DV163:DV164" si="2571">IF(AP163="","","|n"&amp;DV$2&amp;"+"&amp;AP163&amp;DV$1)</f>
        <v/>
      </c>
      <c r="DW163" s="30" t="str">
        <f t="shared" ref="DW163:DW164" si="2572">IF(AQ163="","","|n"&amp;DW$2&amp;"+"&amp;AQ163&amp;DW$1)</f>
        <v/>
      </c>
      <c r="DX163" s="30" t="str">
        <f t="shared" ref="DX163:DX164" si="2573">IF(AR163="","","|n"&amp;DX$2&amp;"+"&amp;AR163&amp;DX$1)</f>
        <v/>
      </c>
      <c r="DY163" s="30" t="str">
        <f t="shared" ref="DY163:DY164" si="2574">IF(AS163="","","|n"&amp;DY$2&amp;"+"&amp;AS163&amp;DY$1)</f>
        <v/>
      </c>
      <c r="DZ163" s="30" t="str">
        <f t="shared" ref="DZ163:DZ164" si="2575">IF(AT163="","","|n"&amp;DZ$2&amp;"+"&amp;AT163&amp;DZ$1)</f>
        <v/>
      </c>
      <c r="EA163" s="30" t="str">
        <f t="shared" ref="EA163:EA164" si="2576">IF(AU163="","","|n"&amp;EA$2&amp;"+"&amp;AU163&amp;EA$1)</f>
        <v/>
      </c>
      <c r="EB163" s="30" t="str">
        <f t="shared" ref="EB163:EB164" si="2577">IF(AV163="","","|n"&amp;EB$2&amp;"+"&amp;AV163&amp;EB$1)</f>
        <v/>
      </c>
      <c r="EC163" s="30" t="str">
        <f t="shared" ref="EC163:EC164" si="2578">IF(AW163="","","|n"&amp;EC$2&amp;"+"&amp;AW163&amp;EC$1)</f>
        <v/>
      </c>
      <c r="ED163" s="30" t="str">
        <f t="shared" ref="ED163:ED164" si="2579">IF(AX163="","","|n"&amp;ED$2&amp;"+"&amp;AX163&amp;ED$1)</f>
        <v/>
      </c>
      <c r="EE163" s="30" t="str">
        <f t="shared" ref="EE163:EE164" si="2580">IF(AY163="","","|n"&amp;EE$2&amp;"+"&amp;AY163&amp;EE$1)</f>
        <v/>
      </c>
      <c r="EF163" s="30" t="str">
        <f t="shared" ref="EF163:EF164" si="2581">IF(AZ163="","","|n"&amp;EF$2&amp;"+"&amp;AZ163&amp;EF$1)</f>
        <v/>
      </c>
      <c r="EG163" s="30" t="str">
        <f t="shared" ref="EG163:EG164" si="2582">IF(BA163="","","|n"&amp;EG$2&amp;"+"&amp;BA163&amp;EG$1)</f>
        <v/>
      </c>
      <c r="EH163" s="30" t="str">
        <f t="shared" ref="EH163:EH164" si="2583">IF(BB163="","","|n"&amp;EH$2&amp;"+"&amp;BB163&amp;EH$1)</f>
        <v/>
      </c>
      <c r="EI163" s="30" t="str">
        <f t="shared" ref="EI163:EI164" si="2584">IF(BC163="","","|n"&amp;EI$2&amp;"+"&amp;BC163&amp;EI$1)</f>
        <v/>
      </c>
      <c r="EJ163" s="30" t="str">
        <f t="shared" ref="EJ163:EJ164" si="2585">IF(BD163="","","|n"&amp;EJ$2&amp;"+"&amp;BD163&amp;EJ$1)</f>
        <v/>
      </c>
      <c r="EK163" s="30" t="str">
        <f t="shared" ref="EK163:EK164" si="2586">IF(BE163="","","|n"&amp;EK$2&amp;"+"&amp;BE163&amp;EK$1)</f>
        <v/>
      </c>
      <c r="EL163" s="30" t="str">
        <f t="shared" ref="EL163:EL164" si="2587">IF(BF163="","","|n"&amp;EL$2&amp;"+"&amp;BF163&amp;EL$1)</f>
        <v/>
      </c>
      <c r="EM163" s="30" t="str">
        <f t="shared" ref="EM163:EM164" si="2588">IF(BG163="","","|n"&amp;EM$2&amp;"+"&amp;BG163&amp;EM$1)</f>
        <v/>
      </c>
      <c r="EN163" s="30" t="str">
        <f t="shared" ref="EN163:EN164" si="2589">IF(BH163="","","|n"&amp;EN$2&amp;"+"&amp;BH163&amp;EN$1)</f>
        <v/>
      </c>
      <c r="EO163" s="30" t="str">
        <f t="shared" ref="EO163:EO164" si="2590">IF(BI163="","","|n"&amp;EO$2&amp;"+"&amp;BI163&amp;EO$1)</f>
        <v/>
      </c>
      <c r="EP163" s="30" t="str">
        <f t="shared" ref="EP163:EP164" si="2591">IF(BJ163="","","|n"&amp;EP$2&amp;"+"&amp;BJ163&amp;EP$1)</f>
        <v/>
      </c>
      <c r="EQ163" s="30" t="str">
        <f t="shared" ref="EQ163:EQ164" si="2592">IF(BK163="","","|n"&amp;EQ$2&amp;"+"&amp;BK163&amp;EQ$1)</f>
        <v/>
      </c>
      <c r="ER163" s="30" t="str">
        <f t="shared" ref="ER163:ER164" si="2593">IF(BL163="","","|n"&amp;ER$2&amp;"+"&amp;BL163&amp;ER$1)</f>
        <v/>
      </c>
      <c r="ES163" s="30" t="str">
        <f t="shared" ref="ES163:ES164" si="2594">IF(BM163="","","|n"&amp;ES$2&amp;"+"&amp;BM163&amp;ES$1)</f>
        <v/>
      </c>
      <c r="ET163" s="30" t="str">
        <f t="shared" ref="ET163:ET164" si="2595">IF(BN163="","","|n"&amp;ET$2&amp;"+"&amp;BN163&amp;ET$1)</f>
        <v/>
      </c>
      <c r="EU163" s="30" t="str">
        <f t="shared" ref="EU163:EU164" si="2596">IF(BO163="","","|n"&amp;EU$2&amp;"+"&amp;BO163&amp;EU$1)</f>
        <v/>
      </c>
      <c r="EV163" s="30" t="str">
        <f t="shared" ref="EV163:EV164" si="2597">IF(BP163="","","|n"&amp;EV$2&amp;"+"&amp;BP163&amp;EV$1)</f>
        <v/>
      </c>
      <c r="EW163" s="30" t="str">
        <f t="shared" ref="EW163:EW164" si="2598">IF(BQ163="","","|n"&amp;EW$2&amp;"+"&amp;BQ163&amp;EW$1)</f>
        <v/>
      </c>
      <c r="EX163" s="30" t="str">
        <f t="shared" ref="EX163:EX164" si="2599">IF(BR163="","","|n"&amp;EX$2&amp;"+"&amp;BR163&amp;EX$1)</f>
        <v/>
      </c>
      <c r="EY163" s="30" t="str">
        <f t="shared" ref="EY163:EY164" si="2600">IF(BS163="","","|n"&amp;EY$2&amp;"+"&amp;BS163&amp;EY$1)</f>
        <v/>
      </c>
      <c r="EZ163" s="30" t="str">
        <f t="shared" ref="EZ163:EZ164" si="2601">IF(BT163="","","|n"&amp;EZ$2&amp;"+"&amp;BT163&amp;EZ$1)</f>
        <v/>
      </c>
      <c r="FA163" s="30" t="str">
        <f t="shared" ref="FA163:FA164" si="2602">IF(BU163="","","|n"&amp;FA$2&amp;"+"&amp;BU163&amp;FA$1)</f>
        <v/>
      </c>
      <c r="FB163" s="30" t="str">
        <f t="shared" ref="FB163:FB164" si="2603">IF(BV163="","","|n"&amp;FB$2&amp;"+"&amp;BV163&amp;FB$1)</f>
        <v/>
      </c>
      <c r="FC163" s="30" t="str">
        <f t="shared" ref="FC163:FC164" si="2604">IF(BW163="","","|n"&amp;FC$2&amp;"+"&amp;BW163&amp;FC$1)</f>
        <v/>
      </c>
      <c r="FD163" s="30" t="str">
        <f t="shared" ref="FD163:FD164" si="2605">IF(BX163="","","|n"&amp;FD$2&amp;"+"&amp;BX163&amp;FD$1)</f>
        <v/>
      </c>
      <c r="FE163" s="30" t="str">
        <f t="shared" ref="FE163:FE164" si="2606">IF(BY163="","","|n"&amp;FE$2&amp;"+"&amp;BY163&amp;FE$1)</f>
        <v/>
      </c>
      <c r="FF163" s="30" t="str">
        <f t="shared" ref="FF163:FF164" si="2607">IF(BZ163="","","|n"&amp;FF$2&amp;"+"&amp;BZ163&amp;FF$1)</f>
        <v/>
      </c>
      <c r="FG163" s="30" t="str">
        <f t="shared" ref="FG163:FG164" si="2608">IF(CA163="","","|n"&amp;FG$2&amp;"+"&amp;CA163&amp;FG$1)</f>
        <v/>
      </c>
      <c r="FH163" s="30" t="str">
        <f t="shared" ref="FH163:FH164" si="2609">IF(CB163="","","|n"&amp;FH$2&amp;"+"&amp;CB163&amp;FH$1)</f>
        <v/>
      </c>
      <c r="FI163" s="30" t="str">
        <f t="shared" ref="FI163:FI164" si="2610">IF(CC163="","","|n"&amp;FI$2&amp;"+"&amp;CC163&amp;FI$1)</f>
        <v/>
      </c>
      <c r="FJ163" s="30" t="str">
        <f t="shared" ref="FJ163:FJ164" si="2611">IF(CD163="","","|n"&amp;FJ$2&amp;"+"&amp;CD163&amp;FJ$1)</f>
        <v/>
      </c>
      <c r="FK163" s="30" t="str">
        <f t="shared" ref="FK163:FK164" si="2612">IF(CE163="","","|n"&amp;FK$2&amp;"+"&amp;CE163&amp;FK$1)</f>
        <v/>
      </c>
      <c r="FL163" s="30" t="str">
        <f t="shared" ref="FL163:FL164" si="2613">IF(CF163="","","|n"&amp;FL$2&amp;"+"&amp;CF163&amp;FL$1)</f>
        <v/>
      </c>
      <c r="FM163" s="30" t="str">
        <f t="shared" ref="FM163:FM164" si="2614">IF(CG163="","","|n"&amp;FM$2&amp;"+"&amp;CG163&amp;FM$1)</f>
        <v/>
      </c>
      <c r="FN163" s="30" t="str">
        <f t="shared" ref="FN163:FN164" si="2615">IF(CH163="","","|n"&amp;FN$2&amp;"+"&amp;CH163&amp;FN$1)</f>
        <v/>
      </c>
      <c r="FO163" s="30" t="str">
        <f t="shared" ref="FO163:FO164" si="2616">IF(CI163="","","|n"&amp;FO$2&amp;"+"&amp;CI163&amp;FO$1)</f>
        <v/>
      </c>
      <c r="FP163" s="30" t="str">
        <f t="shared" ref="FP163:FP164" si="2617">IF(CJ163="","","|n"&amp;FP$2&amp;"+"&amp;CJ163&amp;FP$1)</f>
        <v/>
      </c>
      <c r="FQ163" s="30" t="str">
        <f t="shared" ref="FQ163:FQ164" si="2618">IF(CK163="","","|n"&amp;FQ$2&amp;"+"&amp;CK163&amp;FQ$1)</f>
        <v/>
      </c>
      <c r="FR163" s="30" t="str">
        <f t="shared" ref="FR163:FR164" si="2619">IF(CL163="","","|n"&amp;FR$2&amp;"+"&amp;CL163&amp;FR$1)</f>
        <v/>
      </c>
      <c r="FS163" s="30" t="str">
        <f t="shared" ref="FS163:FS164" si="2620">IF(CM163="","","|n"&amp;FS$2&amp;"+"&amp;CM163&amp;FS$1)</f>
        <v/>
      </c>
    </row>
    <row r="164" spans="1:175" ht="16.5">
      <c r="A164" s="114"/>
      <c r="B164" s="110" t="s">
        <v>381</v>
      </c>
      <c r="C164" s="114" t="s">
        <v>469</v>
      </c>
      <c r="T164" s="114" t="s">
        <v>534</v>
      </c>
      <c r="U164" s="32" t="str">
        <f t="shared" si="944"/>
        <v>ReplaceableTextures\\CommandButtons\\BTNIS01.blp</v>
      </c>
      <c r="CN164" s="7" t="str">
        <f t="shared" si="2545"/>
        <v>InitUnitState('IS01',,,,,,,,,,)</v>
      </c>
      <c r="CO164" s="7" t="str">
        <f t="shared" si="2546"/>
        <v>InitUnitNormal('IS01',,,,,,,,,,)</v>
      </c>
      <c r="CP164" s="7" t="str">
        <f t="shared" si="2547"/>
        <v>InitUnitMagic('IS01',,,,,,,,,,)</v>
      </c>
      <c r="CQ164" s="7" t="str">
        <f t="shared" si="2548"/>
        <v>InitUnitAdd('IS01',,,,,,,,,,)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InitEquipData('IS01',,"",,,,,'','','','','','',"ReplaceableTextures\\CommandButtons\\BTNIS02.blp")</v>
      </c>
      <c r="CU164" s="45" t="str">
        <f t="shared" si="2549"/>
        <v>|n</v>
      </c>
      <c r="CV164" s="29" t="str">
        <f t="shared" si="2550"/>
        <v>需求50杀敌数</v>
      </c>
      <c r="CW164" s="24"/>
      <c r="CX164" s="24"/>
      <c r="CY164" s="24"/>
      <c r="CZ164" s="24"/>
      <c r="DA164" s="24"/>
      <c r="DB164" s="30" t="str">
        <f t="shared" si="2551"/>
        <v/>
      </c>
      <c r="DC164" s="30" t="str">
        <f t="shared" si="2552"/>
        <v/>
      </c>
      <c r="DD164" s="30" t="str">
        <f t="shared" si="2553"/>
        <v/>
      </c>
      <c r="DE164" s="30" t="str">
        <f t="shared" si="2554"/>
        <v/>
      </c>
      <c r="DF164" s="30" t="str">
        <f t="shared" si="2555"/>
        <v/>
      </c>
      <c r="DG164" s="30" t="str">
        <f t="shared" si="2556"/>
        <v/>
      </c>
      <c r="DH164" s="30" t="str">
        <f t="shared" si="2557"/>
        <v/>
      </c>
      <c r="DI164" s="30" t="str">
        <f t="shared" si="2558"/>
        <v/>
      </c>
      <c r="DJ164" s="30" t="str">
        <f t="shared" si="2559"/>
        <v/>
      </c>
      <c r="DK164" s="30" t="str">
        <f t="shared" si="2560"/>
        <v/>
      </c>
      <c r="DL164" s="30" t="str">
        <f t="shared" si="2561"/>
        <v/>
      </c>
      <c r="DM164" s="30" t="str">
        <f t="shared" si="2562"/>
        <v/>
      </c>
      <c r="DN164" s="30" t="str">
        <f t="shared" si="2563"/>
        <v/>
      </c>
      <c r="DO164" s="30" t="str">
        <f t="shared" si="2564"/>
        <v/>
      </c>
      <c r="DP164" s="30" t="str">
        <f t="shared" si="2565"/>
        <v/>
      </c>
      <c r="DQ164" s="30" t="str">
        <f t="shared" si="2566"/>
        <v/>
      </c>
      <c r="DR164" s="30" t="str">
        <f t="shared" si="2567"/>
        <v/>
      </c>
      <c r="DS164" s="30" t="str">
        <f t="shared" si="2568"/>
        <v/>
      </c>
      <c r="DT164" s="30" t="str">
        <f t="shared" si="2569"/>
        <v/>
      </c>
      <c r="DU164" s="30" t="str">
        <f t="shared" si="2570"/>
        <v/>
      </c>
      <c r="DV164" s="30" t="str">
        <f t="shared" si="2571"/>
        <v/>
      </c>
      <c r="DW164" s="30" t="str">
        <f t="shared" si="2572"/>
        <v/>
      </c>
      <c r="DX164" s="30" t="str">
        <f t="shared" si="2573"/>
        <v/>
      </c>
      <c r="DY164" s="30" t="str">
        <f t="shared" si="2574"/>
        <v/>
      </c>
      <c r="DZ164" s="30" t="str">
        <f t="shared" si="2575"/>
        <v/>
      </c>
      <c r="EA164" s="30" t="str">
        <f t="shared" si="2576"/>
        <v/>
      </c>
      <c r="EB164" s="30" t="str">
        <f t="shared" si="2577"/>
        <v/>
      </c>
      <c r="EC164" s="30" t="str">
        <f t="shared" si="2578"/>
        <v/>
      </c>
      <c r="ED164" s="30" t="str">
        <f t="shared" si="2579"/>
        <v/>
      </c>
      <c r="EE164" s="30" t="str">
        <f t="shared" si="2580"/>
        <v/>
      </c>
      <c r="EF164" s="30" t="str">
        <f t="shared" si="2581"/>
        <v/>
      </c>
      <c r="EG164" s="30" t="str">
        <f t="shared" si="2582"/>
        <v/>
      </c>
      <c r="EH164" s="30" t="str">
        <f t="shared" si="2583"/>
        <v/>
      </c>
      <c r="EI164" s="30" t="str">
        <f t="shared" si="2584"/>
        <v/>
      </c>
      <c r="EJ164" s="30" t="str">
        <f t="shared" si="2585"/>
        <v/>
      </c>
      <c r="EK164" s="30" t="str">
        <f t="shared" si="2586"/>
        <v/>
      </c>
      <c r="EL164" s="30" t="str">
        <f t="shared" si="2587"/>
        <v/>
      </c>
      <c r="EM164" s="30" t="str">
        <f t="shared" si="2588"/>
        <v/>
      </c>
      <c r="EN164" s="30" t="str">
        <f t="shared" si="2589"/>
        <v/>
      </c>
      <c r="EO164" s="30" t="str">
        <f t="shared" si="2590"/>
        <v/>
      </c>
      <c r="EP164" s="30" t="str">
        <f t="shared" si="2591"/>
        <v/>
      </c>
      <c r="EQ164" s="30" t="str">
        <f t="shared" si="2592"/>
        <v/>
      </c>
      <c r="ER164" s="30" t="str">
        <f t="shared" si="2593"/>
        <v/>
      </c>
      <c r="ES164" s="30" t="str">
        <f t="shared" si="2594"/>
        <v/>
      </c>
      <c r="ET164" s="30" t="str">
        <f t="shared" si="2595"/>
        <v/>
      </c>
      <c r="EU164" s="30" t="str">
        <f t="shared" si="2596"/>
        <v/>
      </c>
      <c r="EV164" s="30" t="str">
        <f t="shared" si="2597"/>
        <v/>
      </c>
      <c r="EW164" s="30" t="str">
        <f t="shared" si="2598"/>
        <v/>
      </c>
      <c r="EX164" s="30" t="str">
        <f t="shared" si="2599"/>
        <v/>
      </c>
      <c r="EY164" s="30" t="str">
        <f t="shared" si="2600"/>
        <v/>
      </c>
      <c r="EZ164" s="30" t="str">
        <f t="shared" si="2601"/>
        <v/>
      </c>
      <c r="FA164" s="30" t="str">
        <f t="shared" si="2602"/>
        <v/>
      </c>
      <c r="FB164" s="30" t="str">
        <f t="shared" si="2603"/>
        <v/>
      </c>
      <c r="FC164" s="30" t="str">
        <f t="shared" si="2604"/>
        <v/>
      </c>
      <c r="FD164" s="30" t="str">
        <f t="shared" si="2605"/>
        <v/>
      </c>
      <c r="FE164" s="30" t="str">
        <f t="shared" si="2606"/>
        <v/>
      </c>
      <c r="FF164" s="30" t="str">
        <f t="shared" si="2607"/>
        <v/>
      </c>
      <c r="FG164" s="30" t="str">
        <f t="shared" si="2608"/>
        <v/>
      </c>
      <c r="FH164" s="30" t="str">
        <f t="shared" si="2609"/>
        <v/>
      </c>
      <c r="FI164" s="30" t="str">
        <f t="shared" si="2610"/>
        <v/>
      </c>
      <c r="FJ164" s="30" t="str">
        <f t="shared" si="2611"/>
        <v/>
      </c>
      <c r="FK164" s="30" t="str">
        <f t="shared" si="2612"/>
        <v/>
      </c>
      <c r="FL164" s="30" t="str">
        <f t="shared" si="2613"/>
        <v/>
      </c>
      <c r="FM164" s="30" t="str">
        <f t="shared" si="2614"/>
        <v/>
      </c>
      <c r="FN164" s="30" t="str">
        <f t="shared" si="2615"/>
        <v/>
      </c>
      <c r="FO164" s="30" t="str">
        <f t="shared" si="2616"/>
        <v/>
      </c>
      <c r="FP164" s="30" t="str">
        <f t="shared" si="2617"/>
        <v/>
      </c>
      <c r="FQ164" s="30" t="str">
        <f t="shared" si="2618"/>
        <v/>
      </c>
      <c r="FR164" s="30" t="str">
        <f t="shared" si="2619"/>
        <v/>
      </c>
      <c r="FS164" s="30" t="str">
        <f t="shared" si="2620"/>
        <v/>
      </c>
    </row>
    <row r="165" spans="1:175" ht="16.5">
      <c r="A165" s="114"/>
      <c r="B165" s="110" t="s">
        <v>382</v>
      </c>
      <c r="C165" s="114" t="s">
        <v>470</v>
      </c>
      <c r="T165" s="114" t="s">
        <v>535</v>
      </c>
      <c r="U165" s="32" t="str">
        <f t="shared" si="944"/>
        <v>ReplaceableTextures\\CommandButtons\\BTNIS02.blp</v>
      </c>
      <c r="CN165" s="7" t="str">
        <f t="shared" si="2391"/>
        <v>InitUnitState('IS02',,,,,,,,,,)</v>
      </c>
      <c r="CO165" s="7" t="str">
        <f t="shared" si="2392"/>
        <v>InitUnitNormal('IS02',,,,,,,,,,)</v>
      </c>
      <c r="CP165" s="7" t="str">
        <f t="shared" si="2393"/>
        <v>InitUnitMagic('IS02',,,,,,,,,,)</v>
      </c>
      <c r="CQ165" s="7" t="str">
        <f t="shared" si="2394"/>
        <v>InitUnitAdd('IS02',,,,,,,,,,)</v>
      </c>
      <c r="CR165" s="7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InitEquipData('IS02',,"",,,,,'','','','','','',"ReplaceableTextures\\CommandButtons\\BTNIS03.blp")</v>
      </c>
      <c r="CU165" s="45" t="str">
        <f t="shared" si="2396"/>
        <v>|n</v>
      </c>
      <c r="CV165" s="29" t="str">
        <f t="shared" si="2397"/>
        <v>需求100杀敌数</v>
      </c>
      <c r="CW165" s="24"/>
      <c r="CX165" s="24"/>
      <c r="CY165" s="24"/>
      <c r="CZ165" s="24"/>
      <c r="DA165" s="24"/>
      <c r="DB165" s="30" t="str">
        <f t="shared" si="2398"/>
        <v/>
      </c>
      <c r="DC165" s="30" t="str">
        <f t="shared" si="2399"/>
        <v/>
      </c>
      <c r="DD165" s="30" t="str">
        <f t="shared" si="2400"/>
        <v/>
      </c>
      <c r="DE165" s="30" t="str">
        <f t="shared" si="2401"/>
        <v/>
      </c>
      <c r="DF165" s="30" t="str">
        <f t="shared" si="2402"/>
        <v/>
      </c>
      <c r="DG165" s="30" t="str">
        <f t="shared" si="2403"/>
        <v/>
      </c>
      <c r="DH165" s="30" t="str">
        <f t="shared" si="2404"/>
        <v/>
      </c>
      <c r="DI165" s="30" t="str">
        <f t="shared" si="2405"/>
        <v/>
      </c>
      <c r="DJ165" s="30" t="str">
        <f t="shared" si="2406"/>
        <v/>
      </c>
      <c r="DK165" s="30" t="str">
        <f t="shared" si="2407"/>
        <v/>
      </c>
      <c r="DL165" s="30" t="str">
        <f t="shared" si="2408"/>
        <v/>
      </c>
      <c r="DM165" s="30" t="str">
        <f t="shared" si="2409"/>
        <v/>
      </c>
      <c r="DN165" s="30" t="str">
        <f t="shared" si="2410"/>
        <v/>
      </c>
      <c r="DO165" s="30" t="str">
        <f t="shared" si="2411"/>
        <v/>
      </c>
      <c r="DP165" s="30" t="str">
        <f t="shared" si="2412"/>
        <v/>
      </c>
      <c r="DQ165" s="30" t="str">
        <f t="shared" si="2413"/>
        <v/>
      </c>
      <c r="DR165" s="30" t="str">
        <f t="shared" si="2414"/>
        <v/>
      </c>
      <c r="DS165" s="30" t="str">
        <f t="shared" si="2415"/>
        <v/>
      </c>
      <c r="DT165" s="30" t="str">
        <f t="shared" si="2416"/>
        <v/>
      </c>
      <c r="DU165" s="30" t="str">
        <f t="shared" si="2417"/>
        <v/>
      </c>
      <c r="DV165" s="30" t="str">
        <f t="shared" si="2418"/>
        <v/>
      </c>
      <c r="DW165" s="30" t="str">
        <f t="shared" si="2419"/>
        <v/>
      </c>
      <c r="DX165" s="30" t="str">
        <f t="shared" si="2420"/>
        <v/>
      </c>
      <c r="DY165" s="30" t="str">
        <f t="shared" si="2421"/>
        <v/>
      </c>
      <c r="DZ165" s="30" t="str">
        <f t="shared" si="2422"/>
        <v/>
      </c>
      <c r="EA165" s="30" t="str">
        <f t="shared" si="2423"/>
        <v/>
      </c>
      <c r="EB165" s="30" t="str">
        <f t="shared" si="2424"/>
        <v/>
      </c>
      <c r="EC165" s="30" t="str">
        <f t="shared" si="2425"/>
        <v/>
      </c>
      <c r="ED165" s="30" t="str">
        <f t="shared" si="2426"/>
        <v/>
      </c>
      <c r="EE165" s="30" t="str">
        <f t="shared" si="2427"/>
        <v/>
      </c>
      <c r="EF165" s="30" t="str">
        <f t="shared" si="2428"/>
        <v/>
      </c>
      <c r="EG165" s="30" t="str">
        <f t="shared" si="2429"/>
        <v/>
      </c>
      <c r="EH165" s="30" t="str">
        <f t="shared" si="2430"/>
        <v/>
      </c>
      <c r="EI165" s="30" t="str">
        <f t="shared" si="2431"/>
        <v/>
      </c>
      <c r="EJ165" s="30" t="str">
        <f t="shared" si="2432"/>
        <v/>
      </c>
      <c r="EK165" s="30" t="str">
        <f t="shared" si="2433"/>
        <v/>
      </c>
      <c r="EL165" s="30" t="str">
        <f t="shared" si="2434"/>
        <v/>
      </c>
      <c r="EM165" s="30" t="str">
        <f t="shared" si="2435"/>
        <v/>
      </c>
      <c r="EN165" s="30" t="str">
        <f t="shared" si="2436"/>
        <v/>
      </c>
      <c r="EO165" s="30" t="str">
        <f t="shared" si="2437"/>
        <v/>
      </c>
      <c r="EP165" s="30" t="str">
        <f t="shared" si="2438"/>
        <v/>
      </c>
      <c r="EQ165" s="30" t="str">
        <f t="shared" si="2439"/>
        <v/>
      </c>
      <c r="ER165" s="30" t="str">
        <f t="shared" si="2440"/>
        <v/>
      </c>
      <c r="ES165" s="30" t="str">
        <f t="shared" si="2441"/>
        <v/>
      </c>
      <c r="ET165" s="30" t="str">
        <f t="shared" si="2442"/>
        <v/>
      </c>
      <c r="EU165" s="30" t="str">
        <f t="shared" si="2443"/>
        <v/>
      </c>
      <c r="EV165" s="30" t="str">
        <f t="shared" si="2444"/>
        <v/>
      </c>
      <c r="EW165" s="30" t="str">
        <f t="shared" si="2445"/>
        <v/>
      </c>
      <c r="EX165" s="30" t="str">
        <f t="shared" si="2446"/>
        <v/>
      </c>
      <c r="EY165" s="30" t="str">
        <f t="shared" si="2447"/>
        <v/>
      </c>
      <c r="EZ165" s="30" t="str">
        <f t="shared" si="2448"/>
        <v/>
      </c>
      <c r="FA165" s="30" t="str">
        <f t="shared" si="2449"/>
        <v/>
      </c>
      <c r="FB165" s="30" t="str">
        <f t="shared" si="2450"/>
        <v/>
      </c>
      <c r="FC165" s="30" t="str">
        <f t="shared" si="2451"/>
        <v/>
      </c>
      <c r="FD165" s="30" t="str">
        <f t="shared" si="2452"/>
        <v/>
      </c>
      <c r="FE165" s="30" t="str">
        <f t="shared" si="2453"/>
        <v/>
      </c>
      <c r="FF165" s="30" t="str">
        <f t="shared" si="2454"/>
        <v/>
      </c>
      <c r="FG165" s="30" t="str">
        <f t="shared" si="2455"/>
        <v/>
      </c>
      <c r="FH165" s="30" t="str">
        <f t="shared" si="2456"/>
        <v/>
      </c>
      <c r="FI165" s="30" t="str">
        <f t="shared" si="2457"/>
        <v/>
      </c>
      <c r="FJ165" s="30" t="str">
        <f t="shared" si="2458"/>
        <v/>
      </c>
      <c r="FK165" s="30" t="str">
        <f t="shared" si="2459"/>
        <v/>
      </c>
      <c r="FL165" s="30" t="str">
        <f t="shared" si="2460"/>
        <v/>
      </c>
      <c r="FM165" s="30" t="str">
        <f t="shared" si="2461"/>
        <v/>
      </c>
      <c r="FN165" s="30" t="str">
        <f t="shared" si="2462"/>
        <v/>
      </c>
      <c r="FO165" s="30" t="str">
        <f t="shared" si="2463"/>
        <v/>
      </c>
      <c r="FP165" s="30" t="str">
        <f t="shared" si="2464"/>
        <v/>
      </c>
      <c r="FQ165" s="30" t="str">
        <f t="shared" si="2465"/>
        <v/>
      </c>
      <c r="FR165" s="30" t="str">
        <f t="shared" si="2466"/>
        <v/>
      </c>
      <c r="FS165" s="30" t="str">
        <f t="shared" si="2467"/>
        <v/>
      </c>
    </row>
    <row r="166" spans="1:175" ht="16.5">
      <c r="A166" s="114"/>
      <c r="B166" s="110" t="s">
        <v>383</v>
      </c>
      <c r="C166" s="114" t="s">
        <v>385</v>
      </c>
      <c r="T166" s="114" t="s">
        <v>536</v>
      </c>
      <c r="U166" s="32" t="str">
        <f t="shared" si="944"/>
        <v>ReplaceableTextures\\CommandButtons\\BTNIS03.blp</v>
      </c>
      <c r="CN166" s="7" t="str">
        <f t="shared" ref="CN166:CN170" si="2621">"InitUnitState('"&amp;B166&amp;"',"&amp;V166&amp;","&amp;W166&amp;","&amp;X166&amp;","&amp;Y166&amp;","&amp;Z166&amp;","&amp;AA166&amp;","&amp;AB166&amp;","&amp;AC166&amp;","&amp;AD166&amp;","&amp;AE166&amp;")"</f>
        <v>InitUnitState('IS03',,,,,,,,,,)</v>
      </c>
      <c r="CO166" s="7" t="str">
        <f t="shared" ref="CO166:CO170" si="2622">"InitUnitNormal('"&amp;B166&amp;"',"&amp;AF166&amp;","&amp;AG166&amp;","&amp;AH166&amp;","&amp;AI166&amp;","&amp;AJ166&amp;","&amp;AK166&amp;","&amp;AL166&amp;","&amp;AM166&amp;","&amp;AN166&amp;","&amp;AO166&amp;")"</f>
        <v>InitUnitNormal('IS03',,,,,,,,,,)</v>
      </c>
      <c r="CP166" s="7" t="str">
        <f t="shared" ref="CP166:CP170" si="2623">"InitUnitMagic('"&amp;B166&amp;"',"&amp;AP166&amp;","&amp;AQ166&amp;","&amp;AR166&amp;","&amp;AS166&amp;","&amp;AT166&amp;","&amp;AU166&amp;","&amp;AV166&amp;","&amp;AW166&amp;","&amp;BI166&amp;","&amp;BJ166&amp;")"</f>
        <v>InitUnitMagic('IS03',,,,,,,,,,)</v>
      </c>
      <c r="CQ166" s="7" t="str">
        <f t="shared" ref="CQ166:CQ170" si="2624">"InitUnitAdd('"&amp;B166&amp;"',"&amp;BK166&amp;","&amp;BL166&amp;","&amp;BM166&amp;","&amp;BN166&amp;","&amp;BO166&amp;","&amp;BP166&amp;","&amp;BQ166&amp;","&amp;BR166&amp;","&amp;BS166&amp;","&amp;BT166&amp;")"</f>
        <v>InitUnitAdd('IS03',,,,,,,,,,)</v>
      </c>
      <c r="CR166" s="7" t="str">
        <f t="shared" ref="CR166:CR167" si="2625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InitEquipData('IS03',,"",,,,,'','','','','','',"ReplaceableTextures\\CommandButtons\\BTNIS04.blp")</v>
      </c>
      <c r="CU166" s="45" t="str">
        <f t="shared" ref="CU166:CU170" si="2626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29" t="str">
        <f t="shared" ref="CV166:CV170" si="2627">T166</f>
        <v>需求360杀敌数</v>
      </c>
      <c r="CW166" s="24"/>
      <c r="CX166" s="24"/>
      <c r="CY166" s="24"/>
      <c r="CZ166" s="24"/>
      <c r="DA166" s="24"/>
      <c r="DB166" s="30" t="str">
        <f t="shared" ref="DB166:DB170" si="2628">IF(V166="","","|n"&amp;DB$2&amp;"+"&amp;V166&amp;DB$1)</f>
        <v/>
      </c>
      <c r="DC166" s="30" t="str">
        <f t="shared" ref="DC166:DC170" si="2629">IF(W166="","","|n"&amp;DC$2&amp;"+"&amp;W166&amp;DC$1)</f>
        <v/>
      </c>
      <c r="DD166" s="30" t="str">
        <f t="shared" ref="DD166:DD170" si="2630">IF(X166="","","|n"&amp;DD$2&amp;"+"&amp;X166&amp;DD$1)</f>
        <v/>
      </c>
      <c r="DE166" s="30" t="str">
        <f t="shared" ref="DE166:DE170" si="2631">IF(Y166="","","|n"&amp;DE$2&amp;"+"&amp;Y166&amp;DE$1)</f>
        <v/>
      </c>
      <c r="DF166" s="30" t="str">
        <f t="shared" ref="DF166:DF170" si="2632">IF(Z166="","","|n"&amp;DF$2&amp;"+"&amp;Z166&amp;DF$1)</f>
        <v/>
      </c>
      <c r="DG166" s="30" t="str">
        <f t="shared" ref="DG166:DG170" si="2633">IF(AA166="","","|n"&amp;DG$2&amp;"+"&amp;AA166&amp;DG$1)</f>
        <v/>
      </c>
      <c r="DH166" s="30" t="str">
        <f t="shared" ref="DH166:DH170" si="2634">IF(AB166="","","|n"&amp;DH$2&amp;"+"&amp;AB166&amp;DH$1)</f>
        <v/>
      </c>
      <c r="DI166" s="30" t="str">
        <f t="shared" ref="DI166:DI170" si="2635">IF(AC166="","","|n"&amp;DI$2&amp;"+"&amp;AC166&amp;DI$1)</f>
        <v/>
      </c>
      <c r="DJ166" s="30" t="str">
        <f t="shared" ref="DJ166:DJ170" si="2636">IF(AD166="","","|n"&amp;DJ$2&amp;"+"&amp;AD166&amp;DJ$1)</f>
        <v/>
      </c>
      <c r="DK166" s="30" t="str">
        <f t="shared" ref="DK166:DK170" si="2637">IF(AE166="","","|n"&amp;DK$2&amp;"+"&amp;AE166&amp;DK$1)</f>
        <v/>
      </c>
      <c r="DL166" s="30" t="str">
        <f t="shared" ref="DL166:DL170" si="2638">IF(AF166="","","|n"&amp;DL$2&amp;"+"&amp;AF166&amp;DL$1)</f>
        <v/>
      </c>
      <c r="DM166" s="30" t="str">
        <f t="shared" ref="DM166:DM170" si="2639">IF(AG166="","","|n"&amp;DM$2&amp;"+"&amp;AG166&amp;DM$1)</f>
        <v/>
      </c>
      <c r="DN166" s="30" t="str">
        <f t="shared" ref="DN166:DN170" si="2640">IF(AH166="","","|n"&amp;DN$2&amp;"+"&amp;AH166&amp;DN$1)</f>
        <v/>
      </c>
      <c r="DO166" s="30" t="str">
        <f t="shared" ref="DO166:DO170" si="2641">IF(AI166="","","|n"&amp;DO$2&amp;"+"&amp;AI166&amp;DO$1)</f>
        <v/>
      </c>
      <c r="DP166" s="30" t="str">
        <f t="shared" ref="DP166:DP170" si="2642">IF(AJ166="","","|n"&amp;DP$2&amp;"+"&amp;AJ166&amp;DP$1)</f>
        <v/>
      </c>
      <c r="DQ166" s="30" t="str">
        <f t="shared" ref="DQ166:DQ170" si="2643">IF(AK166="","","|n"&amp;DQ$2&amp;"+"&amp;AK166&amp;DQ$1)</f>
        <v/>
      </c>
      <c r="DR166" s="30" t="str">
        <f t="shared" ref="DR166:DR170" si="2644">IF(AL166="","","|n"&amp;DR$2&amp;"+"&amp;AL166&amp;DR$1)</f>
        <v/>
      </c>
      <c r="DS166" s="30" t="str">
        <f t="shared" ref="DS166:DS170" si="2645">IF(AM166="","","|n"&amp;DS$2&amp;"+"&amp;AM166&amp;DS$1)</f>
        <v/>
      </c>
      <c r="DT166" s="30" t="str">
        <f t="shared" ref="DT166:DT170" si="2646">IF(AN166="","","|n"&amp;DT$2&amp;"+"&amp;AN166&amp;DT$1)</f>
        <v/>
      </c>
      <c r="DU166" s="30" t="str">
        <f t="shared" ref="DU166:DU170" si="2647">IF(AO166="","","|n"&amp;DU$2&amp;"+"&amp;AO166&amp;DU$1)</f>
        <v/>
      </c>
      <c r="DV166" s="30" t="str">
        <f t="shared" ref="DV166:DV170" si="2648">IF(AP166="","","|n"&amp;DV$2&amp;"+"&amp;AP166&amp;DV$1)</f>
        <v/>
      </c>
      <c r="DW166" s="30" t="str">
        <f t="shared" ref="DW166:DW170" si="2649">IF(AQ166="","","|n"&amp;DW$2&amp;"+"&amp;AQ166&amp;DW$1)</f>
        <v/>
      </c>
      <c r="DX166" s="30" t="str">
        <f t="shared" ref="DX166:DX170" si="2650">IF(AR166="","","|n"&amp;DX$2&amp;"+"&amp;AR166&amp;DX$1)</f>
        <v/>
      </c>
      <c r="DY166" s="30" t="str">
        <f t="shared" ref="DY166:DY170" si="2651">IF(AS166="","","|n"&amp;DY$2&amp;"+"&amp;AS166&amp;DY$1)</f>
        <v/>
      </c>
      <c r="DZ166" s="30" t="str">
        <f t="shared" ref="DZ166:DZ170" si="2652">IF(AT166="","","|n"&amp;DZ$2&amp;"+"&amp;AT166&amp;DZ$1)</f>
        <v/>
      </c>
      <c r="EA166" s="30" t="str">
        <f t="shared" ref="EA166:EA170" si="2653">IF(AU166="","","|n"&amp;EA$2&amp;"+"&amp;AU166&amp;EA$1)</f>
        <v/>
      </c>
      <c r="EB166" s="30" t="str">
        <f t="shared" ref="EB166:EB170" si="2654">IF(AV166="","","|n"&amp;EB$2&amp;"+"&amp;AV166&amp;EB$1)</f>
        <v/>
      </c>
      <c r="EC166" s="30" t="str">
        <f t="shared" ref="EC166:EC170" si="2655">IF(AW166="","","|n"&amp;EC$2&amp;"+"&amp;AW166&amp;EC$1)</f>
        <v/>
      </c>
      <c r="ED166" s="30" t="str">
        <f t="shared" ref="ED166:ED170" si="2656">IF(AX166="","","|n"&amp;ED$2&amp;"+"&amp;AX166&amp;ED$1)</f>
        <v/>
      </c>
      <c r="EE166" s="30" t="str">
        <f t="shared" ref="EE166:EE170" si="2657">IF(AY166="","","|n"&amp;EE$2&amp;"+"&amp;AY166&amp;EE$1)</f>
        <v/>
      </c>
      <c r="EF166" s="30" t="str">
        <f t="shared" ref="EF166:EF170" si="2658">IF(AZ166="","","|n"&amp;EF$2&amp;"+"&amp;AZ166&amp;EF$1)</f>
        <v/>
      </c>
      <c r="EG166" s="30" t="str">
        <f t="shared" ref="EG166:EG170" si="2659">IF(BA166="","","|n"&amp;EG$2&amp;"+"&amp;BA166&amp;EG$1)</f>
        <v/>
      </c>
      <c r="EH166" s="30" t="str">
        <f t="shared" ref="EH166:EH170" si="2660">IF(BB166="","","|n"&amp;EH$2&amp;"+"&amp;BB166&amp;EH$1)</f>
        <v/>
      </c>
      <c r="EI166" s="30" t="str">
        <f t="shared" ref="EI166:EI170" si="2661">IF(BC166="","","|n"&amp;EI$2&amp;"+"&amp;BC166&amp;EI$1)</f>
        <v/>
      </c>
      <c r="EJ166" s="30" t="str">
        <f t="shared" ref="EJ166:EJ170" si="2662">IF(BD166="","","|n"&amp;EJ$2&amp;"+"&amp;BD166&amp;EJ$1)</f>
        <v/>
      </c>
      <c r="EK166" s="30" t="str">
        <f t="shared" ref="EK166:EK170" si="2663">IF(BE166="","","|n"&amp;EK$2&amp;"+"&amp;BE166&amp;EK$1)</f>
        <v/>
      </c>
      <c r="EL166" s="30" t="str">
        <f t="shared" ref="EL166:EL170" si="2664">IF(BF166="","","|n"&amp;EL$2&amp;"+"&amp;BF166&amp;EL$1)</f>
        <v/>
      </c>
      <c r="EM166" s="30" t="str">
        <f t="shared" ref="EM166:EM170" si="2665">IF(BG166="","","|n"&amp;EM$2&amp;"+"&amp;BG166&amp;EM$1)</f>
        <v/>
      </c>
      <c r="EN166" s="30" t="str">
        <f t="shared" ref="EN166:EN170" si="2666">IF(BH166="","","|n"&amp;EN$2&amp;"+"&amp;BH166&amp;EN$1)</f>
        <v/>
      </c>
      <c r="EO166" s="30" t="str">
        <f t="shared" ref="EO166:EO170" si="2667">IF(BI166="","","|n"&amp;EO$2&amp;"+"&amp;BI166&amp;EO$1)</f>
        <v/>
      </c>
      <c r="EP166" s="30" t="str">
        <f t="shared" ref="EP166:EP170" si="2668">IF(BJ166="","","|n"&amp;EP$2&amp;"+"&amp;BJ166&amp;EP$1)</f>
        <v/>
      </c>
      <c r="EQ166" s="30" t="str">
        <f t="shared" ref="EQ166:EQ170" si="2669">IF(BK166="","","|n"&amp;EQ$2&amp;"+"&amp;BK166&amp;EQ$1)</f>
        <v/>
      </c>
      <c r="ER166" s="30" t="str">
        <f t="shared" ref="ER166:ER170" si="2670">IF(BL166="","","|n"&amp;ER$2&amp;"+"&amp;BL166&amp;ER$1)</f>
        <v/>
      </c>
      <c r="ES166" s="30" t="str">
        <f t="shared" ref="ES166:ES170" si="2671">IF(BM166="","","|n"&amp;ES$2&amp;"+"&amp;BM166&amp;ES$1)</f>
        <v/>
      </c>
      <c r="ET166" s="30" t="str">
        <f t="shared" ref="ET166:ET170" si="2672">IF(BN166="","","|n"&amp;ET$2&amp;"+"&amp;BN166&amp;ET$1)</f>
        <v/>
      </c>
      <c r="EU166" s="30" t="str">
        <f t="shared" ref="EU166:EU170" si="2673">IF(BO166="","","|n"&amp;EU$2&amp;"+"&amp;BO166&amp;EU$1)</f>
        <v/>
      </c>
      <c r="EV166" s="30" t="str">
        <f t="shared" ref="EV166:EV170" si="2674">IF(BP166="","","|n"&amp;EV$2&amp;"+"&amp;BP166&amp;EV$1)</f>
        <v/>
      </c>
      <c r="EW166" s="30" t="str">
        <f t="shared" ref="EW166:EW170" si="2675">IF(BQ166="","","|n"&amp;EW$2&amp;"+"&amp;BQ166&amp;EW$1)</f>
        <v/>
      </c>
      <c r="EX166" s="30" t="str">
        <f t="shared" ref="EX166:EX170" si="2676">IF(BR166="","","|n"&amp;EX$2&amp;"+"&amp;BR166&amp;EX$1)</f>
        <v/>
      </c>
      <c r="EY166" s="30" t="str">
        <f t="shared" ref="EY166:EY170" si="2677">IF(BS166="","","|n"&amp;EY$2&amp;"+"&amp;BS166&amp;EY$1)</f>
        <v/>
      </c>
      <c r="EZ166" s="30" t="str">
        <f t="shared" ref="EZ166:EZ170" si="2678">IF(BT166="","","|n"&amp;EZ$2&amp;"+"&amp;BT166&amp;EZ$1)</f>
        <v/>
      </c>
      <c r="FA166" s="30" t="str">
        <f t="shared" ref="FA166:FA170" si="2679">IF(BU166="","","|n"&amp;FA$2&amp;"+"&amp;BU166&amp;FA$1)</f>
        <v/>
      </c>
      <c r="FB166" s="30" t="str">
        <f t="shared" ref="FB166:FB170" si="2680">IF(BV166="","","|n"&amp;FB$2&amp;"+"&amp;BV166&amp;FB$1)</f>
        <v/>
      </c>
      <c r="FC166" s="30" t="str">
        <f t="shared" ref="FC166:FC170" si="2681">IF(BW166="","","|n"&amp;FC$2&amp;"+"&amp;BW166&amp;FC$1)</f>
        <v/>
      </c>
      <c r="FD166" s="30" t="str">
        <f t="shared" ref="FD166:FD170" si="2682">IF(BX166="","","|n"&amp;FD$2&amp;"+"&amp;BX166&amp;FD$1)</f>
        <v/>
      </c>
      <c r="FE166" s="30" t="str">
        <f t="shared" ref="FE166:FE170" si="2683">IF(BY166="","","|n"&amp;FE$2&amp;"+"&amp;BY166&amp;FE$1)</f>
        <v/>
      </c>
      <c r="FF166" s="30" t="str">
        <f t="shared" ref="FF166:FF170" si="2684">IF(BZ166="","","|n"&amp;FF$2&amp;"+"&amp;BZ166&amp;FF$1)</f>
        <v/>
      </c>
      <c r="FG166" s="30" t="str">
        <f t="shared" ref="FG166:FG170" si="2685">IF(CA166="","","|n"&amp;FG$2&amp;"+"&amp;CA166&amp;FG$1)</f>
        <v/>
      </c>
      <c r="FH166" s="30" t="str">
        <f t="shared" ref="FH166:FH170" si="2686">IF(CB166="","","|n"&amp;FH$2&amp;"+"&amp;CB166&amp;FH$1)</f>
        <v/>
      </c>
      <c r="FI166" s="30" t="str">
        <f t="shared" ref="FI166:FI170" si="2687">IF(CC166="","","|n"&amp;FI$2&amp;"+"&amp;CC166&amp;FI$1)</f>
        <v/>
      </c>
      <c r="FJ166" s="30" t="str">
        <f t="shared" ref="FJ166:FJ170" si="2688">IF(CD166="","","|n"&amp;FJ$2&amp;"+"&amp;CD166&amp;FJ$1)</f>
        <v/>
      </c>
      <c r="FK166" s="30" t="str">
        <f t="shared" ref="FK166:FK170" si="2689">IF(CE166="","","|n"&amp;FK$2&amp;"+"&amp;CE166&amp;FK$1)</f>
        <v/>
      </c>
      <c r="FL166" s="30" t="str">
        <f t="shared" ref="FL166:FL170" si="2690">IF(CF166="","","|n"&amp;FL$2&amp;"+"&amp;CF166&amp;FL$1)</f>
        <v/>
      </c>
      <c r="FM166" s="30" t="str">
        <f t="shared" ref="FM166:FM170" si="2691">IF(CG166="","","|n"&amp;FM$2&amp;"+"&amp;CG166&amp;FM$1)</f>
        <v/>
      </c>
      <c r="FN166" s="30" t="str">
        <f t="shared" ref="FN166:FN170" si="2692">IF(CH166="","","|n"&amp;FN$2&amp;"+"&amp;CH166&amp;FN$1)</f>
        <v/>
      </c>
      <c r="FO166" s="30" t="str">
        <f t="shared" ref="FO166:FO170" si="2693">IF(CI166="","","|n"&amp;FO$2&amp;"+"&amp;CI166&amp;FO$1)</f>
        <v/>
      </c>
      <c r="FP166" s="30" t="str">
        <f t="shared" ref="FP166:FP170" si="2694">IF(CJ166="","","|n"&amp;FP$2&amp;"+"&amp;CJ166&amp;FP$1)</f>
        <v/>
      </c>
      <c r="FQ166" s="30" t="str">
        <f t="shared" ref="FQ166:FQ170" si="2695">IF(CK166="","","|n"&amp;FQ$2&amp;"+"&amp;CK166&amp;FQ$1)</f>
        <v/>
      </c>
      <c r="FR166" s="30" t="str">
        <f t="shared" ref="FR166:FR170" si="2696">IF(CL166="","","|n"&amp;FR$2&amp;"+"&amp;CL166&amp;FR$1)</f>
        <v/>
      </c>
      <c r="FS166" s="30" t="str">
        <f t="shared" ref="FS166:FS170" si="2697">IF(CM166="","","|n"&amp;FS$2&amp;"+"&amp;CM166&amp;FS$1)</f>
        <v/>
      </c>
    </row>
    <row r="167" spans="1:175" ht="16.5">
      <c r="A167" s="114"/>
      <c r="B167" s="110" t="s">
        <v>384</v>
      </c>
      <c r="C167" s="114" t="s">
        <v>386</v>
      </c>
      <c r="T167" s="114" t="s">
        <v>537</v>
      </c>
      <c r="U167" s="32" t="str">
        <f t="shared" si="944"/>
        <v>ReplaceableTextures\\CommandButtons\\BTNIS04.blp</v>
      </c>
      <c r="CN167" s="7" t="str">
        <f t="shared" si="2621"/>
        <v>InitUnitState('IS04',,,,,,,,,,)</v>
      </c>
      <c r="CO167" s="7" t="str">
        <f t="shared" si="2622"/>
        <v>InitUnitNormal('IS04',,,,,,,,,,)</v>
      </c>
      <c r="CP167" s="7" t="str">
        <f t="shared" si="2623"/>
        <v>InitUnitMagic('IS04',,,,,,,,,,)</v>
      </c>
      <c r="CQ167" s="7" t="str">
        <f t="shared" si="2624"/>
        <v>InitUnitAdd('IS04',,,,,,,,,,)</v>
      </c>
      <c r="CR167" s="7" t="str">
        <f t="shared" si="2625"/>
        <v>InitEquipData('IS04',,"",,,,,'','','','','','',"ReplaceableTextures\\CommandButtons\\BTNIS05.blp")</v>
      </c>
      <c r="CU167" s="45" t="str">
        <f t="shared" si="2626"/>
        <v>|n</v>
      </c>
      <c r="CV167" s="29" t="str">
        <f t="shared" si="2627"/>
        <v>需求1080杀敌数</v>
      </c>
      <c r="CW167" s="24"/>
      <c r="CX167" s="24"/>
      <c r="CY167" s="24"/>
      <c r="CZ167" s="24"/>
      <c r="DA167" s="24"/>
      <c r="DB167" s="30" t="str">
        <f t="shared" si="2628"/>
        <v/>
      </c>
      <c r="DC167" s="30" t="str">
        <f t="shared" si="2629"/>
        <v/>
      </c>
      <c r="DD167" s="30" t="str">
        <f t="shared" si="2630"/>
        <v/>
      </c>
      <c r="DE167" s="30" t="str">
        <f t="shared" si="2631"/>
        <v/>
      </c>
      <c r="DF167" s="30" t="str">
        <f t="shared" si="2632"/>
        <v/>
      </c>
      <c r="DG167" s="30" t="str">
        <f t="shared" si="2633"/>
        <v/>
      </c>
      <c r="DH167" s="30" t="str">
        <f t="shared" si="2634"/>
        <v/>
      </c>
      <c r="DI167" s="30" t="str">
        <f t="shared" si="2635"/>
        <v/>
      </c>
      <c r="DJ167" s="30" t="str">
        <f t="shared" si="2636"/>
        <v/>
      </c>
      <c r="DK167" s="30" t="str">
        <f t="shared" si="2637"/>
        <v/>
      </c>
      <c r="DL167" s="30" t="str">
        <f t="shared" si="2638"/>
        <v/>
      </c>
      <c r="DM167" s="30" t="str">
        <f t="shared" si="2639"/>
        <v/>
      </c>
      <c r="DN167" s="30" t="str">
        <f t="shared" si="2640"/>
        <v/>
      </c>
      <c r="DO167" s="30" t="str">
        <f t="shared" si="2641"/>
        <v/>
      </c>
      <c r="DP167" s="30" t="str">
        <f t="shared" si="2642"/>
        <v/>
      </c>
      <c r="DQ167" s="30" t="str">
        <f t="shared" si="2643"/>
        <v/>
      </c>
      <c r="DR167" s="30" t="str">
        <f t="shared" si="2644"/>
        <v/>
      </c>
      <c r="DS167" s="30" t="str">
        <f t="shared" si="2645"/>
        <v/>
      </c>
      <c r="DT167" s="30" t="str">
        <f t="shared" si="2646"/>
        <v/>
      </c>
      <c r="DU167" s="30" t="str">
        <f t="shared" si="2647"/>
        <v/>
      </c>
      <c r="DV167" s="30" t="str">
        <f t="shared" si="2648"/>
        <v/>
      </c>
      <c r="DW167" s="30" t="str">
        <f t="shared" si="2649"/>
        <v/>
      </c>
      <c r="DX167" s="30" t="str">
        <f t="shared" si="2650"/>
        <v/>
      </c>
      <c r="DY167" s="30" t="str">
        <f t="shared" si="2651"/>
        <v/>
      </c>
      <c r="DZ167" s="30" t="str">
        <f t="shared" si="2652"/>
        <v/>
      </c>
      <c r="EA167" s="30" t="str">
        <f t="shared" si="2653"/>
        <v/>
      </c>
      <c r="EB167" s="30" t="str">
        <f t="shared" si="2654"/>
        <v/>
      </c>
      <c r="EC167" s="30" t="str">
        <f t="shared" si="2655"/>
        <v/>
      </c>
      <c r="ED167" s="30" t="str">
        <f t="shared" si="2656"/>
        <v/>
      </c>
      <c r="EE167" s="30" t="str">
        <f t="shared" si="2657"/>
        <v/>
      </c>
      <c r="EF167" s="30" t="str">
        <f t="shared" si="2658"/>
        <v/>
      </c>
      <c r="EG167" s="30" t="str">
        <f t="shared" si="2659"/>
        <v/>
      </c>
      <c r="EH167" s="30" t="str">
        <f t="shared" si="2660"/>
        <v/>
      </c>
      <c r="EI167" s="30" t="str">
        <f t="shared" si="2661"/>
        <v/>
      </c>
      <c r="EJ167" s="30" t="str">
        <f t="shared" si="2662"/>
        <v/>
      </c>
      <c r="EK167" s="30" t="str">
        <f t="shared" si="2663"/>
        <v/>
      </c>
      <c r="EL167" s="30" t="str">
        <f t="shared" si="2664"/>
        <v/>
      </c>
      <c r="EM167" s="30" t="str">
        <f t="shared" si="2665"/>
        <v/>
      </c>
      <c r="EN167" s="30" t="str">
        <f t="shared" si="2666"/>
        <v/>
      </c>
      <c r="EO167" s="30" t="str">
        <f t="shared" si="2667"/>
        <v/>
      </c>
      <c r="EP167" s="30" t="str">
        <f t="shared" si="2668"/>
        <v/>
      </c>
      <c r="EQ167" s="30" t="str">
        <f t="shared" si="2669"/>
        <v/>
      </c>
      <c r="ER167" s="30" t="str">
        <f t="shared" si="2670"/>
        <v/>
      </c>
      <c r="ES167" s="30" t="str">
        <f t="shared" si="2671"/>
        <v/>
      </c>
      <c r="ET167" s="30" t="str">
        <f t="shared" si="2672"/>
        <v/>
      </c>
      <c r="EU167" s="30" t="str">
        <f t="shared" si="2673"/>
        <v/>
      </c>
      <c r="EV167" s="30" t="str">
        <f t="shared" si="2674"/>
        <v/>
      </c>
      <c r="EW167" s="30" t="str">
        <f t="shared" si="2675"/>
        <v/>
      </c>
      <c r="EX167" s="30" t="str">
        <f t="shared" si="2676"/>
        <v/>
      </c>
      <c r="EY167" s="30" t="str">
        <f t="shared" si="2677"/>
        <v/>
      </c>
      <c r="EZ167" s="30" t="str">
        <f t="shared" si="2678"/>
        <v/>
      </c>
      <c r="FA167" s="30" t="str">
        <f t="shared" si="2679"/>
        <v/>
      </c>
      <c r="FB167" s="30" t="str">
        <f t="shared" si="2680"/>
        <v/>
      </c>
      <c r="FC167" s="30" t="str">
        <f t="shared" si="2681"/>
        <v/>
      </c>
      <c r="FD167" s="30" t="str">
        <f t="shared" si="2682"/>
        <v/>
      </c>
      <c r="FE167" s="30" t="str">
        <f t="shared" si="2683"/>
        <v/>
      </c>
      <c r="FF167" s="30" t="str">
        <f t="shared" si="2684"/>
        <v/>
      </c>
      <c r="FG167" s="30" t="str">
        <f t="shared" si="2685"/>
        <v/>
      </c>
      <c r="FH167" s="30" t="str">
        <f t="shared" si="2686"/>
        <v/>
      </c>
      <c r="FI167" s="30" t="str">
        <f t="shared" si="2687"/>
        <v/>
      </c>
      <c r="FJ167" s="30" t="str">
        <f t="shared" si="2688"/>
        <v/>
      </c>
      <c r="FK167" s="30" t="str">
        <f t="shared" si="2689"/>
        <v/>
      </c>
      <c r="FL167" s="30" t="str">
        <f t="shared" si="2690"/>
        <v/>
      </c>
      <c r="FM167" s="30" t="str">
        <f t="shared" si="2691"/>
        <v/>
      </c>
      <c r="FN167" s="30" t="str">
        <f t="shared" si="2692"/>
        <v/>
      </c>
      <c r="FO167" s="30" t="str">
        <f t="shared" si="2693"/>
        <v/>
      </c>
      <c r="FP167" s="30" t="str">
        <f t="shared" si="2694"/>
        <v/>
      </c>
      <c r="FQ167" s="30" t="str">
        <f t="shared" si="2695"/>
        <v/>
      </c>
      <c r="FR167" s="30" t="str">
        <f t="shared" si="2696"/>
        <v/>
      </c>
      <c r="FS167" s="30" t="str">
        <f t="shared" si="2697"/>
        <v/>
      </c>
    </row>
    <row r="168" spans="1:175" ht="16.5">
      <c r="A168" s="114"/>
      <c r="B168" s="110" t="s">
        <v>471</v>
      </c>
      <c r="C168" s="114" t="s">
        <v>387</v>
      </c>
      <c r="T168" s="114" t="s">
        <v>387</v>
      </c>
      <c r="U168" s="32" t="str">
        <f t="shared" si="944"/>
        <v>ReplaceableTextures\\CommandButtons\\BTNIS05.blp</v>
      </c>
      <c r="CN168" s="7" t="str">
        <f t="shared" si="2621"/>
        <v>InitUnitState('IS05',,,,,,,,,,)</v>
      </c>
      <c r="CO168" s="7" t="str">
        <f t="shared" si="2622"/>
        <v>InitUnitNormal('IS05',,,,,,,,,,)</v>
      </c>
      <c r="CP168" s="7" t="str">
        <f t="shared" si="2623"/>
        <v>InitUnitMagic('IS05',,,,,,,,,,)</v>
      </c>
      <c r="CQ168" s="7" t="str">
        <f t="shared" si="2624"/>
        <v>InitUnitAdd('IS05',,,,,,,,,,)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InitEquipData('IS05',,"",,,,,'','','','','','',"ReplaceableTextures\\CommandButtons\\BTNIH00.blp")</v>
      </c>
      <c r="CU168" s="45" t="str">
        <f t="shared" si="2626"/>
        <v>|n</v>
      </c>
      <c r="CV168" s="29" t="str">
        <f t="shared" si="2627"/>
        <v>抽技能S</v>
      </c>
      <c r="CW168" s="24"/>
      <c r="CX168" s="24"/>
      <c r="CY168" s="24"/>
      <c r="CZ168" s="24"/>
      <c r="DA168" s="24"/>
      <c r="DB168" s="30" t="str">
        <f t="shared" si="2628"/>
        <v/>
      </c>
      <c r="DC168" s="30" t="str">
        <f t="shared" si="2629"/>
        <v/>
      </c>
      <c r="DD168" s="30" t="str">
        <f t="shared" si="2630"/>
        <v/>
      </c>
      <c r="DE168" s="30" t="str">
        <f t="shared" si="2631"/>
        <v/>
      </c>
      <c r="DF168" s="30" t="str">
        <f t="shared" si="2632"/>
        <v/>
      </c>
      <c r="DG168" s="30" t="str">
        <f t="shared" si="2633"/>
        <v/>
      </c>
      <c r="DH168" s="30" t="str">
        <f t="shared" si="2634"/>
        <v/>
      </c>
      <c r="DI168" s="30" t="str">
        <f t="shared" si="2635"/>
        <v/>
      </c>
      <c r="DJ168" s="30" t="str">
        <f t="shared" si="2636"/>
        <v/>
      </c>
      <c r="DK168" s="30" t="str">
        <f t="shared" si="2637"/>
        <v/>
      </c>
      <c r="DL168" s="30" t="str">
        <f t="shared" si="2638"/>
        <v/>
      </c>
      <c r="DM168" s="30" t="str">
        <f t="shared" si="2639"/>
        <v/>
      </c>
      <c r="DN168" s="30" t="str">
        <f t="shared" si="2640"/>
        <v/>
      </c>
      <c r="DO168" s="30" t="str">
        <f t="shared" si="2641"/>
        <v/>
      </c>
      <c r="DP168" s="30" t="str">
        <f t="shared" si="2642"/>
        <v/>
      </c>
      <c r="DQ168" s="30" t="str">
        <f t="shared" si="2643"/>
        <v/>
      </c>
      <c r="DR168" s="30" t="str">
        <f t="shared" si="2644"/>
        <v/>
      </c>
      <c r="DS168" s="30" t="str">
        <f t="shared" si="2645"/>
        <v/>
      </c>
      <c r="DT168" s="30" t="str">
        <f t="shared" si="2646"/>
        <v/>
      </c>
      <c r="DU168" s="30" t="str">
        <f t="shared" si="2647"/>
        <v/>
      </c>
      <c r="DV168" s="30" t="str">
        <f t="shared" si="2648"/>
        <v/>
      </c>
      <c r="DW168" s="30" t="str">
        <f t="shared" si="2649"/>
        <v/>
      </c>
      <c r="DX168" s="30" t="str">
        <f t="shared" si="2650"/>
        <v/>
      </c>
      <c r="DY168" s="30" t="str">
        <f t="shared" si="2651"/>
        <v/>
      </c>
      <c r="DZ168" s="30" t="str">
        <f t="shared" si="2652"/>
        <v/>
      </c>
      <c r="EA168" s="30" t="str">
        <f t="shared" si="2653"/>
        <v/>
      </c>
      <c r="EB168" s="30" t="str">
        <f t="shared" si="2654"/>
        <v/>
      </c>
      <c r="EC168" s="30" t="str">
        <f t="shared" si="2655"/>
        <v/>
      </c>
      <c r="ED168" s="30" t="str">
        <f t="shared" si="2656"/>
        <v/>
      </c>
      <c r="EE168" s="30" t="str">
        <f t="shared" si="2657"/>
        <v/>
      </c>
      <c r="EF168" s="30" t="str">
        <f t="shared" si="2658"/>
        <v/>
      </c>
      <c r="EG168" s="30" t="str">
        <f t="shared" si="2659"/>
        <v/>
      </c>
      <c r="EH168" s="30" t="str">
        <f t="shared" si="2660"/>
        <v/>
      </c>
      <c r="EI168" s="30" t="str">
        <f t="shared" si="2661"/>
        <v/>
      </c>
      <c r="EJ168" s="30" t="str">
        <f t="shared" si="2662"/>
        <v/>
      </c>
      <c r="EK168" s="30" t="str">
        <f t="shared" si="2663"/>
        <v/>
      </c>
      <c r="EL168" s="30" t="str">
        <f t="shared" si="2664"/>
        <v/>
      </c>
      <c r="EM168" s="30" t="str">
        <f t="shared" si="2665"/>
        <v/>
      </c>
      <c r="EN168" s="30" t="str">
        <f t="shared" si="2666"/>
        <v/>
      </c>
      <c r="EO168" s="30" t="str">
        <f t="shared" si="2667"/>
        <v/>
      </c>
      <c r="EP168" s="30" t="str">
        <f t="shared" si="2668"/>
        <v/>
      </c>
      <c r="EQ168" s="30" t="str">
        <f t="shared" si="2669"/>
        <v/>
      </c>
      <c r="ER168" s="30" t="str">
        <f t="shared" si="2670"/>
        <v/>
      </c>
      <c r="ES168" s="30" t="str">
        <f t="shared" si="2671"/>
        <v/>
      </c>
      <c r="ET168" s="30" t="str">
        <f t="shared" si="2672"/>
        <v/>
      </c>
      <c r="EU168" s="30" t="str">
        <f t="shared" si="2673"/>
        <v/>
      </c>
      <c r="EV168" s="30" t="str">
        <f t="shared" si="2674"/>
        <v/>
      </c>
      <c r="EW168" s="30" t="str">
        <f t="shared" si="2675"/>
        <v/>
      </c>
      <c r="EX168" s="30" t="str">
        <f t="shared" si="2676"/>
        <v/>
      </c>
      <c r="EY168" s="30" t="str">
        <f t="shared" si="2677"/>
        <v/>
      </c>
      <c r="EZ168" s="30" t="str">
        <f t="shared" si="2678"/>
        <v/>
      </c>
      <c r="FA168" s="30" t="str">
        <f t="shared" si="2679"/>
        <v/>
      </c>
      <c r="FB168" s="30" t="str">
        <f t="shared" si="2680"/>
        <v/>
      </c>
      <c r="FC168" s="30" t="str">
        <f t="shared" si="2681"/>
        <v/>
      </c>
      <c r="FD168" s="30" t="str">
        <f t="shared" si="2682"/>
        <v/>
      </c>
      <c r="FE168" s="30" t="str">
        <f t="shared" si="2683"/>
        <v/>
      </c>
      <c r="FF168" s="30" t="str">
        <f t="shared" si="2684"/>
        <v/>
      </c>
      <c r="FG168" s="30" t="str">
        <f t="shared" si="2685"/>
        <v/>
      </c>
      <c r="FH168" s="30" t="str">
        <f t="shared" si="2686"/>
        <v/>
      </c>
      <c r="FI168" s="30" t="str">
        <f t="shared" si="2687"/>
        <v/>
      </c>
      <c r="FJ168" s="30" t="str">
        <f t="shared" si="2688"/>
        <v/>
      </c>
      <c r="FK168" s="30" t="str">
        <f t="shared" si="2689"/>
        <v/>
      </c>
      <c r="FL168" s="30" t="str">
        <f t="shared" si="2690"/>
        <v/>
      </c>
      <c r="FM168" s="30" t="str">
        <f t="shared" si="2691"/>
        <v/>
      </c>
      <c r="FN168" s="30" t="str">
        <f t="shared" si="2692"/>
        <v/>
      </c>
      <c r="FO168" s="30" t="str">
        <f t="shared" si="2693"/>
        <v/>
      </c>
      <c r="FP168" s="30" t="str">
        <f t="shared" si="2694"/>
        <v/>
      </c>
      <c r="FQ168" s="30" t="str">
        <f t="shared" si="2695"/>
        <v/>
      </c>
      <c r="FR168" s="30" t="str">
        <f t="shared" si="2696"/>
        <v/>
      </c>
      <c r="FS168" s="30" t="str">
        <f t="shared" si="2697"/>
        <v/>
      </c>
    </row>
    <row r="169" spans="1:175" ht="16.5">
      <c r="A169" s="114"/>
      <c r="B169" s="110" t="s">
        <v>437</v>
      </c>
      <c r="C169" s="114" t="s">
        <v>438</v>
      </c>
      <c r="T169" s="114" t="s">
        <v>439</v>
      </c>
      <c r="U169" s="32" t="str">
        <f t="shared" si="944"/>
        <v>ReplaceableTextures\\CommandButtons\\BTNIS11.blp</v>
      </c>
      <c r="CN169" s="7" t="str">
        <f t="shared" ref="CN169" si="2698">"InitUnitState('"&amp;B169&amp;"',"&amp;V169&amp;","&amp;W169&amp;","&amp;X169&amp;","&amp;Y169&amp;","&amp;Z169&amp;","&amp;AA169&amp;","&amp;AB169&amp;","&amp;AC169&amp;","&amp;AD169&amp;","&amp;AE169&amp;")"</f>
        <v>InitUnitState('IS11',,,,,,,,,,)</v>
      </c>
      <c r="CO169" s="7" t="str">
        <f t="shared" ref="CO169" si="2699">"InitUnitNormal('"&amp;B169&amp;"',"&amp;AF169&amp;","&amp;AG169&amp;","&amp;AH169&amp;","&amp;AI169&amp;","&amp;AJ169&amp;","&amp;AK169&amp;","&amp;AL169&amp;","&amp;AM169&amp;","&amp;AN169&amp;","&amp;AO169&amp;")"</f>
        <v>InitUnitNormal('IS11',,,,,,,,,,)</v>
      </c>
      <c r="CP169" s="7" t="str">
        <f t="shared" ref="CP169" si="2700">"InitUnitMagic('"&amp;B169&amp;"',"&amp;AP169&amp;","&amp;AQ169&amp;","&amp;AR169&amp;","&amp;AS169&amp;","&amp;AT169&amp;","&amp;AU169&amp;","&amp;AV169&amp;","&amp;AW169&amp;","&amp;BI169&amp;","&amp;BJ169&amp;")"</f>
        <v>InitUnitMagic('IS11',,,,,,,,,,)</v>
      </c>
      <c r="CQ169" s="7" t="str">
        <f t="shared" ref="CQ169" si="2701">"InitUnitAdd('"&amp;B169&amp;"',"&amp;BK169&amp;","&amp;BL169&amp;","&amp;BM169&amp;","&amp;BN169&amp;","&amp;BO169&amp;","&amp;BP169&amp;","&amp;BQ169&amp;","&amp;BR169&amp;","&amp;BS169&amp;","&amp;BT169&amp;")"</f>
        <v>InitUnitAdd('IS11',,,,,,,,,,)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InitEquipData('IS11',,"",,,,,'','','','','','',"ReplaceableTextures\\CommandButtons\\BTNIH01.blp")</v>
      </c>
      <c r="CU169" s="45" t="str">
        <f t="shared" ref="CU169" si="270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29" t="str">
        <f t="shared" ref="CV169" si="2703">T169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9" s="24"/>
      <c r="CX169" s="24"/>
      <c r="CY169" s="24"/>
      <c r="CZ169" s="24"/>
      <c r="DA169" s="24"/>
      <c r="DB169" s="30" t="str">
        <f t="shared" ref="DB169" si="2704">IF(V169="","","|n"&amp;DB$2&amp;"+"&amp;V169&amp;DB$1)</f>
        <v/>
      </c>
      <c r="DC169" s="30" t="str">
        <f t="shared" ref="DC169" si="2705">IF(W169="","","|n"&amp;DC$2&amp;"+"&amp;W169&amp;DC$1)</f>
        <v/>
      </c>
      <c r="DD169" s="30" t="str">
        <f t="shared" ref="DD169" si="2706">IF(X169="","","|n"&amp;DD$2&amp;"+"&amp;X169&amp;DD$1)</f>
        <v/>
      </c>
      <c r="DE169" s="30" t="str">
        <f t="shared" ref="DE169" si="2707">IF(Y169="","","|n"&amp;DE$2&amp;"+"&amp;Y169&amp;DE$1)</f>
        <v/>
      </c>
      <c r="DF169" s="30" t="str">
        <f t="shared" ref="DF169" si="2708">IF(Z169="","","|n"&amp;DF$2&amp;"+"&amp;Z169&amp;DF$1)</f>
        <v/>
      </c>
      <c r="DG169" s="30" t="str">
        <f t="shared" ref="DG169" si="2709">IF(AA169="","","|n"&amp;DG$2&amp;"+"&amp;AA169&amp;DG$1)</f>
        <v/>
      </c>
      <c r="DH169" s="30" t="str">
        <f t="shared" ref="DH169" si="2710">IF(AB169="","","|n"&amp;DH$2&amp;"+"&amp;AB169&amp;DH$1)</f>
        <v/>
      </c>
      <c r="DI169" s="30" t="str">
        <f t="shared" ref="DI169" si="2711">IF(AC169="","","|n"&amp;DI$2&amp;"+"&amp;AC169&amp;DI$1)</f>
        <v/>
      </c>
      <c r="DJ169" s="30" t="str">
        <f t="shared" ref="DJ169" si="2712">IF(AD169="","","|n"&amp;DJ$2&amp;"+"&amp;AD169&amp;DJ$1)</f>
        <v/>
      </c>
      <c r="DK169" s="30" t="str">
        <f t="shared" ref="DK169" si="2713">IF(AE169="","","|n"&amp;DK$2&amp;"+"&amp;AE169&amp;DK$1)</f>
        <v/>
      </c>
      <c r="DL169" s="30" t="str">
        <f t="shared" ref="DL169" si="2714">IF(AF169="","","|n"&amp;DL$2&amp;"+"&amp;AF169&amp;DL$1)</f>
        <v/>
      </c>
      <c r="DM169" s="30" t="str">
        <f t="shared" ref="DM169" si="2715">IF(AG169="","","|n"&amp;DM$2&amp;"+"&amp;AG169&amp;DM$1)</f>
        <v/>
      </c>
      <c r="DN169" s="30" t="str">
        <f t="shared" ref="DN169" si="2716">IF(AH169="","","|n"&amp;DN$2&amp;"+"&amp;AH169&amp;DN$1)</f>
        <v/>
      </c>
      <c r="DO169" s="30" t="str">
        <f t="shared" ref="DO169" si="2717">IF(AI169="","","|n"&amp;DO$2&amp;"+"&amp;AI169&amp;DO$1)</f>
        <v/>
      </c>
      <c r="DP169" s="30" t="str">
        <f t="shared" ref="DP169" si="2718">IF(AJ169="","","|n"&amp;DP$2&amp;"+"&amp;AJ169&amp;DP$1)</f>
        <v/>
      </c>
      <c r="DQ169" s="30" t="str">
        <f t="shared" ref="DQ169" si="2719">IF(AK169="","","|n"&amp;DQ$2&amp;"+"&amp;AK169&amp;DQ$1)</f>
        <v/>
      </c>
      <c r="DR169" s="30" t="str">
        <f t="shared" ref="DR169" si="2720">IF(AL169="","","|n"&amp;DR$2&amp;"+"&amp;AL169&amp;DR$1)</f>
        <v/>
      </c>
      <c r="DS169" s="30" t="str">
        <f t="shared" ref="DS169" si="2721">IF(AM169="","","|n"&amp;DS$2&amp;"+"&amp;AM169&amp;DS$1)</f>
        <v/>
      </c>
      <c r="DT169" s="30" t="str">
        <f t="shared" ref="DT169" si="2722">IF(AN169="","","|n"&amp;DT$2&amp;"+"&amp;AN169&amp;DT$1)</f>
        <v/>
      </c>
      <c r="DU169" s="30" t="str">
        <f t="shared" ref="DU169" si="2723">IF(AO169="","","|n"&amp;DU$2&amp;"+"&amp;AO169&amp;DU$1)</f>
        <v/>
      </c>
      <c r="DV169" s="30" t="str">
        <f t="shared" ref="DV169" si="2724">IF(AP169="","","|n"&amp;DV$2&amp;"+"&amp;AP169&amp;DV$1)</f>
        <v/>
      </c>
      <c r="DW169" s="30" t="str">
        <f t="shared" ref="DW169" si="2725">IF(AQ169="","","|n"&amp;DW$2&amp;"+"&amp;AQ169&amp;DW$1)</f>
        <v/>
      </c>
      <c r="DX169" s="30" t="str">
        <f t="shared" ref="DX169" si="2726">IF(AR169="","","|n"&amp;DX$2&amp;"+"&amp;AR169&amp;DX$1)</f>
        <v/>
      </c>
      <c r="DY169" s="30" t="str">
        <f t="shared" ref="DY169" si="2727">IF(AS169="","","|n"&amp;DY$2&amp;"+"&amp;AS169&amp;DY$1)</f>
        <v/>
      </c>
      <c r="DZ169" s="30" t="str">
        <f t="shared" ref="DZ169" si="2728">IF(AT169="","","|n"&amp;DZ$2&amp;"+"&amp;AT169&amp;DZ$1)</f>
        <v/>
      </c>
      <c r="EA169" s="30" t="str">
        <f t="shared" ref="EA169" si="2729">IF(AU169="","","|n"&amp;EA$2&amp;"+"&amp;AU169&amp;EA$1)</f>
        <v/>
      </c>
      <c r="EB169" s="30" t="str">
        <f t="shared" ref="EB169" si="2730">IF(AV169="","","|n"&amp;EB$2&amp;"+"&amp;AV169&amp;EB$1)</f>
        <v/>
      </c>
      <c r="EC169" s="30" t="str">
        <f t="shared" ref="EC169" si="2731">IF(AW169="","","|n"&amp;EC$2&amp;"+"&amp;AW169&amp;EC$1)</f>
        <v/>
      </c>
      <c r="ED169" s="30" t="str">
        <f t="shared" ref="ED169" si="2732">IF(AX169="","","|n"&amp;ED$2&amp;"+"&amp;AX169&amp;ED$1)</f>
        <v/>
      </c>
      <c r="EE169" s="30" t="str">
        <f t="shared" ref="EE169" si="2733">IF(AY169="","","|n"&amp;EE$2&amp;"+"&amp;AY169&amp;EE$1)</f>
        <v/>
      </c>
      <c r="EF169" s="30" t="str">
        <f t="shared" ref="EF169" si="2734">IF(AZ169="","","|n"&amp;EF$2&amp;"+"&amp;AZ169&amp;EF$1)</f>
        <v/>
      </c>
      <c r="EG169" s="30" t="str">
        <f t="shared" ref="EG169" si="2735">IF(BA169="","","|n"&amp;EG$2&amp;"+"&amp;BA169&amp;EG$1)</f>
        <v/>
      </c>
      <c r="EH169" s="30" t="str">
        <f t="shared" ref="EH169" si="2736">IF(BB169="","","|n"&amp;EH$2&amp;"+"&amp;BB169&amp;EH$1)</f>
        <v/>
      </c>
      <c r="EI169" s="30" t="str">
        <f t="shared" ref="EI169" si="2737">IF(BC169="","","|n"&amp;EI$2&amp;"+"&amp;BC169&amp;EI$1)</f>
        <v/>
      </c>
      <c r="EJ169" s="30" t="str">
        <f t="shared" ref="EJ169" si="2738">IF(BD169="","","|n"&amp;EJ$2&amp;"+"&amp;BD169&amp;EJ$1)</f>
        <v/>
      </c>
      <c r="EK169" s="30" t="str">
        <f t="shared" ref="EK169" si="2739">IF(BE169="","","|n"&amp;EK$2&amp;"+"&amp;BE169&amp;EK$1)</f>
        <v/>
      </c>
      <c r="EL169" s="30" t="str">
        <f t="shared" ref="EL169" si="2740">IF(BF169="","","|n"&amp;EL$2&amp;"+"&amp;BF169&amp;EL$1)</f>
        <v/>
      </c>
      <c r="EM169" s="30" t="str">
        <f t="shared" ref="EM169" si="2741">IF(BG169="","","|n"&amp;EM$2&amp;"+"&amp;BG169&amp;EM$1)</f>
        <v/>
      </c>
      <c r="EN169" s="30" t="str">
        <f t="shared" ref="EN169" si="2742">IF(BH169="","","|n"&amp;EN$2&amp;"+"&amp;BH169&amp;EN$1)</f>
        <v/>
      </c>
      <c r="EO169" s="30" t="str">
        <f t="shared" ref="EO169" si="2743">IF(BI169="","","|n"&amp;EO$2&amp;"+"&amp;BI169&amp;EO$1)</f>
        <v/>
      </c>
      <c r="EP169" s="30" t="str">
        <f t="shared" ref="EP169" si="2744">IF(BJ169="","","|n"&amp;EP$2&amp;"+"&amp;BJ169&amp;EP$1)</f>
        <v/>
      </c>
      <c r="EQ169" s="30" t="str">
        <f t="shared" ref="EQ169" si="2745">IF(BK169="","","|n"&amp;EQ$2&amp;"+"&amp;BK169&amp;EQ$1)</f>
        <v/>
      </c>
      <c r="ER169" s="30" t="str">
        <f t="shared" ref="ER169" si="2746">IF(BL169="","","|n"&amp;ER$2&amp;"+"&amp;BL169&amp;ER$1)</f>
        <v/>
      </c>
      <c r="ES169" s="30" t="str">
        <f t="shared" ref="ES169" si="2747">IF(BM169="","","|n"&amp;ES$2&amp;"+"&amp;BM169&amp;ES$1)</f>
        <v/>
      </c>
      <c r="ET169" s="30" t="str">
        <f t="shared" ref="ET169" si="2748">IF(BN169="","","|n"&amp;ET$2&amp;"+"&amp;BN169&amp;ET$1)</f>
        <v/>
      </c>
      <c r="EU169" s="30" t="str">
        <f t="shared" ref="EU169" si="2749">IF(BO169="","","|n"&amp;EU$2&amp;"+"&amp;BO169&amp;EU$1)</f>
        <v/>
      </c>
      <c r="EV169" s="30" t="str">
        <f t="shared" ref="EV169" si="2750">IF(BP169="","","|n"&amp;EV$2&amp;"+"&amp;BP169&amp;EV$1)</f>
        <v/>
      </c>
      <c r="EW169" s="30" t="str">
        <f t="shared" ref="EW169" si="2751">IF(BQ169="","","|n"&amp;EW$2&amp;"+"&amp;BQ169&amp;EW$1)</f>
        <v/>
      </c>
      <c r="EX169" s="30" t="str">
        <f t="shared" ref="EX169" si="2752">IF(BR169="","","|n"&amp;EX$2&amp;"+"&amp;BR169&amp;EX$1)</f>
        <v/>
      </c>
      <c r="EY169" s="30" t="str">
        <f t="shared" ref="EY169" si="2753">IF(BS169="","","|n"&amp;EY$2&amp;"+"&amp;BS169&amp;EY$1)</f>
        <v/>
      </c>
      <c r="EZ169" s="30" t="str">
        <f t="shared" ref="EZ169" si="2754">IF(BT169="","","|n"&amp;EZ$2&amp;"+"&amp;BT169&amp;EZ$1)</f>
        <v/>
      </c>
      <c r="FA169" s="30" t="str">
        <f t="shared" ref="FA169" si="2755">IF(BU169="","","|n"&amp;FA$2&amp;"+"&amp;BU169&amp;FA$1)</f>
        <v/>
      </c>
      <c r="FB169" s="30" t="str">
        <f t="shared" ref="FB169" si="2756">IF(BV169="","","|n"&amp;FB$2&amp;"+"&amp;BV169&amp;FB$1)</f>
        <v/>
      </c>
      <c r="FC169" s="30" t="str">
        <f t="shared" ref="FC169" si="2757">IF(BW169="","","|n"&amp;FC$2&amp;"+"&amp;BW169&amp;FC$1)</f>
        <v/>
      </c>
      <c r="FD169" s="30" t="str">
        <f t="shared" ref="FD169" si="2758">IF(BX169="","","|n"&amp;FD$2&amp;"+"&amp;BX169&amp;FD$1)</f>
        <v/>
      </c>
      <c r="FE169" s="30" t="str">
        <f t="shared" ref="FE169" si="2759">IF(BY169="","","|n"&amp;FE$2&amp;"+"&amp;BY169&amp;FE$1)</f>
        <v/>
      </c>
      <c r="FF169" s="30" t="str">
        <f t="shared" ref="FF169" si="2760">IF(BZ169="","","|n"&amp;FF$2&amp;"+"&amp;BZ169&amp;FF$1)</f>
        <v/>
      </c>
      <c r="FG169" s="30" t="str">
        <f t="shared" ref="FG169" si="2761">IF(CA169="","","|n"&amp;FG$2&amp;"+"&amp;CA169&amp;FG$1)</f>
        <v/>
      </c>
      <c r="FH169" s="30" t="str">
        <f t="shared" ref="FH169" si="2762">IF(CB169="","","|n"&amp;FH$2&amp;"+"&amp;CB169&amp;FH$1)</f>
        <v/>
      </c>
      <c r="FI169" s="30" t="str">
        <f t="shared" ref="FI169" si="2763">IF(CC169="","","|n"&amp;FI$2&amp;"+"&amp;CC169&amp;FI$1)</f>
        <v/>
      </c>
      <c r="FJ169" s="30" t="str">
        <f t="shared" ref="FJ169" si="2764">IF(CD169="","","|n"&amp;FJ$2&amp;"+"&amp;CD169&amp;FJ$1)</f>
        <v/>
      </c>
      <c r="FK169" s="30" t="str">
        <f t="shared" ref="FK169" si="2765">IF(CE169="","","|n"&amp;FK$2&amp;"+"&amp;CE169&amp;FK$1)</f>
        <v/>
      </c>
      <c r="FL169" s="30" t="str">
        <f t="shared" ref="FL169" si="2766">IF(CF169="","","|n"&amp;FL$2&amp;"+"&amp;CF169&amp;FL$1)</f>
        <v/>
      </c>
      <c r="FM169" s="30" t="str">
        <f t="shared" ref="FM169" si="2767">IF(CG169="","","|n"&amp;FM$2&amp;"+"&amp;CG169&amp;FM$1)</f>
        <v/>
      </c>
      <c r="FN169" s="30" t="str">
        <f t="shared" ref="FN169" si="2768">IF(CH169="","","|n"&amp;FN$2&amp;"+"&amp;CH169&amp;FN$1)</f>
        <v/>
      </c>
      <c r="FO169" s="30" t="str">
        <f t="shared" ref="FO169" si="2769">IF(CI169="","","|n"&amp;FO$2&amp;"+"&amp;CI169&amp;FO$1)</f>
        <v/>
      </c>
      <c r="FP169" s="30" t="str">
        <f t="shared" ref="FP169" si="2770">IF(CJ169="","","|n"&amp;FP$2&amp;"+"&amp;CJ169&amp;FP$1)</f>
        <v/>
      </c>
      <c r="FQ169" s="30" t="str">
        <f t="shared" ref="FQ169" si="2771">IF(CK169="","","|n"&amp;FQ$2&amp;"+"&amp;CK169&amp;FQ$1)</f>
        <v/>
      </c>
      <c r="FR169" s="30" t="str">
        <f t="shared" ref="FR169" si="2772">IF(CL169="","","|n"&amp;FR$2&amp;"+"&amp;CL169&amp;FR$1)</f>
        <v/>
      </c>
      <c r="FS169" s="30" t="str">
        <f t="shared" ref="FS169" si="2773">IF(CM169="","","|n"&amp;FS$2&amp;"+"&amp;CM169&amp;FS$1)</f>
        <v/>
      </c>
    </row>
    <row r="170" spans="1:175" ht="16.5">
      <c r="A170" s="114"/>
      <c r="B170" s="110" t="s">
        <v>388</v>
      </c>
      <c r="C170" s="114" t="s">
        <v>389</v>
      </c>
      <c r="T170" s="114" t="s">
        <v>389</v>
      </c>
      <c r="U170" s="32" t="str">
        <f t="shared" si="944"/>
        <v>ReplaceableTextures\\CommandButtons\\BTNIH00.blp</v>
      </c>
      <c r="CN170" s="7" t="str">
        <f t="shared" si="2621"/>
        <v>InitUnitState('IH00',,,,,,,,,,)</v>
      </c>
      <c r="CO170" s="7" t="str">
        <f t="shared" si="2622"/>
        <v>InitUnitNormal('IH00',,,,,,,,,,)</v>
      </c>
      <c r="CP170" s="7" t="str">
        <f t="shared" si="2623"/>
        <v>InitUnitMagic('IH00',,,,,,,,,,)</v>
      </c>
      <c r="CQ170" s="7" t="str">
        <f t="shared" si="2624"/>
        <v>InitUnitAdd('IH00',,,,,,,,,,)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InitEquipData('IH00',,"",,,,,'','','','','','',"ReplaceableTextures\\CommandButtons\\BTNIH01.blp")</v>
      </c>
      <c r="CU170" s="45" t="str">
        <f t="shared" si="2626"/>
        <v>|n</v>
      </c>
      <c r="CV170" s="29" t="str">
        <f t="shared" si="2627"/>
        <v>觉醒兽魂</v>
      </c>
      <c r="CW170" s="24"/>
      <c r="CX170" s="24"/>
      <c r="CY170" s="24"/>
      <c r="CZ170" s="24"/>
      <c r="DA170" s="24"/>
      <c r="DB170" s="30" t="str">
        <f t="shared" si="2628"/>
        <v/>
      </c>
      <c r="DC170" s="30" t="str">
        <f t="shared" si="2629"/>
        <v/>
      </c>
      <c r="DD170" s="30" t="str">
        <f t="shared" si="2630"/>
        <v/>
      </c>
      <c r="DE170" s="30" t="str">
        <f t="shared" si="2631"/>
        <v/>
      </c>
      <c r="DF170" s="30" t="str">
        <f t="shared" si="2632"/>
        <v/>
      </c>
      <c r="DG170" s="30" t="str">
        <f t="shared" si="2633"/>
        <v/>
      </c>
      <c r="DH170" s="30" t="str">
        <f t="shared" si="2634"/>
        <v/>
      </c>
      <c r="DI170" s="30" t="str">
        <f t="shared" si="2635"/>
        <v/>
      </c>
      <c r="DJ170" s="30" t="str">
        <f t="shared" si="2636"/>
        <v/>
      </c>
      <c r="DK170" s="30" t="str">
        <f t="shared" si="2637"/>
        <v/>
      </c>
      <c r="DL170" s="30" t="str">
        <f t="shared" si="2638"/>
        <v/>
      </c>
      <c r="DM170" s="30" t="str">
        <f t="shared" si="2639"/>
        <v/>
      </c>
      <c r="DN170" s="30" t="str">
        <f t="shared" si="2640"/>
        <v/>
      </c>
      <c r="DO170" s="30" t="str">
        <f t="shared" si="2641"/>
        <v/>
      </c>
      <c r="DP170" s="30" t="str">
        <f t="shared" si="2642"/>
        <v/>
      </c>
      <c r="DQ170" s="30" t="str">
        <f t="shared" si="2643"/>
        <v/>
      </c>
      <c r="DR170" s="30" t="str">
        <f t="shared" si="2644"/>
        <v/>
      </c>
      <c r="DS170" s="30" t="str">
        <f t="shared" si="2645"/>
        <v/>
      </c>
      <c r="DT170" s="30" t="str">
        <f t="shared" si="2646"/>
        <v/>
      </c>
      <c r="DU170" s="30" t="str">
        <f t="shared" si="2647"/>
        <v/>
      </c>
      <c r="DV170" s="30" t="str">
        <f t="shared" si="2648"/>
        <v/>
      </c>
      <c r="DW170" s="30" t="str">
        <f t="shared" si="2649"/>
        <v/>
      </c>
      <c r="DX170" s="30" t="str">
        <f t="shared" si="2650"/>
        <v/>
      </c>
      <c r="DY170" s="30" t="str">
        <f t="shared" si="2651"/>
        <v/>
      </c>
      <c r="DZ170" s="30" t="str">
        <f t="shared" si="2652"/>
        <v/>
      </c>
      <c r="EA170" s="30" t="str">
        <f t="shared" si="2653"/>
        <v/>
      </c>
      <c r="EB170" s="30" t="str">
        <f t="shared" si="2654"/>
        <v/>
      </c>
      <c r="EC170" s="30" t="str">
        <f t="shared" si="2655"/>
        <v/>
      </c>
      <c r="ED170" s="30" t="str">
        <f t="shared" si="2656"/>
        <v/>
      </c>
      <c r="EE170" s="30" t="str">
        <f t="shared" si="2657"/>
        <v/>
      </c>
      <c r="EF170" s="30" t="str">
        <f t="shared" si="2658"/>
        <v/>
      </c>
      <c r="EG170" s="30" t="str">
        <f t="shared" si="2659"/>
        <v/>
      </c>
      <c r="EH170" s="30" t="str">
        <f t="shared" si="2660"/>
        <v/>
      </c>
      <c r="EI170" s="30" t="str">
        <f t="shared" si="2661"/>
        <v/>
      </c>
      <c r="EJ170" s="30" t="str">
        <f t="shared" si="2662"/>
        <v/>
      </c>
      <c r="EK170" s="30" t="str">
        <f t="shared" si="2663"/>
        <v/>
      </c>
      <c r="EL170" s="30" t="str">
        <f t="shared" si="2664"/>
        <v/>
      </c>
      <c r="EM170" s="30" t="str">
        <f t="shared" si="2665"/>
        <v/>
      </c>
      <c r="EN170" s="30" t="str">
        <f t="shared" si="2666"/>
        <v/>
      </c>
      <c r="EO170" s="30" t="str">
        <f t="shared" si="2667"/>
        <v/>
      </c>
      <c r="EP170" s="30" t="str">
        <f t="shared" si="2668"/>
        <v/>
      </c>
      <c r="EQ170" s="30" t="str">
        <f t="shared" si="2669"/>
        <v/>
      </c>
      <c r="ER170" s="30" t="str">
        <f t="shared" si="2670"/>
        <v/>
      </c>
      <c r="ES170" s="30" t="str">
        <f t="shared" si="2671"/>
        <v/>
      </c>
      <c r="ET170" s="30" t="str">
        <f t="shared" si="2672"/>
        <v/>
      </c>
      <c r="EU170" s="30" t="str">
        <f t="shared" si="2673"/>
        <v/>
      </c>
      <c r="EV170" s="30" t="str">
        <f t="shared" si="2674"/>
        <v/>
      </c>
      <c r="EW170" s="30" t="str">
        <f t="shared" si="2675"/>
        <v/>
      </c>
      <c r="EX170" s="30" t="str">
        <f t="shared" si="2676"/>
        <v/>
      </c>
      <c r="EY170" s="30" t="str">
        <f t="shared" si="2677"/>
        <v/>
      </c>
      <c r="EZ170" s="30" t="str">
        <f t="shared" si="2678"/>
        <v/>
      </c>
      <c r="FA170" s="30" t="str">
        <f t="shared" si="2679"/>
        <v/>
      </c>
      <c r="FB170" s="30" t="str">
        <f t="shared" si="2680"/>
        <v/>
      </c>
      <c r="FC170" s="30" t="str">
        <f t="shared" si="2681"/>
        <v/>
      </c>
      <c r="FD170" s="30" t="str">
        <f t="shared" si="2682"/>
        <v/>
      </c>
      <c r="FE170" s="30" t="str">
        <f t="shared" si="2683"/>
        <v/>
      </c>
      <c r="FF170" s="30" t="str">
        <f t="shared" si="2684"/>
        <v/>
      </c>
      <c r="FG170" s="30" t="str">
        <f t="shared" si="2685"/>
        <v/>
      </c>
      <c r="FH170" s="30" t="str">
        <f t="shared" si="2686"/>
        <v/>
      </c>
      <c r="FI170" s="30" t="str">
        <f t="shared" si="2687"/>
        <v/>
      </c>
      <c r="FJ170" s="30" t="str">
        <f t="shared" si="2688"/>
        <v/>
      </c>
      <c r="FK170" s="30" t="str">
        <f t="shared" si="2689"/>
        <v/>
      </c>
      <c r="FL170" s="30" t="str">
        <f t="shared" si="2690"/>
        <v/>
      </c>
      <c r="FM170" s="30" t="str">
        <f t="shared" si="2691"/>
        <v/>
      </c>
      <c r="FN170" s="30" t="str">
        <f t="shared" si="2692"/>
        <v/>
      </c>
      <c r="FO170" s="30" t="str">
        <f t="shared" si="2693"/>
        <v/>
      </c>
      <c r="FP170" s="30" t="str">
        <f t="shared" si="2694"/>
        <v/>
      </c>
      <c r="FQ170" s="30" t="str">
        <f t="shared" si="2695"/>
        <v/>
      </c>
      <c r="FR170" s="30" t="str">
        <f t="shared" si="2696"/>
        <v/>
      </c>
      <c r="FS170" s="30" t="str">
        <f t="shared" si="2697"/>
        <v/>
      </c>
    </row>
    <row r="171" spans="1:175" ht="16.5">
      <c r="A171" s="114"/>
      <c r="B171" s="110" t="s">
        <v>390</v>
      </c>
      <c r="C171" s="114" t="s">
        <v>391</v>
      </c>
      <c r="T171" s="114" t="s">
        <v>389</v>
      </c>
      <c r="U171" s="32" t="str">
        <f t="shared" si="944"/>
        <v>ReplaceableTextures\\CommandButtons\\BTNIH01.blp</v>
      </c>
      <c r="CN171" s="7" t="str">
        <f t="shared" ref="CN171" si="2774">"InitUnitState('"&amp;B171&amp;"',"&amp;V171&amp;","&amp;W171&amp;","&amp;X171&amp;","&amp;Y171&amp;","&amp;Z171&amp;","&amp;AA171&amp;","&amp;AB171&amp;","&amp;AC171&amp;","&amp;AD171&amp;","&amp;AE171&amp;")"</f>
        <v>InitUnitState('IH01',,,,,,,,,,)</v>
      </c>
      <c r="CO171" s="7" t="str">
        <f t="shared" ref="CO171" si="2775">"InitUnitNormal('"&amp;B171&amp;"',"&amp;AF171&amp;","&amp;AG171&amp;","&amp;AH171&amp;","&amp;AI171&amp;","&amp;AJ171&amp;","&amp;AK171&amp;","&amp;AL171&amp;","&amp;AM171&amp;","&amp;AN171&amp;","&amp;AO171&amp;")"</f>
        <v>InitUnitNormal('IH01',,,,,,,,,,)</v>
      </c>
      <c r="CP171" s="7" t="str">
        <f t="shared" ref="CP171" si="2776">"InitUnitMagic('"&amp;B171&amp;"',"&amp;AP171&amp;","&amp;AQ171&amp;","&amp;AR171&amp;","&amp;AS171&amp;","&amp;AT171&amp;","&amp;AU171&amp;","&amp;AV171&amp;","&amp;AW171&amp;","&amp;BI171&amp;","&amp;BJ171&amp;")"</f>
        <v>InitUnitMagic('IH01',,,,,,,,,,)</v>
      </c>
      <c r="CQ171" s="7" t="str">
        <f t="shared" ref="CQ171" si="2777">"InitUnitAdd('"&amp;B171&amp;"',"&amp;BK171&amp;","&amp;BL171&amp;","&amp;BM171&amp;","&amp;BN171&amp;","&amp;BO171&amp;","&amp;BP171&amp;","&amp;BQ171&amp;","&amp;BR171&amp;","&amp;BS171&amp;","&amp;BT171&amp;")"</f>
        <v>InitUnitAdd('IH01',,,,,,,,,,)</v>
      </c>
      <c r="CR171" s="7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InitEquipData('IH01',,"",,,,,'','','','','','',"ReplaceableTextures\\CommandButtons\\BTNIH02.blp")</v>
      </c>
      <c r="CU171" s="45" t="str">
        <f t="shared" ref="CU171" si="277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" si="2779">T171</f>
        <v>觉醒兽魂</v>
      </c>
      <c r="CW171" s="24"/>
      <c r="CX171" s="24"/>
      <c r="CY171" s="24"/>
      <c r="CZ171" s="24"/>
      <c r="DA171" s="24"/>
      <c r="DB171" s="30" t="str">
        <f t="shared" ref="DB171" si="2780">IF(V171="","","|n"&amp;DB$2&amp;"+"&amp;V171&amp;DB$1)</f>
        <v/>
      </c>
      <c r="DC171" s="30" t="str">
        <f t="shared" ref="DC171" si="2781">IF(W171="","","|n"&amp;DC$2&amp;"+"&amp;W171&amp;DC$1)</f>
        <v/>
      </c>
      <c r="DD171" s="30" t="str">
        <f t="shared" ref="DD171" si="2782">IF(X171="","","|n"&amp;DD$2&amp;"+"&amp;X171&amp;DD$1)</f>
        <v/>
      </c>
      <c r="DE171" s="30" t="str">
        <f t="shared" ref="DE171" si="2783">IF(Y171="","","|n"&amp;DE$2&amp;"+"&amp;Y171&amp;DE$1)</f>
        <v/>
      </c>
      <c r="DF171" s="30" t="str">
        <f t="shared" ref="DF171" si="2784">IF(Z171="","","|n"&amp;DF$2&amp;"+"&amp;Z171&amp;DF$1)</f>
        <v/>
      </c>
      <c r="DG171" s="30" t="str">
        <f t="shared" ref="DG171" si="2785">IF(AA171="","","|n"&amp;DG$2&amp;"+"&amp;AA171&amp;DG$1)</f>
        <v/>
      </c>
      <c r="DH171" s="30" t="str">
        <f t="shared" ref="DH171" si="2786">IF(AB171="","","|n"&amp;DH$2&amp;"+"&amp;AB171&amp;DH$1)</f>
        <v/>
      </c>
      <c r="DI171" s="30" t="str">
        <f t="shared" ref="DI171" si="2787">IF(AC171="","","|n"&amp;DI$2&amp;"+"&amp;AC171&amp;DI$1)</f>
        <v/>
      </c>
      <c r="DJ171" s="30" t="str">
        <f t="shared" ref="DJ171" si="2788">IF(AD171="","","|n"&amp;DJ$2&amp;"+"&amp;AD171&amp;DJ$1)</f>
        <v/>
      </c>
      <c r="DK171" s="30" t="str">
        <f t="shared" ref="DK171" si="2789">IF(AE171="","","|n"&amp;DK$2&amp;"+"&amp;AE171&amp;DK$1)</f>
        <v/>
      </c>
      <c r="DL171" s="30" t="str">
        <f t="shared" ref="DL171" si="2790">IF(AF171="","","|n"&amp;DL$2&amp;"+"&amp;AF171&amp;DL$1)</f>
        <v/>
      </c>
      <c r="DM171" s="30" t="str">
        <f t="shared" ref="DM171" si="2791">IF(AG171="","","|n"&amp;DM$2&amp;"+"&amp;AG171&amp;DM$1)</f>
        <v/>
      </c>
      <c r="DN171" s="30" t="str">
        <f t="shared" ref="DN171" si="2792">IF(AH171="","","|n"&amp;DN$2&amp;"+"&amp;AH171&amp;DN$1)</f>
        <v/>
      </c>
      <c r="DO171" s="30" t="str">
        <f t="shared" ref="DO171" si="2793">IF(AI171="","","|n"&amp;DO$2&amp;"+"&amp;AI171&amp;DO$1)</f>
        <v/>
      </c>
      <c r="DP171" s="30" t="str">
        <f t="shared" ref="DP171" si="2794">IF(AJ171="","","|n"&amp;DP$2&amp;"+"&amp;AJ171&amp;DP$1)</f>
        <v/>
      </c>
      <c r="DQ171" s="30" t="str">
        <f t="shared" ref="DQ171" si="2795">IF(AK171="","","|n"&amp;DQ$2&amp;"+"&amp;AK171&amp;DQ$1)</f>
        <v/>
      </c>
      <c r="DR171" s="30" t="str">
        <f t="shared" ref="DR171" si="2796">IF(AL171="","","|n"&amp;DR$2&amp;"+"&amp;AL171&amp;DR$1)</f>
        <v/>
      </c>
      <c r="DS171" s="30" t="str">
        <f t="shared" ref="DS171" si="2797">IF(AM171="","","|n"&amp;DS$2&amp;"+"&amp;AM171&amp;DS$1)</f>
        <v/>
      </c>
      <c r="DT171" s="30" t="str">
        <f t="shared" ref="DT171" si="2798">IF(AN171="","","|n"&amp;DT$2&amp;"+"&amp;AN171&amp;DT$1)</f>
        <v/>
      </c>
      <c r="DU171" s="30" t="str">
        <f t="shared" ref="DU171" si="2799">IF(AO171="","","|n"&amp;DU$2&amp;"+"&amp;AO171&amp;DU$1)</f>
        <v/>
      </c>
      <c r="DV171" s="30" t="str">
        <f t="shared" ref="DV171" si="2800">IF(AP171="","","|n"&amp;DV$2&amp;"+"&amp;AP171&amp;DV$1)</f>
        <v/>
      </c>
      <c r="DW171" s="30" t="str">
        <f t="shared" ref="DW171" si="2801">IF(AQ171="","","|n"&amp;DW$2&amp;"+"&amp;AQ171&amp;DW$1)</f>
        <v/>
      </c>
      <c r="DX171" s="30" t="str">
        <f t="shared" ref="DX171" si="2802">IF(AR171="","","|n"&amp;DX$2&amp;"+"&amp;AR171&amp;DX$1)</f>
        <v/>
      </c>
      <c r="DY171" s="30" t="str">
        <f t="shared" ref="DY171" si="2803">IF(AS171="","","|n"&amp;DY$2&amp;"+"&amp;AS171&amp;DY$1)</f>
        <v/>
      </c>
      <c r="DZ171" s="30" t="str">
        <f t="shared" ref="DZ171" si="2804">IF(AT171="","","|n"&amp;DZ$2&amp;"+"&amp;AT171&amp;DZ$1)</f>
        <v/>
      </c>
      <c r="EA171" s="30" t="str">
        <f t="shared" ref="EA171" si="2805">IF(AU171="","","|n"&amp;EA$2&amp;"+"&amp;AU171&amp;EA$1)</f>
        <v/>
      </c>
      <c r="EB171" s="30" t="str">
        <f t="shared" ref="EB171" si="2806">IF(AV171="","","|n"&amp;EB$2&amp;"+"&amp;AV171&amp;EB$1)</f>
        <v/>
      </c>
      <c r="EC171" s="30" t="str">
        <f t="shared" ref="EC171" si="2807">IF(AW171="","","|n"&amp;EC$2&amp;"+"&amp;AW171&amp;EC$1)</f>
        <v/>
      </c>
      <c r="ED171" s="30" t="str">
        <f t="shared" ref="ED171" si="2808">IF(AX171="","","|n"&amp;ED$2&amp;"+"&amp;AX171&amp;ED$1)</f>
        <v/>
      </c>
      <c r="EE171" s="30" t="str">
        <f t="shared" ref="EE171" si="2809">IF(AY171="","","|n"&amp;EE$2&amp;"+"&amp;AY171&amp;EE$1)</f>
        <v/>
      </c>
      <c r="EF171" s="30" t="str">
        <f t="shared" ref="EF171" si="2810">IF(AZ171="","","|n"&amp;EF$2&amp;"+"&amp;AZ171&amp;EF$1)</f>
        <v/>
      </c>
      <c r="EG171" s="30" t="str">
        <f t="shared" ref="EG171" si="2811">IF(BA171="","","|n"&amp;EG$2&amp;"+"&amp;BA171&amp;EG$1)</f>
        <v/>
      </c>
      <c r="EH171" s="30" t="str">
        <f t="shared" ref="EH171" si="2812">IF(BB171="","","|n"&amp;EH$2&amp;"+"&amp;BB171&amp;EH$1)</f>
        <v/>
      </c>
      <c r="EI171" s="30" t="str">
        <f t="shared" ref="EI171" si="2813">IF(BC171="","","|n"&amp;EI$2&amp;"+"&amp;BC171&amp;EI$1)</f>
        <v/>
      </c>
      <c r="EJ171" s="30" t="str">
        <f t="shared" ref="EJ171" si="2814">IF(BD171="","","|n"&amp;EJ$2&amp;"+"&amp;BD171&amp;EJ$1)</f>
        <v/>
      </c>
      <c r="EK171" s="30" t="str">
        <f t="shared" ref="EK171" si="2815">IF(BE171="","","|n"&amp;EK$2&amp;"+"&amp;BE171&amp;EK$1)</f>
        <v/>
      </c>
      <c r="EL171" s="30" t="str">
        <f t="shared" ref="EL171" si="2816">IF(BF171="","","|n"&amp;EL$2&amp;"+"&amp;BF171&amp;EL$1)</f>
        <v/>
      </c>
      <c r="EM171" s="30" t="str">
        <f t="shared" ref="EM171" si="2817">IF(BG171="","","|n"&amp;EM$2&amp;"+"&amp;BG171&amp;EM$1)</f>
        <v/>
      </c>
      <c r="EN171" s="30" t="str">
        <f t="shared" ref="EN171" si="2818">IF(BH171="","","|n"&amp;EN$2&amp;"+"&amp;BH171&amp;EN$1)</f>
        <v/>
      </c>
      <c r="EO171" s="30" t="str">
        <f t="shared" ref="EO171" si="2819">IF(BI171="","","|n"&amp;EO$2&amp;"+"&amp;BI171&amp;EO$1)</f>
        <v/>
      </c>
      <c r="EP171" s="30" t="str">
        <f t="shared" ref="EP171" si="2820">IF(BJ171="","","|n"&amp;EP$2&amp;"+"&amp;BJ171&amp;EP$1)</f>
        <v/>
      </c>
      <c r="EQ171" s="30" t="str">
        <f t="shared" ref="EQ171" si="2821">IF(BK171="","","|n"&amp;EQ$2&amp;"+"&amp;BK171&amp;EQ$1)</f>
        <v/>
      </c>
      <c r="ER171" s="30" t="str">
        <f t="shared" ref="ER171" si="2822">IF(BL171="","","|n"&amp;ER$2&amp;"+"&amp;BL171&amp;ER$1)</f>
        <v/>
      </c>
      <c r="ES171" s="30" t="str">
        <f t="shared" ref="ES171" si="2823">IF(BM171="","","|n"&amp;ES$2&amp;"+"&amp;BM171&amp;ES$1)</f>
        <v/>
      </c>
      <c r="ET171" s="30" t="str">
        <f t="shared" ref="ET171" si="2824">IF(BN171="","","|n"&amp;ET$2&amp;"+"&amp;BN171&amp;ET$1)</f>
        <v/>
      </c>
      <c r="EU171" s="30" t="str">
        <f t="shared" ref="EU171" si="2825">IF(BO171="","","|n"&amp;EU$2&amp;"+"&amp;BO171&amp;EU$1)</f>
        <v/>
      </c>
      <c r="EV171" s="30" t="str">
        <f t="shared" ref="EV171" si="2826">IF(BP171="","","|n"&amp;EV$2&amp;"+"&amp;BP171&amp;EV$1)</f>
        <v/>
      </c>
      <c r="EW171" s="30" t="str">
        <f t="shared" ref="EW171" si="2827">IF(BQ171="","","|n"&amp;EW$2&amp;"+"&amp;BQ171&amp;EW$1)</f>
        <v/>
      </c>
      <c r="EX171" s="30" t="str">
        <f t="shared" ref="EX171" si="2828">IF(BR171="","","|n"&amp;EX$2&amp;"+"&amp;BR171&amp;EX$1)</f>
        <v/>
      </c>
      <c r="EY171" s="30" t="str">
        <f t="shared" ref="EY171" si="2829">IF(BS171="","","|n"&amp;EY$2&amp;"+"&amp;BS171&amp;EY$1)</f>
        <v/>
      </c>
      <c r="EZ171" s="30" t="str">
        <f t="shared" ref="EZ171" si="2830">IF(BT171="","","|n"&amp;EZ$2&amp;"+"&amp;BT171&amp;EZ$1)</f>
        <v/>
      </c>
      <c r="FA171" s="30" t="str">
        <f t="shared" ref="FA171" si="2831">IF(BU171="","","|n"&amp;FA$2&amp;"+"&amp;BU171&amp;FA$1)</f>
        <v/>
      </c>
      <c r="FB171" s="30" t="str">
        <f t="shared" ref="FB171" si="2832">IF(BV171="","","|n"&amp;FB$2&amp;"+"&amp;BV171&amp;FB$1)</f>
        <v/>
      </c>
      <c r="FC171" s="30" t="str">
        <f t="shared" ref="FC171" si="2833">IF(BW171="","","|n"&amp;FC$2&amp;"+"&amp;BW171&amp;FC$1)</f>
        <v/>
      </c>
      <c r="FD171" s="30" t="str">
        <f t="shared" ref="FD171" si="2834">IF(BX171="","","|n"&amp;FD$2&amp;"+"&amp;BX171&amp;FD$1)</f>
        <v/>
      </c>
      <c r="FE171" s="30" t="str">
        <f t="shared" ref="FE171" si="2835">IF(BY171="","","|n"&amp;FE$2&amp;"+"&amp;BY171&amp;FE$1)</f>
        <v/>
      </c>
      <c r="FF171" s="30" t="str">
        <f t="shared" ref="FF171" si="2836">IF(BZ171="","","|n"&amp;FF$2&amp;"+"&amp;BZ171&amp;FF$1)</f>
        <v/>
      </c>
      <c r="FG171" s="30" t="str">
        <f t="shared" ref="FG171" si="2837">IF(CA171="","","|n"&amp;FG$2&amp;"+"&amp;CA171&amp;FG$1)</f>
        <v/>
      </c>
      <c r="FH171" s="30" t="str">
        <f t="shared" ref="FH171" si="2838">IF(CB171="","","|n"&amp;FH$2&amp;"+"&amp;CB171&amp;FH$1)</f>
        <v/>
      </c>
      <c r="FI171" s="30" t="str">
        <f t="shared" ref="FI171" si="2839">IF(CC171="","","|n"&amp;FI$2&amp;"+"&amp;CC171&amp;FI$1)</f>
        <v/>
      </c>
      <c r="FJ171" s="30" t="str">
        <f t="shared" ref="FJ171" si="2840">IF(CD171="","","|n"&amp;FJ$2&amp;"+"&amp;CD171&amp;FJ$1)</f>
        <v/>
      </c>
      <c r="FK171" s="30" t="str">
        <f t="shared" ref="FK171" si="2841">IF(CE171="","","|n"&amp;FK$2&amp;"+"&amp;CE171&amp;FK$1)</f>
        <v/>
      </c>
      <c r="FL171" s="30" t="str">
        <f t="shared" ref="FL171" si="2842">IF(CF171="","","|n"&amp;FL$2&amp;"+"&amp;CF171&amp;FL$1)</f>
        <v/>
      </c>
      <c r="FM171" s="30" t="str">
        <f t="shared" ref="FM171" si="2843">IF(CG171="","","|n"&amp;FM$2&amp;"+"&amp;CG171&amp;FM$1)</f>
        <v/>
      </c>
      <c r="FN171" s="30" t="str">
        <f t="shared" ref="FN171" si="2844">IF(CH171="","","|n"&amp;FN$2&amp;"+"&amp;CH171&amp;FN$1)</f>
        <v/>
      </c>
      <c r="FO171" s="30" t="str">
        <f t="shared" ref="FO171" si="2845">IF(CI171="","","|n"&amp;FO$2&amp;"+"&amp;CI171&amp;FO$1)</f>
        <v/>
      </c>
      <c r="FP171" s="30" t="str">
        <f t="shared" ref="FP171" si="2846">IF(CJ171="","","|n"&amp;FP$2&amp;"+"&amp;CJ171&amp;FP$1)</f>
        <v/>
      </c>
      <c r="FQ171" s="30" t="str">
        <f t="shared" ref="FQ171" si="2847">IF(CK171="","","|n"&amp;FQ$2&amp;"+"&amp;CK171&amp;FQ$1)</f>
        <v/>
      </c>
      <c r="FR171" s="30" t="str">
        <f t="shared" ref="FR171" si="2848">IF(CL171="","","|n"&amp;FR$2&amp;"+"&amp;CL171&amp;FR$1)</f>
        <v/>
      </c>
      <c r="FS171" s="30" t="str">
        <f t="shared" ref="FS171" si="2849">IF(CM171="","","|n"&amp;FS$2&amp;"+"&amp;CM171&amp;FS$1)</f>
        <v/>
      </c>
    </row>
    <row r="172" spans="1:175" ht="16.5">
      <c r="A172" s="114"/>
      <c r="B172" s="110" t="s">
        <v>392</v>
      </c>
      <c r="C172" s="114" t="s">
        <v>393</v>
      </c>
      <c r="T172" s="114" t="s">
        <v>389</v>
      </c>
      <c r="U172" s="32" t="str">
        <f t="shared" si="944"/>
        <v>ReplaceableTextures\\CommandButtons\\BTNIH02.blp</v>
      </c>
      <c r="CN172" s="7" t="str">
        <f t="shared" ref="CN172:CN178" si="2850">"InitUnitState('"&amp;B172&amp;"',"&amp;V172&amp;","&amp;W172&amp;","&amp;X172&amp;","&amp;Y172&amp;","&amp;Z172&amp;","&amp;AA172&amp;","&amp;AB172&amp;","&amp;AC172&amp;","&amp;AD172&amp;","&amp;AE172&amp;")"</f>
        <v>InitUnitState('IH02',,,,,,,,,,)</v>
      </c>
      <c r="CO172" s="7" t="str">
        <f t="shared" ref="CO172:CO178" si="2851">"InitUnitNormal('"&amp;B172&amp;"',"&amp;AF172&amp;","&amp;AG172&amp;","&amp;AH172&amp;","&amp;AI172&amp;","&amp;AJ172&amp;","&amp;AK172&amp;","&amp;AL172&amp;","&amp;AM172&amp;","&amp;AN172&amp;","&amp;AO172&amp;")"</f>
        <v>InitUnitNormal('IH02',,,,,,,,,,)</v>
      </c>
      <c r="CP172" s="7" t="str">
        <f t="shared" ref="CP172:CP178" si="2852">"InitUnitMagic('"&amp;B172&amp;"',"&amp;AP172&amp;","&amp;AQ172&amp;","&amp;AR172&amp;","&amp;AS172&amp;","&amp;AT172&amp;","&amp;AU172&amp;","&amp;AV172&amp;","&amp;AW172&amp;","&amp;BI172&amp;","&amp;BJ172&amp;")"</f>
        <v>InitUnitMagic('IH02',,,,,,,,,,)</v>
      </c>
      <c r="CQ172" s="7" t="str">
        <f t="shared" ref="CQ172:CQ178" si="2853">"InitUnitAdd('"&amp;B172&amp;"',"&amp;BK172&amp;","&amp;BL172&amp;","&amp;BM172&amp;","&amp;BN172&amp;","&amp;BO172&amp;","&amp;BP172&amp;","&amp;BQ172&amp;","&amp;BR172&amp;","&amp;BS172&amp;","&amp;BT172&amp;")"</f>
        <v>InitUnitAdd('IH02',,,,,,,,,,)</v>
      </c>
      <c r="CR172" s="7" t="str">
        <f t="shared" ref="CR172:CR177" si="2854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InitEquipData('IH02',,"",,,,,'','','','','','',"ReplaceableTextures\\CommandButtons\\BTNIH03.blp")</v>
      </c>
      <c r="CU172" s="45" t="str">
        <f t="shared" ref="CU172:CU178" si="285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29" t="str">
        <f t="shared" ref="CV172:CV178" si="2856">T172</f>
        <v>觉醒兽魂</v>
      </c>
      <c r="CW172" s="24"/>
      <c r="CX172" s="24"/>
      <c r="CY172" s="24"/>
      <c r="CZ172" s="24"/>
      <c r="DA172" s="24"/>
      <c r="DB172" s="30" t="str">
        <f t="shared" ref="DB172:DB178" si="2857">IF(V172="","","|n"&amp;DB$2&amp;"+"&amp;V172&amp;DB$1)</f>
        <v/>
      </c>
      <c r="DC172" s="30" t="str">
        <f t="shared" ref="DC172:DC178" si="2858">IF(W172="","","|n"&amp;DC$2&amp;"+"&amp;W172&amp;DC$1)</f>
        <v/>
      </c>
      <c r="DD172" s="30" t="str">
        <f t="shared" ref="DD172:DD178" si="2859">IF(X172="","","|n"&amp;DD$2&amp;"+"&amp;X172&amp;DD$1)</f>
        <v/>
      </c>
      <c r="DE172" s="30" t="str">
        <f t="shared" ref="DE172:DE178" si="2860">IF(Y172="","","|n"&amp;DE$2&amp;"+"&amp;Y172&amp;DE$1)</f>
        <v/>
      </c>
      <c r="DF172" s="30" t="str">
        <f t="shared" ref="DF172:DF178" si="2861">IF(Z172="","","|n"&amp;DF$2&amp;"+"&amp;Z172&amp;DF$1)</f>
        <v/>
      </c>
      <c r="DG172" s="30" t="str">
        <f t="shared" ref="DG172:DG178" si="2862">IF(AA172="","","|n"&amp;DG$2&amp;"+"&amp;AA172&amp;DG$1)</f>
        <v/>
      </c>
      <c r="DH172" s="30" t="str">
        <f t="shared" ref="DH172:DH178" si="2863">IF(AB172="","","|n"&amp;DH$2&amp;"+"&amp;AB172&amp;DH$1)</f>
        <v/>
      </c>
      <c r="DI172" s="30" t="str">
        <f t="shared" ref="DI172:DI178" si="2864">IF(AC172="","","|n"&amp;DI$2&amp;"+"&amp;AC172&amp;DI$1)</f>
        <v/>
      </c>
      <c r="DJ172" s="30" t="str">
        <f t="shared" ref="DJ172:DJ178" si="2865">IF(AD172="","","|n"&amp;DJ$2&amp;"+"&amp;AD172&amp;DJ$1)</f>
        <v/>
      </c>
      <c r="DK172" s="30" t="str">
        <f t="shared" ref="DK172:DK178" si="2866">IF(AE172="","","|n"&amp;DK$2&amp;"+"&amp;AE172&amp;DK$1)</f>
        <v/>
      </c>
      <c r="DL172" s="30" t="str">
        <f t="shared" ref="DL172:DL178" si="2867">IF(AF172="","","|n"&amp;DL$2&amp;"+"&amp;AF172&amp;DL$1)</f>
        <v/>
      </c>
      <c r="DM172" s="30" t="str">
        <f t="shared" ref="DM172:DM178" si="2868">IF(AG172="","","|n"&amp;DM$2&amp;"+"&amp;AG172&amp;DM$1)</f>
        <v/>
      </c>
      <c r="DN172" s="30" t="str">
        <f t="shared" ref="DN172:DN178" si="2869">IF(AH172="","","|n"&amp;DN$2&amp;"+"&amp;AH172&amp;DN$1)</f>
        <v/>
      </c>
      <c r="DO172" s="30" t="str">
        <f t="shared" ref="DO172:DO178" si="2870">IF(AI172="","","|n"&amp;DO$2&amp;"+"&amp;AI172&amp;DO$1)</f>
        <v/>
      </c>
      <c r="DP172" s="30" t="str">
        <f t="shared" ref="DP172:DP178" si="2871">IF(AJ172="","","|n"&amp;DP$2&amp;"+"&amp;AJ172&amp;DP$1)</f>
        <v/>
      </c>
      <c r="DQ172" s="30" t="str">
        <f t="shared" ref="DQ172:DQ178" si="2872">IF(AK172="","","|n"&amp;DQ$2&amp;"+"&amp;AK172&amp;DQ$1)</f>
        <v/>
      </c>
      <c r="DR172" s="30" t="str">
        <f t="shared" ref="DR172:DR178" si="2873">IF(AL172="","","|n"&amp;DR$2&amp;"+"&amp;AL172&amp;DR$1)</f>
        <v/>
      </c>
      <c r="DS172" s="30" t="str">
        <f t="shared" ref="DS172:DS178" si="2874">IF(AM172="","","|n"&amp;DS$2&amp;"+"&amp;AM172&amp;DS$1)</f>
        <v/>
      </c>
      <c r="DT172" s="30" t="str">
        <f t="shared" ref="DT172:DT178" si="2875">IF(AN172="","","|n"&amp;DT$2&amp;"+"&amp;AN172&amp;DT$1)</f>
        <v/>
      </c>
      <c r="DU172" s="30" t="str">
        <f t="shared" ref="DU172:DU178" si="2876">IF(AO172="","","|n"&amp;DU$2&amp;"+"&amp;AO172&amp;DU$1)</f>
        <v/>
      </c>
      <c r="DV172" s="30" t="str">
        <f t="shared" ref="DV172:DV178" si="2877">IF(AP172="","","|n"&amp;DV$2&amp;"+"&amp;AP172&amp;DV$1)</f>
        <v/>
      </c>
      <c r="DW172" s="30" t="str">
        <f t="shared" ref="DW172:DW178" si="2878">IF(AQ172="","","|n"&amp;DW$2&amp;"+"&amp;AQ172&amp;DW$1)</f>
        <v/>
      </c>
      <c r="DX172" s="30" t="str">
        <f t="shared" ref="DX172:DX178" si="2879">IF(AR172="","","|n"&amp;DX$2&amp;"+"&amp;AR172&amp;DX$1)</f>
        <v/>
      </c>
      <c r="DY172" s="30" t="str">
        <f t="shared" ref="DY172:DY178" si="2880">IF(AS172="","","|n"&amp;DY$2&amp;"+"&amp;AS172&amp;DY$1)</f>
        <v/>
      </c>
      <c r="DZ172" s="30" t="str">
        <f t="shared" ref="DZ172:DZ178" si="2881">IF(AT172="","","|n"&amp;DZ$2&amp;"+"&amp;AT172&amp;DZ$1)</f>
        <v/>
      </c>
      <c r="EA172" s="30" t="str">
        <f t="shared" ref="EA172:EA178" si="2882">IF(AU172="","","|n"&amp;EA$2&amp;"+"&amp;AU172&amp;EA$1)</f>
        <v/>
      </c>
      <c r="EB172" s="30" t="str">
        <f t="shared" ref="EB172:EB178" si="2883">IF(AV172="","","|n"&amp;EB$2&amp;"+"&amp;AV172&amp;EB$1)</f>
        <v/>
      </c>
      <c r="EC172" s="30" t="str">
        <f t="shared" ref="EC172:EC178" si="2884">IF(AW172="","","|n"&amp;EC$2&amp;"+"&amp;AW172&amp;EC$1)</f>
        <v/>
      </c>
      <c r="ED172" s="30" t="str">
        <f t="shared" ref="ED172:ED178" si="2885">IF(AX172="","","|n"&amp;ED$2&amp;"+"&amp;AX172&amp;ED$1)</f>
        <v/>
      </c>
      <c r="EE172" s="30" t="str">
        <f t="shared" ref="EE172:EE178" si="2886">IF(AY172="","","|n"&amp;EE$2&amp;"+"&amp;AY172&amp;EE$1)</f>
        <v/>
      </c>
      <c r="EF172" s="30" t="str">
        <f t="shared" ref="EF172:EF178" si="2887">IF(AZ172="","","|n"&amp;EF$2&amp;"+"&amp;AZ172&amp;EF$1)</f>
        <v/>
      </c>
      <c r="EG172" s="30" t="str">
        <f t="shared" ref="EG172:EG178" si="2888">IF(BA172="","","|n"&amp;EG$2&amp;"+"&amp;BA172&amp;EG$1)</f>
        <v/>
      </c>
      <c r="EH172" s="30" t="str">
        <f t="shared" ref="EH172:EH178" si="2889">IF(BB172="","","|n"&amp;EH$2&amp;"+"&amp;BB172&amp;EH$1)</f>
        <v/>
      </c>
      <c r="EI172" s="30" t="str">
        <f t="shared" ref="EI172:EI178" si="2890">IF(BC172="","","|n"&amp;EI$2&amp;"+"&amp;BC172&amp;EI$1)</f>
        <v/>
      </c>
      <c r="EJ172" s="30" t="str">
        <f t="shared" ref="EJ172:EJ178" si="2891">IF(BD172="","","|n"&amp;EJ$2&amp;"+"&amp;BD172&amp;EJ$1)</f>
        <v/>
      </c>
      <c r="EK172" s="30" t="str">
        <f t="shared" ref="EK172:EK178" si="2892">IF(BE172="","","|n"&amp;EK$2&amp;"+"&amp;BE172&amp;EK$1)</f>
        <v/>
      </c>
      <c r="EL172" s="30" t="str">
        <f t="shared" ref="EL172:EL178" si="2893">IF(BF172="","","|n"&amp;EL$2&amp;"+"&amp;BF172&amp;EL$1)</f>
        <v/>
      </c>
      <c r="EM172" s="30" t="str">
        <f t="shared" ref="EM172:EM178" si="2894">IF(BG172="","","|n"&amp;EM$2&amp;"+"&amp;BG172&amp;EM$1)</f>
        <v/>
      </c>
      <c r="EN172" s="30" t="str">
        <f t="shared" ref="EN172:EN178" si="2895">IF(BH172="","","|n"&amp;EN$2&amp;"+"&amp;BH172&amp;EN$1)</f>
        <v/>
      </c>
      <c r="EO172" s="30" t="str">
        <f t="shared" ref="EO172:EO178" si="2896">IF(BI172="","","|n"&amp;EO$2&amp;"+"&amp;BI172&amp;EO$1)</f>
        <v/>
      </c>
      <c r="EP172" s="30" t="str">
        <f t="shared" ref="EP172:EP178" si="2897">IF(BJ172="","","|n"&amp;EP$2&amp;"+"&amp;BJ172&amp;EP$1)</f>
        <v/>
      </c>
      <c r="EQ172" s="30" t="str">
        <f t="shared" ref="EQ172:EQ178" si="2898">IF(BK172="","","|n"&amp;EQ$2&amp;"+"&amp;BK172&amp;EQ$1)</f>
        <v/>
      </c>
      <c r="ER172" s="30" t="str">
        <f t="shared" ref="ER172:ER178" si="2899">IF(BL172="","","|n"&amp;ER$2&amp;"+"&amp;BL172&amp;ER$1)</f>
        <v/>
      </c>
      <c r="ES172" s="30" t="str">
        <f t="shared" ref="ES172:ES178" si="2900">IF(BM172="","","|n"&amp;ES$2&amp;"+"&amp;BM172&amp;ES$1)</f>
        <v/>
      </c>
      <c r="ET172" s="30" t="str">
        <f t="shared" ref="ET172:ET178" si="2901">IF(BN172="","","|n"&amp;ET$2&amp;"+"&amp;BN172&amp;ET$1)</f>
        <v/>
      </c>
      <c r="EU172" s="30" t="str">
        <f t="shared" ref="EU172:EU178" si="2902">IF(BO172="","","|n"&amp;EU$2&amp;"+"&amp;BO172&amp;EU$1)</f>
        <v/>
      </c>
      <c r="EV172" s="30" t="str">
        <f t="shared" ref="EV172:EV178" si="2903">IF(BP172="","","|n"&amp;EV$2&amp;"+"&amp;BP172&amp;EV$1)</f>
        <v/>
      </c>
      <c r="EW172" s="30" t="str">
        <f t="shared" ref="EW172:EW178" si="2904">IF(BQ172="","","|n"&amp;EW$2&amp;"+"&amp;BQ172&amp;EW$1)</f>
        <v/>
      </c>
      <c r="EX172" s="30" t="str">
        <f t="shared" ref="EX172:EX178" si="2905">IF(BR172="","","|n"&amp;EX$2&amp;"+"&amp;BR172&amp;EX$1)</f>
        <v/>
      </c>
      <c r="EY172" s="30" t="str">
        <f t="shared" ref="EY172:EY178" si="2906">IF(BS172="","","|n"&amp;EY$2&amp;"+"&amp;BS172&amp;EY$1)</f>
        <v/>
      </c>
      <c r="EZ172" s="30" t="str">
        <f t="shared" ref="EZ172:EZ178" si="2907">IF(BT172="","","|n"&amp;EZ$2&amp;"+"&amp;BT172&amp;EZ$1)</f>
        <v/>
      </c>
      <c r="FA172" s="30" t="str">
        <f t="shared" ref="FA172:FA178" si="2908">IF(BU172="","","|n"&amp;FA$2&amp;"+"&amp;BU172&amp;FA$1)</f>
        <v/>
      </c>
      <c r="FB172" s="30" t="str">
        <f t="shared" ref="FB172:FB178" si="2909">IF(BV172="","","|n"&amp;FB$2&amp;"+"&amp;BV172&amp;FB$1)</f>
        <v/>
      </c>
      <c r="FC172" s="30" t="str">
        <f t="shared" ref="FC172:FC178" si="2910">IF(BW172="","","|n"&amp;FC$2&amp;"+"&amp;BW172&amp;FC$1)</f>
        <v/>
      </c>
      <c r="FD172" s="30" t="str">
        <f t="shared" ref="FD172:FD178" si="2911">IF(BX172="","","|n"&amp;FD$2&amp;"+"&amp;BX172&amp;FD$1)</f>
        <v/>
      </c>
      <c r="FE172" s="30" t="str">
        <f t="shared" ref="FE172:FE178" si="2912">IF(BY172="","","|n"&amp;FE$2&amp;"+"&amp;BY172&amp;FE$1)</f>
        <v/>
      </c>
      <c r="FF172" s="30" t="str">
        <f t="shared" ref="FF172:FF178" si="2913">IF(BZ172="","","|n"&amp;FF$2&amp;"+"&amp;BZ172&amp;FF$1)</f>
        <v/>
      </c>
      <c r="FG172" s="30" t="str">
        <f t="shared" ref="FG172:FG178" si="2914">IF(CA172="","","|n"&amp;FG$2&amp;"+"&amp;CA172&amp;FG$1)</f>
        <v/>
      </c>
      <c r="FH172" s="30" t="str">
        <f t="shared" ref="FH172:FH178" si="2915">IF(CB172="","","|n"&amp;FH$2&amp;"+"&amp;CB172&amp;FH$1)</f>
        <v/>
      </c>
      <c r="FI172" s="30" t="str">
        <f t="shared" ref="FI172:FI178" si="2916">IF(CC172="","","|n"&amp;FI$2&amp;"+"&amp;CC172&amp;FI$1)</f>
        <v/>
      </c>
      <c r="FJ172" s="30" t="str">
        <f t="shared" ref="FJ172:FJ178" si="2917">IF(CD172="","","|n"&amp;FJ$2&amp;"+"&amp;CD172&amp;FJ$1)</f>
        <v/>
      </c>
      <c r="FK172" s="30" t="str">
        <f t="shared" ref="FK172:FK178" si="2918">IF(CE172="","","|n"&amp;FK$2&amp;"+"&amp;CE172&amp;FK$1)</f>
        <v/>
      </c>
      <c r="FL172" s="30" t="str">
        <f t="shared" ref="FL172:FL178" si="2919">IF(CF172="","","|n"&amp;FL$2&amp;"+"&amp;CF172&amp;FL$1)</f>
        <v/>
      </c>
      <c r="FM172" s="30" t="str">
        <f t="shared" ref="FM172:FM178" si="2920">IF(CG172="","","|n"&amp;FM$2&amp;"+"&amp;CG172&amp;FM$1)</f>
        <v/>
      </c>
      <c r="FN172" s="30" t="str">
        <f t="shared" ref="FN172:FN178" si="2921">IF(CH172="","","|n"&amp;FN$2&amp;"+"&amp;CH172&amp;FN$1)</f>
        <v/>
      </c>
      <c r="FO172" s="30" t="str">
        <f t="shared" ref="FO172:FO178" si="2922">IF(CI172="","","|n"&amp;FO$2&amp;"+"&amp;CI172&amp;FO$1)</f>
        <v/>
      </c>
      <c r="FP172" s="30" t="str">
        <f t="shared" ref="FP172:FP178" si="2923">IF(CJ172="","","|n"&amp;FP$2&amp;"+"&amp;CJ172&amp;FP$1)</f>
        <v/>
      </c>
      <c r="FQ172" s="30" t="str">
        <f t="shared" ref="FQ172:FQ178" si="2924">IF(CK172="","","|n"&amp;FQ$2&amp;"+"&amp;CK172&amp;FQ$1)</f>
        <v/>
      </c>
      <c r="FR172" s="30" t="str">
        <f t="shared" ref="FR172:FR178" si="2925">IF(CL172="","","|n"&amp;FR$2&amp;"+"&amp;CL172&amp;FR$1)</f>
        <v/>
      </c>
      <c r="FS172" s="30" t="str">
        <f t="shared" ref="FS172:FS178" si="2926">IF(CM172="","","|n"&amp;FS$2&amp;"+"&amp;CM172&amp;FS$1)</f>
        <v/>
      </c>
    </row>
    <row r="173" spans="1:175" ht="16.5">
      <c r="A173" s="114"/>
      <c r="B173" s="110" t="s">
        <v>394</v>
      </c>
      <c r="C173" s="114" t="s">
        <v>395</v>
      </c>
      <c r="T173" s="114" t="s">
        <v>389</v>
      </c>
      <c r="U173" s="32" t="str">
        <f t="shared" si="944"/>
        <v>ReplaceableTextures\\CommandButtons\\BTNIH03.blp</v>
      </c>
      <c r="CN173" s="7" t="str">
        <f t="shared" si="2850"/>
        <v>InitUnitState('IH03',,,,,,,,,,)</v>
      </c>
      <c r="CO173" s="7" t="str">
        <f t="shared" si="2851"/>
        <v>InitUnitNormal('IH03',,,,,,,,,,)</v>
      </c>
      <c r="CP173" s="7" t="str">
        <f t="shared" si="2852"/>
        <v>InitUnitMagic('IH03',,,,,,,,,,)</v>
      </c>
      <c r="CQ173" s="7" t="str">
        <f t="shared" si="2853"/>
        <v>InitUnitAdd('IH03',,,,,,,,,,)</v>
      </c>
      <c r="CR173" s="7" t="str">
        <f t="shared" si="2854"/>
        <v>InitEquipData('IH03',,"",,,,,'','','','','','',"ReplaceableTextures\\CommandButtons\\BTNIH04.blp")</v>
      </c>
      <c r="CU173" s="45" t="str">
        <f t="shared" si="2855"/>
        <v>|n</v>
      </c>
      <c r="CV173" s="29" t="str">
        <f t="shared" si="2856"/>
        <v>觉醒兽魂</v>
      </c>
      <c r="CW173" s="24"/>
      <c r="CX173" s="24"/>
      <c r="CY173" s="24"/>
      <c r="CZ173" s="24"/>
      <c r="DA173" s="24"/>
      <c r="DB173" s="30" t="str">
        <f t="shared" si="2857"/>
        <v/>
      </c>
      <c r="DC173" s="30" t="str">
        <f t="shared" si="2858"/>
        <v/>
      </c>
      <c r="DD173" s="30" t="str">
        <f t="shared" si="2859"/>
        <v/>
      </c>
      <c r="DE173" s="30" t="str">
        <f t="shared" si="2860"/>
        <v/>
      </c>
      <c r="DF173" s="30" t="str">
        <f t="shared" si="2861"/>
        <v/>
      </c>
      <c r="DG173" s="30" t="str">
        <f t="shared" si="2862"/>
        <v/>
      </c>
      <c r="DH173" s="30" t="str">
        <f t="shared" si="2863"/>
        <v/>
      </c>
      <c r="DI173" s="30" t="str">
        <f t="shared" si="2864"/>
        <v/>
      </c>
      <c r="DJ173" s="30" t="str">
        <f t="shared" si="2865"/>
        <v/>
      </c>
      <c r="DK173" s="30" t="str">
        <f t="shared" si="2866"/>
        <v/>
      </c>
      <c r="DL173" s="30" t="str">
        <f t="shared" si="2867"/>
        <v/>
      </c>
      <c r="DM173" s="30" t="str">
        <f t="shared" si="2868"/>
        <v/>
      </c>
      <c r="DN173" s="30" t="str">
        <f t="shared" si="2869"/>
        <v/>
      </c>
      <c r="DO173" s="30" t="str">
        <f t="shared" si="2870"/>
        <v/>
      </c>
      <c r="DP173" s="30" t="str">
        <f t="shared" si="2871"/>
        <v/>
      </c>
      <c r="DQ173" s="30" t="str">
        <f t="shared" si="2872"/>
        <v/>
      </c>
      <c r="DR173" s="30" t="str">
        <f t="shared" si="2873"/>
        <v/>
      </c>
      <c r="DS173" s="30" t="str">
        <f t="shared" si="2874"/>
        <v/>
      </c>
      <c r="DT173" s="30" t="str">
        <f t="shared" si="2875"/>
        <v/>
      </c>
      <c r="DU173" s="30" t="str">
        <f t="shared" si="2876"/>
        <v/>
      </c>
      <c r="DV173" s="30" t="str">
        <f t="shared" si="2877"/>
        <v/>
      </c>
      <c r="DW173" s="30" t="str">
        <f t="shared" si="2878"/>
        <v/>
      </c>
      <c r="DX173" s="30" t="str">
        <f t="shared" si="2879"/>
        <v/>
      </c>
      <c r="DY173" s="30" t="str">
        <f t="shared" si="2880"/>
        <v/>
      </c>
      <c r="DZ173" s="30" t="str">
        <f t="shared" si="2881"/>
        <v/>
      </c>
      <c r="EA173" s="30" t="str">
        <f t="shared" si="2882"/>
        <v/>
      </c>
      <c r="EB173" s="30" t="str">
        <f t="shared" si="2883"/>
        <v/>
      </c>
      <c r="EC173" s="30" t="str">
        <f t="shared" si="2884"/>
        <v/>
      </c>
      <c r="ED173" s="30" t="str">
        <f t="shared" si="2885"/>
        <v/>
      </c>
      <c r="EE173" s="30" t="str">
        <f t="shared" si="2886"/>
        <v/>
      </c>
      <c r="EF173" s="30" t="str">
        <f t="shared" si="2887"/>
        <v/>
      </c>
      <c r="EG173" s="30" t="str">
        <f t="shared" si="2888"/>
        <v/>
      </c>
      <c r="EH173" s="30" t="str">
        <f t="shared" si="2889"/>
        <v/>
      </c>
      <c r="EI173" s="30" t="str">
        <f t="shared" si="2890"/>
        <v/>
      </c>
      <c r="EJ173" s="30" t="str">
        <f t="shared" si="2891"/>
        <v/>
      </c>
      <c r="EK173" s="30" t="str">
        <f t="shared" si="2892"/>
        <v/>
      </c>
      <c r="EL173" s="30" t="str">
        <f t="shared" si="2893"/>
        <v/>
      </c>
      <c r="EM173" s="30" t="str">
        <f t="shared" si="2894"/>
        <v/>
      </c>
      <c r="EN173" s="30" t="str">
        <f t="shared" si="2895"/>
        <v/>
      </c>
      <c r="EO173" s="30" t="str">
        <f t="shared" si="2896"/>
        <v/>
      </c>
      <c r="EP173" s="30" t="str">
        <f t="shared" si="2897"/>
        <v/>
      </c>
      <c r="EQ173" s="30" t="str">
        <f t="shared" si="2898"/>
        <v/>
      </c>
      <c r="ER173" s="30" t="str">
        <f t="shared" si="2899"/>
        <v/>
      </c>
      <c r="ES173" s="30" t="str">
        <f t="shared" si="2900"/>
        <v/>
      </c>
      <c r="ET173" s="30" t="str">
        <f t="shared" si="2901"/>
        <v/>
      </c>
      <c r="EU173" s="30" t="str">
        <f t="shared" si="2902"/>
        <v/>
      </c>
      <c r="EV173" s="30" t="str">
        <f t="shared" si="2903"/>
        <v/>
      </c>
      <c r="EW173" s="30" t="str">
        <f t="shared" si="2904"/>
        <v/>
      </c>
      <c r="EX173" s="30" t="str">
        <f t="shared" si="2905"/>
        <v/>
      </c>
      <c r="EY173" s="30" t="str">
        <f t="shared" si="2906"/>
        <v/>
      </c>
      <c r="EZ173" s="30" t="str">
        <f t="shared" si="2907"/>
        <v/>
      </c>
      <c r="FA173" s="30" t="str">
        <f t="shared" si="2908"/>
        <v/>
      </c>
      <c r="FB173" s="30" t="str">
        <f t="shared" si="2909"/>
        <v/>
      </c>
      <c r="FC173" s="30" t="str">
        <f t="shared" si="2910"/>
        <v/>
      </c>
      <c r="FD173" s="30" t="str">
        <f t="shared" si="2911"/>
        <v/>
      </c>
      <c r="FE173" s="30" t="str">
        <f t="shared" si="2912"/>
        <v/>
      </c>
      <c r="FF173" s="30" t="str">
        <f t="shared" si="2913"/>
        <v/>
      </c>
      <c r="FG173" s="30" t="str">
        <f t="shared" si="2914"/>
        <v/>
      </c>
      <c r="FH173" s="30" t="str">
        <f t="shared" si="2915"/>
        <v/>
      </c>
      <c r="FI173" s="30" t="str">
        <f t="shared" si="2916"/>
        <v/>
      </c>
      <c r="FJ173" s="30" t="str">
        <f t="shared" si="2917"/>
        <v/>
      </c>
      <c r="FK173" s="30" t="str">
        <f t="shared" si="2918"/>
        <v/>
      </c>
      <c r="FL173" s="30" t="str">
        <f t="shared" si="2919"/>
        <v/>
      </c>
      <c r="FM173" s="30" t="str">
        <f t="shared" si="2920"/>
        <v/>
      </c>
      <c r="FN173" s="30" t="str">
        <f t="shared" si="2921"/>
        <v/>
      </c>
      <c r="FO173" s="30" t="str">
        <f t="shared" si="2922"/>
        <v/>
      </c>
      <c r="FP173" s="30" t="str">
        <f t="shared" si="2923"/>
        <v/>
      </c>
      <c r="FQ173" s="30" t="str">
        <f t="shared" si="2924"/>
        <v/>
      </c>
      <c r="FR173" s="30" t="str">
        <f t="shared" si="2925"/>
        <v/>
      </c>
      <c r="FS173" s="30" t="str">
        <f t="shared" si="2926"/>
        <v/>
      </c>
    </row>
    <row r="174" spans="1:175" ht="16.5">
      <c r="A174" s="114"/>
      <c r="B174" s="110" t="s">
        <v>396</v>
      </c>
      <c r="C174" s="114" t="s">
        <v>397</v>
      </c>
      <c r="T174" s="114" t="s">
        <v>389</v>
      </c>
      <c r="U174" s="32" t="str">
        <f t="shared" si="944"/>
        <v>ReplaceableTextures\\CommandButtons\\BTNIH04.blp</v>
      </c>
      <c r="CN174" s="7" t="str">
        <f t="shared" si="2850"/>
        <v>InitUnitState('IH04',,,,,,,,,,)</v>
      </c>
      <c r="CO174" s="7" t="str">
        <f t="shared" si="2851"/>
        <v>InitUnitNormal('IH04',,,,,,,,,,)</v>
      </c>
      <c r="CP174" s="7" t="str">
        <f t="shared" si="2852"/>
        <v>InitUnitMagic('IH04',,,,,,,,,,)</v>
      </c>
      <c r="CQ174" s="7" t="str">
        <f t="shared" si="2853"/>
        <v>InitUnitAdd('IH04',,,,,,,,,,)</v>
      </c>
      <c r="CR174" s="7" t="str">
        <f t="shared" si="2854"/>
        <v>InitEquipData('IH04',,"",,,,,'','','','','','',"ReplaceableTextures\\CommandButtons\\BTNIH05.blp")</v>
      </c>
      <c r="CU174" s="45" t="str">
        <f t="shared" si="2855"/>
        <v>|n</v>
      </c>
      <c r="CV174" s="29" t="str">
        <f t="shared" si="2856"/>
        <v>觉醒兽魂</v>
      </c>
      <c r="CW174" s="24"/>
      <c r="CX174" s="24"/>
      <c r="CY174" s="24"/>
      <c r="CZ174" s="24"/>
      <c r="DA174" s="24"/>
      <c r="DB174" s="30" t="str">
        <f t="shared" si="2857"/>
        <v/>
      </c>
      <c r="DC174" s="30" t="str">
        <f t="shared" si="2858"/>
        <v/>
      </c>
      <c r="DD174" s="30" t="str">
        <f t="shared" si="2859"/>
        <v/>
      </c>
      <c r="DE174" s="30" t="str">
        <f t="shared" si="2860"/>
        <v/>
      </c>
      <c r="DF174" s="30" t="str">
        <f t="shared" si="2861"/>
        <v/>
      </c>
      <c r="DG174" s="30" t="str">
        <f t="shared" si="2862"/>
        <v/>
      </c>
      <c r="DH174" s="30" t="str">
        <f t="shared" si="2863"/>
        <v/>
      </c>
      <c r="DI174" s="30" t="str">
        <f t="shared" si="2864"/>
        <v/>
      </c>
      <c r="DJ174" s="30" t="str">
        <f t="shared" si="2865"/>
        <v/>
      </c>
      <c r="DK174" s="30" t="str">
        <f t="shared" si="2866"/>
        <v/>
      </c>
      <c r="DL174" s="30" t="str">
        <f t="shared" si="2867"/>
        <v/>
      </c>
      <c r="DM174" s="30" t="str">
        <f t="shared" si="2868"/>
        <v/>
      </c>
      <c r="DN174" s="30" t="str">
        <f t="shared" si="2869"/>
        <v/>
      </c>
      <c r="DO174" s="30" t="str">
        <f t="shared" si="2870"/>
        <v/>
      </c>
      <c r="DP174" s="30" t="str">
        <f t="shared" si="2871"/>
        <v/>
      </c>
      <c r="DQ174" s="30" t="str">
        <f t="shared" si="2872"/>
        <v/>
      </c>
      <c r="DR174" s="30" t="str">
        <f t="shared" si="2873"/>
        <v/>
      </c>
      <c r="DS174" s="30" t="str">
        <f t="shared" si="2874"/>
        <v/>
      </c>
      <c r="DT174" s="30" t="str">
        <f t="shared" si="2875"/>
        <v/>
      </c>
      <c r="DU174" s="30" t="str">
        <f t="shared" si="2876"/>
        <v/>
      </c>
      <c r="DV174" s="30" t="str">
        <f t="shared" si="2877"/>
        <v/>
      </c>
      <c r="DW174" s="30" t="str">
        <f t="shared" si="2878"/>
        <v/>
      </c>
      <c r="DX174" s="30" t="str">
        <f t="shared" si="2879"/>
        <v/>
      </c>
      <c r="DY174" s="30" t="str">
        <f t="shared" si="2880"/>
        <v/>
      </c>
      <c r="DZ174" s="30" t="str">
        <f t="shared" si="2881"/>
        <v/>
      </c>
      <c r="EA174" s="30" t="str">
        <f t="shared" si="2882"/>
        <v/>
      </c>
      <c r="EB174" s="30" t="str">
        <f t="shared" si="2883"/>
        <v/>
      </c>
      <c r="EC174" s="30" t="str">
        <f t="shared" si="2884"/>
        <v/>
      </c>
      <c r="ED174" s="30" t="str">
        <f t="shared" si="2885"/>
        <v/>
      </c>
      <c r="EE174" s="30" t="str">
        <f t="shared" si="2886"/>
        <v/>
      </c>
      <c r="EF174" s="30" t="str">
        <f t="shared" si="2887"/>
        <v/>
      </c>
      <c r="EG174" s="30" t="str">
        <f t="shared" si="2888"/>
        <v/>
      </c>
      <c r="EH174" s="30" t="str">
        <f t="shared" si="2889"/>
        <v/>
      </c>
      <c r="EI174" s="30" t="str">
        <f t="shared" si="2890"/>
        <v/>
      </c>
      <c r="EJ174" s="30" t="str">
        <f t="shared" si="2891"/>
        <v/>
      </c>
      <c r="EK174" s="30" t="str">
        <f t="shared" si="2892"/>
        <v/>
      </c>
      <c r="EL174" s="30" t="str">
        <f t="shared" si="2893"/>
        <v/>
      </c>
      <c r="EM174" s="30" t="str">
        <f t="shared" si="2894"/>
        <v/>
      </c>
      <c r="EN174" s="30" t="str">
        <f t="shared" si="2895"/>
        <v/>
      </c>
      <c r="EO174" s="30" t="str">
        <f t="shared" si="2896"/>
        <v/>
      </c>
      <c r="EP174" s="30" t="str">
        <f t="shared" si="2897"/>
        <v/>
      </c>
      <c r="EQ174" s="30" t="str">
        <f t="shared" si="2898"/>
        <v/>
      </c>
      <c r="ER174" s="30" t="str">
        <f t="shared" si="2899"/>
        <v/>
      </c>
      <c r="ES174" s="30" t="str">
        <f t="shared" si="2900"/>
        <v/>
      </c>
      <c r="ET174" s="30" t="str">
        <f t="shared" si="2901"/>
        <v/>
      </c>
      <c r="EU174" s="30" t="str">
        <f t="shared" si="2902"/>
        <v/>
      </c>
      <c r="EV174" s="30" t="str">
        <f t="shared" si="2903"/>
        <v/>
      </c>
      <c r="EW174" s="30" t="str">
        <f t="shared" si="2904"/>
        <v/>
      </c>
      <c r="EX174" s="30" t="str">
        <f t="shared" si="2905"/>
        <v/>
      </c>
      <c r="EY174" s="30" t="str">
        <f t="shared" si="2906"/>
        <v/>
      </c>
      <c r="EZ174" s="30" t="str">
        <f t="shared" si="2907"/>
        <v/>
      </c>
      <c r="FA174" s="30" t="str">
        <f t="shared" si="2908"/>
        <v/>
      </c>
      <c r="FB174" s="30" t="str">
        <f t="shared" si="2909"/>
        <v/>
      </c>
      <c r="FC174" s="30" t="str">
        <f t="shared" si="2910"/>
        <v/>
      </c>
      <c r="FD174" s="30" t="str">
        <f t="shared" si="2911"/>
        <v/>
      </c>
      <c r="FE174" s="30" t="str">
        <f t="shared" si="2912"/>
        <v/>
      </c>
      <c r="FF174" s="30" t="str">
        <f t="shared" si="2913"/>
        <v/>
      </c>
      <c r="FG174" s="30" t="str">
        <f t="shared" si="2914"/>
        <v/>
      </c>
      <c r="FH174" s="30" t="str">
        <f t="shared" si="2915"/>
        <v/>
      </c>
      <c r="FI174" s="30" t="str">
        <f t="shared" si="2916"/>
        <v/>
      </c>
      <c r="FJ174" s="30" t="str">
        <f t="shared" si="2917"/>
        <v/>
      </c>
      <c r="FK174" s="30" t="str">
        <f t="shared" si="2918"/>
        <v/>
      </c>
      <c r="FL174" s="30" t="str">
        <f t="shared" si="2919"/>
        <v/>
      </c>
      <c r="FM174" s="30" t="str">
        <f t="shared" si="2920"/>
        <v/>
      </c>
      <c r="FN174" s="30" t="str">
        <f t="shared" si="2921"/>
        <v/>
      </c>
      <c r="FO174" s="30" t="str">
        <f t="shared" si="2922"/>
        <v/>
      </c>
      <c r="FP174" s="30" t="str">
        <f t="shared" si="2923"/>
        <v/>
      </c>
      <c r="FQ174" s="30" t="str">
        <f t="shared" si="2924"/>
        <v/>
      </c>
      <c r="FR174" s="30" t="str">
        <f t="shared" si="2925"/>
        <v/>
      </c>
      <c r="FS174" s="30" t="str">
        <f t="shared" si="2926"/>
        <v/>
      </c>
    </row>
    <row r="175" spans="1:175" ht="16.5">
      <c r="A175" s="114"/>
      <c r="B175" s="110" t="s">
        <v>398</v>
      </c>
      <c r="C175" s="114" t="s">
        <v>399</v>
      </c>
      <c r="T175" s="114" t="s">
        <v>389</v>
      </c>
      <c r="U175" s="32" t="str">
        <f t="shared" si="944"/>
        <v>ReplaceableTextures\\CommandButtons\\BTNIH05.blp</v>
      </c>
      <c r="CN175" s="7" t="str">
        <f t="shared" si="2850"/>
        <v>InitUnitState('IH05',,,,,,,,,,)</v>
      </c>
      <c r="CO175" s="7" t="str">
        <f t="shared" si="2851"/>
        <v>InitUnitNormal('IH05',,,,,,,,,,)</v>
      </c>
      <c r="CP175" s="7" t="str">
        <f t="shared" si="2852"/>
        <v>InitUnitMagic('IH05',,,,,,,,,,)</v>
      </c>
      <c r="CQ175" s="7" t="str">
        <f t="shared" si="2853"/>
        <v>InitUnitAdd('IH05',,,,,,,,,,)</v>
      </c>
      <c r="CR175" s="7" t="str">
        <f t="shared" si="2854"/>
        <v>InitEquipData('IH05',,"",,,,,'','','','','','',"ReplaceableTextures\\CommandButtons\\BTNIH06.blp")</v>
      </c>
      <c r="CU175" s="45" t="str">
        <f t="shared" si="2855"/>
        <v>|n</v>
      </c>
      <c r="CV175" s="29" t="str">
        <f t="shared" si="2856"/>
        <v>觉醒兽魂</v>
      </c>
      <c r="CW175" s="24"/>
      <c r="CX175" s="24"/>
      <c r="CY175" s="24"/>
      <c r="CZ175" s="24"/>
      <c r="DA175" s="24"/>
      <c r="DB175" s="30" t="str">
        <f t="shared" si="2857"/>
        <v/>
      </c>
      <c r="DC175" s="30" t="str">
        <f t="shared" si="2858"/>
        <v/>
      </c>
      <c r="DD175" s="30" t="str">
        <f t="shared" si="2859"/>
        <v/>
      </c>
      <c r="DE175" s="30" t="str">
        <f t="shared" si="2860"/>
        <v/>
      </c>
      <c r="DF175" s="30" t="str">
        <f t="shared" si="2861"/>
        <v/>
      </c>
      <c r="DG175" s="30" t="str">
        <f t="shared" si="2862"/>
        <v/>
      </c>
      <c r="DH175" s="30" t="str">
        <f t="shared" si="2863"/>
        <v/>
      </c>
      <c r="DI175" s="30" t="str">
        <f t="shared" si="2864"/>
        <v/>
      </c>
      <c r="DJ175" s="30" t="str">
        <f t="shared" si="2865"/>
        <v/>
      </c>
      <c r="DK175" s="30" t="str">
        <f t="shared" si="2866"/>
        <v/>
      </c>
      <c r="DL175" s="30" t="str">
        <f t="shared" si="2867"/>
        <v/>
      </c>
      <c r="DM175" s="30" t="str">
        <f t="shared" si="2868"/>
        <v/>
      </c>
      <c r="DN175" s="30" t="str">
        <f t="shared" si="2869"/>
        <v/>
      </c>
      <c r="DO175" s="30" t="str">
        <f t="shared" si="2870"/>
        <v/>
      </c>
      <c r="DP175" s="30" t="str">
        <f t="shared" si="2871"/>
        <v/>
      </c>
      <c r="DQ175" s="30" t="str">
        <f t="shared" si="2872"/>
        <v/>
      </c>
      <c r="DR175" s="30" t="str">
        <f t="shared" si="2873"/>
        <v/>
      </c>
      <c r="DS175" s="30" t="str">
        <f t="shared" si="2874"/>
        <v/>
      </c>
      <c r="DT175" s="30" t="str">
        <f t="shared" si="2875"/>
        <v/>
      </c>
      <c r="DU175" s="30" t="str">
        <f t="shared" si="2876"/>
        <v/>
      </c>
      <c r="DV175" s="30" t="str">
        <f t="shared" si="2877"/>
        <v/>
      </c>
      <c r="DW175" s="30" t="str">
        <f t="shared" si="2878"/>
        <v/>
      </c>
      <c r="DX175" s="30" t="str">
        <f t="shared" si="2879"/>
        <v/>
      </c>
      <c r="DY175" s="30" t="str">
        <f t="shared" si="2880"/>
        <v/>
      </c>
      <c r="DZ175" s="30" t="str">
        <f t="shared" si="2881"/>
        <v/>
      </c>
      <c r="EA175" s="30" t="str">
        <f t="shared" si="2882"/>
        <v/>
      </c>
      <c r="EB175" s="30" t="str">
        <f t="shared" si="2883"/>
        <v/>
      </c>
      <c r="EC175" s="30" t="str">
        <f t="shared" si="2884"/>
        <v/>
      </c>
      <c r="ED175" s="30" t="str">
        <f t="shared" si="2885"/>
        <v/>
      </c>
      <c r="EE175" s="30" t="str">
        <f t="shared" si="2886"/>
        <v/>
      </c>
      <c r="EF175" s="30" t="str">
        <f t="shared" si="2887"/>
        <v/>
      </c>
      <c r="EG175" s="30" t="str">
        <f t="shared" si="2888"/>
        <v/>
      </c>
      <c r="EH175" s="30" t="str">
        <f t="shared" si="2889"/>
        <v/>
      </c>
      <c r="EI175" s="30" t="str">
        <f t="shared" si="2890"/>
        <v/>
      </c>
      <c r="EJ175" s="30" t="str">
        <f t="shared" si="2891"/>
        <v/>
      </c>
      <c r="EK175" s="30" t="str">
        <f t="shared" si="2892"/>
        <v/>
      </c>
      <c r="EL175" s="30" t="str">
        <f t="shared" si="2893"/>
        <v/>
      </c>
      <c r="EM175" s="30" t="str">
        <f t="shared" si="2894"/>
        <v/>
      </c>
      <c r="EN175" s="30" t="str">
        <f t="shared" si="2895"/>
        <v/>
      </c>
      <c r="EO175" s="30" t="str">
        <f t="shared" si="2896"/>
        <v/>
      </c>
      <c r="EP175" s="30" t="str">
        <f t="shared" si="2897"/>
        <v/>
      </c>
      <c r="EQ175" s="30" t="str">
        <f t="shared" si="2898"/>
        <v/>
      </c>
      <c r="ER175" s="30" t="str">
        <f t="shared" si="2899"/>
        <v/>
      </c>
      <c r="ES175" s="30" t="str">
        <f t="shared" si="2900"/>
        <v/>
      </c>
      <c r="ET175" s="30" t="str">
        <f t="shared" si="2901"/>
        <v/>
      </c>
      <c r="EU175" s="30" t="str">
        <f t="shared" si="2902"/>
        <v/>
      </c>
      <c r="EV175" s="30" t="str">
        <f t="shared" si="2903"/>
        <v/>
      </c>
      <c r="EW175" s="30" t="str">
        <f t="shared" si="2904"/>
        <v/>
      </c>
      <c r="EX175" s="30" t="str">
        <f t="shared" si="2905"/>
        <v/>
      </c>
      <c r="EY175" s="30" t="str">
        <f t="shared" si="2906"/>
        <v/>
      </c>
      <c r="EZ175" s="30" t="str">
        <f t="shared" si="2907"/>
        <v/>
      </c>
      <c r="FA175" s="30" t="str">
        <f t="shared" si="2908"/>
        <v/>
      </c>
      <c r="FB175" s="30" t="str">
        <f t="shared" si="2909"/>
        <v/>
      </c>
      <c r="FC175" s="30" t="str">
        <f t="shared" si="2910"/>
        <v/>
      </c>
      <c r="FD175" s="30" t="str">
        <f t="shared" si="2911"/>
        <v/>
      </c>
      <c r="FE175" s="30" t="str">
        <f t="shared" si="2912"/>
        <v/>
      </c>
      <c r="FF175" s="30" t="str">
        <f t="shared" si="2913"/>
        <v/>
      </c>
      <c r="FG175" s="30" t="str">
        <f t="shared" si="2914"/>
        <v/>
      </c>
      <c r="FH175" s="30" t="str">
        <f t="shared" si="2915"/>
        <v/>
      </c>
      <c r="FI175" s="30" t="str">
        <f t="shared" si="2916"/>
        <v/>
      </c>
      <c r="FJ175" s="30" t="str">
        <f t="shared" si="2917"/>
        <v/>
      </c>
      <c r="FK175" s="30" t="str">
        <f t="shared" si="2918"/>
        <v/>
      </c>
      <c r="FL175" s="30" t="str">
        <f t="shared" si="2919"/>
        <v/>
      </c>
      <c r="FM175" s="30" t="str">
        <f t="shared" si="2920"/>
        <v/>
      </c>
      <c r="FN175" s="30" t="str">
        <f t="shared" si="2921"/>
        <v/>
      </c>
      <c r="FO175" s="30" t="str">
        <f t="shared" si="2922"/>
        <v/>
      </c>
      <c r="FP175" s="30" t="str">
        <f t="shared" si="2923"/>
        <v/>
      </c>
      <c r="FQ175" s="30" t="str">
        <f t="shared" si="2924"/>
        <v/>
      </c>
      <c r="FR175" s="30" t="str">
        <f t="shared" si="2925"/>
        <v/>
      </c>
      <c r="FS175" s="30" t="str">
        <f t="shared" si="2926"/>
        <v/>
      </c>
    </row>
    <row r="176" spans="1:175" ht="16.5">
      <c r="A176" s="114"/>
      <c r="B176" s="110" t="s">
        <v>400</v>
      </c>
      <c r="C176" s="114" t="s">
        <v>401</v>
      </c>
      <c r="T176" s="114" t="s">
        <v>389</v>
      </c>
      <c r="U176" s="32" t="str">
        <f t="shared" si="944"/>
        <v>ReplaceableTextures\\CommandButtons\\BTNIH06.blp</v>
      </c>
      <c r="CN176" s="7" t="str">
        <f t="shared" si="2850"/>
        <v>InitUnitState('IH06',,,,,,,,,,)</v>
      </c>
      <c r="CO176" s="7" t="str">
        <f t="shared" si="2851"/>
        <v>InitUnitNormal('IH06',,,,,,,,,,)</v>
      </c>
      <c r="CP176" s="7" t="str">
        <f t="shared" si="2852"/>
        <v>InitUnitMagic('IH06',,,,,,,,,,)</v>
      </c>
      <c r="CQ176" s="7" t="str">
        <f t="shared" si="2853"/>
        <v>InitUnitAdd('IH06',,,,,,,,,,)</v>
      </c>
      <c r="CR176" s="7" t="str">
        <f t="shared" si="2854"/>
        <v>InitEquipData('IH06',,"",,,,,'','','','','','',"ReplaceableTextures\\CommandButtons\\BTNIH07.blp")</v>
      </c>
      <c r="CU176" s="45" t="str">
        <f t="shared" si="2855"/>
        <v>|n</v>
      </c>
      <c r="CV176" s="29" t="str">
        <f t="shared" si="2856"/>
        <v>觉醒兽魂</v>
      </c>
      <c r="CW176" s="24"/>
      <c r="CX176" s="24"/>
      <c r="CY176" s="24"/>
      <c r="CZ176" s="24"/>
      <c r="DA176" s="24"/>
      <c r="DB176" s="30" t="str">
        <f t="shared" si="2857"/>
        <v/>
      </c>
      <c r="DC176" s="30" t="str">
        <f t="shared" si="2858"/>
        <v/>
      </c>
      <c r="DD176" s="30" t="str">
        <f t="shared" si="2859"/>
        <v/>
      </c>
      <c r="DE176" s="30" t="str">
        <f t="shared" si="2860"/>
        <v/>
      </c>
      <c r="DF176" s="30" t="str">
        <f t="shared" si="2861"/>
        <v/>
      </c>
      <c r="DG176" s="30" t="str">
        <f t="shared" si="2862"/>
        <v/>
      </c>
      <c r="DH176" s="30" t="str">
        <f t="shared" si="2863"/>
        <v/>
      </c>
      <c r="DI176" s="30" t="str">
        <f t="shared" si="2864"/>
        <v/>
      </c>
      <c r="DJ176" s="30" t="str">
        <f t="shared" si="2865"/>
        <v/>
      </c>
      <c r="DK176" s="30" t="str">
        <f t="shared" si="2866"/>
        <v/>
      </c>
      <c r="DL176" s="30" t="str">
        <f t="shared" si="2867"/>
        <v/>
      </c>
      <c r="DM176" s="30" t="str">
        <f t="shared" si="2868"/>
        <v/>
      </c>
      <c r="DN176" s="30" t="str">
        <f t="shared" si="2869"/>
        <v/>
      </c>
      <c r="DO176" s="30" t="str">
        <f t="shared" si="2870"/>
        <v/>
      </c>
      <c r="DP176" s="30" t="str">
        <f t="shared" si="2871"/>
        <v/>
      </c>
      <c r="DQ176" s="30" t="str">
        <f t="shared" si="2872"/>
        <v/>
      </c>
      <c r="DR176" s="30" t="str">
        <f t="shared" si="2873"/>
        <v/>
      </c>
      <c r="DS176" s="30" t="str">
        <f t="shared" si="2874"/>
        <v/>
      </c>
      <c r="DT176" s="30" t="str">
        <f t="shared" si="2875"/>
        <v/>
      </c>
      <c r="DU176" s="30" t="str">
        <f t="shared" si="2876"/>
        <v/>
      </c>
      <c r="DV176" s="30" t="str">
        <f t="shared" si="2877"/>
        <v/>
      </c>
      <c r="DW176" s="30" t="str">
        <f t="shared" si="2878"/>
        <v/>
      </c>
      <c r="DX176" s="30" t="str">
        <f t="shared" si="2879"/>
        <v/>
      </c>
      <c r="DY176" s="30" t="str">
        <f t="shared" si="2880"/>
        <v/>
      </c>
      <c r="DZ176" s="30" t="str">
        <f t="shared" si="2881"/>
        <v/>
      </c>
      <c r="EA176" s="30" t="str">
        <f t="shared" si="2882"/>
        <v/>
      </c>
      <c r="EB176" s="30" t="str">
        <f t="shared" si="2883"/>
        <v/>
      </c>
      <c r="EC176" s="30" t="str">
        <f t="shared" si="2884"/>
        <v/>
      </c>
      <c r="ED176" s="30" t="str">
        <f t="shared" si="2885"/>
        <v/>
      </c>
      <c r="EE176" s="30" t="str">
        <f t="shared" si="2886"/>
        <v/>
      </c>
      <c r="EF176" s="30" t="str">
        <f t="shared" si="2887"/>
        <v/>
      </c>
      <c r="EG176" s="30" t="str">
        <f t="shared" si="2888"/>
        <v/>
      </c>
      <c r="EH176" s="30" t="str">
        <f t="shared" si="2889"/>
        <v/>
      </c>
      <c r="EI176" s="30" t="str">
        <f t="shared" si="2890"/>
        <v/>
      </c>
      <c r="EJ176" s="30" t="str">
        <f t="shared" si="2891"/>
        <v/>
      </c>
      <c r="EK176" s="30" t="str">
        <f t="shared" si="2892"/>
        <v/>
      </c>
      <c r="EL176" s="30" t="str">
        <f t="shared" si="2893"/>
        <v/>
      </c>
      <c r="EM176" s="30" t="str">
        <f t="shared" si="2894"/>
        <v/>
      </c>
      <c r="EN176" s="30" t="str">
        <f t="shared" si="2895"/>
        <v/>
      </c>
      <c r="EO176" s="30" t="str">
        <f t="shared" si="2896"/>
        <v/>
      </c>
      <c r="EP176" s="30" t="str">
        <f t="shared" si="2897"/>
        <v/>
      </c>
      <c r="EQ176" s="30" t="str">
        <f t="shared" si="2898"/>
        <v/>
      </c>
      <c r="ER176" s="30" t="str">
        <f t="shared" si="2899"/>
        <v/>
      </c>
      <c r="ES176" s="30" t="str">
        <f t="shared" si="2900"/>
        <v/>
      </c>
      <c r="ET176" s="30" t="str">
        <f t="shared" si="2901"/>
        <v/>
      </c>
      <c r="EU176" s="30" t="str">
        <f t="shared" si="2902"/>
        <v/>
      </c>
      <c r="EV176" s="30" t="str">
        <f t="shared" si="2903"/>
        <v/>
      </c>
      <c r="EW176" s="30" t="str">
        <f t="shared" si="2904"/>
        <v/>
      </c>
      <c r="EX176" s="30" t="str">
        <f t="shared" si="2905"/>
        <v/>
      </c>
      <c r="EY176" s="30" t="str">
        <f t="shared" si="2906"/>
        <v/>
      </c>
      <c r="EZ176" s="30" t="str">
        <f t="shared" si="2907"/>
        <v/>
      </c>
      <c r="FA176" s="30" t="str">
        <f t="shared" si="2908"/>
        <v/>
      </c>
      <c r="FB176" s="30" t="str">
        <f t="shared" si="2909"/>
        <v/>
      </c>
      <c r="FC176" s="30" t="str">
        <f t="shared" si="2910"/>
        <v/>
      </c>
      <c r="FD176" s="30" t="str">
        <f t="shared" si="2911"/>
        <v/>
      </c>
      <c r="FE176" s="30" t="str">
        <f t="shared" si="2912"/>
        <v/>
      </c>
      <c r="FF176" s="30" t="str">
        <f t="shared" si="2913"/>
        <v/>
      </c>
      <c r="FG176" s="30" t="str">
        <f t="shared" si="2914"/>
        <v/>
      </c>
      <c r="FH176" s="30" t="str">
        <f t="shared" si="2915"/>
        <v/>
      </c>
      <c r="FI176" s="30" t="str">
        <f t="shared" si="2916"/>
        <v/>
      </c>
      <c r="FJ176" s="30" t="str">
        <f t="shared" si="2917"/>
        <v/>
      </c>
      <c r="FK176" s="30" t="str">
        <f t="shared" si="2918"/>
        <v/>
      </c>
      <c r="FL176" s="30" t="str">
        <f t="shared" si="2919"/>
        <v/>
      </c>
      <c r="FM176" s="30" t="str">
        <f t="shared" si="2920"/>
        <v/>
      </c>
      <c r="FN176" s="30" t="str">
        <f t="shared" si="2921"/>
        <v/>
      </c>
      <c r="FO176" s="30" t="str">
        <f t="shared" si="2922"/>
        <v/>
      </c>
      <c r="FP176" s="30" t="str">
        <f t="shared" si="2923"/>
        <v/>
      </c>
      <c r="FQ176" s="30" t="str">
        <f t="shared" si="2924"/>
        <v/>
      </c>
      <c r="FR176" s="30" t="str">
        <f t="shared" si="2925"/>
        <v/>
      </c>
      <c r="FS176" s="30" t="str">
        <f t="shared" si="2926"/>
        <v/>
      </c>
    </row>
    <row r="177" spans="1:175" ht="16.5">
      <c r="A177" s="114"/>
      <c r="B177" s="110" t="s">
        <v>402</v>
      </c>
      <c r="C177" s="114" t="s">
        <v>403</v>
      </c>
      <c r="T177" s="114" t="s">
        <v>389</v>
      </c>
      <c r="U177" s="32" t="str">
        <f t="shared" ref="U177:U184" si="2927">"ReplaceableTextures\\CommandButtons\\BTN"&amp;B177&amp;".blp"</f>
        <v>ReplaceableTextures\\CommandButtons\\BTNIH07.blp</v>
      </c>
      <c r="CN177" s="7" t="str">
        <f t="shared" si="2850"/>
        <v>InitUnitState('IH07',,,,,,,,,,)</v>
      </c>
      <c r="CO177" s="7" t="str">
        <f t="shared" si="2851"/>
        <v>InitUnitNormal('IH07',,,,,,,,,,)</v>
      </c>
      <c r="CP177" s="7" t="str">
        <f t="shared" si="2852"/>
        <v>InitUnitMagic('IH07',,,,,,,,,,)</v>
      </c>
      <c r="CQ177" s="7" t="str">
        <f t="shared" si="2853"/>
        <v>InitUnitAdd('IH07',,,,,,,,,,)</v>
      </c>
      <c r="CR177" s="7" t="str">
        <f t="shared" si="2854"/>
        <v>InitEquipData('IH07',,"",,,,,'','','','','','',"ReplaceableTextures\\CommandButtons\\BTNIH08.blp")</v>
      </c>
      <c r="CU177" s="45" t="str">
        <f t="shared" si="2855"/>
        <v>|n</v>
      </c>
      <c r="CV177" s="29" t="str">
        <f t="shared" si="2856"/>
        <v>觉醒兽魂</v>
      </c>
      <c r="CW177" s="24"/>
      <c r="CX177" s="24"/>
      <c r="CY177" s="24"/>
      <c r="CZ177" s="24"/>
      <c r="DA177" s="24"/>
      <c r="DB177" s="30" t="str">
        <f t="shared" si="2857"/>
        <v/>
      </c>
      <c r="DC177" s="30" t="str">
        <f t="shared" si="2858"/>
        <v/>
      </c>
      <c r="DD177" s="30" t="str">
        <f t="shared" si="2859"/>
        <v/>
      </c>
      <c r="DE177" s="30" t="str">
        <f t="shared" si="2860"/>
        <v/>
      </c>
      <c r="DF177" s="30" t="str">
        <f t="shared" si="2861"/>
        <v/>
      </c>
      <c r="DG177" s="30" t="str">
        <f t="shared" si="2862"/>
        <v/>
      </c>
      <c r="DH177" s="30" t="str">
        <f t="shared" si="2863"/>
        <v/>
      </c>
      <c r="DI177" s="30" t="str">
        <f t="shared" si="2864"/>
        <v/>
      </c>
      <c r="DJ177" s="30" t="str">
        <f t="shared" si="2865"/>
        <v/>
      </c>
      <c r="DK177" s="30" t="str">
        <f t="shared" si="2866"/>
        <v/>
      </c>
      <c r="DL177" s="30" t="str">
        <f t="shared" si="2867"/>
        <v/>
      </c>
      <c r="DM177" s="30" t="str">
        <f t="shared" si="2868"/>
        <v/>
      </c>
      <c r="DN177" s="30" t="str">
        <f t="shared" si="2869"/>
        <v/>
      </c>
      <c r="DO177" s="30" t="str">
        <f t="shared" si="2870"/>
        <v/>
      </c>
      <c r="DP177" s="30" t="str">
        <f t="shared" si="2871"/>
        <v/>
      </c>
      <c r="DQ177" s="30" t="str">
        <f t="shared" si="2872"/>
        <v/>
      </c>
      <c r="DR177" s="30" t="str">
        <f t="shared" si="2873"/>
        <v/>
      </c>
      <c r="DS177" s="30" t="str">
        <f t="shared" si="2874"/>
        <v/>
      </c>
      <c r="DT177" s="30" t="str">
        <f t="shared" si="2875"/>
        <v/>
      </c>
      <c r="DU177" s="30" t="str">
        <f t="shared" si="2876"/>
        <v/>
      </c>
      <c r="DV177" s="30" t="str">
        <f t="shared" si="2877"/>
        <v/>
      </c>
      <c r="DW177" s="30" t="str">
        <f t="shared" si="2878"/>
        <v/>
      </c>
      <c r="DX177" s="30" t="str">
        <f t="shared" si="2879"/>
        <v/>
      </c>
      <c r="DY177" s="30" t="str">
        <f t="shared" si="2880"/>
        <v/>
      </c>
      <c r="DZ177" s="30" t="str">
        <f t="shared" si="2881"/>
        <v/>
      </c>
      <c r="EA177" s="30" t="str">
        <f t="shared" si="2882"/>
        <v/>
      </c>
      <c r="EB177" s="30" t="str">
        <f t="shared" si="2883"/>
        <v/>
      </c>
      <c r="EC177" s="30" t="str">
        <f t="shared" si="2884"/>
        <v/>
      </c>
      <c r="ED177" s="30" t="str">
        <f t="shared" si="2885"/>
        <v/>
      </c>
      <c r="EE177" s="30" t="str">
        <f t="shared" si="2886"/>
        <v/>
      </c>
      <c r="EF177" s="30" t="str">
        <f t="shared" si="2887"/>
        <v/>
      </c>
      <c r="EG177" s="30" t="str">
        <f t="shared" si="2888"/>
        <v/>
      </c>
      <c r="EH177" s="30" t="str">
        <f t="shared" si="2889"/>
        <v/>
      </c>
      <c r="EI177" s="30" t="str">
        <f t="shared" si="2890"/>
        <v/>
      </c>
      <c r="EJ177" s="30" t="str">
        <f t="shared" si="2891"/>
        <v/>
      </c>
      <c r="EK177" s="30" t="str">
        <f t="shared" si="2892"/>
        <v/>
      </c>
      <c r="EL177" s="30" t="str">
        <f t="shared" si="2893"/>
        <v/>
      </c>
      <c r="EM177" s="30" t="str">
        <f t="shared" si="2894"/>
        <v/>
      </c>
      <c r="EN177" s="30" t="str">
        <f t="shared" si="2895"/>
        <v/>
      </c>
      <c r="EO177" s="30" t="str">
        <f t="shared" si="2896"/>
        <v/>
      </c>
      <c r="EP177" s="30" t="str">
        <f t="shared" si="2897"/>
        <v/>
      </c>
      <c r="EQ177" s="30" t="str">
        <f t="shared" si="2898"/>
        <v/>
      </c>
      <c r="ER177" s="30" t="str">
        <f t="shared" si="2899"/>
        <v/>
      </c>
      <c r="ES177" s="30" t="str">
        <f t="shared" si="2900"/>
        <v/>
      </c>
      <c r="ET177" s="30" t="str">
        <f t="shared" si="2901"/>
        <v/>
      </c>
      <c r="EU177" s="30" t="str">
        <f t="shared" si="2902"/>
        <v/>
      </c>
      <c r="EV177" s="30" t="str">
        <f t="shared" si="2903"/>
        <v/>
      </c>
      <c r="EW177" s="30" t="str">
        <f t="shared" si="2904"/>
        <v/>
      </c>
      <c r="EX177" s="30" t="str">
        <f t="shared" si="2905"/>
        <v/>
      </c>
      <c r="EY177" s="30" t="str">
        <f t="shared" si="2906"/>
        <v/>
      </c>
      <c r="EZ177" s="30" t="str">
        <f t="shared" si="2907"/>
        <v/>
      </c>
      <c r="FA177" s="30" t="str">
        <f t="shared" si="2908"/>
        <v/>
      </c>
      <c r="FB177" s="30" t="str">
        <f t="shared" si="2909"/>
        <v/>
      </c>
      <c r="FC177" s="30" t="str">
        <f t="shared" si="2910"/>
        <v/>
      </c>
      <c r="FD177" s="30" t="str">
        <f t="shared" si="2911"/>
        <v/>
      </c>
      <c r="FE177" s="30" t="str">
        <f t="shared" si="2912"/>
        <v/>
      </c>
      <c r="FF177" s="30" t="str">
        <f t="shared" si="2913"/>
        <v/>
      </c>
      <c r="FG177" s="30" t="str">
        <f t="shared" si="2914"/>
        <v/>
      </c>
      <c r="FH177" s="30" t="str">
        <f t="shared" si="2915"/>
        <v/>
      </c>
      <c r="FI177" s="30" t="str">
        <f t="shared" si="2916"/>
        <v/>
      </c>
      <c r="FJ177" s="30" t="str">
        <f t="shared" si="2917"/>
        <v/>
      </c>
      <c r="FK177" s="30" t="str">
        <f t="shared" si="2918"/>
        <v/>
      </c>
      <c r="FL177" s="30" t="str">
        <f t="shared" si="2919"/>
        <v/>
      </c>
      <c r="FM177" s="30" t="str">
        <f t="shared" si="2920"/>
        <v/>
      </c>
      <c r="FN177" s="30" t="str">
        <f t="shared" si="2921"/>
        <v/>
      </c>
      <c r="FO177" s="30" t="str">
        <f t="shared" si="2922"/>
        <v/>
      </c>
      <c r="FP177" s="30" t="str">
        <f t="shared" si="2923"/>
        <v/>
      </c>
      <c r="FQ177" s="30" t="str">
        <f t="shared" si="2924"/>
        <v/>
      </c>
      <c r="FR177" s="30" t="str">
        <f t="shared" si="2925"/>
        <v/>
      </c>
      <c r="FS177" s="30" t="str">
        <f t="shared" si="2926"/>
        <v/>
      </c>
    </row>
    <row r="178" spans="1:175" ht="16.5">
      <c r="A178" s="114"/>
      <c r="B178" s="110" t="s">
        <v>404</v>
      </c>
      <c r="C178" s="114" t="s">
        <v>405</v>
      </c>
      <c r="T178" s="114" t="s">
        <v>389</v>
      </c>
      <c r="U178" s="32" t="str">
        <f t="shared" si="2927"/>
        <v>ReplaceableTextures\\CommandButtons\\BTNIH08.blp</v>
      </c>
      <c r="CN178" s="7" t="str">
        <f t="shared" si="2850"/>
        <v>InitUnitState('IH08',,,,,,,,,,)</v>
      </c>
      <c r="CO178" s="7" t="str">
        <f t="shared" si="2851"/>
        <v>InitUnitNormal('IH08',,,,,,,,,,)</v>
      </c>
      <c r="CP178" s="7" t="str">
        <f t="shared" si="2852"/>
        <v>InitUnitMagic('IH08',,,,,,,,,,)</v>
      </c>
      <c r="CQ178" s="7" t="str">
        <f t="shared" si="2853"/>
        <v>InitUnitAdd('IH08',,,,,,,,,,)</v>
      </c>
      <c r="CR178" s="7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184&amp;CR$1&amp;")"</f>
        <v>InitEquipData('IH08',,"",,,,,'','','','','','',"ReplaceableTextures\\CommandButtons\\BTNIF01.blp")</v>
      </c>
      <c r="CU178" s="45" t="str">
        <f t="shared" si="2855"/>
        <v>|n</v>
      </c>
      <c r="CV178" s="29" t="str">
        <f t="shared" si="2856"/>
        <v>觉醒兽魂</v>
      </c>
      <c r="CW178" s="24"/>
      <c r="CX178" s="24"/>
      <c r="CY178" s="24"/>
      <c r="CZ178" s="24"/>
      <c r="DA178" s="24"/>
      <c r="DB178" s="30" t="str">
        <f t="shared" si="2857"/>
        <v/>
      </c>
      <c r="DC178" s="30" t="str">
        <f t="shared" si="2858"/>
        <v/>
      </c>
      <c r="DD178" s="30" t="str">
        <f t="shared" si="2859"/>
        <v/>
      </c>
      <c r="DE178" s="30" t="str">
        <f t="shared" si="2860"/>
        <v/>
      </c>
      <c r="DF178" s="30" t="str">
        <f t="shared" si="2861"/>
        <v/>
      </c>
      <c r="DG178" s="30" t="str">
        <f t="shared" si="2862"/>
        <v/>
      </c>
      <c r="DH178" s="30" t="str">
        <f t="shared" si="2863"/>
        <v/>
      </c>
      <c r="DI178" s="30" t="str">
        <f t="shared" si="2864"/>
        <v/>
      </c>
      <c r="DJ178" s="30" t="str">
        <f t="shared" si="2865"/>
        <v/>
      </c>
      <c r="DK178" s="30" t="str">
        <f t="shared" si="2866"/>
        <v/>
      </c>
      <c r="DL178" s="30" t="str">
        <f t="shared" si="2867"/>
        <v/>
      </c>
      <c r="DM178" s="30" t="str">
        <f t="shared" si="2868"/>
        <v/>
      </c>
      <c r="DN178" s="30" t="str">
        <f t="shared" si="2869"/>
        <v/>
      </c>
      <c r="DO178" s="30" t="str">
        <f t="shared" si="2870"/>
        <v/>
      </c>
      <c r="DP178" s="30" t="str">
        <f t="shared" si="2871"/>
        <v/>
      </c>
      <c r="DQ178" s="30" t="str">
        <f t="shared" si="2872"/>
        <v/>
      </c>
      <c r="DR178" s="30" t="str">
        <f t="shared" si="2873"/>
        <v/>
      </c>
      <c r="DS178" s="30" t="str">
        <f t="shared" si="2874"/>
        <v/>
      </c>
      <c r="DT178" s="30" t="str">
        <f t="shared" si="2875"/>
        <v/>
      </c>
      <c r="DU178" s="30" t="str">
        <f t="shared" si="2876"/>
        <v/>
      </c>
      <c r="DV178" s="30" t="str">
        <f t="shared" si="2877"/>
        <v/>
      </c>
      <c r="DW178" s="30" t="str">
        <f t="shared" si="2878"/>
        <v/>
      </c>
      <c r="DX178" s="30" t="str">
        <f t="shared" si="2879"/>
        <v/>
      </c>
      <c r="DY178" s="30" t="str">
        <f t="shared" si="2880"/>
        <v/>
      </c>
      <c r="DZ178" s="30" t="str">
        <f t="shared" si="2881"/>
        <v/>
      </c>
      <c r="EA178" s="30" t="str">
        <f t="shared" si="2882"/>
        <v/>
      </c>
      <c r="EB178" s="30" t="str">
        <f t="shared" si="2883"/>
        <v/>
      </c>
      <c r="EC178" s="30" t="str">
        <f t="shared" si="2884"/>
        <v/>
      </c>
      <c r="ED178" s="30" t="str">
        <f t="shared" si="2885"/>
        <v/>
      </c>
      <c r="EE178" s="30" t="str">
        <f t="shared" si="2886"/>
        <v/>
      </c>
      <c r="EF178" s="30" t="str">
        <f t="shared" si="2887"/>
        <v/>
      </c>
      <c r="EG178" s="30" t="str">
        <f t="shared" si="2888"/>
        <v/>
      </c>
      <c r="EH178" s="30" t="str">
        <f t="shared" si="2889"/>
        <v/>
      </c>
      <c r="EI178" s="30" t="str">
        <f t="shared" si="2890"/>
        <v/>
      </c>
      <c r="EJ178" s="30" t="str">
        <f t="shared" si="2891"/>
        <v/>
      </c>
      <c r="EK178" s="30" t="str">
        <f t="shared" si="2892"/>
        <v/>
      </c>
      <c r="EL178" s="30" t="str">
        <f t="shared" si="2893"/>
        <v/>
      </c>
      <c r="EM178" s="30" t="str">
        <f t="shared" si="2894"/>
        <v/>
      </c>
      <c r="EN178" s="30" t="str">
        <f t="shared" si="2895"/>
        <v/>
      </c>
      <c r="EO178" s="30" t="str">
        <f t="shared" si="2896"/>
        <v/>
      </c>
      <c r="EP178" s="30" t="str">
        <f t="shared" si="2897"/>
        <v/>
      </c>
      <c r="EQ178" s="30" t="str">
        <f t="shared" si="2898"/>
        <v/>
      </c>
      <c r="ER178" s="30" t="str">
        <f t="shared" si="2899"/>
        <v/>
      </c>
      <c r="ES178" s="30" t="str">
        <f t="shared" si="2900"/>
        <v/>
      </c>
      <c r="ET178" s="30" t="str">
        <f t="shared" si="2901"/>
        <v/>
      </c>
      <c r="EU178" s="30" t="str">
        <f t="shared" si="2902"/>
        <v/>
      </c>
      <c r="EV178" s="30" t="str">
        <f t="shared" si="2903"/>
        <v/>
      </c>
      <c r="EW178" s="30" t="str">
        <f t="shared" si="2904"/>
        <v/>
      </c>
      <c r="EX178" s="30" t="str">
        <f t="shared" si="2905"/>
        <v/>
      </c>
      <c r="EY178" s="30" t="str">
        <f t="shared" si="2906"/>
        <v/>
      </c>
      <c r="EZ178" s="30" t="str">
        <f t="shared" si="2907"/>
        <v/>
      </c>
      <c r="FA178" s="30" t="str">
        <f t="shared" si="2908"/>
        <v/>
      </c>
      <c r="FB178" s="30" t="str">
        <f t="shared" si="2909"/>
        <v/>
      </c>
      <c r="FC178" s="30" t="str">
        <f t="shared" si="2910"/>
        <v/>
      </c>
      <c r="FD178" s="30" t="str">
        <f t="shared" si="2911"/>
        <v/>
      </c>
      <c r="FE178" s="30" t="str">
        <f t="shared" si="2912"/>
        <v/>
      </c>
      <c r="FF178" s="30" t="str">
        <f t="shared" si="2913"/>
        <v/>
      </c>
      <c r="FG178" s="30" t="str">
        <f t="shared" si="2914"/>
        <v/>
      </c>
      <c r="FH178" s="30" t="str">
        <f t="shared" si="2915"/>
        <v/>
      </c>
      <c r="FI178" s="30" t="str">
        <f t="shared" si="2916"/>
        <v/>
      </c>
      <c r="FJ178" s="30" t="str">
        <f t="shared" si="2917"/>
        <v/>
      </c>
      <c r="FK178" s="30" t="str">
        <f t="shared" si="2918"/>
        <v/>
      </c>
      <c r="FL178" s="30" t="str">
        <f t="shared" si="2919"/>
        <v/>
      </c>
      <c r="FM178" s="30" t="str">
        <f t="shared" si="2920"/>
        <v/>
      </c>
      <c r="FN178" s="30" t="str">
        <f t="shared" si="2921"/>
        <v/>
      </c>
      <c r="FO178" s="30" t="str">
        <f t="shared" si="2922"/>
        <v/>
      </c>
      <c r="FP178" s="30" t="str">
        <f t="shared" si="2923"/>
        <v/>
      </c>
      <c r="FQ178" s="30" t="str">
        <f t="shared" si="2924"/>
        <v/>
      </c>
      <c r="FR178" s="30" t="str">
        <f t="shared" si="2925"/>
        <v/>
      </c>
      <c r="FS178" s="30" t="str">
        <f t="shared" si="2926"/>
        <v/>
      </c>
    </row>
    <row r="179" spans="1:175" ht="16.5">
      <c r="A179" s="114"/>
      <c r="B179" s="66" t="s">
        <v>406</v>
      </c>
      <c r="C179" s="88" t="s">
        <v>407</v>
      </c>
      <c r="T179" s="88" t="s">
        <v>407</v>
      </c>
      <c r="U179" s="32" t="str">
        <f t="shared" si="2927"/>
        <v>ReplaceableTextures\\CommandButtons\\BTNIB01.blp</v>
      </c>
      <c r="CN179" s="7" t="str">
        <f t="shared" ref="CN179:CN183" si="2928">"InitUnitState('"&amp;B179&amp;"',"&amp;V179&amp;","&amp;W179&amp;","&amp;X179&amp;","&amp;Y179&amp;","&amp;Z179&amp;","&amp;AA179&amp;","&amp;AB179&amp;","&amp;AC179&amp;","&amp;AD179&amp;","&amp;AE179&amp;")"</f>
        <v>InitUnitState('IB01',,,,,,,,,,)</v>
      </c>
      <c r="CO179" s="7" t="str">
        <f t="shared" ref="CO179:CO183" si="2929">"InitUnitNormal('"&amp;B179&amp;"',"&amp;AF179&amp;","&amp;AG179&amp;","&amp;AH179&amp;","&amp;AI179&amp;","&amp;AJ179&amp;","&amp;AK179&amp;","&amp;AL179&amp;","&amp;AM179&amp;","&amp;AN179&amp;","&amp;AO179&amp;")"</f>
        <v>InitUnitNormal('IB01',,,,,,,,,,)</v>
      </c>
      <c r="CP179" s="7" t="str">
        <f t="shared" ref="CP179:CP183" si="2930">"InitUnitMagic('"&amp;B179&amp;"',"&amp;AP179&amp;","&amp;AQ179&amp;","&amp;AR179&amp;","&amp;AS179&amp;","&amp;AT179&amp;","&amp;AU179&amp;","&amp;AV179&amp;","&amp;AW179&amp;","&amp;BI179&amp;","&amp;BJ179&amp;")"</f>
        <v>InitUnitMagic('IB01',,,,,,,,,,)</v>
      </c>
      <c r="CQ179" s="7" t="str">
        <f t="shared" ref="CQ179:CQ183" si="2931">"InitUnitAdd('"&amp;B179&amp;"',"&amp;BK179&amp;","&amp;BL179&amp;","&amp;BM179&amp;","&amp;BN179&amp;","&amp;BO179&amp;","&amp;BP179&amp;","&amp;BQ179&amp;","&amp;BR179&amp;","&amp;BS179&amp;","&amp;BT179&amp;")"</f>
        <v>InitUnitAdd('IB01',,,,,,,,,,)</v>
      </c>
      <c r="CR179" s="7" t="str">
        <f t="shared" ref="CR179:CR182" si="2932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InitEquipData('IB01',,"",,,,,'','','','','','',"ReplaceableTextures\\CommandButtons\\BTNIB02.blp")</v>
      </c>
      <c r="CU179" s="45" t="str">
        <f t="shared" ref="CU179:CU183" si="293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:CV183" si="2934">T179</f>
        <v>入群礼包</v>
      </c>
      <c r="CW179" s="24"/>
      <c r="CX179" s="24"/>
      <c r="CY179" s="24"/>
      <c r="CZ179" s="24"/>
      <c r="DA179" s="24"/>
      <c r="DB179" s="30" t="str">
        <f t="shared" ref="DB179:DB183" si="2935">IF(V179="","","|n"&amp;DB$2&amp;"+"&amp;V179&amp;DB$1)</f>
        <v/>
      </c>
      <c r="DC179" s="30" t="str">
        <f t="shared" ref="DC179:DC183" si="2936">IF(W179="","","|n"&amp;DC$2&amp;"+"&amp;W179&amp;DC$1)</f>
        <v/>
      </c>
      <c r="DD179" s="30" t="str">
        <f t="shared" ref="DD179:DD183" si="2937">IF(X179="","","|n"&amp;DD$2&amp;"+"&amp;X179&amp;DD$1)</f>
        <v/>
      </c>
      <c r="DE179" s="30" t="str">
        <f t="shared" ref="DE179:DE183" si="2938">IF(Y179="","","|n"&amp;DE$2&amp;"+"&amp;Y179&amp;DE$1)</f>
        <v/>
      </c>
      <c r="DF179" s="30" t="str">
        <f t="shared" ref="DF179:DF183" si="2939">IF(Z179="","","|n"&amp;DF$2&amp;"+"&amp;Z179&amp;DF$1)</f>
        <v/>
      </c>
      <c r="DG179" s="30" t="str">
        <f t="shared" ref="DG179:DG183" si="2940">IF(AA179="","","|n"&amp;DG$2&amp;"+"&amp;AA179&amp;DG$1)</f>
        <v/>
      </c>
      <c r="DH179" s="30" t="str">
        <f t="shared" ref="DH179:DH183" si="2941">IF(AB179="","","|n"&amp;DH$2&amp;"+"&amp;AB179&amp;DH$1)</f>
        <v/>
      </c>
      <c r="DI179" s="30" t="str">
        <f t="shared" ref="DI179:DI183" si="2942">IF(AC179="","","|n"&amp;DI$2&amp;"+"&amp;AC179&amp;DI$1)</f>
        <v/>
      </c>
      <c r="DJ179" s="30" t="str">
        <f t="shared" ref="DJ179:DJ183" si="2943">IF(AD179="","","|n"&amp;DJ$2&amp;"+"&amp;AD179&amp;DJ$1)</f>
        <v/>
      </c>
      <c r="DK179" s="30" t="str">
        <f t="shared" ref="DK179:DK183" si="2944">IF(AE179="","","|n"&amp;DK$2&amp;"+"&amp;AE179&amp;DK$1)</f>
        <v/>
      </c>
      <c r="DL179" s="30" t="str">
        <f t="shared" ref="DL179:DL183" si="2945">IF(AF179="","","|n"&amp;DL$2&amp;"+"&amp;AF179&amp;DL$1)</f>
        <v/>
      </c>
      <c r="DM179" s="30" t="str">
        <f t="shared" ref="DM179:DM183" si="2946">IF(AG179="","","|n"&amp;DM$2&amp;"+"&amp;AG179&amp;DM$1)</f>
        <v/>
      </c>
      <c r="DN179" s="30" t="str">
        <f t="shared" ref="DN179:DN183" si="2947">IF(AH179="","","|n"&amp;DN$2&amp;"+"&amp;AH179&amp;DN$1)</f>
        <v/>
      </c>
      <c r="DO179" s="30" t="str">
        <f t="shared" ref="DO179:DO183" si="2948">IF(AI179="","","|n"&amp;DO$2&amp;"+"&amp;AI179&amp;DO$1)</f>
        <v/>
      </c>
      <c r="DP179" s="30" t="str">
        <f t="shared" ref="DP179:DP183" si="2949">IF(AJ179="","","|n"&amp;DP$2&amp;"+"&amp;AJ179&amp;DP$1)</f>
        <v/>
      </c>
      <c r="DQ179" s="30" t="str">
        <f t="shared" ref="DQ179:DQ183" si="2950">IF(AK179="","","|n"&amp;DQ$2&amp;"+"&amp;AK179&amp;DQ$1)</f>
        <v/>
      </c>
      <c r="DR179" s="30" t="str">
        <f t="shared" ref="DR179:DR183" si="2951">IF(AL179="","","|n"&amp;DR$2&amp;"+"&amp;AL179&amp;DR$1)</f>
        <v/>
      </c>
      <c r="DS179" s="30" t="str">
        <f t="shared" ref="DS179:DS183" si="2952">IF(AM179="","","|n"&amp;DS$2&amp;"+"&amp;AM179&amp;DS$1)</f>
        <v/>
      </c>
      <c r="DT179" s="30" t="str">
        <f t="shared" ref="DT179:DT183" si="2953">IF(AN179="","","|n"&amp;DT$2&amp;"+"&amp;AN179&amp;DT$1)</f>
        <v/>
      </c>
      <c r="DU179" s="30" t="str">
        <f t="shared" ref="DU179:DU183" si="2954">IF(AO179="","","|n"&amp;DU$2&amp;"+"&amp;AO179&amp;DU$1)</f>
        <v/>
      </c>
      <c r="DV179" s="30" t="str">
        <f t="shared" ref="DV179:DV183" si="2955">IF(AP179="","","|n"&amp;DV$2&amp;"+"&amp;AP179&amp;DV$1)</f>
        <v/>
      </c>
      <c r="DW179" s="30" t="str">
        <f t="shared" ref="DW179:DW183" si="2956">IF(AQ179="","","|n"&amp;DW$2&amp;"+"&amp;AQ179&amp;DW$1)</f>
        <v/>
      </c>
      <c r="DX179" s="30" t="str">
        <f t="shared" ref="DX179:DX183" si="2957">IF(AR179="","","|n"&amp;DX$2&amp;"+"&amp;AR179&amp;DX$1)</f>
        <v/>
      </c>
      <c r="DY179" s="30" t="str">
        <f t="shared" ref="DY179:DY183" si="2958">IF(AS179="","","|n"&amp;DY$2&amp;"+"&amp;AS179&amp;DY$1)</f>
        <v/>
      </c>
      <c r="DZ179" s="30" t="str">
        <f t="shared" ref="DZ179:DZ183" si="2959">IF(AT179="","","|n"&amp;DZ$2&amp;"+"&amp;AT179&amp;DZ$1)</f>
        <v/>
      </c>
      <c r="EA179" s="30" t="str">
        <f t="shared" ref="EA179:EA183" si="2960">IF(AU179="","","|n"&amp;EA$2&amp;"+"&amp;AU179&amp;EA$1)</f>
        <v/>
      </c>
      <c r="EB179" s="30" t="str">
        <f t="shared" ref="EB179:EB183" si="2961">IF(AV179="","","|n"&amp;EB$2&amp;"+"&amp;AV179&amp;EB$1)</f>
        <v/>
      </c>
      <c r="EC179" s="30" t="str">
        <f t="shared" ref="EC179:EC183" si="2962">IF(AW179="","","|n"&amp;EC$2&amp;"+"&amp;AW179&amp;EC$1)</f>
        <v/>
      </c>
      <c r="ED179" s="30" t="str">
        <f t="shared" ref="ED179:ED183" si="2963">IF(AX179="","","|n"&amp;ED$2&amp;"+"&amp;AX179&amp;ED$1)</f>
        <v/>
      </c>
      <c r="EE179" s="30" t="str">
        <f t="shared" ref="EE179:EE183" si="2964">IF(AY179="","","|n"&amp;EE$2&amp;"+"&amp;AY179&amp;EE$1)</f>
        <v/>
      </c>
      <c r="EF179" s="30" t="str">
        <f t="shared" ref="EF179:EF183" si="2965">IF(AZ179="","","|n"&amp;EF$2&amp;"+"&amp;AZ179&amp;EF$1)</f>
        <v/>
      </c>
      <c r="EG179" s="30" t="str">
        <f t="shared" ref="EG179:EG183" si="2966">IF(BA179="","","|n"&amp;EG$2&amp;"+"&amp;BA179&amp;EG$1)</f>
        <v/>
      </c>
      <c r="EH179" s="30" t="str">
        <f t="shared" ref="EH179:EH183" si="2967">IF(BB179="","","|n"&amp;EH$2&amp;"+"&amp;BB179&amp;EH$1)</f>
        <v/>
      </c>
      <c r="EI179" s="30" t="str">
        <f t="shared" ref="EI179:EI183" si="2968">IF(BC179="","","|n"&amp;EI$2&amp;"+"&amp;BC179&amp;EI$1)</f>
        <v/>
      </c>
      <c r="EJ179" s="30" t="str">
        <f t="shared" ref="EJ179:EJ183" si="2969">IF(BD179="","","|n"&amp;EJ$2&amp;"+"&amp;BD179&amp;EJ$1)</f>
        <v/>
      </c>
      <c r="EK179" s="30" t="str">
        <f t="shared" ref="EK179:EK183" si="2970">IF(BE179="","","|n"&amp;EK$2&amp;"+"&amp;BE179&amp;EK$1)</f>
        <v/>
      </c>
      <c r="EL179" s="30" t="str">
        <f t="shared" ref="EL179:EL183" si="2971">IF(BF179="","","|n"&amp;EL$2&amp;"+"&amp;BF179&amp;EL$1)</f>
        <v/>
      </c>
      <c r="EM179" s="30" t="str">
        <f t="shared" ref="EM179:EM183" si="2972">IF(BG179="","","|n"&amp;EM$2&amp;"+"&amp;BG179&amp;EM$1)</f>
        <v/>
      </c>
      <c r="EN179" s="30" t="str">
        <f t="shared" ref="EN179:EN183" si="2973">IF(BH179="","","|n"&amp;EN$2&amp;"+"&amp;BH179&amp;EN$1)</f>
        <v/>
      </c>
      <c r="EO179" s="30" t="str">
        <f t="shared" ref="EO179:EO183" si="2974">IF(BI179="","","|n"&amp;EO$2&amp;"+"&amp;BI179&amp;EO$1)</f>
        <v/>
      </c>
      <c r="EP179" s="30" t="str">
        <f t="shared" ref="EP179:EP183" si="2975">IF(BJ179="","","|n"&amp;EP$2&amp;"+"&amp;BJ179&amp;EP$1)</f>
        <v/>
      </c>
      <c r="EQ179" s="30" t="str">
        <f t="shared" ref="EQ179:EQ183" si="2976">IF(BK179="","","|n"&amp;EQ$2&amp;"+"&amp;BK179&amp;EQ$1)</f>
        <v/>
      </c>
      <c r="ER179" s="30" t="str">
        <f t="shared" ref="ER179:ER183" si="2977">IF(BL179="","","|n"&amp;ER$2&amp;"+"&amp;BL179&amp;ER$1)</f>
        <v/>
      </c>
      <c r="ES179" s="30" t="str">
        <f t="shared" ref="ES179:ES183" si="2978">IF(BM179="","","|n"&amp;ES$2&amp;"+"&amp;BM179&amp;ES$1)</f>
        <v/>
      </c>
      <c r="ET179" s="30" t="str">
        <f t="shared" ref="ET179:ET183" si="2979">IF(BN179="","","|n"&amp;ET$2&amp;"+"&amp;BN179&amp;ET$1)</f>
        <v/>
      </c>
      <c r="EU179" s="30" t="str">
        <f t="shared" ref="EU179:EU183" si="2980">IF(BO179="","","|n"&amp;EU$2&amp;"+"&amp;BO179&amp;EU$1)</f>
        <v/>
      </c>
      <c r="EV179" s="30" t="str">
        <f t="shared" ref="EV179:EV183" si="2981">IF(BP179="","","|n"&amp;EV$2&amp;"+"&amp;BP179&amp;EV$1)</f>
        <v/>
      </c>
      <c r="EW179" s="30" t="str">
        <f t="shared" ref="EW179:EW183" si="2982">IF(BQ179="","","|n"&amp;EW$2&amp;"+"&amp;BQ179&amp;EW$1)</f>
        <v/>
      </c>
      <c r="EX179" s="30" t="str">
        <f t="shared" ref="EX179:EX183" si="2983">IF(BR179="","","|n"&amp;EX$2&amp;"+"&amp;BR179&amp;EX$1)</f>
        <v/>
      </c>
      <c r="EY179" s="30" t="str">
        <f t="shared" ref="EY179:EY183" si="2984">IF(BS179="","","|n"&amp;EY$2&amp;"+"&amp;BS179&amp;EY$1)</f>
        <v/>
      </c>
      <c r="EZ179" s="30" t="str">
        <f t="shared" ref="EZ179:EZ183" si="2985">IF(BT179="","","|n"&amp;EZ$2&amp;"+"&amp;BT179&amp;EZ$1)</f>
        <v/>
      </c>
      <c r="FA179" s="30" t="str">
        <f t="shared" ref="FA179:FA183" si="2986">IF(BU179="","","|n"&amp;FA$2&amp;"+"&amp;BU179&amp;FA$1)</f>
        <v/>
      </c>
      <c r="FB179" s="30" t="str">
        <f t="shared" ref="FB179:FB183" si="2987">IF(BV179="","","|n"&amp;FB$2&amp;"+"&amp;BV179&amp;FB$1)</f>
        <v/>
      </c>
      <c r="FC179" s="30" t="str">
        <f t="shared" ref="FC179:FC183" si="2988">IF(BW179="","","|n"&amp;FC$2&amp;"+"&amp;BW179&amp;FC$1)</f>
        <v/>
      </c>
      <c r="FD179" s="30" t="str">
        <f t="shared" ref="FD179:FD183" si="2989">IF(BX179="","","|n"&amp;FD$2&amp;"+"&amp;BX179&amp;FD$1)</f>
        <v/>
      </c>
      <c r="FE179" s="30" t="str">
        <f t="shared" ref="FE179:FE183" si="2990">IF(BY179="","","|n"&amp;FE$2&amp;"+"&amp;BY179&amp;FE$1)</f>
        <v/>
      </c>
      <c r="FF179" s="30" t="str">
        <f t="shared" ref="FF179:FF183" si="2991">IF(BZ179="","","|n"&amp;FF$2&amp;"+"&amp;BZ179&amp;FF$1)</f>
        <v/>
      </c>
      <c r="FG179" s="30" t="str">
        <f t="shared" ref="FG179:FG183" si="2992">IF(CA179="","","|n"&amp;FG$2&amp;"+"&amp;CA179&amp;FG$1)</f>
        <v/>
      </c>
      <c r="FH179" s="30" t="str">
        <f t="shared" ref="FH179:FH183" si="2993">IF(CB179="","","|n"&amp;FH$2&amp;"+"&amp;CB179&amp;FH$1)</f>
        <v/>
      </c>
      <c r="FI179" s="30" t="str">
        <f t="shared" ref="FI179:FI183" si="2994">IF(CC179="","","|n"&amp;FI$2&amp;"+"&amp;CC179&amp;FI$1)</f>
        <v/>
      </c>
      <c r="FJ179" s="30" t="str">
        <f t="shared" ref="FJ179:FJ183" si="2995">IF(CD179="","","|n"&amp;FJ$2&amp;"+"&amp;CD179&amp;FJ$1)</f>
        <v/>
      </c>
      <c r="FK179" s="30" t="str">
        <f t="shared" ref="FK179:FK183" si="2996">IF(CE179="","","|n"&amp;FK$2&amp;"+"&amp;CE179&amp;FK$1)</f>
        <v/>
      </c>
      <c r="FL179" s="30" t="str">
        <f t="shared" ref="FL179:FL183" si="2997">IF(CF179="","","|n"&amp;FL$2&amp;"+"&amp;CF179&amp;FL$1)</f>
        <v/>
      </c>
      <c r="FM179" s="30" t="str">
        <f t="shared" ref="FM179:FM183" si="2998">IF(CG179="","","|n"&amp;FM$2&amp;"+"&amp;CG179&amp;FM$1)</f>
        <v/>
      </c>
      <c r="FN179" s="30" t="str">
        <f t="shared" ref="FN179:FN183" si="2999">IF(CH179="","","|n"&amp;FN$2&amp;"+"&amp;CH179&amp;FN$1)</f>
        <v/>
      </c>
      <c r="FO179" s="30" t="str">
        <f t="shared" ref="FO179:FO183" si="3000">IF(CI179="","","|n"&amp;FO$2&amp;"+"&amp;CI179&amp;FO$1)</f>
        <v/>
      </c>
      <c r="FP179" s="30" t="str">
        <f t="shared" ref="FP179:FP183" si="3001">IF(CJ179="","","|n"&amp;FP$2&amp;"+"&amp;CJ179&amp;FP$1)</f>
        <v/>
      </c>
      <c r="FQ179" s="30" t="str">
        <f t="shared" ref="FQ179:FQ183" si="3002">IF(CK179="","","|n"&amp;FQ$2&amp;"+"&amp;CK179&amp;FQ$1)</f>
        <v/>
      </c>
      <c r="FR179" s="30" t="str">
        <f t="shared" ref="FR179:FR183" si="3003">IF(CL179="","","|n"&amp;FR$2&amp;"+"&amp;CL179&amp;FR$1)</f>
        <v/>
      </c>
      <c r="FS179" s="30" t="str">
        <f t="shared" ref="FS179:FS183" si="3004">IF(CM179="","","|n"&amp;FS$2&amp;"+"&amp;CM179&amp;FS$1)</f>
        <v/>
      </c>
    </row>
    <row r="180" spans="1:175" ht="16.5">
      <c r="A180" s="114"/>
      <c r="B180" s="66" t="s">
        <v>412</v>
      </c>
      <c r="C180" s="88" t="s">
        <v>408</v>
      </c>
      <c r="T180" s="88" t="s">
        <v>408</v>
      </c>
      <c r="U180" s="32" t="str">
        <f t="shared" si="2927"/>
        <v>ReplaceableTextures\\CommandButtons\\BTNIB02.blp</v>
      </c>
      <c r="CN180" s="7" t="str">
        <f t="shared" si="2928"/>
        <v>InitUnitState('IB02',,,,,,,,,,)</v>
      </c>
      <c r="CO180" s="7" t="str">
        <f t="shared" si="2929"/>
        <v>InitUnitNormal('IB02',,,,,,,,,,)</v>
      </c>
      <c r="CP180" s="7" t="str">
        <f t="shared" si="2930"/>
        <v>InitUnitMagic('IB02',,,,,,,,,,)</v>
      </c>
      <c r="CQ180" s="7" t="str">
        <f t="shared" si="2931"/>
        <v>InitUnitAdd('IB02',,,,,,,,,,)</v>
      </c>
      <c r="CR180" s="7" t="str">
        <f t="shared" si="2932"/>
        <v>InitEquipData('IB02',,"",,,,,'','','','','','',"ReplaceableTextures\\CommandButtons\\BTNIB03.blp")</v>
      </c>
      <c r="CU180" s="45" t="str">
        <f t="shared" si="2933"/>
        <v>|n</v>
      </c>
      <c r="CV180" s="29" t="str">
        <f t="shared" si="2934"/>
        <v>公众号礼包</v>
      </c>
      <c r="CW180" s="24"/>
      <c r="CX180" s="24"/>
      <c r="CY180" s="24"/>
      <c r="CZ180" s="24"/>
      <c r="DA180" s="24"/>
      <c r="DB180" s="30" t="str">
        <f t="shared" si="2935"/>
        <v/>
      </c>
      <c r="DC180" s="30" t="str">
        <f t="shared" si="2936"/>
        <v/>
      </c>
      <c r="DD180" s="30" t="str">
        <f t="shared" si="2937"/>
        <v/>
      </c>
      <c r="DE180" s="30" t="str">
        <f t="shared" si="2938"/>
        <v/>
      </c>
      <c r="DF180" s="30" t="str">
        <f t="shared" si="2939"/>
        <v/>
      </c>
      <c r="DG180" s="30" t="str">
        <f t="shared" si="2940"/>
        <v/>
      </c>
      <c r="DH180" s="30" t="str">
        <f t="shared" si="2941"/>
        <v/>
      </c>
      <c r="DI180" s="30" t="str">
        <f t="shared" si="2942"/>
        <v/>
      </c>
      <c r="DJ180" s="30" t="str">
        <f t="shared" si="2943"/>
        <v/>
      </c>
      <c r="DK180" s="30" t="str">
        <f t="shared" si="2944"/>
        <v/>
      </c>
      <c r="DL180" s="30" t="str">
        <f t="shared" si="2945"/>
        <v/>
      </c>
      <c r="DM180" s="30" t="str">
        <f t="shared" si="2946"/>
        <v/>
      </c>
      <c r="DN180" s="30" t="str">
        <f t="shared" si="2947"/>
        <v/>
      </c>
      <c r="DO180" s="30" t="str">
        <f t="shared" si="2948"/>
        <v/>
      </c>
      <c r="DP180" s="30" t="str">
        <f t="shared" si="2949"/>
        <v/>
      </c>
      <c r="DQ180" s="30" t="str">
        <f t="shared" si="2950"/>
        <v/>
      </c>
      <c r="DR180" s="30" t="str">
        <f t="shared" si="2951"/>
        <v/>
      </c>
      <c r="DS180" s="30" t="str">
        <f t="shared" si="2952"/>
        <v/>
      </c>
      <c r="DT180" s="30" t="str">
        <f t="shared" si="2953"/>
        <v/>
      </c>
      <c r="DU180" s="30" t="str">
        <f t="shared" si="2954"/>
        <v/>
      </c>
      <c r="DV180" s="30" t="str">
        <f t="shared" si="2955"/>
        <v/>
      </c>
      <c r="DW180" s="30" t="str">
        <f t="shared" si="2956"/>
        <v/>
      </c>
      <c r="DX180" s="30" t="str">
        <f t="shared" si="2957"/>
        <v/>
      </c>
      <c r="DY180" s="30" t="str">
        <f t="shared" si="2958"/>
        <v/>
      </c>
      <c r="DZ180" s="30" t="str">
        <f t="shared" si="2959"/>
        <v/>
      </c>
      <c r="EA180" s="30" t="str">
        <f t="shared" si="2960"/>
        <v/>
      </c>
      <c r="EB180" s="30" t="str">
        <f t="shared" si="2961"/>
        <v/>
      </c>
      <c r="EC180" s="30" t="str">
        <f t="shared" si="2962"/>
        <v/>
      </c>
      <c r="ED180" s="30" t="str">
        <f t="shared" si="2963"/>
        <v/>
      </c>
      <c r="EE180" s="30" t="str">
        <f t="shared" si="2964"/>
        <v/>
      </c>
      <c r="EF180" s="30" t="str">
        <f t="shared" si="2965"/>
        <v/>
      </c>
      <c r="EG180" s="30" t="str">
        <f t="shared" si="2966"/>
        <v/>
      </c>
      <c r="EH180" s="30" t="str">
        <f t="shared" si="2967"/>
        <v/>
      </c>
      <c r="EI180" s="30" t="str">
        <f t="shared" si="2968"/>
        <v/>
      </c>
      <c r="EJ180" s="30" t="str">
        <f t="shared" si="2969"/>
        <v/>
      </c>
      <c r="EK180" s="30" t="str">
        <f t="shared" si="2970"/>
        <v/>
      </c>
      <c r="EL180" s="30" t="str">
        <f t="shared" si="2971"/>
        <v/>
      </c>
      <c r="EM180" s="30" t="str">
        <f t="shared" si="2972"/>
        <v/>
      </c>
      <c r="EN180" s="30" t="str">
        <f t="shared" si="2973"/>
        <v/>
      </c>
      <c r="EO180" s="30" t="str">
        <f t="shared" si="2974"/>
        <v/>
      </c>
      <c r="EP180" s="30" t="str">
        <f t="shared" si="2975"/>
        <v/>
      </c>
      <c r="EQ180" s="30" t="str">
        <f t="shared" si="2976"/>
        <v/>
      </c>
      <c r="ER180" s="30" t="str">
        <f t="shared" si="2977"/>
        <v/>
      </c>
      <c r="ES180" s="30" t="str">
        <f t="shared" si="2978"/>
        <v/>
      </c>
      <c r="ET180" s="30" t="str">
        <f t="shared" si="2979"/>
        <v/>
      </c>
      <c r="EU180" s="30" t="str">
        <f t="shared" si="2980"/>
        <v/>
      </c>
      <c r="EV180" s="30" t="str">
        <f t="shared" si="2981"/>
        <v/>
      </c>
      <c r="EW180" s="30" t="str">
        <f t="shared" si="2982"/>
        <v/>
      </c>
      <c r="EX180" s="30" t="str">
        <f t="shared" si="2983"/>
        <v/>
      </c>
      <c r="EY180" s="30" t="str">
        <f t="shared" si="2984"/>
        <v/>
      </c>
      <c r="EZ180" s="30" t="str">
        <f t="shared" si="2985"/>
        <v/>
      </c>
      <c r="FA180" s="30" t="str">
        <f t="shared" si="2986"/>
        <v/>
      </c>
      <c r="FB180" s="30" t="str">
        <f t="shared" si="2987"/>
        <v/>
      </c>
      <c r="FC180" s="30" t="str">
        <f t="shared" si="2988"/>
        <v/>
      </c>
      <c r="FD180" s="30" t="str">
        <f t="shared" si="2989"/>
        <v/>
      </c>
      <c r="FE180" s="30" t="str">
        <f t="shared" si="2990"/>
        <v/>
      </c>
      <c r="FF180" s="30" t="str">
        <f t="shared" si="2991"/>
        <v/>
      </c>
      <c r="FG180" s="30" t="str">
        <f t="shared" si="2992"/>
        <v/>
      </c>
      <c r="FH180" s="30" t="str">
        <f t="shared" si="2993"/>
        <v/>
      </c>
      <c r="FI180" s="30" t="str">
        <f t="shared" si="2994"/>
        <v/>
      </c>
      <c r="FJ180" s="30" t="str">
        <f t="shared" si="2995"/>
        <v/>
      </c>
      <c r="FK180" s="30" t="str">
        <f t="shared" si="2996"/>
        <v/>
      </c>
      <c r="FL180" s="30" t="str">
        <f t="shared" si="2997"/>
        <v/>
      </c>
      <c r="FM180" s="30" t="str">
        <f t="shared" si="2998"/>
        <v/>
      </c>
      <c r="FN180" s="30" t="str">
        <f t="shared" si="2999"/>
        <v/>
      </c>
      <c r="FO180" s="30" t="str">
        <f t="shared" si="3000"/>
        <v/>
      </c>
      <c r="FP180" s="30" t="str">
        <f t="shared" si="3001"/>
        <v/>
      </c>
      <c r="FQ180" s="30" t="str">
        <f t="shared" si="3002"/>
        <v/>
      </c>
      <c r="FR180" s="30" t="str">
        <f t="shared" si="3003"/>
        <v/>
      </c>
      <c r="FS180" s="30" t="str">
        <f t="shared" si="3004"/>
        <v/>
      </c>
    </row>
    <row r="181" spans="1:175" ht="16.5">
      <c r="A181" s="114"/>
      <c r="B181" s="66" t="s">
        <v>413</v>
      </c>
      <c r="C181" s="87" t="s">
        <v>409</v>
      </c>
      <c r="T181" s="87" t="s">
        <v>409</v>
      </c>
      <c r="U181" s="32" t="str">
        <f t="shared" si="2927"/>
        <v>ReplaceableTextures\\CommandButtons\\BTNIB03.blp</v>
      </c>
      <c r="CN181" s="7" t="str">
        <f t="shared" si="2928"/>
        <v>InitUnitState('IB03',,,,,,,,,,)</v>
      </c>
      <c r="CO181" s="7" t="str">
        <f t="shared" si="2929"/>
        <v>InitUnitNormal('IB03',,,,,,,,,,)</v>
      </c>
      <c r="CP181" s="7" t="str">
        <f t="shared" si="2930"/>
        <v>InitUnitMagic('IB03',,,,,,,,,,)</v>
      </c>
      <c r="CQ181" s="7" t="str">
        <f t="shared" si="2931"/>
        <v>InitUnitAdd('IB03',,,,,,,,,,)</v>
      </c>
      <c r="CR181" s="7" t="str">
        <f t="shared" si="2932"/>
        <v>InitEquipData('IB03',,"",,,,,'','','','','','',"ReplaceableTextures\\CommandButtons\\BTNIB04.blp")</v>
      </c>
      <c r="CU181" s="45" t="str">
        <f t="shared" si="2933"/>
        <v>|n</v>
      </c>
      <c r="CV181" s="29" t="str">
        <f t="shared" si="2934"/>
        <v>好评礼包</v>
      </c>
      <c r="CW181" s="24"/>
      <c r="CX181" s="24"/>
      <c r="CY181" s="24"/>
      <c r="CZ181" s="24"/>
      <c r="DA181" s="24"/>
      <c r="DB181" s="30" t="str">
        <f t="shared" si="2935"/>
        <v/>
      </c>
      <c r="DC181" s="30" t="str">
        <f t="shared" si="2936"/>
        <v/>
      </c>
      <c r="DD181" s="30" t="str">
        <f t="shared" si="2937"/>
        <v/>
      </c>
      <c r="DE181" s="30" t="str">
        <f t="shared" si="2938"/>
        <v/>
      </c>
      <c r="DF181" s="30" t="str">
        <f t="shared" si="2939"/>
        <v/>
      </c>
      <c r="DG181" s="30" t="str">
        <f t="shared" si="2940"/>
        <v/>
      </c>
      <c r="DH181" s="30" t="str">
        <f t="shared" si="2941"/>
        <v/>
      </c>
      <c r="DI181" s="30" t="str">
        <f t="shared" si="2942"/>
        <v/>
      </c>
      <c r="DJ181" s="30" t="str">
        <f t="shared" si="2943"/>
        <v/>
      </c>
      <c r="DK181" s="30" t="str">
        <f t="shared" si="2944"/>
        <v/>
      </c>
      <c r="DL181" s="30" t="str">
        <f t="shared" si="2945"/>
        <v/>
      </c>
      <c r="DM181" s="30" t="str">
        <f t="shared" si="2946"/>
        <v/>
      </c>
      <c r="DN181" s="30" t="str">
        <f t="shared" si="2947"/>
        <v/>
      </c>
      <c r="DO181" s="30" t="str">
        <f t="shared" si="2948"/>
        <v/>
      </c>
      <c r="DP181" s="30" t="str">
        <f t="shared" si="2949"/>
        <v/>
      </c>
      <c r="DQ181" s="30" t="str">
        <f t="shared" si="2950"/>
        <v/>
      </c>
      <c r="DR181" s="30" t="str">
        <f t="shared" si="2951"/>
        <v/>
      </c>
      <c r="DS181" s="30" t="str">
        <f t="shared" si="2952"/>
        <v/>
      </c>
      <c r="DT181" s="30" t="str">
        <f t="shared" si="2953"/>
        <v/>
      </c>
      <c r="DU181" s="30" t="str">
        <f t="shared" si="2954"/>
        <v/>
      </c>
      <c r="DV181" s="30" t="str">
        <f t="shared" si="2955"/>
        <v/>
      </c>
      <c r="DW181" s="30" t="str">
        <f t="shared" si="2956"/>
        <v/>
      </c>
      <c r="DX181" s="30" t="str">
        <f t="shared" si="2957"/>
        <v/>
      </c>
      <c r="DY181" s="30" t="str">
        <f t="shared" si="2958"/>
        <v/>
      </c>
      <c r="DZ181" s="30" t="str">
        <f t="shared" si="2959"/>
        <v/>
      </c>
      <c r="EA181" s="30" t="str">
        <f t="shared" si="2960"/>
        <v/>
      </c>
      <c r="EB181" s="30" t="str">
        <f t="shared" si="2961"/>
        <v/>
      </c>
      <c r="EC181" s="30" t="str">
        <f t="shared" si="2962"/>
        <v/>
      </c>
      <c r="ED181" s="30" t="str">
        <f t="shared" si="2963"/>
        <v/>
      </c>
      <c r="EE181" s="30" t="str">
        <f t="shared" si="2964"/>
        <v/>
      </c>
      <c r="EF181" s="30" t="str">
        <f t="shared" si="2965"/>
        <v/>
      </c>
      <c r="EG181" s="30" t="str">
        <f t="shared" si="2966"/>
        <v/>
      </c>
      <c r="EH181" s="30" t="str">
        <f t="shared" si="2967"/>
        <v/>
      </c>
      <c r="EI181" s="30" t="str">
        <f t="shared" si="2968"/>
        <v/>
      </c>
      <c r="EJ181" s="30" t="str">
        <f t="shared" si="2969"/>
        <v/>
      </c>
      <c r="EK181" s="30" t="str">
        <f t="shared" si="2970"/>
        <v/>
      </c>
      <c r="EL181" s="30" t="str">
        <f t="shared" si="2971"/>
        <v/>
      </c>
      <c r="EM181" s="30" t="str">
        <f t="shared" si="2972"/>
        <v/>
      </c>
      <c r="EN181" s="30" t="str">
        <f t="shared" si="2973"/>
        <v/>
      </c>
      <c r="EO181" s="30" t="str">
        <f t="shared" si="2974"/>
        <v/>
      </c>
      <c r="EP181" s="30" t="str">
        <f t="shared" si="2975"/>
        <v/>
      </c>
      <c r="EQ181" s="30" t="str">
        <f t="shared" si="2976"/>
        <v/>
      </c>
      <c r="ER181" s="30" t="str">
        <f t="shared" si="2977"/>
        <v/>
      </c>
      <c r="ES181" s="30" t="str">
        <f t="shared" si="2978"/>
        <v/>
      </c>
      <c r="ET181" s="30" t="str">
        <f t="shared" si="2979"/>
        <v/>
      </c>
      <c r="EU181" s="30" t="str">
        <f t="shared" si="2980"/>
        <v/>
      </c>
      <c r="EV181" s="30" t="str">
        <f t="shared" si="2981"/>
        <v/>
      </c>
      <c r="EW181" s="30" t="str">
        <f t="shared" si="2982"/>
        <v/>
      </c>
      <c r="EX181" s="30" t="str">
        <f t="shared" si="2983"/>
        <v/>
      </c>
      <c r="EY181" s="30" t="str">
        <f t="shared" si="2984"/>
        <v/>
      </c>
      <c r="EZ181" s="30" t="str">
        <f t="shared" si="2985"/>
        <v/>
      </c>
      <c r="FA181" s="30" t="str">
        <f t="shared" si="2986"/>
        <v/>
      </c>
      <c r="FB181" s="30" t="str">
        <f t="shared" si="2987"/>
        <v/>
      </c>
      <c r="FC181" s="30" t="str">
        <f t="shared" si="2988"/>
        <v/>
      </c>
      <c r="FD181" s="30" t="str">
        <f t="shared" si="2989"/>
        <v/>
      </c>
      <c r="FE181" s="30" t="str">
        <f t="shared" si="2990"/>
        <v/>
      </c>
      <c r="FF181" s="30" t="str">
        <f t="shared" si="2991"/>
        <v/>
      </c>
      <c r="FG181" s="30" t="str">
        <f t="shared" si="2992"/>
        <v/>
      </c>
      <c r="FH181" s="30" t="str">
        <f t="shared" si="2993"/>
        <v/>
      </c>
      <c r="FI181" s="30" t="str">
        <f t="shared" si="2994"/>
        <v/>
      </c>
      <c r="FJ181" s="30" t="str">
        <f t="shared" si="2995"/>
        <v/>
      </c>
      <c r="FK181" s="30" t="str">
        <f t="shared" si="2996"/>
        <v/>
      </c>
      <c r="FL181" s="30" t="str">
        <f t="shared" si="2997"/>
        <v/>
      </c>
      <c r="FM181" s="30" t="str">
        <f t="shared" si="2998"/>
        <v/>
      </c>
      <c r="FN181" s="30" t="str">
        <f t="shared" si="2999"/>
        <v/>
      </c>
      <c r="FO181" s="30" t="str">
        <f t="shared" si="3000"/>
        <v/>
      </c>
      <c r="FP181" s="30" t="str">
        <f t="shared" si="3001"/>
        <v/>
      </c>
      <c r="FQ181" s="30" t="str">
        <f t="shared" si="3002"/>
        <v/>
      </c>
      <c r="FR181" s="30" t="str">
        <f t="shared" si="3003"/>
        <v/>
      </c>
      <c r="FS181" s="30" t="str">
        <f t="shared" si="3004"/>
        <v/>
      </c>
    </row>
    <row r="182" spans="1:175" ht="16.5">
      <c r="A182" s="114"/>
      <c r="B182" s="66" t="s">
        <v>414</v>
      </c>
      <c r="C182" s="87" t="s">
        <v>410</v>
      </c>
      <c r="T182" s="87" t="s">
        <v>410</v>
      </c>
      <c r="U182" s="32" t="str">
        <f t="shared" si="2927"/>
        <v>ReplaceableTextures\\CommandButtons\\BTNIB04.blp</v>
      </c>
      <c r="CN182" s="7" t="str">
        <f t="shared" si="2928"/>
        <v>InitUnitState('IB04',,,,,,,,,,)</v>
      </c>
      <c r="CO182" s="7" t="str">
        <f t="shared" si="2929"/>
        <v>InitUnitNormal('IB04',,,,,,,,,,)</v>
      </c>
      <c r="CP182" s="7" t="str">
        <f t="shared" si="2930"/>
        <v>InitUnitMagic('IB04',,,,,,,,,,)</v>
      </c>
      <c r="CQ182" s="7" t="str">
        <f t="shared" si="2931"/>
        <v>InitUnitAdd('IB04',,,,,,,,,,)</v>
      </c>
      <c r="CR182" s="7" t="str">
        <f t="shared" si="2932"/>
        <v>InitEquipData('IB04',,"",,,,,'','','','','','',"ReplaceableTextures\\CommandButtons\\BTNIB05.blp")</v>
      </c>
      <c r="CU182" s="45" t="str">
        <f t="shared" si="2933"/>
        <v>|n</v>
      </c>
      <c r="CV182" s="29" t="str">
        <f t="shared" si="2934"/>
        <v>老铁礼包</v>
      </c>
      <c r="CW182" s="24"/>
      <c r="CX182" s="24"/>
      <c r="CY182" s="24"/>
      <c r="CZ182" s="24"/>
      <c r="DA182" s="24"/>
      <c r="DB182" s="30" t="str">
        <f t="shared" si="2935"/>
        <v/>
      </c>
      <c r="DC182" s="30" t="str">
        <f t="shared" si="2936"/>
        <v/>
      </c>
      <c r="DD182" s="30" t="str">
        <f t="shared" si="2937"/>
        <v/>
      </c>
      <c r="DE182" s="30" t="str">
        <f t="shared" si="2938"/>
        <v/>
      </c>
      <c r="DF182" s="30" t="str">
        <f t="shared" si="2939"/>
        <v/>
      </c>
      <c r="DG182" s="30" t="str">
        <f t="shared" si="2940"/>
        <v/>
      </c>
      <c r="DH182" s="30" t="str">
        <f t="shared" si="2941"/>
        <v/>
      </c>
      <c r="DI182" s="30" t="str">
        <f t="shared" si="2942"/>
        <v/>
      </c>
      <c r="DJ182" s="30" t="str">
        <f t="shared" si="2943"/>
        <v/>
      </c>
      <c r="DK182" s="30" t="str">
        <f t="shared" si="2944"/>
        <v/>
      </c>
      <c r="DL182" s="30" t="str">
        <f t="shared" si="2945"/>
        <v/>
      </c>
      <c r="DM182" s="30" t="str">
        <f t="shared" si="2946"/>
        <v/>
      </c>
      <c r="DN182" s="30" t="str">
        <f t="shared" si="2947"/>
        <v/>
      </c>
      <c r="DO182" s="30" t="str">
        <f t="shared" si="2948"/>
        <v/>
      </c>
      <c r="DP182" s="30" t="str">
        <f t="shared" si="2949"/>
        <v/>
      </c>
      <c r="DQ182" s="30" t="str">
        <f t="shared" si="2950"/>
        <v/>
      </c>
      <c r="DR182" s="30" t="str">
        <f t="shared" si="2951"/>
        <v/>
      </c>
      <c r="DS182" s="30" t="str">
        <f t="shared" si="2952"/>
        <v/>
      </c>
      <c r="DT182" s="30" t="str">
        <f t="shared" si="2953"/>
        <v/>
      </c>
      <c r="DU182" s="30" t="str">
        <f t="shared" si="2954"/>
        <v/>
      </c>
      <c r="DV182" s="30" t="str">
        <f t="shared" si="2955"/>
        <v/>
      </c>
      <c r="DW182" s="30" t="str">
        <f t="shared" si="2956"/>
        <v/>
      </c>
      <c r="DX182" s="30" t="str">
        <f t="shared" si="2957"/>
        <v/>
      </c>
      <c r="DY182" s="30" t="str">
        <f t="shared" si="2958"/>
        <v/>
      </c>
      <c r="DZ182" s="30" t="str">
        <f t="shared" si="2959"/>
        <v/>
      </c>
      <c r="EA182" s="30" t="str">
        <f t="shared" si="2960"/>
        <v/>
      </c>
      <c r="EB182" s="30" t="str">
        <f t="shared" si="2961"/>
        <v/>
      </c>
      <c r="EC182" s="30" t="str">
        <f t="shared" si="2962"/>
        <v/>
      </c>
      <c r="ED182" s="30" t="str">
        <f t="shared" si="2963"/>
        <v/>
      </c>
      <c r="EE182" s="30" t="str">
        <f t="shared" si="2964"/>
        <v/>
      </c>
      <c r="EF182" s="30" t="str">
        <f t="shared" si="2965"/>
        <v/>
      </c>
      <c r="EG182" s="30" t="str">
        <f t="shared" si="2966"/>
        <v/>
      </c>
      <c r="EH182" s="30" t="str">
        <f t="shared" si="2967"/>
        <v/>
      </c>
      <c r="EI182" s="30" t="str">
        <f t="shared" si="2968"/>
        <v/>
      </c>
      <c r="EJ182" s="30" t="str">
        <f t="shared" si="2969"/>
        <v/>
      </c>
      <c r="EK182" s="30" t="str">
        <f t="shared" si="2970"/>
        <v/>
      </c>
      <c r="EL182" s="30" t="str">
        <f t="shared" si="2971"/>
        <v/>
      </c>
      <c r="EM182" s="30" t="str">
        <f t="shared" si="2972"/>
        <v/>
      </c>
      <c r="EN182" s="30" t="str">
        <f t="shared" si="2973"/>
        <v/>
      </c>
      <c r="EO182" s="30" t="str">
        <f t="shared" si="2974"/>
        <v/>
      </c>
      <c r="EP182" s="30" t="str">
        <f t="shared" si="2975"/>
        <v/>
      </c>
      <c r="EQ182" s="30" t="str">
        <f t="shared" si="2976"/>
        <v/>
      </c>
      <c r="ER182" s="30" t="str">
        <f t="shared" si="2977"/>
        <v/>
      </c>
      <c r="ES182" s="30" t="str">
        <f t="shared" si="2978"/>
        <v/>
      </c>
      <c r="ET182" s="30" t="str">
        <f t="shared" si="2979"/>
        <v/>
      </c>
      <c r="EU182" s="30" t="str">
        <f t="shared" si="2980"/>
        <v/>
      </c>
      <c r="EV182" s="30" t="str">
        <f t="shared" si="2981"/>
        <v/>
      </c>
      <c r="EW182" s="30" t="str">
        <f t="shared" si="2982"/>
        <v/>
      </c>
      <c r="EX182" s="30" t="str">
        <f t="shared" si="2983"/>
        <v/>
      </c>
      <c r="EY182" s="30" t="str">
        <f t="shared" si="2984"/>
        <v/>
      </c>
      <c r="EZ182" s="30" t="str">
        <f t="shared" si="2985"/>
        <v/>
      </c>
      <c r="FA182" s="30" t="str">
        <f t="shared" si="2986"/>
        <v/>
      </c>
      <c r="FB182" s="30" t="str">
        <f t="shared" si="2987"/>
        <v/>
      </c>
      <c r="FC182" s="30" t="str">
        <f t="shared" si="2988"/>
        <v/>
      </c>
      <c r="FD182" s="30" t="str">
        <f t="shared" si="2989"/>
        <v/>
      </c>
      <c r="FE182" s="30" t="str">
        <f t="shared" si="2990"/>
        <v/>
      </c>
      <c r="FF182" s="30" t="str">
        <f t="shared" si="2991"/>
        <v/>
      </c>
      <c r="FG182" s="30" t="str">
        <f t="shared" si="2992"/>
        <v/>
      </c>
      <c r="FH182" s="30" t="str">
        <f t="shared" si="2993"/>
        <v/>
      </c>
      <c r="FI182" s="30" t="str">
        <f t="shared" si="2994"/>
        <v/>
      </c>
      <c r="FJ182" s="30" t="str">
        <f t="shared" si="2995"/>
        <v/>
      </c>
      <c r="FK182" s="30" t="str">
        <f t="shared" si="2996"/>
        <v/>
      </c>
      <c r="FL182" s="30" t="str">
        <f t="shared" si="2997"/>
        <v/>
      </c>
      <c r="FM182" s="30" t="str">
        <f t="shared" si="2998"/>
        <v/>
      </c>
      <c r="FN182" s="30" t="str">
        <f t="shared" si="2999"/>
        <v/>
      </c>
      <c r="FO182" s="30" t="str">
        <f t="shared" si="3000"/>
        <v/>
      </c>
      <c r="FP182" s="30" t="str">
        <f t="shared" si="3001"/>
        <v/>
      </c>
      <c r="FQ182" s="30" t="str">
        <f t="shared" si="3002"/>
        <v/>
      </c>
      <c r="FR182" s="30" t="str">
        <f t="shared" si="3003"/>
        <v/>
      </c>
      <c r="FS182" s="30" t="str">
        <f t="shared" si="3004"/>
        <v/>
      </c>
    </row>
    <row r="183" spans="1:175" ht="16.5">
      <c r="A183" s="114"/>
      <c r="B183" s="66" t="s">
        <v>415</v>
      </c>
      <c r="C183" s="87" t="s">
        <v>411</v>
      </c>
      <c r="T183" s="87" t="s">
        <v>411</v>
      </c>
      <c r="U183" s="32" t="str">
        <f t="shared" si="2927"/>
        <v>ReplaceableTextures\\CommandButtons\\BTNIB05.blp</v>
      </c>
      <c r="CN183" s="7" t="str">
        <f t="shared" si="2928"/>
        <v>InitUnitState('IB05',,,,,,,,,,)</v>
      </c>
      <c r="CO183" s="7" t="str">
        <f t="shared" si="2929"/>
        <v>InitUnitNormal('IB05',,,,,,,,,,)</v>
      </c>
      <c r="CP183" s="7" t="str">
        <f t="shared" si="2930"/>
        <v>InitUnitMagic('IB05',,,,,,,,,,)</v>
      </c>
      <c r="CQ183" s="7" t="str">
        <f t="shared" si="2931"/>
        <v>InitUnitAdd('IB05',,,,,,,,,,)</v>
      </c>
      <c r="CR183" s="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InitEquipData('IB05',,"",,,,,'','','','','','',"")</v>
      </c>
      <c r="CU183" s="45" t="str">
        <f t="shared" si="2933"/>
        <v>|n</v>
      </c>
      <c r="CV183" s="29" t="str">
        <f t="shared" si="2934"/>
        <v>工会礼包</v>
      </c>
      <c r="CW183" s="24"/>
      <c r="CX183" s="24"/>
      <c r="CY183" s="24"/>
      <c r="CZ183" s="24"/>
      <c r="DA183" s="24"/>
      <c r="DB183" s="30" t="str">
        <f t="shared" si="2935"/>
        <v/>
      </c>
      <c r="DC183" s="30" t="str">
        <f t="shared" si="2936"/>
        <v/>
      </c>
      <c r="DD183" s="30" t="str">
        <f t="shared" si="2937"/>
        <v/>
      </c>
      <c r="DE183" s="30" t="str">
        <f t="shared" si="2938"/>
        <v/>
      </c>
      <c r="DF183" s="30" t="str">
        <f t="shared" si="2939"/>
        <v/>
      </c>
      <c r="DG183" s="30" t="str">
        <f t="shared" si="2940"/>
        <v/>
      </c>
      <c r="DH183" s="30" t="str">
        <f t="shared" si="2941"/>
        <v/>
      </c>
      <c r="DI183" s="30" t="str">
        <f t="shared" si="2942"/>
        <v/>
      </c>
      <c r="DJ183" s="30" t="str">
        <f t="shared" si="2943"/>
        <v/>
      </c>
      <c r="DK183" s="30" t="str">
        <f t="shared" si="2944"/>
        <v/>
      </c>
      <c r="DL183" s="30" t="str">
        <f t="shared" si="2945"/>
        <v/>
      </c>
      <c r="DM183" s="30" t="str">
        <f t="shared" si="2946"/>
        <v/>
      </c>
      <c r="DN183" s="30" t="str">
        <f t="shared" si="2947"/>
        <v/>
      </c>
      <c r="DO183" s="30" t="str">
        <f t="shared" si="2948"/>
        <v/>
      </c>
      <c r="DP183" s="30" t="str">
        <f t="shared" si="2949"/>
        <v/>
      </c>
      <c r="DQ183" s="30" t="str">
        <f t="shared" si="2950"/>
        <v/>
      </c>
      <c r="DR183" s="30" t="str">
        <f t="shared" si="2951"/>
        <v/>
      </c>
      <c r="DS183" s="30" t="str">
        <f t="shared" si="2952"/>
        <v/>
      </c>
      <c r="DT183" s="30" t="str">
        <f t="shared" si="2953"/>
        <v/>
      </c>
      <c r="DU183" s="30" t="str">
        <f t="shared" si="2954"/>
        <v/>
      </c>
      <c r="DV183" s="30" t="str">
        <f t="shared" si="2955"/>
        <v/>
      </c>
      <c r="DW183" s="30" t="str">
        <f t="shared" si="2956"/>
        <v/>
      </c>
      <c r="DX183" s="30" t="str">
        <f t="shared" si="2957"/>
        <v/>
      </c>
      <c r="DY183" s="30" t="str">
        <f t="shared" si="2958"/>
        <v/>
      </c>
      <c r="DZ183" s="30" t="str">
        <f t="shared" si="2959"/>
        <v/>
      </c>
      <c r="EA183" s="30" t="str">
        <f t="shared" si="2960"/>
        <v/>
      </c>
      <c r="EB183" s="30" t="str">
        <f t="shared" si="2961"/>
        <v/>
      </c>
      <c r="EC183" s="30" t="str">
        <f t="shared" si="2962"/>
        <v/>
      </c>
      <c r="ED183" s="30" t="str">
        <f t="shared" si="2963"/>
        <v/>
      </c>
      <c r="EE183" s="30" t="str">
        <f t="shared" si="2964"/>
        <v/>
      </c>
      <c r="EF183" s="30" t="str">
        <f t="shared" si="2965"/>
        <v/>
      </c>
      <c r="EG183" s="30" t="str">
        <f t="shared" si="2966"/>
        <v/>
      </c>
      <c r="EH183" s="30" t="str">
        <f t="shared" si="2967"/>
        <v/>
      </c>
      <c r="EI183" s="30" t="str">
        <f t="shared" si="2968"/>
        <v/>
      </c>
      <c r="EJ183" s="30" t="str">
        <f t="shared" si="2969"/>
        <v/>
      </c>
      <c r="EK183" s="30" t="str">
        <f t="shared" si="2970"/>
        <v/>
      </c>
      <c r="EL183" s="30" t="str">
        <f t="shared" si="2971"/>
        <v/>
      </c>
      <c r="EM183" s="30" t="str">
        <f t="shared" si="2972"/>
        <v/>
      </c>
      <c r="EN183" s="30" t="str">
        <f t="shared" si="2973"/>
        <v/>
      </c>
      <c r="EO183" s="30" t="str">
        <f t="shared" si="2974"/>
        <v/>
      </c>
      <c r="EP183" s="30" t="str">
        <f t="shared" si="2975"/>
        <v/>
      </c>
      <c r="EQ183" s="30" t="str">
        <f t="shared" si="2976"/>
        <v/>
      </c>
      <c r="ER183" s="30" t="str">
        <f t="shared" si="2977"/>
        <v/>
      </c>
      <c r="ES183" s="30" t="str">
        <f t="shared" si="2978"/>
        <v/>
      </c>
      <c r="ET183" s="30" t="str">
        <f t="shared" si="2979"/>
        <v/>
      </c>
      <c r="EU183" s="30" t="str">
        <f t="shared" si="2980"/>
        <v/>
      </c>
      <c r="EV183" s="30" t="str">
        <f t="shared" si="2981"/>
        <v/>
      </c>
      <c r="EW183" s="30" t="str">
        <f t="shared" si="2982"/>
        <v/>
      </c>
      <c r="EX183" s="30" t="str">
        <f t="shared" si="2983"/>
        <v/>
      </c>
      <c r="EY183" s="30" t="str">
        <f t="shared" si="2984"/>
        <v/>
      </c>
      <c r="EZ183" s="30" t="str">
        <f t="shared" si="2985"/>
        <v/>
      </c>
      <c r="FA183" s="30" t="str">
        <f t="shared" si="2986"/>
        <v/>
      </c>
      <c r="FB183" s="30" t="str">
        <f t="shared" si="2987"/>
        <v/>
      </c>
      <c r="FC183" s="30" t="str">
        <f t="shared" si="2988"/>
        <v/>
      </c>
      <c r="FD183" s="30" t="str">
        <f t="shared" si="2989"/>
        <v/>
      </c>
      <c r="FE183" s="30" t="str">
        <f t="shared" si="2990"/>
        <v/>
      </c>
      <c r="FF183" s="30" t="str">
        <f t="shared" si="2991"/>
        <v/>
      </c>
      <c r="FG183" s="30" t="str">
        <f t="shared" si="2992"/>
        <v/>
      </c>
      <c r="FH183" s="30" t="str">
        <f t="shared" si="2993"/>
        <v/>
      </c>
      <c r="FI183" s="30" t="str">
        <f t="shared" si="2994"/>
        <v/>
      </c>
      <c r="FJ183" s="30" t="str">
        <f t="shared" si="2995"/>
        <v/>
      </c>
      <c r="FK183" s="30" t="str">
        <f t="shared" si="2996"/>
        <v/>
      </c>
      <c r="FL183" s="30" t="str">
        <f t="shared" si="2997"/>
        <v/>
      </c>
      <c r="FM183" s="30" t="str">
        <f t="shared" si="2998"/>
        <v/>
      </c>
      <c r="FN183" s="30" t="str">
        <f t="shared" si="2999"/>
        <v/>
      </c>
      <c r="FO183" s="30" t="str">
        <f t="shared" si="3000"/>
        <v/>
      </c>
      <c r="FP183" s="30" t="str">
        <f t="shared" si="3001"/>
        <v/>
      </c>
      <c r="FQ183" s="30" t="str">
        <f t="shared" si="3002"/>
        <v/>
      </c>
      <c r="FR183" s="30" t="str">
        <f t="shared" si="3003"/>
        <v/>
      </c>
      <c r="FS183" s="30" t="str">
        <f t="shared" si="3004"/>
        <v/>
      </c>
    </row>
    <row r="184" spans="1:175" ht="16.5">
      <c r="A184" s="88"/>
      <c r="B184" s="66" t="s">
        <v>544</v>
      </c>
      <c r="C184" s="29" t="s">
        <v>211</v>
      </c>
      <c r="T184" s="106"/>
      <c r="U184" s="32" t="str">
        <f t="shared" si="2927"/>
        <v>ReplaceableTextures\\CommandButtons\\BTNIF01.blp</v>
      </c>
      <c r="CN184" s="7" t="str">
        <f t="shared" ref="CN184:CN200" si="3005">"InitUnitState('"&amp;B184&amp;"',"&amp;V184&amp;","&amp;W184&amp;","&amp;X184&amp;","&amp;Y184&amp;","&amp;Z184&amp;","&amp;AA184&amp;","&amp;AB184&amp;","&amp;AC184&amp;","&amp;AD184&amp;","&amp;AE184&amp;")"</f>
        <v>InitUnitState('IF01',,,,,,,,,,)</v>
      </c>
      <c r="CO184" s="7" t="str">
        <f t="shared" ref="CO184:CO200" si="3006">"InitUnitNormal('"&amp;B184&amp;"',"&amp;AF184&amp;","&amp;AG184&amp;","&amp;AH184&amp;","&amp;AI184&amp;","&amp;AJ184&amp;","&amp;AK184&amp;","&amp;AL184&amp;","&amp;AM184&amp;","&amp;AN184&amp;","&amp;AO184&amp;")"</f>
        <v>InitUnitNormal('IF01',,,,,,,,,,)</v>
      </c>
      <c r="CP184" s="7" t="str">
        <f t="shared" ref="CP184:CP200" si="3007">"InitUnitMagic('"&amp;B184&amp;"',"&amp;AP184&amp;","&amp;AQ184&amp;","&amp;AR184&amp;","&amp;AS184&amp;","&amp;AT184&amp;","&amp;AU184&amp;","&amp;AV184&amp;","&amp;AW184&amp;","&amp;BI184&amp;","&amp;BJ184&amp;")"</f>
        <v>InitUnitMagic('IF01',,,,,,,,,,)</v>
      </c>
      <c r="CQ184" s="7" t="str">
        <f t="shared" ref="CQ184:CQ200" si="3008">"InitUnitAdd('"&amp;B184&amp;"',"&amp;BK184&amp;","&amp;BL184&amp;","&amp;BM184&amp;","&amp;BN184&amp;","&amp;BO184&amp;","&amp;BP184&amp;","&amp;BQ184&amp;","&amp;BR184&amp;","&amp;BS184&amp;","&amp;BT184&amp;")"</f>
        <v>InitUnitAdd('IF01',,,,,,,,,,)</v>
      </c>
      <c r="CR184" s="7" t="str">
        <f t="shared" ref="CR184:CR200" si="3009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InitEquipData('IF01',,"",,,,,'','','','','','',"")</v>
      </c>
      <c r="CU184" s="45" t="str">
        <f t="shared" ref="CU184:CU206" si="301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W184" s="24"/>
      <c r="CX184" s="24"/>
      <c r="CY184" s="24"/>
      <c r="CZ184" s="24"/>
      <c r="DA184" s="24"/>
      <c r="DB184" s="30" t="str">
        <f t="shared" ref="DB184:DB206" si="3011">IF(V184="","","|n"&amp;DB$2&amp;"+"&amp;V184&amp;DB$1)</f>
        <v/>
      </c>
      <c r="DC184" s="30" t="str">
        <f t="shared" ref="DC184:DC206" si="3012">IF(W184="","","|n"&amp;DC$2&amp;"+"&amp;W184&amp;DC$1)</f>
        <v/>
      </c>
      <c r="DD184" s="30" t="str">
        <f t="shared" ref="DD184:DD206" si="3013">IF(X184="","","|n"&amp;DD$2&amp;"+"&amp;X184&amp;DD$1)</f>
        <v/>
      </c>
      <c r="DE184" s="30" t="str">
        <f t="shared" ref="DE184:DE206" si="3014">IF(Y184="","","|n"&amp;DE$2&amp;"+"&amp;Y184&amp;DE$1)</f>
        <v/>
      </c>
      <c r="DF184" s="30" t="str">
        <f t="shared" ref="DF184:DF206" si="3015">IF(Z184="","","|n"&amp;DF$2&amp;"+"&amp;Z184&amp;DF$1)</f>
        <v/>
      </c>
      <c r="DG184" s="30" t="str">
        <f t="shared" ref="DG184:DG206" si="3016">IF(AA184="","","|n"&amp;DG$2&amp;"+"&amp;AA184&amp;DG$1)</f>
        <v/>
      </c>
      <c r="DH184" s="30" t="str">
        <f t="shared" ref="DH184:DH206" si="3017">IF(AB184="","","|n"&amp;DH$2&amp;"+"&amp;AB184&amp;DH$1)</f>
        <v/>
      </c>
      <c r="DI184" s="30" t="str">
        <f t="shared" ref="DI184:DI206" si="3018">IF(AC184="","","|n"&amp;DI$2&amp;"+"&amp;AC184&amp;DI$1)</f>
        <v/>
      </c>
      <c r="DJ184" s="30" t="str">
        <f t="shared" ref="DJ184:DJ206" si="3019">IF(AD184="","","|n"&amp;DJ$2&amp;"+"&amp;AD184&amp;DJ$1)</f>
        <v/>
      </c>
      <c r="DK184" s="30" t="str">
        <f t="shared" ref="DK184:DK206" si="3020">IF(AE184="","","|n"&amp;DK$2&amp;"+"&amp;AE184&amp;DK$1)</f>
        <v/>
      </c>
      <c r="DL184" s="30" t="str">
        <f t="shared" ref="DL184:DL206" si="3021">IF(AF184="","","|n"&amp;DL$2&amp;"+"&amp;AF184&amp;DL$1)</f>
        <v/>
      </c>
      <c r="DM184" s="30" t="str">
        <f t="shared" ref="DM184:DM206" si="3022">IF(AG184="","","|n"&amp;DM$2&amp;"+"&amp;AG184&amp;DM$1)</f>
        <v/>
      </c>
      <c r="DN184" s="30" t="str">
        <f t="shared" ref="DN184:DN206" si="3023">IF(AH184="","","|n"&amp;DN$2&amp;"+"&amp;AH184&amp;DN$1)</f>
        <v/>
      </c>
      <c r="DO184" s="30" t="str">
        <f t="shared" ref="DO184:DO206" si="3024">IF(AI184="","","|n"&amp;DO$2&amp;"+"&amp;AI184&amp;DO$1)</f>
        <v/>
      </c>
      <c r="DP184" s="30" t="str">
        <f t="shared" ref="DP184:DP206" si="3025">IF(AJ184="","","|n"&amp;DP$2&amp;"+"&amp;AJ184&amp;DP$1)</f>
        <v/>
      </c>
      <c r="DQ184" s="30" t="str">
        <f t="shared" ref="DQ184:DQ206" si="3026">IF(AK184="","","|n"&amp;DQ$2&amp;"+"&amp;AK184&amp;DQ$1)</f>
        <v/>
      </c>
      <c r="DR184" s="30" t="str">
        <f t="shared" ref="DR184:DR206" si="3027">IF(AL184="","","|n"&amp;DR$2&amp;"+"&amp;AL184&amp;DR$1)</f>
        <v/>
      </c>
      <c r="DS184" s="30" t="str">
        <f t="shared" ref="DS184:DS206" si="3028">IF(AM184="","","|n"&amp;DS$2&amp;"+"&amp;AM184&amp;DS$1)</f>
        <v/>
      </c>
      <c r="DT184" s="30" t="str">
        <f t="shared" ref="DT184:DT206" si="3029">IF(AN184="","","|n"&amp;DT$2&amp;"+"&amp;AN184&amp;DT$1)</f>
        <v/>
      </c>
      <c r="DU184" s="30" t="str">
        <f t="shared" ref="DU184:DU206" si="3030">IF(AO184="","","|n"&amp;DU$2&amp;"+"&amp;AO184&amp;DU$1)</f>
        <v/>
      </c>
      <c r="DV184" s="30" t="str">
        <f t="shared" ref="DV184:DV206" si="3031">IF(AP184="","","|n"&amp;DV$2&amp;"+"&amp;AP184&amp;DV$1)</f>
        <v/>
      </c>
      <c r="DW184" s="30" t="str">
        <f t="shared" ref="DW184:DW206" si="3032">IF(AQ184="","","|n"&amp;DW$2&amp;"+"&amp;AQ184&amp;DW$1)</f>
        <v/>
      </c>
      <c r="DX184" s="30" t="str">
        <f t="shared" ref="DX184:DX206" si="3033">IF(AR184="","","|n"&amp;DX$2&amp;"+"&amp;AR184&amp;DX$1)</f>
        <v/>
      </c>
      <c r="DY184" s="30" t="str">
        <f t="shared" ref="DY184:DY206" si="3034">IF(AS184="","","|n"&amp;DY$2&amp;"+"&amp;AS184&amp;DY$1)</f>
        <v/>
      </c>
      <c r="DZ184" s="30" t="str">
        <f t="shared" ref="DZ184:DZ206" si="3035">IF(AT184="","","|n"&amp;DZ$2&amp;"+"&amp;AT184&amp;DZ$1)</f>
        <v/>
      </c>
      <c r="EA184" s="30" t="str">
        <f t="shared" ref="EA184:EA206" si="3036">IF(AU184="","","|n"&amp;EA$2&amp;"+"&amp;AU184&amp;EA$1)</f>
        <v/>
      </c>
      <c r="EB184" s="30" t="str">
        <f t="shared" ref="EB184:EB206" si="3037">IF(AV184="","","|n"&amp;EB$2&amp;"+"&amp;AV184&amp;EB$1)</f>
        <v/>
      </c>
      <c r="EC184" s="30" t="str">
        <f t="shared" ref="EC184:EC206" si="3038">IF(AW184="","","|n"&amp;EC$2&amp;"+"&amp;AW184&amp;EC$1)</f>
        <v/>
      </c>
      <c r="ED184" s="30" t="str">
        <f t="shared" ref="ED184:ED206" si="3039">IF(AX184="","","|n"&amp;ED$2&amp;"+"&amp;AX184&amp;ED$1)</f>
        <v/>
      </c>
      <c r="EE184" s="30" t="str">
        <f t="shared" ref="EE184:EE206" si="3040">IF(AY184="","","|n"&amp;EE$2&amp;"+"&amp;AY184&amp;EE$1)</f>
        <v/>
      </c>
      <c r="EF184" s="30" t="str">
        <f t="shared" ref="EF184:EF206" si="3041">IF(AZ184="","","|n"&amp;EF$2&amp;"+"&amp;AZ184&amp;EF$1)</f>
        <v/>
      </c>
      <c r="EG184" s="30" t="str">
        <f t="shared" ref="EG184:EG206" si="3042">IF(BA184="","","|n"&amp;EG$2&amp;"+"&amp;BA184&amp;EG$1)</f>
        <v/>
      </c>
      <c r="EH184" s="30" t="str">
        <f t="shared" ref="EH184:EH206" si="3043">IF(BB184="","","|n"&amp;EH$2&amp;"+"&amp;BB184&amp;EH$1)</f>
        <v/>
      </c>
      <c r="EI184" s="30" t="str">
        <f t="shared" ref="EI184:EI206" si="3044">IF(BC184="","","|n"&amp;EI$2&amp;"+"&amp;BC184&amp;EI$1)</f>
        <v/>
      </c>
      <c r="EJ184" s="30" t="str">
        <f t="shared" ref="EJ184:EJ206" si="3045">IF(BD184="","","|n"&amp;EJ$2&amp;"+"&amp;BD184&amp;EJ$1)</f>
        <v/>
      </c>
      <c r="EK184" s="30" t="str">
        <f t="shared" ref="EK184:EK206" si="3046">IF(BE184="","","|n"&amp;EK$2&amp;"+"&amp;BE184&amp;EK$1)</f>
        <v/>
      </c>
      <c r="EL184" s="30" t="str">
        <f t="shared" ref="EL184:EL206" si="3047">IF(BF184="","","|n"&amp;EL$2&amp;"+"&amp;BF184&amp;EL$1)</f>
        <v/>
      </c>
      <c r="EM184" s="30" t="str">
        <f t="shared" ref="EM184:EM206" si="3048">IF(BG184="","","|n"&amp;EM$2&amp;"+"&amp;BG184&amp;EM$1)</f>
        <v/>
      </c>
      <c r="EN184" s="30" t="str">
        <f t="shared" ref="EN184:EN206" si="3049">IF(BH184="","","|n"&amp;EN$2&amp;"+"&amp;BH184&amp;EN$1)</f>
        <v/>
      </c>
      <c r="EO184" s="30" t="str">
        <f t="shared" ref="EO184:EO206" si="3050">IF(BI184="","","|n"&amp;EO$2&amp;"+"&amp;BI184&amp;EO$1)</f>
        <v/>
      </c>
      <c r="EP184" s="30" t="str">
        <f t="shared" ref="EP184:EP206" si="3051">IF(BJ184="","","|n"&amp;EP$2&amp;"+"&amp;BJ184&amp;EP$1)</f>
        <v/>
      </c>
      <c r="EQ184" s="30" t="str">
        <f t="shared" ref="EQ184:EQ206" si="3052">IF(BK184="","","|n"&amp;EQ$2&amp;"+"&amp;BK184&amp;EQ$1)</f>
        <v/>
      </c>
      <c r="ER184" s="30" t="str">
        <f t="shared" ref="ER184:ER206" si="3053">IF(BL184="","","|n"&amp;ER$2&amp;"+"&amp;BL184&amp;ER$1)</f>
        <v/>
      </c>
      <c r="ES184" s="30" t="str">
        <f t="shared" ref="ES184:ES206" si="3054">IF(BM184="","","|n"&amp;ES$2&amp;"+"&amp;BM184&amp;ES$1)</f>
        <v/>
      </c>
      <c r="ET184" s="30" t="str">
        <f t="shared" ref="ET184:ET206" si="3055">IF(BN184="","","|n"&amp;ET$2&amp;"+"&amp;BN184&amp;ET$1)</f>
        <v/>
      </c>
      <c r="EU184" s="30" t="str">
        <f t="shared" ref="EU184:EU206" si="3056">IF(BO184="","","|n"&amp;EU$2&amp;"+"&amp;BO184&amp;EU$1)</f>
        <v/>
      </c>
      <c r="EV184" s="30" t="str">
        <f t="shared" ref="EV184:EV206" si="3057">IF(BP184="","","|n"&amp;EV$2&amp;"+"&amp;BP184&amp;EV$1)</f>
        <v/>
      </c>
      <c r="EW184" s="30" t="str">
        <f t="shared" ref="EW184:EW206" si="3058">IF(BQ184="","","|n"&amp;EW$2&amp;"+"&amp;BQ184&amp;EW$1)</f>
        <v/>
      </c>
      <c r="EX184" s="30" t="str">
        <f t="shared" ref="EX184:EX206" si="3059">IF(BR184="","","|n"&amp;EX$2&amp;"+"&amp;BR184&amp;EX$1)</f>
        <v/>
      </c>
      <c r="EY184" s="30" t="str">
        <f t="shared" ref="EY184:EY206" si="3060">IF(BS184="","","|n"&amp;EY$2&amp;"+"&amp;BS184&amp;EY$1)</f>
        <v/>
      </c>
      <c r="EZ184" s="30" t="str">
        <f t="shared" ref="EZ184:EZ206" si="3061">IF(BT184="","","|n"&amp;EZ$2&amp;"+"&amp;BT184&amp;EZ$1)</f>
        <v/>
      </c>
      <c r="FA184" s="30" t="str">
        <f t="shared" ref="FA184:FA206" si="3062">IF(BU184="","","|n"&amp;FA$2&amp;"+"&amp;BU184&amp;FA$1)</f>
        <v/>
      </c>
      <c r="FB184" s="30" t="str">
        <f t="shared" ref="FB184:FB206" si="3063">IF(BV184="","","|n"&amp;FB$2&amp;"+"&amp;BV184&amp;FB$1)</f>
        <v/>
      </c>
      <c r="FC184" s="30" t="str">
        <f t="shared" ref="FC184:FC206" si="3064">IF(BW184="","","|n"&amp;FC$2&amp;"+"&amp;BW184&amp;FC$1)</f>
        <v/>
      </c>
      <c r="FD184" s="30" t="str">
        <f t="shared" ref="FD184:FD206" si="3065">IF(BX184="","","|n"&amp;FD$2&amp;"+"&amp;BX184&amp;FD$1)</f>
        <v/>
      </c>
      <c r="FE184" s="30" t="str">
        <f t="shared" ref="FE184:FE206" si="3066">IF(BY184="","","|n"&amp;FE$2&amp;"+"&amp;BY184&amp;FE$1)</f>
        <v/>
      </c>
      <c r="FF184" s="30" t="str">
        <f t="shared" ref="FF184:FF206" si="3067">IF(BZ184="","","|n"&amp;FF$2&amp;"+"&amp;BZ184&amp;FF$1)</f>
        <v/>
      </c>
      <c r="FG184" s="30" t="str">
        <f t="shared" ref="FG184:FG206" si="3068">IF(CA184="","","|n"&amp;FG$2&amp;"+"&amp;CA184&amp;FG$1)</f>
        <v/>
      </c>
      <c r="FH184" s="30" t="str">
        <f t="shared" ref="FH184:FH206" si="3069">IF(CB184="","","|n"&amp;FH$2&amp;"+"&amp;CB184&amp;FH$1)</f>
        <v/>
      </c>
      <c r="FI184" s="30" t="str">
        <f t="shared" ref="FI184:FI206" si="3070">IF(CC184="","","|n"&amp;FI$2&amp;"+"&amp;CC184&amp;FI$1)</f>
        <v/>
      </c>
      <c r="FJ184" s="30" t="str">
        <f t="shared" ref="FJ184:FJ206" si="3071">IF(CD184="","","|n"&amp;FJ$2&amp;"+"&amp;CD184&amp;FJ$1)</f>
        <v/>
      </c>
      <c r="FK184" s="30" t="str">
        <f t="shared" ref="FK184:FK206" si="3072">IF(CE184="","","|n"&amp;FK$2&amp;"+"&amp;CE184&amp;FK$1)</f>
        <v/>
      </c>
      <c r="FL184" s="30" t="str">
        <f t="shared" ref="FL184:FL206" si="3073">IF(CF184="","","|n"&amp;FL$2&amp;"+"&amp;CF184&amp;FL$1)</f>
        <v/>
      </c>
      <c r="FM184" s="30" t="str">
        <f t="shared" ref="FM184:FM206" si="3074">IF(CG184="","","|n"&amp;FM$2&amp;"+"&amp;CG184&amp;FM$1)</f>
        <v/>
      </c>
      <c r="FN184" s="30" t="str">
        <f t="shared" ref="FN184:FN206" si="3075">IF(CH184="","","|n"&amp;FN$2&amp;"+"&amp;CH184&amp;FN$1)</f>
        <v/>
      </c>
      <c r="FO184" s="30" t="str">
        <f t="shared" ref="FO184:FO206" si="3076">IF(CI184="","","|n"&amp;FO$2&amp;"+"&amp;CI184&amp;FO$1)</f>
        <v/>
      </c>
      <c r="FP184" s="30" t="str">
        <f t="shared" ref="FP184:FP206" si="3077">IF(CJ184="","","|n"&amp;FP$2&amp;"+"&amp;CJ184&amp;FP$1)</f>
        <v/>
      </c>
      <c r="FQ184" s="30" t="str">
        <f t="shared" ref="FQ184:FQ206" si="3078">IF(CK184="","","|n"&amp;FQ$2&amp;"+"&amp;CK184&amp;FQ$1)</f>
        <v/>
      </c>
      <c r="FR184" s="30" t="str">
        <f t="shared" ref="FR184:FR206" si="3079">IF(CL184="","","|n"&amp;FR$2&amp;"+"&amp;CL184&amp;FR$1)</f>
        <v/>
      </c>
      <c r="FS184" s="30" t="str">
        <f t="shared" ref="FS184:FS206" si="3080">IF(CM184="","","|n"&amp;FS$2&amp;"+"&amp;CM184&amp;FS$1)</f>
        <v/>
      </c>
    </row>
    <row r="185" spans="1:175" ht="16.5">
      <c r="A185" s="88"/>
      <c r="B185" s="66" t="s">
        <v>545</v>
      </c>
      <c r="C185" s="29" t="s">
        <v>212</v>
      </c>
      <c r="T185" s="106"/>
      <c r="U185" s="32"/>
      <c r="CN185" s="7" t="str">
        <f t="shared" si="3005"/>
        <v>InitUnitState('IF02',,,,,,,,,,)</v>
      </c>
      <c r="CO185" s="7" t="str">
        <f t="shared" si="3006"/>
        <v>InitUnitNormal('IF02',,,,,,,,,,)</v>
      </c>
      <c r="CP185" s="7" t="str">
        <f t="shared" si="3007"/>
        <v>InitUnitMagic('IF02',,,,,,,,,,)</v>
      </c>
      <c r="CQ185" s="7" t="str">
        <f t="shared" si="3008"/>
        <v>InitUnitAdd('IF02',,,,,,,,,,)</v>
      </c>
      <c r="CR185" s="7" t="str">
        <f t="shared" si="3009"/>
        <v>InitEquipData('IF02',,"",,,,,'','','','','','',"")</v>
      </c>
      <c r="CU185" s="45" t="str">
        <f t="shared" si="3010"/>
        <v>|n</v>
      </c>
      <c r="CW185" s="24"/>
      <c r="CX185" s="24"/>
      <c r="CY185" s="24"/>
      <c r="CZ185" s="24"/>
      <c r="DA185" s="24"/>
      <c r="DB185" s="30" t="str">
        <f t="shared" si="3011"/>
        <v/>
      </c>
      <c r="DC185" s="30" t="str">
        <f t="shared" si="3012"/>
        <v/>
      </c>
      <c r="DD185" s="30" t="str">
        <f t="shared" si="3013"/>
        <v/>
      </c>
      <c r="DE185" s="30" t="str">
        <f t="shared" si="3014"/>
        <v/>
      </c>
      <c r="DF185" s="30" t="str">
        <f t="shared" si="3015"/>
        <v/>
      </c>
      <c r="DG185" s="30" t="str">
        <f t="shared" si="3016"/>
        <v/>
      </c>
      <c r="DH185" s="30" t="str">
        <f t="shared" si="3017"/>
        <v/>
      </c>
      <c r="DI185" s="30" t="str">
        <f t="shared" si="3018"/>
        <v/>
      </c>
      <c r="DJ185" s="30" t="str">
        <f t="shared" si="3019"/>
        <v/>
      </c>
      <c r="DK185" s="30" t="str">
        <f t="shared" si="3020"/>
        <v/>
      </c>
      <c r="DL185" s="30" t="str">
        <f t="shared" si="3021"/>
        <v/>
      </c>
      <c r="DM185" s="30" t="str">
        <f t="shared" si="3022"/>
        <v/>
      </c>
      <c r="DN185" s="30" t="str">
        <f t="shared" si="3023"/>
        <v/>
      </c>
      <c r="DO185" s="30" t="str">
        <f t="shared" si="3024"/>
        <v/>
      </c>
      <c r="DP185" s="30" t="str">
        <f t="shared" si="3025"/>
        <v/>
      </c>
      <c r="DQ185" s="30" t="str">
        <f t="shared" si="3026"/>
        <v/>
      </c>
      <c r="DR185" s="30" t="str">
        <f t="shared" si="3027"/>
        <v/>
      </c>
      <c r="DS185" s="30" t="str">
        <f t="shared" si="3028"/>
        <v/>
      </c>
      <c r="DT185" s="30" t="str">
        <f t="shared" si="3029"/>
        <v/>
      </c>
      <c r="DU185" s="30" t="str">
        <f t="shared" si="3030"/>
        <v/>
      </c>
      <c r="DV185" s="30" t="str">
        <f t="shared" si="3031"/>
        <v/>
      </c>
      <c r="DW185" s="30" t="str">
        <f t="shared" si="3032"/>
        <v/>
      </c>
      <c r="DX185" s="30" t="str">
        <f t="shared" si="3033"/>
        <v/>
      </c>
      <c r="DY185" s="30" t="str">
        <f t="shared" si="3034"/>
        <v/>
      </c>
      <c r="DZ185" s="30" t="str">
        <f t="shared" si="3035"/>
        <v/>
      </c>
      <c r="EA185" s="30" t="str">
        <f t="shared" si="3036"/>
        <v/>
      </c>
      <c r="EB185" s="30" t="str">
        <f t="shared" si="3037"/>
        <v/>
      </c>
      <c r="EC185" s="30" t="str">
        <f t="shared" si="3038"/>
        <v/>
      </c>
      <c r="ED185" s="30" t="str">
        <f t="shared" si="3039"/>
        <v/>
      </c>
      <c r="EE185" s="30" t="str">
        <f t="shared" si="3040"/>
        <v/>
      </c>
      <c r="EF185" s="30" t="str">
        <f t="shared" si="3041"/>
        <v/>
      </c>
      <c r="EG185" s="30" t="str">
        <f t="shared" si="3042"/>
        <v/>
      </c>
      <c r="EH185" s="30" t="str">
        <f t="shared" si="3043"/>
        <v/>
      </c>
      <c r="EI185" s="30" t="str">
        <f t="shared" si="3044"/>
        <v/>
      </c>
      <c r="EJ185" s="30" t="str">
        <f t="shared" si="3045"/>
        <v/>
      </c>
      <c r="EK185" s="30" t="str">
        <f t="shared" si="3046"/>
        <v/>
      </c>
      <c r="EL185" s="30" t="str">
        <f t="shared" si="3047"/>
        <v/>
      </c>
      <c r="EM185" s="30" t="str">
        <f t="shared" si="3048"/>
        <v/>
      </c>
      <c r="EN185" s="30" t="str">
        <f t="shared" si="3049"/>
        <v/>
      </c>
      <c r="EO185" s="30" t="str">
        <f t="shared" si="3050"/>
        <v/>
      </c>
      <c r="EP185" s="30" t="str">
        <f t="shared" si="3051"/>
        <v/>
      </c>
      <c r="EQ185" s="30" t="str">
        <f t="shared" si="3052"/>
        <v/>
      </c>
      <c r="ER185" s="30" t="str">
        <f t="shared" si="3053"/>
        <v/>
      </c>
      <c r="ES185" s="30" t="str">
        <f t="shared" si="3054"/>
        <v/>
      </c>
      <c r="ET185" s="30" t="str">
        <f t="shared" si="3055"/>
        <v/>
      </c>
      <c r="EU185" s="30" t="str">
        <f t="shared" si="3056"/>
        <v/>
      </c>
      <c r="EV185" s="30" t="str">
        <f t="shared" si="3057"/>
        <v/>
      </c>
      <c r="EW185" s="30" t="str">
        <f t="shared" si="3058"/>
        <v/>
      </c>
      <c r="EX185" s="30" t="str">
        <f t="shared" si="3059"/>
        <v/>
      </c>
      <c r="EY185" s="30" t="str">
        <f t="shared" si="3060"/>
        <v/>
      </c>
      <c r="EZ185" s="30" t="str">
        <f t="shared" si="3061"/>
        <v/>
      </c>
      <c r="FA185" s="30" t="str">
        <f t="shared" si="3062"/>
        <v/>
      </c>
      <c r="FB185" s="30" t="str">
        <f t="shared" si="3063"/>
        <v/>
      </c>
      <c r="FC185" s="30" t="str">
        <f t="shared" si="3064"/>
        <v/>
      </c>
      <c r="FD185" s="30" t="str">
        <f t="shared" si="3065"/>
        <v/>
      </c>
      <c r="FE185" s="30" t="str">
        <f t="shared" si="3066"/>
        <v/>
      </c>
      <c r="FF185" s="30" t="str">
        <f t="shared" si="3067"/>
        <v/>
      </c>
      <c r="FG185" s="30" t="str">
        <f t="shared" si="3068"/>
        <v/>
      </c>
      <c r="FH185" s="30" t="str">
        <f t="shared" si="3069"/>
        <v/>
      </c>
      <c r="FI185" s="30" t="str">
        <f t="shared" si="3070"/>
        <v/>
      </c>
      <c r="FJ185" s="30" t="str">
        <f t="shared" si="3071"/>
        <v/>
      </c>
      <c r="FK185" s="30" t="str">
        <f t="shared" si="3072"/>
        <v/>
      </c>
      <c r="FL185" s="30" t="str">
        <f t="shared" si="3073"/>
        <v/>
      </c>
      <c r="FM185" s="30" t="str">
        <f t="shared" si="3074"/>
        <v/>
      </c>
      <c r="FN185" s="30" t="str">
        <f t="shared" si="3075"/>
        <v/>
      </c>
      <c r="FO185" s="30" t="str">
        <f t="shared" si="3076"/>
        <v/>
      </c>
      <c r="FP185" s="30" t="str">
        <f t="shared" si="3077"/>
        <v/>
      </c>
      <c r="FQ185" s="30" t="str">
        <f t="shared" si="3078"/>
        <v/>
      </c>
      <c r="FR185" s="30" t="str">
        <f t="shared" si="3079"/>
        <v/>
      </c>
      <c r="FS185" s="30" t="str">
        <f t="shared" si="3080"/>
        <v/>
      </c>
    </row>
    <row r="186" spans="1:175" ht="16.5">
      <c r="A186" s="87"/>
      <c r="B186" s="66" t="s">
        <v>546</v>
      </c>
      <c r="C186" s="29" t="s">
        <v>211</v>
      </c>
      <c r="T186" s="105"/>
      <c r="U186" s="32"/>
      <c r="CN186" s="7" t="str">
        <f t="shared" si="3005"/>
        <v>InitUnitState('IF03',,,,,,,,,,)</v>
      </c>
      <c r="CO186" s="7" t="str">
        <f t="shared" si="3006"/>
        <v>InitUnitNormal('IF03',,,,,,,,,,)</v>
      </c>
      <c r="CP186" s="7" t="str">
        <f t="shared" si="3007"/>
        <v>InitUnitMagic('IF03',,,,,,,,,,)</v>
      </c>
      <c r="CQ186" s="7" t="str">
        <f t="shared" si="3008"/>
        <v>InitUnitAdd('IF03',,,,,,,,,,)</v>
      </c>
      <c r="CR186" s="7" t="str">
        <f t="shared" si="3009"/>
        <v>InitEquipData('IF03',,"",,,,,'','','','','','',"")</v>
      </c>
      <c r="CU186" s="45" t="str">
        <f t="shared" si="3010"/>
        <v>|n</v>
      </c>
      <c r="CW186" s="24"/>
      <c r="CX186" s="24"/>
      <c r="CY186" s="24"/>
      <c r="CZ186" s="24"/>
      <c r="DA186" s="24"/>
      <c r="DB186" s="30" t="str">
        <f t="shared" si="3011"/>
        <v/>
      </c>
      <c r="DC186" s="30" t="str">
        <f t="shared" si="3012"/>
        <v/>
      </c>
      <c r="DD186" s="30" t="str">
        <f t="shared" si="3013"/>
        <v/>
      </c>
      <c r="DE186" s="30" t="str">
        <f t="shared" si="3014"/>
        <v/>
      </c>
      <c r="DF186" s="30" t="str">
        <f t="shared" si="3015"/>
        <v/>
      </c>
      <c r="DG186" s="30" t="str">
        <f t="shared" si="3016"/>
        <v/>
      </c>
      <c r="DH186" s="30" t="str">
        <f t="shared" si="3017"/>
        <v/>
      </c>
      <c r="DI186" s="30" t="str">
        <f t="shared" si="3018"/>
        <v/>
      </c>
      <c r="DJ186" s="30" t="str">
        <f t="shared" si="3019"/>
        <v/>
      </c>
      <c r="DK186" s="30" t="str">
        <f t="shared" si="3020"/>
        <v/>
      </c>
      <c r="DL186" s="30" t="str">
        <f t="shared" si="3021"/>
        <v/>
      </c>
      <c r="DM186" s="30" t="str">
        <f t="shared" si="3022"/>
        <v/>
      </c>
      <c r="DN186" s="30" t="str">
        <f t="shared" si="3023"/>
        <v/>
      </c>
      <c r="DO186" s="30" t="str">
        <f t="shared" si="3024"/>
        <v/>
      </c>
      <c r="DP186" s="30" t="str">
        <f t="shared" si="3025"/>
        <v/>
      </c>
      <c r="DQ186" s="30" t="str">
        <f t="shared" si="3026"/>
        <v/>
      </c>
      <c r="DR186" s="30" t="str">
        <f t="shared" si="3027"/>
        <v/>
      </c>
      <c r="DS186" s="30" t="str">
        <f t="shared" si="3028"/>
        <v/>
      </c>
      <c r="DT186" s="30" t="str">
        <f t="shared" si="3029"/>
        <v/>
      </c>
      <c r="DU186" s="30" t="str">
        <f t="shared" si="3030"/>
        <v/>
      </c>
      <c r="DV186" s="30" t="str">
        <f t="shared" si="3031"/>
        <v/>
      </c>
      <c r="DW186" s="30" t="str">
        <f t="shared" si="3032"/>
        <v/>
      </c>
      <c r="DX186" s="30" t="str">
        <f t="shared" si="3033"/>
        <v/>
      </c>
      <c r="DY186" s="30" t="str">
        <f t="shared" si="3034"/>
        <v/>
      </c>
      <c r="DZ186" s="30" t="str">
        <f t="shared" si="3035"/>
        <v/>
      </c>
      <c r="EA186" s="30" t="str">
        <f t="shared" si="3036"/>
        <v/>
      </c>
      <c r="EB186" s="30" t="str">
        <f t="shared" si="3037"/>
        <v/>
      </c>
      <c r="EC186" s="30" t="str">
        <f t="shared" si="3038"/>
        <v/>
      </c>
      <c r="ED186" s="30" t="str">
        <f t="shared" si="3039"/>
        <v/>
      </c>
      <c r="EE186" s="30" t="str">
        <f t="shared" si="3040"/>
        <v/>
      </c>
      <c r="EF186" s="30" t="str">
        <f t="shared" si="3041"/>
        <v/>
      </c>
      <c r="EG186" s="30" t="str">
        <f t="shared" si="3042"/>
        <v/>
      </c>
      <c r="EH186" s="30" t="str">
        <f t="shared" si="3043"/>
        <v/>
      </c>
      <c r="EI186" s="30" t="str">
        <f t="shared" si="3044"/>
        <v/>
      </c>
      <c r="EJ186" s="30" t="str">
        <f t="shared" si="3045"/>
        <v/>
      </c>
      <c r="EK186" s="30" t="str">
        <f t="shared" si="3046"/>
        <v/>
      </c>
      <c r="EL186" s="30" t="str">
        <f t="shared" si="3047"/>
        <v/>
      </c>
      <c r="EM186" s="30" t="str">
        <f t="shared" si="3048"/>
        <v/>
      </c>
      <c r="EN186" s="30" t="str">
        <f t="shared" si="3049"/>
        <v/>
      </c>
      <c r="EO186" s="30" t="str">
        <f t="shared" si="3050"/>
        <v/>
      </c>
      <c r="EP186" s="30" t="str">
        <f t="shared" si="3051"/>
        <v/>
      </c>
      <c r="EQ186" s="30" t="str">
        <f t="shared" si="3052"/>
        <v/>
      </c>
      <c r="ER186" s="30" t="str">
        <f t="shared" si="3053"/>
        <v/>
      </c>
      <c r="ES186" s="30" t="str">
        <f t="shared" si="3054"/>
        <v/>
      </c>
      <c r="ET186" s="30" t="str">
        <f t="shared" si="3055"/>
        <v/>
      </c>
      <c r="EU186" s="30" t="str">
        <f t="shared" si="3056"/>
        <v/>
      </c>
      <c r="EV186" s="30" t="str">
        <f t="shared" si="3057"/>
        <v/>
      </c>
      <c r="EW186" s="30" t="str">
        <f t="shared" si="3058"/>
        <v/>
      </c>
      <c r="EX186" s="30" t="str">
        <f t="shared" si="3059"/>
        <v/>
      </c>
      <c r="EY186" s="30" t="str">
        <f t="shared" si="3060"/>
        <v/>
      </c>
      <c r="EZ186" s="30" t="str">
        <f t="shared" si="3061"/>
        <v/>
      </c>
      <c r="FA186" s="30" t="str">
        <f t="shared" si="3062"/>
        <v/>
      </c>
      <c r="FB186" s="30" t="str">
        <f t="shared" si="3063"/>
        <v/>
      </c>
      <c r="FC186" s="30" t="str">
        <f t="shared" si="3064"/>
        <v/>
      </c>
      <c r="FD186" s="30" t="str">
        <f t="shared" si="3065"/>
        <v/>
      </c>
      <c r="FE186" s="30" t="str">
        <f t="shared" si="3066"/>
        <v/>
      </c>
      <c r="FF186" s="30" t="str">
        <f t="shared" si="3067"/>
        <v/>
      </c>
      <c r="FG186" s="30" t="str">
        <f t="shared" si="3068"/>
        <v/>
      </c>
      <c r="FH186" s="30" t="str">
        <f t="shared" si="3069"/>
        <v/>
      </c>
      <c r="FI186" s="30" t="str">
        <f t="shared" si="3070"/>
        <v/>
      </c>
      <c r="FJ186" s="30" t="str">
        <f t="shared" si="3071"/>
        <v/>
      </c>
      <c r="FK186" s="30" t="str">
        <f t="shared" si="3072"/>
        <v/>
      </c>
      <c r="FL186" s="30" t="str">
        <f t="shared" si="3073"/>
        <v/>
      </c>
      <c r="FM186" s="30" t="str">
        <f t="shared" si="3074"/>
        <v/>
      </c>
      <c r="FN186" s="30" t="str">
        <f t="shared" si="3075"/>
        <v/>
      </c>
      <c r="FO186" s="30" t="str">
        <f t="shared" si="3076"/>
        <v/>
      </c>
      <c r="FP186" s="30" t="str">
        <f t="shared" si="3077"/>
        <v/>
      </c>
      <c r="FQ186" s="30" t="str">
        <f t="shared" si="3078"/>
        <v/>
      </c>
      <c r="FR186" s="30" t="str">
        <f t="shared" si="3079"/>
        <v/>
      </c>
      <c r="FS186" s="30" t="str">
        <f t="shared" si="3080"/>
        <v/>
      </c>
    </row>
    <row r="187" spans="1:175" ht="16.5">
      <c r="A187" s="87"/>
      <c r="B187" s="66" t="s">
        <v>547</v>
      </c>
      <c r="C187" s="29" t="s">
        <v>212</v>
      </c>
      <c r="T187" s="105"/>
      <c r="U187" s="32"/>
      <c r="CN187" s="7" t="str">
        <f t="shared" si="3005"/>
        <v>InitUnitState('IF04',,,,,,,,,,)</v>
      </c>
      <c r="CO187" s="7" t="str">
        <f t="shared" si="3006"/>
        <v>InitUnitNormal('IF04',,,,,,,,,,)</v>
      </c>
      <c r="CP187" s="7" t="str">
        <f t="shared" si="3007"/>
        <v>InitUnitMagic('IF04',,,,,,,,,,)</v>
      </c>
      <c r="CQ187" s="7" t="str">
        <f t="shared" si="3008"/>
        <v>InitUnitAdd('IF04',,,,,,,,,,)</v>
      </c>
      <c r="CR187" s="7" t="str">
        <f t="shared" si="3009"/>
        <v>InitEquipData('IF04',,"",,,,,'','','','','','',"")</v>
      </c>
      <c r="CU187" s="45" t="str">
        <f t="shared" si="3010"/>
        <v>|n</v>
      </c>
      <c r="CW187" s="24"/>
      <c r="CX187" s="24"/>
      <c r="CY187" s="24"/>
      <c r="CZ187" s="24"/>
      <c r="DA187" s="24"/>
      <c r="DB187" s="30" t="str">
        <f t="shared" si="3011"/>
        <v/>
      </c>
      <c r="DC187" s="30" t="str">
        <f t="shared" si="3012"/>
        <v/>
      </c>
      <c r="DD187" s="30" t="str">
        <f t="shared" si="3013"/>
        <v/>
      </c>
      <c r="DE187" s="30" t="str">
        <f t="shared" si="3014"/>
        <v/>
      </c>
      <c r="DF187" s="30" t="str">
        <f t="shared" si="3015"/>
        <v/>
      </c>
      <c r="DG187" s="30" t="str">
        <f t="shared" si="3016"/>
        <v/>
      </c>
      <c r="DH187" s="30" t="str">
        <f t="shared" si="3017"/>
        <v/>
      </c>
      <c r="DI187" s="30" t="str">
        <f t="shared" si="3018"/>
        <v/>
      </c>
      <c r="DJ187" s="30" t="str">
        <f t="shared" si="3019"/>
        <v/>
      </c>
      <c r="DK187" s="30" t="str">
        <f t="shared" si="3020"/>
        <v/>
      </c>
      <c r="DL187" s="30" t="str">
        <f t="shared" si="3021"/>
        <v/>
      </c>
      <c r="DM187" s="30" t="str">
        <f t="shared" si="3022"/>
        <v/>
      </c>
      <c r="DN187" s="30" t="str">
        <f t="shared" si="3023"/>
        <v/>
      </c>
      <c r="DO187" s="30" t="str">
        <f t="shared" si="3024"/>
        <v/>
      </c>
      <c r="DP187" s="30" t="str">
        <f t="shared" si="3025"/>
        <v/>
      </c>
      <c r="DQ187" s="30" t="str">
        <f t="shared" si="3026"/>
        <v/>
      </c>
      <c r="DR187" s="30" t="str">
        <f t="shared" si="3027"/>
        <v/>
      </c>
      <c r="DS187" s="30" t="str">
        <f t="shared" si="3028"/>
        <v/>
      </c>
      <c r="DT187" s="30" t="str">
        <f t="shared" si="3029"/>
        <v/>
      </c>
      <c r="DU187" s="30" t="str">
        <f t="shared" si="3030"/>
        <v/>
      </c>
      <c r="DV187" s="30" t="str">
        <f t="shared" si="3031"/>
        <v/>
      </c>
      <c r="DW187" s="30" t="str">
        <f t="shared" si="3032"/>
        <v/>
      </c>
      <c r="DX187" s="30" t="str">
        <f t="shared" si="3033"/>
        <v/>
      </c>
      <c r="DY187" s="30" t="str">
        <f t="shared" si="3034"/>
        <v/>
      </c>
      <c r="DZ187" s="30" t="str">
        <f t="shared" si="3035"/>
        <v/>
      </c>
      <c r="EA187" s="30" t="str">
        <f t="shared" si="3036"/>
        <v/>
      </c>
      <c r="EB187" s="30" t="str">
        <f t="shared" si="3037"/>
        <v/>
      </c>
      <c r="EC187" s="30" t="str">
        <f t="shared" si="3038"/>
        <v/>
      </c>
      <c r="ED187" s="30" t="str">
        <f t="shared" si="3039"/>
        <v/>
      </c>
      <c r="EE187" s="30" t="str">
        <f t="shared" si="3040"/>
        <v/>
      </c>
      <c r="EF187" s="30" t="str">
        <f t="shared" si="3041"/>
        <v/>
      </c>
      <c r="EG187" s="30" t="str">
        <f t="shared" si="3042"/>
        <v/>
      </c>
      <c r="EH187" s="30" t="str">
        <f t="shared" si="3043"/>
        <v/>
      </c>
      <c r="EI187" s="30" t="str">
        <f t="shared" si="3044"/>
        <v/>
      </c>
      <c r="EJ187" s="30" t="str">
        <f t="shared" si="3045"/>
        <v/>
      </c>
      <c r="EK187" s="30" t="str">
        <f t="shared" si="3046"/>
        <v/>
      </c>
      <c r="EL187" s="30" t="str">
        <f t="shared" si="3047"/>
        <v/>
      </c>
      <c r="EM187" s="30" t="str">
        <f t="shared" si="3048"/>
        <v/>
      </c>
      <c r="EN187" s="30" t="str">
        <f t="shared" si="3049"/>
        <v/>
      </c>
      <c r="EO187" s="30" t="str">
        <f t="shared" si="3050"/>
        <v/>
      </c>
      <c r="EP187" s="30" t="str">
        <f t="shared" si="3051"/>
        <v/>
      </c>
      <c r="EQ187" s="30" t="str">
        <f t="shared" si="3052"/>
        <v/>
      </c>
      <c r="ER187" s="30" t="str">
        <f t="shared" si="3053"/>
        <v/>
      </c>
      <c r="ES187" s="30" t="str">
        <f t="shared" si="3054"/>
        <v/>
      </c>
      <c r="ET187" s="30" t="str">
        <f t="shared" si="3055"/>
        <v/>
      </c>
      <c r="EU187" s="30" t="str">
        <f t="shared" si="3056"/>
        <v/>
      </c>
      <c r="EV187" s="30" t="str">
        <f t="shared" si="3057"/>
        <v/>
      </c>
      <c r="EW187" s="30" t="str">
        <f t="shared" si="3058"/>
        <v/>
      </c>
      <c r="EX187" s="30" t="str">
        <f t="shared" si="3059"/>
        <v/>
      </c>
      <c r="EY187" s="30" t="str">
        <f t="shared" si="3060"/>
        <v/>
      </c>
      <c r="EZ187" s="30" t="str">
        <f t="shared" si="3061"/>
        <v/>
      </c>
      <c r="FA187" s="30" t="str">
        <f t="shared" si="3062"/>
        <v/>
      </c>
      <c r="FB187" s="30" t="str">
        <f t="shared" si="3063"/>
        <v/>
      </c>
      <c r="FC187" s="30" t="str">
        <f t="shared" si="3064"/>
        <v/>
      </c>
      <c r="FD187" s="30" t="str">
        <f t="shared" si="3065"/>
        <v/>
      </c>
      <c r="FE187" s="30" t="str">
        <f t="shared" si="3066"/>
        <v/>
      </c>
      <c r="FF187" s="30" t="str">
        <f t="shared" si="3067"/>
        <v/>
      </c>
      <c r="FG187" s="30" t="str">
        <f t="shared" si="3068"/>
        <v/>
      </c>
      <c r="FH187" s="30" t="str">
        <f t="shared" si="3069"/>
        <v/>
      </c>
      <c r="FI187" s="30" t="str">
        <f t="shared" si="3070"/>
        <v/>
      </c>
      <c r="FJ187" s="30" t="str">
        <f t="shared" si="3071"/>
        <v/>
      </c>
      <c r="FK187" s="30" t="str">
        <f t="shared" si="3072"/>
        <v/>
      </c>
      <c r="FL187" s="30" t="str">
        <f t="shared" si="3073"/>
        <v/>
      </c>
      <c r="FM187" s="30" t="str">
        <f t="shared" si="3074"/>
        <v/>
      </c>
      <c r="FN187" s="30" t="str">
        <f t="shared" si="3075"/>
        <v/>
      </c>
      <c r="FO187" s="30" t="str">
        <f t="shared" si="3076"/>
        <v/>
      </c>
      <c r="FP187" s="30" t="str">
        <f t="shared" si="3077"/>
        <v/>
      </c>
      <c r="FQ187" s="30" t="str">
        <f t="shared" si="3078"/>
        <v/>
      </c>
      <c r="FR187" s="30" t="str">
        <f t="shared" si="3079"/>
        <v/>
      </c>
      <c r="FS187" s="30" t="str">
        <f t="shared" si="3080"/>
        <v/>
      </c>
    </row>
    <row r="188" spans="1:175" ht="16.5">
      <c r="A188" s="87"/>
      <c r="B188" s="66" t="s">
        <v>548</v>
      </c>
      <c r="C188" s="29" t="s">
        <v>211</v>
      </c>
      <c r="T188" s="105"/>
      <c r="U188" s="32"/>
      <c r="CN188" s="7" t="str">
        <f t="shared" si="3005"/>
        <v>InitUnitState('IF05',,,,,,,,,,)</v>
      </c>
      <c r="CO188" s="7" t="str">
        <f t="shared" si="3006"/>
        <v>InitUnitNormal('IF05',,,,,,,,,,)</v>
      </c>
      <c r="CP188" s="7" t="str">
        <f t="shared" si="3007"/>
        <v>InitUnitMagic('IF05',,,,,,,,,,)</v>
      </c>
      <c r="CQ188" s="7" t="str">
        <f t="shared" si="3008"/>
        <v>InitUnitAdd('IF05',,,,,,,,,,)</v>
      </c>
      <c r="CR188" s="7" t="str">
        <f t="shared" si="3009"/>
        <v>InitEquipData('IF05',,"",,,,,'','','','','','',"")</v>
      </c>
      <c r="CU188" s="45" t="str">
        <f t="shared" si="3010"/>
        <v>|n</v>
      </c>
      <c r="CW188" s="24"/>
      <c r="CX188" s="24"/>
      <c r="CY188" s="24"/>
      <c r="CZ188" s="24"/>
      <c r="DA188" s="24"/>
      <c r="DB188" s="30" t="str">
        <f t="shared" si="3011"/>
        <v/>
      </c>
      <c r="DC188" s="30" t="str">
        <f t="shared" si="3012"/>
        <v/>
      </c>
      <c r="DD188" s="30" t="str">
        <f t="shared" si="3013"/>
        <v/>
      </c>
      <c r="DE188" s="30" t="str">
        <f t="shared" si="3014"/>
        <v/>
      </c>
      <c r="DF188" s="30" t="str">
        <f t="shared" si="3015"/>
        <v/>
      </c>
      <c r="DG188" s="30" t="str">
        <f t="shared" si="3016"/>
        <v/>
      </c>
      <c r="DH188" s="30" t="str">
        <f t="shared" si="3017"/>
        <v/>
      </c>
      <c r="DI188" s="30" t="str">
        <f t="shared" si="3018"/>
        <v/>
      </c>
      <c r="DJ188" s="30" t="str">
        <f t="shared" si="3019"/>
        <v/>
      </c>
      <c r="DK188" s="30" t="str">
        <f t="shared" si="3020"/>
        <v/>
      </c>
      <c r="DL188" s="30" t="str">
        <f t="shared" si="3021"/>
        <v/>
      </c>
      <c r="DM188" s="30" t="str">
        <f t="shared" si="3022"/>
        <v/>
      </c>
      <c r="DN188" s="30" t="str">
        <f t="shared" si="3023"/>
        <v/>
      </c>
      <c r="DO188" s="30" t="str">
        <f t="shared" si="3024"/>
        <v/>
      </c>
      <c r="DP188" s="30" t="str">
        <f t="shared" si="3025"/>
        <v/>
      </c>
      <c r="DQ188" s="30" t="str">
        <f t="shared" si="3026"/>
        <v/>
      </c>
      <c r="DR188" s="30" t="str">
        <f t="shared" si="3027"/>
        <v/>
      </c>
      <c r="DS188" s="30" t="str">
        <f t="shared" si="3028"/>
        <v/>
      </c>
      <c r="DT188" s="30" t="str">
        <f t="shared" si="3029"/>
        <v/>
      </c>
      <c r="DU188" s="30" t="str">
        <f t="shared" si="3030"/>
        <v/>
      </c>
      <c r="DV188" s="30" t="str">
        <f t="shared" si="3031"/>
        <v/>
      </c>
      <c r="DW188" s="30" t="str">
        <f t="shared" si="3032"/>
        <v/>
      </c>
      <c r="DX188" s="30" t="str">
        <f t="shared" si="3033"/>
        <v/>
      </c>
      <c r="DY188" s="30" t="str">
        <f t="shared" si="3034"/>
        <v/>
      </c>
      <c r="DZ188" s="30" t="str">
        <f t="shared" si="3035"/>
        <v/>
      </c>
      <c r="EA188" s="30" t="str">
        <f t="shared" si="3036"/>
        <v/>
      </c>
      <c r="EB188" s="30" t="str">
        <f t="shared" si="3037"/>
        <v/>
      </c>
      <c r="EC188" s="30" t="str">
        <f t="shared" si="3038"/>
        <v/>
      </c>
      <c r="ED188" s="30" t="str">
        <f t="shared" si="3039"/>
        <v/>
      </c>
      <c r="EE188" s="30" t="str">
        <f t="shared" si="3040"/>
        <v/>
      </c>
      <c r="EF188" s="30" t="str">
        <f t="shared" si="3041"/>
        <v/>
      </c>
      <c r="EG188" s="30" t="str">
        <f t="shared" si="3042"/>
        <v/>
      </c>
      <c r="EH188" s="30" t="str">
        <f t="shared" si="3043"/>
        <v/>
      </c>
      <c r="EI188" s="30" t="str">
        <f t="shared" si="3044"/>
        <v/>
      </c>
      <c r="EJ188" s="30" t="str">
        <f t="shared" si="3045"/>
        <v/>
      </c>
      <c r="EK188" s="30" t="str">
        <f t="shared" si="3046"/>
        <v/>
      </c>
      <c r="EL188" s="30" t="str">
        <f t="shared" si="3047"/>
        <v/>
      </c>
      <c r="EM188" s="30" t="str">
        <f t="shared" si="3048"/>
        <v/>
      </c>
      <c r="EN188" s="30" t="str">
        <f t="shared" si="3049"/>
        <v/>
      </c>
      <c r="EO188" s="30" t="str">
        <f t="shared" si="3050"/>
        <v/>
      </c>
      <c r="EP188" s="30" t="str">
        <f t="shared" si="3051"/>
        <v/>
      </c>
      <c r="EQ188" s="30" t="str">
        <f t="shared" si="3052"/>
        <v/>
      </c>
      <c r="ER188" s="30" t="str">
        <f t="shared" si="3053"/>
        <v/>
      </c>
      <c r="ES188" s="30" t="str">
        <f t="shared" si="3054"/>
        <v/>
      </c>
      <c r="ET188" s="30" t="str">
        <f t="shared" si="3055"/>
        <v/>
      </c>
      <c r="EU188" s="30" t="str">
        <f t="shared" si="3056"/>
        <v/>
      </c>
      <c r="EV188" s="30" t="str">
        <f t="shared" si="3057"/>
        <v/>
      </c>
      <c r="EW188" s="30" t="str">
        <f t="shared" si="3058"/>
        <v/>
      </c>
      <c r="EX188" s="30" t="str">
        <f t="shared" si="3059"/>
        <v/>
      </c>
      <c r="EY188" s="30" t="str">
        <f t="shared" si="3060"/>
        <v/>
      </c>
      <c r="EZ188" s="30" t="str">
        <f t="shared" si="3061"/>
        <v/>
      </c>
      <c r="FA188" s="30" t="str">
        <f t="shared" si="3062"/>
        <v/>
      </c>
      <c r="FB188" s="30" t="str">
        <f t="shared" si="3063"/>
        <v/>
      </c>
      <c r="FC188" s="30" t="str">
        <f t="shared" si="3064"/>
        <v/>
      </c>
      <c r="FD188" s="30" t="str">
        <f t="shared" si="3065"/>
        <v/>
      </c>
      <c r="FE188" s="30" t="str">
        <f t="shared" si="3066"/>
        <v/>
      </c>
      <c r="FF188" s="30" t="str">
        <f t="shared" si="3067"/>
        <v/>
      </c>
      <c r="FG188" s="30" t="str">
        <f t="shared" si="3068"/>
        <v/>
      </c>
      <c r="FH188" s="30" t="str">
        <f t="shared" si="3069"/>
        <v/>
      </c>
      <c r="FI188" s="30" t="str">
        <f t="shared" si="3070"/>
        <v/>
      </c>
      <c r="FJ188" s="30" t="str">
        <f t="shared" si="3071"/>
        <v/>
      </c>
      <c r="FK188" s="30" t="str">
        <f t="shared" si="3072"/>
        <v/>
      </c>
      <c r="FL188" s="30" t="str">
        <f t="shared" si="3073"/>
        <v/>
      </c>
      <c r="FM188" s="30" t="str">
        <f t="shared" si="3074"/>
        <v/>
      </c>
      <c r="FN188" s="30" t="str">
        <f t="shared" si="3075"/>
        <v/>
      </c>
      <c r="FO188" s="30" t="str">
        <f t="shared" si="3076"/>
        <v/>
      </c>
      <c r="FP188" s="30" t="str">
        <f t="shared" si="3077"/>
        <v/>
      </c>
      <c r="FQ188" s="30" t="str">
        <f t="shared" si="3078"/>
        <v/>
      </c>
      <c r="FR188" s="30" t="str">
        <f t="shared" si="3079"/>
        <v/>
      </c>
      <c r="FS188" s="30" t="str">
        <f t="shared" si="3080"/>
        <v/>
      </c>
    </row>
    <row r="189" spans="1:175" ht="16.5">
      <c r="A189" s="87"/>
      <c r="B189" s="66" t="s">
        <v>549</v>
      </c>
      <c r="C189" s="29" t="s">
        <v>212</v>
      </c>
      <c r="T189" s="105"/>
      <c r="U189" s="32"/>
      <c r="CN189" s="7" t="str">
        <f t="shared" si="3005"/>
        <v>InitUnitState('IF06',,,,,,,,,,)</v>
      </c>
      <c r="CO189" s="7" t="str">
        <f t="shared" si="3006"/>
        <v>InitUnitNormal('IF06',,,,,,,,,,)</v>
      </c>
      <c r="CP189" s="7" t="str">
        <f t="shared" si="3007"/>
        <v>InitUnitMagic('IF06',,,,,,,,,,)</v>
      </c>
      <c r="CQ189" s="7" t="str">
        <f t="shared" si="3008"/>
        <v>InitUnitAdd('IF06',,,,,,,,,,)</v>
      </c>
      <c r="CR189" s="7" t="str">
        <f t="shared" si="3009"/>
        <v>InitEquipData('IF06',,"",,,,,'','','','','','',"")</v>
      </c>
      <c r="CU189" s="45" t="str">
        <f t="shared" si="3010"/>
        <v>|n</v>
      </c>
      <c r="CW189" s="24"/>
      <c r="CX189" s="24"/>
      <c r="CY189" s="24"/>
      <c r="CZ189" s="24"/>
      <c r="DA189" s="24"/>
      <c r="DB189" s="30" t="str">
        <f t="shared" si="3011"/>
        <v/>
      </c>
      <c r="DC189" s="30" t="str">
        <f t="shared" si="3012"/>
        <v/>
      </c>
      <c r="DD189" s="30" t="str">
        <f t="shared" si="3013"/>
        <v/>
      </c>
      <c r="DE189" s="30" t="str">
        <f t="shared" si="3014"/>
        <v/>
      </c>
      <c r="DF189" s="30" t="str">
        <f t="shared" si="3015"/>
        <v/>
      </c>
      <c r="DG189" s="30" t="str">
        <f t="shared" si="3016"/>
        <v/>
      </c>
      <c r="DH189" s="30" t="str">
        <f t="shared" si="3017"/>
        <v/>
      </c>
      <c r="DI189" s="30" t="str">
        <f t="shared" si="3018"/>
        <v/>
      </c>
      <c r="DJ189" s="30" t="str">
        <f t="shared" si="3019"/>
        <v/>
      </c>
      <c r="DK189" s="30" t="str">
        <f t="shared" si="3020"/>
        <v/>
      </c>
      <c r="DL189" s="30" t="str">
        <f t="shared" si="3021"/>
        <v/>
      </c>
      <c r="DM189" s="30" t="str">
        <f t="shared" si="3022"/>
        <v/>
      </c>
      <c r="DN189" s="30" t="str">
        <f t="shared" si="3023"/>
        <v/>
      </c>
      <c r="DO189" s="30" t="str">
        <f t="shared" si="3024"/>
        <v/>
      </c>
      <c r="DP189" s="30" t="str">
        <f t="shared" si="3025"/>
        <v/>
      </c>
      <c r="DQ189" s="30" t="str">
        <f t="shared" si="3026"/>
        <v/>
      </c>
      <c r="DR189" s="30" t="str">
        <f t="shared" si="3027"/>
        <v/>
      </c>
      <c r="DS189" s="30" t="str">
        <f t="shared" si="3028"/>
        <v/>
      </c>
      <c r="DT189" s="30" t="str">
        <f t="shared" si="3029"/>
        <v/>
      </c>
      <c r="DU189" s="30" t="str">
        <f t="shared" si="3030"/>
        <v/>
      </c>
      <c r="DV189" s="30" t="str">
        <f t="shared" si="3031"/>
        <v/>
      </c>
      <c r="DW189" s="30" t="str">
        <f t="shared" si="3032"/>
        <v/>
      </c>
      <c r="DX189" s="30" t="str">
        <f t="shared" si="3033"/>
        <v/>
      </c>
      <c r="DY189" s="30" t="str">
        <f t="shared" si="3034"/>
        <v/>
      </c>
      <c r="DZ189" s="30" t="str">
        <f t="shared" si="3035"/>
        <v/>
      </c>
      <c r="EA189" s="30" t="str">
        <f t="shared" si="3036"/>
        <v/>
      </c>
      <c r="EB189" s="30" t="str">
        <f t="shared" si="3037"/>
        <v/>
      </c>
      <c r="EC189" s="30" t="str">
        <f t="shared" si="3038"/>
        <v/>
      </c>
      <c r="ED189" s="30" t="str">
        <f t="shared" si="3039"/>
        <v/>
      </c>
      <c r="EE189" s="30" t="str">
        <f t="shared" si="3040"/>
        <v/>
      </c>
      <c r="EF189" s="30" t="str">
        <f t="shared" si="3041"/>
        <v/>
      </c>
      <c r="EG189" s="30" t="str">
        <f t="shared" si="3042"/>
        <v/>
      </c>
      <c r="EH189" s="30" t="str">
        <f t="shared" si="3043"/>
        <v/>
      </c>
      <c r="EI189" s="30" t="str">
        <f t="shared" si="3044"/>
        <v/>
      </c>
      <c r="EJ189" s="30" t="str">
        <f t="shared" si="3045"/>
        <v/>
      </c>
      <c r="EK189" s="30" t="str">
        <f t="shared" si="3046"/>
        <v/>
      </c>
      <c r="EL189" s="30" t="str">
        <f t="shared" si="3047"/>
        <v/>
      </c>
      <c r="EM189" s="30" t="str">
        <f t="shared" si="3048"/>
        <v/>
      </c>
      <c r="EN189" s="30" t="str">
        <f t="shared" si="3049"/>
        <v/>
      </c>
      <c r="EO189" s="30" t="str">
        <f t="shared" si="3050"/>
        <v/>
      </c>
      <c r="EP189" s="30" t="str">
        <f t="shared" si="3051"/>
        <v/>
      </c>
      <c r="EQ189" s="30" t="str">
        <f t="shared" si="3052"/>
        <v/>
      </c>
      <c r="ER189" s="30" t="str">
        <f t="shared" si="3053"/>
        <v/>
      </c>
      <c r="ES189" s="30" t="str">
        <f t="shared" si="3054"/>
        <v/>
      </c>
      <c r="ET189" s="30" t="str">
        <f t="shared" si="3055"/>
        <v/>
      </c>
      <c r="EU189" s="30" t="str">
        <f t="shared" si="3056"/>
        <v/>
      </c>
      <c r="EV189" s="30" t="str">
        <f t="shared" si="3057"/>
        <v/>
      </c>
      <c r="EW189" s="30" t="str">
        <f t="shared" si="3058"/>
        <v/>
      </c>
      <c r="EX189" s="30" t="str">
        <f t="shared" si="3059"/>
        <v/>
      </c>
      <c r="EY189" s="30" t="str">
        <f t="shared" si="3060"/>
        <v/>
      </c>
      <c r="EZ189" s="30" t="str">
        <f t="shared" si="3061"/>
        <v/>
      </c>
      <c r="FA189" s="30" t="str">
        <f t="shared" si="3062"/>
        <v/>
      </c>
      <c r="FB189" s="30" t="str">
        <f t="shared" si="3063"/>
        <v/>
      </c>
      <c r="FC189" s="30" t="str">
        <f t="shared" si="3064"/>
        <v/>
      </c>
      <c r="FD189" s="30" t="str">
        <f t="shared" si="3065"/>
        <v/>
      </c>
      <c r="FE189" s="30" t="str">
        <f t="shared" si="3066"/>
        <v/>
      </c>
      <c r="FF189" s="30" t="str">
        <f t="shared" si="3067"/>
        <v/>
      </c>
      <c r="FG189" s="30" t="str">
        <f t="shared" si="3068"/>
        <v/>
      </c>
      <c r="FH189" s="30" t="str">
        <f t="shared" si="3069"/>
        <v/>
      </c>
      <c r="FI189" s="30" t="str">
        <f t="shared" si="3070"/>
        <v/>
      </c>
      <c r="FJ189" s="30" t="str">
        <f t="shared" si="3071"/>
        <v/>
      </c>
      <c r="FK189" s="30" t="str">
        <f t="shared" si="3072"/>
        <v/>
      </c>
      <c r="FL189" s="30" t="str">
        <f t="shared" si="3073"/>
        <v/>
      </c>
      <c r="FM189" s="30" t="str">
        <f t="shared" si="3074"/>
        <v/>
      </c>
      <c r="FN189" s="30" t="str">
        <f t="shared" si="3075"/>
        <v/>
      </c>
      <c r="FO189" s="30" t="str">
        <f t="shared" si="3076"/>
        <v/>
      </c>
      <c r="FP189" s="30" t="str">
        <f t="shared" si="3077"/>
        <v/>
      </c>
      <c r="FQ189" s="30" t="str">
        <f t="shared" si="3078"/>
        <v/>
      </c>
      <c r="FR189" s="30" t="str">
        <f t="shared" si="3079"/>
        <v/>
      </c>
      <c r="FS189" s="30" t="str">
        <f t="shared" si="3080"/>
        <v/>
      </c>
    </row>
    <row r="190" spans="1:175" ht="16.5">
      <c r="A190" s="87"/>
      <c r="B190" s="66" t="s">
        <v>550</v>
      </c>
      <c r="C190" s="29" t="s">
        <v>211</v>
      </c>
      <c r="T190" s="105"/>
      <c r="U190" s="32"/>
      <c r="CN190" s="7" t="str">
        <f t="shared" si="3005"/>
        <v>InitUnitState('IF07',,,,,,,,,,)</v>
      </c>
      <c r="CO190" s="7" t="str">
        <f t="shared" si="3006"/>
        <v>InitUnitNormal('IF07',,,,,,,,,,)</v>
      </c>
      <c r="CP190" s="7" t="str">
        <f t="shared" si="3007"/>
        <v>InitUnitMagic('IF07',,,,,,,,,,)</v>
      </c>
      <c r="CQ190" s="7" t="str">
        <f t="shared" si="3008"/>
        <v>InitUnitAdd('IF07',,,,,,,,,,)</v>
      </c>
      <c r="CR190" s="7" t="str">
        <f t="shared" si="3009"/>
        <v>InitEquipData('IF07',,"",,,,,'','','','','','',"")</v>
      </c>
      <c r="CU190" s="45" t="str">
        <f t="shared" si="3010"/>
        <v>|n</v>
      </c>
      <c r="CW190" s="24"/>
      <c r="CX190" s="24"/>
      <c r="CY190" s="24"/>
      <c r="CZ190" s="24"/>
      <c r="DA190" s="24"/>
      <c r="DB190" s="30" t="str">
        <f t="shared" si="3011"/>
        <v/>
      </c>
      <c r="DC190" s="30" t="str">
        <f t="shared" si="3012"/>
        <v/>
      </c>
      <c r="DD190" s="30" t="str">
        <f t="shared" si="3013"/>
        <v/>
      </c>
      <c r="DE190" s="30" t="str">
        <f t="shared" si="3014"/>
        <v/>
      </c>
      <c r="DF190" s="30" t="str">
        <f t="shared" si="3015"/>
        <v/>
      </c>
      <c r="DG190" s="30" t="str">
        <f t="shared" si="3016"/>
        <v/>
      </c>
      <c r="DH190" s="30" t="str">
        <f t="shared" si="3017"/>
        <v/>
      </c>
      <c r="DI190" s="30" t="str">
        <f t="shared" si="3018"/>
        <v/>
      </c>
      <c r="DJ190" s="30" t="str">
        <f t="shared" si="3019"/>
        <v/>
      </c>
      <c r="DK190" s="30" t="str">
        <f t="shared" si="3020"/>
        <v/>
      </c>
      <c r="DL190" s="30" t="str">
        <f t="shared" si="3021"/>
        <v/>
      </c>
      <c r="DM190" s="30" t="str">
        <f t="shared" si="3022"/>
        <v/>
      </c>
      <c r="DN190" s="30" t="str">
        <f t="shared" si="3023"/>
        <v/>
      </c>
      <c r="DO190" s="30" t="str">
        <f t="shared" si="3024"/>
        <v/>
      </c>
      <c r="DP190" s="30" t="str">
        <f t="shared" si="3025"/>
        <v/>
      </c>
      <c r="DQ190" s="30" t="str">
        <f t="shared" si="3026"/>
        <v/>
      </c>
      <c r="DR190" s="30" t="str">
        <f t="shared" si="3027"/>
        <v/>
      </c>
      <c r="DS190" s="30" t="str">
        <f t="shared" si="3028"/>
        <v/>
      </c>
      <c r="DT190" s="30" t="str">
        <f t="shared" si="3029"/>
        <v/>
      </c>
      <c r="DU190" s="30" t="str">
        <f t="shared" si="3030"/>
        <v/>
      </c>
      <c r="DV190" s="30" t="str">
        <f t="shared" si="3031"/>
        <v/>
      </c>
      <c r="DW190" s="30" t="str">
        <f t="shared" si="3032"/>
        <v/>
      </c>
      <c r="DX190" s="30" t="str">
        <f t="shared" si="3033"/>
        <v/>
      </c>
      <c r="DY190" s="30" t="str">
        <f t="shared" si="3034"/>
        <v/>
      </c>
      <c r="DZ190" s="30" t="str">
        <f t="shared" si="3035"/>
        <v/>
      </c>
      <c r="EA190" s="30" t="str">
        <f t="shared" si="3036"/>
        <v/>
      </c>
      <c r="EB190" s="30" t="str">
        <f t="shared" si="3037"/>
        <v/>
      </c>
      <c r="EC190" s="30" t="str">
        <f t="shared" si="3038"/>
        <v/>
      </c>
      <c r="ED190" s="30" t="str">
        <f t="shared" si="3039"/>
        <v/>
      </c>
      <c r="EE190" s="30" t="str">
        <f t="shared" si="3040"/>
        <v/>
      </c>
      <c r="EF190" s="30" t="str">
        <f t="shared" si="3041"/>
        <v/>
      </c>
      <c r="EG190" s="30" t="str">
        <f t="shared" si="3042"/>
        <v/>
      </c>
      <c r="EH190" s="30" t="str">
        <f t="shared" si="3043"/>
        <v/>
      </c>
      <c r="EI190" s="30" t="str">
        <f t="shared" si="3044"/>
        <v/>
      </c>
      <c r="EJ190" s="30" t="str">
        <f t="shared" si="3045"/>
        <v/>
      </c>
      <c r="EK190" s="30" t="str">
        <f t="shared" si="3046"/>
        <v/>
      </c>
      <c r="EL190" s="30" t="str">
        <f t="shared" si="3047"/>
        <v/>
      </c>
      <c r="EM190" s="30" t="str">
        <f t="shared" si="3048"/>
        <v/>
      </c>
      <c r="EN190" s="30" t="str">
        <f t="shared" si="3049"/>
        <v/>
      </c>
      <c r="EO190" s="30" t="str">
        <f t="shared" si="3050"/>
        <v/>
      </c>
      <c r="EP190" s="30" t="str">
        <f t="shared" si="3051"/>
        <v/>
      </c>
      <c r="EQ190" s="30" t="str">
        <f t="shared" si="3052"/>
        <v/>
      </c>
      <c r="ER190" s="30" t="str">
        <f t="shared" si="3053"/>
        <v/>
      </c>
      <c r="ES190" s="30" t="str">
        <f t="shared" si="3054"/>
        <v/>
      </c>
      <c r="ET190" s="30" t="str">
        <f t="shared" si="3055"/>
        <v/>
      </c>
      <c r="EU190" s="30" t="str">
        <f t="shared" si="3056"/>
        <v/>
      </c>
      <c r="EV190" s="30" t="str">
        <f t="shared" si="3057"/>
        <v/>
      </c>
      <c r="EW190" s="30" t="str">
        <f t="shared" si="3058"/>
        <v/>
      </c>
      <c r="EX190" s="30" t="str">
        <f t="shared" si="3059"/>
        <v/>
      </c>
      <c r="EY190" s="30" t="str">
        <f t="shared" si="3060"/>
        <v/>
      </c>
      <c r="EZ190" s="30" t="str">
        <f t="shared" si="3061"/>
        <v/>
      </c>
      <c r="FA190" s="30" t="str">
        <f t="shared" si="3062"/>
        <v/>
      </c>
      <c r="FB190" s="30" t="str">
        <f t="shared" si="3063"/>
        <v/>
      </c>
      <c r="FC190" s="30" t="str">
        <f t="shared" si="3064"/>
        <v/>
      </c>
      <c r="FD190" s="30" t="str">
        <f t="shared" si="3065"/>
        <v/>
      </c>
      <c r="FE190" s="30" t="str">
        <f t="shared" si="3066"/>
        <v/>
      </c>
      <c r="FF190" s="30" t="str">
        <f t="shared" si="3067"/>
        <v/>
      </c>
      <c r="FG190" s="30" t="str">
        <f t="shared" si="3068"/>
        <v/>
      </c>
      <c r="FH190" s="30" t="str">
        <f t="shared" si="3069"/>
        <v/>
      </c>
      <c r="FI190" s="30" t="str">
        <f t="shared" si="3070"/>
        <v/>
      </c>
      <c r="FJ190" s="30" t="str">
        <f t="shared" si="3071"/>
        <v/>
      </c>
      <c r="FK190" s="30" t="str">
        <f t="shared" si="3072"/>
        <v/>
      </c>
      <c r="FL190" s="30" t="str">
        <f t="shared" si="3073"/>
        <v/>
      </c>
      <c r="FM190" s="30" t="str">
        <f t="shared" si="3074"/>
        <v/>
      </c>
      <c r="FN190" s="30" t="str">
        <f t="shared" si="3075"/>
        <v/>
      </c>
      <c r="FO190" s="30" t="str">
        <f t="shared" si="3076"/>
        <v/>
      </c>
      <c r="FP190" s="30" t="str">
        <f t="shared" si="3077"/>
        <v/>
      </c>
      <c r="FQ190" s="30" t="str">
        <f t="shared" si="3078"/>
        <v/>
      </c>
      <c r="FR190" s="30" t="str">
        <f t="shared" si="3079"/>
        <v/>
      </c>
      <c r="FS190" s="30" t="str">
        <f t="shared" si="3080"/>
        <v/>
      </c>
    </row>
    <row r="191" spans="1:175" ht="16.5">
      <c r="A191" s="87"/>
      <c r="B191" s="66" t="s">
        <v>551</v>
      </c>
      <c r="C191" s="29" t="s">
        <v>212</v>
      </c>
      <c r="T191" s="105"/>
      <c r="U191" s="32"/>
      <c r="CN191" s="7" t="str">
        <f t="shared" si="3005"/>
        <v>InitUnitState('IF08',,,,,,,,,,)</v>
      </c>
      <c r="CO191" s="7" t="str">
        <f t="shared" si="3006"/>
        <v>InitUnitNormal('IF08',,,,,,,,,,)</v>
      </c>
      <c r="CP191" s="7" t="str">
        <f t="shared" si="3007"/>
        <v>InitUnitMagic('IF08',,,,,,,,,,)</v>
      </c>
      <c r="CQ191" s="7" t="str">
        <f t="shared" si="3008"/>
        <v>InitUnitAdd('IF08',,,,,,,,,,)</v>
      </c>
      <c r="CR191" s="7" t="str">
        <f t="shared" si="3009"/>
        <v>InitEquipData('IF08',,"",,,,,'','','','','','',"")</v>
      </c>
      <c r="CU191" s="45" t="str">
        <f t="shared" si="3010"/>
        <v>|n</v>
      </c>
      <c r="CW191" s="24"/>
      <c r="CX191" s="24"/>
      <c r="CY191" s="24"/>
      <c r="CZ191" s="24"/>
      <c r="DA191" s="24"/>
      <c r="DB191" s="30" t="str">
        <f t="shared" si="3011"/>
        <v/>
      </c>
      <c r="DC191" s="30" t="str">
        <f t="shared" si="3012"/>
        <v/>
      </c>
      <c r="DD191" s="30" t="str">
        <f t="shared" si="3013"/>
        <v/>
      </c>
      <c r="DE191" s="30" t="str">
        <f t="shared" si="3014"/>
        <v/>
      </c>
      <c r="DF191" s="30" t="str">
        <f t="shared" si="3015"/>
        <v/>
      </c>
      <c r="DG191" s="30" t="str">
        <f t="shared" si="3016"/>
        <v/>
      </c>
      <c r="DH191" s="30" t="str">
        <f t="shared" si="3017"/>
        <v/>
      </c>
      <c r="DI191" s="30" t="str">
        <f t="shared" si="3018"/>
        <v/>
      </c>
      <c r="DJ191" s="30" t="str">
        <f t="shared" si="3019"/>
        <v/>
      </c>
      <c r="DK191" s="30" t="str">
        <f t="shared" si="3020"/>
        <v/>
      </c>
      <c r="DL191" s="30" t="str">
        <f t="shared" si="3021"/>
        <v/>
      </c>
      <c r="DM191" s="30" t="str">
        <f t="shared" si="3022"/>
        <v/>
      </c>
      <c r="DN191" s="30" t="str">
        <f t="shared" si="3023"/>
        <v/>
      </c>
      <c r="DO191" s="30" t="str">
        <f t="shared" si="3024"/>
        <v/>
      </c>
      <c r="DP191" s="30" t="str">
        <f t="shared" si="3025"/>
        <v/>
      </c>
      <c r="DQ191" s="30" t="str">
        <f t="shared" si="3026"/>
        <v/>
      </c>
      <c r="DR191" s="30" t="str">
        <f t="shared" si="3027"/>
        <v/>
      </c>
      <c r="DS191" s="30" t="str">
        <f t="shared" si="3028"/>
        <v/>
      </c>
      <c r="DT191" s="30" t="str">
        <f t="shared" si="3029"/>
        <v/>
      </c>
      <c r="DU191" s="30" t="str">
        <f t="shared" si="3030"/>
        <v/>
      </c>
      <c r="DV191" s="30" t="str">
        <f t="shared" si="3031"/>
        <v/>
      </c>
      <c r="DW191" s="30" t="str">
        <f t="shared" si="3032"/>
        <v/>
      </c>
      <c r="DX191" s="30" t="str">
        <f t="shared" si="3033"/>
        <v/>
      </c>
      <c r="DY191" s="30" t="str">
        <f t="shared" si="3034"/>
        <v/>
      </c>
      <c r="DZ191" s="30" t="str">
        <f t="shared" si="3035"/>
        <v/>
      </c>
      <c r="EA191" s="30" t="str">
        <f t="shared" si="3036"/>
        <v/>
      </c>
      <c r="EB191" s="30" t="str">
        <f t="shared" si="3037"/>
        <v/>
      </c>
      <c r="EC191" s="30" t="str">
        <f t="shared" si="3038"/>
        <v/>
      </c>
      <c r="ED191" s="30" t="str">
        <f t="shared" si="3039"/>
        <v/>
      </c>
      <c r="EE191" s="30" t="str">
        <f t="shared" si="3040"/>
        <v/>
      </c>
      <c r="EF191" s="30" t="str">
        <f t="shared" si="3041"/>
        <v/>
      </c>
      <c r="EG191" s="30" t="str">
        <f t="shared" si="3042"/>
        <v/>
      </c>
      <c r="EH191" s="30" t="str">
        <f t="shared" si="3043"/>
        <v/>
      </c>
      <c r="EI191" s="30" t="str">
        <f t="shared" si="3044"/>
        <v/>
      </c>
      <c r="EJ191" s="30" t="str">
        <f t="shared" si="3045"/>
        <v/>
      </c>
      <c r="EK191" s="30" t="str">
        <f t="shared" si="3046"/>
        <v/>
      </c>
      <c r="EL191" s="30" t="str">
        <f t="shared" si="3047"/>
        <v/>
      </c>
      <c r="EM191" s="30" t="str">
        <f t="shared" si="3048"/>
        <v/>
      </c>
      <c r="EN191" s="30" t="str">
        <f t="shared" si="3049"/>
        <v/>
      </c>
      <c r="EO191" s="30" t="str">
        <f t="shared" si="3050"/>
        <v/>
      </c>
      <c r="EP191" s="30" t="str">
        <f t="shared" si="3051"/>
        <v/>
      </c>
      <c r="EQ191" s="30" t="str">
        <f t="shared" si="3052"/>
        <v/>
      </c>
      <c r="ER191" s="30" t="str">
        <f t="shared" si="3053"/>
        <v/>
      </c>
      <c r="ES191" s="30" t="str">
        <f t="shared" si="3054"/>
        <v/>
      </c>
      <c r="ET191" s="30" t="str">
        <f t="shared" si="3055"/>
        <v/>
      </c>
      <c r="EU191" s="30" t="str">
        <f t="shared" si="3056"/>
        <v/>
      </c>
      <c r="EV191" s="30" t="str">
        <f t="shared" si="3057"/>
        <v/>
      </c>
      <c r="EW191" s="30" t="str">
        <f t="shared" si="3058"/>
        <v/>
      </c>
      <c r="EX191" s="30" t="str">
        <f t="shared" si="3059"/>
        <v/>
      </c>
      <c r="EY191" s="30" t="str">
        <f t="shared" si="3060"/>
        <v/>
      </c>
      <c r="EZ191" s="30" t="str">
        <f t="shared" si="3061"/>
        <v/>
      </c>
      <c r="FA191" s="30" t="str">
        <f t="shared" si="3062"/>
        <v/>
      </c>
      <c r="FB191" s="30" t="str">
        <f t="shared" si="3063"/>
        <v/>
      </c>
      <c r="FC191" s="30" t="str">
        <f t="shared" si="3064"/>
        <v/>
      </c>
      <c r="FD191" s="30" t="str">
        <f t="shared" si="3065"/>
        <v/>
      </c>
      <c r="FE191" s="30" t="str">
        <f t="shared" si="3066"/>
        <v/>
      </c>
      <c r="FF191" s="30" t="str">
        <f t="shared" si="3067"/>
        <v/>
      </c>
      <c r="FG191" s="30" t="str">
        <f t="shared" si="3068"/>
        <v/>
      </c>
      <c r="FH191" s="30" t="str">
        <f t="shared" si="3069"/>
        <v/>
      </c>
      <c r="FI191" s="30" t="str">
        <f t="shared" si="3070"/>
        <v/>
      </c>
      <c r="FJ191" s="30" t="str">
        <f t="shared" si="3071"/>
        <v/>
      </c>
      <c r="FK191" s="30" t="str">
        <f t="shared" si="3072"/>
        <v/>
      </c>
      <c r="FL191" s="30" t="str">
        <f t="shared" si="3073"/>
        <v/>
      </c>
      <c r="FM191" s="30" t="str">
        <f t="shared" si="3074"/>
        <v/>
      </c>
      <c r="FN191" s="30" t="str">
        <f t="shared" si="3075"/>
        <v/>
      </c>
      <c r="FO191" s="30" t="str">
        <f t="shared" si="3076"/>
        <v/>
      </c>
      <c r="FP191" s="30" t="str">
        <f t="shared" si="3077"/>
        <v/>
      </c>
      <c r="FQ191" s="30" t="str">
        <f t="shared" si="3078"/>
        <v/>
      </c>
      <c r="FR191" s="30" t="str">
        <f t="shared" si="3079"/>
        <v/>
      </c>
      <c r="FS191" s="30" t="str">
        <f t="shared" si="3080"/>
        <v/>
      </c>
    </row>
    <row r="192" spans="1:175" ht="16.5">
      <c r="A192" s="87"/>
      <c r="B192" s="66" t="s">
        <v>552</v>
      </c>
      <c r="C192" s="29" t="s">
        <v>211</v>
      </c>
      <c r="T192" s="105"/>
      <c r="U192" s="32"/>
      <c r="CN192" s="7" t="str">
        <f t="shared" si="3005"/>
        <v>InitUnitState('IF09',,,,,,,,,,)</v>
      </c>
      <c r="CO192" s="7" t="str">
        <f t="shared" si="3006"/>
        <v>InitUnitNormal('IF09',,,,,,,,,,)</v>
      </c>
      <c r="CP192" s="7" t="str">
        <f t="shared" si="3007"/>
        <v>InitUnitMagic('IF09',,,,,,,,,,)</v>
      </c>
      <c r="CQ192" s="7" t="str">
        <f t="shared" si="3008"/>
        <v>InitUnitAdd('IF09',,,,,,,,,,)</v>
      </c>
      <c r="CR192" s="7" t="str">
        <f t="shared" si="3009"/>
        <v>InitEquipData('IF09',,"",,,,,'','','','','','',"")</v>
      </c>
      <c r="CU192" s="45" t="str">
        <f t="shared" si="3010"/>
        <v>|n</v>
      </c>
      <c r="CW192" s="24"/>
      <c r="CX192" s="24"/>
      <c r="CY192" s="24"/>
      <c r="CZ192" s="24"/>
      <c r="DA192" s="24"/>
      <c r="DB192" s="30" t="str">
        <f t="shared" si="3011"/>
        <v/>
      </c>
      <c r="DC192" s="30" t="str">
        <f t="shared" si="3012"/>
        <v/>
      </c>
      <c r="DD192" s="30" t="str">
        <f t="shared" si="3013"/>
        <v/>
      </c>
      <c r="DE192" s="30" t="str">
        <f t="shared" si="3014"/>
        <v/>
      </c>
      <c r="DF192" s="30" t="str">
        <f t="shared" si="3015"/>
        <v/>
      </c>
      <c r="DG192" s="30" t="str">
        <f t="shared" si="3016"/>
        <v/>
      </c>
      <c r="DH192" s="30" t="str">
        <f t="shared" si="3017"/>
        <v/>
      </c>
      <c r="DI192" s="30" t="str">
        <f t="shared" si="3018"/>
        <v/>
      </c>
      <c r="DJ192" s="30" t="str">
        <f t="shared" si="3019"/>
        <v/>
      </c>
      <c r="DK192" s="30" t="str">
        <f t="shared" si="3020"/>
        <v/>
      </c>
      <c r="DL192" s="30" t="str">
        <f t="shared" si="3021"/>
        <v/>
      </c>
      <c r="DM192" s="30" t="str">
        <f t="shared" si="3022"/>
        <v/>
      </c>
      <c r="DN192" s="30" t="str">
        <f t="shared" si="3023"/>
        <v/>
      </c>
      <c r="DO192" s="30" t="str">
        <f t="shared" si="3024"/>
        <v/>
      </c>
      <c r="DP192" s="30" t="str">
        <f t="shared" si="3025"/>
        <v/>
      </c>
      <c r="DQ192" s="30" t="str">
        <f t="shared" si="3026"/>
        <v/>
      </c>
      <c r="DR192" s="30" t="str">
        <f t="shared" si="3027"/>
        <v/>
      </c>
      <c r="DS192" s="30" t="str">
        <f t="shared" si="3028"/>
        <v/>
      </c>
      <c r="DT192" s="30" t="str">
        <f t="shared" si="3029"/>
        <v/>
      </c>
      <c r="DU192" s="30" t="str">
        <f t="shared" si="3030"/>
        <v/>
      </c>
      <c r="DV192" s="30" t="str">
        <f t="shared" si="3031"/>
        <v/>
      </c>
      <c r="DW192" s="30" t="str">
        <f t="shared" si="3032"/>
        <v/>
      </c>
      <c r="DX192" s="30" t="str">
        <f t="shared" si="3033"/>
        <v/>
      </c>
      <c r="DY192" s="30" t="str">
        <f t="shared" si="3034"/>
        <v/>
      </c>
      <c r="DZ192" s="30" t="str">
        <f t="shared" si="3035"/>
        <v/>
      </c>
      <c r="EA192" s="30" t="str">
        <f t="shared" si="3036"/>
        <v/>
      </c>
      <c r="EB192" s="30" t="str">
        <f t="shared" si="3037"/>
        <v/>
      </c>
      <c r="EC192" s="30" t="str">
        <f t="shared" si="3038"/>
        <v/>
      </c>
      <c r="ED192" s="30" t="str">
        <f t="shared" si="3039"/>
        <v/>
      </c>
      <c r="EE192" s="30" t="str">
        <f t="shared" si="3040"/>
        <v/>
      </c>
      <c r="EF192" s="30" t="str">
        <f t="shared" si="3041"/>
        <v/>
      </c>
      <c r="EG192" s="30" t="str">
        <f t="shared" si="3042"/>
        <v/>
      </c>
      <c r="EH192" s="30" t="str">
        <f t="shared" si="3043"/>
        <v/>
      </c>
      <c r="EI192" s="30" t="str">
        <f t="shared" si="3044"/>
        <v/>
      </c>
      <c r="EJ192" s="30" t="str">
        <f t="shared" si="3045"/>
        <v/>
      </c>
      <c r="EK192" s="30" t="str">
        <f t="shared" si="3046"/>
        <v/>
      </c>
      <c r="EL192" s="30" t="str">
        <f t="shared" si="3047"/>
        <v/>
      </c>
      <c r="EM192" s="30" t="str">
        <f t="shared" si="3048"/>
        <v/>
      </c>
      <c r="EN192" s="30" t="str">
        <f t="shared" si="3049"/>
        <v/>
      </c>
      <c r="EO192" s="30" t="str">
        <f t="shared" si="3050"/>
        <v/>
      </c>
      <c r="EP192" s="30" t="str">
        <f t="shared" si="3051"/>
        <v/>
      </c>
      <c r="EQ192" s="30" t="str">
        <f t="shared" si="3052"/>
        <v/>
      </c>
      <c r="ER192" s="30" t="str">
        <f t="shared" si="3053"/>
        <v/>
      </c>
      <c r="ES192" s="30" t="str">
        <f t="shared" si="3054"/>
        <v/>
      </c>
      <c r="ET192" s="30" t="str">
        <f t="shared" si="3055"/>
        <v/>
      </c>
      <c r="EU192" s="30" t="str">
        <f t="shared" si="3056"/>
        <v/>
      </c>
      <c r="EV192" s="30" t="str">
        <f t="shared" si="3057"/>
        <v/>
      </c>
      <c r="EW192" s="30" t="str">
        <f t="shared" si="3058"/>
        <v/>
      </c>
      <c r="EX192" s="30" t="str">
        <f t="shared" si="3059"/>
        <v/>
      </c>
      <c r="EY192" s="30" t="str">
        <f t="shared" si="3060"/>
        <v/>
      </c>
      <c r="EZ192" s="30" t="str">
        <f t="shared" si="3061"/>
        <v/>
      </c>
      <c r="FA192" s="30" t="str">
        <f t="shared" si="3062"/>
        <v/>
      </c>
      <c r="FB192" s="30" t="str">
        <f t="shared" si="3063"/>
        <v/>
      </c>
      <c r="FC192" s="30" t="str">
        <f t="shared" si="3064"/>
        <v/>
      </c>
      <c r="FD192" s="30" t="str">
        <f t="shared" si="3065"/>
        <v/>
      </c>
      <c r="FE192" s="30" t="str">
        <f t="shared" si="3066"/>
        <v/>
      </c>
      <c r="FF192" s="30" t="str">
        <f t="shared" si="3067"/>
        <v/>
      </c>
      <c r="FG192" s="30" t="str">
        <f t="shared" si="3068"/>
        <v/>
      </c>
      <c r="FH192" s="30" t="str">
        <f t="shared" si="3069"/>
        <v/>
      </c>
      <c r="FI192" s="30" t="str">
        <f t="shared" si="3070"/>
        <v/>
      </c>
      <c r="FJ192" s="30" t="str">
        <f t="shared" si="3071"/>
        <v/>
      </c>
      <c r="FK192" s="30" t="str">
        <f t="shared" si="3072"/>
        <v/>
      </c>
      <c r="FL192" s="30" t="str">
        <f t="shared" si="3073"/>
        <v/>
      </c>
      <c r="FM192" s="30" t="str">
        <f t="shared" si="3074"/>
        <v/>
      </c>
      <c r="FN192" s="30" t="str">
        <f t="shared" si="3075"/>
        <v/>
      </c>
      <c r="FO192" s="30" t="str">
        <f t="shared" si="3076"/>
        <v/>
      </c>
      <c r="FP192" s="30" t="str">
        <f t="shared" si="3077"/>
        <v/>
      </c>
      <c r="FQ192" s="30" t="str">
        <f t="shared" si="3078"/>
        <v/>
      </c>
      <c r="FR192" s="30" t="str">
        <f t="shared" si="3079"/>
        <v/>
      </c>
      <c r="FS192" s="30" t="str">
        <f t="shared" si="3080"/>
        <v/>
      </c>
    </row>
    <row r="193" spans="1:175" ht="16.5">
      <c r="A193" s="87"/>
      <c r="B193" s="66" t="s">
        <v>553</v>
      </c>
      <c r="C193" s="29" t="s">
        <v>212</v>
      </c>
      <c r="T193" s="105"/>
      <c r="U193" s="32"/>
      <c r="CN193" s="7" t="str">
        <f t="shared" si="3005"/>
        <v>InitUnitState('IF10',,,,,,,,,,)</v>
      </c>
      <c r="CO193" s="7" t="str">
        <f t="shared" si="3006"/>
        <v>InitUnitNormal('IF10',,,,,,,,,,)</v>
      </c>
      <c r="CP193" s="7" t="str">
        <f t="shared" si="3007"/>
        <v>InitUnitMagic('IF10',,,,,,,,,,)</v>
      </c>
      <c r="CQ193" s="7" t="str">
        <f t="shared" si="3008"/>
        <v>InitUnitAdd('IF10',,,,,,,,,,)</v>
      </c>
      <c r="CR193" s="7" t="str">
        <f t="shared" si="3009"/>
        <v>InitEquipData('IF10',,"",,,,,'','','','','','',"")</v>
      </c>
      <c r="CU193" s="45" t="str">
        <f t="shared" si="3010"/>
        <v>|n</v>
      </c>
      <c r="CW193" s="24"/>
      <c r="CX193" s="24"/>
      <c r="CY193" s="24"/>
      <c r="CZ193" s="24"/>
      <c r="DA193" s="24"/>
      <c r="DB193" s="30" t="str">
        <f t="shared" si="3011"/>
        <v/>
      </c>
      <c r="DC193" s="30" t="str">
        <f t="shared" si="3012"/>
        <v/>
      </c>
      <c r="DD193" s="30" t="str">
        <f t="shared" si="3013"/>
        <v/>
      </c>
      <c r="DE193" s="30" t="str">
        <f t="shared" si="3014"/>
        <v/>
      </c>
      <c r="DF193" s="30" t="str">
        <f t="shared" si="3015"/>
        <v/>
      </c>
      <c r="DG193" s="30" t="str">
        <f t="shared" si="3016"/>
        <v/>
      </c>
      <c r="DH193" s="30" t="str">
        <f t="shared" si="3017"/>
        <v/>
      </c>
      <c r="DI193" s="30" t="str">
        <f t="shared" si="3018"/>
        <v/>
      </c>
      <c r="DJ193" s="30" t="str">
        <f t="shared" si="3019"/>
        <v/>
      </c>
      <c r="DK193" s="30" t="str">
        <f t="shared" si="3020"/>
        <v/>
      </c>
      <c r="DL193" s="30" t="str">
        <f t="shared" si="3021"/>
        <v/>
      </c>
      <c r="DM193" s="30" t="str">
        <f t="shared" si="3022"/>
        <v/>
      </c>
      <c r="DN193" s="30" t="str">
        <f t="shared" si="3023"/>
        <v/>
      </c>
      <c r="DO193" s="30" t="str">
        <f t="shared" si="3024"/>
        <v/>
      </c>
      <c r="DP193" s="30" t="str">
        <f t="shared" si="3025"/>
        <v/>
      </c>
      <c r="DQ193" s="30" t="str">
        <f t="shared" si="3026"/>
        <v/>
      </c>
      <c r="DR193" s="30" t="str">
        <f t="shared" si="3027"/>
        <v/>
      </c>
      <c r="DS193" s="30" t="str">
        <f t="shared" si="3028"/>
        <v/>
      </c>
      <c r="DT193" s="30" t="str">
        <f t="shared" si="3029"/>
        <v/>
      </c>
      <c r="DU193" s="30" t="str">
        <f t="shared" si="3030"/>
        <v/>
      </c>
      <c r="DV193" s="30" t="str">
        <f t="shared" si="3031"/>
        <v/>
      </c>
      <c r="DW193" s="30" t="str">
        <f t="shared" si="3032"/>
        <v/>
      </c>
      <c r="DX193" s="30" t="str">
        <f t="shared" si="3033"/>
        <v/>
      </c>
      <c r="DY193" s="30" t="str">
        <f t="shared" si="3034"/>
        <v/>
      </c>
      <c r="DZ193" s="30" t="str">
        <f t="shared" si="3035"/>
        <v/>
      </c>
      <c r="EA193" s="30" t="str">
        <f t="shared" si="3036"/>
        <v/>
      </c>
      <c r="EB193" s="30" t="str">
        <f t="shared" si="3037"/>
        <v/>
      </c>
      <c r="EC193" s="30" t="str">
        <f t="shared" si="3038"/>
        <v/>
      </c>
      <c r="ED193" s="30" t="str">
        <f t="shared" si="3039"/>
        <v/>
      </c>
      <c r="EE193" s="30" t="str">
        <f t="shared" si="3040"/>
        <v/>
      </c>
      <c r="EF193" s="30" t="str">
        <f t="shared" si="3041"/>
        <v/>
      </c>
      <c r="EG193" s="30" t="str">
        <f t="shared" si="3042"/>
        <v/>
      </c>
      <c r="EH193" s="30" t="str">
        <f t="shared" si="3043"/>
        <v/>
      </c>
      <c r="EI193" s="30" t="str">
        <f t="shared" si="3044"/>
        <v/>
      </c>
      <c r="EJ193" s="30" t="str">
        <f t="shared" si="3045"/>
        <v/>
      </c>
      <c r="EK193" s="30" t="str">
        <f t="shared" si="3046"/>
        <v/>
      </c>
      <c r="EL193" s="30" t="str">
        <f t="shared" si="3047"/>
        <v/>
      </c>
      <c r="EM193" s="30" t="str">
        <f t="shared" si="3048"/>
        <v/>
      </c>
      <c r="EN193" s="30" t="str">
        <f t="shared" si="3049"/>
        <v/>
      </c>
      <c r="EO193" s="30" t="str">
        <f t="shared" si="3050"/>
        <v/>
      </c>
      <c r="EP193" s="30" t="str">
        <f t="shared" si="3051"/>
        <v/>
      </c>
      <c r="EQ193" s="30" t="str">
        <f t="shared" si="3052"/>
        <v/>
      </c>
      <c r="ER193" s="30" t="str">
        <f t="shared" si="3053"/>
        <v/>
      </c>
      <c r="ES193" s="30" t="str">
        <f t="shared" si="3054"/>
        <v/>
      </c>
      <c r="ET193" s="30" t="str">
        <f t="shared" si="3055"/>
        <v/>
      </c>
      <c r="EU193" s="30" t="str">
        <f t="shared" si="3056"/>
        <v/>
      </c>
      <c r="EV193" s="30" t="str">
        <f t="shared" si="3057"/>
        <v/>
      </c>
      <c r="EW193" s="30" t="str">
        <f t="shared" si="3058"/>
        <v/>
      </c>
      <c r="EX193" s="30" t="str">
        <f t="shared" si="3059"/>
        <v/>
      </c>
      <c r="EY193" s="30" t="str">
        <f t="shared" si="3060"/>
        <v/>
      </c>
      <c r="EZ193" s="30" t="str">
        <f t="shared" si="3061"/>
        <v/>
      </c>
      <c r="FA193" s="30" t="str">
        <f t="shared" si="3062"/>
        <v/>
      </c>
      <c r="FB193" s="30" t="str">
        <f t="shared" si="3063"/>
        <v/>
      </c>
      <c r="FC193" s="30" t="str">
        <f t="shared" si="3064"/>
        <v/>
      </c>
      <c r="FD193" s="30" t="str">
        <f t="shared" si="3065"/>
        <v/>
      </c>
      <c r="FE193" s="30" t="str">
        <f t="shared" si="3066"/>
        <v/>
      </c>
      <c r="FF193" s="30" t="str">
        <f t="shared" si="3067"/>
        <v/>
      </c>
      <c r="FG193" s="30" t="str">
        <f t="shared" si="3068"/>
        <v/>
      </c>
      <c r="FH193" s="30" t="str">
        <f t="shared" si="3069"/>
        <v/>
      </c>
      <c r="FI193" s="30" t="str">
        <f t="shared" si="3070"/>
        <v/>
      </c>
      <c r="FJ193" s="30" t="str">
        <f t="shared" si="3071"/>
        <v/>
      </c>
      <c r="FK193" s="30" t="str">
        <f t="shared" si="3072"/>
        <v/>
      </c>
      <c r="FL193" s="30" t="str">
        <f t="shared" si="3073"/>
        <v/>
      </c>
      <c r="FM193" s="30" t="str">
        <f t="shared" si="3074"/>
        <v/>
      </c>
      <c r="FN193" s="30" t="str">
        <f t="shared" si="3075"/>
        <v/>
      </c>
      <c r="FO193" s="30" t="str">
        <f t="shared" si="3076"/>
        <v/>
      </c>
      <c r="FP193" s="30" t="str">
        <f t="shared" si="3077"/>
        <v/>
      </c>
      <c r="FQ193" s="30" t="str">
        <f t="shared" si="3078"/>
        <v/>
      </c>
      <c r="FR193" s="30" t="str">
        <f t="shared" si="3079"/>
        <v/>
      </c>
      <c r="FS193" s="30" t="str">
        <f t="shared" si="3080"/>
        <v/>
      </c>
    </row>
    <row r="194" spans="1:175" ht="16.5">
      <c r="A194" s="87"/>
      <c r="B194" s="66" t="s">
        <v>554</v>
      </c>
      <c r="C194" s="29" t="s">
        <v>539</v>
      </c>
      <c r="T194" s="105"/>
      <c r="U194" s="32"/>
      <c r="CN194" s="7" t="str">
        <f t="shared" si="3005"/>
        <v>InitUnitState('IF11',,,,,,,,,,)</v>
      </c>
      <c r="CO194" s="7" t="str">
        <f t="shared" si="3006"/>
        <v>InitUnitNormal('IF11',,,,,,,,,,)</v>
      </c>
      <c r="CP194" s="7" t="str">
        <f t="shared" si="3007"/>
        <v>InitUnitMagic('IF11',,,,,,,,,,)</v>
      </c>
      <c r="CQ194" s="7" t="str">
        <f t="shared" si="3008"/>
        <v>InitUnitAdd('IF11',,,,,,,,,,)</v>
      </c>
      <c r="CR194" s="7" t="str">
        <f t="shared" si="3009"/>
        <v>InitEquipData('IF11',,"",,,,,'','','','','','',"")</v>
      </c>
      <c r="CU194" s="45" t="str">
        <f t="shared" si="3010"/>
        <v>|n</v>
      </c>
      <c r="CW194" s="24"/>
      <c r="CX194" s="24"/>
      <c r="CY194" s="24"/>
      <c r="CZ194" s="24"/>
      <c r="DA194" s="24"/>
      <c r="DB194" s="30" t="str">
        <f t="shared" si="3011"/>
        <v/>
      </c>
      <c r="DC194" s="30" t="str">
        <f t="shared" si="3012"/>
        <v/>
      </c>
      <c r="DD194" s="30" t="str">
        <f t="shared" si="3013"/>
        <v/>
      </c>
      <c r="DE194" s="30" t="str">
        <f t="shared" si="3014"/>
        <v/>
      </c>
      <c r="DF194" s="30" t="str">
        <f t="shared" si="3015"/>
        <v/>
      </c>
      <c r="DG194" s="30" t="str">
        <f t="shared" si="3016"/>
        <v/>
      </c>
      <c r="DH194" s="30" t="str">
        <f t="shared" si="3017"/>
        <v/>
      </c>
      <c r="DI194" s="30" t="str">
        <f t="shared" si="3018"/>
        <v/>
      </c>
      <c r="DJ194" s="30" t="str">
        <f t="shared" si="3019"/>
        <v/>
      </c>
      <c r="DK194" s="30" t="str">
        <f t="shared" si="3020"/>
        <v/>
      </c>
      <c r="DL194" s="30" t="str">
        <f t="shared" si="3021"/>
        <v/>
      </c>
      <c r="DM194" s="30" t="str">
        <f t="shared" si="3022"/>
        <v/>
      </c>
      <c r="DN194" s="30" t="str">
        <f t="shared" si="3023"/>
        <v/>
      </c>
      <c r="DO194" s="30" t="str">
        <f t="shared" si="3024"/>
        <v/>
      </c>
      <c r="DP194" s="30" t="str">
        <f t="shared" si="3025"/>
        <v/>
      </c>
      <c r="DQ194" s="30" t="str">
        <f t="shared" si="3026"/>
        <v/>
      </c>
      <c r="DR194" s="30" t="str">
        <f t="shared" si="3027"/>
        <v/>
      </c>
      <c r="DS194" s="30" t="str">
        <f t="shared" si="3028"/>
        <v/>
      </c>
      <c r="DT194" s="30" t="str">
        <f t="shared" si="3029"/>
        <v/>
      </c>
      <c r="DU194" s="30" t="str">
        <f t="shared" si="3030"/>
        <v/>
      </c>
      <c r="DV194" s="30" t="str">
        <f t="shared" si="3031"/>
        <v/>
      </c>
      <c r="DW194" s="30" t="str">
        <f t="shared" si="3032"/>
        <v/>
      </c>
      <c r="DX194" s="30" t="str">
        <f t="shared" si="3033"/>
        <v/>
      </c>
      <c r="DY194" s="30" t="str">
        <f t="shared" si="3034"/>
        <v/>
      </c>
      <c r="DZ194" s="30" t="str">
        <f t="shared" si="3035"/>
        <v/>
      </c>
      <c r="EA194" s="30" t="str">
        <f t="shared" si="3036"/>
        <v/>
      </c>
      <c r="EB194" s="30" t="str">
        <f t="shared" si="3037"/>
        <v/>
      </c>
      <c r="EC194" s="30" t="str">
        <f t="shared" si="3038"/>
        <v/>
      </c>
      <c r="ED194" s="30" t="str">
        <f t="shared" si="3039"/>
        <v/>
      </c>
      <c r="EE194" s="30" t="str">
        <f t="shared" si="3040"/>
        <v/>
      </c>
      <c r="EF194" s="30" t="str">
        <f t="shared" si="3041"/>
        <v/>
      </c>
      <c r="EG194" s="30" t="str">
        <f t="shared" si="3042"/>
        <v/>
      </c>
      <c r="EH194" s="30" t="str">
        <f t="shared" si="3043"/>
        <v/>
      </c>
      <c r="EI194" s="30" t="str">
        <f t="shared" si="3044"/>
        <v/>
      </c>
      <c r="EJ194" s="30" t="str">
        <f t="shared" si="3045"/>
        <v/>
      </c>
      <c r="EK194" s="30" t="str">
        <f t="shared" si="3046"/>
        <v/>
      </c>
      <c r="EL194" s="30" t="str">
        <f t="shared" si="3047"/>
        <v/>
      </c>
      <c r="EM194" s="30" t="str">
        <f t="shared" si="3048"/>
        <v/>
      </c>
      <c r="EN194" s="30" t="str">
        <f t="shared" si="3049"/>
        <v/>
      </c>
      <c r="EO194" s="30" t="str">
        <f t="shared" si="3050"/>
        <v/>
      </c>
      <c r="EP194" s="30" t="str">
        <f t="shared" si="3051"/>
        <v/>
      </c>
      <c r="EQ194" s="30" t="str">
        <f t="shared" si="3052"/>
        <v/>
      </c>
      <c r="ER194" s="30" t="str">
        <f t="shared" si="3053"/>
        <v/>
      </c>
      <c r="ES194" s="30" t="str">
        <f t="shared" si="3054"/>
        <v/>
      </c>
      <c r="ET194" s="30" t="str">
        <f t="shared" si="3055"/>
        <v/>
      </c>
      <c r="EU194" s="30" t="str">
        <f t="shared" si="3056"/>
        <v/>
      </c>
      <c r="EV194" s="30" t="str">
        <f t="shared" si="3057"/>
        <v/>
      </c>
      <c r="EW194" s="30" t="str">
        <f t="shared" si="3058"/>
        <v/>
      </c>
      <c r="EX194" s="30" t="str">
        <f t="shared" si="3059"/>
        <v/>
      </c>
      <c r="EY194" s="30" t="str">
        <f t="shared" si="3060"/>
        <v/>
      </c>
      <c r="EZ194" s="30" t="str">
        <f t="shared" si="3061"/>
        <v/>
      </c>
      <c r="FA194" s="30" t="str">
        <f t="shared" si="3062"/>
        <v/>
      </c>
      <c r="FB194" s="30" t="str">
        <f t="shared" si="3063"/>
        <v/>
      </c>
      <c r="FC194" s="30" t="str">
        <f t="shared" si="3064"/>
        <v/>
      </c>
      <c r="FD194" s="30" t="str">
        <f t="shared" si="3065"/>
        <v/>
      </c>
      <c r="FE194" s="30" t="str">
        <f t="shared" si="3066"/>
        <v/>
      </c>
      <c r="FF194" s="30" t="str">
        <f t="shared" si="3067"/>
        <v/>
      </c>
      <c r="FG194" s="30" t="str">
        <f t="shared" si="3068"/>
        <v/>
      </c>
      <c r="FH194" s="30" t="str">
        <f t="shared" si="3069"/>
        <v/>
      </c>
      <c r="FI194" s="30" t="str">
        <f t="shared" si="3070"/>
        <v/>
      </c>
      <c r="FJ194" s="30" t="str">
        <f t="shared" si="3071"/>
        <v/>
      </c>
      <c r="FK194" s="30" t="str">
        <f t="shared" si="3072"/>
        <v/>
      </c>
      <c r="FL194" s="30" t="str">
        <f t="shared" si="3073"/>
        <v/>
      </c>
      <c r="FM194" s="30" t="str">
        <f t="shared" si="3074"/>
        <v/>
      </c>
      <c r="FN194" s="30" t="str">
        <f t="shared" si="3075"/>
        <v/>
      </c>
      <c r="FO194" s="30" t="str">
        <f t="shared" si="3076"/>
        <v/>
      </c>
      <c r="FP194" s="30" t="str">
        <f t="shared" si="3077"/>
        <v/>
      </c>
      <c r="FQ194" s="30" t="str">
        <f t="shared" si="3078"/>
        <v/>
      </c>
      <c r="FR194" s="30" t="str">
        <f t="shared" si="3079"/>
        <v/>
      </c>
      <c r="FS194" s="30" t="str">
        <f t="shared" si="3080"/>
        <v/>
      </c>
    </row>
    <row r="195" spans="1:175" ht="16.5">
      <c r="A195" s="88"/>
      <c r="B195" s="66" t="s">
        <v>555</v>
      </c>
      <c r="C195" s="29" t="s">
        <v>224</v>
      </c>
      <c r="T195" s="107"/>
      <c r="U195" s="32"/>
      <c r="CN195" s="7" t="str">
        <f t="shared" si="3005"/>
        <v>InitUnitState('IF12',,,,,,,,,,)</v>
      </c>
      <c r="CO195" s="7" t="str">
        <f t="shared" si="3006"/>
        <v>InitUnitNormal('IF12',,,,,,,,,,)</v>
      </c>
      <c r="CP195" s="7" t="str">
        <f t="shared" si="3007"/>
        <v>InitUnitMagic('IF12',,,,,,,,,,)</v>
      </c>
      <c r="CQ195" s="7" t="str">
        <f t="shared" si="3008"/>
        <v>InitUnitAdd('IF12',,,,,,,,,,)</v>
      </c>
      <c r="CR195" s="7" t="str">
        <f t="shared" si="3009"/>
        <v>InitEquipData('IF12',,"",,,,,'','','','','','',"")</v>
      </c>
      <c r="CU195" s="45" t="str">
        <f t="shared" si="3010"/>
        <v>|n</v>
      </c>
      <c r="CW195" s="24"/>
      <c r="CX195" s="24"/>
      <c r="CY195" s="24"/>
      <c r="CZ195" s="24"/>
      <c r="DA195" s="24"/>
      <c r="DB195" s="30" t="str">
        <f t="shared" si="3011"/>
        <v/>
      </c>
      <c r="DC195" s="30" t="str">
        <f t="shared" si="3012"/>
        <v/>
      </c>
      <c r="DD195" s="30" t="str">
        <f t="shared" si="3013"/>
        <v/>
      </c>
      <c r="DE195" s="30" t="str">
        <f t="shared" si="3014"/>
        <v/>
      </c>
      <c r="DF195" s="30" t="str">
        <f t="shared" si="3015"/>
        <v/>
      </c>
      <c r="DG195" s="30" t="str">
        <f t="shared" si="3016"/>
        <v/>
      </c>
      <c r="DH195" s="30" t="str">
        <f t="shared" si="3017"/>
        <v/>
      </c>
      <c r="DI195" s="30" t="str">
        <f t="shared" si="3018"/>
        <v/>
      </c>
      <c r="DJ195" s="30" t="str">
        <f t="shared" si="3019"/>
        <v/>
      </c>
      <c r="DK195" s="30" t="str">
        <f t="shared" si="3020"/>
        <v/>
      </c>
      <c r="DL195" s="30" t="str">
        <f t="shared" si="3021"/>
        <v/>
      </c>
      <c r="DM195" s="30" t="str">
        <f t="shared" si="3022"/>
        <v/>
      </c>
      <c r="DN195" s="30" t="str">
        <f t="shared" si="3023"/>
        <v/>
      </c>
      <c r="DO195" s="30" t="str">
        <f t="shared" si="3024"/>
        <v/>
      </c>
      <c r="DP195" s="30" t="str">
        <f t="shared" si="3025"/>
        <v/>
      </c>
      <c r="DQ195" s="30" t="str">
        <f t="shared" si="3026"/>
        <v/>
      </c>
      <c r="DR195" s="30" t="str">
        <f t="shared" si="3027"/>
        <v/>
      </c>
      <c r="DS195" s="30" t="str">
        <f t="shared" si="3028"/>
        <v/>
      </c>
      <c r="DT195" s="30" t="str">
        <f t="shared" si="3029"/>
        <v/>
      </c>
      <c r="DU195" s="30" t="str">
        <f t="shared" si="3030"/>
        <v/>
      </c>
      <c r="DV195" s="30" t="str">
        <f t="shared" si="3031"/>
        <v/>
      </c>
      <c r="DW195" s="30" t="str">
        <f t="shared" si="3032"/>
        <v/>
      </c>
      <c r="DX195" s="30" t="str">
        <f t="shared" si="3033"/>
        <v/>
      </c>
      <c r="DY195" s="30" t="str">
        <f t="shared" si="3034"/>
        <v/>
      </c>
      <c r="DZ195" s="30" t="str">
        <f t="shared" si="3035"/>
        <v/>
      </c>
      <c r="EA195" s="30" t="str">
        <f t="shared" si="3036"/>
        <v/>
      </c>
      <c r="EB195" s="30" t="str">
        <f t="shared" si="3037"/>
        <v/>
      </c>
      <c r="EC195" s="30" t="str">
        <f t="shared" si="3038"/>
        <v/>
      </c>
      <c r="ED195" s="30" t="str">
        <f t="shared" si="3039"/>
        <v/>
      </c>
      <c r="EE195" s="30" t="str">
        <f t="shared" si="3040"/>
        <v/>
      </c>
      <c r="EF195" s="30" t="str">
        <f t="shared" si="3041"/>
        <v/>
      </c>
      <c r="EG195" s="30" t="str">
        <f t="shared" si="3042"/>
        <v/>
      </c>
      <c r="EH195" s="30" t="str">
        <f t="shared" si="3043"/>
        <v/>
      </c>
      <c r="EI195" s="30" t="str">
        <f t="shared" si="3044"/>
        <v/>
      </c>
      <c r="EJ195" s="30" t="str">
        <f t="shared" si="3045"/>
        <v/>
      </c>
      <c r="EK195" s="30" t="str">
        <f t="shared" si="3046"/>
        <v/>
      </c>
      <c r="EL195" s="30" t="str">
        <f t="shared" si="3047"/>
        <v/>
      </c>
      <c r="EM195" s="30" t="str">
        <f t="shared" si="3048"/>
        <v/>
      </c>
      <c r="EN195" s="30" t="str">
        <f t="shared" si="3049"/>
        <v/>
      </c>
      <c r="EO195" s="30" t="str">
        <f t="shared" si="3050"/>
        <v/>
      </c>
      <c r="EP195" s="30" t="str">
        <f t="shared" si="3051"/>
        <v/>
      </c>
      <c r="EQ195" s="30" t="str">
        <f t="shared" si="3052"/>
        <v/>
      </c>
      <c r="ER195" s="30" t="str">
        <f t="shared" si="3053"/>
        <v/>
      </c>
      <c r="ES195" s="30" t="str">
        <f t="shared" si="3054"/>
        <v/>
      </c>
      <c r="ET195" s="30" t="str">
        <f t="shared" si="3055"/>
        <v/>
      </c>
      <c r="EU195" s="30" t="str">
        <f t="shared" si="3056"/>
        <v/>
      </c>
      <c r="EV195" s="30" t="str">
        <f t="shared" si="3057"/>
        <v/>
      </c>
      <c r="EW195" s="30" t="str">
        <f t="shared" si="3058"/>
        <v/>
      </c>
      <c r="EX195" s="30" t="str">
        <f t="shared" si="3059"/>
        <v/>
      </c>
      <c r="EY195" s="30" t="str">
        <f t="shared" si="3060"/>
        <v/>
      </c>
      <c r="EZ195" s="30" t="str">
        <f t="shared" si="3061"/>
        <v/>
      </c>
      <c r="FA195" s="30" t="str">
        <f t="shared" si="3062"/>
        <v/>
      </c>
      <c r="FB195" s="30" t="str">
        <f t="shared" si="3063"/>
        <v/>
      </c>
      <c r="FC195" s="30" t="str">
        <f t="shared" si="3064"/>
        <v/>
      </c>
      <c r="FD195" s="30" t="str">
        <f t="shared" si="3065"/>
        <v/>
      </c>
      <c r="FE195" s="30" t="str">
        <f t="shared" si="3066"/>
        <v/>
      </c>
      <c r="FF195" s="30" t="str">
        <f t="shared" si="3067"/>
        <v/>
      </c>
      <c r="FG195" s="30" t="str">
        <f t="shared" si="3068"/>
        <v/>
      </c>
      <c r="FH195" s="30" t="str">
        <f t="shared" si="3069"/>
        <v/>
      </c>
      <c r="FI195" s="30" t="str">
        <f t="shared" si="3070"/>
        <v/>
      </c>
      <c r="FJ195" s="30" t="str">
        <f t="shared" si="3071"/>
        <v/>
      </c>
      <c r="FK195" s="30" t="str">
        <f t="shared" si="3072"/>
        <v/>
      </c>
      <c r="FL195" s="30" t="str">
        <f t="shared" si="3073"/>
        <v/>
      </c>
      <c r="FM195" s="30" t="str">
        <f t="shared" si="3074"/>
        <v/>
      </c>
      <c r="FN195" s="30" t="str">
        <f t="shared" si="3075"/>
        <v/>
      </c>
      <c r="FO195" s="30" t="str">
        <f t="shared" si="3076"/>
        <v/>
      </c>
      <c r="FP195" s="30" t="str">
        <f t="shared" si="3077"/>
        <v/>
      </c>
      <c r="FQ195" s="30" t="str">
        <f t="shared" si="3078"/>
        <v/>
      </c>
      <c r="FR195" s="30" t="str">
        <f t="shared" si="3079"/>
        <v/>
      </c>
      <c r="FS195" s="30" t="str">
        <f t="shared" si="3080"/>
        <v/>
      </c>
    </row>
    <row r="196" spans="1:175" ht="16.5">
      <c r="A196" s="88"/>
      <c r="B196" s="66" t="s">
        <v>556</v>
      </c>
      <c r="C196" s="29" t="s">
        <v>540</v>
      </c>
      <c r="T196" s="107"/>
      <c r="U196" s="32"/>
      <c r="CN196" s="7" t="str">
        <f t="shared" si="3005"/>
        <v>InitUnitState('IF13',,,,,,,,,,)</v>
      </c>
      <c r="CO196" s="7" t="str">
        <f t="shared" si="3006"/>
        <v>InitUnitNormal('IF13',,,,,,,,,,)</v>
      </c>
      <c r="CP196" s="7" t="str">
        <f t="shared" si="3007"/>
        <v>InitUnitMagic('IF13',,,,,,,,,,)</v>
      </c>
      <c r="CQ196" s="7" t="str">
        <f t="shared" si="3008"/>
        <v>InitUnitAdd('IF13',,,,,,,,,,)</v>
      </c>
      <c r="CR196" s="7" t="str">
        <f t="shared" si="3009"/>
        <v>InitEquipData('IF13',,"",,,,,'','','','','','',"")</v>
      </c>
      <c r="CU196" s="45" t="str">
        <f t="shared" si="3010"/>
        <v>|n</v>
      </c>
      <c r="CW196" s="24"/>
      <c r="CX196" s="24"/>
      <c r="CY196" s="24"/>
      <c r="CZ196" s="24"/>
      <c r="DA196" s="24"/>
      <c r="DB196" s="30" t="str">
        <f t="shared" si="3011"/>
        <v/>
      </c>
      <c r="DC196" s="30" t="str">
        <f t="shared" si="3012"/>
        <v/>
      </c>
      <c r="DD196" s="30" t="str">
        <f t="shared" si="3013"/>
        <v/>
      </c>
      <c r="DE196" s="30" t="str">
        <f t="shared" si="3014"/>
        <v/>
      </c>
      <c r="DF196" s="30" t="str">
        <f t="shared" si="3015"/>
        <v/>
      </c>
      <c r="DG196" s="30" t="str">
        <f t="shared" si="3016"/>
        <v/>
      </c>
      <c r="DH196" s="30" t="str">
        <f t="shared" si="3017"/>
        <v/>
      </c>
      <c r="DI196" s="30" t="str">
        <f t="shared" si="3018"/>
        <v/>
      </c>
      <c r="DJ196" s="30" t="str">
        <f t="shared" si="3019"/>
        <v/>
      </c>
      <c r="DK196" s="30" t="str">
        <f t="shared" si="3020"/>
        <v/>
      </c>
      <c r="DL196" s="30" t="str">
        <f t="shared" si="3021"/>
        <v/>
      </c>
      <c r="DM196" s="30" t="str">
        <f t="shared" si="3022"/>
        <v/>
      </c>
      <c r="DN196" s="30" t="str">
        <f t="shared" si="3023"/>
        <v/>
      </c>
      <c r="DO196" s="30" t="str">
        <f t="shared" si="3024"/>
        <v/>
      </c>
      <c r="DP196" s="30" t="str">
        <f t="shared" si="3025"/>
        <v/>
      </c>
      <c r="DQ196" s="30" t="str">
        <f t="shared" si="3026"/>
        <v/>
      </c>
      <c r="DR196" s="30" t="str">
        <f t="shared" si="3027"/>
        <v/>
      </c>
      <c r="DS196" s="30" t="str">
        <f t="shared" si="3028"/>
        <v/>
      </c>
      <c r="DT196" s="30" t="str">
        <f t="shared" si="3029"/>
        <v/>
      </c>
      <c r="DU196" s="30" t="str">
        <f t="shared" si="3030"/>
        <v/>
      </c>
      <c r="DV196" s="30" t="str">
        <f t="shared" si="3031"/>
        <v/>
      </c>
      <c r="DW196" s="30" t="str">
        <f t="shared" si="3032"/>
        <v/>
      </c>
      <c r="DX196" s="30" t="str">
        <f t="shared" si="3033"/>
        <v/>
      </c>
      <c r="DY196" s="30" t="str">
        <f t="shared" si="3034"/>
        <v/>
      </c>
      <c r="DZ196" s="30" t="str">
        <f t="shared" si="3035"/>
        <v/>
      </c>
      <c r="EA196" s="30" t="str">
        <f t="shared" si="3036"/>
        <v/>
      </c>
      <c r="EB196" s="30" t="str">
        <f t="shared" si="3037"/>
        <v/>
      </c>
      <c r="EC196" s="30" t="str">
        <f t="shared" si="3038"/>
        <v/>
      </c>
      <c r="ED196" s="30" t="str">
        <f t="shared" si="3039"/>
        <v/>
      </c>
      <c r="EE196" s="30" t="str">
        <f t="shared" si="3040"/>
        <v/>
      </c>
      <c r="EF196" s="30" t="str">
        <f t="shared" si="3041"/>
        <v/>
      </c>
      <c r="EG196" s="30" t="str">
        <f t="shared" si="3042"/>
        <v/>
      </c>
      <c r="EH196" s="30" t="str">
        <f t="shared" si="3043"/>
        <v/>
      </c>
      <c r="EI196" s="30" t="str">
        <f t="shared" si="3044"/>
        <v/>
      </c>
      <c r="EJ196" s="30" t="str">
        <f t="shared" si="3045"/>
        <v/>
      </c>
      <c r="EK196" s="30" t="str">
        <f t="shared" si="3046"/>
        <v/>
      </c>
      <c r="EL196" s="30" t="str">
        <f t="shared" si="3047"/>
        <v/>
      </c>
      <c r="EM196" s="30" t="str">
        <f t="shared" si="3048"/>
        <v/>
      </c>
      <c r="EN196" s="30" t="str">
        <f t="shared" si="3049"/>
        <v/>
      </c>
      <c r="EO196" s="30" t="str">
        <f t="shared" si="3050"/>
        <v/>
      </c>
      <c r="EP196" s="30" t="str">
        <f t="shared" si="3051"/>
        <v/>
      </c>
      <c r="EQ196" s="30" t="str">
        <f t="shared" si="3052"/>
        <v/>
      </c>
      <c r="ER196" s="30" t="str">
        <f t="shared" si="3053"/>
        <v/>
      </c>
      <c r="ES196" s="30" t="str">
        <f t="shared" si="3054"/>
        <v/>
      </c>
      <c r="ET196" s="30" t="str">
        <f t="shared" si="3055"/>
        <v/>
      </c>
      <c r="EU196" s="30" t="str">
        <f t="shared" si="3056"/>
        <v/>
      </c>
      <c r="EV196" s="30" t="str">
        <f t="shared" si="3057"/>
        <v/>
      </c>
      <c r="EW196" s="30" t="str">
        <f t="shared" si="3058"/>
        <v/>
      </c>
      <c r="EX196" s="30" t="str">
        <f t="shared" si="3059"/>
        <v/>
      </c>
      <c r="EY196" s="30" t="str">
        <f t="shared" si="3060"/>
        <v/>
      </c>
      <c r="EZ196" s="30" t="str">
        <f t="shared" si="3061"/>
        <v/>
      </c>
      <c r="FA196" s="30" t="str">
        <f t="shared" si="3062"/>
        <v/>
      </c>
      <c r="FB196" s="30" t="str">
        <f t="shared" si="3063"/>
        <v/>
      </c>
      <c r="FC196" s="30" t="str">
        <f t="shared" si="3064"/>
        <v/>
      </c>
      <c r="FD196" s="30" t="str">
        <f t="shared" si="3065"/>
        <v/>
      </c>
      <c r="FE196" s="30" t="str">
        <f t="shared" si="3066"/>
        <v/>
      </c>
      <c r="FF196" s="30" t="str">
        <f t="shared" si="3067"/>
        <v/>
      </c>
      <c r="FG196" s="30" t="str">
        <f t="shared" si="3068"/>
        <v/>
      </c>
      <c r="FH196" s="30" t="str">
        <f t="shared" si="3069"/>
        <v/>
      </c>
      <c r="FI196" s="30" t="str">
        <f t="shared" si="3070"/>
        <v/>
      </c>
      <c r="FJ196" s="30" t="str">
        <f t="shared" si="3071"/>
        <v/>
      </c>
      <c r="FK196" s="30" t="str">
        <f t="shared" si="3072"/>
        <v/>
      </c>
      <c r="FL196" s="30" t="str">
        <f t="shared" si="3073"/>
        <v/>
      </c>
      <c r="FM196" s="30" t="str">
        <f t="shared" si="3074"/>
        <v/>
      </c>
      <c r="FN196" s="30" t="str">
        <f t="shared" si="3075"/>
        <v/>
      </c>
      <c r="FO196" s="30" t="str">
        <f t="shared" si="3076"/>
        <v/>
      </c>
      <c r="FP196" s="30" t="str">
        <f t="shared" si="3077"/>
        <v/>
      </c>
      <c r="FQ196" s="30" t="str">
        <f t="shared" si="3078"/>
        <v/>
      </c>
      <c r="FR196" s="30" t="str">
        <f t="shared" si="3079"/>
        <v/>
      </c>
      <c r="FS196" s="30" t="str">
        <f t="shared" si="3080"/>
        <v/>
      </c>
    </row>
    <row r="197" spans="1:175" ht="16.5">
      <c r="A197" s="88"/>
      <c r="B197" s="66" t="s">
        <v>557</v>
      </c>
      <c r="C197" s="29" t="s">
        <v>540</v>
      </c>
      <c r="T197" s="107"/>
      <c r="U197" s="32"/>
      <c r="CN197" s="7" t="str">
        <f t="shared" si="3005"/>
        <v>InitUnitState('IF14',,,,,,,,,,)</v>
      </c>
      <c r="CO197" s="7" t="str">
        <f t="shared" si="3006"/>
        <v>InitUnitNormal('IF14',,,,,,,,,,)</v>
      </c>
      <c r="CP197" s="7" t="str">
        <f t="shared" si="3007"/>
        <v>InitUnitMagic('IF14',,,,,,,,,,)</v>
      </c>
      <c r="CQ197" s="7" t="str">
        <f t="shared" si="3008"/>
        <v>InitUnitAdd('IF14',,,,,,,,,,)</v>
      </c>
      <c r="CR197" s="7" t="str">
        <f t="shared" si="3009"/>
        <v>InitEquipData('IF14',,"",,,,,'','','','','','',"")</v>
      </c>
      <c r="CU197" s="45" t="str">
        <f t="shared" si="3010"/>
        <v>|n</v>
      </c>
      <c r="CW197" s="24"/>
      <c r="CX197" s="24"/>
      <c r="CY197" s="24"/>
      <c r="CZ197" s="24"/>
      <c r="DA197" s="24"/>
      <c r="DB197" s="30" t="str">
        <f t="shared" si="3011"/>
        <v/>
      </c>
      <c r="DC197" s="30" t="str">
        <f t="shared" si="3012"/>
        <v/>
      </c>
      <c r="DD197" s="30" t="str">
        <f t="shared" si="3013"/>
        <v/>
      </c>
      <c r="DE197" s="30" t="str">
        <f t="shared" si="3014"/>
        <v/>
      </c>
      <c r="DF197" s="30" t="str">
        <f t="shared" si="3015"/>
        <v/>
      </c>
      <c r="DG197" s="30" t="str">
        <f t="shared" si="3016"/>
        <v/>
      </c>
      <c r="DH197" s="30" t="str">
        <f t="shared" si="3017"/>
        <v/>
      </c>
      <c r="DI197" s="30" t="str">
        <f t="shared" si="3018"/>
        <v/>
      </c>
      <c r="DJ197" s="30" t="str">
        <f t="shared" si="3019"/>
        <v/>
      </c>
      <c r="DK197" s="30" t="str">
        <f t="shared" si="3020"/>
        <v/>
      </c>
      <c r="DL197" s="30" t="str">
        <f t="shared" si="3021"/>
        <v/>
      </c>
      <c r="DM197" s="30" t="str">
        <f t="shared" si="3022"/>
        <v/>
      </c>
      <c r="DN197" s="30" t="str">
        <f t="shared" si="3023"/>
        <v/>
      </c>
      <c r="DO197" s="30" t="str">
        <f t="shared" si="3024"/>
        <v/>
      </c>
      <c r="DP197" s="30" t="str">
        <f t="shared" si="3025"/>
        <v/>
      </c>
      <c r="DQ197" s="30" t="str">
        <f t="shared" si="3026"/>
        <v/>
      </c>
      <c r="DR197" s="30" t="str">
        <f t="shared" si="3027"/>
        <v/>
      </c>
      <c r="DS197" s="30" t="str">
        <f t="shared" si="3028"/>
        <v/>
      </c>
      <c r="DT197" s="30" t="str">
        <f t="shared" si="3029"/>
        <v/>
      </c>
      <c r="DU197" s="30" t="str">
        <f t="shared" si="3030"/>
        <v/>
      </c>
      <c r="DV197" s="30" t="str">
        <f t="shared" si="3031"/>
        <v/>
      </c>
      <c r="DW197" s="30" t="str">
        <f t="shared" si="3032"/>
        <v/>
      </c>
      <c r="DX197" s="30" t="str">
        <f t="shared" si="3033"/>
        <v/>
      </c>
      <c r="DY197" s="30" t="str">
        <f t="shared" si="3034"/>
        <v/>
      </c>
      <c r="DZ197" s="30" t="str">
        <f t="shared" si="3035"/>
        <v/>
      </c>
      <c r="EA197" s="30" t="str">
        <f t="shared" si="3036"/>
        <v/>
      </c>
      <c r="EB197" s="30" t="str">
        <f t="shared" si="3037"/>
        <v/>
      </c>
      <c r="EC197" s="30" t="str">
        <f t="shared" si="3038"/>
        <v/>
      </c>
      <c r="ED197" s="30" t="str">
        <f t="shared" si="3039"/>
        <v/>
      </c>
      <c r="EE197" s="30" t="str">
        <f t="shared" si="3040"/>
        <v/>
      </c>
      <c r="EF197" s="30" t="str">
        <f t="shared" si="3041"/>
        <v/>
      </c>
      <c r="EG197" s="30" t="str">
        <f t="shared" si="3042"/>
        <v/>
      </c>
      <c r="EH197" s="30" t="str">
        <f t="shared" si="3043"/>
        <v/>
      </c>
      <c r="EI197" s="30" t="str">
        <f t="shared" si="3044"/>
        <v/>
      </c>
      <c r="EJ197" s="30" t="str">
        <f t="shared" si="3045"/>
        <v/>
      </c>
      <c r="EK197" s="30" t="str">
        <f t="shared" si="3046"/>
        <v/>
      </c>
      <c r="EL197" s="30" t="str">
        <f t="shared" si="3047"/>
        <v/>
      </c>
      <c r="EM197" s="30" t="str">
        <f t="shared" si="3048"/>
        <v/>
      </c>
      <c r="EN197" s="30" t="str">
        <f t="shared" si="3049"/>
        <v/>
      </c>
      <c r="EO197" s="30" t="str">
        <f t="shared" si="3050"/>
        <v/>
      </c>
      <c r="EP197" s="30" t="str">
        <f t="shared" si="3051"/>
        <v/>
      </c>
      <c r="EQ197" s="30" t="str">
        <f t="shared" si="3052"/>
        <v/>
      </c>
      <c r="ER197" s="30" t="str">
        <f t="shared" si="3053"/>
        <v/>
      </c>
      <c r="ES197" s="30" t="str">
        <f t="shared" si="3054"/>
        <v/>
      </c>
      <c r="ET197" s="30" t="str">
        <f t="shared" si="3055"/>
        <v/>
      </c>
      <c r="EU197" s="30" t="str">
        <f t="shared" si="3056"/>
        <v/>
      </c>
      <c r="EV197" s="30" t="str">
        <f t="shared" si="3057"/>
        <v/>
      </c>
      <c r="EW197" s="30" t="str">
        <f t="shared" si="3058"/>
        <v/>
      </c>
      <c r="EX197" s="30" t="str">
        <f t="shared" si="3059"/>
        <v/>
      </c>
      <c r="EY197" s="30" t="str">
        <f t="shared" si="3060"/>
        <v/>
      </c>
      <c r="EZ197" s="30" t="str">
        <f t="shared" si="3061"/>
        <v/>
      </c>
      <c r="FA197" s="30" t="str">
        <f t="shared" si="3062"/>
        <v/>
      </c>
      <c r="FB197" s="30" t="str">
        <f t="shared" si="3063"/>
        <v/>
      </c>
      <c r="FC197" s="30" t="str">
        <f t="shared" si="3064"/>
        <v/>
      </c>
      <c r="FD197" s="30" t="str">
        <f t="shared" si="3065"/>
        <v/>
      </c>
      <c r="FE197" s="30" t="str">
        <f t="shared" si="3066"/>
        <v/>
      </c>
      <c r="FF197" s="30" t="str">
        <f t="shared" si="3067"/>
        <v/>
      </c>
      <c r="FG197" s="30" t="str">
        <f t="shared" si="3068"/>
        <v/>
      </c>
      <c r="FH197" s="30" t="str">
        <f t="shared" si="3069"/>
        <v/>
      </c>
      <c r="FI197" s="30" t="str">
        <f t="shared" si="3070"/>
        <v/>
      </c>
      <c r="FJ197" s="30" t="str">
        <f t="shared" si="3071"/>
        <v/>
      </c>
      <c r="FK197" s="30" t="str">
        <f t="shared" si="3072"/>
        <v/>
      </c>
      <c r="FL197" s="30" t="str">
        <f t="shared" si="3073"/>
        <v/>
      </c>
      <c r="FM197" s="30" t="str">
        <f t="shared" si="3074"/>
        <v/>
      </c>
      <c r="FN197" s="30" t="str">
        <f t="shared" si="3075"/>
        <v/>
      </c>
      <c r="FO197" s="30" t="str">
        <f t="shared" si="3076"/>
        <v/>
      </c>
      <c r="FP197" s="30" t="str">
        <f t="shared" si="3077"/>
        <v/>
      </c>
      <c r="FQ197" s="30" t="str">
        <f t="shared" si="3078"/>
        <v/>
      </c>
      <c r="FR197" s="30" t="str">
        <f t="shared" si="3079"/>
        <v/>
      </c>
      <c r="FS197" s="30" t="str">
        <f t="shared" si="3080"/>
        <v/>
      </c>
    </row>
    <row r="198" spans="1:175" ht="16.5">
      <c r="A198" s="88"/>
      <c r="B198" s="66" t="s">
        <v>558</v>
      </c>
      <c r="C198" s="29" t="s">
        <v>540</v>
      </c>
      <c r="T198" s="107"/>
      <c r="U198" s="32"/>
      <c r="CN198" s="7" t="str">
        <f t="shared" si="3005"/>
        <v>InitUnitState('IF15',,,,,,,,,,)</v>
      </c>
      <c r="CO198" s="7" t="str">
        <f t="shared" si="3006"/>
        <v>InitUnitNormal('IF15',,,,,,,,,,)</v>
      </c>
      <c r="CP198" s="7" t="str">
        <f t="shared" si="3007"/>
        <v>InitUnitMagic('IF15',,,,,,,,,,)</v>
      </c>
      <c r="CQ198" s="7" t="str">
        <f t="shared" si="3008"/>
        <v>InitUnitAdd('IF15',,,,,,,,,,)</v>
      </c>
      <c r="CR198" s="7" t="str">
        <f t="shared" si="3009"/>
        <v>InitEquipData('IF15',,"",,,,,'','','','','','',"")</v>
      </c>
      <c r="CU198" s="45" t="str">
        <f t="shared" si="3010"/>
        <v>|n</v>
      </c>
      <c r="CW198" s="24"/>
      <c r="CX198" s="24"/>
      <c r="CY198" s="24"/>
      <c r="CZ198" s="24"/>
      <c r="DA198" s="24"/>
      <c r="DB198" s="30" t="str">
        <f t="shared" si="3011"/>
        <v/>
      </c>
      <c r="DC198" s="30" t="str">
        <f t="shared" si="3012"/>
        <v/>
      </c>
      <c r="DD198" s="30" t="str">
        <f t="shared" si="3013"/>
        <v/>
      </c>
      <c r="DE198" s="30" t="str">
        <f t="shared" si="3014"/>
        <v/>
      </c>
      <c r="DF198" s="30" t="str">
        <f t="shared" si="3015"/>
        <v/>
      </c>
      <c r="DG198" s="30" t="str">
        <f t="shared" si="3016"/>
        <v/>
      </c>
      <c r="DH198" s="30" t="str">
        <f t="shared" si="3017"/>
        <v/>
      </c>
      <c r="DI198" s="30" t="str">
        <f t="shared" si="3018"/>
        <v/>
      </c>
      <c r="DJ198" s="30" t="str">
        <f t="shared" si="3019"/>
        <v/>
      </c>
      <c r="DK198" s="30" t="str">
        <f t="shared" si="3020"/>
        <v/>
      </c>
      <c r="DL198" s="30" t="str">
        <f t="shared" si="3021"/>
        <v/>
      </c>
      <c r="DM198" s="30" t="str">
        <f t="shared" si="3022"/>
        <v/>
      </c>
      <c r="DN198" s="30" t="str">
        <f t="shared" si="3023"/>
        <v/>
      </c>
      <c r="DO198" s="30" t="str">
        <f t="shared" si="3024"/>
        <v/>
      </c>
      <c r="DP198" s="30" t="str">
        <f t="shared" si="3025"/>
        <v/>
      </c>
      <c r="DQ198" s="30" t="str">
        <f t="shared" si="3026"/>
        <v/>
      </c>
      <c r="DR198" s="30" t="str">
        <f t="shared" si="3027"/>
        <v/>
      </c>
      <c r="DS198" s="30" t="str">
        <f t="shared" si="3028"/>
        <v/>
      </c>
      <c r="DT198" s="30" t="str">
        <f t="shared" si="3029"/>
        <v/>
      </c>
      <c r="DU198" s="30" t="str">
        <f t="shared" si="3030"/>
        <v/>
      </c>
      <c r="DV198" s="30" t="str">
        <f t="shared" si="3031"/>
        <v/>
      </c>
      <c r="DW198" s="30" t="str">
        <f t="shared" si="3032"/>
        <v/>
      </c>
      <c r="DX198" s="30" t="str">
        <f t="shared" si="3033"/>
        <v/>
      </c>
      <c r="DY198" s="30" t="str">
        <f t="shared" si="3034"/>
        <v/>
      </c>
      <c r="DZ198" s="30" t="str">
        <f t="shared" si="3035"/>
        <v/>
      </c>
      <c r="EA198" s="30" t="str">
        <f t="shared" si="3036"/>
        <v/>
      </c>
      <c r="EB198" s="30" t="str">
        <f t="shared" si="3037"/>
        <v/>
      </c>
      <c r="EC198" s="30" t="str">
        <f t="shared" si="3038"/>
        <v/>
      </c>
      <c r="ED198" s="30" t="str">
        <f t="shared" si="3039"/>
        <v/>
      </c>
      <c r="EE198" s="30" t="str">
        <f t="shared" si="3040"/>
        <v/>
      </c>
      <c r="EF198" s="30" t="str">
        <f t="shared" si="3041"/>
        <v/>
      </c>
      <c r="EG198" s="30" t="str">
        <f t="shared" si="3042"/>
        <v/>
      </c>
      <c r="EH198" s="30" t="str">
        <f t="shared" si="3043"/>
        <v/>
      </c>
      <c r="EI198" s="30" t="str">
        <f t="shared" si="3044"/>
        <v/>
      </c>
      <c r="EJ198" s="30" t="str">
        <f t="shared" si="3045"/>
        <v/>
      </c>
      <c r="EK198" s="30" t="str">
        <f t="shared" si="3046"/>
        <v/>
      </c>
      <c r="EL198" s="30" t="str">
        <f t="shared" si="3047"/>
        <v/>
      </c>
      <c r="EM198" s="30" t="str">
        <f t="shared" si="3048"/>
        <v/>
      </c>
      <c r="EN198" s="30" t="str">
        <f t="shared" si="3049"/>
        <v/>
      </c>
      <c r="EO198" s="30" t="str">
        <f t="shared" si="3050"/>
        <v/>
      </c>
      <c r="EP198" s="30" t="str">
        <f t="shared" si="3051"/>
        <v/>
      </c>
      <c r="EQ198" s="30" t="str">
        <f t="shared" si="3052"/>
        <v/>
      </c>
      <c r="ER198" s="30" t="str">
        <f t="shared" si="3053"/>
        <v/>
      </c>
      <c r="ES198" s="30" t="str">
        <f t="shared" si="3054"/>
        <v/>
      </c>
      <c r="ET198" s="30" t="str">
        <f t="shared" si="3055"/>
        <v/>
      </c>
      <c r="EU198" s="30" t="str">
        <f t="shared" si="3056"/>
        <v/>
      </c>
      <c r="EV198" s="30" t="str">
        <f t="shared" si="3057"/>
        <v/>
      </c>
      <c r="EW198" s="30" t="str">
        <f t="shared" si="3058"/>
        <v/>
      </c>
      <c r="EX198" s="30" t="str">
        <f t="shared" si="3059"/>
        <v/>
      </c>
      <c r="EY198" s="30" t="str">
        <f t="shared" si="3060"/>
        <v/>
      </c>
      <c r="EZ198" s="30" t="str">
        <f t="shared" si="3061"/>
        <v/>
      </c>
      <c r="FA198" s="30" t="str">
        <f t="shared" si="3062"/>
        <v/>
      </c>
      <c r="FB198" s="30" t="str">
        <f t="shared" si="3063"/>
        <v/>
      </c>
      <c r="FC198" s="30" t="str">
        <f t="shared" si="3064"/>
        <v/>
      </c>
      <c r="FD198" s="30" t="str">
        <f t="shared" si="3065"/>
        <v/>
      </c>
      <c r="FE198" s="30" t="str">
        <f t="shared" si="3066"/>
        <v/>
      </c>
      <c r="FF198" s="30" t="str">
        <f t="shared" si="3067"/>
        <v/>
      </c>
      <c r="FG198" s="30" t="str">
        <f t="shared" si="3068"/>
        <v/>
      </c>
      <c r="FH198" s="30" t="str">
        <f t="shared" si="3069"/>
        <v/>
      </c>
      <c r="FI198" s="30" t="str">
        <f t="shared" si="3070"/>
        <v/>
      </c>
      <c r="FJ198" s="30" t="str">
        <f t="shared" si="3071"/>
        <v/>
      </c>
      <c r="FK198" s="30" t="str">
        <f t="shared" si="3072"/>
        <v/>
      </c>
      <c r="FL198" s="30" t="str">
        <f t="shared" si="3073"/>
        <v/>
      </c>
      <c r="FM198" s="30" t="str">
        <f t="shared" si="3074"/>
        <v/>
      </c>
      <c r="FN198" s="30" t="str">
        <f t="shared" si="3075"/>
        <v/>
      </c>
      <c r="FO198" s="30" t="str">
        <f t="shared" si="3076"/>
        <v/>
      </c>
      <c r="FP198" s="30" t="str">
        <f t="shared" si="3077"/>
        <v/>
      </c>
      <c r="FQ198" s="30" t="str">
        <f t="shared" si="3078"/>
        <v/>
      </c>
      <c r="FR198" s="30" t="str">
        <f t="shared" si="3079"/>
        <v/>
      </c>
      <c r="FS198" s="30" t="str">
        <f t="shared" si="3080"/>
        <v/>
      </c>
    </row>
    <row r="199" spans="1:175" ht="16.5">
      <c r="A199" s="88"/>
      <c r="B199" s="66" t="s">
        <v>559</v>
      </c>
      <c r="C199" s="29" t="s">
        <v>230</v>
      </c>
      <c r="T199" s="107"/>
      <c r="U199" s="32"/>
      <c r="CN199" s="7" t="str">
        <f t="shared" si="3005"/>
        <v>InitUnitState('IF16',,,,,,,,,,)</v>
      </c>
      <c r="CO199" s="7" t="str">
        <f t="shared" si="3006"/>
        <v>InitUnitNormal('IF16',,,,,,,,,,)</v>
      </c>
      <c r="CP199" s="7" t="str">
        <f t="shared" si="3007"/>
        <v>InitUnitMagic('IF16',,,,,,,,,,)</v>
      </c>
      <c r="CQ199" s="7" t="str">
        <f t="shared" si="3008"/>
        <v>InitUnitAdd('IF16',,,,,,,,,,)</v>
      </c>
      <c r="CR199" s="7" t="str">
        <f t="shared" si="3009"/>
        <v>InitEquipData('IF16',,"",,,,,'','','','','','',"")</v>
      </c>
      <c r="CU199" s="45" t="str">
        <f t="shared" si="3010"/>
        <v>|n</v>
      </c>
      <c r="CW199" s="24"/>
      <c r="CX199" s="24"/>
      <c r="CY199" s="24"/>
      <c r="CZ199" s="24"/>
      <c r="DA199" s="24"/>
      <c r="DB199" s="30" t="str">
        <f t="shared" si="3011"/>
        <v/>
      </c>
      <c r="DC199" s="30" t="str">
        <f t="shared" si="3012"/>
        <v/>
      </c>
      <c r="DD199" s="30" t="str">
        <f t="shared" si="3013"/>
        <v/>
      </c>
      <c r="DE199" s="30" t="str">
        <f t="shared" si="3014"/>
        <v/>
      </c>
      <c r="DF199" s="30" t="str">
        <f t="shared" si="3015"/>
        <v/>
      </c>
      <c r="DG199" s="30" t="str">
        <f t="shared" si="3016"/>
        <v/>
      </c>
      <c r="DH199" s="30" t="str">
        <f t="shared" si="3017"/>
        <v/>
      </c>
      <c r="DI199" s="30" t="str">
        <f t="shared" si="3018"/>
        <v/>
      </c>
      <c r="DJ199" s="30" t="str">
        <f t="shared" si="3019"/>
        <v/>
      </c>
      <c r="DK199" s="30" t="str">
        <f t="shared" si="3020"/>
        <v/>
      </c>
      <c r="DL199" s="30" t="str">
        <f t="shared" si="3021"/>
        <v/>
      </c>
      <c r="DM199" s="30" t="str">
        <f t="shared" si="3022"/>
        <v/>
      </c>
      <c r="DN199" s="30" t="str">
        <f t="shared" si="3023"/>
        <v/>
      </c>
      <c r="DO199" s="30" t="str">
        <f t="shared" si="3024"/>
        <v/>
      </c>
      <c r="DP199" s="30" t="str">
        <f t="shared" si="3025"/>
        <v/>
      </c>
      <c r="DQ199" s="30" t="str">
        <f t="shared" si="3026"/>
        <v/>
      </c>
      <c r="DR199" s="30" t="str">
        <f t="shared" si="3027"/>
        <v/>
      </c>
      <c r="DS199" s="30" t="str">
        <f t="shared" si="3028"/>
        <v/>
      </c>
      <c r="DT199" s="30" t="str">
        <f t="shared" si="3029"/>
        <v/>
      </c>
      <c r="DU199" s="30" t="str">
        <f t="shared" si="3030"/>
        <v/>
      </c>
      <c r="DV199" s="30" t="str">
        <f t="shared" si="3031"/>
        <v/>
      </c>
      <c r="DW199" s="30" t="str">
        <f t="shared" si="3032"/>
        <v/>
      </c>
      <c r="DX199" s="30" t="str">
        <f t="shared" si="3033"/>
        <v/>
      </c>
      <c r="DY199" s="30" t="str">
        <f t="shared" si="3034"/>
        <v/>
      </c>
      <c r="DZ199" s="30" t="str">
        <f t="shared" si="3035"/>
        <v/>
      </c>
      <c r="EA199" s="30" t="str">
        <f t="shared" si="3036"/>
        <v/>
      </c>
      <c r="EB199" s="30" t="str">
        <f t="shared" si="3037"/>
        <v/>
      </c>
      <c r="EC199" s="30" t="str">
        <f t="shared" si="3038"/>
        <v/>
      </c>
      <c r="ED199" s="30" t="str">
        <f t="shared" si="3039"/>
        <v/>
      </c>
      <c r="EE199" s="30" t="str">
        <f t="shared" si="3040"/>
        <v/>
      </c>
      <c r="EF199" s="30" t="str">
        <f t="shared" si="3041"/>
        <v/>
      </c>
      <c r="EG199" s="30" t="str">
        <f t="shared" si="3042"/>
        <v/>
      </c>
      <c r="EH199" s="30" t="str">
        <f t="shared" si="3043"/>
        <v/>
      </c>
      <c r="EI199" s="30" t="str">
        <f t="shared" si="3044"/>
        <v/>
      </c>
      <c r="EJ199" s="30" t="str">
        <f t="shared" si="3045"/>
        <v/>
      </c>
      <c r="EK199" s="30" t="str">
        <f t="shared" si="3046"/>
        <v/>
      </c>
      <c r="EL199" s="30" t="str">
        <f t="shared" si="3047"/>
        <v/>
      </c>
      <c r="EM199" s="30" t="str">
        <f t="shared" si="3048"/>
        <v/>
      </c>
      <c r="EN199" s="30" t="str">
        <f t="shared" si="3049"/>
        <v/>
      </c>
      <c r="EO199" s="30" t="str">
        <f t="shared" si="3050"/>
        <v/>
      </c>
      <c r="EP199" s="30" t="str">
        <f t="shared" si="3051"/>
        <v/>
      </c>
      <c r="EQ199" s="30" t="str">
        <f t="shared" si="3052"/>
        <v/>
      </c>
      <c r="ER199" s="30" t="str">
        <f t="shared" si="3053"/>
        <v/>
      </c>
      <c r="ES199" s="30" t="str">
        <f t="shared" si="3054"/>
        <v/>
      </c>
      <c r="ET199" s="30" t="str">
        <f t="shared" si="3055"/>
        <v/>
      </c>
      <c r="EU199" s="30" t="str">
        <f t="shared" si="3056"/>
        <v/>
      </c>
      <c r="EV199" s="30" t="str">
        <f t="shared" si="3057"/>
        <v/>
      </c>
      <c r="EW199" s="30" t="str">
        <f t="shared" si="3058"/>
        <v/>
      </c>
      <c r="EX199" s="30" t="str">
        <f t="shared" si="3059"/>
        <v/>
      </c>
      <c r="EY199" s="30" t="str">
        <f t="shared" si="3060"/>
        <v/>
      </c>
      <c r="EZ199" s="30" t="str">
        <f t="shared" si="3061"/>
        <v/>
      </c>
      <c r="FA199" s="30" t="str">
        <f t="shared" si="3062"/>
        <v/>
      </c>
      <c r="FB199" s="30" t="str">
        <f t="shared" si="3063"/>
        <v/>
      </c>
      <c r="FC199" s="30" t="str">
        <f t="shared" si="3064"/>
        <v/>
      </c>
      <c r="FD199" s="30" t="str">
        <f t="shared" si="3065"/>
        <v/>
      </c>
      <c r="FE199" s="30" t="str">
        <f t="shared" si="3066"/>
        <v/>
      </c>
      <c r="FF199" s="30" t="str">
        <f t="shared" si="3067"/>
        <v/>
      </c>
      <c r="FG199" s="30" t="str">
        <f t="shared" si="3068"/>
        <v/>
      </c>
      <c r="FH199" s="30" t="str">
        <f t="shared" si="3069"/>
        <v/>
      </c>
      <c r="FI199" s="30" t="str">
        <f t="shared" si="3070"/>
        <v/>
      </c>
      <c r="FJ199" s="30" t="str">
        <f t="shared" si="3071"/>
        <v/>
      </c>
      <c r="FK199" s="30" t="str">
        <f t="shared" si="3072"/>
        <v/>
      </c>
      <c r="FL199" s="30" t="str">
        <f t="shared" si="3073"/>
        <v/>
      </c>
      <c r="FM199" s="30" t="str">
        <f t="shared" si="3074"/>
        <v/>
      </c>
      <c r="FN199" s="30" t="str">
        <f t="shared" si="3075"/>
        <v/>
      </c>
      <c r="FO199" s="30" t="str">
        <f t="shared" si="3076"/>
        <v/>
      </c>
      <c r="FP199" s="30" t="str">
        <f t="shared" si="3077"/>
        <v/>
      </c>
      <c r="FQ199" s="30" t="str">
        <f t="shared" si="3078"/>
        <v/>
      </c>
      <c r="FR199" s="30" t="str">
        <f t="shared" si="3079"/>
        <v/>
      </c>
      <c r="FS199" s="30" t="str">
        <f t="shared" si="3080"/>
        <v/>
      </c>
    </row>
    <row r="200" spans="1:175" ht="16.5">
      <c r="A200" s="88"/>
      <c r="B200" s="66" t="s">
        <v>560</v>
      </c>
      <c r="C200" s="29" t="s">
        <v>230</v>
      </c>
      <c r="T200" s="107"/>
      <c r="U200" s="32"/>
      <c r="CN200" s="7" t="str">
        <f t="shared" si="3005"/>
        <v>InitUnitState('IF17',,,,,,,,,,)</v>
      </c>
      <c r="CO200" s="7" t="str">
        <f t="shared" si="3006"/>
        <v>InitUnitNormal('IF17',,,,,,,,,,)</v>
      </c>
      <c r="CP200" s="7" t="str">
        <f t="shared" si="3007"/>
        <v>InitUnitMagic('IF17',,,,,,,,,,)</v>
      </c>
      <c r="CQ200" s="7" t="str">
        <f t="shared" si="3008"/>
        <v>InitUnitAdd('IF17',,,,,,,,,,)</v>
      </c>
      <c r="CR200" s="7" t="str">
        <f t="shared" si="3009"/>
        <v>InitEquipData('IF17',,"",,,,,'','','','','','',"")</v>
      </c>
      <c r="CU200" s="45" t="str">
        <f t="shared" si="3010"/>
        <v>|n</v>
      </c>
      <c r="CW200" s="24"/>
      <c r="CX200" s="24"/>
      <c r="CY200" s="24"/>
      <c r="CZ200" s="24"/>
      <c r="DA200" s="24"/>
      <c r="DB200" s="30" t="str">
        <f t="shared" si="3011"/>
        <v/>
      </c>
      <c r="DC200" s="30" t="str">
        <f t="shared" si="3012"/>
        <v/>
      </c>
      <c r="DD200" s="30" t="str">
        <f t="shared" si="3013"/>
        <v/>
      </c>
      <c r="DE200" s="30" t="str">
        <f t="shared" si="3014"/>
        <v/>
      </c>
      <c r="DF200" s="30" t="str">
        <f t="shared" si="3015"/>
        <v/>
      </c>
      <c r="DG200" s="30" t="str">
        <f t="shared" si="3016"/>
        <v/>
      </c>
      <c r="DH200" s="30" t="str">
        <f t="shared" si="3017"/>
        <v/>
      </c>
      <c r="DI200" s="30" t="str">
        <f t="shared" si="3018"/>
        <v/>
      </c>
      <c r="DJ200" s="30" t="str">
        <f t="shared" si="3019"/>
        <v/>
      </c>
      <c r="DK200" s="30" t="str">
        <f t="shared" si="3020"/>
        <v/>
      </c>
      <c r="DL200" s="30" t="str">
        <f t="shared" si="3021"/>
        <v/>
      </c>
      <c r="DM200" s="30" t="str">
        <f t="shared" si="3022"/>
        <v/>
      </c>
      <c r="DN200" s="30" t="str">
        <f t="shared" si="3023"/>
        <v/>
      </c>
      <c r="DO200" s="30" t="str">
        <f t="shared" si="3024"/>
        <v/>
      </c>
      <c r="DP200" s="30" t="str">
        <f t="shared" si="3025"/>
        <v/>
      </c>
      <c r="DQ200" s="30" t="str">
        <f t="shared" si="3026"/>
        <v/>
      </c>
      <c r="DR200" s="30" t="str">
        <f t="shared" si="3027"/>
        <v/>
      </c>
      <c r="DS200" s="30" t="str">
        <f t="shared" si="3028"/>
        <v/>
      </c>
      <c r="DT200" s="30" t="str">
        <f t="shared" si="3029"/>
        <v/>
      </c>
      <c r="DU200" s="30" t="str">
        <f t="shared" si="3030"/>
        <v/>
      </c>
      <c r="DV200" s="30" t="str">
        <f t="shared" si="3031"/>
        <v/>
      </c>
      <c r="DW200" s="30" t="str">
        <f t="shared" si="3032"/>
        <v/>
      </c>
      <c r="DX200" s="30" t="str">
        <f t="shared" si="3033"/>
        <v/>
      </c>
      <c r="DY200" s="30" t="str">
        <f t="shared" si="3034"/>
        <v/>
      </c>
      <c r="DZ200" s="30" t="str">
        <f t="shared" si="3035"/>
        <v/>
      </c>
      <c r="EA200" s="30" t="str">
        <f t="shared" si="3036"/>
        <v/>
      </c>
      <c r="EB200" s="30" t="str">
        <f t="shared" si="3037"/>
        <v/>
      </c>
      <c r="EC200" s="30" t="str">
        <f t="shared" si="3038"/>
        <v/>
      </c>
      <c r="ED200" s="30" t="str">
        <f t="shared" si="3039"/>
        <v/>
      </c>
      <c r="EE200" s="30" t="str">
        <f t="shared" si="3040"/>
        <v/>
      </c>
      <c r="EF200" s="30" t="str">
        <f t="shared" si="3041"/>
        <v/>
      </c>
      <c r="EG200" s="30" t="str">
        <f t="shared" si="3042"/>
        <v/>
      </c>
      <c r="EH200" s="30" t="str">
        <f t="shared" si="3043"/>
        <v/>
      </c>
      <c r="EI200" s="30" t="str">
        <f t="shared" si="3044"/>
        <v/>
      </c>
      <c r="EJ200" s="30" t="str">
        <f t="shared" si="3045"/>
        <v/>
      </c>
      <c r="EK200" s="30" t="str">
        <f t="shared" si="3046"/>
        <v/>
      </c>
      <c r="EL200" s="30" t="str">
        <f t="shared" si="3047"/>
        <v/>
      </c>
      <c r="EM200" s="30" t="str">
        <f t="shared" si="3048"/>
        <v/>
      </c>
      <c r="EN200" s="30" t="str">
        <f t="shared" si="3049"/>
        <v/>
      </c>
      <c r="EO200" s="30" t="str">
        <f t="shared" si="3050"/>
        <v/>
      </c>
      <c r="EP200" s="30" t="str">
        <f t="shared" si="3051"/>
        <v/>
      </c>
      <c r="EQ200" s="30" t="str">
        <f t="shared" si="3052"/>
        <v/>
      </c>
      <c r="ER200" s="30" t="str">
        <f t="shared" si="3053"/>
        <v/>
      </c>
      <c r="ES200" s="30" t="str">
        <f t="shared" si="3054"/>
        <v/>
      </c>
      <c r="ET200" s="30" t="str">
        <f t="shared" si="3055"/>
        <v/>
      </c>
      <c r="EU200" s="30" t="str">
        <f t="shared" si="3056"/>
        <v/>
      </c>
      <c r="EV200" s="30" t="str">
        <f t="shared" si="3057"/>
        <v/>
      </c>
      <c r="EW200" s="30" t="str">
        <f t="shared" si="3058"/>
        <v/>
      </c>
      <c r="EX200" s="30" t="str">
        <f t="shared" si="3059"/>
        <v/>
      </c>
      <c r="EY200" s="30" t="str">
        <f t="shared" si="3060"/>
        <v/>
      </c>
      <c r="EZ200" s="30" t="str">
        <f t="shared" si="3061"/>
        <v/>
      </c>
      <c r="FA200" s="30" t="str">
        <f t="shared" si="3062"/>
        <v/>
      </c>
      <c r="FB200" s="30" t="str">
        <f t="shared" si="3063"/>
        <v/>
      </c>
      <c r="FC200" s="30" t="str">
        <f t="shared" si="3064"/>
        <v/>
      </c>
      <c r="FD200" s="30" t="str">
        <f t="shared" si="3065"/>
        <v/>
      </c>
      <c r="FE200" s="30" t="str">
        <f t="shared" si="3066"/>
        <v/>
      </c>
      <c r="FF200" s="30" t="str">
        <f t="shared" si="3067"/>
        <v/>
      </c>
      <c r="FG200" s="30" t="str">
        <f t="shared" si="3068"/>
        <v/>
      </c>
      <c r="FH200" s="30" t="str">
        <f t="shared" si="3069"/>
        <v/>
      </c>
      <c r="FI200" s="30" t="str">
        <f t="shared" si="3070"/>
        <v/>
      </c>
      <c r="FJ200" s="30" t="str">
        <f t="shared" si="3071"/>
        <v/>
      </c>
      <c r="FK200" s="30" t="str">
        <f t="shared" si="3072"/>
        <v/>
      </c>
      <c r="FL200" s="30" t="str">
        <f t="shared" si="3073"/>
        <v/>
      </c>
      <c r="FM200" s="30" t="str">
        <f t="shared" si="3074"/>
        <v/>
      </c>
      <c r="FN200" s="30" t="str">
        <f t="shared" si="3075"/>
        <v/>
      </c>
      <c r="FO200" s="30" t="str">
        <f t="shared" si="3076"/>
        <v/>
      </c>
      <c r="FP200" s="30" t="str">
        <f t="shared" si="3077"/>
        <v/>
      </c>
      <c r="FQ200" s="30" t="str">
        <f t="shared" si="3078"/>
        <v/>
      </c>
      <c r="FR200" s="30" t="str">
        <f t="shared" si="3079"/>
        <v/>
      </c>
      <c r="FS200" s="30" t="str">
        <f t="shared" si="3080"/>
        <v/>
      </c>
    </row>
    <row r="201" spans="1:175" ht="16.5">
      <c r="A201" s="88"/>
      <c r="B201" s="66" t="s">
        <v>561</v>
      </c>
      <c r="C201" s="29" t="s">
        <v>541</v>
      </c>
      <c r="T201" s="108"/>
      <c r="U201" s="32"/>
      <c r="CN201" s="7" t="str">
        <f t="shared" ref="CN201:CN220" si="3081">"InitUnitState('"&amp;B201&amp;"',"&amp;V201&amp;","&amp;W201&amp;","&amp;X201&amp;","&amp;Y201&amp;","&amp;Z201&amp;","&amp;AA201&amp;","&amp;AB201&amp;","&amp;AC201&amp;","&amp;AD201&amp;","&amp;AE201&amp;")"</f>
        <v>InitUnitState('IF18',,,,,,,,,,)</v>
      </c>
      <c r="CO201" s="7" t="str">
        <f t="shared" ref="CO201:CO220" si="3082">"InitUnitNormal('"&amp;B201&amp;"',"&amp;AF201&amp;","&amp;AG201&amp;","&amp;AH201&amp;","&amp;AI201&amp;","&amp;AJ201&amp;","&amp;AK201&amp;","&amp;AL201&amp;","&amp;AM201&amp;","&amp;AN201&amp;","&amp;AO201&amp;")"</f>
        <v>InitUnitNormal('IF18',,,,,,,,,,)</v>
      </c>
      <c r="CP201" s="7" t="str">
        <f t="shared" ref="CP201:CP220" si="3083">"InitUnitMagic('"&amp;B201&amp;"',"&amp;AP201&amp;","&amp;AQ201&amp;","&amp;AR201&amp;","&amp;AS201&amp;","&amp;AT201&amp;","&amp;AU201&amp;","&amp;AV201&amp;","&amp;AW201&amp;","&amp;BI201&amp;","&amp;BJ201&amp;")"</f>
        <v>InitUnitMagic('IF18',,,,,,,,,,)</v>
      </c>
      <c r="CQ201" s="7" t="str">
        <f t="shared" ref="CQ201:CQ220" si="3084">"InitUnitAdd('"&amp;B201&amp;"',"&amp;BK201&amp;","&amp;BL201&amp;","&amp;BM201&amp;","&amp;BN201&amp;","&amp;BO201&amp;","&amp;BP201&amp;","&amp;BQ201&amp;","&amp;BR201&amp;","&amp;BS201&amp;","&amp;BT201&amp;")"</f>
        <v>InitUnitAdd('IF18',,,,,,,,,,)</v>
      </c>
      <c r="CR201" s="7" t="str">
        <f t="shared" ref="CR201:CR220" si="3085"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InitEquipData('IF18',,"",,,,,'','','','','','',"")</v>
      </c>
      <c r="CU201" s="45" t="str">
        <f t="shared" si="3010"/>
        <v>|n</v>
      </c>
      <c r="CW201" s="24"/>
      <c r="CX201" s="24"/>
      <c r="CY201" s="24"/>
      <c r="CZ201" s="24"/>
      <c r="DA201" s="24"/>
      <c r="DB201" s="30" t="str">
        <f t="shared" si="3011"/>
        <v/>
      </c>
      <c r="DC201" s="30" t="str">
        <f t="shared" si="3012"/>
        <v/>
      </c>
      <c r="DD201" s="30" t="str">
        <f t="shared" si="3013"/>
        <v/>
      </c>
      <c r="DE201" s="30" t="str">
        <f t="shared" si="3014"/>
        <v/>
      </c>
      <c r="DF201" s="30" t="str">
        <f t="shared" si="3015"/>
        <v/>
      </c>
      <c r="DG201" s="30" t="str">
        <f t="shared" si="3016"/>
        <v/>
      </c>
      <c r="DH201" s="30" t="str">
        <f t="shared" si="3017"/>
        <v/>
      </c>
      <c r="DI201" s="30" t="str">
        <f t="shared" si="3018"/>
        <v/>
      </c>
      <c r="DJ201" s="30" t="str">
        <f t="shared" si="3019"/>
        <v/>
      </c>
      <c r="DK201" s="30" t="str">
        <f t="shared" si="3020"/>
        <v/>
      </c>
      <c r="DL201" s="30" t="str">
        <f t="shared" si="3021"/>
        <v/>
      </c>
      <c r="DM201" s="30" t="str">
        <f t="shared" si="3022"/>
        <v/>
      </c>
      <c r="DN201" s="30" t="str">
        <f t="shared" si="3023"/>
        <v/>
      </c>
      <c r="DO201" s="30" t="str">
        <f t="shared" si="3024"/>
        <v/>
      </c>
      <c r="DP201" s="30" t="str">
        <f t="shared" si="3025"/>
        <v/>
      </c>
      <c r="DQ201" s="30" t="str">
        <f t="shared" si="3026"/>
        <v/>
      </c>
      <c r="DR201" s="30" t="str">
        <f t="shared" si="3027"/>
        <v/>
      </c>
      <c r="DS201" s="30" t="str">
        <f t="shared" si="3028"/>
        <v/>
      </c>
      <c r="DT201" s="30" t="str">
        <f t="shared" si="3029"/>
        <v/>
      </c>
      <c r="DU201" s="30" t="str">
        <f t="shared" si="3030"/>
        <v/>
      </c>
      <c r="DV201" s="30" t="str">
        <f t="shared" si="3031"/>
        <v/>
      </c>
      <c r="DW201" s="30" t="str">
        <f t="shared" si="3032"/>
        <v/>
      </c>
      <c r="DX201" s="30" t="str">
        <f t="shared" si="3033"/>
        <v/>
      </c>
      <c r="DY201" s="30" t="str">
        <f t="shared" si="3034"/>
        <v/>
      </c>
      <c r="DZ201" s="30" t="str">
        <f t="shared" si="3035"/>
        <v/>
      </c>
      <c r="EA201" s="30" t="str">
        <f t="shared" si="3036"/>
        <v/>
      </c>
      <c r="EB201" s="30" t="str">
        <f t="shared" si="3037"/>
        <v/>
      </c>
      <c r="EC201" s="30" t="str">
        <f t="shared" si="3038"/>
        <v/>
      </c>
      <c r="ED201" s="30" t="str">
        <f t="shared" si="3039"/>
        <v/>
      </c>
      <c r="EE201" s="30" t="str">
        <f t="shared" si="3040"/>
        <v/>
      </c>
      <c r="EF201" s="30" t="str">
        <f t="shared" si="3041"/>
        <v/>
      </c>
      <c r="EG201" s="30" t="str">
        <f t="shared" si="3042"/>
        <v/>
      </c>
      <c r="EH201" s="30" t="str">
        <f t="shared" si="3043"/>
        <v/>
      </c>
      <c r="EI201" s="30" t="str">
        <f t="shared" si="3044"/>
        <v/>
      </c>
      <c r="EJ201" s="30" t="str">
        <f t="shared" si="3045"/>
        <v/>
      </c>
      <c r="EK201" s="30" t="str">
        <f t="shared" si="3046"/>
        <v/>
      </c>
      <c r="EL201" s="30" t="str">
        <f t="shared" si="3047"/>
        <v/>
      </c>
      <c r="EM201" s="30" t="str">
        <f t="shared" si="3048"/>
        <v/>
      </c>
      <c r="EN201" s="30" t="str">
        <f t="shared" si="3049"/>
        <v/>
      </c>
      <c r="EO201" s="30" t="str">
        <f t="shared" si="3050"/>
        <v/>
      </c>
      <c r="EP201" s="30" t="str">
        <f t="shared" si="3051"/>
        <v/>
      </c>
      <c r="EQ201" s="30" t="str">
        <f t="shared" si="3052"/>
        <v/>
      </c>
      <c r="ER201" s="30" t="str">
        <f t="shared" si="3053"/>
        <v/>
      </c>
      <c r="ES201" s="30" t="str">
        <f t="shared" si="3054"/>
        <v/>
      </c>
      <c r="ET201" s="30" t="str">
        <f t="shared" si="3055"/>
        <v/>
      </c>
      <c r="EU201" s="30" t="str">
        <f t="shared" si="3056"/>
        <v/>
      </c>
      <c r="EV201" s="30" t="str">
        <f t="shared" si="3057"/>
        <v/>
      </c>
      <c r="EW201" s="30" t="str">
        <f t="shared" si="3058"/>
        <v/>
      </c>
      <c r="EX201" s="30" t="str">
        <f t="shared" si="3059"/>
        <v/>
      </c>
      <c r="EY201" s="30" t="str">
        <f t="shared" si="3060"/>
        <v/>
      </c>
      <c r="EZ201" s="30" t="str">
        <f t="shared" si="3061"/>
        <v/>
      </c>
      <c r="FA201" s="30" t="str">
        <f t="shared" si="3062"/>
        <v/>
      </c>
      <c r="FB201" s="30" t="str">
        <f t="shared" si="3063"/>
        <v/>
      </c>
      <c r="FC201" s="30" t="str">
        <f t="shared" si="3064"/>
        <v/>
      </c>
      <c r="FD201" s="30" t="str">
        <f t="shared" si="3065"/>
        <v/>
      </c>
      <c r="FE201" s="30" t="str">
        <f t="shared" si="3066"/>
        <v/>
      </c>
      <c r="FF201" s="30" t="str">
        <f t="shared" si="3067"/>
        <v/>
      </c>
      <c r="FG201" s="30" t="str">
        <f t="shared" si="3068"/>
        <v/>
      </c>
      <c r="FH201" s="30" t="str">
        <f t="shared" si="3069"/>
        <v/>
      </c>
      <c r="FI201" s="30" t="str">
        <f t="shared" si="3070"/>
        <v/>
      </c>
      <c r="FJ201" s="30" t="str">
        <f t="shared" si="3071"/>
        <v/>
      </c>
      <c r="FK201" s="30" t="str">
        <f t="shared" si="3072"/>
        <v/>
      </c>
      <c r="FL201" s="30" t="str">
        <f t="shared" si="3073"/>
        <v/>
      </c>
      <c r="FM201" s="30" t="str">
        <f t="shared" si="3074"/>
        <v/>
      </c>
      <c r="FN201" s="30" t="str">
        <f t="shared" si="3075"/>
        <v/>
      </c>
      <c r="FO201" s="30" t="str">
        <f t="shared" si="3076"/>
        <v/>
      </c>
      <c r="FP201" s="30" t="str">
        <f t="shared" si="3077"/>
        <v/>
      </c>
      <c r="FQ201" s="30" t="str">
        <f t="shared" si="3078"/>
        <v/>
      </c>
      <c r="FR201" s="30" t="str">
        <f t="shared" si="3079"/>
        <v/>
      </c>
      <c r="FS201" s="30" t="str">
        <f t="shared" si="3080"/>
        <v/>
      </c>
    </row>
    <row r="202" spans="1:175" ht="16.5">
      <c r="A202" s="88"/>
      <c r="B202" s="66" t="s">
        <v>562</v>
      </c>
      <c r="C202" s="29" t="s">
        <v>541</v>
      </c>
      <c r="T202" s="108"/>
      <c r="U202" s="32"/>
      <c r="CN202" s="7" t="str">
        <f t="shared" si="3081"/>
        <v>InitUnitState('IF19',,,,,,,,,,)</v>
      </c>
      <c r="CO202" s="7" t="str">
        <f t="shared" si="3082"/>
        <v>InitUnitNormal('IF19',,,,,,,,,,)</v>
      </c>
      <c r="CP202" s="7" t="str">
        <f t="shared" si="3083"/>
        <v>InitUnitMagic('IF19',,,,,,,,,,)</v>
      </c>
      <c r="CQ202" s="7" t="str">
        <f t="shared" si="3084"/>
        <v>InitUnitAdd('IF19',,,,,,,,,,)</v>
      </c>
      <c r="CR202" s="7" t="str">
        <f t="shared" si="3085"/>
        <v>InitEquipData('IF19',,"",,,,,'','','','','','',"")</v>
      </c>
      <c r="CU202" s="45" t="str">
        <f t="shared" si="3010"/>
        <v>|n</v>
      </c>
      <c r="CW202" s="24"/>
      <c r="CX202" s="24"/>
      <c r="CY202" s="24"/>
      <c r="CZ202" s="24"/>
      <c r="DA202" s="24"/>
      <c r="DB202" s="30" t="str">
        <f t="shared" si="3011"/>
        <v/>
      </c>
      <c r="DC202" s="30" t="str">
        <f t="shared" si="3012"/>
        <v/>
      </c>
      <c r="DD202" s="30" t="str">
        <f t="shared" si="3013"/>
        <v/>
      </c>
      <c r="DE202" s="30" t="str">
        <f t="shared" si="3014"/>
        <v/>
      </c>
      <c r="DF202" s="30" t="str">
        <f t="shared" si="3015"/>
        <v/>
      </c>
      <c r="DG202" s="30" t="str">
        <f t="shared" si="3016"/>
        <v/>
      </c>
      <c r="DH202" s="30" t="str">
        <f t="shared" si="3017"/>
        <v/>
      </c>
      <c r="DI202" s="30" t="str">
        <f t="shared" si="3018"/>
        <v/>
      </c>
      <c r="DJ202" s="30" t="str">
        <f t="shared" si="3019"/>
        <v/>
      </c>
      <c r="DK202" s="30" t="str">
        <f t="shared" si="3020"/>
        <v/>
      </c>
      <c r="DL202" s="30" t="str">
        <f t="shared" si="3021"/>
        <v/>
      </c>
      <c r="DM202" s="30" t="str">
        <f t="shared" si="3022"/>
        <v/>
      </c>
      <c r="DN202" s="30" t="str">
        <f t="shared" si="3023"/>
        <v/>
      </c>
      <c r="DO202" s="30" t="str">
        <f t="shared" si="3024"/>
        <v/>
      </c>
      <c r="DP202" s="30" t="str">
        <f t="shared" si="3025"/>
        <v/>
      </c>
      <c r="DQ202" s="30" t="str">
        <f t="shared" si="3026"/>
        <v/>
      </c>
      <c r="DR202" s="30" t="str">
        <f t="shared" si="3027"/>
        <v/>
      </c>
      <c r="DS202" s="30" t="str">
        <f t="shared" si="3028"/>
        <v/>
      </c>
      <c r="DT202" s="30" t="str">
        <f t="shared" si="3029"/>
        <v/>
      </c>
      <c r="DU202" s="30" t="str">
        <f t="shared" si="3030"/>
        <v/>
      </c>
      <c r="DV202" s="30" t="str">
        <f t="shared" si="3031"/>
        <v/>
      </c>
      <c r="DW202" s="30" t="str">
        <f t="shared" si="3032"/>
        <v/>
      </c>
      <c r="DX202" s="30" t="str">
        <f t="shared" si="3033"/>
        <v/>
      </c>
      <c r="DY202" s="30" t="str">
        <f t="shared" si="3034"/>
        <v/>
      </c>
      <c r="DZ202" s="30" t="str">
        <f t="shared" si="3035"/>
        <v/>
      </c>
      <c r="EA202" s="30" t="str">
        <f t="shared" si="3036"/>
        <v/>
      </c>
      <c r="EB202" s="30" t="str">
        <f t="shared" si="3037"/>
        <v/>
      </c>
      <c r="EC202" s="30" t="str">
        <f t="shared" si="3038"/>
        <v/>
      </c>
      <c r="ED202" s="30" t="str">
        <f t="shared" si="3039"/>
        <v/>
      </c>
      <c r="EE202" s="30" t="str">
        <f t="shared" si="3040"/>
        <v/>
      </c>
      <c r="EF202" s="30" t="str">
        <f t="shared" si="3041"/>
        <v/>
      </c>
      <c r="EG202" s="30" t="str">
        <f t="shared" si="3042"/>
        <v/>
      </c>
      <c r="EH202" s="30" t="str">
        <f t="shared" si="3043"/>
        <v/>
      </c>
      <c r="EI202" s="30" t="str">
        <f t="shared" si="3044"/>
        <v/>
      </c>
      <c r="EJ202" s="30" t="str">
        <f t="shared" si="3045"/>
        <v/>
      </c>
      <c r="EK202" s="30" t="str">
        <f t="shared" si="3046"/>
        <v/>
      </c>
      <c r="EL202" s="30" t="str">
        <f t="shared" si="3047"/>
        <v/>
      </c>
      <c r="EM202" s="30" t="str">
        <f t="shared" si="3048"/>
        <v/>
      </c>
      <c r="EN202" s="30" t="str">
        <f t="shared" si="3049"/>
        <v/>
      </c>
      <c r="EO202" s="30" t="str">
        <f t="shared" si="3050"/>
        <v/>
      </c>
      <c r="EP202" s="30" t="str">
        <f t="shared" si="3051"/>
        <v/>
      </c>
      <c r="EQ202" s="30" t="str">
        <f t="shared" si="3052"/>
        <v/>
      </c>
      <c r="ER202" s="30" t="str">
        <f t="shared" si="3053"/>
        <v/>
      </c>
      <c r="ES202" s="30" t="str">
        <f t="shared" si="3054"/>
        <v/>
      </c>
      <c r="ET202" s="30" t="str">
        <f t="shared" si="3055"/>
        <v/>
      </c>
      <c r="EU202" s="30" t="str">
        <f t="shared" si="3056"/>
        <v/>
      </c>
      <c r="EV202" s="30" t="str">
        <f t="shared" si="3057"/>
        <v/>
      </c>
      <c r="EW202" s="30" t="str">
        <f t="shared" si="3058"/>
        <v/>
      </c>
      <c r="EX202" s="30" t="str">
        <f t="shared" si="3059"/>
        <v/>
      </c>
      <c r="EY202" s="30" t="str">
        <f t="shared" si="3060"/>
        <v/>
      </c>
      <c r="EZ202" s="30" t="str">
        <f t="shared" si="3061"/>
        <v/>
      </c>
      <c r="FA202" s="30" t="str">
        <f t="shared" si="3062"/>
        <v/>
      </c>
      <c r="FB202" s="30" t="str">
        <f t="shared" si="3063"/>
        <v/>
      </c>
      <c r="FC202" s="30" t="str">
        <f t="shared" si="3064"/>
        <v/>
      </c>
      <c r="FD202" s="30" t="str">
        <f t="shared" si="3065"/>
        <v/>
      </c>
      <c r="FE202" s="30" t="str">
        <f t="shared" si="3066"/>
        <v/>
      </c>
      <c r="FF202" s="30" t="str">
        <f t="shared" si="3067"/>
        <v/>
      </c>
      <c r="FG202" s="30" t="str">
        <f t="shared" si="3068"/>
        <v/>
      </c>
      <c r="FH202" s="30" t="str">
        <f t="shared" si="3069"/>
        <v/>
      </c>
      <c r="FI202" s="30" t="str">
        <f t="shared" si="3070"/>
        <v/>
      </c>
      <c r="FJ202" s="30" t="str">
        <f t="shared" si="3071"/>
        <v/>
      </c>
      <c r="FK202" s="30" t="str">
        <f t="shared" si="3072"/>
        <v/>
      </c>
      <c r="FL202" s="30" t="str">
        <f t="shared" si="3073"/>
        <v/>
      </c>
      <c r="FM202" s="30" t="str">
        <f t="shared" si="3074"/>
        <v/>
      </c>
      <c r="FN202" s="30" t="str">
        <f t="shared" si="3075"/>
        <v/>
      </c>
      <c r="FO202" s="30" t="str">
        <f t="shared" si="3076"/>
        <v/>
      </c>
      <c r="FP202" s="30" t="str">
        <f t="shared" si="3077"/>
        <v/>
      </c>
      <c r="FQ202" s="30" t="str">
        <f t="shared" si="3078"/>
        <v/>
      </c>
      <c r="FR202" s="30" t="str">
        <f t="shared" si="3079"/>
        <v/>
      </c>
      <c r="FS202" s="30" t="str">
        <f t="shared" si="3080"/>
        <v/>
      </c>
    </row>
    <row r="203" spans="1:175" ht="16.5">
      <c r="A203" s="88"/>
      <c r="B203" s="66" t="s">
        <v>563</v>
      </c>
      <c r="C203" s="29" t="s">
        <v>218</v>
      </c>
      <c r="T203" s="108"/>
      <c r="U203" s="32"/>
      <c r="CN203" s="7" t="str">
        <f t="shared" si="3081"/>
        <v>InitUnitState('IF20',,,,,,,,,,)</v>
      </c>
      <c r="CO203" s="7" t="str">
        <f t="shared" si="3082"/>
        <v>InitUnitNormal('IF20',,,,,,,,,,)</v>
      </c>
      <c r="CP203" s="7" t="str">
        <f t="shared" si="3083"/>
        <v>InitUnitMagic('IF20',,,,,,,,,,)</v>
      </c>
      <c r="CQ203" s="7" t="str">
        <f t="shared" si="3084"/>
        <v>InitUnitAdd('IF20',,,,,,,,,,)</v>
      </c>
      <c r="CR203" s="7" t="str">
        <f t="shared" si="3085"/>
        <v>InitEquipData('IF20',,"",,,,,'','','','','','',"")</v>
      </c>
      <c r="CU203" s="45" t="str">
        <f t="shared" si="3010"/>
        <v>|n</v>
      </c>
      <c r="CW203" s="24"/>
      <c r="CX203" s="24"/>
      <c r="CY203" s="24"/>
      <c r="CZ203" s="24"/>
      <c r="DA203" s="24"/>
      <c r="DB203" s="30" t="str">
        <f t="shared" si="3011"/>
        <v/>
      </c>
      <c r="DC203" s="30" t="str">
        <f t="shared" si="3012"/>
        <v/>
      </c>
      <c r="DD203" s="30" t="str">
        <f t="shared" si="3013"/>
        <v/>
      </c>
      <c r="DE203" s="30" t="str">
        <f t="shared" si="3014"/>
        <v/>
      </c>
      <c r="DF203" s="30" t="str">
        <f t="shared" si="3015"/>
        <v/>
      </c>
      <c r="DG203" s="30" t="str">
        <f t="shared" si="3016"/>
        <v/>
      </c>
      <c r="DH203" s="30" t="str">
        <f t="shared" si="3017"/>
        <v/>
      </c>
      <c r="DI203" s="30" t="str">
        <f t="shared" si="3018"/>
        <v/>
      </c>
      <c r="DJ203" s="30" t="str">
        <f t="shared" si="3019"/>
        <v/>
      </c>
      <c r="DK203" s="30" t="str">
        <f t="shared" si="3020"/>
        <v/>
      </c>
      <c r="DL203" s="30" t="str">
        <f t="shared" si="3021"/>
        <v/>
      </c>
      <c r="DM203" s="30" t="str">
        <f t="shared" si="3022"/>
        <v/>
      </c>
      <c r="DN203" s="30" t="str">
        <f t="shared" si="3023"/>
        <v/>
      </c>
      <c r="DO203" s="30" t="str">
        <f t="shared" si="3024"/>
        <v/>
      </c>
      <c r="DP203" s="30" t="str">
        <f t="shared" si="3025"/>
        <v/>
      </c>
      <c r="DQ203" s="30" t="str">
        <f t="shared" si="3026"/>
        <v/>
      </c>
      <c r="DR203" s="30" t="str">
        <f t="shared" si="3027"/>
        <v/>
      </c>
      <c r="DS203" s="30" t="str">
        <f t="shared" si="3028"/>
        <v/>
      </c>
      <c r="DT203" s="30" t="str">
        <f t="shared" si="3029"/>
        <v/>
      </c>
      <c r="DU203" s="30" t="str">
        <f t="shared" si="3030"/>
        <v/>
      </c>
      <c r="DV203" s="30" t="str">
        <f t="shared" si="3031"/>
        <v/>
      </c>
      <c r="DW203" s="30" t="str">
        <f t="shared" si="3032"/>
        <v/>
      </c>
      <c r="DX203" s="30" t="str">
        <f t="shared" si="3033"/>
        <v/>
      </c>
      <c r="DY203" s="30" t="str">
        <f t="shared" si="3034"/>
        <v/>
      </c>
      <c r="DZ203" s="30" t="str">
        <f t="shared" si="3035"/>
        <v/>
      </c>
      <c r="EA203" s="30" t="str">
        <f t="shared" si="3036"/>
        <v/>
      </c>
      <c r="EB203" s="30" t="str">
        <f t="shared" si="3037"/>
        <v/>
      </c>
      <c r="EC203" s="30" t="str">
        <f t="shared" si="3038"/>
        <v/>
      </c>
      <c r="ED203" s="30" t="str">
        <f t="shared" si="3039"/>
        <v/>
      </c>
      <c r="EE203" s="30" t="str">
        <f t="shared" si="3040"/>
        <v/>
      </c>
      <c r="EF203" s="30" t="str">
        <f t="shared" si="3041"/>
        <v/>
      </c>
      <c r="EG203" s="30" t="str">
        <f t="shared" si="3042"/>
        <v/>
      </c>
      <c r="EH203" s="30" t="str">
        <f t="shared" si="3043"/>
        <v/>
      </c>
      <c r="EI203" s="30" t="str">
        <f t="shared" si="3044"/>
        <v/>
      </c>
      <c r="EJ203" s="30" t="str">
        <f t="shared" si="3045"/>
        <v/>
      </c>
      <c r="EK203" s="30" t="str">
        <f t="shared" si="3046"/>
        <v/>
      </c>
      <c r="EL203" s="30" t="str">
        <f t="shared" si="3047"/>
        <v/>
      </c>
      <c r="EM203" s="30" t="str">
        <f t="shared" si="3048"/>
        <v/>
      </c>
      <c r="EN203" s="30" t="str">
        <f t="shared" si="3049"/>
        <v/>
      </c>
      <c r="EO203" s="30" t="str">
        <f t="shared" si="3050"/>
        <v/>
      </c>
      <c r="EP203" s="30" t="str">
        <f t="shared" si="3051"/>
        <v/>
      </c>
      <c r="EQ203" s="30" t="str">
        <f t="shared" si="3052"/>
        <v/>
      </c>
      <c r="ER203" s="30" t="str">
        <f t="shared" si="3053"/>
        <v/>
      </c>
      <c r="ES203" s="30" t="str">
        <f t="shared" si="3054"/>
        <v/>
      </c>
      <c r="ET203" s="30" t="str">
        <f t="shared" si="3055"/>
        <v/>
      </c>
      <c r="EU203" s="30" t="str">
        <f t="shared" si="3056"/>
        <v/>
      </c>
      <c r="EV203" s="30" t="str">
        <f t="shared" si="3057"/>
        <v/>
      </c>
      <c r="EW203" s="30" t="str">
        <f t="shared" si="3058"/>
        <v/>
      </c>
      <c r="EX203" s="30" t="str">
        <f t="shared" si="3059"/>
        <v/>
      </c>
      <c r="EY203" s="30" t="str">
        <f t="shared" si="3060"/>
        <v/>
      </c>
      <c r="EZ203" s="30" t="str">
        <f t="shared" si="3061"/>
        <v/>
      </c>
      <c r="FA203" s="30" t="str">
        <f t="shared" si="3062"/>
        <v/>
      </c>
      <c r="FB203" s="30" t="str">
        <f t="shared" si="3063"/>
        <v/>
      </c>
      <c r="FC203" s="30" t="str">
        <f t="shared" si="3064"/>
        <v/>
      </c>
      <c r="FD203" s="30" t="str">
        <f t="shared" si="3065"/>
        <v/>
      </c>
      <c r="FE203" s="30" t="str">
        <f t="shared" si="3066"/>
        <v/>
      </c>
      <c r="FF203" s="30" t="str">
        <f t="shared" si="3067"/>
        <v/>
      </c>
      <c r="FG203" s="30" t="str">
        <f t="shared" si="3068"/>
        <v/>
      </c>
      <c r="FH203" s="30" t="str">
        <f t="shared" si="3069"/>
        <v/>
      </c>
      <c r="FI203" s="30" t="str">
        <f t="shared" si="3070"/>
        <v/>
      </c>
      <c r="FJ203" s="30" t="str">
        <f t="shared" si="3071"/>
        <v/>
      </c>
      <c r="FK203" s="30" t="str">
        <f t="shared" si="3072"/>
        <v/>
      </c>
      <c r="FL203" s="30" t="str">
        <f t="shared" si="3073"/>
        <v/>
      </c>
      <c r="FM203" s="30" t="str">
        <f t="shared" si="3074"/>
        <v/>
      </c>
      <c r="FN203" s="30" t="str">
        <f t="shared" si="3075"/>
        <v/>
      </c>
      <c r="FO203" s="30" t="str">
        <f t="shared" si="3076"/>
        <v/>
      </c>
      <c r="FP203" s="30" t="str">
        <f t="shared" si="3077"/>
        <v/>
      </c>
      <c r="FQ203" s="30" t="str">
        <f t="shared" si="3078"/>
        <v/>
      </c>
      <c r="FR203" s="30" t="str">
        <f t="shared" si="3079"/>
        <v/>
      </c>
      <c r="FS203" s="30" t="str">
        <f t="shared" si="3080"/>
        <v/>
      </c>
    </row>
    <row r="204" spans="1:175">
      <c r="A204" s="66"/>
      <c r="B204" s="66" t="s">
        <v>564</v>
      </c>
      <c r="C204" s="29" t="s">
        <v>218</v>
      </c>
      <c r="T204" s="99"/>
      <c r="U204" s="32"/>
      <c r="CN204" s="7" t="str">
        <f t="shared" si="3081"/>
        <v>InitUnitState('IF21',,,,,,,,,,)</v>
      </c>
      <c r="CO204" s="7" t="str">
        <f t="shared" si="3082"/>
        <v>InitUnitNormal('IF21',,,,,,,,,,)</v>
      </c>
      <c r="CP204" s="7" t="str">
        <f t="shared" si="3083"/>
        <v>InitUnitMagic('IF21',,,,,,,,,,)</v>
      </c>
      <c r="CQ204" s="7" t="str">
        <f t="shared" si="3084"/>
        <v>InitUnitAdd('IF21',,,,,,,,,,)</v>
      </c>
      <c r="CR204" s="7" t="str">
        <f t="shared" si="3085"/>
        <v>InitEquipData('IF21',,"",,,,,'','','','','','',"")</v>
      </c>
      <c r="CU204" s="45" t="str">
        <f t="shared" si="3010"/>
        <v>|n</v>
      </c>
      <c r="CW204" s="24"/>
      <c r="CX204" s="24"/>
      <c r="CY204" s="24"/>
      <c r="CZ204" s="24"/>
      <c r="DA204" s="24"/>
      <c r="DB204" s="30" t="str">
        <f t="shared" si="3011"/>
        <v/>
      </c>
      <c r="DC204" s="30" t="str">
        <f t="shared" si="3012"/>
        <v/>
      </c>
      <c r="DD204" s="30" t="str">
        <f t="shared" si="3013"/>
        <v/>
      </c>
      <c r="DE204" s="30" t="str">
        <f t="shared" si="3014"/>
        <v/>
      </c>
      <c r="DF204" s="30" t="str">
        <f t="shared" si="3015"/>
        <v/>
      </c>
      <c r="DG204" s="30" t="str">
        <f t="shared" si="3016"/>
        <v/>
      </c>
      <c r="DH204" s="30" t="str">
        <f t="shared" si="3017"/>
        <v/>
      </c>
      <c r="DI204" s="30" t="str">
        <f t="shared" si="3018"/>
        <v/>
      </c>
      <c r="DJ204" s="30" t="str">
        <f t="shared" si="3019"/>
        <v/>
      </c>
      <c r="DK204" s="30" t="str">
        <f t="shared" si="3020"/>
        <v/>
      </c>
      <c r="DL204" s="30" t="str">
        <f t="shared" si="3021"/>
        <v/>
      </c>
      <c r="DM204" s="30" t="str">
        <f t="shared" si="3022"/>
        <v/>
      </c>
      <c r="DN204" s="30" t="str">
        <f t="shared" si="3023"/>
        <v/>
      </c>
      <c r="DO204" s="30" t="str">
        <f t="shared" si="3024"/>
        <v/>
      </c>
      <c r="DP204" s="30" t="str">
        <f t="shared" si="3025"/>
        <v/>
      </c>
      <c r="DQ204" s="30" t="str">
        <f t="shared" si="3026"/>
        <v/>
      </c>
      <c r="DR204" s="30" t="str">
        <f t="shared" si="3027"/>
        <v/>
      </c>
      <c r="DS204" s="30" t="str">
        <f t="shared" si="3028"/>
        <v/>
      </c>
      <c r="DT204" s="30" t="str">
        <f t="shared" si="3029"/>
        <v/>
      </c>
      <c r="DU204" s="30" t="str">
        <f t="shared" si="3030"/>
        <v/>
      </c>
      <c r="DV204" s="30" t="str">
        <f t="shared" si="3031"/>
        <v/>
      </c>
      <c r="DW204" s="30" t="str">
        <f t="shared" si="3032"/>
        <v/>
      </c>
      <c r="DX204" s="30" t="str">
        <f t="shared" si="3033"/>
        <v/>
      </c>
      <c r="DY204" s="30" t="str">
        <f t="shared" si="3034"/>
        <v/>
      </c>
      <c r="DZ204" s="30" t="str">
        <f t="shared" si="3035"/>
        <v/>
      </c>
      <c r="EA204" s="30" t="str">
        <f t="shared" si="3036"/>
        <v/>
      </c>
      <c r="EB204" s="30" t="str">
        <f t="shared" si="3037"/>
        <v/>
      </c>
      <c r="EC204" s="30" t="str">
        <f t="shared" si="3038"/>
        <v/>
      </c>
      <c r="ED204" s="30" t="str">
        <f t="shared" si="3039"/>
        <v/>
      </c>
      <c r="EE204" s="30" t="str">
        <f t="shared" si="3040"/>
        <v/>
      </c>
      <c r="EF204" s="30" t="str">
        <f t="shared" si="3041"/>
        <v/>
      </c>
      <c r="EG204" s="30" t="str">
        <f t="shared" si="3042"/>
        <v/>
      </c>
      <c r="EH204" s="30" t="str">
        <f t="shared" si="3043"/>
        <v/>
      </c>
      <c r="EI204" s="30" t="str">
        <f t="shared" si="3044"/>
        <v/>
      </c>
      <c r="EJ204" s="30" t="str">
        <f t="shared" si="3045"/>
        <v/>
      </c>
      <c r="EK204" s="30" t="str">
        <f t="shared" si="3046"/>
        <v/>
      </c>
      <c r="EL204" s="30" t="str">
        <f t="shared" si="3047"/>
        <v/>
      </c>
      <c r="EM204" s="30" t="str">
        <f t="shared" si="3048"/>
        <v/>
      </c>
      <c r="EN204" s="30" t="str">
        <f t="shared" si="3049"/>
        <v/>
      </c>
      <c r="EO204" s="30" t="str">
        <f t="shared" si="3050"/>
        <v/>
      </c>
      <c r="EP204" s="30" t="str">
        <f t="shared" si="3051"/>
        <v/>
      </c>
      <c r="EQ204" s="30" t="str">
        <f t="shared" si="3052"/>
        <v/>
      </c>
      <c r="ER204" s="30" t="str">
        <f t="shared" si="3053"/>
        <v/>
      </c>
      <c r="ES204" s="30" t="str">
        <f t="shared" si="3054"/>
        <v/>
      </c>
      <c r="ET204" s="30" t="str">
        <f t="shared" si="3055"/>
        <v/>
      </c>
      <c r="EU204" s="30" t="str">
        <f t="shared" si="3056"/>
        <v/>
      </c>
      <c r="EV204" s="30" t="str">
        <f t="shared" si="3057"/>
        <v/>
      </c>
      <c r="EW204" s="30" t="str">
        <f t="shared" si="3058"/>
        <v/>
      </c>
      <c r="EX204" s="30" t="str">
        <f t="shared" si="3059"/>
        <v/>
      </c>
      <c r="EY204" s="30" t="str">
        <f t="shared" si="3060"/>
        <v/>
      </c>
      <c r="EZ204" s="30" t="str">
        <f t="shared" si="3061"/>
        <v/>
      </c>
      <c r="FA204" s="30" t="str">
        <f t="shared" si="3062"/>
        <v/>
      </c>
      <c r="FB204" s="30" t="str">
        <f t="shared" si="3063"/>
        <v/>
      </c>
      <c r="FC204" s="30" t="str">
        <f t="shared" si="3064"/>
        <v/>
      </c>
      <c r="FD204" s="30" t="str">
        <f t="shared" si="3065"/>
        <v/>
      </c>
      <c r="FE204" s="30" t="str">
        <f t="shared" si="3066"/>
        <v/>
      </c>
      <c r="FF204" s="30" t="str">
        <f t="shared" si="3067"/>
        <v/>
      </c>
      <c r="FG204" s="30" t="str">
        <f t="shared" si="3068"/>
        <v/>
      </c>
      <c r="FH204" s="30" t="str">
        <f t="shared" si="3069"/>
        <v/>
      </c>
      <c r="FI204" s="30" t="str">
        <f t="shared" si="3070"/>
        <v/>
      </c>
      <c r="FJ204" s="30" t="str">
        <f t="shared" si="3071"/>
        <v/>
      </c>
      <c r="FK204" s="30" t="str">
        <f t="shared" si="3072"/>
        <v/>
      </c>
      <c r="FL204" s="30" t="str">
        <f t="shared" si="3073"/>
        <v/>
      </c>
      <c r="FM204" s="30" t="str">
        <f t="shared" si="3074"/>
        <v/>
      </c>
      <c r="FN204" s="30" t="str">
        <f t="shared" si="3075"/>
        <v/>
      </c>
      <c r="FO204" s="30" t="str">
        <f t="shared" si="3076"/>
        <v/>
      </c>
      <c r="FP204" s="30" t="str">
        <f t="shared" si="3077"/>
        <v/>
      </c>
      <c r="FQ204" s="30" t="str">
        <f t="shared" si="3078"/>
        <v/>
      </c>
      <c r="FR204" s="30" t="str">
        <f t="shared" si="3079"/>
        <v/>
      </c>
      <c r="FS204" s="30" t="str">
        <f t="shared" si="3080"/>
        <v/>
      </c>
    </row>
    <row r="205" spans="1:175">
      <c r="A205" s="66"/>
      <c r="B205" s="66" t="s">
        <v>565</v>
      </c>
      <c r="C205" s="29" t="s">
        <v>542</v>
      </c>
      <c r="T205" s="99"/>
      <c r="U205" s="32"/>
      <c r="CN205" s="7" t="str">
        <f t="shared" si="3081"/>
        <v>InitUnitState('IF22',,,,,,,,,,)</v>
      </c>
      <c r="CO205" s="7" t="str">
        <f t="shared" si="3082"/>
        <v>InitUnitNormal('IF22',,,,,,,,,,)</v>
      </c>
      <c r="CP205" s="7" t="str">
        <f t="shared" si="3083"/>
        <v>InitUnitMagic('IF22',,,,,,,,,,)</v>
      </c>
      <c r="CQ205" s="7" t="str">
        <f t="shared" si="3084"/>
        <v>InitUnitAdd('IF22',,,,,,,,,,)</v>
      </c>
      <c r="CR205" s="7" t="str">
        <f t="shared" si="3085"/>
        <v>InitEquipData('IF22',,"",,,,,'','','','','','',"")</v>
      </c>
      <c r="CU205" s="45" t="str">
        <f t="shared" si="3010"/>
        <v>|n</v>
      </c>
      <c r="CW205" s="24"/>
      <c r="CX205" s="24"/>
      <c r="CY205" s="24"/>
      <c r="CZ205" s="24"/>
      <c r="DA205" s="24"/>
      <c r="DB205" s="30" t="str">
        <f t="shared" si="3011"/>
        <v/>
      </c>
      <c r="DC205" s="30" t="str">
        <f t="shared" si="3012"/>
        <v/>
      </c>
      <c r="DD205" s="30" t="str">
        <f t="shared" si="3013"/>
        <v/>
      </c>
      <c r="DE205" s="30" t="str">
        <f t="shared" si="3014"/>
        <v/>
      </c>
      <c r="DF205" s="30" t="str">
        <f t="shared" si="3015"/>
        <v/>
      </c>
      <c r="DG205" s="30" t="str">
        <f t="shared" si="3016"/>
        <v/>
      </c>
      <c r="DH205" s="30" t="str">
        <f t="shared" si="3017"/>
        <v/>
      </c>
      <c r="DI205" s="30" t="str">
        <f t="shared" si="3018"/>
        <v/>
      </c>
      <c r="DJ205" s="30" t="str">
        <f t="shared" si="3019"/>
        <v/>
      </c>
      <c r="DK205" s="30" t="str">
        <f t="shared" si="3020"/>
        <v/>
      </c>
      <c r="DL205" s="30" t="str">
        <f t="shared" si="3021"/>
        <v/>
      </c>
      <c r="DM205" s="30" t="str">
        <f t="shared" si="3022"/>
        <v/>
      </c>
      <c r="DN205" s="30" t="str">
        <f t="shared" si="3023"/>
        <v/>
      </c>
      <c r="DO205" s="30" t="str">
        <f t="shared" si="3024"/>
        <v/>
      </c>
      <c r="DP205" s="30" t="str">
        <f t="shared" si="3025"/>
        <v/>
      </c>
      <c r="DQ205" s="30" t="str">
        <f t="shared" si="3026"/>
        <v/>
      </c>
      <c r="DR205" s="30" t="str">
        <f t="shared" si="3027"/>
        <v/>
      </c>
      <c r="DS205" s="30" t="str">
        <f t="shared" si="3028"/>
        <v/>
      </c>
      <c r="DT205" s="30" t="str">
        <f t="shared" si="3029"/>
        <v/>
      </c>
      <c r="DU205" s="30" t="str">
        <f t="shared" si="3030"/>
        <v/>
      </c>
      <c r="DV205" s="30" t="str">
        <f t="shared" si="3031"/>
        <v/>
      </c>
      <c r="DW205" s="30" t="str">
        <f t="shared" si="3032"/>
        <v/>
      </c>
      <c r="DX205" s="30" t="str">
        <f t="shared" si="3033"/>
        <v/>
      </c>
      <c r="DY205" s="30" t="str">
        <f t="shared" si="3034"/>
        <v/>
      </c>
      <c r="DZ205" s="30" t="str">
        <f t="shared" si="3035"/>
        <v/>
      </c>
      <c r="EA205" s="30" t="str">
        <f t="shared" si="3036"/>
        <v/>
      </c>
      <c r="EB205" s="30" t="str">
        <f t="shared" si="3037"/>
        <v/>
      </c>
      <c r="EC205" s="30" t="str">
        <f t="shared" si="3038"/>
        <v/>
      </c>
      <c r="ED205" s="30" t="str">
        <f t="shared" si="3039"/>
        <v/>
      </c>
      <c r="EE205" s="30" t="str">
        <f t="shared" si="3040"/>
        <v/>
      </c>
      <c r="EF205" s="30" t="str">
        <f t="shared" si="3041"/>
        <v/>
      </c>
      <c r="EG205" s="30" t="str">
        <f t="shared" si="3042"/>
        <v/>
      </c>
      <c r="EH205" s="30" t="str">
        <f t="shared" si="3043"/>
        <v/>
      </c>
      <c r="EI205" s="30" t="str">
        <f t="shared" si="3044"/>
        <v/>
      </c>
      <c r="EJ205" s="30" t="str">
        <f t="shared" si="3045"/>
        <v/>
      </c>
      <c r="EK205" s="30" t="str">
        <f t="shared" si="3046"/>
        <v/>
      </c>
      <c r="EL205" s="30" t="str">
        <f t="shared" si="3047"/>
        <v/>
      </c>
      <c r="EM205" s="30" t="str">
        <f t="shared" si="3048"/>
        <v/>
      </c>
      <c r="EN205" s="30" t="str">
        <f t="shared" si="3049"/>
        <v/>
      </c>
      <c r="EO205" s="30" t="str">
        <f t="shared" si="3050"/>
        <v/>
      </c>
      <c r="EP205" s="30" t="str">
        <f t="shared" si="3051"/>
        <v/>
      </c>
      <c r="EQ205" s="30" t="str">
        <f t="shared" si="3052"/>
        <v/>
      </c>
      <c r="ER205" s="30" t="str">
        <f t="shared" si="3053"/>
        <v/>
      </c>
      <c r="ES205" s="30" t="str">
        <f t="shared" si="3054"/>
        <v/>
      </c>
      <c r="ET205" s="30" t="str">
        <f t="shared" si="3055"/>
        <v/>
      </c>
      <c r="EU205" s="30" t="str">
        <f t="shared" si="3056"/>
        <v/>
      </c>
      <c r="EV205" s="30" t="str">
        <f t="shared" si="3057"/>
        <v/>
      </c>
      <c r="EW205" s="30" t="str">
        <f t="shared" si="3058"/>
        <v/>
      </c>
      <c r="EX205" s="30" t="str">
        <f t="shared" si="3059"/>
        <v/>
      </c>
      <c r="EY205" s="30" t="str">
        <f t="shared" si="3060"/>
        <v/>
      </c>
      <c r="EZ205" s="30" t="str">
        <f t="shared" si="3061"/>
        <v/>
      </c>
      <c r="FA205" s="30" t="str">
        <f t="shared" si="3062"/>
        <v/>
      </c>
      <c r="FB205" s="30" t="str">
        <f t="shared" si="3063"/>
        <v/>
      </c>
      <c r="FC205" s="30" t="str">
        <f t="shared" si="3064"/>
        <v/>
      </c>
      <c r="FD205" s="30" t="str">
        <f t="shared" si="3065"/>
        <v/>
      </c>
      <c r="FE205" s="30" t="str">
        <f t="shared" si="3066"/>
        <v/>
      </c>
      <c r="FF205" s="30" t="str">
        <f t="shared" si="3067"/>
        <v/>
      </c>
      <c r="FG205" s="30" t="str">
        <f t="shared" si="3068"/>
        <v/>
      </c>
      <c r="FH205" s="30" t="str">
        <f t="shared" si="3069"/>
        <v/>
      </c>
      <c r="FI205" s="30" t="str">
        <f t="shared" si="3070"/>
        <v/>
      </c>
      <c r="FJ205" s="30" t="str">
        <f t="shared" si="3071"/>
        <v/>
      </c>
      <c r="FK205" s="30" t="str">
        <f t="shared" si="3072"/>
        <v/>
      </c>
      <c r="FL205" s="30" t="str">
        <f t="shared" si="3073"/>
        <v/>
      </c>
      <c r="FM205" s="30" t="str">
        <f t="shared" si="3074"/>
        <v/>
      </c>
      <c r="FN205" s="30" t="str">
        <f t="shared" si="3075"/>
        <v/>
      </c>
      <c r="FO205" s="30" t="str">
        <f t="shared" si="3076"/>
        <v/>
      </c>
      <c r="FP205" s="30" t="str">
        <f t="shared" si="3077"/>
        <v/>
      </c>
      <c r="FQ205" s="30" t="str">
        <f t="shared" si="3078"/>
        <v/>
      </c>
      <c r="FR205" s="30" t="str">
        <f t="shared" si="3079"/>
        <v/>
      </c>
      <c r="FS205" s="30" t="str">
        <f t="shared" si="3080"/>
        <v/>
      </c>
    </row>
    <row r="206" spans="1:175">
      <c r="A206" s="66"/>
      <c r="B206" s="66" t="s">
        <v>566</v>
      </c>
      <c r="C206" s="29" t="s">
        <v>542</v>
      </c>
      <c r="T206" s="99"/>
      <c r="U206" s="32"/>
      <c r="CN206" s="7" t="str">
        <f t="shared" si="3081"/>
        <v>InitUnitState('IF23',,,,,,,,,,)</v>
      </c>
      <c r="CO206" s="7" t="str">
        <f t="shared" si="3082"/>
        <v>InitUnitNormal('IF23',,,,,,,,,,)</v>
      </c>
      <c r="CP206" s="7" t="str">
        <f t="shared" si="3083"/>
        <v>InitUnitMagic('IF23',,,,,,,,,,)</v>
      </c>
      <c r="CQ206" s="7" t="str">
        <f t="shared" si="3084"/>
        <v>InitUnitAdd('IF23',,,,,,,,,,)</v>
      </c>
      <c r="CR206" s="7" t="str">
        <f t="shared" si="3085"/>
        <v>InitEquipData('IF23',,"",,,,,'','','','','','',"")</v>
      </c>
      <c r="CU206" s="45" t="str">
        <f t="shared" si="3010"/>
        <v>|n</v>
      </c>
      <c r="CW206" s="24"/>
      <c r="CX206" s="24"/>
      <c r="CY206" s="24"/>
      <c r="CZ206" s="24"/>
      <c r="DA206" s="24"/>
      <c r="DB206" s="30" t="str">
        <f t="shared" si="3011"/>
        <v/>
      </c>
      <c r="DC206" s="30" t="str">
        <f t="shared" si="3012"/>
        <v/>
      </c>
      <c r="DD206" s="30" t="str">
        <f t="shared" si="3013"/>
        <v/>
      </c>
      <c r="DE206" s="30" t="str">
        <f t="shared" si="3014"/>
        <v/>
      </c>
      <c r="DF206" s="30" t="str">
        <f t="shared" si="3015"/>
        <v/>
      </c>
      <c r="DG206" s="30" t="str">
        <f t="shared" si="3016"/>
        <v/>
      </c>
      <c r="DH206" s="30" t="str">
        <f t="shared" si="3017"/>
        <v/>
      </c>
      <c r="DI206" s="30" t="str">
        <f t="shared" si="3018"/>
        <v/>
      </c>
      <c r="DJ206" s="30" t="str">
        <f t="shared" si="3019"/>
        <v/>
      </c>
      <c r="DK206" s="30" t="str">
        <f t="shared" si="3020"/>
        <v/>
      </c>
      <c r="DL206" s="30" t="str">
        <f t="shared" si="3021"/>
        <v/>
      </c>
      <c r="DM206" s="30" t="str">
        <f t="shared" si="3022"/>
        <v/>
      </c>
      <c r="DN206" s="30" t="str">
        <f t="shared" si="3023"/>
        <v/>
      </c>
      <c r="DO206" s="30" t="str">
        <f t="shared" si="3024"/>
        <v/>
      </c>
      <c r="DP206" s="30" t="str">
        <f t="shared" si="3025"/>
        <v/>
      </c>
      <c r="DQ206" s="30" t="str">
        <f t="shared" si="3026"/>
        <v/>
      </c>
      <c r="DR206" s="30" t="str">
        <f t="shared" si="3027"/>
        <v/>
      </c>
      <c r="DS206" s="30" t="str">
        <f t="shared" si="3028"/>
        <v/>
      </c>
      <c r="DT206" s="30" t="str">
        <f t="shared" si="3029"/>
        <v/>
      </c>
      <c r="DU206" s="30" t="str">
        <f t="shared" si="3030"/>
        <v/>
      </c>
      <c r="DV206" s="30" t="str">
        <f t="shared" si="3031"/>
        <v/>
      </c>
      <c r="DW206" s="30" t="str">
        <f t="shared" si="3032"/>
        <v/>
      </c>
      <c r="DX206" s="30" t="str">
        <f t="shared" si="3033"/>
        <v/>
      </c>
      <c r="DY206" s="30" t="str">
        <f t="shared" si="3034"/>
        <v/>
      </c>
      <c r="DZ206" s="30" t="str">
        <f t="shared" si="3035"/>
        <v/>
      </c>
      <c r="EA206" s="30" t="str">
        <f t="shared" si="3036"/>
        <v/>
      </c>
      <c r="EB206" s="30" t="str">
        <f t="shared" si="3037"/>
        <v/>
      </c>
      <c r="EC206" s="30" t="str">
        <f t="shared" si="3038"/>
        <v/>
      </c>
      <c r="ED206" s="30" t="str">
        <f t="shared" si="3039"/>
        <v/>
      </c>
      <c r="EE206" s="30" t="str">
        <f t="shared" si="3040"/>
        <v/>
      </c>
      <c r="EF206" s="30" t="str">
        <f t="shared" si="3041"/>
        <v/>
      </c>
      <c r="EG206" s="30" t="str">
        <f t="shared" si="3042"/>
        <v/>
      </c>
      <c r="EH206" s="30" t="str">
        <f t="shared" si="3043"/>
        <v/>
      </c>
      <c r="EI206" s="30" t="str">
        <f t="shared" si="3044"/>
        <v/>
      </c>
      <c r="EJ206" s="30" t="str">
        <f t="shared" si="3045"/>
        <v/>
      </c>
      <c r="EK206" s="30" t="str">
        <f t="shared" si="3046"/>
        <v/>
      </c>
      <c r="EL206" s="30" t="str">
        <f t="shared" si="3047"/>
        <v/>
      </c>
      <c r="EM206" s="30" t="str">
        <f t="shared" si="3048"/>
        <v/>
      </c>
      <c r="EN206" s="30" t="str">
        <f t="shared" si="3049"/>
        <v/>
      </c>
      <c r="EO206" s="30" t="str">
        <f t="shared" si="3050"/>
        <v/>
      </c>
      <c r="EP206" s="30" t="str">
        <f t="shared" si="3051"/>
        <v/>
      </c>
      <c r="EQ206" s="30" t="str">
        <f t="shared" si="3052"/>
        <v/>
      </c>
      <c r="ER206" s="30" t="str">
        <f t="shared" si="3053"/>
        <v/>
      </c>
      <c r="ES206" s="30" t="str">
        <f t="shared" si="3054"/>
        <v/>
      </c>
      <c r="ET206" s="30" t="str">
        <f t="shared" si="3055"/>
        <v/>
      </c>
      <c r="EU206" s="30" t="str">
        <f t="shared" si="3056"/>
        <v/>
      </c>
      <c r="EV206" s="30" t="str">
        <f t="shared" si="3057"/>
        <v/>
      </c>
      <c r="EW206" s="30" t="str">
        <f t="shared" si="3058"/>
        <v/>
      </c>
      <c r="EX206" s="30" t="str">
        <f t="shared" si="3059"/>
        <v/>
      </c>
      <c r="EY206" s="30" t="str">
        <f t="shared" si="3060"/>
        <v/>
      </c>
      <c r="EZ206" s="30" t="str">
        <f t="shared" si="3061"/>
        <v/>
      </c>
      <c r="FA206" s="30" t="str">
        <f t="shared" si="3062"/>
        <v/>
      </c>
      <c r="FB206" s="30" t="str">
        <f t="shared" si="3063"/>
        <v/>
      </c>
      <c r="FC206" s="30" t="str">
        <f t="shared" si="3064"/>
        <v/>
      </c>
      <c r="FD206" s="30" t="str">
        <f t="shared" si="3065"/>
        <v/>
      </c>
      <c r="FE206" s="30" t="str">
        <f t="shared" si="3066"/>
        <v/>
      </c>
      <c r="FF206" s="30" t="str">
        <f t="shared" si="3067"/>
        <v/>
      </c>
      <c r="FG206" s="30" t="str">
        <f t="shared" si="3068"/>
        <v/>
      </c>
      <c r="FH206" s="30" t="str">
        <f t="shared" si="3069"/>
        <v/>
      </c>
      <c r="FI206" s="30" t="str">
        <f t="shared" si="3070"/>
        <v/>
      </c>
      <c r="FJ206" s="30" t="str">
        <f t="shared" si="3071"/>
        <v/>
      </c>
      <c r="FK206" s="30" t="str">
        <f t="shared" si="3072"/>
        <v/>
      </c>
      <c r="FL206" s="30" t="str">
        <f t="shared" si="3073"/>
        <v/>
      </c>
      <c r="FM206" s="30" t="str">
        <f t="shared" si="3074"/>
        <v/>
      </c>
      <c r="FN206" s="30" t="str">
        <f t="shared" si="3075"/>
        <v/>
      </c>
      <c r="FO206" s="30" t="str">
        <f t="shared" si="3076"/>
        <v/>
      </c>
      <c r="FP206" s="30" t="str">
        <f t="shared" si="3077"/>
        <v/>
      </c>
      <c r="FQ206" s="30" t="str">
        <f t="shared" si="3078"/>
        <v/>
      </c>
      <c r="FR206" s="30" t="str">
        <f t="shared" si="3079"/>
        <v/>
      </c>
      <c r="FS206" s="30" t="str">
        <f t="shared" si="3080"/>
        <v/>
      </c>
    </row>
    <row r="207" spans="1:175">
      <c r="A207" s="66"/>
      <c r="B207" s="66" t="s">
        <v>567</v>
      </c>
      <c r="C207" s="29" t="s">
        <v>216</v>
      </c>
      <c r="T207" s="99"/>
      <c r="U207" s="32"/>
      <c r="CN207" s="7" t="str">
        <f t="shared" si="3081"/>
        <v>InitUnitState('IF24',,,,,,,,,,)</v>
      </c>
      <c r="CO207" s="7" t="str">
        <f t="shared" si="3082"/>
        <v>InitUnitNormal('IF24',,,,,,,,,,)</v>
      </c>
      <c r="CP207" s="7" t="str">
        <f t="shared" si="3083"/>
        <v>InitUnitMagic('IF24',,,,,,,,,,)</v>
      </c>
      <c r="CQ207" s="7" t="str">
        <f t="shared" si="3084"/>
        <v>InitUnitAdd('IF24',,,,,,,,,,)</v>
      </c>
      <c r="CR207" s="7" t="str">
        <f t="shared" si="3085"/>
        <v>InitEquipData('IF24',,"",,,,,'','','','','','',"")</v>
      </c>
      <c r="CU207" s="45" t="str">
        <f t="shared" ref="CU207:CU248" si="3086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24"/>
      <c r="CX207" s="24"/>
      <c r="CY207" s="24"/>
      <c r="CZ207" s="24"/>
      <c r="DA207" s="24"/>
      <c r="DB207" s="30" t="str">
        <f t="shared" ref="DB207:DB248" si="3087">IF(V207="","","|n"&amp;DB$2&amp;"+"&amp;V207&amp;DB$1)</f>
        <v/>
      </c>
      <c r="DC207" s="30" t="str">
        <f t="shared" ref="DC207:DC248" si="3088">IF(W207="","","|n"&amp;DC$2&amp;"+"&amp;W207&amp;DC$1)</f>
        <v/>
      </c>
      <c r="DD207" s="30" t="str">
        <f t="shared" ref="DD207:DD248" si="3089">IF(X207="","","|n"&amp;DD$2&amp;"+"&amp;X207&amp;DD$1)</f>
        <v/>
      </c>
      <c r="DE207" s="30" t="str">
        <f t="shared" ref="DE207:DE248" si="3090">IF(Y207="","","|n"&amp;DE$2&amp;"+"&amp;Y207&amp;DE$1)</f>
        <v/>
      </c>
      <c r="DF207" s="30" t="str">
        <f t="shared" ref="DF207:DF248" si="3091">IF(Z207="","","|n"&amp;DF$2&amp;"+"&amp;Z207&amp;DF$1)</f>
        <v/>
      </c>
      <c r="DG207" s="30" t="str">
        <f t="shared" ref="DG207:DG248" si="3092">IF(AA207="","","|n"&amp;DG$2&amp;"+"&amp;AA207&amp;DG$1)</f>
        <v/>
      </c>
      <c r="DH207" s="30" t="str">
        <f t="shared" ref="DH207:DH248" si="3093">IF(AB207="","","|n"&amp;DH$2&amp;"+"&amp;AB207&amp;DH$1)</f>
        <v/>
      </c>
      <c r="DI207" s="30" t="str">
        <f t="shared" ref="DI207:DI248" si="3094">IF(AC207="","","|n"&amp;DI$2&amp;"+"&amp;AC207&amp;DI$1)</f>
        <v/>
      </c>
      <c r="DJ207" s="30" t="str">
        <f t="shared" ref="DJ207:DJ248" si="3095">IF(AD207="","","|n"&amp;DJ$2&amp;"+"&amp;AD207&amp;DJ$1)</f>
        <v/>
      </c>
      <c r="DK207" s="30" t="str">
        <f t="shared" ref="DK207:DK248" si="3096">IF(AE207="","","|n"&amp;DK$2&amp;"+"&amp;AE207&amp;DK$1)</f>
        <v/>
      </c>
      <c r="DL207" s="30" t="str">
        <f t="shared" ref="DL207:DL248" si="3097">IF(AF207="","","|n"&amp;DL$2&amp;"+"&amp;AF207&amp;DL$1)</f>
        <v/>
      </c>
      <c r="DM207" s="30" t="str">
        <f t="shared" ref="DM207:DM248" si="3098">IF(AG207="","","|n"&amp;DM$2&amp;"+"&amp;AG207&amp;DM$1)</f>
        <v/>
      </c>
      <c r="DN207" s="30" t="str">
        <f t="shared" ref="DN207:DN248" si="3099">IF(AH207="","","|n"&amp;DN$2&amp;"+"&amp;AH207&amp;DN$1)</f>
        <v/>
      </c>
      <c r="DO207" s="30" t="str">
        <f t="shared" ref="DO207:DO248" si="3100">IF(AI207="","","|n"&amp;DO$2&amp;"+"&amp;AI207&amp;DO$1)</f>
        <v/>
      </c>
      <c r="DP207" s="30" t="str">
        <f t="shared" ref="DP207:DP248" si="3101">IF(AJ207="","","|n"&amp;DP$2&amp;"+"&amp;AJ207&amp;DP$1)</f>
        <v/>
      </c>
      <c r="DQ207" s="30" t="str">
        <f t="shared" ref="DQ207:DQ248" si="3102">IF(AK207="","","|n"&amp;DQ$2&amp;"+"&amp;AK207&amp;DQ$1)</f>
        <v/>
      </c>
      <c r="DR207" s="30" t="str">
        <f t="shared" ref="DR207:DR248" si="3103">IF(AL207="","","|n"&amp;DR$2&amp;"+"&amp;AL207&amp;DR$1)</f>
        <v/>
      </c>
      <c r="DS207" s="30" t="str">
        <f t="shared" ref="DS207:DS248" si="3104">IF(AM207="","","|n"&amp;DS$2&amp;"+"&amp;AM207&amp;DS$1)</f>
        <v/>
      </c>
      <c r="DT207" s="30" t="str">
        <f t="shared" ref="DT207:DT248" si="3105">IF(AN207="","","|n"&amp;DT$2&amp;"+"&amp;AN207&amp;DT$1)</f>
        <v/>
      </c>
      <c r="DU207" s="30" t="str">
        <f t="shared" ref="DU207:DU248" si="3106">IF(AO207="","","|n"&amp;DU$2&amp;"+"&amp;AO207&amp;DU$1)</f>
        <v/>
      </c>
      <c r="DV207" s="30" t="str">
        <f t="shared" ref="DV207:DV248" si="3107">IF(AP207="","","|n"&amp;DV$2&amp;"+"&amp;AP207&amp;DV$1)</f>
        <v/>
      </c>
      <c r="DW207" s="30" t="str">
        <f t="shared" ref="DW207:DW248" si="3108">IF(AQ207="","","|n"&amp;DW$2&amp;"+"&amp;AQ207&amp;DW$1)</f>
        <v/>
      </c>
      <c r="DX207" s="30" t="str">
        <f t="shared" ref="DX207:DX248" si="3109">IF(AR207="","","|n"&amp;DX$2&amp;"+"&amp;AR207&amp;DX$1)</f>
        <v/>
      </c>
      <c r="DY207" s="30" t="str">
        <f t="shared" ref="DY207:DY248" si="3110">IF(AS207="","","|n"&amp;DY$2&amp;"+"&amp;AS207&amp;DY$1)</f>
        <v/>
      </c>
      <c r="DZ207" s="30" t="str">
        <f t="shared" ref="DZ207:DZ248" si="3111">IF(AT207="","","|n"&amp;DZ$2&amp;"+"&amp;AT207&amp;DZ$1)</f>
        <v/>
      </c>
      <c r="EA207" s="30" t="str">
        <f t="shared" ref="EA207:EA248" si="3112">IF(AU207="","","|n"&amp;EA$2&amp;"+"&amp;AU207&amp;EA$1)</f>
        <v/>
      </c>
      <c r="EB207" s="30" t="str">
        <f t="shared" ref="EB207:EB248" si="3113">IF(AV207="","","|n"&amp;EB$2&amp;"+"&amp;AV207&amp;EB$1)</f>
        <v/>
      </c>
      <c r="EC207" s="30" t="str">
        <f t="shared" ref="EC207:EC248" si="3114">IF(AW207="","","|n"&amp;EC$2&amp;"+"&amp;AW207&amp;EC$1)</f>
        <v/>
      </c>
      <c r="ED207" s="30" t="str">
        <f t="shared" ref="ED207:ED248" si="3115">IF(AX207="","","|n"&amp;ED$2&amp;"+"&amp;AX207&amp;ED$1)</f>
        <v/>
      </c>
      <c r="EE207" s="30" t="str">
        <f t="shared" ref="EE207:EE248" si="3116">IF(AY207="","","|n"&amp;EE$2&amp;"+"&amp;AY207&amp;EE$1)</f>
        <v/>
      </c>
      <c r="EF207" s="30" t="str">
        <f t="shared" ref="EF207:EF248" si="3117">IF(AZ207="","","|n"&amp;EF$2&amp;"+"&amp;AZ207&amp;EF$1)</f>
        <v/>
      </c>
      <c r="EG207" s="30" t="str">
        <f t="shared" ref="EG207:EG248" si="3118">IF(BA207="","","|n"&amp;EG$2&amp;"+"&amp;BA207&amp;EG$1)</f>
        <v/>
      </c>
      <c r="EH207" s="30" t="str">
        <f t="shared" ref="EH207:EH248" si="3119">IF(BB207="","","|n"&amp;EH$2&amp;"+"&amp;BB207&amp;EH$1)</f>
        <v/>
      </c>
      <c r="EI207" s="30" t="str">
        <f t="shared" ref="EI207:EI248" si="3120">IF(BC207="","","|n"&amp;EI$2&amp;"+"&amp;BC207&amp;EI$1)</f>
        <v/>
      </c>
      <c r="EJ207" s="30" t="str">
        <f t="shared" ref="EJ207:EJ248" si="3121">IF(BD207="","","|n"&amp;EJ$2&amp;"+"&amp;BD207&amp;EJ$1)</f>
        <v/>
      </c>
      <c r="EK207" s="30" t="str">
        <f t="shared" ref="EK207:EK248" si="3122">IF(BE207="","","|n"&amp;EK$2&amp;"+"&amp;BE207&amp;EK$1)</f>
        <v/>
      </c>
      <c r="EL207" s="30" t="str">
        <f t="shared" ref="EL207:EL248" si="3123">IF(BF207="","","|n"&amp;EL$2&amp;"+"&amp;BF207&amp;EL$1)</f>
        <v/>
      </c>
      <c r="EM207" s="30" t="str">
        <f t="shared" ref="EM207:EM248" si="3124">IF(BG207="","","|n"&amp;EM$2&amp;"+"&amp;BG207&amp;EM$1)</f>
        <v/>
      </c>
      <c r="EN207" s="30" t="str">
        <f t="shared" ref="EN207:EN248" si="3125">IF(BH207="","","|n"&amp;EN$2&amp;"+"&amp;BH207&amp;EN$1)</f>
        <v/>
      </c>
      <c r="EO207" s="30" t="str">
        <f t="shared" ref="EO207:EO248" si="3126">IF(BI207="","","|n"&amp;EO$2&amp;"+"&amp;BI207&amp;EO$1)</f>
        <v/>
      </c>
      <c r="EP207" s="30" t="str">
        <f t="shared" ref="EP207:EP248" si="3127">IF(BJ207="","","|n"&amp;EP$2&amp;"+"&amp;BJ207&amp;EP$1)</f>
        <v/>
      </c>
      <c r="EQ207" s="30" t="str">
        <f t="shared" ref="EQ207:EQ248" si="3128">IF(BK207="","","|n"&amp;EQ$2&amp;"+"&amp;BK207&amp;EQ$1)</f>
        <v/>
      </c>
      <c r="ER207" s="30" t="str">
        <f t="shared" ref="ER207:ER248" si="3129">IF(BL207="","","|n"&amp;ER$2&amp;"+"&amp;BL207&amp;ER$1)</f>
        <v/>
      </c>
      <c r="ES207" s="30" t="str">
        <f t="shared" ref="ES207:ES248" si="3130">IF(BM207="","","|n"&amp;ES$2&amp;"+"&amp;BM207&amp;ES$1)</f>
        <v/>
      </c>
      <c r="ET207" s="30" t="str">
        <f t="shared" ref="ET207:ET248" si="3131">IF(BN207="","","|n"&amp;ET$2&amp;"+"&amp;BN207&amp;ET$1)</f>
        <v/>
      </c>
      <c r="EU207" s="30" t="str">
        <f t="shared" ref="EU207:EU248" si="3132">IF(BO207="","","|n"&amp;EU$2&amp;"+"&amp;BO207&amp;EU$1)</f>
        <v/>
      </c>
      <c r="EV207" s="30" t="str">
        <f t="shared" ref="EV207:EV248" si="3133">IF(BP207="","","|n"&amp;EV$2&amp;"+"&amp;BP207&amp;EV$1)</f>
        <v/>
      </c>
      <c r="EW207" s="30" t="str">
        <f t="shared" ref="EW207:EW248" si="3134">IF(BQ207="","","|n"&amp;EW$2&amp;"+"&amp;BQ207&amp;EW$1)</f>
        <v/>
      </c>
      <c r="EX207" s="30" t="str">
        <f t="shared" ref="EX207:EX248" si="3135">IF(BR207="","","|n"&amp;EX$2&amp;"+"&amp;BR207&amp;EX$1)</f>
        <v/>
      </c>
      <c r="EY207" s="30" t="str">
        <f t="shared" ref="EY207:EY248" si="3136">IF(BS207="","","|n"&amp;EY$2&amp;"+"&amp;BS207&amp;EY$1)</f>
        <v/>
      </c>
      <c r="EZ207" s="30" t="str">
        <f t="shared" ref="EZ207:EZ248" si="3137">IF(BT207="","","|n"&amp;EZ$2&amp;"+"&amp;BT207&amp;EZ$1)</f>
        <v/>
      </c>
      <c r="FA207" s="30" t="str">
        <f t="shared" ref="FA207:FA248" si="3138">IF(BU207="","","|n"&amp;FA$2&amp;"+"&amp;BU207&amp;FA$1)</f>
        <v/>
      </c>
      <c r="FB207" s="30" t="str">
        <f t="shared" ref="FB207:FB248" si="3139">IF(BV207="","","|n"&amp;FB$2&amp;"+"&amp;BV207&amp;FB$1)</f>
        <v/>
      </c>
      <c r="FC207" s="30" t="str">
        <f t="shared" ref="FC207:FC248" si="3140">IF(BW207="","","|n"&amp;FC$2&amp;"+"&amp;BW207&amp;FC$1)</f>
        <v/>
      </c>
      <c r="FD207" s="30" t="str">
        <f t="shared" ref="FD207:FD248" si="3141">IF(BX207="","","|n"&amp;FD$2&amp;"+"&amp;BX207&amp;FD$1)</f>
        <v/>
      </c>
      <c r="FE207" s="30" t="str">
        <f t="shared" ref="FE207:FE248" si="3142">IF(BY207="","","|n"&amp;FE$2&amp;"+"&amp;BY207&amp;FE$1)</f>
        <v/>
      </c>
      <c r="FF207" s="30" t="str">
        <f t="shared" ref="FF207:FF248" si="3143">IF(BZ207="","","|n"&amp;FF$2&amp;"+"&amp;BZ207&amp;FF$1)</f>
        <v/>
      </c>
      <c r="FG207" s="30" t="str">
        <f t="shared" ref="FG207:FG248" si="3144">IF(CA207="","","|n"&amp;FG$2&amp;"+"&amp;CA207&amp;FG$1)</f>
        <v/>
      </c>
      <c r="FH207" s="30" t="str">
        <f t="shared" ref="FH207:FH248" si="3145">IF(CB207="","","|n"&amp;FH$2&amp;"+"&amp;CB207&amp;FH$1)</f>
        <v/>
      </c>
      <c r="FI207" s="30" t="str">
        <f t="shared" ref="FI207:FI248" si="3146">IF(CC207="","","|n"&amp;FI$2&amp;"+"&amp;CC207&amp;FI$1)</f>
        <v/>
      </c>
      <c r="FJ207" s="30" t="str">
        <f t="shared" ref="FJ207:FJ248" si="3147">IF(CD207="","","|n"&amp;FJ$2&amp;"+"&amp;CD207&amp;FJ$1)</f>
        <v/>
      </c>
      <c r="FK207" s="30" t="str">
        <f t="shared" ref="FK207:FK248" si="3148">IF(CE207="","","|n"&amp;FK$2&amp;"+"&amp;CE207&amp;FK$1)</f>
        <v/>
      </c>
      <c r="FL207" s="30" t="str">
        <f t="shared" ref="FL207:FL248" si="3149">IF(CF207="","","|n"&amp;FL$2&amp;"+"&amp;CF207&amp;FL$1)</f>
        <v/>
      </c>
      <c r="FM207" s="30" t="str">
        <f t="shared" ref="FM207:FM248" si="3150">IF(CG207="","","|n"&amp;FM$2&amp;"+"&amp;CG207&amp;FM$1)</f>
        <v/>
      </c>
      <c r="FN207" s="30" t="str">
        <f t="shared" ref="FN207:FN248" si="3151">IF(CH207="","","|n"&amp;FN$2&amp;"+"&amp;CH207&amp;FN$1)</f>
        <v/>
      </c>
      <c r="FO207" s="30" t="str">
        <f t="shared" ref="FO207:FO248" si="3152">IF(CI207="","","|n"&amp;FO$2&amp;"+"&amp;CI207&amp;FO$1)</f>
        <v/>
      </c>
      <c r="FP207" s="30" t="str">
        <f t="shared" ref="FP207:FP248" si="3153">IF(CJ207="","","|n"&amp;FP$2&amp;"+"&amp;CJ207&amp;FP$1)</f>
        <v/>
      </c>
      <c r="FQ207" s="30" t="str">
        <f t="shared" ref="FQ207:FQ248" si="3154">IF(CK207="","","|n"&amp;FQ$2&amp;"+"&amp;CK207&amp;FQ$1)</f>
        <v/>
      </c>
      <c r="FR207" s="30" t="str">
        <f t="shared" ref="FR207:FR248" si="3155">IF(CL207="","","|n"&amp;FR$2&amp;"+"&amp;CL207&amp;FR$1)</f>
        <v/>
      </c>
      <c r="FS207" s="30" t="str">
        <f t="shared" ref="FS207:FS248" si="3156">IF(CM207="","","|n"&amp;FS$2&amp;"+"&amp;CM207&amp;FS$1)</f>
        <v/>
      </c>
    </row>
    <row r="208" spans="1:175">
      <c r="A208" s="66"/>
      <c r="B208" s="66" t="s">
        <v>568</v>
      </c>
      <c r="C208" s="29" t="s">
        <v>543</v>
      </c>
      <c r="T208" s="99"/>
      <c r="U208" s="32"/>
      <c r="CN208" s="7" t="str">
        <f t="shared" si="3081"/>
        <v>InitUnitState('IF25',,,,,,,,,,)</v>
      </c>
      <c r="CO208" s="7" t="str">
        <f t="shared" si="3082"/>
        <v>InitUnitNormal('IF25',,,,,,,,,,)</v>
      </c>
      <c r="CP208" s="7" t="str">
        <f t="shared" si="3083"/>
        <v>InitUnitMagic('IF25',,,,,,,,,,)</v>
      </c>
      <c r="CQ208" s="7" t="str">
        <f t="shared" si="3084"/>
        <v>InitUnitAdd('IF25',,,,,,,,,,)</v>
      </c>
      <c r="CR208" s="7" t="str">
        <f t="shared" si="3085"/>
        <v>InitEquipData('IF25',,"",,,,,'','','','','','',"")</v>
      </c>
      <c r="CU208" s="45" t="str">
        <f t="shared" si="3086"/>
        <v>|n</v>
      </c>
      <c r="CW208" s="24"/>
      <c r="CX208" s="24"/>
      <c r="CY208" s="24"/>
      <c r="CZ208" s="24"/>
      <c r="DA208" s="24"/>
      <c r="DB208" s="30" t="str">
        <f t="shared" si="3087"/>
        <v/>
      </c>
      <c r="DC208" s="30" t="str">
        <f t="shared" si="3088"/>
        <v/>
      </c>
      <c r="DD208" s="30" t="str">
        <f t="shared" si="3089"/>
        <v/>
      </c>
      <c r="DE208" s="30" t="str">
        <f t="shared" si="3090"/>
        <v/>
      </c>
      <c r="DF208" s="30" t="str">
        <f t="shared" si="3091"/>
        <v/>
      </c>
      <c r="DG208" s="30" t="str">
        <f t="shared" si="3092"/>
        <v/>
      </c>
      <c r="DH208" s="30" t="str">
        <f t="shared" si="3093"/>
        <v/>
      </c>
      <c r="DI208" s="30" t="str">
        <f t="shared" si="3094"/>
        <v/>
      </c>
      <c r="DJ208" s="30" t="str">
        <f t="shared" si="3095"/>
        <v/>
      </c>
      <c r="DK208" s="30" t="str">
        <f t="shared" si="3096"/>
        <v/>
      </c>
      <c r="DL208" s="30" t="str">
        <f t="shared" si="3097"/>
        <v/>
      </c>
      <c r="DM208" s="30" t="str">
        <f t="shared" si="3098"/>
        <v/>
      </c>
      <c r="DN208" s="30" t="str">
        <f t="shared" si="3099"/>
        <v/>
      </c>
      <c r="DO208" s="30" t="str">
        <f t="shared" si="3100"/>
        <v/>
      </c>
      <c r="DP208" s="30" t="str">
        <f t="shared" si="3101"/>
        <v/>
      </c>
      <c r="DQ208" s="30" t="str">
        <f t="shared" si="3102"/>
        <v/>
      </c>
      <c r="DR208" s="30" t="str">
        <f t="shared" si="3103"/>
        <v/>
      </c>
      <c r="DS208" s="30" t="str">
        <f t="shared" si="3104"/>
        <v/>
      </c>
      <c r="DT208" s="30" t="str">
        <f t="shared" si="3105"/>
        <v/>
      </c>
      <c r="DU208" s="30" t="str">
        <f t="shared" si="3106"/>
        <v/>
      </c>
      <c r="DV208" s="30" t="str">
        <f t="shared" si="3107"/>
        <v/>
      </c>
      <c r="DW208" s="30" t="str">
        <f t="shared" si="3108"/>
        <v/>
      </c>
      <c r="DX208" s="30" t="str">
        <f t="shared" si="3109"/>
        <v/>
      </c>
      <c r="DY208" s="30" t="str">
        <f t="shared" si="3110"/>
        <v/>
      </c>
      <c r="DZ208" s="30" t="str">
        <f t="shared" si="3111"/>
        <v/>
      </c>
      <c r="EA208" s="30" t="str">
        <f t="shared" si="3112"/>
        <v/>
      </c>
      <c r="EB208" s="30" t="str">
        <f t="shared" si="3113"/>
        <v/>
      </c>
      <c r="EC208" s="30" t="str">
        <f t="shared" si="3114"/>
        <v/>
      </c>
      <c r="ED208" s="30" t="str">
        <f t="shared" si="3115"/>
        <v/>
      </c>
      <c r="EE208" s="30" t="str">
        <f t="shared" si="3116"/>
        <v/>
      </c>
      <c r="EF208" s="30" t="str">
        <f t="shared" si="3117"/>
        <v/>
      </c>
      <c r="EG208" s="30" t="str">
        <f t="shared" si="3118"/>
        <v/>
      </c>
      <c r="EH208" s="30" t="str">
        <f t="shared" si="3119"/>
        <v/>
      </c>
      <c r="EI208" s="30" t="str">
        <f t="shared" si="3120"/>
        <v/>
      </c>
      <c r="EJ208" s="30" t="str">
        <f t="shared" si="3121"/>
        <v/>
      </c>
      <c r="EK208" s="30" t="str">
        <f t="shared" si="3122"/>
        <v/>
      </c>
      <c r="EL208" s="30" t="str">
        <f t="shared" si="3123"/>
        <v/>
      </c>
      <c r="EM208" s="30" t="str">
        <f t="shared" si="3124"/>
        <v/>
      </c>
      <c r="EN208" s="30" t="str">
        <f t="shared" si="3125"/>
        <v/>
      </c>
      <c r="EO208" s="30" t="str">
        <f t="shared" si="3126"/>
        <v/>
      </c>
      <c r="EP208" s="30" t="str">
        <f t="shared" si="3127"/>
        <v/>
      </c>
      <c r="EQ208" s="30" t="str">
        <f t="shared" si="3128"/>
        <v/>
      </c>
      <c r="ER208" s="30" t="str">
        <f t="shared" si="3129"/>
        <v/>
      </c>
      <c r="ES208" s="30" t="str">
        <f t="shared" si="3130"/>
        <v/>
      </c>
      <c r="ET208" s="30" t="str">
        <f t="shared" si="3131"/>
        <v/>
      </c>
      <c r="EU208" s="30" t="str">
        <f t="shared" si="3132"/>
        <v/>
      </c>
      <c r="EV208" s="30" t="str">
        <f t="shared" si="3133"/>
        <v/>
      </c>
      <c r="EW208" s="30" t="str">
        <f t="shared" si="3134"/>
        <v/>
      </c>
      <c r="EX208" s="30" t="str">
        <f t="shared" si="3135"/>
        <v/>
      </c>
      <c r="EY208" s="30" t="str">
        <f t="shared" si="3136"/>
        <v/>
      </c>
      <c r="EZ208" s="30" t="str">
        <f t="shared" si="3137"/>
        <v/>
      </c>
      <c r="FA208" s="30" t="str">
        <f t="shared" si="3138"/>
        <v/>
      </c>
      <c r="FB208" s="30" t="str">
        <f t="shared" si="3139"/>
        <v/>
      </c>
      <c r="FC208" s="30" t="str">
        <f t="shared" si="3140"/>
        <v/>
      </c>
      <c r="FD208" s="30" t="str">
        <f t="shared" si="3141"/>
        <v/>
      </c>
      <c r="FE208" s="30" t="str">
        <f t="shared" si="3142"/>
        <v/>
      </c>
      <c r="FF208" s="30" t="str">
        <f t="shared" si="3143"/>
        <v/>
      </c>
      <c r="FG208" s="30" t="str">
        <f t="shared" si="3144"/>
        <v/>
      </c>
      <c r="FH208" s="30" t="str">
        <f t="shared" si="3145"/>
        <v/>
      </c>
      <c r="FI208" s="30" t="str">
        <f t="shared" si="3146"/>
        <v/>
      </c>
      <c r="FJ208" s="30" t="str">
        <f t="shared" si="3147"/>
        <v/>
      </c>
      <c r="FK208" s="30" t="str">
        <f t="shared" si="3148"/>
        <v/>
      </c>
      <c r="FL208" s="30" t="str">
        <f t="shared" si="3149"/>
        <v/>
      </c>
      <c r="FM208" s="30" t="str">
        <f t="shared" si="3150"/>
        <v/>
      </c>
      <c r="FN208" s="30" t="str">
        <f t="shared" si="3151"/>
        <v/>
      </c>
      <c r="FO208" s="30" t="str">
        <f t="shared" si="3152"/>
        <v/>
      </c>
      <c r="FP208" s="30" t="str">
        <f t="shared" si="3153"/>
        <v/>
      </c>
      <c r="FQ208" s="30" t="str">
        <f t="shared" si="3154"/>
        <v/>
      </c>
      <c r="FR208" s="30" t="str">
        <f t="shared" si="3155"/>
        <v/>
      </c>
      <c r="FS208" s="30" t="str">
        <f t="shared" si="3156"/>
        <v/>
      </c>
    </row>
    <row r="209" spans="1:175">
      <c r="A209" s="66"/>
      <c r="B209" s="66" t="s">
        <v>569</v>
      </c>
      <c r="C209" s="29" t="s">
        <v>97</v>
      </c>
      <c r="T209" s="99"/>
      <c r="U209" s="32"/>
      <c r="CN209" s="7" t="str">
        <f t="shared" si="3081"/>
        <v>InitUnitState('IF26',,,,,,,,,,)</v>
      </c>
      <c r="CO209" s="7" t="str">
        <f t="shared" si="3082"/>
        <v>InitUnitNormal('IF26',,,,,,,,,,)</v>
      </c>
      <c r="CP209" s="7" t="str">
        <f t="shared" si="3083"/>
        <v>InitUnitMagic('IF26',,,,,,,,,,)</v>
      </c>
      <c r="CQ209" s="7" t="str">
        <f t="shared" si="3084"/>
        <v>InitUnitAdd('IF26',,,,,,,,,,)</v>
      </c>
      <c r="CR209" s="7" t="str">
        <f t="shared" si="3085"/>
        <v>InitEquipData('IF26',,"",,,,,'','','','','','',"")</v>
      </c>
      <c r="CU209" s="45" t="str">
        <f t="shared" si="3086"/>
        <v>|n</v>
      </c>
      <c r="CW209" s="24"/>
      <c r="CX209" s="24"/>
      <c r="CY209" s="24"/>
      <c r="CZ209" s="24"/>
      <c r="DA209" s="24"/>
      <c r="DB209" s="30" t="str">
        <f t="shared" si="3087"/>
        <v/>
      </c>
      <c r="DC209" s="30" t="str">
        <f t="shared" si="3088"/>
        <v/>
      </c>
      <c r="DD209" s="30" t="str">
        <f t="shared" si="3089"/>
        <v/>
      </c>
      <c r="DE209" s="30" t="str">
        <f t="shared" si="3090"/>
        <v/>
      </c>
      <c r="DF209" s="30" t="str">
        <f t="shared" si="3091"/>
        <v/>
      </c>
      <c r="DG209" s="30" t="str">
        <f t="shared" si="3092"/>
        <v/>
      </c>
      <c r="DH209" s="30" t="str">
        <f t="shared" si="3093"/>
        <v/>
      </c>
      <c r="DI209" s="30" t="str">
        <f t="shared" si="3094"/>
        <v/>
      </c>
      <c r="DJ209" s="30" t="str">
        <f t="shared" si="3095"/>
        <v/>
      </c>
      <c r="DK209" s="30" t="str">
        <f t="shared" si="3096"/>
        <v/>
      </c>
      <c r="DL209" s="30" t="str">
        <f t="shared" si="3097"/>
        <v/>
      </c>
      <c r="DM209" s="30" t="str">
        <f t="shared" si="3098"/>
        <v/>
      </c>
      <c r="DN209" s="30" t="str">
        <f t="shared" si="3099"/>
        <v/>
      </c>
      <c r="DO209" s="30" t="str">
        <f t="shared" si="3100"/>
        <v/>
      </c>
      <c r="DP209" s="30" t="str">
        <f t="shared" si="3101"/>
        <v/>
      </c>
      <c r="DQ209" s="30" t="str">
        <f t="shared" si="3102"/>
        <v/>
      </c>
      <c r="DR209" s="30" t="str">
        <f t="shared" si="3103"/>
        <v/>
      </c>
      <c r="DS209" s="30" t="str">
        <f t="shared" si="3104"/>
        <v/>
      </c>
      <c r="DT209" s="30" t="str">
        <f t="shared" si="3105"/>
        <v/>
      </c>
      <c r="DU209" s="30" t="str">
        <f t="shared" si="3106"/>
        <v/>
      </c>
      <c r="DV209" s="30" t="str">
        <f t="shared" si="3107"/>
        <v/>
      </c>
      <c r="DW209" s="30" t="str">
        <f t="shared" si="3108"/>
        <v/>
      </c>
      <c r="DX209" s="30" t="str">
        <f t="shared" si="3109"/>
        <v/>
      </c>
      <c r="DY209" s="30" t="str">
        <f t="shared" si="3110"/>
        <v/>
      </c>
      <c r="DZ209" s="30" t="str">
        <f t="shared" si="3111"/>
        <v/>
      </c>
      <c r="EA209" s="30" t="str">
        <f t="shared" si="3112"/>
        <v/>
      </c>
      <c r="EB209" s="30" t="str">
        <f t="shared" si="3113"/>
        <v/>
      </c>
      <c r="EC209" s="30" t="str">
        <f t="shared" si="3114"/>
        <v/>
      </c>
      <c r="ED209" s="30" t="str">
        <f t="shared" si="3115"/>
        <v/>
      </c>
      <c r="EE209" s="30" t="str">
        <f t="shared" si="3116"/>
        <v/>
      </c>
      <c r="EF209" s="30" t="str">
        <f t="shared" si="3117"/>
        <v/>
      </c>
      <c r="EG209" s="30" t="str">
        <f t="shared" si="3118"/>
        <v/>
      </c>
      <c r="EH209" s="30" t="str">
        <f t="shared" si="3119"/>
        <v/>
      </c>
      <c r="EI209" s="30" t="str">
        <f t="shared" si="3120"/>
        <v/>
      </c>
      <c r="EJ209" s="30" t="str">
        <f t="shared" si="3121"/>
        <v/>
      </c>
      <c r="EK209" s="30" t="str">
        <f t="shared" si="3122"/>
        <v/>
      </c>
      <c r="EL209" s="30" t="str">
        <f t="shared" si="3123"/>
        <v/>
      </c>
      <c r="EM209" s="30" t="str">
        <f t="shared" si="3124"/>
        <v/>
      </c>
      <c r="EN209" s="30" t="str">
        <f t="shared" si="3125"/>
        <v/>
      </c>
      <c r="EO209" s="30" t="str">
        <f t="shared" si="3126"/>
        <v/>
      </c>
      <c r="EP209" s="30" t="str">
        <f t="shared" si="3127"/>
        <v/>
      </c>
      <c r="EQ209" s="30" t="str">
        <f t="shared" si="3128"/>
        <v/>
      </c>
      <c r="ER209" s="30" t="str">
        <f t="shared" si="3129"/>
        <v/>
      </c>
      <c r="ES209" s="30" t="str">
        <f t="shared" si="3130"/>
        <v/>
      </c>
      <c r="ET209" s="30" t="str">
        <f t="shared" si="3131"/>
        <v/>
      </c>
      <c r="EU209" s="30" t="str">
        <f t="shared" si="3132"/>
        <v/>
      </c>
      <c r="EV209" s="30" t="str">
        <f t="shared" si="3133"/>
        <v/>
      </c>
      <c r="EW209" s="30" t="str">
        <f t="shared" si="3134"/>
        <v/>
      </c>
      <c r="EX209" s="30" t="str">
        <f t="shared" si="3135"/>
        <v/>
      </c>
      <c r="EY209" s="30" t="str">
        <f t="shared" si="3136"/>
        <v/>
      </c>
      <c r="EZ209" s="30" t="str">
        <f t="shared" si="3137"/>
        <v/>
      </c>
      <c r="FA209" s="30" t="str">
        <f t="shared" si="3138"/>
        <v/>
      </c>
      <c r="FB209" s="30" t="str">
        <f t="shared" si="3139"/>
        <v/>
      </c>
      <c r="FC209" s="30" t="str">
        <f t="shared" si="3140"/>
        <v/>
      </c>
      <c r="FD209" s="30" t="str">
        <f t="shared" si="3141"/>
        <v/>
      </c>
      <c r="FE209" s="30" t="str">
        <f t="shared" si="3142"/>
        <v/>
      </c>
      <c r="FF209" s="30" t="str">
        <f t="shared" si="3143"/>
        <v/>
      </c>
      <c r="FG209" s="30" t="str">
        <f t="shared" si="3144"/>
        <v/>
      </c>
      <c r="FH209" s="30" t="str">
        <f t="shared" si="3145"/>
        <v/>
      </c>
      <c r="FI209" s="30" t="str">
        <f t="shared" si="3146"/>
        <v/>
      </c>
      <c r="FJ209" s="30" t="str">
        <f t="shared" si="3147"/>
        <v/>
      </c>
      <c r="FK209" s="30" t="str">
        <f t="shared" si="3148"/>
        <v/>
      </c>
      <c r="FL209" s="30" t="str">
        <f t="shared" si="3149"/>
        <v/>
      </c>
      <c r="FM209" s="30" t="str">
        <f t="shared" si="3150"/>
        <v/>
      </c>
      <c r="FN209" s="30" t="str">
        <f t="shared" si="3151"/>
        <v/>
      </c>
      <c r="FO209" s="30" t="str">
        <f t="shared" si="3152"/>
        <v/>
      </c>
      <c r="FP209" s="30" t="str">
        <f t="shared" si="3153"/>
        <v/>
      </c>
      <c r="FQ209" s="30" t="str">
        <f t="shared" si="3154"/>
        <v/>
      </c>
      <c r="FR209" s="30" t="str">
        <f t="shared" si="3155"/>
        <v/>
      </c>
      <c r="FS209" s="30" t="str">
        <f t="shared" si="3156"/>
        <v/>
      </c>
    </row>
    <row r="210" spans="1:175">
      <c r="A210" s="66"/>
      <c r="B210" s="66" t="s">
        <v>570</v>
      </c>
      <c r="C210" s="29" t="s">
        <v>223</v>
      </c>
      <c r="T210" s="99"/>
      <c r="U210" s="32"/>
      <c r="CN210" s="7" t="str">
        <f t="shared" si="3081"/>
        <v>InitUnitState('IF27',,,,,,,,,,)</v>
      </c>
      <c r="CO210" s="7" t="str">
        <f t="shared" si="3082"/>
        <v>InitUnitNormal('IF27',,,,,,,,,,)</v>
      </c>
      <c r="CP210" s="7" t="str">
        <f t="shared" si="3083"/>
        <v>InitUnitMagic('IF27',,,,,,,,,,)</v>
      </c>
      <c r="CQ210" s="7" t="str">
        <f t="shared" si="3084"/>
        <v>InitUnitAdd('IF27',,,,,,,,,,)</v>
      </c>
      <c r="CR210" s="7" t="str">
        <f t="shared" si="3085"/>
        <v>InitEquipData('IF27',,"",,,,,'','','','','','',"")</v>
      </c>
      <c r="CU210" s="45" t="str">
        <f t="shared" si="3086"/>
        <v>|n</v>
      </c>
      <c r="CW210" s="24"/>
      <c r="CX210" s="24"/>
      <c r="CY210" s="24"/>
      <c r="CZ210" s="24"/>
      <c r="DA210" s="24"/>
      <c r="DB210" s="30" t="str">
        <f t="shared" si="3087"/>
        <v/>
      </c>
      <c r="DC210" s="30" t="str">
        <f t="shared" si="3088"/>
        <v/>
      </c>
      <c r="DD210" s="30" t="str">
        <f t="shared" si="3089"/>
        <v/>
      </c>
      <c r="DE210" s="30" t="str">
        <f t="shared" si="3090"/>
        <v/>
      </c>
      <c r="DF210" s="30" t="str">
        <f t="shared" si="3091"/>
        <v/>
      </c>
      <c r="DG210" s="30" t="str">
        <f t="shared" si="3092"/>
        <v/>
      </c>
      <c r="DH210" s="30" t="str">
        <f t="shared" si="3093"/>
        <v/>
      </c>
      <c r="DI210" s="30" t="str">
        <f t="shared" si="3094"/>
        <v/>
      </c>
      <c r="DJ210" s="30" t="str">
        <f t="shared" si="3095"/>
        <v/>
      </c>
      <c r="DK210" s="30" t="str">
        <f t="shared" si="3096"/>
        <v/>
      </c>
      <c r="DL210" s="30" t="str">
        <f t="shared" si="3097"/>
        <v/>
      </c>
      <c r="DM210" s="30" t="str">
        <f t="shared" si="3098"/>
        <v/>
      </c>
      <c r="DN210" s="30" t="str">
        <f t="shared" si="3099"/>
        <v/>
      </c>
      <c r="DO210" s="30" t="str">
        <f t="shared" si="3100"/>
        <v/>
      </c>
      <c r="DP210" s="30" t="str">
        <f t="shared" si="3101"/>
        <v/>
      </c>
      <c r="DQ210" s="30" t="str">
        <f t="shared" si="3102"/>
        <v/>
      </c>
      <c r="DR210" s="30" t="str">
        <f t="shared" si="3103"/>
        <v/>
      </c>
      <c r="DS210" s="30" t="str">
        <f t="shared" si="3104"/>
        <v/>
      </c>
      <c r="DT210" s="30" t="str">
        <f t="shared" si="3105"/>
        <v/>
      </c>
      <c r="DU210" s="30" t="str">
        <f t="shared" si="3106"/>
        <v/>
      </c>
      <c r="DV210" s="30" t="str">
        <f t="shared" si="3107"/>
        <v/>
      </c>
      <c r="DW210" s="30" t="str">
        <f t="shared" si="3108"/>
        <v/>
      </c>
      <c r="DX210" s="30" t="str">
        <f t="shared" si="3109"/>
        <v/>
      </c>
      <c r="DY210" s="30" t="str">
        <f t="shared" si="3110"/>
        <v/>
      </c>
      <c r="DZ210" s="30" t="str">
        <f t="shared" si="3111"/>
        <v/>
      </c>
      <c r="EA210" s="30" t="str">
        <f t="shared" si="3112"/>
        <v/>
      </c>
      <c r="EB210" s="30" t="str">
        <f t="shared" si="3113"/>
        <v/>
      </c>
      <c r="EC210" s="30" t="str">
        <f t="shared" si="3114"/>
        <v/>
      </c>
      <c r="ED210" s="30" t="str">
        <f t="shared" si="3115"/>
        <v/>
      </c>
      <c r="EE210" s="30" t="str">
        <f t="shared" si="3116"/>
        <v/>
      </c>
      <c r="EF210" s="30" t="str">
        <f t="shared" si="3117"/>
        <v/>
      </c>
      <c r="EG210" s="30" t="str">
        <f t="shared" si="3118"/>
        <v/>
      </c>
      <c r="EH210" s="30" t="str">
        <f t="shared" si="3119"/>
        <v/>
      </c>
      <c r="EI210" s="30" t="str">
        <f t="shared" si="3120"/>
        <v/>
      </c>
      <c r="EJ210" s="30" t="str">
        <f t="shared" si="3121"/>
        <v/>
      </c>
      <c r="EK210" s="30" t="str">
        <f t="shared" si="3122"/>
        <v/>
      </c>
      <c r="EL210" s="30" t="str">
        <f t="shared" si="3123"/>
        <v/>
      </c>
      <c r="EM210" s="30" t="str">
        <f t="shared" si="3124"/>
        <v/>
      </c>
      <c r="EN210" s="30" t="str">
        <f t="shared" si="3125"/>
        <v/>
      </c>
      <c r="EO210" s="30" t="str">
        <f t="shared" si="3126"/>
        <v/>
      </c>
      <c r="EP210" s="30" t="str">
        <f t="shared" si="3127"/>
        <v/>
      </c>
      <c r="EQ210" s="30" t="str">
        <f t="shared" si="3128"/>
        <v/>
      </c>
      <c r="ER210" s="30" t="str">
        <f t="shared" si="3129"/>
        <v/>
      </c>
      <c r="ES210" s="30" t="str">
        <f t="shared" si="3130"/>
        <v/>
      </c>
      <c r="ET210" s="30" t="str">
        <f t="shared" si="3131"/>
        <v/>
      </c>
      <c r="EU210" s="30" t="str">
        <f t="shared" si="3132"/>
        <v/>
      </c>
      <c r="EV210" s="30" t="str">
        <f t="shared" si="3133"/>
        <v/>
      </c>
      <c r="EW210" s="30" t="str">
        <f t="shared" si="3134"/>
        <v/>
      </c>
      <c r="EX210" s="30" t="str">
        <f t="shared" si="3135"/>
        <v/>
      </c>
      <c r="EY210" s="30" t="str">
        <f t="shared" si="3136"/>
        <v/>
      </c>
      <c r="EZ210" s="30" t="str">
        <f t="shared" si="3137"/>
        <v/>
      </c>
      <c r="FA210" s="30" t="str">
        <f t="shared" si="3138"/>
        <v/>
      </c>
      <c r="FB210" s="30" t="str">
        <f t="shared" si="3139"/>
        <v/>
      </c>
      <c r="FC210" s="30" t="str">
        <f t="shared" si="3140"/>
        <v/>
      </c>
      <c r="FD210" s="30" t="str">
        <f t="shared" si="3141"/>
        <v/>
      </c>
      <c r="FE210" s="30" t="str">
        <f t="shared" si="3142"/>
        <v/>
      </c>
      <c r="FF210" s="30" t="str">
        <f t="shared" si="3143"/>
        <v/>
      </c>
      <c r="FG210" s="30" t="str">
        <f t="shared" si="3144"/>
        <v/>
      </c>
      <c r="FH210" s="30" t="str">
        <f t="shared" si="3145"/>
        <v/>
      </c>
      <c r="FI210" s="30" t="str">
        <f t="shared" si="3146"/>
        <v/>
      </c>
      <c r="FJ210" s="30" t="str">
        <f t="shared" si="3147"/>
        <v/>
      </c>
      <c r="FK210" s="30" t="str">
        <f t="shared" si="3148"/>
        <v/>
      </c>
      <c r="FL210" s="30" t="str">
        <f t="shared" si="3149"/>
        <v/>
      </c>
      <c r="FM210" s="30" t="str">
        <f t="shared" si="3150"/>
        <v/>
      </c>
      <c r="FN210" s="30" t="str">
        <f t="shared" si="3151"/>
        <v/>
      </c>
      <c r="FO210" s="30" t="str">
        <f t="shared" si="3152"/>
        <v/>
      </c>
      <c r="FP210" s="30" t="str">
        <f t="shared" si="3153"/>
        <v/>
      </c>
      <c r="FQ210" s="30" t="str">
        <f t="shared" si="3154"/>
        <v/>
      </c>
      <c r="FR210" s="30" t="str">
        <f t="shared" si="3155"/>
        <v/>
      </c>
      <c r="FS210" s="30" t="str">
        <f t="shared" si="3156"/>
        <v/>
      </c>
    </row>
    <row r="211" spans="1:175">
      <c r="A211" s="66"/>
      <c r="B211" s="66"/>
      <c r="C211" s="66"/>
      <c r="T211" s="99"/>
      <c r="U211" s="32"/>
      <c r="CN211" s="7" t="str">
        <f t="shared" si="3081"/>
        <v>InitUnitState('',,,,,,,,,,)</v>
      </c>
      <c r="CO211" s="7" t="str">
        <f t="shared" si="3082"/>
        <v>InitUnitNormal('',,,,,,,,,,)</v>
      </c>
      <c r="CP211" s="7" t="str">
        <f t="shared" si="3083"/>
        <v>InitUnitMagic('',,,,,,,,,,)</v>
      </c>
      <c r="CQ211" s="7" t="str">
        <f t="shared" si="3084"/>
        <v>InitUnitAdd('',,,,,,,,,,)</v>
      </c>
      <c r="CR211" s="7" t="str">
        <f t="shared" si="3085"/>
        <v>InitEquipData('',,"",,,,,'','','','','','',"")</v>
      </c>
      <c r="CU211" s="45" t="str">
        <f t="shared" si="3086"/>
        <v>|n</v>
      </c>
      <c r="CW211" s="24"/>
      <c r="CX211" s="24"/>
      <c r="CY211" s="24"/>
      <c r="CZ211" s="24"/>
      <c r="DA211" s="24"/>
      <c r="DB211" s="30" t="str">
        <f t="shared" si="3087"/>
        <v/>
      </c>
      <c r="DC211" s="30" t="str">
        <f t="shared" si="3088"/>
        <v/>
      </c>
      <c r="DD211" s="30" t="str">
        <f t="shared" si="3089"/>
        <v/>
      </c>
      <c r="DE211" s="30" t="str">
        <f t="shared" si="3090"/>
        <v/>
      </c>
      <c r="DF211" s="30" t="str">
        <f t="shared" si="3091"/>
        <v/>
      </c>
      <c r="DG211" s="30" t="str">
        <f t="shared" si="3092"/>
        <v/>
      </c>
      <c r="DH211" s="30" t="str">
        <f t="shared" si="3093"/>
        <v/>
      </c>
      <c r="DI211" s="30" t="str">
        <f t="shared" si="3094"/>
        <v/>
      </c>
      <c r="DJ211" s="30" t="str">
        <f t="shared" si="3095"/>
        <v/>
      </c>
      <c r="DK211" s="30" t="str">
        <f t="shared" si="3096"/>
        <v/>
      </c>
      <c r="DL211" s="30" t="str">
        <f t="shared" si="3097"/>
        <v/>
      </c>
      <c r="DM211" s="30" t="str">
        <f t="shared" si="3098"/>
        <v/>
      </c>
      <c r="DN211" s="30" t="str">
        <f t="shared" si="3099"/>
        <v/>
      </c>
      <c r="DO211" s="30" t="str">
        <f t="shared" si="3100"/>
        <v/>
      </c>
      <c r="DP211" s="30" t="str">
        <f t="shared" si="3101"/>
        <v/>
      </c>
      <c r="DQ211" s="30" t="str">
        <f t="shared" si="3102"/>
        <v/>
      </c>
      <c r="DR211" s="30" t="str">
        <f t="shared" si="3103"/>
        <v/>
      </c>
      <c r="DS211" s="30" t="str">
        <f t="shared" si="3104"/>
        <v/>
      </c>
      <c r="DT211" s="30" t="str">
        <f t="shared" si="3105"/>
        <v/>
      </c>
      <c r="DU211" s="30" t="str">
        <f t="shared" si="3106"/>
        <v/>
      </c>
      <c r="DV211" s="30" t="str">
        <f t="shared" si="3107"/>
        <v/>
      </c>
      <c r="DW211" s="30" t="str">
        <f t="shared" si="3108"/>
        <v/>
      </c>
      <c r="DX211" s="30" t="str">
        <f t="shared" si="3109"/>
        <v/>
      </c>
      <c r="DY211" s="30" t="str">
        <f t="shared" si="3110"/>
        <v/>
      </c>
      <c r="DZ211" s="30" t="str">
        <f t="shared" si="3111"/>
        <v/>
      </c>
      <c r="EA211" s="30" t="str">
        <f t="shared" si="3112"/>
        <v/>
      </c>
      <c r="EB211" s="30" t="str">
        <f t="shared" si="3113"/>
        <v/>
      </c>
      <c r="EC211" s="30" t="str">
        <f t="shared" si="3114"/>
        <v/>
      </c>
      <c r="ED211" s="30" t="str">
        <f t="shared" si="3115"/>
        <v/>
      </c>
      <c r="EE211" s="30" t="str">
        <f t="shared" si="3116"/>
        <v/>
      </c>
      <c r="EF211" s="30" t="str">
        <f t="shared" si="3117"/>
        <v/>
      </c>
      <c r="EG211" s="30" t="str">
        <f t="shared" si="3118"/>
        <v/>
      </c>
      <c r="EH211" s="30" t="str">
        <f t="shared" si="3119"/>
        <v/>
      </c>
      <c r="EI211" s="30" t="str">
        <f t="shared" si="3120"/>
        <v/>
      </c>
      <c r="EJ211" s="30" t="str">
        <f t="shared" si="3121"/>
        <v/>
      </c>
      <c r="EK211" s="30" t="str">
        <f t="shared" si="3122"/>
        <v/>
      </c>
      <c r="EL211" s="30" t="str">
        <f t="shared" si="3123"/>
        <v/>
      </c>
      <c r="EM211" s="30" t="str">
        <f t="shared" si="3124"/>
        <v/>
      </c>
      <c r="EN211" s="30" t="str">
        <f t="shared" si="3125"/>
        <v/>
      </c>
      <c r="EO211" s="30" t="str">
        <f t="shared" si="3126"/>
        <v/>
      </c>
      <c r="EP211" s="30" t="str">
        <f t="shared" si="3127"/>
        <v/>
      </c>
      <c r="EQ211" s="30" t="str">
        <f t="shared" si="3128"/>
        <v/>
      </c>
      <c r="ER211" s="30" t="str">
        <f t="shared" si="3129"/>
        <v/>
      </c>
      <c r="ES211" s="30" t="str">
        <f t="shared" si="3130"/>
        <v/>
      </c>
      <c r="ET211" s="30" t="str">
        <f t="shared" si="3131"/>
        <v/>
      </c>
      <c r="EU211" s="30" t="str">
        <f t="shared" si="3132"/>
        <v/>
      </c>
      <c r="EV211" s="30" t="str">
        <f t="shared" si="3133"/>
        <v/>
      </c>
      <c r="EW211" s="30" t="str">
        <f t="shared" si="3134"/>
        <v/>
      </c>
      <c r="EX211" s="30" t="str">
        <f t="shared" si="3135"/>
        <v/>
      </c>
      <c r="EY211" s="30" t="str">
        <f t="shared" si="3136"/>
        <v/>
      </c>
      <c r="EZ211" s="30" t="str">
        <f t="shared" si="3137"/>
        <v/>
      </c>
      <c r="FA211" s="30" t="str">
        <f t="shared" si="3138"/>
        <v/>
      </c>
      <c r="FB211" s="30" t="str">
        <f t="shared" si="3139"/>
        <v/>
      </c>
      <c r="FC211" s="30" t="str">
        <f t="shared" si="3140"/>
        <v/>
      </c>
      <c r="FD211" s="30" t="str">
        <f t="shared" si="3141"/>
        <v/>
      </c>
      <c r="FE211" s="30" t="str">
        <f t="shared" si="3142"/>
        <v/>
      </c>
      <c r="FF211" s="30" t="str">
        <f t="shared" si="3143"/>
        <v/>
      </c>
      <c r="FG211" s="30" t="str">
        <f t="shared" si="3144"/>
        <v/>
      </c>
      <c r="FH211" s="30" t="str">
        <f t="shared" si="3145"/>
        <v/>
      </c>
      <c r="FI211" s="30" t="str">
        <f t="shared" si="3146"/>
        <v/>
      </c>
      <c r="FJ211" s="30" t="str">
        <f t="shared" si="3147"/>
        <v/>
      </c>
      <c r="FK211" s="30" t="str">
        <f t="shared" si="3148"/>
        <v/>
      </c>
      <c r="FL211" s="30" t="str">
        <f t="shared" si="3149"/>
        <v/>
      </c>
      <c r="FM211" s="30" t="str">
        <f t="shared" si="3150"/>
        <v/>
      </c>
      <c r="FN211" s="30" t="str">
        <f t="shared" si="3151"/>
        <v/>
      </c>
      <c r="FO211" s="30" t="str">
        <f t="shared" si="3152"/>
        <v/>
      </c>
      <c r="FP211" s="30" t="str">
        <f t="shared" si="3153"/>
        <v/>
      </c>
      <c r="FQ211" s="30" t="str">
        <f t="shared" si="3154"/>
        <v/>
      </c>
      <c r="FR211" s="30" t="str">
        <f t="shared" si="3155"/>
        <v/>
      </c>
      <c r="FS211" s="30" t="str">
        <f t="shared" si="3156"/>
        <v/>
      </c>
    </row>
    <row r="212" spans="1:175">
      <c r="A212" s="66"/>
      <c r="B212" s="66"/>
      <c r="C212" s="66"/>
      <c r="T212" s="99"/>
      <c r="U212" s="32"/>
      <c r="CN212" s="7" t="str">
        <f t="shared" si="3081"/>
        <v>InitUnitState('',,,,,,,,,,)</v>
      </c>
      <c r="CO212" s="7" t="str">
        <f t="shared" si="3082"/>
        <v>InitUnitNormal('',,,,,,,,,,)</v>
      </c>
      <c r="CP212" s="7" t="str">
        <f t="shared" si="3083"/>
        <v>InitUnitMagic('',,,,,,,,,,)</v>
      </c>
      <c r="CQ212" s="7" t="str">
        <f t="shared" si="3084"/>
        <v>InitUnitAdd('',,,,,,,,,,)</v>
      </c>
      <c r="CR212" s="7" t="str">
        <f t="shared" si="3085"/>
        <v>InitEquipData('',,"",,,,,'','','','','','',"")</v>
      </c>
      <c r="CU212" s="45" t="str">
        <f t="shared" si="3086"/>
        <v>|n</v>
      </c>
      <c r="CW212" s="24"/>
      <c r="CX212" s="24"/>
      <c r="CY212" s="24"/>
      <c r="CZ212" s="24"/>
      <c r="DA212" s="24"/>
      <c r="DB212" s="30" t="str">
        <f t="shared" si="3087"/>
        <v/>
      </c>
      <c r="DC212" s="30" t="str">
        <f t="shared" si="3088"/>
        <v/>
      </c>
      <c r="DD212" s="30" t="str">
        <f t="shared" si="3089"/>
        <v/>
      </c>
      <c r="DE212" s="30" t="str">
        <f t="shared" si="3090"/>
        <v/>
      </c>
      <c r="DF212" s="30" t="str">
        <f t="shared" si="3091"/>
        <v/>
      </c>
      <c r="DG212" s="30" t="str">
        <f t="shared" si="3092"/>
        <v/>
      </c>
      <c r="DH212" s="30" t="str">
        <f t="shared" si="3093"/>
        <v/>
      </c>
      <c r="DI212" s="30" t="str">
        <f t="shared" si="3094"/>
        <v/>
      </c>
      <c r="DJ212" s="30" t="str">
        <f t="shared" si="3095"/>
        <v/>
      </c>
      <c r="DK212" s="30" t="str">
        <f t="shared" si="3096"/>
        <v/>
      </c>
      <c r="DL212" s="30" t="str">
        <f t="shared" si="3097"/>
        <v/>
      </c>
      <c r="DM212" s="30" t="str">
        <f t="shared" si="3098"/>
        <v/>
      </c>
      <c r="DN212" s="30" t="str">
        <f t="shared" si="3099"/>
        <v/>
      </c>
      <c r="DO212" s="30" t="str">
        <f t="shared" si="3100"/>
        <v/>
      </c>
      <c r="DP212" s="30" t="str">
        <f t="shared" si="3101"/>
        <v/>
      </c>
      <c r="DQ212" s="30" t="str">
        <f t="shared" si="3102"/>
        <v/>
      </c>
      <c r="DR212" s="30" t="str">
        <f t="shared" si="3103"/>
        <v/>
      </c>
      <c r="DS212" s="30" t="str">
        <f t="shared" si="3104"/>
        <v/>
      </c>
      <c r="DT212" s="30" t="str">
        <f t="shared" si="3105"/>
        <v/>
      </c>
      <c r="DU212" s="30" t="str">
        <f t="shared" si="3106"/>
        <v/>
      </c>
      <c r="DV212" s="30" t="str">
        <f t="shared" si="3107"/>
        <v/>
      </c>
      <c r="DW212" s="30" t="str">
        <f t="shared" si="3108"/>
        <v/>
      </c>
      <c r="DX212" s="30" t="str">
        <f t="shared" si="3109"/>
        <v/>
      </c>
      <c r="DY212" s="30" t="str">
        <f t="shared" si="3110"/>
        <v/>
      </c>
      <c r="DZ212" s="30" t="str">
        <f t="shared" si="3111"/>
        <v/>
      </c>
      <c r="EA212" s="30" t="str">
        <f t="shared" si="3112"/>
        <v/>
      </c>
      <c r="EB212" s="30" t="str">
        <f t="shared" si="3113"/>
        <v/>
      </c>
      <c r="EC212" s="30" t="str">
        <f t="shared" si="3114"/>
        <v/>
      </c>
      <c r="ED212" s="30" t="str">
        <f t="shared" si="3115"/>
        <v/>
      </c>
      <c r="EE212" s="30" t="str">
        <f t="shared" si="3116"/>
        <v/>
      </c>
      <c r="EF212" s="30" t="str">
        <f t="shared" si="3117"/>
        <v/>
      </c>
      <c r="EG212" s="30" t="str">
        <f t="shared" si="3118"/>
        <v/>
      </c>
      <c r="EH212" s="30" t="str">
        <f t="shared" si="3119"/>
        <v/>
      </c>
      <c r="EI212" s="30" t="str">
        <f t="shared" si="3120"/>
        <v/>
      </c>
      <c r="EJ212" s="30" t="str">
        <f t="shared" si="3121"/>
        <v/>
      </c>
      <c r="EK212" s="30" t="str">
        <f t="shared" si="3122"/>
        <v/>
      </c>
      <c r="EL212" s="30" t="str">
        <f t="shared" si="3123"/>
        <v/>
      </c>
      <c r="EM212" s="30" t="str">
        <f t="shared" si="3124"/>
        <v/>
      </c>
      <c r="EN212" s="30" t="str">
        <f t="shared" si="3125"/>
        <v/>
      </c>
      <c r="EO212" s="30" t="str">
        <f t="shared" si="3126"/>
        <v/>
      </c>
      <c r="EP212" s="30" t="str">
        <f t="shared" si="3127"/>
        <v/>
      </c>
      <c r="EQ212" s="30" t="str">
        <f t="shared" si="3128"/>
        <v/>
      </c>
      <c r="ER212" s="30" t="str">
        <f t="shared" si="3129"/>
        <v/>
      </c>
      <c r="ES212" s="30" t="str">
        <f t="shared" si="3130"/>
        <v/>
      </c>
      <c r="ET212" s="30" t="str">
        <f t="shared" si="3131"/>
        <v/>
      </c>
      <c r="EU212" s="30" t="str">
        <f t="shared" si="3132"/>
        <v/>
      </c>
      <c r="EV212" s="30" t="str">
        <f t="shared" si="3133"/>
        <v/>
      </c>
      <c r="EW212" s="30" t="str">
        <f t="shared" si="3134"/>
        <v/>
      </c>
      <c r="EX212" s="30" t="str">
        <f t="shared" si="3135"/>
        <v/>
      </c>
      <c r="EY212" s="30" t="str">
        <f t="shared" si="3136"/>
        <v/>
      </c>
      <c r="EZ212" s="30" t="str">
        <f t="shared" si="3137"/>
        <v/>
      </c>
      <c r="FA212" s="30" t="str">
        <f t="shared" si="3138"/>
        <v/>
      </c>
      <c r="FB212" s="30" t="str">
        <f t="shared" si="3139"/>
        <v/>
      </c>
      <c r="FC212" s="30" t="str">
        <f t="shared" si="3140"/>
        <v/>
      </c>
      <c r="FD212" s="30" t="str">
        <f t="shared" si="3141"/>
        <v/>
      </c>
      <c r="FE212" s="30" t="str">
        <f t="shared" si="3142"/>
        <v/>
      </c>
      <c r="FF212" s="30" t="str">
        <f t="shared" si="3143"/>
        <v/>
      </c>
      <c r="FG212" s="30" t="str">
        <f t="shared" si="3144"/>
        <v/>
      </c>
      <c r="FH212" s="30" t="str">
        <f t="shared" si="3145"/>
        <v/>
      </c>
      <c r="FI212" s="30" t="str">
        <f t="shared" si="3146"/>
        <v/>
      </c>
      <c r="FJ212" s="30" t="str">
        <f t="shared" si="3147"/>
        <v/>
      </c>
      <c r="FK212" s="30" t="str">
        <f t="shared" si="3148"/>
        <v/>
      </c>
      <c r="FL212" s="30" t="str">
        <f t="shared" si="3149"/>
        <v/>
      </c>
      <c r="FM212" s="30" t="str">
        <f t="shared" si="3150"/>
        <v/>
      </c>
      <c r="FN212" s="30" t="str">
        <f t="shared" si="3151"/>
        <v/>
      </c>
      <c r="FO212" s="30" t="str">
        <f t="shared" si="3152"/>
        <v/>
      </c>
      <c r="FP212" s="30" t="str">
        <f t="shared" si="3153"/>
        <v/>
      </c>
      <c r="FQ212" s="30" t="str">
        <f t="shared" si="3154"/>
        <v/>
      </c>
      <c r="FR212" s="30" t="str">
        <f t="shared" si="3155"/>
        <v/>
      </c>
      <c r="FS212" s="30" t="str">
        <f t="shared" si="3156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81"/>
        <v>InitUnitState('',,,,,,,,,,)</v>
      </c>
      <c r="CO213" s="44" t="str">
        <f t="shared" si="3082"/>
        <v>InitUnitNormal('',,,,,,,,,,)</v>
      </c>
      <c r="CP213" s="44" t="str">
        <f t="shared" si="3083"/>
        <v>InitUnitMagic('',,,,,,,,,,)</v>
      </c>
      <c r="CQ213" s="44" t="str">
        <f t="shared" si="3084"/>
        <v>InitUnitAdd('',,,,,,,,,,)</v>
      </c>
      <c r="CR213" s="44" t="str">
        <f t="shared" si="3085"/>
        <v>InitEquipData('',,"",,,,,'','','','','','',"")</v>
      </c>
      <c r="CS213" s="44"/>
      <c r="CT213" s="44"/>
      <c r="CU213" s="45" t="str">
        <f t="shared" si="3086"/>
        <v>|n</v>
      </c>
      <c r="CV213" s="29"/>
      <c r="DB213" s="30" t="str">
        <f t="shared" si="3087"/>
        <v/>
      </c>
      <c r="DC213" s="30" t="str">
        <f t="shared" si="3088"/>
        <v/>
      </c>
      <c r="DD213" s="30" t="str">
        <f t="shared" si="3089"/>
        <v/>
      </c>
      <c r="DE213" s="30" t="str">
        <f t="shared" si="3090"/>
        <v/>
      </c>
      <c r="DF213" s="30" t="str">
        <f t="shared" si="3091"/>
        <v/>
      </c>
      <c r="DG213" s="30" t="str">
        <f t="shared" si="3092"/>
        <v/>
      </c>
      <c r="DH213" s="30" t="str">
        <f t="shared" si="3093"/>
        <v/>
      </c>
      <c r="DI213" s="30" t="str">
        <f t="shared" si="3094"/>
        <v/>
      </c>
      <c r="DJ213" s="30" t="str">
        <f t="shared" si="3095"/>
        <v/>
      </c>
      <c r="DK213" s="30" t="str">
        <f t="shared" si="3096"/>
        <v/>
      </c>
      <c r="DL213" s="30" t="str">
        <f t="shared" si="3097"/>
        <v/>
      </c>
      <c r="DM213" s="30" t="str">
        <f t="shared" si="3098"/>
        <v/>
      </c>
      <c r="DN213" s="30" t="str">
        <f t="shared" si="3099"/>
        <v/>
      </c>
      <c r="DO213" s="30" t="str">
        <f t="shared" si="3100"/>
        <v/>
      </c>
      <c r="DP213" s="30" t="str">
        <f t="shared" si="3101"/>
        <v/>
      </c>
      <c r="DQ213" s="30" t="str">
        <f t="shared" si="3102"/>
        <v/>
      </c>
      <c r="DR213" s="30" t="str">
        <f t="shared" si="3103"/>
        <v/>
      </c>
      <c r="DS213" s="30" t="str">
        <f t="shared" si="3104"/>
        <v/>
      </c>
      <c r="DT213" s="30" t="str">
        <f t="shared" si="3105"/>
        <v/>
      </c>
      <c r="DU213" s="30" t="str">
        <f t="shared" si="3106"/>
        <v/>
      </c>
      <c r="DV213" s="30" t="str">
        <f t="shared" si="3107"/>
        <v/>
      </c>
      <c r="DW213" s="30" t="str">
        <f t="shared" si="3108"/>
        <v/>
      </c>
      <c r="DX213" s="30" t="str">
        <f t="shared" si="3109"/>
        <v/>
      </c>
      <c r="DY213" s="30" t="str">
        <f t="shared" si="3110"/>
        <v/>
      </c>
      <c r="DZ213" s="30" t="str">
        <f t="shared" si="3111"/>
        <v/>
      </c>
      <c r="EA213" s="30" t="str">
        <f t="shared" si="3112"/>
        <v/>
      </c>
      <c r="EB213" s="30" t="str">
        <f t="shared" si="3113"/>
        <v/>
      </c>
      <c r="EC213" s="30" t="str">
        <f t="shared" si="3114"/>
        <v/>
      </c>
      <c r="ED213" s="30" t="str">
        <f t="shared" si="3115"/>
        <v/>
      </c>
      <c r="EE213" s="30" t="str">
        <f t="shared" si="3116"/>
        <v/>
      </c>
      <c r="EF213" s="30" t="str">
        <f t="shared" si="3117"/>
        <v/>
      </c>
      <c r="EG213" s="30" t="str">
        <f t="shared" si="3118"/>
        <v/>
      </c>
      <c r="EH213" s="30" t="str">
        <f t="shared" si="3119"/>
        <v/>
      </c>
      <c r="EI213" s="30" t="str">
        <f t="shared" si="3120"/>
        <v/>
      </c>
      <c r="EJ213" s="30" t="str">
        <f t="shared" si="3121"/>
        <v/>
      </c>
      <c r="EK213" s="30" t="str">
        <f t="shared" si="3122"/>
        <v/>
      </c>
      <c r="EL213" s="30" t="str">
        <f t="shared" si="3123"/>
        <v/>
      </c>
      <c r="EM213" s="30" t="str">
        <f t="shared" si="3124"/>
        <v/>
      </c>
      <c r="EN213" s="30" t="str">
        <f t="shared" si="3125"/>
        <v/>
      </c>
      <c r="EO213" s="30" t="str">
        <f t="shared" si="3126"/>
        <v/>
      </c>
      <c r="EP213" s="30" t="str">
        <f t="shared" si="3127"/>
        <v/>
      </c>
      <c r="EQ213" s="30" t="str">
        <f t="shared" si="3128"/>
        <v/>
      </c>
      <c r="ER213" s="30" t="str">
        <f t="shared" si="3129"/>
        <v/>
      </c>
      <c r="ES213" s="30" t="str">
        <f t="shared" si="3130"/>
        <v/>
      </c>
      <c r="ET213" s="30" t="str">
        <f t="shared" si="3131"/>
        <v/>
      </c>
      <c r="EU213" s="30" t="str">
        <f t="shared" si="3132"/>
        <v/>
      </c>
      <c r="EV213" s="30" t="str">
        <f t="shared" si="3133"/>
        <v/>
      </c>
      <c r="EW213" s="30" t="str">
        <f t="shared" si="3134"/>
        <v/>
      </c>
      <c r="EX213" s="30" t="str">
        <f t="shared" si="3135"/>
        <v/>
      </c>
      <c r="EY213" s="30" t="str">
        <f t="shared" si="3136"/>
        <v/>
      </c>
      <c r="EZ213" s="30" t="str">
        <f t="shared" si="3137"/>
        <v/>
      </c>
      <c r="FA213" s="30" t="str">
        <f t="shared" si="3138"/>
        <v/>
      </c>
      <c r="FB213" s="30" t="str">
        <f t="shared" si="3139"/>
        <v/>
      </c>
      <c r="FC213" s="30" t="str">
        <f t="shared" si="3140"/>
        <v/>
      </c>
      <c r="FD213" s="30" t="str">
        <f t="shared" si="3141"/>
        <v/>
      </c>
      <c r="FE213" s="30" t="str">
        <f t="shared" si="3142"/>
        <v/>
      </c>
      <c r="FF213" s="30" t="str">
        <f t="shared" si="3143"/>
        <v/>
      </c>
      <c r="FG213" s="30" t="str">
        <f t="shared" si="3144"/>
        <v/>
      </c>
      <c r="FH213" s="30" t="str">
        <f t="shared" si="3145"/>
        <v/>
      </c>
      <c r="FI213" s="30" t="str">
        <f t="shared" si="3146"/>
        <v/>
      </c>
      <c r="FJ213" s="30" t="str">
        <f t="shared" si="3147"/>
        <v/>
      </c>
      <c r="FK213" s="30" t="str">
        <f t="shared" si="3148"/>
        <v/>
      </c>
      <c r="FL213" s="30" t="str">
        <f t="shared" si="3149"/>
        <v/>
      </c>
      <c r="FM213" s="30" t="str">
        <f t="shared" si="3150"/>
        <v/>
      </c>
      <c r="FN213" s="30" t="str">
        <f t="shared" si="3151"/>
        <v/>
      </c>
      <c r="FO213" s="30" t="str">
        <f t="shared" si="3152"/>
        <v/>
      </c>
      <c r="FP213" s="30" t="str">
        <f t="shared" si="3153"/>
        <v/>
      </c>
      <c r="FQ213" s="30" t="str">
        <f t="shared" si="3154"/>
        <v/>
      </c>
      <c r="FR213" s="30" t="str">
        <f t="shared" si="3155"/>
        <v/>
      </c>
      <c r="FS213" s="30" t="str">
        <f t="shared" si="3156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81"/>
        <v>InitUnitState('',,,,,,,,,,)</v>
      </c>
      <c r="CO214" s="44" t="str">
        <f t="shared" si="3082"/>
        <v>InitUnitNormal('',,,,,,,,,,)</v>
      </c>
      <c r="CP214" s="44" t="str">
        <f t="shared" si="3083"/>
        <v>InitUnitMagic('',,,,,,,,,,)</v>
      </c>
      <c r="CQ214" s="44" t="str">
        <f t="shared" si="3084"/>
        <v>InitUnitAdd('',,,,,,,,,,)</v>
      </c>
      <c r="CR214" s="44" t="str">
        <f t="shared" si="3085"/>
        <v>InitEquipData('',,"",,,,,'','','','','','',"")</v>
      </c>
      <c r="CS214" s="44"/>
      <c r="CT214" s="44"/>
      <c r="CU214" s="45" t="str">
        <f t="shared" si="3086"/>
        <v>|n</v>
      </c>
      <c r="CV214" s="29"/>
      <c r="DB214" s="30" t="str">
        <f t="shared" si="3087"/>
        <v/>
      </c>
      <c r="DC214" s="30" t="str">
        <f t="shared" si="3088"/>
        <v/>
      </c>
      <c r="DD214" s="30" t="str">
        <f t="shared" si="3089"/>
        <v/>
      </c>
      <c r="DE214" s="30" t="str">
        <f t="shared" si="3090"/>
        <v/>
      </c>
      <c r="DF214" s="30" t="str">
        <f t="shared" si="3091"/>
        <v/>
      </c>
      <c r="DG214" s="30" t="str">
        <f t="shared" si="3092"/>
        <v/>
      </c>
      <c r="DH214" s="30" t="str">
        <f t="shared" si="3093"/>
        <v/>
      </c>
      <c r="DI214" s="30" t="str">
        <f t="shared" si="3094"/>
        <v/>
      </c>
      <c r="DJ214" s="30" t="str">
        <f t="shared" si="3095"/>
        <v/>
      </c>
      <c r="DK214" s="30" t="str">
        <f t="shared" si="3096"/>
        <v/>
      </c>
      <c r="DL214" s="30" t="str">
        <f t="shared" si="3097"/>
        <v/>
      </c>
      <c r="DM214" s="30" t="str">
        <f t="shared" si="3098"/>
        <v/>
      </c>
      <c r="DN214" s="30" t="str">
        <f t="shared" si="3099"/>
        <v/>
      </c>
      <c r="DO214" s="30" t="str">
        <f t="shared" si="3100"/>
        <v/>
      </c>
      <c r="DP214" s="30" t="str">
        <f t="shared" si="3101"/>
        <v/>
      </c>
      <c r="DQ214" s="30" t="str">
        <f t="shared" si="3102"/>
        <v/>
      </c>
      <c r="DR214" s="30" t="str">
        <f t="shared" si="3103"/>
        <v/>
      </c>
      <c r="DS214" s="30" t="str">
        <f t="shared" si="3104"/>
        <v/>
      </c>
      <c r="DT214" s="30" t="str">
        <f t="shared" si="3105"/>
        <v/>
      </c>
      <c r="DU214" s="30" t="str">
        <f t="shared" si="3106"/>
        <v/>
      </c>
      <c r="DV214" s="30" t="str">
        <f t="shared" si="3107"/>
        <v/>
      </c>
      <c r="DW214" s="30" t="str">
        <f t="shared" si="3108"/>
        <v/>
      </c>
      <c r="DX214" s="30" t="str">
        <f t="shared" si="3109"/>
        <v/>
      </c>
      <c r="DY214" s="30" t="str">
        <f t="shared" si="3110"/>
        <v/>
      </c>
      <c r="DZ214" s="30" t="str">
        <f t="shared" si="3111"/>
        <v/>
      </c>
      <c r="EA214" s="30" t="str">
        <f t="shared" si="3112"/>
        <v/>
      </c>
      <c r="EB214" s="30" t="str">
        <f t="shared" si="3113"/>
        <v/>
      </c>
      <c r="EC214" s="30" t="str">
        <f t="shared" si="3114"/>
        <v/>
      </c>
      <c r="ED214" s="30" t="str">
        <f t="shared" si="3115"/>
        <v/>
      </c>
      <c r="EE214" s="30" t="str">
        <f t="shared" si="3116"/>
        <v/>
      </c>
      <c r="EF214" s="30" t="str">
        <f t="shared" si="3117"/>
        <v/>
      </c>
      <c r="EG214" s="30" t="str">
        <f t="shared" si="3118"/>
        <v/>
      </c>
      <c r="EH214" s="30" t="str">
        <f t="shared" si="3119"/>
        <v/>
      </c>
      <c r="EI214" s="30" t="str">
        <f t="shared" si="3120"/>
        <v/>
      </c>
      <c r="EJ214" s="30" t="str">
        <f t="shared" si="3121"/>
        <v/>
      </c>
      <c r="EK214" s="30" t="str">
        <f t="shared" si="3122"/>
        <v/>
      </c>
      <c r="EL214" s="30" t="str">
        <f t="shared" si="3123"/>
        <v/>
      </c>
      <c r="EM214" s="30" t="str">
        <f t="shared" si="3124"/>
        <v/>
      </c>
      <c r="EN214" s="30" t="str">
        <f t="shared" si="3125"/>
        <v/>
      </c>
      <c r="EO214" s="30" t="str">
        <f t="shared" si="3126"/>
        <v/>
      </c>
      <c r="EP214" s="30" t="str">
        <f t="shared" si="3127"/>
        <v/>
      </c>
      <c r="EQ214" s="30" t="str">
        <f t="shared" si="3128"/>
        <v/>
      </c>
      <c r="ER214" s="30" t="str">
        <f t="shared" si="3129"/>
        <v/>
      </c>
      <c r="ES214" s="30" t="str">
        <f t="shared" si="3130"/>
        <v/>
      </c>
      <c r="ET214" s="30" t="str">
        <f t="shared" si="3131"/>
        <v/>
      </c>
      <c r="EU214" s="30" t="str">
        <f t="shared" si="3132"/>
        <v/>
      </c>
      <c r="EV214" s="30" t="str">
        <f t="shared" si="3133"/>
        <v/>
      </c>
      <c r="EW214" s="30" t="str">
        <f t="shared" si="3134"/>
        <v/>
      </c>
      <c r="EX214" s="30" t="str">
        <f t="shared" si="3135"/>
        <v/>
      </c>
      <c r="EY214" s="30" t="str">
        <f t="shared" si="3136"/>
        <v/>
      </c>
      <c r="EZ214" s="30" t="str">
        <f t="shared" si="3137"/>
        <v/>
      </c>
      <c r="FA214" s="30" t="str">
        <f t="shared" si="3138"/>
        <v/>
      </c>
      <c r="FB214" s="30" t="str">
        <f t="shared" si="3139"/>
        <v/>
      </c>
      <c r="FC214" s="30" t="str">
        <f t="shared" si="3140"/>
        <v/>
      </c>
      <c r="FD214" s="30" t="str">
        <f t="shared" si="3141"/>
        <v/>
      </c>
      <c r="FE214" s="30" t="str">
        <f t="shared" si="3142"/>
        <v/>
      </c>
      <c r="FF214" s="30" t="str">
        <f t="shared" si="3143"/>
        <v/>
      </c>
      <c r="FG214" s="30" t="str">
        <f t="shared" si="3144"/>
        <v/>
      </c>
      <c r="FH214" s="30" t="str">
        <f t="shared" si="3145"/>
        <v/>
      </c>
      <c r="FI214" s="30" t="str">
        <f t="shared" si="3146"/>
        <v/>
      </c>
      <c r="FJ214" s="30" t="str">
        <f t="shared" si="3147"/>
        <v/>
      </c>
      <c r="FK214" s="30" t="str">
        <f t="shared" si="3148"/>
        <v/>
      </c>
      <c r="FL214" s="30" t="str">
        <f t="shared" si="3149"/>
        <v/>
      </c>
      <c r="FM214" s="30" t="str">
        <f t="shared" si="3150"/>
        <v/>
      </c>
      <c r="FN214" s="30" t="str">
        <f t="shared" si="3151"/>
        <v/>
      </c>
      <c r="FO214" s="30" t="str">
        <f t="shared" si="3152"/>
        <v/>
      </c>
      <c r="FP214" s="30" t="str">
        <f t="shared" si="3153"/>
        <v/>
      </c>
      <c r="FQ214" s="30" t="str">
        <f t="shared" si="3154"/>
        <v/>
      </c>
      <c r="FR214" s="30" t="str">
        <f t="shared" si="3155"/>
        <v/>
      </c>
      <c r="FS214" s="30" t="str">
        <f t="shared" si="3156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81"/>
        <v>InitUnitState('',,,,,,,,,,)</v>
      </c>
      <c r="CO215" s="44" t="str">
        <f t="shared" si="3082"/>
        <v>InitUnitNormal('',,,,,,,,,,)</v>
      </c>
      <c r="CP215" s="44" t="str">
        <f t="shared" si="3083"/>
        <v>InitUnitMagic('',,,,,,,,,,)</v>
      </c>
      <c r="CQ215" s="44" t="str">
        <f t="shared" si="3084"/>
        <v>InitUnitAdd('',,,,,,,,,,)</v>
      </c>
      <c r="CR215" s="44" t="str">
        <f t="shared" si="3085"/>
        <v>InitEquipData('',,"",,,,,'','','','','','',"")</v>
      </c>
      <c r="CS215" s="44"/>
      <c r="CT215" s="44"/>
      <c r="CU215" s="45" t="str">
        <f t="shared" si="3086"/>
        <v>|n</v>
      </c>
      <c r="CV215" s="29"/>
      <c r="DB215" s="30" t="str">
        <f t="shared" si="3087"/>
        <v/>
      </c>
      <c r="DC215" s="30" t="str">
        <f t="shared" si="3088"/>
        <v/>
      </c>
      <c r="DD215" s="30" t="str">
        <f t="shared" si="3089"/>
        <v/>
      </c>
      <c r="DE215" s="30" t="str">
        <f t="shared" si="3090"/>
        <v/>
      </c>
      <c r="DF215" s="30" t="str">
        <f t="shared" si="3091"/>
        <v/>
      </c>
      <c r="DG215" s="30" t="str">
        <f t="shared" si="3092"/>
        <v/>
      </c>
      <c r="DH215" s="30" t="str">
        <f t="shared" si="3093"/>
        <v/>
      </c>
      <c r="DI215" s="30" t="str">
        <f t="shared" si="3094"/>
        <v/>
      </c>
      <c r="DJ215" s="30" t="str">
        <f t="shared" si="3095"/>
        <v/>
      </c>
      <c r="DK215" s="30" t="str">
        <f t="shared" si="3096"/>
        <v/>
      </c>
      <c r="DL215" s="30" t="str">
        <f t="shared" si="3097"/>
        <v/>
      </c>
      <c r="DM215" s="30" t="str">
        <f t="shared" si="3098"/>
        <v/>
      </c>
      <c r="DN215" s="30" t="str">
        <f t="shared" si="3099"/>
        <v/>
      </c>
      <c r="DO215" s="30" t="str">
        <f t="shared" si="3100"/>
        <v/>
      </c>
      <c r="DP215" s="30" t="str">
        <f t="shared" si="3101"/>
        <v/>
      </c>
      <c r="DQ215" s="30" t="str">
        <f t="shared" si="3102"/>
        <v/>
      </c>
      <c r="DR215" s="30" t="str">
        <f t="shared" si="3103"/>
        <v/>
      </c>
      <c r="DS215" s="30" t="str">
        <f t="shared" si="3104"/>
        <v/>
      </c>
      <c r="DT215" s="30" t="str">
        <f t="shared" si="3105"/>
        <v/>
      </c>
      <c r="DU215" s="30" t="str">
        <f t="shared" si="3106"/>
        <v/>
      </c>
      <c r="DV215" s="30" t="str">
        <f t="shared" si="3107"/>
        <v/>
      </c>
      <c r="DW215" s="30" t="str">
        <f t="shared" si="3108"/>
        <v/>
      </c>
      <c r="DX215" s="30" t="str">
        <f t="shared" si="3109"/>
        <v/>
      </c>
      <c r="DY215" s="30" t="str">
        <f t="shared" si="3110"/>
        <v/>
      </c>
      <c r="DZ215" s="30" t="str">
        <f t="shared" si="3111"/>
        <v/>
      </c>
      <c r="EA215" s="30" t="str">
        <f t="shared" si="3112"/>
        <v/>
      </c>
      <c r="EB215" s="30" t="str">
        <f t="shared" si="3113"/>
        <v/>
      </c>
      <c r="EC215" s="30" t="str">
        <f t="shared" si="3114"/>
        <v/>
      </c>
      <c r="ED215" s="30" t="str">
        <f t="shared" si="3115"/>
        <v/>
      </c>
      <c r="EE215" s="30" t="str">
        <f t="shared" si="3116"/>
        <v/>
      </c>
      <c r="EF215" s="30" t="str">
        <f t="shared" si="3117"/>
        <v/>
      </c>
      <c r="EG215" s="30" t="str">
        <f t="shared" si="3118"/>
        <v/>
      </c>
      <c r="EH215" s="30" t="str">
        <f t="shared" si="3119"/>
        <v/>
      </c>
      <c r="EI215" s="30" t="str">
        <f t="shared" si="3120"/>
        <v/>
      </c>
      <c r="EJ215" s="30" t="str">
        <f t="shared" si="3121"/>
        <v/>
      </c>
      <c r="EK215" s="30" t="str">
        <f t="shared" si="3122"/>
        <v/>
      </c>
      <c r="EL215" s="30" t="str">
        <f t="shared" si="3123"/>
        <v/>
      </c>
      <c r="EM215" s="30" t="str">
        <f t="shared" si="3124"/>
        <v/>
      </c>
      <c r="EN215" s="30" t="str">
        <f t="shared" si="3125"/>
        <v/>
      </c>
      <c r="EO215" s="30" t="str">
        <f t="shared" si="3126"/>
        <v/>
      </c>
      <c r="EP215" s="30" t="str">
        <f t="shared" si="3127"/>
        <v/>
      </c>
      <c r="EQ215" s="30" t="str">
        <f t="shared" si="3128"/>
        <v/>
      </c>
      <c r="ER215" s="30" t="str">
        <f t="shared" si="3129"/>
        <v/>
      </c>
      <c r="ES215" s="30" t="str">
        <f t="shared" si="3130"/>
        <v/>
      </c>
      <c r="ET215" s="30" t="str">
        <f t="shared" si="3131"/>
        <v/>
      </c>
      <c r="EU215" s="30" t="str">
        <f t="shared" si="3132"/>
        <v/>
      </c>
      <c r="EV215" s="30" t="str">
        <f t="shared" si="3133"/>
        <v/>
      </c>
      <c r="EW215" s="30" t="str">
        <f t="shared" si="3134"/>
        <v/>
      </c>
      <c r="EX215" s="30" t="str">
        <f t="shared" si="3135"/>
        <v/>
      </c>
      <c r="EY215" s="30" t="str">
        <f t="shared" si="3136"/>
        <v/>
      </c>
      <c r="EZ215" s="30" t="str">
        <f t="shared" si="3137"/>
        <v/>
      </c>
      <c r="FA215" s="30" t="str">
        <f t="shared" si="3138"/>
        <v/>
      </c>
      <c r="FB215" s="30" t="str">
        <f t="shared" si="3139"/>
        <v/>
      </c>
      <c r="FC215" s="30" t="str">
        <f t="shared" si="3140"/>
        <v/>
      </c>
      <c r="FD215" s="30" t="str">
        <f t="shared" si="3141"/>
        <v/>
      </c>
      <c r="FE215" s="30" t="str">
        <f t="shared" si="3142"/>
        <v/>
      </c>
      <c r="FF215" s="30" t="str">
        <f t="shared" si="3143"/>
        <v/>
      </c>
      <c r="FG215" s="30" t="str">
        <f t="shared" si="3144"/>
        <v/>
      </c>
      <c r="FH215" s="30" t="str">
        <f t="shared" si="3145"/>
        <v/>
      </c>
      <c r="FI215" s="30" t="str">
        <f t="shared" si="3146"/>
        <v/>
      </c>
      <c r="FJ215" s="30" t="str">
        <f t="shared" si="3147"/>
        <v/>
      </c>
      <c r="FK215" s="30" t="str">
        <f t="shared" si="3148"/>
        <v/>
      </c>
      <c r="FL215" s="30" t="str">
        <f t="shared" si="3149"/>
        <v/>
      </c>
      <c r="FM215" s="30" t="str">
        <f t="shared" si="3150"/>
        <v/>
      </c>
      <c r="FN215" s="30" t="str">
        <f t="shared" si="3151"/>
        <v/>
      </c>
      <c r="FO215" s="30" t="str">
        <f t="shared" si="3152"/>
        <v/>
      </c>
      <c r="FP215" s="30" t="str">
        <f t="shared" si="3153"/>
        <v/>
      </c>
      <c r="FQ215" s="30" t="str">
        <f t="shared" si="3154"/>
        <v/>
      </c>
      <c r="FR215" s="30" t="str">
        <f t="shared" si="3155"/>
        <v/>
      </c>
      <c r="FS215" s="30" t="str">
        <f t="shared" si="3156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81"/>
        <v>InitUnitState('',,,,,,,,,,)</v>
      </c>
      <c r="CO216" s="44" t="str">
        <f t="shared" si="3082"/>
        <v>InitUnitNormal('',,,,,,,,,,)</v>
      </c>
      <c r="CP216" s="44" t="str">
        <f t="shared" si="3083"/>
        <v>InitUnitMagic('',,,,,,,,,,)</v>
      </c>
      <c r="CQ216" s="44" t="str">
        <f t="shared" si="3084"/>
        <v>InitUnitAdd('',,,,,,,,,,)</v>
      </c>
      <c r="CR216" s="44" t="str">
        <f t="shared" si="3085"/>
        <v>InitEquipData('',,"",,,,,'','','','','','',"")</v>
      </c>
      <c r="CS216" s="44"/>
      <c r="CT216" s="44"/>
      <c r="CU216" s="45" t="str">
        <f t="shared" si="3086"/>
        <v>|n</v>
      </c>
      <c r="CV216" s="29"/>
      <c r="DB216" s="30" t="str">
        <f t="shared" si="3087"/>
        <v/>
      </c>
      <c r="DC216" s="30" t="str">
        <f t="shared" si="3088"/>
        <v/>
      </c>
      <c r="DD216" s="30" t="str">
        <f t="shared" si="3089"/>
        <v/>
      </c>
      <c r="DE216" s="30" t="str">
        <f t="shared" si="3090"/>
        <v/>
      </c>
      <c r="DF216" s="30" t="str">
        <f t="shared" si="3091"/>
        <v/>
      </c>
      <c r="DG216" s="30" t="str">
        <f t="shared" si="3092"/>
        <v/>
      </c>
      <c r="DH216" s="30" t="str">
        <f t="shared" si="3093"/>
        <v/>
      </c>
      <c r="DI216" s="30" t="str">
        <f t="shared" si="3094"/>
        <v/>
      </c>
      <c r="DJ216" s="30" t="str">
        <f t="shared" si="3095"/>
        <v/>
      </c>
      <c r="DK216" s="30" t="str">
        <f t="shared" si="3096"/>
        <v/>
      </c>
      <c r="DL216" s="30" t="str">
        <f t="shared" si="3097"/>
        <v/>
      </c>
      <c r="DM216" s="30" t="str">
        <f t="shared" si="3098"/>
        <v/>
      </c>
      <c r="DN216" s="30" t="str">
        <f t="shared" si="3099"/>
        <v/>
      </c>
      <c r="DO216" s="30" t="str">
        <f t="shared" si="3100"/>
        <v/>
      </c>
      <c r="DP216" s="30" t="str">
        <f t="shared" si="3101"/>
        <v/>
      </c>
      <c r="DQ216" s="30" t="str">
        <f t="shared" si="3102"/>
        <v/>
      </c>
      <c r="DR216" s="30" t="str">
        <f t="shared" si="3103"/>
        <v/>
      </c>
      <c r="DS216" s="30" t="str">
        <f t="shared" si="3104"/>
        <v/>
      </c>
      <c r="DT216" s="30" t="str">
        <f t="shared" si="3105"/>
        <v/>
      </c>
      <c r="DU216" s="30" t="str">
        <f t="shared" si="3106"/>
        <v/>
      </c>
      <c r="DV216" s="30" t="str">
        <f t="shared" si="3107"/>
        <v/>
      </c>
      <c r="DW216" s="30" t="str">
        <f t="shared" si="3108"/>
        <v/>
      </c>
      <c r="DX216" s="30" t="str">
        <f t="shared" si="3109"/>
        <v/>
      </c>
      <c r="DY216" s="30" t="str">
        <f t="shared" si="3110"/>
        <v/>
      </c>
      <c r="DZ216" s="30" t="str">
        <f t="shared" si="3111"/>
        <v/>
      </c>
      <c r="EA216" s="30" t="str">
        <f t="shared" si="3112"/>
        <v/>
      </c>
      <c r="EB216" s="30" t="str">
        <f t="shared" si="3113"/>
        <v/>
      </c>
      <c r="EC216" s="30" t="str">
        <f t="shared" si="3114"/>
        <v/>
      </c>
      <c r="ED216" s="30" t="str">
        <f t="shared" si="3115"/>
        <v/>
      </c>
      <c r="EE216" s="30" t="str">
        <f t="shared" si="3116"/>
        <v/>
      </c>
      <c r="EF216" s="30" t="str">
        <f t="shared" si="3117"/>
        <v/>
      </c>
      <c r="EG216" s="30" t="str">
        <f t="shared" si="3118"/>
        <v/>
      </c>
      <c r="EH216" s="30" t="str">
        <f t="shared" si="3119"/>
        <v/>
      </c>
      <c r="EI216" s="30" t="str">
        <f t="shared" si="3120"/>
        <v/>
      </c>
      <c r="EJ216" s="30" t="str">
        <f t="shared" si="3121"/>
        <v/>
      </c>
      <c r="EK216" s="30" t="str">
        <f t="shared" si="3122"/>
        <v/>
      </c>
      <c r="EL216" s="30" t="str">
        <f t="shared" si="3123"/>
        <v/>
      </c>
      <c r="EM216" s="30" t="str">
        <f t="shared" si="3124"/>
        <v/>
      </c>
      <c r="EN216" s="30" t="str">
        <f t="shared" si="3125"/>
        <v/>
      </c>
      <c r="EO216" s="30" t="str">
        <f t="shared" si="3126"/>
        <v/>
      </c>
      <c r="EP216" s="30" t="str">
        <f t="shared" si="3127"/>
        <v/>
      </c>
      <c r="EQ216" s="30" t="str">
        <f t="shared" si="3128"/>
        <v/>
      </c>
      <c r="ER216" s="30" t="str">
        <f t="shared" si="3129"/>
        <v/>
      </c>
      <c r="ES216" s="30" t="str">
        <f t="shared" si="3130"/>
        <v/>
      </c>
      <c r="ET216" s="30" t="str">
        <f t="shared" si="3131"/>
        <v/>
      </c>
      <c r="EU216" s="30" t="str">
        <f t="shared" si="3132"/>
        <v/>
      </c>
      <c r="EV216" s="30" t="str">
        <f t="shared" si="3133"/>
        <v/>
      </c>
      <c r="EW216" s="30" t="str">
        <f t="shared" si="3134"/>
        <v/>
      </c>
      <c r="EX216" s="30" t="str">
        <f t="shared" si="3135"/>
        <v/>
      </c>
      <c r="EY216" s="30" t="str">
        <f t="shared" si="3136"/>
        <v/>
      </c>
      <c r="EZ216" s="30" t="str">
        <f t="shared" si="3137"/>
        <v/>
      </c>
      <c r="FA216" s="30" t="str">
        <f t="shared" si="3138"/>
        <v/>
      </c>
      <c r="FB216" s="30" t="str">
        <f t="shared" si="3139"/>
        <v/>
      </c>
      <c r="FC216" s="30" t="str">
        <f t="shared" si="3140"/>
        <v/>
      </c>
      <c r="FD216" s="30" t="str">
        <f t="shared" si="3141"/>
        <v/>
      </c>
      <c r="FE216" s="30" t="str">
        <f t="shared" si="3142"/>
        <v/>
      </c>
      <c r="FF216" s="30" t="str">
        <f t="shared" si="3143"/>
        <v/>
      </c>
      <c r="FG216" s="30" t="str">
        <f t="shared" si="3144"/>
        <v/>
      </c>
      <c r="FH216" s="30" t="str">
        <f t="shared" si="3145"/>
        <v/>
      </c>
      <c r="FI216" s="30" t="str">
        <f t="shared" si="3146"/>
        <v/>
      </c>
      <c r="FJ216" s="30" t="str">
        <f t="shared" si="3147"/>
        <v/>
      </c>
      <c r="FK216" s="30" t="str">
        <f t="shared" si="3148"/>
        <v/>
      </c>
      <c r="FL216" s="30" t="str">
        <f t="shared" si="3149"/>
        <v/>
      </c>
      <c r="FM216" s="30" t="str">
        <f t="shared" si="3150"/>
        <v/>
      </c>
      <c r="FN216" s="30" t="str">
        <f t="shared" si="3151"/>
        <v/>
      </c>
      <c r="FO216" s="30" t="str">
        <f t="shared" si="3152"/>
        <v/>
      </c>
      <c r="FP216" s="30" t="str">
        <f t="shared" si="3153"/>
        <v/>
      </c>
      <c r="FQ216" s="30" t="str">
        <f t="shared" si="3154"/>
        <v/>
      </c>
      <c r="FR216" s="30" t="str">
        <f t="shared" si="3155"/>
        <v/>
      </c>
      <c r="FS216" s="30" t="str">
        <f t="shared" si="3156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81"/>
        <v>InitUnitState('',,,,,,,,,,)</v>
      </c>
      <c r="CO217" s="44" t="str">
        <f t="shared" si="3082"/>
        <v>InitUnitNormal('',,,,,,,,,,)</v>
      </c>
      <c r="CP217" s="44" t="str">
        <f t="shared" si="3083"/>
        <v>InitUnitMagic('',,,,,,,,,,)</v>
      </c>
      <c r="CQ217" s="44" t="str">
        <f t="shared" si="3084"/>
        <v>InitUnitAdd('',,,,,,,,,,)</v>
      </c>
      <c r="CR217" s="44" t="str">
        <f t="shared" si="3085"/>
        <v>InitEquipData('',,"",,,,,'','','','','','',"")</v>
      </c>
      <c r="CS217" s="44"/>
      <c r="CT217" s="44"/>
      <c r="CU217" s="45" t="str">
        <f t="shared" si="3086"/>
        <v>|n</v>
      </c>
      <c r="CV217" s="29"/>
      <c r="DB217" s="30" t="str">
        <f t="shared" si="3087"/>
        <v/>
      </c>
      <c r="DC217" s="30" t="str">
        <f t="shared" si="3088"/>
        <v/>
      </c>
      <c r="DD217" s="30" t="str">
        <f t="shared" si="3089"/>
        <v/>
      </c>
      <c r="DE217" s="30" t="str">
        <f t="shared" si="3090"/>
        <v/>
      </c>
      <c r="DF217" s="30" t="str">
        <f t="shared" si="3091"/>
        <v/>
      </c>
      <c r="DG217" s="30" t="str">
        <f t="shared" si="3092"/>
        <v/>
      </c>
      <c r="DH217" s="30" t="str">
        <f t="shared" si="3093"/>
        <v/>
      </c>
      <c r="DI217" s="30" t="str">
        <f t="shared" si="3094"/>
        <v/>
      </c>
      <c r="DJ217" s="30" t="str">
        <f t="shared" si="3095"/>
        <v/>
      </c>
      <c r="DK217" s="30" t="str">
        <f t="shared" si="3096"/>
        <v/>
      </c>
      <c r="DL217" s="30" t="str">
        <f t="shared" si="3097"/>
        <v/>
      </c>
      <c r="DM217" s="30" t="str">
        <f t="shared" si="3098"/>
        <v/>
      </c>
      <c r="DN217" s="30" t="str">
        <f t="shared" si="3099"/>
        <v/>
      </c>
      <c r="DO217" s="30" t="str">
        <f t="shared" si="3100"/>
        <v/>
      </c>
      <c r="DP217" s="30" t="str">
        <f t="shared" si="3101"/>
        <v/>
      </c>
      <c r="DQ217" s="30" t="str">
        <f t="shared" si="3102"/>
        <v/>
      </c>
      <c r="DR217" s="30" t="str">
        <f t="shared" si="3103"/>
        <v/>
      </c>
      <c r="DS217" s="30" t="str">
        <f t="shared" si="3104"/>
        <v/>
      </c>
      <c r="DT217" s="30" t="str">
        <f t="shared" si="3105"/>
        <v/>
      </c>
      <c r="DU217" s="30" t="str">
        <f t="shared" si="3106"/>
        <v/>
      </c>
      <c r="DV217" s="30" t="str">
        <f t="shared" si="3107"/>
        <v/>
      </c>
      <c r="DW217" s="30" t="str">
        <f t="shared" si="3108"/>
        <v/>
      </c>
      <c r="DX217" s="30" t="str">
        <f t="shared" si="3109"/>
        <v/>
      </c>
      <c r="DY217" s="30" t="str">
        <f t="shared" si="3110"/>
        <v/>
      </c>
      <c r="DZ217" s="30" t="str">
        <f t="shared" si="3111"/>
        <v/>
      </c>
      <c r="EA217" s="30" t="str">
        <f t="shared" si="3112"/>
        <v/>
      </c>
      <c r="EB217" s="30" t="str">
        <f t="shared" si="3113"/>
        <v/>
      </c>
      <c r="EC217" s="30" t="str">
        <f t="shared" si="3114"/>
        <v/>
      </c>
      <c r="ED217" s="30" t="str">
        <f t="shared" si="3115"/>
        <v/>
      </c>
      <c r="EE217" s="30" t="str">
        <f t="shared" si="3116"/>
        <v/>
      </c>
      <c r="EF217" s="30" t="str">
        <f t="shared" si="3117"/>
        <v/>
      </c>
      <c r="EG217" s="30" t="str">
        <f t="shared" si="3118"/>
        <v/>
      </c>
      <c r="EH217" s="30" t="str">
        <f t="shared" si="3119"/>
        <v/>
      </c>
      <c r="EI217" s="30" t="str">
        <f t="shared" si="3120"/>
        <v/>
      </c>
      <c r="EJ217" s="30" t="str">
        <f t="shared" si="3121"/>
        <v/>
      </c>
      <c r="EK217" s="30" t="str">
        <f t="shared" si="3122"/>
        <v/>
      </c>
      <c r="EL217" s="30" t="str">
        <f t="shared" si="3123"/>
        <v/>
      </c>
      <c r="EM217" s="30" t="str">
        <f t="shared" si="3124"/>
        <v/>
      </c>
      <c r="EN217" s="30" t="str">
        <f t="shared" si="3125"/>
        <v/>
      </c>
      <c r="EO217" s="30" t="str">
        <f t="shared" si="3126"/>
        <v/>
      </c>
      <c r="EP217" s="30" t="str">
        <f t="shared" si="3127"/>
        <v/>
      </c>
      <c r="EQ217" s="30" t="str">
        <f t="shared" si="3128"/>
        <v/>
      </c>
      <c r="ER217" s="30" t="str">
        <f t="shared" si="3129"/>
        <v/>
      </c>
      <c r="ES217" s="30" t="str">
        <f t="shared" si="3130"/>
        <v/>
      </c>
      <c r="ET217" s="30" t="str">
        <f t="shared" si="3131"/>
        <v/>
      </c>
      <c r="EU217" s="30" t="str">
        <f t="shared" si="3132"/>
        <v/>
      </c>
      <c r="EV217" s="30" t="str">
        <f t="shared" si="3133"/>
        <v/>
      </c>
      <c r="EW217" s="30" t="str">
        <f t="shared" si="3134"/>
        <v/>
      </c>
      <c r="EX217" s="30" t="str">
        <f t="shared" si="3135"/>
        <v/>
      </c>
      <c r="EY217" s="30" t="str">
        <f t="shared" si="3136"/>
        <v/>
      </c>
      <c r="EZ217" s="30" t="str">
        <f t="shared" si="3137"/>
        <v/>
      </c>
      <c r="FA217" s="30" t="str">
        <f t="shared" si="3138"/>
        <v/>
      </c>
      <c r="FB217" s="30" t="str">
        <f t="shared" si="3139"/>
        <v/>
      </c>
      <c r="FC217" s="30" t="str">
        <f t="shared" si="3140"/>
        <v/>
      </c>
      <c r="FD217" s="30" t="str">
        <f t="shared" si="3141"/>
        <v/>
      </c>
      <c r="FE217" s="30" t="str">
        <f t="shared" si="3142"/>
        <v/>
      </c>
      <c r="FF217" s="30" t="str">
        <f t="shared" si="3143"/>
        <v/>
      </c>
      <c r="FG217" s="30" t="str">
        <f t="shared" si="3144"/>
        <v/>
      </c>
      <c r="FH217" s="30" t="str">
        <f t="shared" si="3145"/>
        <v/>
      </c>
      <c r="FI217" s="30" t="str">
        <f t="shared" si="3146"/>
        <v/>
      </c>
      <c r="FJ217" s="30" t="str">
        <f t="shared" si="3147"/>
        <v/>
      </c>
      <c r="FK217" s="30" t="str">
        <f t="shared" si="3148"/>
        <v/>
      </c>
      <c r="FL217" s="30" t="str">
        <f t="shared" si="3149"/>
        <v/>
      </c>
      <c r="FM217" s="30" t="str">
        <f t="shared" si="3150"/>
        <v/>
      </c>
      <c r="FN217" s="30" t="str">
        <f t="shared" si="3151"/>
        <v/>
      </c>
      <c r="FO217" s="30" t="str">
        <f t="shared" si="3152"/>
        <v/>
      </c>
      <c r="FP217" s="30" t="str">
        <f t="shared" si="3153"/>
        <v/>
      </c>
      <c r="FQ217" s="30" t="str">
        <f t="shared" si="3154"/>
        <v/>
      </c>
      <c r="FR217" s="30" t="str">
        <f t="shared" si="3155"/>
        <v/>
      </c>
      <c r="FS217" s="30" t="str">
        <f t="shared" si="3156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81"/>
        <v>InitUnitState('',,,,,,,,,,)</v>
      </c>
      <c r="CO218" s="44" t="str">
        <f t="shared" si="3082"/>
        <v>InitUnitNormal('',,,,,,,,,,)</v>
      </c>
      <c r="CP218" s="44" t="str">
        <f t="shared" si="3083"/>
        <v>InitUnitMagic('',,,,,,,,,,)</v>
      </c>
      <c r="CQ218" s="44" t="str">
        <f t="shared" si="3084"/>
        <v>InitUnitAdd('',,,,,,,,,,)</v>
      </c>
      <c r="CR218" s="44" t="str">
        <f t="shared" si="3085"/>
        <v>InitEquipData('',,"",,,,,'','','','','','',"")</v>
      </c>
      <c r="CS218" s="44"/>
      <c r="CT218" s="44"/>
      <c r="CU218" s="45" t="str">
        <f t="shared" si="3086"/>
        <v>|n</v>
      </c>
      <c r="CV218" s="29"/>
      <c r="DB218" s="30" t="str">
        <f t="shared" si="3087"/>
        <v/>
      </c>
      <c r="DC218" s="30" t="str">
        <f t="shared" si="3088"/>
        <v/>
      </c>
      <c r="DD218" s="30" t="str">
        <f t="shared" si="3089"/>
        <v/>
      </c>
      <c r="DE218" s="30" t="str">
        <f t="shared" si="3090"/>
        <v/>
      </c>
      <c r="DF218" s="30" t="str">
        <f t="shared" si="3091"/>
        <v/>
      </c>
      <c r="DG218" s="30" t="str">
        <f t="shared" si="3092"/>
        <v/>
      </c>
      <c r="DH218" s="30" t="str">
        <f t="shared" si="3093"/>
        <v/>
      </c>
      <c r="DI218" s="30" t="str">
        <f t="shared" si="3094"/>
        <v/>
      </c>
      <c r="DJ218" s="30" t="str">
        <f t="shared" si="3095"/>
        <v/>
      </c>
      <c r="DK218" s="30" t="str">
        <f t="shared" si="3096"/>
        <v/>
      </c>
      <c r="DL218" s="30" t="str">
        <f t="shared" si="3097"/>
        <v/>
      </c>
      <c r="DM218" s="30" t="str">
        <f t="shared" si="3098"/>
        <v/>
      </c>
      <c r="DN218" s="30" t="str">
        <f t="shared" si="3099"/>
        <v/>
      </c>
      <c r="DO218" s="30" t="str">
        <f t="shared" si="3100"/>
        <v/>
      </c>
      <c r="DP218" s="30" t="str">
        <f t="shared" si="3101"/>
        <v/>
      </c>
      <c r="DQ218" s="30" t="str">
        <f t="shared" si="3102"/>
        <v/>
      </c>
      <c r="DR218" s="30" t="str">
        <f t="shared" si="3103"/>
        <v/>
      </c>
      <c r="DS218" s="30" t="str">
        <f t="shared" si="3104"/>
        <v/>
      </c>
      <c r="DT218" s="30" t="str">
        <f t="shared" si="3105"/>
        <v/>
      </c>
      <c r="DU218" s="30" t="str">
        <f t="shared" si="3106"/>
        <v/>
      </c>
      <c r="DV218" s="30" t="str">
        <f t="shared" si="3107"/>
        <v/>
      </c>
      <c r="DW218" s="30" t="str">
        <f t="shared" si="3108"/>
        <v/>
      </c>
      <c r="DX218" s="30" t="str">
        <f t="shared" si="3109"/>
        <v/>
      </c>
      <c r="DY218" s="30" t="str">
        <f t="shared" si="3110"/>
        <v/>
      </c>
      <c r="DZ218" s="30" t="str">
        <f t="shared" si="3111"/>
        <v/>
      </c>
      <c r="EA218" s="30" t="str">
        <f t="shared" si="3112"/>
        <v/>
      </c>
      <c r="EB218" s="30" t="str">
        <f t="shared" si="3113"/>
        <v/>
      </c>
      <c r="EC218" s="30" t="str">
        <f t="shared" si="3114"/>
        <v/>
      </c>
      <c r="ED218" s="30" t="str">
        <f t="shared" si="3115"/>
        <v/>
      </c>
      <c r="EE218" s="30" t="str">
        <f t="shared" si="3116"/>
        <v/>
      </c>
      <c r="EF218" s="30" t="str">
        <f t="shared" si="3117"/>
        <v/>
      </c>
      <c r="EG218" s="30" t="str">
        <f t="shared" si="3118"/>
        <v/>
      </c>
      <c r="EH218" s="30" t="str">
        <f t="shared" si="3119"/>
        <v/>
      </c>
      <c r="EI218" s="30" t="str">
        <f t="shared" si="3120"/>
        <v/>
      </c>
      <c r="EJ218" s="30" t="str">
        <f t="shared" si="3121"/>
        <v/>
      </c>
      <c r="EK218" s="30" t="str">
        <f t="shared" si="3122"/>
        <v/>
      </c>
      <c r="EL218" s="30" t="str">
        <f t="shared" si="3123"/>
        <v/>
      </c>
      <c r="EM218" s="30" t="str">
        <f t="shared" si="3124"/>
        <v/>
      </c>
      <c r="EN218" s="30" t="str">
        <f t="shared" si="3125"/>
        <v/>
      </c>
      <c r="EO218" s="30" t="str">
        <f t="shared" si="3126"/>
        <v/>
      </c>
      <c r="EP218" s="30" t="str">
        <f t="shared" si="3127"/>
        <v/>
      </c>
      <c r="EQ218" s="30" t="str">
        <f t="shared" si="3128"/>
        <v/>
      </c>
      <c r="ER218" s="30" t="str">
        <f t="shared" si="3129"/>
        <v/>
      </c>
      <c r="ES218" s="30" t="str">
        <f t="shared" si="3130"/>
        <v/>
      </c>
      <c r="ET218" s="30" t="str">
        <f t="shared" si="3131"/>
        <v/>
      </c>
      <c r="EU218" s="30" t="str">
        <f t="shared" si="3132"/>
        <v/>
      </c>
      <c r="EV218" s="30" t="str">
        <f t="shared" si="3133"/>
        <v/>
      </c>
      <c r="EW218" s="30" t="str">
        <f t="shared" si="3134"/>
        <v/>
      </c>
      <c r="EX218" s="30" t="str">
        <f t="shared" si="3135"/>
        <v/>
      </c>
      <c r="EY218" s="30" t="str">
        <f t="shared" si="3136"/>
        <v/>
      </c>
      <c r="EZ218" s="30" t="str">
        <f t="shared" si="3137"/>
        <v/>
      </c>
      <c r="FA218" s="30" t="str">
        <f t="shared" si="3138"/>
        <v/>
      </c>
      <c r="FB218" s="30" t="str">
        <f t="shared" si="3139"/>
        <v/>
      </c>
      <c r="FC218" s="30" t="str">
        <f t="shared" si="3140"/>
        <v/>
      </c>
      <c r="FD218" s="30" t="str">
        <f t="shared" si="3141"/>
        <v/>
      </c>
      <c r="FE218" s="30" t="str">
        <f t="shared" si="3142"/>
        <v/>
      </c>
      <c r="FF218" s="30" t="str">
        <f t="shared" si="3143"/>
        <v/>
      </c>
      <c r="FG218" s="30" t="str">
        <f t="shared" si="3144"/>
        <v/>
      </c>
      <c r="FH218" s="30" t="str">
        <f t="shared" si="3145"/>
        <v/>
      </c>
      <c r="FI218" s="30" t="str">
        <f t="shared" si="3146"/>
        <v/>
      </c>
      <c r="FJ218" s="30" t="str">
        <f t="shared" si="3147"/>
        <v/>
      </c>
      <c r="FK218" s="30" t="str">
        <f t="shared" si="3148"/>
        <v/>
      </c>
      <c r="FL218" s="30" t="str">
        <f t="shared" si="3149"/>
        <v/>
      </c>
      <c r="FM218" s="30" t="str">
        <f t="shared" si="3150"/>
        <v/>
      </c>
      <c r="FN218" s="30" t="str">
        <f t="shared" si="3151"/>
        <v/>
      </c>
      <c r="FO218" s="30" t="str">
        <f t="shared" si="3152"/>
        <v/>
      </c>
      <c r="FP218" s="30" t="str">
        <f t="shared" si="3153"/>
        <v/>
      </c>
      <c r="FQ218" s="30" t="str">
        <f t="shared" si="3154"/>
        <v/>
      </c>
      <c r="FR218" s="30" t="str">
        <f t="shared" si="3155"/>
        <v/>
      </c>
      <c r="FS218" s="30" t="str">
        <f t="shared" si="3156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81"/>
        <v>InitUnitState('',,,,,,,,,,)</v>
      </c>
      <c r="CO219" s="44" t="str">
        <f t="shared" si="3082"/>
        <v>InitUnitNormal('',,,,,,,,,,)</v>
      </c>
      <c r="CP219" s="44" t="str">
        <f t="shared" si="3083"/>
        <v>InitUnitMagic('',,,,,,,,,,)</v>
      </c>
      <c r="CQ219" s="44" t="str">
        <f t="shared" si="3084"/>
        <v>InitUnitAdd('',,,,,,,,,,)</v>
      </c>
      <c r="CR219" s="44" t="str">
        <f t="shared" si="3085"/>
        <v>InitEquipData('',,"",,,,,'','','','','','',"")</v>
      </c>
      <c r="CS219" s="44"/>
      <c r="CT219" s="44"/>
      <c r="CU219" s="45" t="str">
        <f t="shared" si="3086"/>
        <v>|n</v>
      </c>
      <c r="CV219" s="29"/>
      <c r="DB219" s="30" t="str">
        <f t="shared" si="3087"/>
        <v/>
      </c>
      <c r="DC219" s="30" t="str">
        <f t="shared" si="3088"/>
        <v/>
      </c>
      <c r="DD219" s="30" t="str">
        <f t="shared" si="3089"/>
        <v/>
      </c>
      <c r="DE219" s="30" t="str">
        <f t="shared" si="3090"/>
        <v/>
      </c>
      <c r="DF219" s="30" t="str">
        <f t="shared" si="3091"/>
        <v/>
      </c>
      <c r="DG219" s="30" t="str">
        <f t="shared" si="3092"/>
        <v/>
      </c>
      <c r="DH219" s="30" t="str">
        <f t="shared" si="3093"/>
        <v/>
      </c>
      <c r="DI219" s="30" t="str">
        <f t="shared" si="3094"/>
        <v/>
      </c>
      <c r="DJ219" s="30" t="str">
        <f t="shared" si="3095"/>
        <v/>
      </c>
      <c r="DK219" s="30" t="str">
        <f t="shared" si="3096"/>
        <v/>
      </c>
      <c r="DL219" s="30" t="str">
        <f t="shared" si="3097"/>
        <v/>
      </c>
      <c r="DM219" s="30" t="str">
        <f t="shared" si="3098"/>
        <v/>
      </c>
      <c r="DN219" s="30" t="str">
        <f t="shared" si="3099"/>
        <v/>
      </c>
      <c r="DO219" s="30" t="str">
        <f t="shared" si="3100"/>
        <v/>
      </c>
      <c r="DP219" s="30" t="str">
        <f t="shared" si="3101"/>
        <v/>
      </c>
      <c r="DQ219" s="30" t="str">
        <f t="shared" si="3102"/>
        <v/>
      </c>
      <c r="DR219" s="30" t="str">
        <f t="shared" si="3103"/>
        <v/>
      </c>
      <c r="DS219" s="30" t="str">
        <f t="shared" si="3104"/>
        <v/>
      </c>
      <c r="DT219" s="30" t="str">
        <f t="shared" si="3105"/>
        <v/>
      </c>
      <c r="DU219" s="30" t="str">
        <f t="shared" si="3106"/>
        <v/>
      </c>
      <c r="DV219" s="30" t="str">
        <f t="shared" si="3107"/>
        <v/>
      </c>
      <c r="DW219" s="30" t="str">
        <f t="shared" si="3108"/>
        <v/>
      </c>
      <c r="DX219" s="30" t="str">
        <f t="shared" si="3109"/>
        <v/>
      </c>
      <c r="DY219" s="30" t="str">
        <f t="shared" si="3110"/>
        <v/>
      </c>
      <c r="DZ219" s="30" t="str">
        <f t="shared" si="3111"/>
        <v/>
      </c>
      <c r="EA219" s="30" t="str">
        <f t="shared" si="3112"/>
        <v/>
      </c>
      <c r="EB219" s="30" t="str">
        <f t="shared" si="3113"/>
        <v/>
      </c>
      <c r="EC219" s="30" t="str">
        <f t="shared" si="3114"/>
        <v/>
      </c>
      <c r="ED219" s="30" t="str">
        <f t="shared" si="3115"/>
        <v/>
      </c>
      <c r="EE219" s="30" t="str">
        <f t="shared" si="3116"/>
        <v/>
      </c>
      <c r="EF219" s="30" t="str">
        <f t="shared" si="3117"/>
        <v/>
      </c>
      <c r="EG219" s="30" t="str">
        <f t="shared" si="3118"/>
        <v/>
      </c>
      <c r="EH219" s="30" t="str">
        <f t="shared" si="3119"/>
        <v/>
      </c>
      <c r="EI219" s="30" t="str">
        <f t="shared" si="3120"/>
        <v/>
      </c>
      <c r="EJ219" s="30" t="str">
        <f t="shared" si="3121"/>
        <v/>
      </c>
      <c r="EK219" s="30" t="str">
        <f t="shared" si="3122"/>
        <v/>
      </c>
      <c r="EL219" s="30" t="str">
        <f t="shared" si="3123"/>
        <v/>
      </c>
      <c r="EM219" s="30" t="str">
        <f t="shared" si="3124"/>
        <v/>
      </c>
      <c r="EN219" s="30" t="str">
        <f t="shared" si="3125"/>
        <v/>
      </c>
      <c r="EO219" s="30" t="str">
        <f t="shared" si="3126"/>
        <v/>
      </c>
      <c r="EP219" s="30" t="str">
        <f t="shared" si="3127"/>
        <v/>
      </c>
      <c r="EQ219" s="30" t="str">
        <f t="shared" si="3128"/>
        <v/>
      </c>
      <c r="ER219" s="30" t="str">
        <f t="shared" si="3129"/>
        <v/>
      </c>
      <c r="ES219" s="30" t="str">
        <f t="shared" si="3130"/>
        <v/>
      </c>
      <c r="ET219" s="30" t="str">
        <f t="shared" si="3131"/>
        <v/>
      </c>
      <c r="EU219" s="30" t="str">
        <f t="shared" si="3132"/>
        <v/>
      </c>
      <c r="EV219" s="30" t="str">
        <f t="shared" si="3133"/>
        <v/>
      </c>
      <c r="EW219" s="30" t="str">
        <f t="shared" si="3134"/>
        <v/>
      </c>
      <c r="EX219" s="30" t="str">
        <f t="shared" si="3135"/>
        <v/>
      </c>
      <c r="EY219" s="30" t="str">
        <f t="shared" si="3136"/>
        <v/>
      </c>
      <c r="EZ219" s="30" t="str">
        <f t="shared" si="3137"/>
        <v/>
      </c>
      <c r="FA219" s="30" t="str">
        <f t="shared" si="3138"/>
        <v/>
      </c>
      <c r="FB219" s="30" t="str">
        <f t="shared" si="3139"/>
        <v/>
      </c>
      <c r="FC219" s="30" t="str">
        <f t="shared" si="3140"/>
        <v/>
      </c>
      <c r="FD219" s="30" t="str">
        <f t="shared" si="3141"/>
        <v/>
      </c>
      <c r="FE219" s="30" t="str">
        <f t="shared" si="3142"/>
        <v/>
      </c>
      <c r="FF219" s="30" t="str">
        <f t="shared" si="3143"/>
        <v/>
      </c>
      <c r="FG219" s="30" t="str">
        <f t="shared" si="3144"/>
        <v/>
      </c>
      <c r="FH219" s="30" t="str">
        <f t="shared" si="3145"/>
        <v/>
      </c>
      <c r="FI219" s="30" t="str">
        <f t="shared" si="3146"/>
        <v/>
      </c>
      <c r="FJ219" s="30" t="str">
        <f t="shared" si="3147"/>
        <v/>
      </c>
      <c r="FK219" s="30" t="str">
        <f t="shared" si="3148"/>
        <v/>
      </c>
      <c r="FL219" s="30" t="str">
        <f t="shared" si="3149"/>
        <v/>
      </c>
      <c r="FM219" s="30" t="str">
        <f t="shared" si="3150"/>
        <v/>
      </c>
      <c r="FN219" s="30" t="str">
        <f t="shared" si="3151"/>
        <v/>
      </c>
      <c r="FO219" s="30" t="str">
        <f t="shared" si="3152"/>
        <v/>
      </c>
      <c r="FP219" s="30" t="str">
        <f t="shared" si="3153"/>
        <v/>
      </c>
      <c r="FQ219" s="30" t="str">
        <f t="shared" si="3154"/>
        <v/>
      </c>
      <c r="FR219" s="30" t="str">
        <f t="shared" si="3155"/>
        <v/>
      </c>
      <c r="FS219" s="30" t="str">
        <f t="shared" si="3156"/>
        <v/>
      </c>
    </row>
    <row r="220" spans="1:175" s="24" customFormat="1" ht="16.5">
      <c r="A220" s="46"/>
      <c r="B220" s="36"/>
      <c r="C220" s="46"/>
      <c r="D220" s="31"/>
      <c r="E220" s="39"/>
      <c r="F220" s="41"/>
      <c r="G220" s="47"/>
      <c r="H220" s="47"/>
      <c r="I220" s="47"/>
      <c r="J220" s="47"/>
      <c r="K220" s="47"/>
      <c r="L220" s="47"/>
      <c r="M220" s="47"/>
      <c r="N220" s="47"/>
      <c r="O220" s="47"/>
      <c r="P220" s="42"/>
      <c r="Q220" s="42"/>
      <c r="R220" s="42"/>
      <c r="S220" s="42"/>
      <c r="T220" s="101"/>
      <c r="U220" s="32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4" t="str">
        <f t="shared" si="3081"/>
        <v>InitUnitState('',,,,,,,,,,)</v>
      </c>
      <c r="CO220" s="44" t="str">
        <f t="shared" si="3082"/>
        <v>InitUnitNormal('',,,,,,,,,,)</v>
      </c>
      <c r="CP220" s="44" t="str">
        <f t="shared" si="3083"/>
        <v>InitUnitMagic('',,,,,,,,,,)</v>
      </c>
      <c r="CQ220" s="44" t="str">
        <f t="shared" si="3084"/>
        <v>InitUnitAdd('',,,,,,,,,,)</v>
      </c>
      <c r="CR220" s="44" t="str">
        <f t="shared" si="3085"/>
        <v>InitEquipData('',,"",,,,,'','','','','','',"")</v>
      </c>
      <c r="CS220" s="44"/>
      <c r="CT220" s="44"/>
      <c r="CU220" s="45" t="str">
        <f t="shared" si="3086"/>
        <v>|n</v>
      </c>
      <c r="CV220" s="29"/>
      <c r="DB220" s="30" t="str">
        <f t="shared" si="3087"/>
        <v/>
      </c>
      <c r="DC220" s="30" t="str">
        <f t="shared" si="3088"/>
        <v/>
      </c>
      <c r="DD220" s="30" t="str">
        <f t="shared" si="3089"/>
        <v/>
      </c>
      <c r="DE220" s="30" t="str">
        <f t="shared" si="3090"/>
        <v/>
      </c>
      <c r="DF220" s="30" t="str">
        <f t="shared" si="3091"/>
        <v/>
      </c>
      <c r="DG220" s="30" t="str">
        <f t="shared" si="3092"/>
        <v/>
      </c>
      <c r="DH220" s="30" t="str">
        <f t="shared" si="3093"/>
        <v/>
      </c>
      <c r="DI220" s="30" t="str">
        <f t="shared" si="3094"/>
        <v/>
      </c>
      <c r="DJ220" s="30" t="str">
        <f t="shared" si="3095"/>
        <v/>
      </c>
      <c r="DK220" s="30" t="str">
        <f t="shared" si="3096"/>
        <v/>
      </c>
      <c r="DL220" s="30" t="str">
        <f t="shared" si="3097"/>
        <v/>
      </c>
      <c r="DM220" s="30" t="str">
        <f t="shared" si="3098"/>
        <v/>
      </c>
      <c r="DN220" s="30" t="str">
        <f t="shared" si="3099"/>
        <v/>
      </c>
      <c r="DO220" s="30" t="str">
        <f t="shared" si="3100"/>
        <v/>
      </c>
      <c r="DP220" s="30" t="str">
        <f t="shared" si="3101"/>
        <v/>
      </c>
      <c r="DQ220" s="30" t="str">
        <f t="shared" si="3102"/>
        <v/>
      </c>
      <c r="DR220" s="30" t="str">
        <f t="shared" si="3103"/>
        <v/>
      </c>
      <c r="DS220" s="30" t="str">
        <f t="shared" si="3104"/>
        <v/>
      </c>
      <c r="DT220" s="30" t="str">
        <f t="shared" si="3105"/>
        <v/>
      </c>
      <c r="DU220" s="30" t="str">
        <f t="shared" si="3106"/>
        <v/>
      </c>
      <c r="DV220" s="30" t="str">
        <f t="shared" si="3107"/>
        <v/>
      </c>
      <c r="DW220" s="30" t="str">
        <f t="shared" si="3108"/>
        <v/>
      </c>
      <c r="DX220" s="30" t="str">
        <f t="shared" si="3109"/>
        <v/>
      </c>
      <c r="DY220" s="30" t="str">
        <f t="shared" si="3110"/>
        <v/>
      </c>
      <c r="DZ220" s="30" t="str">
        <f t="shared" si="3111"/>
        <v/>
      </c>
      <c r="EA220" s="30" t="str">
        <f t="shared" si="3112"/>
        <v/>
      </c>
      <c r="EB220" s="30" t="str">
        <f t="shared" si="3113"/>
        <v/>
      </c>
      <c r="EC220" s="30" t="str">
        <f t="shared" si="3114"/>
        <v/>
      </c>
      <c r="ED220" s="30" t="str">
        <f t="shared" si="3115"/>
        <v/>
      </c>
      <c r="EE220" s="30" t="str">
        <f t="shared" si="3116"/>
        <v/>
      </c>
      <c r="EF220" s="30" t="str">
        <f t="shared" si="3117"/>
        <v/>
      </c>
      <c r="EG220" s="30" t="str">
        <f t="shared" si="3118"/>
        <v/>
      </c>
      <c r="EH220" s="30" t="str">
        <f t="shared" si="3119"/>
        <v/>
      </c>
      <c r="EI220" s="30" t="str">
        <f t="shared" si="3120"/>
        <v/>
      </c>
      <c r="EJ220" s="30" t="str">
        <f t="shared" si="3121"/>
        <v/>
      </c>
      <c r="EK220" s="30" t="str">
        <f t="shared" si="3122"/>
        <v/>
      </c>
      <c r="EL220" s="30" t="str">
        <f t="shared" si="3123"/>
        <v/>
      </c>
      <c r="EM220" s="30" t="str">
        <f t="shared" si="3124"/>
        <v/>
      </c>
      <c r="EN220" s="30" t="str">
        <f t="shared" si="3125"/>
        <v/>
      </c>
      <c r="EO220" s="30" t="str">
        <f t="shared" si="3126"/>
        <v/>
      </c>
      <c r="EP220" s="30" t="str">
        <f t="shared" si="3127"/>
        <v/>
      </c>
      <c r="EQ220" s="30" t="str">
        <f t="shared" si="3128"/>
        <v/>
      </c>
      <c r="ER220" s="30" t="str">
        <f t="shared" si="3129"/>
        <v/>
      </c>
      <c r="ES220" s="30" t="str">
        <f t="shared" si="3130"/>
        <v/>
      </c>
      <c r="ET220" s="30" t="str">
        <f t="shared" si="3131"/>
        <v/>
      </c>
      <c r="EU220" s="30" t="str">
        <f t="shared" si="3132"/>
        <v/>
      </c>
      <c r="EV220" s="30" t="str">
        <f t="shared" si="3133"/>
        <v/>
      </c>
      <c r="EW220" s="30" t="str">
        <f t="shared" si="3134"/>
        <v/>
      </c>
      <c r="EX220" s="30" t="str">
        <f t="shared" si="3135"/>
        <v/>
      </c>
      <c r="EY220" s="30" t="str">
        <f t="shared" si="3136"/>
        <v/>
      </c>
      <c r="EZ220" s="30" t="str">
        <f t="shared" si="3137"/>
        <v/>
      </c>
      <c r="FA220" s="30" t="str">
        <f t="shared" si="3138"/>
        <v/>
      </c>
      <c r="FB220" s="30" t="str">
        <f t="shared" si="3139"/>
        <v/>
      </c>
      <c r="FC220" s="30" t="str">
        <f t="shared" si="3140"/>
        <v/>
      </c>
      <c r="FD220" s="30" t="str">
        <f t="shared" si="3141"/>
        <v/>
      </c>
      <c r="FE220" s="30" t="str">
        <f t="shared" si="3142"/>
        <v/>
      </c>
      <c r="FF220" s="30" t="str">
        <f t="shared" si="3143"/>
        <v/>
      </c>
      <c r="FG220" s="30" t="str">
        <f t="shared" si="3144"/>
        <v/>
      </c>
      <c r="FH220" s="30" t="str">
        <f t="shared" si="3145"/>
        <v/>
      </c>
      <c r="FI220" s="30" t="str">
        <f t="shared" si="3146"/>
        <v/>
      </c>
      <c r="FJ220" s="30" t="str">
        <f t="shared" si="3147"/>
        <v/>
      </c>
      <c r="FK220" s="30" t="str">
        <f t="shared" si="3148"/>
        <v/>
      </c>
      <c r="FL220" s="30" t="str">
        <f t="shared" si="3149"/>
        <v/>
      </c>
      <c r="FM220" s="30" t="str">
        <f t="shared" si="3150"/>
        <v/>
      </c>
      <c r="FN220" s="30" t="str">
        <f t="shared" si="3151"/>
        <v/>
      </c>
      <c r="FO220" s="30" t="str">
        <f t="shared" si="3152"/>
        <v/>
      </c>
      <c r="FP220" s="30" t="str">
        <f t="shared" si="3153"/>
        <v/>
      </c>
      <c r="FQ220" s="30" t="str">
        <f t="shared" si="3154"/>
        <v/>
      </c>
      <c r="FR220" s="30" t="str">
        <f t="shared" si="3155"/>
        <v/>
      </c>
      <c r="FS220" s="30" t="str">
        <f t="shared" si="3156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86"/>
        <v>|n</v>
      </c>
      <c r="CW221" s="24"/>
      <c r="CX221" s="24"/>
      <c r="CY221" s="24"/>
      <c r="CZ221" s="24"/>
      <c r="DA221" s="24"/>
      <c r="DB221" s="30" t="str">
        <f t="shared" si="3087"/>
        <v/>
      </c>
      <c r="DC221" s="30" t="str">
        <f t="shared" si="3088"/>
        <v/>
      </c>
      <c r="DD221" s="30" t="str">
        <f t="shared" si="3089"/>
        <v/>
      </c>
      <c r="DE221" s="30" t="str">
        <f t="shared" si="3090"/>
        <v/>
      </c>
      <c r="DF221" s="30" t="str">
        <f t="shared" si="3091"/>
        <v/>
      </c>
      <c r="DG221" s="30" t="str">
        <f t="shared" si="3092"/>
        <v/>
      </c>
      <c r="DH221" s="30" t="str">
        <f t="shared" si="3093"/>
        <v/>
      </c>
      <c r="DI221" s="30" t="str">
        <f t="shared" si="3094"/>
        <v/>
      </c>
      <c r="DJ221" s="30" t="str">
        <f t="shared" si="3095"/>
        <v/>
      </c>
      <c r="DK221" s="30" t="str">
        <f t="shared" si="3096"/>
        <v/>
      </c>
      <c r="DL221" s="30" t="str">
        <f t="shared" si="3097"/>
        <v/>
      </c>
      <c r="DM221" s="30" t="str">
        <f t="shared" si="3098"/>
        <v/>
      </c>
      <c r="DN221" s="30" t="str">
        <f t="shared" si="3099"/>
        <v/>
      </c>
      <c r="DO221" s="30" t="str">
        <f t="shared" si="3100"/>
        <v/>
      </c>
      <c r="DP221" s="30" t="str">
        <f t="shared" si="3101"/>
        <v/>
      </c>
      <c r="DQ221" s="30" t="str">
        <f t="shared" si="3102"/>
        <v/>
      </c>
      <c r="DR221" s="30" t="str">
        <f t="shared" si="3103"/>
        <v/>
      </c>
      <c r="DS221" s="30" t="str">
        <f t="shared" si="3104"/>
        <v/>
      </c>
      <c r="DT221" s="30" t="str">
        <f t="shared" si="3105"/>
        <v/>
      </c>
      <c r="DU221" s="30" t="str">
        <f t="shared" si="3106"/>
        <v/>
      </c>
      <c r="DV221" s="30" t="str">
        <f t="shared" si="3107"/>
        <v/>
      </c>
      <c r="DW221" s="30" t="str">
        <f t="shared" si="3108"/>
        <v/>
      </c>
      <c r="DX221" s="30" t="str">
        <f t="shared" si="3109"/>
        <v/>
      </c>
      <c r="DY221" s="30" t="str">
        <f t="shared" si="3110"/>
        <v/>
      </c>
      <c r="DZ221" s="30" t="str">
        <f t="shared" si="3111"/>
        <v/>
      </c>
      <c r="EA221" s="30" t="str">
        <f t="shared" si="3112"/>
        <v/>
      </c>
      <c r="EB221" s="30" t="str">
        <f t="shared" si="3113"/>
        <v/>
      </c>
      <c r="EC221" s="30" t="str">
        <f t="shared" si="3114"/>
        <v/>
      </c>
      <c r="ED221" s="30" t="str">
        <f t="shared" si="3115"/>
        <v/>
      </c>
      <c r="EE221" s="30" t="str">
        <f t="shared" si="3116"/>
        <v/>
      </c>
      <c r="EF221" s="30" t="str">
        <f t="shared" si="3117"/>
        <v/>
      </c>
      <c r="EG221" s="30" t="str">
        <f t="shared" si="3118"/>
        <v/>
      </c>
      <c r="EH221" s="30" t="str">
        <f t="shared" si="3119"/>
        <v/>
      </c>
      <c r="EI221" s="30" t="str">
        <f t="shared" si="3120"/>
        <v/>
      </c>
      <c r="EJ221" s="30" t="str">
        <f t="shared" si="3121"/>
        <v/>
      </c>
      <c r="EK221" s="30" t="str">
        <f t="shared" si="3122"/>
        <v/>
      </c>
      <c r="EL221" s="30" t="str">
        <f t="shared" si="3123"/>
        <v/>
      </c>
      <c r="EM221" s="30" t="str">
        <f t="shared" si="3124"/>
        <v/>
      </c>
      <c r="EN221" s="30" t="str">
        <f t="shared" si="3125"/>
        <v/>
      </c>
      <c r="EO221" s="30" t="str">
        <f t="shared" si="3126"/>
        <v/>
      </c>
      <c r="EP221" s="30" t="str">
        <f t="shared" si="3127"/>
        <v/>
      </c>
      <c r="EQ221" s="30" t="str">
        <f t="shared" si="3128"/>
        <v/>
      </c>
      <c r="ER221" s="30" t="str">
        <f t="shared" si="3129"/>
        <v/>
      </c>
      <c r="ES221" s="30" t="str">
        <f t="shared" si="3130"/>
        <v/>
      </c>
      <c r="ET221" s="30" t="str">
        <f t="shared" si="3131"/>
        <v/>
      </c>
      <c r="EU221" s="30" t="str">
        <f t="shared" si="3132"/>
        <v/>
      </c>
      <c r="EV221" s="30" t="str">
        <f t="shared" si="3133"/>
        <v/>
      </c>
      <c r="EW221" s="30" t="str">
        <f t="shared" si="3134"/>
        <v/>
      </c>
      <c r="EX221" s="30" t="str">
        <f t="shared" si="3135"/>
        <v/>
      </c>
      <c r="EY221" s="30" t="str">
        <f t="shared" si="3136"/>
        <v/>
      </c>
      <c r="EZ221" s="30" t="str">
        <f t="shared" si="3137"/>
        <v/>
      </c>
      <c r="FA221" s="30" t="str">
        <f t="shared" si="3138"/>
        <v/>
      </c>
      <c r="FB221" s="30" t="str">
        <f t="shared" si="3139"/>
        <v/>
      </c>
      <c r="FC221" s="30" t="str">
        <f t="shared" si="3140"/>
        <v/>
      </c>
      <c r="FD221" s="30" t="str">
        <f t="shared" si="3141"/>
        <v/>
      </c>
      <c r="FE221" s="30" t="str">
        <f t="shared" si="3142"/>
        <v/>
      </c>
      <c r="FF221" s="30" t="str">
        <f t="shared" si="3143"/>
        <v/>
      </c>
      <c r="FG221" s="30" t="str">
        <f t="shared" si="3144"/>
        <v/>
      </c>
      <c r="FH221" s="30" t="str">
        <f t="shared" si="3145"/>
        <v/>
      </c>
      <c r="FI221" s="30" t="str">
        <f t="shared" si="3146"/>
        <v/>
      </c>
      <c r="FJ221" s="30" t="str">
        <f t="shared" si="3147"/>
        <v/>
      </c>
      <c r="FK221" s="30" t="str">
        <f t="shared" si="3148"/>
        <v/>
      </c>
      <c r="FL221" s="30" t="str">
        <f t="shared" si="3149"/>
        <v/>
      </c>
      <c r="FM221" s="30" t="str">
        <f t="shared" si="3150"/>
        <v/>
      </c>
      <c r="FN221" s="30" t="str">
        <f t="shared" si="3151"/>
        <v/>
      </c>
      <c r="FO221" s="30" t="str">
        <f t="shared" si="3152"/>
        <v/>
      </c>
      <c r="FP221" s="30" t="str">
        <f t="shared" si="3153"/>
        <v/>
      </c>
      <c r="FQ221" s="30" t="str">
        <f t="shared" si="3154"/>
        <v/>
      </c>
      <c r="FR221" s="30" t="str">
        <f t="shared" si="3155"/>
        <v/>
      </c>
      <c r="FS221" s="30" t="str">
        <f t="shared" si="3156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86"/>
        <v>|n</v>
      </c>
      <c r="CW222" s="24"/>
      <c r="CX222" s="24"/>
      <c r="CY222" s="24"/>
      <c r="CZ222" s="24"/>
      <c r="DA222" s="24"/>
      <c r="DB222" s="30" t="str">
        <f t="shared" si="3087"/>
        <v/>
      </c>
      <c r="DC222" s="30" t="str">
        <f t="shared" si="3088"/>
        <v/>
      </c>
      <c r="DD222" s="30" t="str">
        <f t="shared" si="3089"/>
        <v/>
      </c>
      <c r="DE222" s="30" t="str">
        <f t="shared" si="3090"/>
        <v/>
      </c>
      <c r="DF222" s="30" t="str">
        <f t="shared" si="3091"/>
        <v/>
      </c>
      <c r="DG222" s="30" t="str">
        <f t="shared" si="3092"/>
        <v/>
      </c>
      <c r="DH222" s="30" t="str">
        <f t="shared" si="3093"/>
        <v/>
      </c>
      <c r="DI222" s="30" t="str">
        <f t="shared" si="3094"/>
        <v/>
      </c>
      <c r="DJ222" s="30" t="str">
        <f t="shared" si="3095"/>
        <v/>
      </c>
      <c r="DK222" s="30" t="str">
        <f t="shared" si="3096"/>
        <v/>
      </c>
      <c r="DL222" s="30" t="str">
        <f t="shared" si="3097"/>
        <v/>
      </c>
      <c r="DM222" s="30" t="str">
        <f t="shared" si="3098"/>
        <v/>
      </c>
      <c r="DN222" s="30" t="str">
        <f t="shared" si="3099"/>
        <v/>
      </c>
      <c r="DO222" s="30" t="str">
        <f t="shared" si="3100"/>
        <v/>
      </c>
      <c r="DP222" s="30" t="str">
        <f t="shared" si="3101"/>
        <v/>
      </c>
      <c r="DQ222" s="30" t="str">
        <f t="shared" si="3102"/>
        <v/>
      </c>
      <c r="DR222" s="30" t="str">
        <f t="shared" si="3103"/>
        <v/>
      </c>
      <c r="DS222" s="30" t="str">
        <f t="shared" si="3104"/>
        <v/>
      </c>
      <c r="DT222" s="30" t="str">
        <f t="shared" si="3105"/>
        <v/>
      </c>
      <c r="DU222" s="30" t="str">
        <f t="shared" si="3106"/>
        <v/>
      </c>
      <c r="DV222" s="30" t="str">
        <f t="shared" si="3107"/>
        <v/>
      </c>
      <c r="DW222" s="30" t="str">
        <f t="shared" si="3108"/>
        <v/>
      </c>
      <c r="DX222" s="30" t="str">
        <f t="shared" si="3109"/>
        <v/>
      </c>
      <c r="DY222" s="30" t="str">
        <f t="shared" si="3110"/>
        <v/>
      </c>
      <c r="DZ222" s="30" t="str">
        <f t="shared" si="3111"/>
        <v/>
      </c>
      <c r="EA222" s="30" t="str">
        <f t="shared" si="3112"/>
        <v/>
      </c>
      <c r="EB222" s="30" t="str">
        <f t="shared" si="3113"/>
        <v/>
      </c>
      <c r="EC222" s="30" t="str">
        <f t="shared" si="3114"/>
        <v/>
      </c>
      <c r="ED222" s="30" t="str">
        <f t="shared" si="3115"/>
        <v/>
      </c>
      <c r="EE222" s="30" t="str">
        <f t="shared" si="3116"/>
        <v/>
      </c>
      <c r="EF222" s="30" t="str">
        <f t="shared" si="3117"/>
        <v/>
      </c>
      <c r="EG222" s="30" t="str">
        <f t="shared" si="3118"/>
        <v/>
      </c>
      <c r="EH222" s="30" t="str">
        <f t="shared" si="3119"/>
        <v/>
      </c>
      <c r="EI222" s="30" t="str">
        <f t="shared" si="3120"/>
        <v/>
      </c>
      <c r="EJ222" s="30" t="str">
        <f t="shared" si="3121"/>
        <v/>
      </c>
      <c r="EK222" s="30" t="str">
        <f t="shared" si="3122"/>
        <v/>
      </c>
      <c r="EL222" s="30" t="str">
        <f t="shared" si="3123"/>
        <v/>
      </c>
      <c r="EM222" s="30" t="str">
        <f t="shared" si="3124"/>
        <v/>
      </c>
      <c r="EN222" s="30" t="str">
        <f t="shared" si="3125"/>
        <v/>
      </c>
      <c r="EO222" s="30" t="str">
        <f t="shared" si="3126"/>
        <v/>
      </c>
      <c r="EP222" s="30" t="str">
        <f t="shared" si="3127"/>
        <v/>
      </c>
      <c r="EQ222" s="30" t="str">
        <f t="shared" si="3128"/>
        <v/>
      </c>
      <c r="ER222" s="30" t="str">
        <f t="shared" si="3129"/>
        <v/>
      </c>
      <c r="ES222" s="30" t="str">
        <f t="shared" si="3130"/>
        <v/>
      </c>
      <c r="ET222" s="30" t="str">
        <f t="shared" si="3131"/>
        <v/>
      </c>
      <c r="EU222" s="30" t="str">
        <f t="shared" si="3132"/>
        <v/>
      </c>
      <c r="EV222" s="30" t="str">
        <f t="shared" si="3133"/>
        <v/>
      </c>
      <c r="EW222" s="30" t="str">
        <f t="shared" si="3134"/>
        <v/>
      </c>
      <c r="EX222" s="30" t="str">
        <f t="shared" si="3135"/>
        <v/>
      </c>
      <c r="EY222" s="30" t="str">
        <f t="shared" si="3136"/>
        <v/>
      </c>
      <c r="EZ222" s="30" t="str">
        <f t="shared" si="3137"/>
        <v/>
      </c>
      <c r="FA222" s="30" t="str">
        <f t="shared" si="3138"/>
        <v/>
      </c>
      <c r="FB222" s="30" t="str">
        <f t="shared" si="3139"/>
        <v/>
      </c>
      <c r="FC222" s="30" t="str">
        <f t="shared" si="3140"/>
        <v/>
      </c>
      <c r="FD222" s="30" t="str">
        <f t="shared" si="3141"/>
        <v/>
      </c>
      <c r="FE222" s="30" t="str">
        <f t="shared" si="3142"/>
        <v/>
      </c>
      <c r="FF222" s="30" t="str">
        <f t="shared" si="3143"/>
        <v/>
      </c>
      <c r="FG222" s="30" t="str">
        <f t="shared" si="3144"/>
        <v/>
      </c>
      <c r="FH222" s="30" t="str">
        <f t="shared" si="3145"/>
        <v/>
      </c>
      <c r="FI222" s="30" t="str">
        <f t="shared" si="3146"/>
        <v/>
      </c>
      <c r="FJ222" s="30" t="str">
        <f t="shared" si="3147"/>
        <v/>
      </c>
      <c r="FK222" s="30" t="str">
        <f t="shared" si="3148"/>
        <v/>
      </c>
      <c r="FL222" s="30" t="str">
        <f t="shared" si="3149"/>
        <v/>
      </c>
      <c r="FM222" s="30" t="str">
        <f t="shared" si="3150"/>
        <v/>
      </c>
      <c r="FN222" s="30" t="str">
        <f t="shared" si="3151"/>
        <v/>
      </c>
      <c r="FO222" s="30" t="str">
        <f t="shared" si="3152"/>
        <v/>
      </c>
      <c r="FP222" s="30" t="str">
        <f t="shared" si="3153"/>
        <v/>
      </c>
      <c r="FQ222" s="30" t="str">
        <f t="shared" si="3154"/>
        <v/>
      </c>
      <c r="FR222" s="30" t="str">
        <f t="shared" si="3155"/>
        <v/>
      </c>
      <c r="FS222" s="30" t="str">
        <f t="shared" si="3156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86"/>
        <v>|n</v>
      </c>
      <c r="CW223" s="24"/>
      <c r="CX223" s="24"/>
      <c r="CY223" s="24"/>
      <c r="CZ223" s="24"/>
      <c r="DA223" s="24"/>
      <c r="DB223" s="30" t="str">
        <f t="shared" si="3087"/>
        <v/>
      </c>
      <c r="DC223" s="30" t="str">
        <f t="shared" si="3088"/>
        <v/>
      </c>
      <c r="DD223" s="30" t="str">
        <f t="shared" si="3089"/>
        <v/>
      </c>
      <c r="DE223" s="30" t="str">
        <f t="shared" si="3090"/>
        <v/>
      </c>
      <c r="DF223" s="30" t="str">
        <f t="shared" si="3091"/>
        <v/>
      </c>
      <c r="DG223" s="30" t="str">
        <f t="shared" si="3092"/>
        <v/>
      </c>
      <c r="DH223" s="30" t="str">
        <f t="shared" si="3093"/>
        <v/>
      </c>
      <c r="DI223" s="30" t="str">
        <f t="shared" si="3094"/>
        <v/>
      </c>
      <c r="DJ223" s="30" t="str">
        <f t="shared" si="3095"/>
        <v/>
      </c>
      <c r="DK223" s="30" t="str">
        <f t="shared" si="3096"/>
        <v/>
      </c>
      <c r="DL223" s="30" t="str">
        <f t="shared" si="3097"/>
        <v/>
      </c>
      <c r="DM223" s="30" t="str">
        <f t="shared" si="3098"/>
        <v/>
      </c>
      <c r="DN223" s="30" t="str">
        <f t="shared" si="3099"/>
        <v/>
      </c>
      <c r="DO223" s="30" t="str">
        <f t="shared" si="3100"/>
        <v/>
      </c>
      <c r="DP223" s="30" t="str">
        <f t="shared" si="3101"/>
        <v/>
      </c>
      <c r="DQ223" s="30" t="str">
        <f t="shared" si="3102"/>
        <v/>
      </c>
      <c r="DR223" s="30" t="str">
        <f t="shared" si="3103"/>
        <v/>
      </c>
      <c r="DS223" s="30" t="str">
        <f t="shared" si="3104"/>
        <v/>
      </c>
      <c r="DT223" s="30" t="str">
        <f t="shared" si="3105"/>
        <v/>
      </c>
      <c r="DU223" s="30" t="str">
        <f t="shared" si="3106"/>
        <v/>
      </c>
      <c r="DV223" s="30" t="str">
        <f t="shared" si="3107"/>
        <v/>
      </c>
      <c r="DW223" s="30" t="str">
        <f t="shared" si="3108"/>
        <v/>
      </c>
      <c r="DX223" s="30" t="str">
        <f t="shared" si="3109"/>
        <v/>
      </c>
      <c r="DY223" s="30" t="str">
        <f t="shared" si="3110"/>
        <v/>
      </c>
      <c r="DZ223" s="30" t="str">
        <f t="shared" si="3111"/>
        <v/>
      </c>
      <c r="EA223" s="30" t="str">
        <f t="shared" si="3112"/>
        <v/>
      </c>
      <c r="EB223" s="30" t="str">
        <f t="shared" si="3113"/>
        <v/>
      </c>
      <c r="EC223" s="30" t="str">
        <f t="shared" si="3114"/>
        <v/>
      </c>
      <c r="ED223" s="30" t="str">
        <f t="shared" si="3115"/>
        <v/>
      </c>
      <c r="EE223" s="30" t="str">
        <f t="shared" si="3116"/>
        <v/>
      </c>
      <c r="EF223" s="30" t="str">
        <f t="shared" si="3117"/>
        <v/>
      </c>
      <c r="EG223" s="30" t="str">
        <f t="shared" si="3118"/>
        <v/>
      </c>
      <c r="EH223" s="30" t="str">
        <f t="shared" si="3119"/>
        <v/>
      </c>
      <c r="EI223" s="30" t="str">
        <f t="shared" si="3120"/>
        <v/>
      </c>
      <c r="EJ223" s="30" t="str">
        <f t="shared" si="3121"/>
        <v/>
      </c>
      <c r="EK223" s="30" t="str">
        <f t="shared" si="3122"/>
        <v/>
      </c>
      <c r="EL223" s="30" t="str">
        <f t="shared" si="3123"/>
        <v/>
      </c>
      <c r="EM223" s="30" t="str">
        <f t="shared" si="3124"/>
        <v/>
      </c>
      <c r="EN223" s="30" t="str">
        <f t="shared" si="3125"/>
        <v/>
      </c>
      <c r="EO223" s="30" t="str">
        <f t="shared" si="3126"/>
        <v/>
      </c>
      <c r="EP223" s="30" t="str">
        <f t="shared" si="3127"/>
        <v/>
      </c>
      <c r="EQ223" s="30" t="str">
        <f t="shared" si="3128"/>
        <v/>
      </c>
      <c r="ER223" s="30" t="str">
        <f t="shared" si="3129"/>
        <v/>
      </c>
      <c r="ES223" s="30" t="str">
        <f t="shared" si="3130"/>
        <v/>
      </c>
      <c r="ET223" s="30" t="str">
        <f t="shared" si="3131"/>
        <v/>
      </c>
      <c r="EU223" s="30" t="str">
        <f t="shared" si="3132"/>
        <v/>
      </c>
      <c r="EV223" s="30" t="str">
        <f t="shared" si="3133"/>
        <v/>
      </c>
      <c r="EW223" s="30" t="str">
        <f t="shared" si="3134"/>
        <v/>
      </c>
      <c r="EX223" s="30" t="str">
        <f t="shared" si="3135"/>
        <v/>
      </c>
      <c r="EY223" s="30" t="str">
        <f t="shared" si="3136"/>
        <v/>
      </c>
      <c r="EZ223" s="30" t="str">
        <f t="shared" si="3137"/>
        <v/>
      </c>
      <c r="FA223" s="30" t="str">
        <f t="shared" si="3138"/>
        <v/>
      </c>
      <c r="FB223" s="30" t="str">
        <f t="shared" si="3139"/>
        <v/>
      </c>
      <c r="FC223" s="30" t="str">
        <f t="shared" si="3140"/>
        <v/>
      </c>
      <c r="FD223" s="30" t="str">
        <f t="shared" si="3141"/>
        <v/>
      </c>
      <c r="FE223" s="30" t="str">
        <f t="shared" si="3142"/>
        <v/>
      </c>
      <c r="FF223" s="30" t="str">
        <f t="shared" si="3143"/>
        <v/>
      </c>
      <c r="FG223" s="30" t="str">
        <f t="shared" si="3144"/>
        <v/>
      </c>
      <c r="FH223" s="30" t="str">
        <f t="shared" si="3145"/>
        <v/>
      </c>
      <c r="FI223" s="30" t="str">
        <f t="shared" si="3146"/>
        <v/>
      </c>
      <c r="FJ223" s="30" t="str">
        <f t="shared" si="3147"/>
        <v/>
      </c>
      <c r="FK223" s="30" t="str">
        <f t="shared" si="3148"/>
        <v/>
      </c>
      <c r="FL223" s="30" t="str">
        <f t="shared" si="3149"/>
        <v/>
      </c>
      <c r="FM223" s="30" t="str">
        <f t="shared" si="3150"/>
        <v/>
      </c>
      <c r="FN223" s="30" t="str">
        <f t="shared" si="3151"/>
        <v/>
      </c>
      <c r="FO223" s="30" t="str">
        <f t="shared" si="3152"/>
        <v/>
      </c>
      <c r="FP223" s="30" t="str">
        <f t="shared" si="3153"/>
        <v/>
      </c>
      <c r="FQ223" s="30" t="str">
        <f t="shared" si="3154"/>
        <v/>
      </c>
      <c r="FR223" s="30" t="str">
        <f t="shared" si="3155"/>
        <v/>
      </c>
      <c r="FS223" s="30" t="str">
        <f t="shared" si="3156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86"/>
        <v>|n</v>
      </c>
      <c r="CW224" s="24"/>
      <c r="CX224" s="24"/>
      <c r="CY224" s="24"/>
      <c r="CZ224" s="24"/>
      <c r="DA224" s="24"/>
      <c r="DB224" s="30" t="str">
        <f t="shared" si="3087"/>
        <v/>
      </c>
      <c r="DC224" s="30" t="str">
        <f t="shared" si="3088"/>
        <v/>
      </c>
      <c r="DD224" s="30" t="str">
        <f t="shared" si="3089"/>
        <v/>
      </c>
      <c r="DE224" s="30" t="str">
        <f t="shared" si="3090"/>
        <v/>
      </c>
      <c r="DF224" s="30" t="str">
        <f t="shared" si="3091"/>
        <v/>
      </c>
      <c r="DG224" s="30" t="str">
        <f t="shared" si="3092"/>
        <v/>
      </c>
      <c r="DH224" s="30" t="str">
        <f t="shared" si="3093"/>
        <v/>
      </c>
      <c r="DI224" s="30" t="str">
        <f t="shared" si="3094"/>
        <v/>
      </c>
      <c r="DJ224" s="30" t="str">
        <f t="shared" si="3095"/>
        <v/>
      </c>
      <c r="DK224" s="30" t="str">
        <f t="shared" si="3096"/>
        <v/>
      </c>
      <c r="DL224" s="30" t="str">
        <f t="shared" si="3097"/>
        <v/>
      </c>
      <c r="DM224" s="30" t="str">
        <f t="shared" si="3098"/>
        <v/>
      </c>
      <c r="DN224" s="30" t="str">
        <f t="shared" si="3099"/>
        <v/>
      </c>
      <c r="DO224" s="30" t="str">
        <f t="shared" si="3100"/>
        <v/>
      </c>
      <c r="DP224" s="30" t="str">
        <f t="shared" si="3101"/>
        <v/>
      </c>
      <c r="DQ224" s="30" t="str">
        <f t="shared" si="3102"/>
        <v/>
      </c>
      <c r="DR224" s="30" t="str">
        <f t="shared" si="3103"/>
        <v/>
      </c>
      <c r="DS224" s="30" t="str">
        <f t="shared" si="3104"/>
        <v/>
      </c>
      <c r="DT224" s="30" t="str">
        <f t="shared" si="3105"/>
        <v/>
      </c>
      <c r="DU224" s="30" t="str">
        <f t="shared" si="3106"/>
        <v/>
      </c>
      <c r="DV224" s="30" t="str">
        <f t="shared" si="3107"/>
        <v/>
      </c>
      <c r="DW224" s="30" t="str">
        <f t="shared" si="3108"/>
        <v/>
      </c>
      <c r="DX224" s="30" t="str">
        <f t="shared" si="3109"/>
        <v/>
      </c>
      <c r="DY224" s="30" t="str">
        <f t="shared" si="3110"/>
        <v/>
      </c>
      <c r="DZ224" s="30" t="str">
        <f t="shared" si="3111"/>
        <v/>
      </c>
      <c r="EA224" s="30" t="str">
        <f t="shared" si="3112"/>
        <v/>
      </c>
      <c r="EB224" s="30" t="str">
        <f t="shared" si="3113"/>
        <v/>
      </c>
      <c r="EC224" s="30" t="str">
        <f t="shared" si="3114"/>
        <v/>
      </c>
      <c r="ED224" s="30" t="str">
        <f t="shared" si="3115"/>
        <v/>
      </c>
      <c r="EE224" s="30" t="str">
        <f t="shared" si="3116"/>
        <v/>
      </c>
      <c r="EF224" s="30" t="str">
        <f t="shared" si="3117"/>
        <v/>
      </c>
      <c r="EG224" s="30" t="str">
        <f t="shared" si="3118"/>
        <v/>
      </c>
      <c r="EH224" s="30" t="str">
        <f t="shared" si="3119"/>
        <v/>
      </c>
      <c r="EI224" s="30" t="str">
        <f t="shared" si="3120"/>
        <v/>
      </c>
      <c r="EJ224" s="30" t="str">
        <f t="shared" si="3121"/>
        <v/>
      </c>
      <c r="EK224" s="30" t="str">
        <f t="shared" si="3122"/>
        <v/>
      </c>
      <c r="EL224" s="30" t="str">
        <f t="shared" si="3123"/>
        <v/>
      </c>
      <c r="EM224" s="30" t="str">
        <f t="shared" si="3124"/>
        <v/>
      </c>
      <c r="EN224" s="30" t="str">
        <f t="shared" si="3125"/>
        <v/>
      </c>
      <c r="EO224" s="30" t="str">
        <f t="shared" si="3126"/>
        <v/>
      </c>
      <c r="EP224" s="30" t="str">
        <f t="shared" si="3127"/>
        <v/>
      </c>
      <c r="EQ224" s="30" t="str">
        <f t="shared" si="3128"/>
        <v/>
      </c>
      <c r="ER224" s="30" t="str">
        <f t="shared" si="3129"/>
        <v/>
      </c>
      <c r="ES224" s="30" t="str">
        <f t="shared" si="3130"/>
        <v/>
      </c>
      <c r="ET224" s="30" t="str">
        <f t="shared" si="3131"/>
        <v/>
      </c>
      <c r="EU224" s="30" t="str">
        <f t="shared" si="3132"/>
        <v/>
      </c>
      <c r="EV224" s="30" t="str">
        <f t="shared" si="3133"/>
        <v/>
      </c>
      <c r="EW224" s="30" t="str">
        <f t="shared" si="3134"/>
        <v/>
      </c>
      <c r="EX224" s="30" t="str">
        <f t="shared" si="3135"/>
        <v/>
      </c>
      <c r="EY224" s="30" t="str">
        <f t="shared" si="3136"/>
        <v/>
      </c>
      <c r="EZ224" s="30" t="str">
        <f t="shared" si="3137"/>
        <v/>
      </c>
      <c r="FA224" s="30" t="str">
        <f t="shared" si="3138"/>
        <v/>
      </c>
      <c r="FB224" s="30" t="str">
        <f t="shared" si="3139"/>
        <v/>
      </c>
      <c r="FC224" s="30" t="str">
        <f t="shared" si="3140"/>
        <v/>
      </c>
      <c r="FD224" s="30" t="str">
        <f t="shared" si="3141"/>
        <v/>
      </c>
      <c r="FE224" s="30" t="str">
        <f t="shared" si="3142"/>
        <v/>
      </c>
      <c r="FF224" s="30" t="str">
        <f t="shared" si="3143"/>
        <v/>
      </c>
      <c r="FG224" s="30" t="str">
        <f t="shared" si="3144"/>
        <v/>
      </c>
      <c r="FH224" s="30" t="str">
        <f t="shared" si="3145"/>
        <v/>
      </c>
      <c r="FI224" s="30" t="str">
        <f t="shared" si="3146"/>
        <v/>
      </c>
      <c r="FJ224" s="30" t="str">
        <f t="shared" si="3147"/>
        <v/>
      </c>
      <c r="FK224" s="30" t="str">
        <f t="shared" si="3148"/>
        <v/>
      </c>
      <c r="FL224" s="30" t="str">
        <f t="shared" si="3149"/>
        <v/>
      </c>
      <c r="FM224" s="30" t="str">
        <f t="shared" si="3150"/>
        <v/>
      </c>
      <c r="FN224" s="30" t="str">
        <f t="shared" si="3151"/>
        <v/>
      </c>
      <c r="FO224" s="30" t="str">
        <f t="shared" si="3152"/>
        <v/>
      </c>
      <c r="FP224" s="30" t="str">
        <f t="shared" si="3153"/>
        <v/>
      </c>
      <c r="FQ224" s="30" t="str">
        <f t="shared" si="3154"/>
        <v/>
      </c>
      <c r="FR224" s="30" t="str">
        <f t="shared" si="3155"/>
        <v/>
      </c>
      <c r="FS224" s="30" t="str">
        <f t="shared" si="3156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86"/>
        <v>|n</v>
      </c>
      <c r="CW225" s="24"/>
      <c r="CX225" s="24"/>
      <c r="CY225" s="24"/>
      <c r="CZ225" s="24"/>
      <c r="DA225" s="24"/>
      <c r="DB225" s="30" t="str">
        <f t="shared" si="3087"/>
        <v/>
      </c>
      <c r="DC225" s="30" t="str">
        <f t="shared" si="3088"/>
        <v/>
      </c>
      <c r="DD225" s="30" t="str">
        <f t="shared" si="3089"/>
        <v/>
      </c>
      <c r="DE225" s="30" t="str">
        <f t="shared" si="3090"/>
        <v/>
      </c>
      <c r="DF225" s="30" t="str">
        <f t="shared" si="3091"/>
        <v/>
      </c>
      <c r="DG225" s="30" t="str">
        <f t="shared" si="3092"/>
        <v/>
      </c>
      <c r="DH225" s="30" t="str">
        <f t="shared" si="3093"/>
        <v/>
      </c>
      <c r="DI225" s="30" t="str">
        <f t="shared" si="3094"/>
        <v/>
      </c>
      <c r="DJ225" s="30" t="str">
        <f t="shared" si="3095"/>
        <v/>
      </c>
      <c r="DK225" s="30" t="str">
        <f t="shared" si="3096"/>
        <v/>
      </c>
      <c r="DL225" s="30" t="str">
        <f t="shared" si="3097"/>
        <v/>
      </c>
      <c r="DM225" s="30" t="str">
        <f t="shared" si="3098"/>
        <v/>
      </c>
      <c r="DN225" s="30" t="str">
        <f t="shared" si="3099"/>
        <v/>
      </c>
      <c r="DO225" s="30" t="str">
        <f t="shared" si="3100"/>
        <v/>
      </c>
      <c r="DP225" s="30" t="str">
        <f t="shared" si="3101"/>
        <v/>
      </c>
      <c r="DQ225" s="30" t="str">
        <f t="shared" si="3102"/>
        <v/>
      </c>
      <c r="DR225" s="30" t="str">
        <f t="shared" si="3103"/>
        <v/>
      </c>
      <c r="DS225" s="30" t="str">
        <f t="shared" si="3104"/>
        <v/>
      </c>
      <c r="DT225" s="30" t="str">
        <f t="shared" si="3105"/>
        <v/>
      </c>
      <c r="DU225" s="30" t="str">
        <f t="shared" si="3106"/>
        <v/>
      </c>
      <c r="DV225" s="30" t="str">
        <f t="shared" si="3107"/>
        <v/>
      </c>
      <c r="DW225" s="30" t="str">
        <f t="shared" si="3108"/>
        <v/>
      </c>
      <c r="DX225" s="30" t="str">
        <f t="shared" si="3109"/>
        <v/>
      </c>
      <c r="DY225" s="30" t="str">
        <f t="shared" si="3110"/>
        <v/>
      </c>
      <c r="DZ225" s="30" t="str">
        <f t="shared" si="3111"/>
        <v/>
      </c>
      <c r="EA225" s="30" t="str">
        <f t="shared" si="3112"/>
        <v/>
      </c>
      <c r="EB225" s="30" t="str">
        <f t="shared" si="3113"/>
        <v/>
      </c>
      <c r="EC225" s="30" t="str">
        <f t="shared" si="3114"/>
        <v/>
      </c>
      <c r="ED225" s="30" t="str">
        <f t="shared" si="3115"/>
        <v/>
      </c>
      <c r="EE225" s="30" t="str">
        <f t="shared" si="3116"/>
        <v/>
      </c>
      <c r="EF225" s="30" t="str">
        <f t="shared" si="3117"/>
        <v/>
      </c>
      <c r="EG225" s="30" t="str">
        <f t="shared" si="3118"/>
        <v/>
      </c>
      <c r="EH225" s="30" t="str">
        <f t="shared" si="3119"/>
        <v/>
      </c>
      <c r="EI225" s="30" t="str">
        <f t="shared" si="3120"/>
        <v/>
      </c>
      <c r="EJ225" s="30" t="str">
        <f t="shared" si="3121"/>
        <v/>
      </c>
      <c r="EK225" s="30" t="str">
        <f t="shared" si="3122"/>
        <v/>
      </c>
      <c r="EL225" s="30" t="str">
        <f t="shared" si="3123"/>
        <v/>
      </c>
      <c r="EM225" s="30" t="str">
        <f t="shared" si="3124"/>
        <v/>
      </c>
      <c r="EN225" s="30" t="str">
        <f t="shared" si="3125"/>
        <v/>
      </c>
      <c r="EO225" s="30" t="str">
        <f t="shared" si="3126"/>
        <v/>
      </c>
      <c r="EP225" s="30" t="str">
        <f t="shared" si="3127"/>
        <v/>
      </c>
      <c r="EQ225" s="30" t="str">
        <f t="shared" si="3128"/>
        <v/>
      </c>
      <c r="ER225" s="30" t="str">
        <f t="shared" si="3129"/>
        <v/>
      </c>
      <c r="ES225" s="30" t="str">
        <f t="shared" si="3130"/>
        <v/>
      </c>
      <c r="ET225" s="30" t="str">
        <f t="shared" si="3131"/>
        <v/>
      </c>
      <c r="EU225" s="30" t="str">
        <f t="shared" si="3132"/>
        <v/>
      </c>
      <c r="EV225" s="30" t="str">
        <f t="shared" si="3133"/>
        <v/>
      </c>
      <c r="EW225" s="30" t="str">
        <f t="shared" si="3134"/>
        <v/>
      </c>
      <c r="EX225" s="30" t="str">
        <f t="shared" si="3135"/>
        <v/>
      </c>
      <c r="EY225" s="30" t="str">
        <f t="shared" si="3136"/>
        <v/>
      </c>
      <c r="EZ225" s="30" t="str">
        <f t="shared" si="3137"/>
        <v/>
      </c>
      <c r="FA225" s="30" t="str">
        <f t="shared" si="3138"/>
        <v/>
      </c>
      <c r="FB225" s="30" t="str">
        <f t="shared" si="3139"/>
        <v/>
      </c>
      <c r="FC225" s="30" t="str">
        <f t="shared" si="3140"/>
        <v/>
      </c>
      <c r="FD225" s="30" t="str">
        <f t="shared" si="3141"/>
        <v/>
      </c>
      <c r="FE225" s="30" t="str">
        <f t="shared" si="3142"/>
        <v/>
      </c>
      <c r="FF225" s="30" t="str">
        <f t="shared" si="3143"/>
        <v/>
      </c>
      <c r="FG225" s="30" t="str">
        <f t="shared" si="3144"/>
        <v/>
      </c>
      <c r="FH225" s="30" t="str">
        <f t="shared" si="3145"/>
        <v/>
      </c>
      <c r="FI225" s="30" t="str">
        <f t="shared" si="3146"/>
        <v/>
      </c>
      <c r="FJ225" s="30" t="str">
        <f t="shared" si="3147"/>
        <v/>
      </c>
      <c r="FK225" s="30" t="str">
        <f t="shared" si="3148"/>
        <v/>
      </c>
      <c r="FL225" s="30" t="str">
        <f t="shared" si="3149"/>
        <v/>
      </c>
      <c r="FM225" s="30" t="str">
        <f t="shared" si="3150"/>
        <v/>
      </c>
      <c r="FN225" s="30" t="str">
        <f t="shared" si="3151"/>
        <v/>
      </c>
      <c r="FO225" s="30" t="str">
        <f t="shared" si="3152"/>
        <v/>
      </c>
      <c r="FP225" s="30" t="str">
        <f t="shared" si="3153"/>
        <v/>
      </c>
      <c r="FQ225" s="30" t="str">
        <f t="shared" si="3154"/>
        <v/>
      </c>
      <c r="FR225" s="30" t="str">
        <f t="shared" si="3155"/>
        <v/>
      </c>
      <c r="FS225" s="30" t="str">
        <f t="shared" si="3156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3"/>
      <c r="U226" s="32"/>
      <c r="CU226" s="45" t="str">
        <f t="shared" si="3086"/>
        <v>|n</v>
      </c>
      <c r="CW226" s="24"/>
      <c r="CX226" s="24"/>
      <c r="CY226" s="24"/>
      <c r="CZ226" s="24"/>
      <c r="DA226" s="24"/>
      <c r="DB226" s="30" t="str">
        <f t="shared" si="3087"/>
        <v/>
      </c>
      <c r="DC226" s="30" t="str">
        <f t="shared" si="3088"/>
        <v/>
      </c>
      <c r="DD226" s="30" t="str">
        <f t="shared" si="3089"/>
        <v/>
      </c>
      <c r="DE226" s="30" t="str">
        <f t="shared" si="3090"/>
        <v/>
      </c>
      <c r="DF226" s="30" t="str">
        <f t="shared" si="3091"/>
        <v/>
      </c>
      <c r="DG226" s="30" t="str">
        <f t="shared" si="3092"/>
        <v/>
      </c>
      <c r="DH226" s="30" t="str">
        <f t="shared" si="3093"/>
        <v/>
      </c>
      <c r="DI226" s="30" t="str">
        <f t="shared" si="3094"/>
        <v/>
      </c>
      <c r="DJ226" s="30" t="str">
        <f t="shared" si="3095"/>
        <v/>
      </c>
      <c r="DK226" s="30" t="str">
        <f t="shared" si="3096"/>
        <v/>
      </c>
      <c r="DL226" s="30" t="str">
        <f t="shared" si="3097"/>
        <v/>
      </c>
      <c r="DM226" s="30" t="str">
        <f t="shared" si="3098"/>
        <v/>
      </c>
      <c r="DN226" s="30" t="str">
        <f t="shared" si="3099"/>
        <v/>
      </c>
      <c r="DO226" s="30" t="str">
        <f t="shared" si="3100"/>
        <v/>
      </c>
      <c r="DP226" s="30" t="str">
        <f t="shared" si="3101"/>
        <v/>
      </c>
      <c r="DQ226" s="30" t="str">
        <f t="shared" si="3102"/>
        <v/>
      </c>
      <c r="DR226" s="30" t="str">
        <f t="shared" si="3103"/>
        <v/>
      </c>
      <c r="DS226" s="30" t="str">
        <f t="shared" si="3104"/>
        <v/>
      </c>
      <c r="DT226" s="30" t="str">
        <f t="shared" si="3105"/>
        <v/>
      </c>
      <c r="DU226" s="30" t="str">
        <f t="shared" si="3106"/>
        <v/>
      </c>
      <c r="DV226" s="30" t="str">
        <f t="shared" si="3107"/>
        <v/>
      </c>
      <c r="DW226" s="30" t="str">
        <f t="shared" si="3108"/>
        <v/>
      </c>
      <c r="DX226" s="30" t="str">
        <f t="shared" si="3109"/>
        <v/>
      </c>
      <c r="DY226" s="30" t="str">
        <f t="shared" si="3110"/>
        <v/>
      </c>
      <c r="DZ226" s="30" t="str">
        <f t="shared" si="3111"/>
        <v/>
      </c>
      <c r="EA226" s="30" t="str">
        <f t="shared" si="3112"/>
        <v/>
      </c>
      <c r="EB226" s="30" t="str">
        <f t="shared" si="3113"/>
        <v/>
      </c>
      <c r="EC226" s="30" t="str">
        <f t="shared" si="3114"/>
        <v/>
      </c>
      <c r="ED226" s="30" t="str">
        <f t="shared" si="3115"/>
        <v/>
      </c>
      <c r="EE226" s="30" t="str">
        <f t="shared" si="3116"/>
        <v/>
      </c>
      <c r="EF226" s="30" t="str">
        <f t="shared" si="3117"/>
        <v/>
      </c>
      <c r="EG226" s="30" t="str">
        <f t="shared" si="3118"/>
        <v/>
      </c>
      <c r="EH226" s="30" t="str">
        <f t="shared" si="3119"/>
        <v/>
      </c>
      <c r="EI226" s="30" t="str">
        <f t="shared" si="3120"/>
        <v/>
      </c>
      <c r="EJ226" s="30" t="str">
        <f t="shared" si="3121"/>
        <v/>
      </c>
      <c r="EK226" s="30" t="str">
        <f t="shared" si="3122"/>
        <v/>
      </c>
      <c r="EL226" s="30" t="str">
        <f t="shared" si="3123"/>
        <v/>
      </c>
      <c r="EM226" s="30" t="str">
        <f t="shared" si="3124"/>
        <v/>
      </c>
      <c r="EN226" s="30" t="str">
        <f t="shared" si="3125"/>
        <v/>
      </c>
      <c r="EO226" s="30" t="str">
        <f t="shared" si="3126"/>
        <v/>
      </c>
      <c r="EP226" s="30" t="str">
        <f t="shared" si="3127"/>
        <v/>
      </c>
      <c r="EQ226" s="30" t="str">
        <f t="shared" si="3128"/>
        <v/>
      </c>
      <c r="ER226" s="30" t="str">
        <f t="shared" si="3129"/>
        <v/>
      </c>
      <c r="ES226" s="30" t="str">
        <f t="shared" si="3130"/>
        <v/>
      </c>
      <c r="ET226" s="30" t="str">
        <f t="shared" si="3131"/>
        <v/>
      </c>
      <c r="EU226" s="30" t="str">
        <f t="shared" si="3132"/>
        <v/>
      </c>
      <c r="EV226" s="30" t="str">
        <f t="shared" si="3133"/>
        <v/>
      </c>
      <c r="EW226" s="30" t="str">
        <f t="shared" si="3134"/>
        <v/>
      </c>
      <c r="EX226" s="30" t="str">
        <f t="shared" si="3135"/>
        <v/>
      </c>
      <c r="EY226" s="30" t="str">
        <f t="shared" si="3136"/>
        <v/>
      </c>
      <c r="EZ226" s="30" t="str">
        <f t="shared" si="3137"/>
        <v/>
      </c>
      <c r="FA226" s="30" t="str">
        <f t="shared" si="3138"/>
        <v/>
      </c>
      <c r="FB226" s="30" t="str">
        <f t="shared" si="3139"/>
        <v/>
      </c>
      <c r="FC226" s="30" t="str">
        <f t="shared" si="3140"/>
        <v/>
      </c>
      <c r="FD226" s="30" t="str">
        <f t="shared" si="3141"/>
        <v/>
      </c>
      <c r="FE226" s="30" t="str">
        <f t="shared" si="3142"/>
        <v/>
      </c>
      <c r="FF226" s="30" t="str">
        <f t="shared" si="3143"/>
        <v/>
      </c>
      <c r="FG226" s="30" t="str">
        <f t="shared" si="3144"/>
        <v/>
      </c>
      <c r="FH226" s="30" t="str">
        <f t="shared" si="3145"/>
        <v/>
      </c>
      <c r="FI226" s="30" t="str">
        <f t="shared" si="3146"/>
        <v/>
      </c>
      <c r="FJ226" s="30" t="str">
        <f t="shared" si="3147"/>
        <v/>
      </c>
      <c r="FK226" s="30" t="str">
        <f t="shared" si="3148"/>
        <v/>
      </c>
      <c r="FL226" s="30" t="str">
        <f t="shared" si="3149"/>
        <v/>
      </c>
      <c r="FM226" s="30" t="str">
        <f t="shared" si="3150"/>
        <v/>
      </c>
      <c r="FN226" s="30" t="str">
        <f t="shared" si="3151"/>
        <v/>
      </c>
      <c r="FO226" s="30" t="str">
        <f t="shared" si="3152"/>
        <v/>
      </c>
      <c r="FP226" s="30" t="str">
        <f t="shared" si="3153"/>
        <v/>
      </c>
      <c r="FQ226" s="30" t="str">
        <f t="shared" si="3154"/>
        <v/>
      </c>
      <c r="FR226" s="30" t="str">
        <f t="shared" si="3155"/>
        <v/>
      </c>
      <c r="FS226" s="30" t="str">
        <f t="shared" si="3156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86"/>
        <v>|n</v>
      </c>
      <c r="CW227" s="24"/>
      <c r="CX227" s="24"/>
      <c r="CY227" s="24"/>
      <c r="CZ227" s="24"/>
      <c r="DA227" s="24"/>
      <c r="DB227" s="30" t="str">
        <f t="shared" si="3087"/>
        <v/>
      </c>
      <c r="DC227" s="30" t="str">
        <f t="shared" si="3088"/>
        <v/>
      </c>
      <c r="DD227" s="30" t="str">
        <f t="shared" si="3089"/>
        <v/>
      </c>
      <c r="DE227" s="30" t="str">
        <f t="shared" si="3090"/>
        <v/>
      </c>
      <c r="DF227" s="30" t="str">
        <f t="shared" si="3091"/>
        <v/>
      </c>
      <c r="DG227" s="30" t="str">
        <f t="shared" si="3092"/>
        <v/>
      </c>
      <c r="DH227" s="30" t="str">
        <f t="shared" si="3093"/>
        <v/>
      </c>
      <c r="DI227" s="30" t="str">
        <f t="shared" si="3094"/>
        <v/>
      </c>
      <c r="DJ227" s="30" t="str">
        <f t="shared" si="3095"/>
        <v/>
      </c>
      <c r="DK227" s="30" t="str">
        <f t="shared" si="3096"/>
        <v/>
      </c>
      <c r="DL227" s="30" t="str">
        <f t="shared" si="3097"/>
        <v/>
      </c>
      <c r="DM227" s="30" t="str">
        <f t="shared" si="3098"/>
        <v/>
      </c>
      <c r="DN227" s="30" t="str">
        <f t="shared" si="3099"/>
        <v/>
      </c>
      <c r="DO227" s="30" t="str">
        <f t="shared" si="3100"/>
        <v/>
      </c>
      <c r="DP227" s="30" t="str">
        <f t="shared" si="3101"/>
        <v/>
      </c>
      <c r="DQ227" s="30" t="str">
        <f t="shared" si="3102"/>
        <v/>
      </c>
      <c r="DR227" s="30" t="str">
        <f t="shared" si="3103"/>
        <v/>
      </c>
      <c r="DS227" s="30" t="str">
        <f t="shared" si="3104"/>
        <v/>
      </c>
      <c r="DT227" s="30" t="str">
        <f t="shared" si="3105"/>
        <v/>
      </c>
      <c r="DU227" s="30" t="str">
        <f t="shared" si="3106"/>
        <v/>
      </c>
      <c r="DV227" s="30" t="str">
        <f t="shared" si="3107"/>
        <v/>
      </c>
      <c r="DW227" s="30" t="str">
        <f t="shared" si="3108"/>
        <v/>
      </c>
      <c r="DX227" s="30" t="str">
        <f t="shared" si="3109"/>
        <v/>
      </c>
      <c r="DY227" s="30" t="str">
        <f t="shared" si="3110"/>
        <v/>
      </c>
      <c r="DZ227" s="30" t="str">
        <f t="shared" si="3111"/>
        <v/>
      </c>
      <c r="EA227" s="30" t="str">
        <f t="shared" si="3112"/>
        <v/>
      </c>
      <c r="EB227" s="30" t="str">
        <f t="shared" si="3113"/>
        <v/>
      </c>
      <c r="EC227" s="30" t="str">
        <f t="shared" si="3114"/>
        <v/>
      </c>
      <c r="ED227" s="30" t="str">
        <f t="shared" si="3115"/>
        <v/>
      </c>
      <c r="EE227" s="30" t="str">
        <f t="shared" si="3116"/>
        <v/>
      </c>
      <c r="EF227" s="30" t="str">
        <f t="shared" si="3117"/>
        <v/>
      </c>
      <c r="EG227" s="30" t="str">
        <f t="shared" si="3118"/>
        <v/>
      </c>
      <c r="EH227" s="30" t="str">
        <f t="shared" si="3119"/>
        <v/>
      </c>
      <c r="EI227" s="30" t="str">
        <f t="shared" si="3120"/>
        <v/>
      </c>
      <c r="EJ227" s="30" t="str">
        <f t="shared" si="3121"/>
        <v/>
      </c>
      <c r="EK227" s="30" t="str">
        <f t="shared" si="3122"/>
        <v/>
      </c>
      <c r="EL227" s="30" t="str">
        <f t="shared" si="3123"/>
        <v/>
      </c>
      <c r="EM227" s="30" t="str">
        <f t="shared" si="3124"/>
        <v/>
      </c>
      <c r="EN227" s="30" t="str">
        <f t="shared" si="3125"/>
        <v/>
      </c>
      <c r="EO227" s="30" t="str">
        <f t="shared" si="3126"/>
        <v/>
      </c>
      <c r="EP227" s="30" t="str">
        <f t="shared" si="3127"/>
        <v/>
      </c>
      <c r="EQ227" s="30" t="str">
        <f t="shared" si="3128"/>
        <v/>
      </c>
      <c r="ER227" s="30" t="str">
        <f t="shared" si="3129"/>
        <v/>
      </c>
      <c r="ES227" s="30" t="str">
        <f t="shared" si="3130"/>
        <v/>
      </c>
      <c r="ET227" s="30" t="str">
        <f t="shared" si="3131"/>
        <v/>
      </c>
      <c r="EU227" s="30" t="str">
        <f t="shared" si="3132"/>
        <v/>
      </c>
      <c r="EV227" s="30" t="str">
        <f t="shared" si="3133"/>
        <v/>
      </c>
      <c r="EW227" s="30" t="str">
        <f t="shared" si="3134"/>
        <v/>
      </c>
      <c r="EX227" s="30" t="str">
        <f t="shared" si="3135"/>
        <v/>
      </c>
      <c r="EY227" s="30" t="str">
        <f t="shared" si="3136"/>
        <v/>
      </c>
      <c r="EZ227" s="30" t="str">
        <f t="shared" si="3137"/>
        <v/>
      </c>
      <c r="FA227" s="30" t="str">
        <f t="shared" si="3138"/>
        <v/>
      </c>
      <c r="FB227" s="30" t="str">
        <f t="shared" si="3139"/>
        <v/>
      </c>
      <c r="FC227" s="30" t="str">
        <f t="shared" si="3140"/>
        <v/>
      </c>
      <c r="FD227" s="30" t="str">
        <f t="shared" si="3141"/>
        <v/>
      </c>
      <c r="FE227" s="30" t="str">
        <f t="shared" si="3142"/>
        <v/>
      </c>
      <c r="FF227" s="30" t="str">
        <f t="shared" si="3143"/>
        <v/>
      </c>
      <c r="FG227" s="30" t="str">
        <f t="shared" si="3144"/>
        <v/>
      </c>
      <c r="FH227" s="30" t="str">
        <f t="shared" si="3145"/>
        <v/>
      </c>
      <c r="FI227" s="30" t="str">
        <f t="shared" si="3146"/>
        <v/>
      </c>
      <c r="FJ227" s="30" t="str">
        <f t="shared" si="3147"/>
        <v/>
      </c>
      <c r="FK227" s="30" t="str">
        <f t="shared" si="3148"/>
        <v/>
      </c>
      <c r="FL227" s="30" t="str">
        <f t="shared" si="3149"/>
        <v/>
      </c>
      <c r="FM227" s="30" t="str">
        <f t="shared" si="3150"/>
        <v/>
      </c>
      <c r="FN227" s="30" t="str">
        <f t="shared" si="3151"/>
        <v/>
      </c>
      <c r="FO227" s="30" t="str">
        <f t="shared" si="3152"/>
        <v/>
      </c>
      <c r="FP227" s="30" t="str">
        <f t="shared" si="3153"/>
        <v/>
      </c>
      <c r="FQ227" s="30" t="str">
        <f t="shared" si="3154"/>
        <v/>
      </c>
      <c r="FR227" s="30" t="str">
        <f t="shared" si="3155"/>
        <v/>
      </c>
      <c r="FS227" s="30" t="str">
        <f t="shared" si="3156"/>
        <v/>
      </c>
    </row>
    <row r="228" spans="1:175" ht="16.5">
      <c r="A228" s="5"/>
      <c r="B228" s="36"/>
      <c r="C228" s="5"/>
      <c r="E228" s="54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51"/>
      <c r="Q228" s="51"/>
      <c r="R228" s="51"/>
      <c r="S228" s="51"/>
      <c r="T228" s="102"/>
      <c r="U228" s="32"/>
      <c r="CU228" s="45" t="str">
        <f t="shared" si="3086"/>
        <v>|n</v>
      </c>
      <c r="CW228" s="24"/>
      <c r="CX228" s="24"/>
      <c r="CY228" s="24"/>
      <c r="CZ228" s="24"/>
      <c r="DA228" s="24"/>
      <c r="DB228" s="30" t="str">
        <f t="shared" si="3087"/>
        <v/>
      </c>
      <c r="DC228" s="30" t="str">
        <f t="shared" si="3088"/>
        <v/>
      </c>
      <c r="DD228" s="30" t="str">
        <f t="shared" si="3089"/>
        <v/>
      </c>
      <c r="DE228" s="30" t="str">
        <f t="shared" si="3090"/>
        <v/>
      </c>
      <c r="DF228" s="30" t="str">
        <f t="shared" si="3091"/>
        <v/>
      </c>
      <c r="DG228" s="30" t="str">
        <f t="shared" si="3092"/>
        <v/>
      </c>
      <c r="DH228" s="30" t="str">
        <f t="shared" si="3093"/>
        <v/>
      </c>
      <c r="DI228" s="30" t="str">
        <f t="shared" si="3094"/>
        <v/>
      </c>
      <c r="DJ228" s="30" t="str">
        <f t="shared" si="3095"/>
        <v/>
      </c>
      <c r="DK228" s="30" t="str">
        <f t="shared" si="3096"/>
        <v/>
      </c>
      <c r="DL228" s="30" t="str">
        <f t="shared" si="3097"/>
        <v/>
      </c>
      <c r="DM228" s="30" t="str">
        <f t="shared" si="3098"/>
        <v/>
      </c>
      <c r="DN228" s="30" t="str">
        <f t="shared" si="3099"/>
        <v/>
      </c>
      <c r="DO228" s="30" t="str">
        <f t="shared" si="3100"/>
        <v/>
      </c>
      <c r="DP228" s="30" t="str">
        <f t="shared" si="3101"/>
        <v/>
      </c>
      <c r="DQ228" s="30" t="str">
        <f t="shared" si="3102"/>
        <v/>
      </c>
      <c r="DR228" s="30" t="str">
        <f t="shared" si="3103"/>
        <v/>
      </c>
      <c r="DS228" s="30" t="str">
        <f t="shared" si="3104"/>
        <v/>
      </c>
      <c r="DT228" s="30" t="str">
        <f t="shared" si="3105"/>
        <v/>
      </c>
      <c r="DU228" s="30" t="str">
        <f t="shared" si="3106"/>
        <v/>
      </c>
      <c r="DV228" s="30" t="str">
        <f t="shared" si="3107"/>
        <v/>
      </c>
      <c r="DW228" s="30" t="str">
        <f t="shared" si="3108"/>
        <v/>
      </c>
      <c r="DX228" s="30" t="str">
        <f t="shared" si="3109"/>
        <v/>
      </c>
      <c r="DY228" s="30" t="str">
        <f t="shared" si="3110"/>
        <v/>
      </c>
      <c r="DZ228" s="30" t="str">
        <f t="shared" si="3111"/>
        <v/>
      </c>
      <c r="EA228" s="30" t="str">
        <f t="shared" si="3112"/>
        <v/>
      </c>
      <c r="EB228" s="30" t="str">
        <f t="shared" si="3113"/>
        <v/>
      </c>
      <c r="EC228" s="30" t="str">
        <f t="shared" si="3114"/>
        <v/>
      </c>
      <c r="ED228" s="30" t="str">
        <f t="shared" si="3115"/>
        <v/>
      </c>
      <c r="EE228" s="30" t="str">
        <f t="shared" si="3116"/>
        <v/>
      </c>
      <c r="EF228" s="30" t="str">
        <f t="shared" si="3117"/>
        <v/>
      </c>
      <c r="EG228" s="30" t="str">
        <f t="shared" si="3118"/>
        <v/>
      </c>
      <c r="EH228" s="30" t="str">
        <f t="shared" si="3119"/>
        <v/>
      </c>
      <c r="EI228" s="30" t="str">
        <f t="shared" si="3120"/>
        <v/>
      </c>
      <c r="EJ228" s="30" t="str">
        <f t="shared" si="3121"/>
        <v/>
      </c>
      <c r="EK228" s="30" t="str">
        <f t="shared" si="3122"/>
        <v/>
      </c>
      <c r="EL228" s="30" t="str">
        <f t="shared" si="3123"/>
        <v/>
      </c>
      <c r="EM228" s="30" t="str">
        <f t="shared" si="3124"/>
        <v/>
      </c>
      <c r="EN228" s="30" t="str">
        <f t="shared" si="3125"/>
        <v/>
      </c>
      <c r="EO228" s="30" t="str">
        <f t="shared" si="3126"/>
        <v/>
      </c>
      <c r="EP228" s="30" t="str">
        <f t="shared" si="3127"/>
        <v/>
      </c>
      <c r="EQ228" s="30" t="str">
        <f t="shared" si="3128"/>
        <v/>
      </c>
      <c r="ER228" s="30" t="str">
        <f t="shared" si="3129"/>
        <v/>
      </c>
      <c r="ES228" s="30" t="str">
        <f t="shared" si="3130"/>
        <v/>
      </c>
      <c r="ET228" s="30" t="str">
        <f t="shared" si="3131"/>
        <v/>
      </c>
      <c r="EU228" s="30" t="str">
        <f t="shared" si="3132"/>
        <v/>
      </c>
      <c r="EV228" s="30" t="str">
        <f t="shared" si="3133"/>
        <v/>
      </c>
      <c r="EW228" s="30" t="str">
        <f t="shared" si="3134"/>
        <v/>
      </c>
      <c r="EX228" s="30" t="str">
        <f t="shared" si="3135"/>
        <v/>
      </c>
      <c r="EY228" s="30" t="str">
        <f t="shared" si="3136"/>
        <v/>
      </c>
      <c r="EZ228" s="30" t="str">
        <f t="shared" si="3137"/>
        <v/>
      </c>
      <c r="FA228" s="30" t="str">
        <f t="shared" si="3138"/>
        <v/>
      </c>
      <c r="FB228" s="30" t="str">
        <f t="shared" si="3139"/>
        <v/>
      </c>
      <c r="FC228" s="30" t="str">
        <f t="shared" si="3140"/>
        <v/>
      </c>
      <c r="FD228" s="30" t="str">
        <f t="shared" si="3141"/>
        <v/>
      </c>
      <c r="FE228" s="30" t="str">
        <f t="shared" si="3142"/>
        <v/>
      </c>
      <c r="FF228" s="30" t="str">
        <f t="shared" si="3143"/>
        <v/>
      </c>
      <c r="FG228" s="30" t="str">
        <f t="shared" si="3144"/>
        <v/>
      </c>
      <c r="FH228" s="30" t="str">
        <f t="shared" si="3145"/>
        <v/>
      </c>
      <c r="FI228" s="30" t="str">
        <f t="shared" si="3146"/>
        <v/>
      </c>
      <c r="FJ228" s="30" t="str">
        <f t="shared" si="3147"/>
        <v/>
      </c>
      <c r="FK228" s="30" t="str">
        <f t="shared" si="3148"/>
        <v/>
      </c>
      <c r="FL228" s="30" t="str">
        <f t="shared" si="3149"/>
        <v/>
      </c>
      <c r="FM228" s="30" t="str">
        <f t="shared" si="3150"/>
        <v/>
      </c>
      <c r="FN228" s="30" t="str">
        <f t="shared" si="3151"/>
        <v/>
      </c>
      <c r="FO228" s="30" t="str">
        <f t="shared" si="3152"/>
        <v/>
      </c>
      <c r="FP228" s="30" t="str">
        <f t="shared" si="3153"/>
        <v/>
      </c>
      <c r="FQ228" s="30" t="str">
        <f t="shared" si="3154"/>
        <v/>
      </c>
      <c r="FR228" s="30" t="str">
        <f t="shared" si="3155"/>
        <v/>
      </c>
      <c r="FS228" s="30" t="str">
        <f t="shared" si="3156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86"/>
        <v>|n</v>
      </c>
      <c r="CW229" s="24"/>
      <c r="CX229" s="24"/>
      <c r="CY229" s="24"/>
      <c r="CZ229" s="24"/>
      <c r="DA229" s="24"/>
      <c r="DB229" s="30" t="str">
        <f t="shared" si="3087"/>
        <v/>
      </c>
      <c r="DC229" s="30" t="str">
        <f t="shared" si="3088"/>
        <v/>
      </c>
      <c r="DD229" s="30" t="str">
        <f t="shared" si="3089"/>
        <v/>
      </c>
      <c r="DE229" s="30" t="str">
        <f t="shared" si="3090"/>
        <v/>
      </c>
      <c r="DF229" s="30" t="str">
        <f t="shared" si="3091"/>
        <v/>
      </c>
      <c r="DG229" s="30" t="str">
        <f t="shared" si="3092"/>
        <v/>
      </c>
      <c r="DH229" s="30" t="str">
        <f t="shared" si="3093"/>
        <v/>
      </c>
      <c r="DI229" s="30" t="str">
        <f t="shared" si="3094"/>
        <v/>
      </c>
      <c r="DJ229" s="30" t="str">
        <f t="shared" si="3095"/>
        <v/>
      </c>
      <c r="DK229" s="30" t="str">
        <f t="shared" si="3096"/>
        <v/>
      </c>
      <c r="DL229" s="30" t="str">
        <f t="shared" si="3097"/>
        <v/>
      </c>
      <c r="DM229" s="30" t="str">
        <f t="shared" si="3098"/>
        <v/>
      </c>
      <c r="DN229" s="30" t="str">
        <f t="shared" si="3099"/>
        <v/>
      </c>
      <c r="DO229" s="30" t="str">
        <f t="shared" si="3100"/>
        <v/>
      </c>
      <c r="DP229" s="30" t="str">
        <f t="shared" si="3101"/>
        <v/>
      </c>
      <c r="DQ229" s="30" t="str">
        <f t="shared" si="3102"/>
        <v/>
      </c>
      <c r="DR229" s="30" t="str">
        <f t="shared" si="3103"/>
        <v/>
      </c>
      <c r="DS229" s="30" t="str">
        <f t="shared" si="3104"/>
        <v/>
      </c>
      <c r="DT229" s="30" t="str">
        <f t="shared" si="3105"/>
        <v/>
      </c>
      <c r="DU229" s="30" t="str">
        <f t="shared" si="3106"/>
        <v/>
      </c>
      <c r="DV229" s="30" t="str">
        <f t="shared" si="3107"/>
        <v/>
      </c>
      <c r="DW229" s="30" t="str">
        <f t="shared" si="3108"/>
        <v/>
      </c>
      <c r="DX229" s="30" t="str">
        <f t="shared" si="3109"/>
        <v/>
      </c>
      <c r="DY229" s="30" t="str">
        <f t="shared" si="3110"/>
        <v/>
      </c>
      <c r="DZ229" s="30" t="str">
        <f t="shared" si="3111"/>
        <v/>
      </c>
      <c r="EA229" s="30" t="str">
        <f t="shared" si="3112"/>
        <v/>
      </c>
      <c r="EB229" s="30" t="str">
        <f t="shared" si="3113"/>
        <v/>
      </c>
      <c r="EC229" s="30" t="str">
        <f t="shared" si="3114"/>
        <v/>
      </c>
      <c r="ED229" s="30" t="str">
        <f t="shared" si="3115"/>
        <v/>
      </c>
      <c r="EE229" s="30" t="str">
        <f t="shared" si="3116"/>
        <v/>
      </c>
      <c r="EF229" s="30" t="str">
        <f t="shared" si="3117"/>
        <v/>
      </c>
      <c r="EG229" s="30" t="str">
        <f t="shared" si="3118"/>
        <v/>
      </c>
      <c r="EH229" s="30" t="str">
        <f t="shared" si="3119"/>
        <v/>
      </c>
      <c r="EI229" s="30" t="str">
        <f t="shared" si="3120"/>
        <v/>
      </c>
      <c r="EJ229" s="30" t="str">
        <f t="shared" si="3121"/>
        <v/>
      </c>
      <c r="EK229" s="30" t="str">
        <f t="shared" si="3122"/>
        <v/>
      </c>
      <c r="EL229" s="30" t="str">
        <f t="shared" si="3123"/>
        <v/>
      </c>
      <c r="EM229" s="30" t="str">
        <f t="shared" si="3124"/>
        <v/>
      </c>
      <c r="EN229" s="30" t="str">
        <f t="shared" si="3125"/>
        <v/>
      </c>
      <c r="EO229" s="30" t="str">
        <f t="shared" si="3126"/>
        <v/>
      </c>
      <c r="EP229" s="30" t="str">
        <f t="shared" si="3127"/>
        <v/>
      </c>
      <c r="EQ229" s="30" t="str">
        <f t="shared" si="3128"/>
        <v/>
      </c>
      <c r="ER229" s="30" t="str">
        <f t="shared" si="3129"/>
        <v/>
      </c>
      <c r="ES229" s="30" t="str">
        <f t="shared" si="3130"/>
        <v/>
      </c>
      <c r="ET229" s="30" t="str">
        <f t="shared" si="3131"/>
        <v/>
      </c>
      <c r="EU229" s="30" t="str">
        <f t="shared" si="3132"/>
        <v/>
      </c>
      <c r="EV229" s="30" t="str">
        <f t="shared" si="3133"/>
        <v/>
      </c>
      <c r="EW229" s="30" t="str">
        <f t="shared" si="3134"/>
        <v/>
      </c>
      <c r="EX229" s="30" t="str">
        <f t="shared" si="3135"/>
        <v/>
      </c>
      <c r="EY229" s="30" t="str">
        <f t="shared" si="3136"/>
        <v/>
      </c>
      <c r="EZ229" s="30" t="str">
        <f t="shared" si="3137"/>
        <v/>
      </c>
      <c r="FA229" s="30" t="str">
        <f t="shared" si="3138"/>
        <v/>
      </c>
      <c r="FB229" s="30" t="str">
        <f t="shared" si="3139"/>
        <v/>
      </c>
      <c r="FC229" s="30" t="str">
        <f t="shared" si="3140"/>
        <v/>
      </c>
      <c r="FD229" s="30" t="str">
        <f t="shared" si="3141"/>
        <v/>
      </c>
      <c r="FE229" s="30" t="str">
        <f t="shared" si="3142"/>
        <v/>
      </c>
      <c r="FF229" s="30" t="str">
        <f t="shared" si="3143"/>
        <v/>
      </c>
      <c r="FG229" s="30" t="str">
        <f t="shared" si="3144"/>
        <v/>
      </c>
      <c r="FH229" s="30" t="str">
        <f t="shared" si="3145"/>
        <v/>
      </c>
      <c r="FI229" s="30" t="str">
        <f t="shared" si="3146"/>
        <v/>
      </c>
      <c r="FJ229" s="30" t="str">
        <f t="shared" si="3147"/>
        <v/>
      </c>
      <c r="FK229" s="30" t="str">
        <f t="shared" si="3148"/>
        <v/>
      </c>
      <c r="FL229" s="30" t="str">
        <f t="shared" si="3149"/>
        <v/>
      </c>
      <c r="FM229" s="30" t="str">
        <f t="shared" si="3150"/>
        <v/>
      </c>
      <c r="FN229" s="30" t="str">
        <f t="shared" si="3151"/>
        <v/>
      </c>
      <c r="FO229" s="30" t="str">
        <f t="shared" si="3152"/>
        <v/>
      </c>
      <c r="FP229" s="30" t="str">
        <f t="shared" si="3153"/>
        <v/>
      </c>
      <c r="FQ229" s="30" t="str">
        <f t="shared" si="3154"/>
        <v/>
      </c>
      <c r="FR229" s="30" t="str">
        <f t="shared" si="3155"/>
        <v/>
      </c>
      <c r="FS229" s="30" t="str">
        <f t="shared" si="3156"/>
        <v/>
      </c>
    </row>
    <row r="230" spans="1:175">
      <c r="A230" s="66"/>
      <c r="B230" s="66"/>
      <c r="C230" s="66"/>
      <c r="E230" s="35"/>
      <c r="T230" s="99"/>
      <c r="U230" s="32"/>
      <c r="CU230" s="45" t="str">
        <f t="shared" si="3086"/>
        <v>|n</v>
      </c>
      <c r="CW230" s="24"/>
      <c r="CX230" s="24"/>
      <c r="CY230" s="24"/>
      <c r="CZ230" s="24"/>
      <c r="DA230" s="24"/>
      <c r="DB230" s="30" t="str">
        <f t="shared" si="3087"/>
        <v/>
      </c>
      <c r="DC230" s="30" t="str">
        <f t="shared" si="3088"/>
        <v/>
      </c>
      <c r="DD230" s="30" t="str">
        <f t="shared" si="3089"/>
        <v/>
      </c>
      <c r="DE230" s="30" t="str">
        <f t="shared" si="3090"/>
        <v/>
      </c>
      <c r="DF230" s="30" t="str">
        <f t="shared" si="3091"/>
        <v/>
      </c>
      <c r="DG230" s="30" t="str">
        <f t="shared" si="3092"/>
        <v/>
      </c>
      <c r="DH230" s="30" t="str">
        <f t="shared" si="3093"/>
        <v/>
      </c>
      <c r="DI230" s="30" t="str">
        <f t="shared" si="3094"/>
        <v/>
      </c>
      <c r="DJ230" s="30" t="str">
        <f t="shared" si="3095"/>
        <v/>
      </c>
      <c r="DK230" s="30" t="str">
        <f t="shared" si="3096"/>
        <v/>
      </c>
      <c r="DL230" s="30" t="str">
        <f t="shared" si="3097"/>
        <v/>
      </c>
      <c r="DM230" s="30" t="str">
        <f t="shared" si="3098"/>
        <v/>
      </c>
      <c r="DN230" s="30" t="str">
        <f t="shared" si="3099"/>
        <v/>
      </c>
      <c r="DO230" s="30" t="str">
        <f t="shared" si="3100"/>
        <v/>
      </c>
      <c r="DP230" s="30" t="str">
        <f t="shared" si="3101"/>
        <v/>
      </c>
      <c r="DQ230" s="30" t="str">
        <f t="shared" si="3102"/>
        <v/>
      </c>
      <c r="DR230" s="30" t="str">
        <f t="shared" si="3103"/>
        <v/>
      </c>
      <c r="DS230" s="30" t="str">
        <f t="shared" si="3104"/>
        <v/>
      </c>
      <c r="DT230" s="30" t="str">
        <f t="shared" si="3105"/>
        <v/>
      </c>
      <c r="DU230" s="30" t="str">
        <f t="shared" si="3106"/>
        <v/>
      </c>
      <c r="DV230" s="30" t="str">
        <f t="shared" si="3107"/>
        <v/>
      </c>
      <c r="DW230" s="30" t="str">
        <f t="shared" si="3108"/>
        <v/>
      </c>
      <c r="DX230" s="30" t="str">
        <f t="shared" si="3109"/>
        <v/>
      </c>
      <c r="DY230" s="30" t="str">
        <f t="shared" si="3110"/>
        <v/>
      </c>
      <c r="DZ230" s="30" t="str">
        <f t="shared" si="3111"/>
        <v/>
      </c>
      <c r="EA230" s="30" t="str">
        <f t="shared" si="3112"/>
        <v/>
      </c>
      <c r="EB230" s="30" t="str">
        <f t="shared" si="3113"/>
        <v/>
      </c>
      <c r="EC230" s="30" t="str">
        <f t="shared" si="3114"/>
        <v/>
      </c>
      <c r="ED230" s="30" t="str">
        <f t="shared" si="3115"/>
        <v/>
      </c>
      <c r="EE230" s="30" t="str">
        <f t="shared" si="3116"/>
        <v/>
      </c>
      <c r="EF230" s="30" t="str">
        <f t="shared" si="3117"/>
        <v/>
      </c>
      <c r="EG230" s="30" t="str">
        <f t="shared" si="3118"/>
        <v/>
      </c>
      <c r="EH230" s="30" t="str">
        <f t="shared" si="3119"/>
        <v/>
      </c>
      <c r="EI230" s="30" t="str">
        <f t="shared" si="3120"/>
        <v/>
      </c>
      <c r="EJ230" s="30" t="str">
        <f t="shared" si="3121"/>
        <v/>
      </c>
      <c r="EK230" s="30" t="str">
        <f t="shared" si="3122"/>
        <v/>
      </c>
      <c r="EL230" s="30" t="str">
        <f t="shared" si="3123"/>
        <v/>
      </c>
      <c r="EM230" s="30" t="str">
        <f t="shared" si="3124"/>
        <v/>
      </c>
      <c r="EN230" s="30" t="str">
        <f t="shared" si="3125"/>
        <v/>
      </c>
      <c r="EO230" s="30" t="str">
        <f t="shared" si="3126"/>
        <v/>
      </c>
      <c r="EP230" s="30" t="str">
        <f t="shared" si="3127"/>
        <v/>
      </c>
      <c r="EQ230" s="30" t="str">
        <f t="shared" si="3128"/>
        <v/>
      </c>
      <c r="ER230" s="30" t="str">
        <f t="shared" si="3129"/>
        <v/>
      </c>
      <c r="ES230" s="30" t="str">
        <f t="shared" si="3130"/>
        <v/>
      </c>
      <c r="ET230" s="30" t="str">
        <f t="shared" si="3131"/>
        <v/>
      </c>
      <c r="EU230" s="30" t="str">
        <f t="shared" si="3132"/>
        <v/>
      </c>
      <c r="EV230" s="30" t="str">
        <f t="shared" si="3133"/>
        <v/>
      </c>
      <c r="EW230" s="30" t="str">
        <f t="shared" si="3134"/>
        <v/>
      </c>
      <c r="EX230" s="30" t="str">
        <f t="shared" si="3135"/>
        <v/>
      </c>
      <c r="EY230" s="30" t="str">
        <f t="shared" si="3136"/>
        <v/>
      </c>
      <c r="EZ230" s="30" t="str">
        <f t="shared" si="3137"/>
        <v/>
      </c>
      <c r="FA230" s="30" t="str">
        <f t="shared" si="3138"/>
        <v/>
      </c>
      <c r="FB230" s="30" t="str">
        <f t="shared" si="3139"/>
        <v/>
      </c>
      <c r="FC230" s="30" t="str">
        <f t="shared" si="3140"/>
        <v/>
      </c>
      <c r="FD230" s="30" t="str">
        <f t="shared" si="3141"/>
        <v/>
      </c>
      <c r="FE230" s="30" t="str">
        <f t="shared" si="3142"/>
        <v/>
      </c>
      <c r="FF230" s="30" t="str">
        <f t="shared" si="3143"/>
        <v/>
      </c>
      <c r="FG230" s="30" t="str">
        <f t="shared" si="3144"/>
        <v/>
      </c>
      <c r="FH230" s="30" t="str">
        <f t="shared" si="3145"/>
        <v/>
      </c>
      <c r="FI230" s="30" t="str">
        <f t="shared" si="3146"/>
        <v/>
      </c>
      <c r="FJ230" s="30" t="str">
        <f t="shared" si="3147"/>
        <v/>
      </c>
      <c r="FK230" s="30" t="str">
        <f t="shared" si="3148"/>
        <v/>
      </c>
      <c r="FL230" s="30" t="str">
        <f t="shared" si="3149"/>
        <v/>
      </c>
      <c r="FM230" s="30" t="str">
        <f t="shared" si="3150"/>
        <v/>
      </c>
      <c r="FN230" s="30" t="str">
        <f t="shared" si="3151"/>
        <v/>
      </c>
      <c r="FO230" s="30" t="str">
        <f t="shared" si="3152"/>
        <v/>
      </c>
      <c r="FP230" s="30" t="str">
        <f t="shared" si="3153"/>
        <v/>
      </c>
      <c r="FQ230" s="30" t="str">
        <f t="shared" si="3154"/>
        <v/>
      </c>
      <c r="FR230" s="30" t="str">
        <f t="shared" si="3155"/>
        <v/>
      </c>
      <c r="FS230" s="30" t="str">
        <f t="shared" si="3156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86"/>
        <v>|n</v>
      </c>
      <c r="CV231" s="29"/>
      <c r="DB231" s="30" t="str">
        <f t="shared" si="3087"/>
        <v/>
      </c>
      <c r="DC231" s="30" t="str">
        <f t="shared" si="3088"/>
        <v/>
      </c>
      <c r="DD231" s="30" t="str">
        <f t="shared" si="3089"/>
        <v/>
      </c>
      <c r="DE231" s="30" t="str">
        <f t="shared" si="3090"/>
        <v/>
      </c>
      <c r="DF231" s="30" t="str">
        <f t="shared" si="3091"/>
        <v/>
      </c>
      <c r="DG231" s="30" t="str">
        <f t="shared" si="3092"/>
        <v/>
      </c>
      <c r="DH231" s="30" t="str">
        <f t="shared" si="3093"/>
        <v/>
      </c>
      <c r="DI231" s="30" t="str">
        <f t="shared" si="3094"/>
        <v/>
      </c>
      <c r="DJ231" s="30" t="str">
        <f t="shared" si="3095"/>
        <v/>
      </c>
      <c r="DK231" s="30" t="str">
        <f t="shared" si="3096"/>
        <v/>
      </c>
      <c r="DL231" s="30" t="str">
        <f t="shared" si="3097"/>
        <v/>
      </c>
      <c r="DM231" s="30" t="str">
        <f t="shared" si="3098"/>
        <v/>
      </c>
      <c r="DN231" s="30" t="str">
        <f t="shared" si="3099"/>
        <v/>
      </c>
      <c r="DO231" s="30" t="str">
        <f t="shared" si="3100"/>
        <v/>
      </c>
      <c r="DP231" s="30" t="str">
        <f t="shared" si="3101"/>
        <v/>
      </c>
      <c r="DQ231" s="30" t="str">
        <f t="shared" si="3102"/>
        <v/>
      </c>
      <c r="DR231" s="30" t="str">
        <f t="shared" si="3103"/>
        <v/>
      </c>
      <c r="DS231" s="30" t="str">
        <f t="shared" si="3104"/>
        <v/>
      </c>
      <c r="DT231" s="30" t="str">
        <f t="shared" si="3105"/>
        <v/>
      </c>
      <c r="DU231" s="30" t="str">
        <f t="shared" si="3106"/>
        <v/>
      </c>
      <c r="DV231" s="30" t="str">
        <f t="shared" si="3107"/>
        <v/>
      </c>
      <c r="DW231" s="30" t="str">
        <f t="shared" si="3108"/>
        <v/>
      </c>
      <c r="DX231" s="30" t="str">
        <f t="shared" si="3109"/>
        <v/>
      </c>
      <c r="DY231" s="30" t="str">
        <f t="shared" si="3110"/>
        <v/>
      </c>
      <c r="DZ231" s="30" t="str">
        <f t="shared" si="3111"/>
        <v/>
      </c>
      <c r="EA231" s="30" t="str">
        <f t="shared" si="3112"/>
        <v/>
      </c>
      <c r="EB231" s="30" t="str">
        <f t="shared" si="3113"/>
        <v/>
      </c>
      <c r="EC231" s="30" t="str">
        <f t="shared" si="3114"/>
        <v/>
      </c>
      <c r="ED231" s="30" t="str">
        <f t="shared" si="3115"/>
        <v/>
      </c>
      <c r="EE231" s="30" t="str">
        <f t="shared" si="3116"/>
        <v/>
      </c>
      <c r="EF231" s="30" t="str">
        <f t="shared" si="3117"/>
        <v/>
      </c>
      <c r="EG231" s="30" t="str">
        <f t="shared" si="3118"/>
        <v/>
      </c>
      <c r="EH231" s="30" t="str">
        <f t="shared" si="3119"/>
        <v/>
      </c>
      <c r="EI231" s="30" t="str">
        <f t="shared" si="3120"/>
        <v/>
      </c>
      <c r="EJ231" s="30" t="str">
        <f t="shared" si="3121"/>
        <v/>
      </c>
      <c r="EK231" s="30" t="str">
        <f t="shared" si="3122"/>
        <v/>
      </c>
      <c r="EL231" s="30" t="str">
        <f t="shared" si="3123"/>
        <v/>
      </c>
      <c r="EM231" s="30" t="str">
        <f t="shared" si="3124"/>
        <v/>
      </c>
      <c r="EN231" s="30" t="str">
        <f t="shared" si="3125"/>
        <v/>
      </c>
      <c r="EO231" s="30" t="str">
        <f t="shared" si="3126"/>
        <v/>
      </c>
      <c r="EP231" s="30" t="str">
        <f t="shared" si="3127"/>
        <v/>
      </c>
      <c r="EQ231" s="30" t="str">
        <f t="shared" si="3128"/>
        <v/>
      </c>
      <c r="ER231" s="30" t="str">
        <f t="shared" si="3129"/>
        <v/>
      </c>
      <c r="ES231" s="30" t="str">
        <f t="shared" si="3130"/>
        <v/>
      </c>
      <c r="ET231" s="30" t="str">
        <f t="shared" si="3131"/>
        <v/>
      </c>
      <c r="EU231" s="30" t="str">
        <f t="shared" si="3132"/>
        <v/>
      </c>
      <c r="EV231" s="30" t="str">
        <f t="shared" si="3133"/>
        <v/>
      </c>
      <c r="EW231" s="30" t="str">
        <f t="shared" si="3134"/>
        <v/>
      </c>
      <c r="EX231" s="30" t="str">
        <f t="shared" si="3135"/>
        <v/>
      </c>
      <c r="EY231" s="30" t="str">
        <f t="shared" si="3136"/>
        <v/>
      </c>
      <c r="EZ231" s="30" t="str">
        <f t="shared" si="3137"/>
        <v/>
      </c>
      <c r="FA231" s="30" t="str">
        <f t="shared" si="3138"/>
        <v/>
      </c>
      <c r="FB231" s="30" t="str">
        <f t="shared" si="3139"/>
        <v/>
      </c>
      <c r="FC231" s="30" t="str">
        <f t="shared" si="3140"/>
        <v/>
      </c>
      <c r="FD231" s="30" t="str">
        <f t="shared" si="3141"/>
        <v/>
      </c>
      <c r="FE231" s="30" t="str">
        <f t="shared" si="3142"/>
        <v/>
      </c>
      <c r="FF231" s="30" t="str">
        <f t="shared" si="3143"/>
        <v/>
      </c>
      <c r="FG231" s="30" t="str">
        <f t="shared" si="3144"/>
        <v/>
      </c>
      <c r="FH231" s="30" t="str">
        <f t="shared" si="3145"/>
        <v/>
      </c>
      <c r="FI231" s="30" t="str">
        <f t="shared" si="3146"/>
        <v/>
      </c>
      <c r="FJ231" s="30" t="str">
        <f t="shared" si="3147"/>
        <v/>
      </c>
      <c r="FK231" s="30" t="str">
        <f t="shared" si="3148"/>
        <v/>
      </c>
      <c r="FL231" s="30" t="str">
        <f t="shared" si="3149"/>
        <v/>
      </c>
      <c r="FM231" s="30" t="str">
        <f t="shared" si="3150"/>
        <v/>
      </c>
      <c r="FN231" s="30" t="str">
        <f t="shared" si="3151"/>
        <v/>
      </c>
      <c r="FO231" s="30" t="str">
        <f t="shared" si="3152"/>
        <v/>
      </c>
      <c r="FP231" s="30" t="str">
        <f t="shared" si="3153"/>
        <v/>
      </c>
      <c r="FQ231" s="30" t="str">
        <f t="shared" si="3154"/>
        <v/>
      </c>
      <c r="FR231" s="30" t="str">
        <f t="shared" si="3155"/>
        <v/>
      </c>
      <c r="FS231" s="30" t="str">
        <f t="shared" si="3156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44"/>
      <c r="CT232" s="44"/>
      <c r="CU232" s="45" t="str">
        <f t="shared" si="3086"/>
        <v>|n</v>
      </c>
      <c r="CV232" s="29"/>
      <c r="DB232" s="30" t="str">
        <f t="shared" si="3087"/>
        <v/>
      </c>
      <c r="DC232" s="30" t="str">
        <f t="shared" si="3088"/>
        <v/>
      </c>
      <c r="DD232" s="30" t="str">
        <f t="shared" si="3089"/>
        <v/>
      </c>
      <c r="DE232" s="30" t="str">
        <f t="shared" si="3090"/>
        <v/>
      </c>
      <c r="DF232" s="30" t="str">
        <f t="shared" si="3091"/>
        <v/>
      </c>
      <c r="DG232" s="30" t="str">
        <f t="shared" si="3092"/>
        <v/>
      </c>
      <c r="DH232" s="30" t="str">
        <f t="shared" si="3093"/>
        <v/>
      </c>
      <c r="DI232" s="30" t="str">
        <f t="shared" si="3094"/>
        <v/>
      </c>
      <c r="DJ232" s="30" t="str">
        <f t="shared" si="3095"/>
        <v/>
      </c>
      <c r="DK232" s="30" t="str">
        <f t="shared" si="3096"/>
        <v/>
      </c>
      <c r="DL232" s="30" t="str">
        <f t="shared" si="3097"/>
        <v/>
      </c>
      <c r="DM232" s="30" t="str">
        <f t="shared" si="3098"/>
        <v/>
      </c>
      <c r="DN232" s="30" t="str">
        <f t="shared" si="3099"/>
        <v/>
      </c>
      <c r="DO232" s="30" t="str">
        <f t="shared" si="3100"/>
        <v/>
      </c>
      <c r="DP232" s="30" t="str">
        <f t="shared" si="3101"/>
        <v/>
      </c>
      <c r="DQ232" s="30" t="str">
        <f t="shared" si="3102"/>
        <v/>
      </c>
      <c r="DR232" s="30" t="str">
        <f t="shared" si="3103"/>
        <v/>
      </c>
      <c r="DS232" s="30" t="str">
        <f t="shared" si="3104"/>
        <v/>
      </c>
      <c r="DT232" s="30" t="str">
        <f t="shared" si="3105"/>
        <v/>
      </c>
      <c r="DU232" s="30" t="str">
        <f t="shared" si="3106"/>
        <v/>
      </c>
      <c r="DV232" s="30" t="str">
        <f t="shared" si="3107"/>
        <v/>
      </c>
      <c r="DW232" s="30" t="str">
        <f t="shared" si="3108"/>
        <v/>
      </c>
      <c r="DX232" s="30" t="str">
        <f t="shared" si="3109"/>
        <v/>
      </c>
      <c r="DY232" s="30" t="str">
        <f t="shared" si="3110"/>
        <v/>
      </c>
      <c r="DZ232" s="30" t="str">
        <f t="shared" si="3111"/>
        <v/>
      </c>
      <c r="EA232" s="30" t="str">
        <f t="shared" si="3112"/>
        <v/>
      </c>
      <c r="EB232" s="30" t="str">
        <f t="shared" si="3113"/>
        <v/>
      </c>
      <c r="EC232" s="30" t="str">
        <f t="shared" si="3114"/>
        <v/>
      </c>
      <c r="ED232" s="30" t="str">
        <f t="shared" si="3115"/>
        <v/>
      </c>
      <c r="EE232" s="30" t="str">
        <f t="shared" si="3116"/>
        <v/>
      </c>
      <c r="EF232" s="30" t="str">
        <f t="shared" si="3117"/>
        <v/>
      </c>
      <c r="EG232" s="30" t="str">
        <f t="shared" si="3118"/>
        <v/>
      </c>
      <c r="EH232" s="30" t="str">
        <f t="shared" si="3119"/>
        <v/>
      </c>
      <c r="EI232" s="30" t="str">
        <f t="shared" si="3120"/>
        <v/>
      </c>
      <c r="EJ232" s="30" t="str">
        <f t="shared" si="3121"/>
        <v/>
      </c>
      <c r="EK232" s="30" t="str">
        <f t="shared" si="3122"/>
        <v/>
      </c>
      <c r="EL232" s="30" t="str">
        <f t="shared" si="3123"/>
        <v/>
      </c>
      <c r="EM232" s="30" t="str">
        <f t="shared" si="3124"/>
        <v/>
      </c>
      <c r="EN232" s="30" t="str">
        <f t="shared" si="3125"/>
        <v/>
      </c>
      <c r="EO232" s="30" t="str">
        <f t="shared" si="3126"/>
        <v/>
      </c>
      <c r="EP232" s="30" t="str">
        <f t="shared" si="3127"/>
        <v/>
      </c>
      <c r="EQ232" s="30" t="str">
        <f t="shared" si="3128"/>
        <v/>
      </c>
      <c r="ER232" s="30" t="str">
        <f t="shared" si="3129"/>
        <v/>
      </c>
      <c r="ES232" s="30" t="str">
        <f t="shared" si="3130"/>
        <v/>
      </c>
      <c r="ET232" s="30" t="str">
        <f t="shared" si="3131"/>
        <v/>
      </c>
      <c r="EU232" s="30" t="str">
        <f t="shared" si="3132"/>
        <v/>
      </c>
      <c r="EV232" s="30" t="str">
        <f t="shared" si="3133"/>
        <v/>
      </c>
      <c r="EW232" s="30" t="str">
        <f t="shared" si="3134"/>
        <v/>
      </c>
      <c r="EX232" s="30" t="str">
        <f t="shared" si="3135"/>
        <v/>
      </c>
      <c r="EY232" s="30" t="str">
        <f t="shared" si="3136"/>
        <v/>
      </c>
      <c r="EZ232" s="30" t="str">
        <f t="shared" si="3137"/>
        <v/>
      </c>
      <c r="FA232" s="30" t="str">
        <f t="shared" si="3138"/>
        <v/>
      </c>
      <c r="FB232" s="30" t="str">
        <f t="shared" si="3139"/>
        <v/>
      </c>
      <c r="FC232" s="30" t="str">
        <f t="shared" si="3140"/>
        <v/>
      </c>
      <c r="FD232" s="30" t="str">
        <f t="shared" si="3141"/>
        <v/>
      </c>
      <c r="FE232" s="30" t="str">
        <f t="shared" si="3142"/>
        <v/>
      </c>
      <c r="FF232" s="30" t="str">
        <f t="shared" si="3143"/>
        <v/>
      </c>
      <c r="FG232" s="30" t="str">
        <f t="shared" si="3144"/>
        <v/>
      </c>
      <c r="FH232" s="30" t="str">
        <f t="shared" si="3145"/>
        <v/>
      </c>
      <c r="FI232" s="30" t="str">
        <f t="shared" si="3146"/>
        <v/>
      </c>
      <c r="FJ232" s="30" t="str">
        <f t="shared" si="3147"/>
        <v/>
      </c>
      <c r="FK232" s="30" t="str">
        <f t="shared" si="3148"/>
        <v/>
      </c>
      <c r="FL232" s="30" t="str">
        <f t="shared" si="3149"/>
        <v/>
      </c>
      <c r="FM232" s="30" t="str">
        <f t="shared" si="3150"/>
        <v/>
      </c>
      <c r="FN232" s="30" t="str">
        <f t="shared" si="3151"/>
        <v/>
      </c>
      <c r="FO232" s="30" t="str">
        <f t="shared" si="3152"/>
        <v/>
      </c>
      <c r="FP232" s="30" t="str">
        <f t="shared" si="3153"/>
        <v/>
      </c>
      <c r="FQ232" s="30" t="str">
        <f t="shared" si="3154"/>
        <v/>
      </c>
      <c r="FR232" s="30" t="str">
        <f t="shared" si="3155"/>
        <v/>
      </c>
      <c r="FS232" s="30" t="str">
        <f t="shared" si="3156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86"/>
        <v>|n</v>
      </c>
      <c r="CV233" s="29"/>
      <c r="DB233" s="30" t="str">
        <f t="shared" si="3087"/>
        <v/>
      </c>
      <c r="DC233" s="30" t="str">
        <f t="shared" si="3088"/>
        <v/>
      </c>
      <c r="DD233" s="30" t="str">
        <f t="shared" si="3089"/>
        <v/>
      </c>
      <c r="DE233" s="30" t="str">
        <f t="shared" si="3090"/>
        <v/>
      </c>
      <c r="DF233" s="30" t="str">
        <f t="shared" si="3091"/>
        <v/>
      </c>
      <c r="DG233" s="30" t="str">
        <f t="shared" si="3092"/>
        <v/>
      </c>
      <c r="DH233" s="30" t="str">
        <f t="shared" si="3093"/>
        <v/>
      </c>
      <c r="DI233" s="30" t="str">
        <f t="shared" si="3094"/>
        <v/>
      </c>
      <c r="DJ233" s="30" t="str">
        <f t="shared" si="3095"/>
        <v/>
      </c>
      <c r="DK233" s="30" t="str">
        <f t="shared" si="3096"/>
        <v/>
      </c>
      <c r="DL233" s="30" t="str">
        <f t="shared" si="3097"/>
        <v/>
      </c>
      <c r="DM233" s="30" t="str">
        <f t="shared" si="3098"/>
        <v/>
      </c>
      <c r="DN233" s="30" t="str">
        <f t="shared" si="3099"/>
        <v/>
      </c>
      <c r="DO233" s="30" t="str">
        <f t="shared" si="3100"/>
        <v/>
      </c>
      <c r="DP233" s="30" t="str">
        <f t="shared" si="3101"/>
        <v/>
      </c>
      <c r="DQ233" s="30" t="str">
        <f t="shared" si="3102"/>
        <v/>
      </c>
      <c r="DR233" s="30" t="str">
        <f t="shared" si="3103"/>
        <v/>
      </c>
      <c r="DS233" s="30" t="str">
        <f t="shared" si="3104"/>
        <v/>
      </c>
      <c r="DT233" s="30" t="str">
        <f t="shared" si="3105"/>
        <v/>
      </c>
      <c r="DU233" s="30" t="str">
        <f t="shared" si="3106"/>
        <v/>
      </c>
      <c r="DV233" s="30" t="str">
        <f t="shared" si="3107"/>
        <v/>
      </c>
      <c r="DW233" s="30" t="str">
        <f t="shared" si="3108"/>
        <v/>
      </c>
      <c r="DX233" s="30" t="str">
        <f t="shared" si="3109"/>
        <v/>
      </c>
      <c r="DY233" s="30" t="str">
        <f t="shared" si="3110"/>
        <v/>
      </c>
      <c r="DZ233" s="30" t="str">
        <f t="shared" si="3111"/>
        <v/>
      </c>
      <c r="EA233" s="30" t="str">
        <f t="shared" si="3112"/>
        <v/>
      </c>
      <c r="EB233" s="30" t="str">
        <f t="shared" si="3113"/>
        <v/>
      </c>
      <c r="EC233" s="30" t="str">
        <f t="shared" si="3114"/>
        <v/>
      </c>
      <c r="ED233" s="30" t="str">
        <f t="shared" si="3115"/>
        <v/>
      </c>
      <c r="EE233" s="30" t="str">
        <f t="shared" si="3116"/>
        <v/>
      </c>
      <c r="EF233" s="30" t="str">
        <f t="shared" si="3117"/>
        <v/>
      </c>
      <c r="EG233" s="30" t="str">
        <f t="shared" si="3118"/>
        <v/>
      </c>
      <c r="EH233" s="30" t="str">
        <f t="shared" si="3119"/>
        <v/>
      </c>
      <c r="EI233" s="30" t="str">
        <f t="shared" si="3120"/>
        <v/>
      </c>
      <c r="EJ233" s="30" t="str">
        <f t="shared" si="3121"/>
        <v/>
      </c>
      <c r="EK233" s="30" t="str">
        <f t="shared" si="3122"/>
        <v/>
      </c>
      <c r="EL233" s="30" t="str">
        <f t="shared" si="3123"/>
        <v/>
      </c>
      <c r="EM233" s="30" t="str">
        <f t="shared" si="3124"/>
        <v/>
      </c>
      <c r="EN233" s="30" t="str">
        <f t="shared" si="3125"/>
        <v/>
      </c>
      <c r="EO233" s="30" t="str">
        <f t="shared" si="3126"/>
        <v/>
      </c>
      <c r="EP233" s="30" t="str">
        <f t="shared" si="3127"/>
        <v/>
      </c>
      <c r="EQ233" s="30" t="str">
        <f t="shared" si="3128"/>
        <v/>
      </c>
      <c r="ER233" s="30" t="str">
        <f t="shared" si="3129"/>
        <v/>
      </c>
      <c r="ES233" s="30" t="str">
        <f t="shared" si="3130"/>
        <v/>
      </c>
      <c r="ET233" s="30" t="str">
        <f t="shared" si="3131"/>
        <v/>
      </c>
      <c r="EU233" s="30" t="str">
        <f t="shared" si="3132"/>
        <v/>
      </c>
      <c r="EV233" s="30" t="str">
        <f t="shared" si="3133"/>
        <v/>
      </c>
      <c r="EW233" s="30" t="str">
        <f t="shared" si="3134"/>
        <v/>
      </c>
      <c r="EX233" s="30" t="str">
        <f t="shared" si="3135"/>
        <v/>
      </c>
      <c r="EY233" s="30" t="str">
        <f t="shared" si="3136"/>
        <v/>
      </c>
      <c r="EZ233" s="30" t="str">
        <f t="shared" si="3137"/>
        <v/>
      </c>
      <c r="FA233" s="30" t="str">
        <f t="shared" si="3138"/>
        <v/>
      </c>
      <c r="FB233" s="30" t="str">
        <f t="shared" si="3139"/>
        <v/>
      </c>
      <c r="FC233" s="30" t="str">
        <f t="shared" si="3140"/>
        <v/>
      </c>
      <c r="FD233" s="30" t="str">
        <f t="shared" si="3141"/>
        <v/>
      </c>
      <c r="FE233" s="30" t="str">
        <f t="shared" si="3142"/>
        <v/>
      </c>
      <c r="FF233" s="30" t="str">
        <f t="shared" si="3143"/>
        <v/>
      </c>
      <c r="FG233" s="30" t="str">
        <f t="shared" si="3144"/>
        <v/>
      </c>
      <c r="FH233" s="30" t="str">
        <f t="shared" si="3145"/>
        <v/>
      </c>
      <c r="FI233" s="30" t="str">
        <f t="shared" si="3146"/>
        <v/>
      </c>
      <c r="FJ233" s="30" t="str">
        <f t="shared" si="3147"/>
        <v/>
      </c>
      <c r="FK233" s="30" t="str">
        <f t="shared" si="3148"/>
        <v/>
      </c>
      <c r="FL233" s="30" t="str">
        <f t="shared" si="3149"/>
        <v/>
      </c>
      <c r="FM233" s="30" t="str">
        <f t="shared" si="3150"/>
        <v/>
      </c>
      <c r="FN233" s="30" t="str">
        <f t="shared" si="3151"/>
        <v/>
      </c>
      <c r="FO233" s="30" t="str">
        <f t="shared" si="3152"/>
        <v/>
      </c>
      <c r="FP233" s="30" t="str">
        <f t="shared" si="3153"/>
        <v/>
      </c>
      <c r="FQ233" s="30" t="str">
        <f t="shared" si="3154"/>
        <v/>
      </c>
      <c r="FR233" s="30" t="str">
        <f t="shared" si="3155"/>
        <v/>
      </c>
      <c r="FS233" s="30" t="str">
        <f t="shared" si="3156"/>
        <v/>
      </c>
    </row>
    <row r="234" spans="1:175" s="24" customFormat="1" ht="16.5">
      <c r="A234" s="46"/>
      <c r="B234" s="36"/>
      <c r="C234" s="46"/>
      <c r="D234" s="31"/>
      <c r="E234" s="39"/>
      <c r="F234" s="41"/>
      <c r="G234" s="47"/>
      <c r="H234" s="47"/>
      <c r="I234" s="47"/>
      <c r="J234" s="47"/>
      <c r="K234" s="47"/>
      <c r="L234" s="47"/>
      <c r="M234" s="47"/>
      <c r="N234" s="47"/>
      <c r="O234" s="47"/>
      <c r="P234" s="42"/>
      <c r="Q234" s="42"/>
      <c r="R234" s="42"/>
      <c r="S234" s="42"/>
      <c r="T234" s="101"/>
      <c r="U234" s="32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4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44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44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44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44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44"/>
      <c r="CT234" s="44"/>
      <c r="CU234" s="45" t="str">
        <f t="shared" si="3086"/>
        <v>|n</v>
      </c>
      <c r="CV234" s="29"/>
      <c r="DB234" s="30" t="str">
        <f t="shared" si="3087"/>
        <v/>
      </c>
      <c r="DC234" s="30" t="str">
        <f t="shared" si="3088"/>
        <v/>
      </c>
      <c r="DD234" s="30" t="str">
        <f t="shared" si="3089"/>
        <v/>
      </c>
      <c r="DE234" s="30" t="str">
        <f t="shared" si="3090"/>
        <v/>
      </c>
      <c r="DF234" s="30" t="str">
        <f t="shared" si="3091"/>
        <v/>
      </c>
      <c r="DG234" s="30" t="str">
        <f t="shared" si="3092"/>
        <v/>
      </c>
      <c r="DH234" s="30" t="str">
        <f t="shared" si="3093"/>
        <v/>
      </c>
      <c r="DI234" s="30" t="str">
        <f t="shared" si="3094"/>
        <v/>
      </c>
      <c r="DJ234" s="30" t="str">
        <f t="shared" si="3095"/>
        <v/>
      </c>
      <c r="DK234" s="30" t="str">
        <f t="shared" si="3096"/>
        <v/>
      </c>
      <c r="DL234" s="30" t="str">
        <f t="shared" si="3097"/>
        <v/>
      </c>
      <c r="DM234" s="30" t="str">
        <f t="shared" si="3098"/>
        <v/>
      </c>
      <c r="DN234" s="30" t="str">
        <f t="shared" si="3099"/>
        <v/>
      </c>
      <c r="DO234" s="30" t="str">
        <f t="shared" si="3100"/>
        <v/>
      </c>
      <c r="DP234" s="30" t="str">
        <f t="shared" si="3101"/>
        <v/>
      </c>
      <c r="DQ234" s="30" t="str">
        <f t="shared" si="3102"/>
        <v/>
      </c>
      <c r="DR234" s="30" t="str">
        <f t="shared" si="3103"/>
        <v/>
      </c>
      <c r="DS234" s="30" t="str">
        <f t="shared" si="3104"/>
        <v/>
      </c>
      <c r="DT234" s="30" t="str">
        <f t="shared" si="3105"/>
        <v/>
      </c>
      <c r="DU234" s="30" t="str">
        <f t="shared" si="3106"/>
        <v/>
      </c>
      <c r="DV234" s="30" t="str">
        <f t="shared" si="3107"/>
        <v/>
      </c>
      <c r="DW234" s="30" t="str">
        <f t="shared" si="3108"/>
        <v/>
      </c>
      <c r="DX234" s="30" t="str">
        <f t="shared" si="3109"/>
        <v/>
      </c>
      <c r="DY234" s="30" t="str">
        <f t="shared" si="3110"/>
        <v/>
      </c>
      <c r="DZ234" s="30" t="str">
        <f t="shared" si="3111"/>
        <v/>
      </c>
      <c r="EA234" s="30" t="str">
        <f t="shared" si="3112"/>
        <v/>
      </c>
      <c r="EB234" s="30" t="str">
        <f t="shared" si="3113"/>
        <v/>
      </c>
      <c r="EC234" s="30" t="str">
        <f t="shared" si="3114"/>
        <v/>
      </c>
      <c r="ED234" s="30" t="str">
        <f t="shared" si="3115"/>
        <v/>
      </c>
      <c r="EE234" s="30" t="str">
        <f t="shared" si="3116"/>
        <v/>
      </c>
      <c r="EF234" s="30" t="str">
        <f t="shared" si="3117"/>
        <v/>
      </c>
      <c r="EG234" s="30" t="str">
        <f t="shared" si="3118"/>
        <v/>
      </c>
      <c r="EH234" s="30" t="str">
        <f t="shared" si="3119"/>
        <v/>
      </c>
      <c r="EI234" s="30" t="str">
        <f t="shared" si="3120"/>
        <v/>
      </c>
      <c r="EJ234" s="30" t="str">
        <f t="shared" si="3121"/>
        <v/>
      </c>
      <c r="EK234" s="30" t="str">
        <f t="shared" si="3122"/>
        <v/>
      </c>
      <c r="EL234" s="30" t="str">
        <f t="shared" si="3123"/>
        <v/>
      </c>
      <c r="EM234" s="30" t="str">
        <f t="shared" si="3124"/>
        <v/>
      </c>
      <c r="EN234" s="30" t="str">
        <f t="shared" si="3125"/>
        <v/>
      </c>
      <c r="EO234" s="30" t="str">
        <f t="shared" si="3126"/>
        <v/>
      </c>
      <c r="EP234" s="30" t="str">
        <f t="shared" si="3127"/>
        <v/>
      </c>
      <c r="EQ234" s="30" t="str">
        <f t="shared" si="3128"/>
        <v/>
      </c>
      <c r="ER234" s="30" t="str">
        <f t="shared" si="3129"/>
        <v/>
      </c>
      <c r="ES234" s="30" t="str">
        <f t="shared" si="3130"/>
        <v/>
      </c>
      <c r="ET234" s="30" t="str">
        <f t="shared" si="3131"/>
        <v/>
      </c>
      <c r="EU234" s="30" t="str">
        <f t="shared" si="3132"/>
        <v/>
      </c>
      <c r="EV234" s="30" t="str">
        <f t="shared" si="3133"/>
        <v/>
      </c>
      <c r="EW234" s="30" t="str">
        <f t="shared" si="3134"/>
        <v/>
      </c>
      <c r="EX234" s="30" t="str">
        <f t="shared" si="3135"/>
        <v/>
      </c>
      <c r="EY234" s="30" t="str">
        <f t="shared" si="3136"/>
        <v/>
      </c>
      <c r="EZ234" s="30" t="str">
        <f t="shared" si="3137"/>
        <v/>
      </c>
      <c r="FA234" s="30" t="str">
        <f t="shared" si="3138"/>
        <v/>
      </c>
      <c r="FB234" s="30" t="str">
        <f t="shared" si="3139"/>
        <v/>
      </c>
      <c r="FC234" s="30" t="str">
        <f t="shared" si="3140"/>
        <v/>
      </c>
      <c r="FD234" s="30" t="str">
        <f t="shared" si="3141"/>
        <v/>
      </c>
      <c r="FE234" s="30" t="str">
        <f t="shared" si="3142"/>
        <v/>
      </c>
      <c r="FF234" s="30" t="str">
        <f t="shared" si="3143"/>
        <v/>
      </c>
      <c r="FG234" s="30" t="str">
        <f t="shared" si="3144"/>
        <v/>
      </c>
      <c r="FH234" s="30" t="str">
        <f t="shared" si="3145"/>
        <v/>
      </c>
      <c r="FI234" s="30" t="str">
        <f t="shared" si="3146"/>
        <v/>
      </c>
      <c r="FJ234" s="30" t="str">
        <f t="shared" si="3147"/>
        <v/>
      </c>
      <c r="FK234" s="30" t="str">
        <f t="shared" si="3148"/>
        <v/>
      </c>
      <c r="FL234" s="30" t="str">
        <f t="shared" si="3149"/>
        <v/>
      </c>
      <c r="FM234" s="30" t="str">
        <f t="shared" si="3150"/>
        <v/>
      </c>
      <c r="FN234" s="30" t="str">
        <f t="shared" si="3151"/>
        <v/>
      </c>
      <c r="FO234" s="30" t="str">
        <f t="shared" si="3152"/>
        <v/>
      </c>
      <c r="FP234" s="30" t="str">
        <f t="shared" si="3153"/>
        <v/>
      </c>
      <c r="FQ234" s="30" t="str">
        <f t="shared" si="3154"/>
        <v/>
      </c>
      <c r="FR234" s="30" t="str">
        <f t="shared" si="3155"/>
        <v/>
      </c>
      <c r="FS234" s="30" t="str">
        <f t="shared" si="3156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86"/>
        <v>|n</v>
      </c>
      <c r="CW235" s="24"/>
      <c r="CX235" s="24"/>
      <c r="CY235" s="24"/>
      <c r="CZ235" s="24"/>
      <c r="DA235" s="24"/>
      <c r="DB235" s="30" t="str">
        <f t="shared" si="3087"/>
        <v/>
      </c>
      <c r="DC235" s="30" t="str">
        <f t="shared" si="3088"/>
        <v/>
      </c>
      <c r="DD235" s="30" t="str">
        <f t="shared" si="3089"/>
        <v/>
      </c>
      <c r="DE235" s="30" t="str">
        <f t="shared" si="3090"/>
        <v/>
      </c>
      <c r="DF235" s="30" t="str">
        <f t="shared" si="3091"/>
        <v/>
      </c>
      <c r="DG235" s="30" t="str">
        <f t="shared" si="3092"/>
        <v/>
      </c>
      <c r="DH235" s="30" t="str">
        <f t="shared" si="3093"/>
        <v/>
      </c>
      <c r="DI235" s="30" t="str">
        <f t="shared" si="3094"/>
        <v/>
      </c>
      <c r="DJ235" s="30" t="str">
        <f t="shared" si="3095"/>
        <v/>
      </c>
      <c r="DK235" s="30" t="str">
        <f t="shared" si="3096"/>
        <v/>
      </c>
      <c r="DL235" s="30" t="str">
        <f t="shared" si="3097"/>
        <v/>
      </c>
      <c r="DM235" s="30" t="str">
        <f t="shared" si="3098"/>
        <v/>
      </c>
      <c r="DN235" s="30" t="str">
        <f t="shared" si="3099"/>
        <v/>
      </c>
      <c r="DO235" s="30" t="str">
        <f t="shared" si="3100"/>
        <v/>
      </c>
      <c r="DP235" s="30" t="str">
        <f t="shared" si="3101"/>
        <v/>
      </c>
      <c r="DQ235" s="30" t="str">
        <f t="shared" si="3102"/>
        <v/>
      </c>
      <c r="DR235" s="30" t="str">
        <f t="shared" si="3103"/>
        <v/>
      </c>
      <c r="DS235" s="30" t="str">
        <f t="shared" si="3104"/>
        <v/>
      </c>
      <c r="DT235" s="30" t="str">
        <f t="shared" si="3105"/>
        <v/>
      </c>
      <c r="DU235" s="30" t="str">
        <f t="shared" si="3106"/>
        <v/>
      </c>
      <c r="DV235" s="30" t="str">
        <f t="shared" si="3107"/>
        <v/>
      </c>
      <c r="DW235" s="30" t="str">
        <f t="shared" si="3108"/>
        <v/>
      </c>
      <c r="DX235" s="30" t="str">
        <f t="shared" si="3109"/>
        <v/>
      </c>
      <c r="DY235" s="30" t="str">
        <f t="shared" si="3110"/>
        <v/>
      </c>
      <c r="DZ235" s="30" t="str">
        <f t="shared" si="3111"/>
        <v/>
      </c>
      <c r="EA235" s="30" t="str">
        <f t="shared" si="3112"/>
        <v/>
      </c>
      <c r="EB235" s="30" t="str">
        <f t="shared" si="3113"/>
        <v/>
      </c>
      <c r="EC235" s="30" t="str">
        <f t="shared" si="3114"/>
        <v/>
      </c>
      <c r="ED235" s="30" t="str">
        <f t="shared" si="3115"/>
        <v/>
      </c>
      <c r="EE235" s="30" t="str">
        <f t="shared" si="3116"/>
        <v/>
      </c>
      <c r="EF235" s="30" t="str">
        <f t="shared" si="3117"/>
        <v/>
      </c>
      <c r="EG235" s="30" t="str">
        <f t="shared" si="3118"/>
        <v/>
      </c>
      <c r="EH235" s="30" t="str">
        <f t="shared" si="3119"/>
        <v/>
      </c>
      <c r="EI235" s="30" t="str">
        <f t="shared" si="3120"/>
        <v/>
      </c>
      <c r="EJ235" s="30" t="str">
        <f t="shared" si="3121"/>
        <v/>
      </c>
      <c r="EK235" s="30" t="str">
        <f t="shared" si="3122"/>
        <v/>
      </c>
      <c r="EL235" s="30" t="str">
        <f t="shared" si="3123"/>
        <v/>
      </c>
      <c r="EM235" s="30" t="str">
        <f t="shared" si="3124"/>
        <v/>
      </c>
      <c r="EN235" s="30" t="str">
        <f t="shared" si="3125"/>
        <v/>
      </c>
      <c r="EO235" s="30" t="str">
        <f t="shared" si="3126"/>
        <v/>
      </c>
      <c r="EP235" s="30" t="str">
        <f t="shared" si="3127"/>
        <v/>
      </c>
      <c r="EQ235" s="30" t="str">
        <f t="shared" si="3128"/>
        <v/>
      </c>
      <c r="ER235" s="30" t="str">
        <f t="shared" si="3129"/>
        <v/>
      </c>
      <c r="ES235" s="30" t="str">
        <f t="shared" si="3130"/>
        <v/>
      </c>
      <c r="ET235" s="30" t="str">
        <f t="shared" si="3131"/>
        <v/>
      </c>
      <c r="EU235" s="30" t="str">
        <f t="shared" si="3132"/>
        <v/>
      </c>
      <c r="EV235" s="30" t="str">
        <f t="shared" si="3133"/>
        <v/>
      </c>
      <c r="EW235" s="30" t="str">
        <f t="shared" si="3134"/>
        <v/>
      </c>
      <c r="EX235" s="30" t="str">
        <f t="shared" si="3135"/>
        <v/>
      </c>
      <c r="EY235" s="30" t="str">
        <f t="shared" si="3136"/>
        <v/>
      </c>
      <c r="EZ235" s="30" t="str">
        <f t="shared" si="3137"/>
        <v/>
      </c>
      <c r="FA235" s="30" t="str">
        <f t="shared" si="3138"/>
        <v/>
      </c>
      <c r="FB235" s="30" t="str">
        <f t="shared" si="3139"/>
        <v/>
      </c>
      <c r="FC235" s="30" t="str">
        <f t="shared" si="3140"/>
        <v/>
      </c>
      <c r="FD235" s="30" t="str">
        <f t="shared" si="3141"/>
        <v/>
      </c>
      <c r="FE235" s="30" t="str">
        <f t="shared" si="3142"/>
        <v/>
      </c>
      <c r="FF235" s="30" t="str">
        <f t="shared" si="3143"/>
        <v/>
      </c>
      <c r="FG235" s="30" t="str">
        <f t="shared" si="3144"/>
        <v/>
      </c>
      <c r="FH235" s="30" t="str">
        <f t="shared" si="3145"/>
        <v/>
      </c>
      <c r="FI235" s="30" t="str">
        <f t="shared" si="3146"/>
        <v/>
      </c>
      <c r="FJ235" s="30" t="str">
        <f t="shared" si="3147"/>
        <v/>
      </c>
      <c r="FK235" s="30" t="str">
        <f t="shared" si="3148"/>
        <v/>
      </c>
      <c r="FL235" s="30" t="str">
        <f t="shared" si="3149"/>
        <v/>
      </c>
      <c r="FM235" s="30" t="str">
        <f t="shared" si="3150"/>
        <v/>
      </c>
      <c r="FN235" s="30" t="str">
        <f t="shared" si="3151"/>
        <v/>
      </c>
      <c r="FO235" s="30" t="str">
        <f t="shared" si="3152"/>
        <v/>
      </c>
      <c r="FP235" s="30" t="str">
        <f t="shared" si="3153"/>
        <v/>
      </c>
      <c r="FQ235" s="30" t="str">
        <f t="shared" si="3154"/>
        <v/>
      </c>
      <c r="FR235" s="30" t="str">
        <f t="shared" si="3155"/>
        <v/>
      </c>
      <c r="FS235" s="30" t="str">
        <f t="shared" si="3156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86"/>
        <v>|n</v>
      </c>
      <c r="CW236" s="24"/>
      <c r="CX236" s="24"/>
      <c r="CY236" s="24"/>
      <c r="CZ236" s="24"/>
      <c r="DA236" s="24"/>
      <c r="DB236" s="30" t="str">
        <f t="shared" si="3087"/>
        <v/>
      </c>
      <c r="DC236" s="30" t="str">
        <f t="shared" si="3088"/>
        <v/>
      </c>
      <c r="DD236" s="30" t="str">
        <f t="shared" si="3089"/>
        <v/>
      </c>
      <c r="DE236" s="30" t="str">
        <f t="shared" si="3090"/>
        <v/>
      </c>
      <c r="DF236" s="30" t="str">
        <f t="shared" si="3091"/>
        <v/>
      </c>
      <c r="DG236" s="30" t="str">
        <f t="shared" si="3092"/>
        <v/>
      </c>
      <c r="DH236" s="30" t="str">
        <f t="shared" si="3093"/>
        <v/>
      </c>
      <c r="DI236" s="30" t="str">
        <f t="shared" si="3094"/>
        <v/>
      </c>
      <c r="DJ236" s="30" t="str">
        <f t="shared" si="3095"/>
        <v/>
      </c>
      <c r="DK236" s="30" t="str">
        <f t="shared" si="3096"/>
        <v/>
      </c>
      <c r="DL236" s="30" t="str">
        <f t="shared" si="3097"/>
        <v/>
      </c>
      <c r="DM236" s="30" t="str">
        <f t="shared" si="3098"/>
        <v/>
      </c>
      <c r="DN236" s="30" t="str">
        <f t="shared" si="3099"/>
        <v/>
      </c>
      <c r="DO236" s="30" t="str">
        <f t="shared" si="3100"/>
        <v/>
      </c>
      <c r="DP236" s="30" t="str">
        <f t="shared" si="3101"/>
        <v/>
      </c>
      <c r="DQ236" s="30" t="str">
        <f t="shared" si="3102"/>
        <v/>
      </c>
      <c r="DR236" s="30" t="str">
        <f t="shared" si="3103"/>
        <v/>
      </c>
      <c r="DS236" s="30" t="str">
        <f t="shared" si="3104"/>
        <v/>
      </c>
      <c r="DT236" s="30" t="str">
        <f t="shared" si="3105"/>
        <v/>
      </c>
      <c r="DU236" s="30" t="str">
        <f t="shared" si="3106"/>
        <v/>
      </c>
      <c r="DV236" s="30" t="str">
        <f t="shared" si="3107"/>
        <v/>
      </c>
      <c r="DW236" s="30" t="str">
        <f t="shared" si="3108"/>
        <v/>
      </c>
      <c r="DX236" s="30" t="str">
        <f t="shared" si="3109"/>
        <v/>
      </c>
      <c r="DY236" s="30" t="str">
        <f t="shared" si="3110"/>
        <v/>
      </c>
      <c r="DZ236" s="30" t="str">
        <f t="shared" si="3111"/>
        <v/>
      </c>
      <c r="EA236" s="30" t="str">
        <f t="shared" si="3112"/>
        <v/>
      </c>
      <c r="EB236" s="30" t="str">
        <f t="shared" si="3113"/>
        <v/>
      </c>
      <c r="EC236" s="30" t="str">
        <f t="shared" si="3114"/>
        <v/>
      </c>
      <c r="ED236" s="30" t="str">
        <f t="shared" si="3115"/>
        <v/>
      </c>
      <c r="EE236" s="30" t="str">
        <f t="shared" si="3116"/>
        <v/>
      </c>
      <c r="EF236" s="30" t="str">
        <f t="shared" si="3117"/>
        <v/>
      </c>
      <c r="EG236" s="30" t="str">
        <f t="shared" si="3118"/>
        <v/>
      </c>
      <c r="EH236" s="30" t="str">
        <f t="shared" si="3119"/>
        <v/>
      </c>
      <c r="EI236" s="30" t="str">
        <f t="shared" si="3120"/>
        <v/>
      </c>
      <c r="EJ236" s="30" t="str">
        <f t="shared" si="3121"/>
        <v/>
      </c>
      <c r="EK236" s="30" t="str">
        <f t="shared" si="3122"/>
        <v/>
      </c>
      <c r="EL236" s="30" t="str">
        <f t="shared" si="3123"/>
        <v/>
      </c>
      <c r="EM236" s="30" t="str">
        <f t="shared" si="3124"/>
        <v/>
      </c>
      <c r="EN236" s="30" t="str">
        <f t="shared" si="3125"/>
        <v/>
      </c>
      <c r="EO236" s="30" t="str">
        <f t="shared" si="3126"/>
        <v/>
      </c>
      <c r="EP236" s="30" t="str">
        <f t="shared" si="3127"/>
        <v/>
      </c>
      <c r="EQ236" s="30" t="str">
        <f t="shared" si="3128"/>
        <v/>
      </c>
      <c r="ER236" s="30" t="str">
        <f t="shared" si="3129"/>
        <v/>
      </c>
      <c r="ES236" s="30" t="str">
        <f t="shared" si="3130"/>
        <v/>
      </c>
      <c r="ET236" s="30" t="str">
        <f t="shared" si="3131"/>
        <v/>
      </c>
      <c r="EU236" s="30" t="str">
        <f t="shared" si="3132"/>
        <v/>
      </c>
      <c r="EV236" s="30" t="str">
        <f t="shared" si="3133"/>
        <v/>
      </c>
      <c r="EW236" s="30" t="str">
        <f t="shared" si="3134"/>
        <v/>
      </c>
      <c r="EX236" s="30" t="str">
        <f t="shared" si="3135"/>
        <v/>
      </c>
      <c r="EY236" s="30" t="str">
        <f t="shared" si="3136"/>
        <v/>
      </c>
      <c r="EZ236" s="30" t="str">
        <f t="shared" si="3137"/>
        <v/>
      </c>
      <c r="FA236" s="30" t="str">
        <f t="shared" si="3138"/>
        <v/>
      </c>
      <c r="FB236" s="30" t="str">
        <f t="shared" si="3139"/>
        <v/>
      </c>
      <c r="FC236" s="30" t="str">
        <f t="shared" si="3140"/>
        <v/>
      </c>
      <c r="FD236" s="30" t="str">
        <f t="shared" si="3141"/>
        <v/>
      </c>
      <c r="FE236" s="30" t="str">
        <f t="shared" si="3142"/>
        <v/>
      </c>
      <c r="FF236" s="30" t="str">
        <f t="shared" si="3143"/>
        <v/>
      </c>
      <c r="FG236" s="30" t="str">
        <f t="shared" si="3144"/>
        <v/>
      </c>
      <c r="FH236" s="30" t="str">
        <f t="shared" si="3145"/>
        <v/>
      </c>
      <c r="FI236" s="30" t="str">
        <f t="shared" si="3146"/>
        <v/>
      </c>
      <c r="FJ236" s="30" t="str">
        <f t="shared" si="3147"/>
        <v/>
      </c>
      <c r="FK236" s="30" t="str">
        <f t="shared" si="3148"/>
        <v/>
      </c>
      <c r="FL236" s="30" t="str">
        <f t="shared" si="3149"/>
        <v/>
      </c>
      <c r="FM236" s="30" t="str">
        <f t="shared" si="3150"/>
        <v/>
      </c>
      <c r="FN236" s="30" t="str">
        <f t="shared" si="3151"/>
        <v/>
      </c>
      <c r="FO236" s="30" t="str">
        <f t="shared" si="3152"/>
        <v/>
      </c>
      <c r="FP236" s="30" t="str">
        <f t="shared" si="3153"/>
        <v/>
      </c>
      <c r="FQ236" s="30" t="str">
        <f t="shared" si="3154"/>
        <v/>
      </c>
      <c r="FR236" s="30" t="str">
        <f t="shared" si="3155"/>
        <v/>
      </c>
      <c r="FS236" s="30" t="str">
        <f t="shared" si="3156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86"/>
        <v>|n</v>
      </c>
      <c r="CW237" s="24"/>
      <c r="CX237" s="24"/>
      <c r="CY237" s="24"/>
      <c r="CZ237" s="24"/>
      <c r="DA237" s="24"/>
      <c r="DB237" s="30" t="str">
        <f t="shared" si="3087"/>
        <v/>
      </c>
      <c r="DC237" s="30" t="str">
        <f t="shared" si="3088"/>
        <v/>
      </c>
      <c r="DD237" s="30" t="str">
        <f t="shared" si="3089"/>
        <v/>
      </c>
      <c r="DE237" s="30" t="str">
        <f t="shared" si="3090"/>
        <v/>
      </c>
      <c r="DF237" s="30" t="str">
        <f t="shared" si="3091"/>
        <v/>
      </c>
      <c r="DG237" s="30" t="str">
        <f t="shared" si="3092"/>
        <v/>
      </c>
      <c r="DH237" s="30" t="str">
        <f t="shared" si="3093"/>
        <v/>
      </c>
      <c r="DI237" s="30" t="str">
        <f t="shared" si="3094"/>
        <v/>
      </c>
      <c r="DJ237" s="30" t="str">
        <f t="shared" si="3095"/>
        <v/>
      </c>
      <c r="DK237" s="30" t="str">
        <f t="shared" si="3096"/>
        <v/>
      </c>
      <c r="DL237" s="30" t="str">
        <f t="shared" si="3097"/>
        <v/>
      </c>
      <c r="DM237" s="30" t="str">
        <f t="shared" si="3098"/>
        <v/>
      </c>
      <c r="DN237" s="30" t="str">
        <f t="shared" si="3099"/>
        <v/>
      </c>
      <c r="DO237" s="30" t="str">
        <f t="shared" si="3100"/>
        <v/>
      </c>
      <c r="DP237" s="30" t="str">
        <f t="shared" si="3101"/>
        <v/>
      </c>
      <c r="DQ237" s="30" t="str">
        <f t="shared" si="3102"/>
        <v/>
      </c>
      <c r="DR237" s="30" t="str">
        <f t="shared" si="3103"/>
        <v/>
      </c>
      <c r="DS237" s="30" t="str">
        <f t="shared" si="3104"/>
        <v/>
      </c>
      <c r="DT237" s="30" t="str">
        <f t="shared" si="3105"/>
        <v/>
      </c>
      <c r="DU237" s="30" t="str">
        <f t="shared" si="3106"/>
        <v/>
      </c>
      <c r="DV237" s="30" t="str">
        <f t="shared" si="3107"/>
        <v/>
      </c>
      <c r="DW237" s="30" t="str">
        <f t="shared" si="3108"/>
        <v/>
      </c>
      <c r="DX237" s="30" t="str">
        <f t="shared" si="3109"/>
        <v/>
      </c>
      <c r="DY237" s="30" t="str">
        <f t="shared" si="3110"/>
        <v/>
      </c>
      <c r="DZ237" s="30" t="str">
        <f t="shared" si="3111"/>
        <v/>
      </c>
      <c r="EA237" s="30" t="str">
        <f t="shared" si="3112"/>
        <v/>
      </c>
      <c r="EB237" s="30" t="str">
        <f t="shared" si="3113"/>
        <v/>
      </c>
      <c r="EC237" s="30" t="str">
        <f t="shared" si="3114"/>
        <v/>
      </c>
      <c r="ED237" s="30" t="str">
        <f t="shared" si="3115"/>
        <v/>
      </c>
      <c r="EE237" s="30" t="str">
        <f t="shared" si="3116"/>
        <v/>
      </c>
      <c r="EF237" s="30" t="str">
        <f t="shared" si="3117"/>
        <v/>
      </c>
      <c r="EG237" s="30" t="str">
        <f t="shared" si="3118"/>
        <v/>
      </c>
      <c r="EH237" s="30" t="str">
        <f t="shared" si="3119"/>
        <v/>
      </c>
      <c r="EI237" s="30" t="str">
        <f t="shared" si="3120"/>
        <v/>
      </c>
      <c r="EJ237" s="30" t="str">
        <f t="shared" si="3121"/>
        <v/>
      </c>
      <c r="EK237" s="30" t="str">
        <f t="shared" si="3122"/>
        <v/>
      </c>
      <c r="EL237" s="30" t="str">
        <f t="shared" si="3123"/>
        <v/>
      </c>
      <c r="EM237" s="30" t="str">
        <f t="shared" si="3124"/>
        <v/>
      </c>
      <c r="EN237" s="30" t="str">
        <f t="shared" si="3125"/>
        <v/>
      </c>
      <c r="EO237" s="30" t="str">
        <f t="shared" si="3126"/>
        <v/>
      </c>
      <c r="EP237" s="30" t="str">
        <f t="shared" si="3127"/>
        <v/>
      </c>
      <c r="EQ237" s="30" t="str">
        <f t="shared" si="3128"/>
        <v/>
      </c>
      <c r="ER237" s="30" t="str">
        <f t="shared" si="3129"/>
        <v/>
      </c>
      <c r="ES237" s="30" t="str">
        <f t="shared" si="3130"/>
        <v/>
      </c>
      <c r="ET237" s="30" t="str">
        <f t="shared" si="3131"/>
        <v/>
      </c>
      <c r="EU237" s="30" t="str">
        <f t="shared" si="3132"/>
        <v/>
      </c>
      <c r="EV237" s="30" t="str">
        <f t="shared" si="3133"/>
        <v/>
      </c>
      <c r="EW237" s="30" t="str">
        <f t="shared" si="3134"/>
        <v/>
      </c>
      <c r="EX237" s="30" t="str">
        <f t="shared" si="3135"/>
        <v/>
      </c>
      <c r="EY237" s="30" t="str">
        <f t="shared" si="3136"/>
        <v/>
      </c>
      <c r="EZ237" s="30" t="str">
        <f t="shared" si="3137"/>
        <v/>
      </c>
      <c r="FA237" s="30" t="str">
        <f t="shared" si="3138"/>
        <v/>
      </c>
      <c r="FB237" s="30" t="str">
        <f t="shared" si="3139"/>
        <v/>
      </c>
      <c r="FC237" s="30" t="str">
        <f t="shared" si="3140"/>
        <v/>
      </c>
      <c r="FD237" s="30" t="str">
        <f t="shared" si="3141"/>
        <v/>
      </c>
      <c r="FE237" s="30" t="str">
        <f t="shared" si="3142"/>
        <v/>
      </c>
      <c r="FF237" s="30" t="str">
        <f t="shared" si="3143"/>
        <v/>
      </c>
      <c r="FG237" s="30" t="str">
        <f t="shared" si="3144"/>
        <v/>
      </c>
      <c r="FH237" s="30" t="str">
        <f t="shared" si="3145"/>
        <v/>
      </c>
      <c r="FI237" s="30" t="str">
        <f t="shared" si="3146"/>
        <v/>
      </c>
      <c r="FJ237" s="30" t="str">
        <f t="shared" si="3147"/>
        <v/>
      </c>
      <c r="FK237" s="30" t="str">
        <f t="shared" si="3148"/>
        <v/>
      </c>
      <c r="FL237" s="30" t="str">
        <f t="shared" si="3149"/>
        <v/>
      </c>
      <c r="FM237" s="30" t="str">
        <f t="shared" si="3150"/>
        <v/>
      </c>
      <c r="FN237" s="30" t="str">
        <f t="shared" si="3151"/>
        <v/>
      </c>
      <c r="FO237" s="30" t="str">
        <f t="shared" si="3152"/>
        <v/>
      </c>
      <c r="FP237" s="30" t="str">
        <f t="shared" si="3153"/>
        <v/>
      </c>
      <c r="FQ237" s="30" t="str">
        <f t="shared" si="3154"/>
        <v/>
      </c>
      <c r="FR237" s="30" t="str">
        <f t="shared" si="3155"/>
        <v/>
      </c>
      <c r="FS237" s="30" t="str">
        <f t="shared" si="3156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86"/>
        <v>|n</v>
      </c>
      <c r="CW238" s="24"/>
      <c r="CX238" s="24"/>
      <c r="CY238" s="24"/>
      <c r="CZ238" s="24"/>
      <c r="DA238" s="24"/>
      <c r="DB238" s="30" t="str">
        <f t="shared" si="3087"/>
        <v/>
      </c>
      <c r="DC238" s="30" t="str">
        <f t="shared" si="3088"/>
        <v/>
      </c>
      <c r="DD238" s="30" t="str">
        <f t="shared" si="3089"/>
        <v/>
      </c>
      <c r="DE238" s="30" t="str">
        <f t="shared" si="3090"/>
        <v/>
      </c>
      <c r="DF238" s="30" t="str">
        <f t="shared" si="3091"/>
        <v/>
      </c>
      <c r="DG238" s="30" t="str">
        <f t="shared" si="3092"/>
        <v/>
      </c>
      <c r="DH238" s="30" t="str">
        <f t="shared" si="3093"/>
        <v/>
      </c>
      <c r="DI238" s="30" t="str">
        <f t="shared" si="3094"/>
        <v/>
      </c>
      <c r="DJ238" s="30" t="str">
        <f t="shared" si="3095"/>
        <v/>
      </c>
      <c r="DK238" s="30" t="str">
        <f t="shared" si="3096"/>
        <v/>
      </c>
      <c r="DL238" s="30" t="str">
        <f t="shared" si="3097"/>
        <v/>
      </c>
      <c r="DM238" s="30" t="str">
        <f t="shared" si="3098"/>
        <v/>
      </c>
      <c r="DN238" s="30" t="str">
        <f t="shared" si="3099"/>
        <v/>
      </c>
      <c r="DO238" s="30" t="str">
        <f t="shared" si="3100"/>
        <v/>
      </c>
      <c r="DP238" s="30" t="str">
        <f t="shared" si="3101"/>
        <v/>
      </c>
      <c r="DQ238" s="30" t="str">
        <f t="shared" si="3102"/>
        <v/>
      </c>
      <c r="DR238" s="30" t="str">
        <f t="shared" si="3103"/>
        <v/>
      </c>
      <c r="DS238" s="30" t="str">
        <f t="shared" si="3104"/>
        <v/>
      </c>
      <c r="DT238" s="30" t="str">
        <f t="shared" si="3105"/>
        <v/>
      </c>
      <c r="DU238" s="30" t="str">
        <f t="shared" si="3106"/>
        <v/>
      </c>
      <c r="DV238" s="30" t="str">
        <f t="shared" si="3107"/>
        <v/>
      </c>
      <c r="DW238" s="30" t="str">
        <f t="shared" si="3108"/>
        <v/>
      </c>
      <c r="DX238" s="30" t="str">
        <f t="shared" si="3109"/>
        <v/>
      </c>
      <c r="DY238" s="30" t="str">
        <f t="shared" si="3110"/>
        <v/>
      </c>
      <c r="DZ238" s="30" t="str">
        <f t="shared" si="3111"/>
        <v/>
      </c>
      <c r="EA238" s="30" t="str">
        <f t="shared" si="3112"/>
        <v/>
      </c>
      <c r="EB238" s="30" t="str">
        <f t="shared" si="3113"/>
        <v/>
      </c>
      <c r="EC238" s="30" t="str">
        <f t="shared" si="3114"/>
        <v/>
      </c>
      <c r="ED238" s="30" t="str">
        <f t="shared" si="3115"/>
        <v/>
      </c>
      <c r="EE238" s="30" t="str">
        <f t="shared" si="3116"/>
        <v/>
      </c>
      <c r="EF238" s="30" t="str">
        <f t="shared" si="3117"/>
        <v/>
      </c>
      <c r="EG238" s="30" t="str">
        <f t="shared" si="3118"/>
        <v/>
      </c>
      <c r="EH238" s="30" t="str">
        <f t="shared" si="3119"/>
        <v/>
      </c>
      <c r="EI238" s="30" t="str">
        <f t="shared" si="3120"/>
        <v/>
      </c>
      <c r="EJ238" s="30" t="str">
        <f t="shared" si="3121"/>
        <v/>
      </c>
      <c r="EK238" s="30" t="str">
        <f t="shared" si="3122"/>
        <v/>
      </c>
      <c r="EL238" s="30" t="str">
        <f t="shared" si="3123"/>
        <v/>
      </c>
      <c r="EM238" s="30" t="str">
        <f t="shared" si="3124"/>
        <v/>
      </c>
      <c r="EN238" s="30" t="str">
        <f t="shared" si="3125"/>
        <v/>
      </c>
      <c r="EO238" s="30" t="str">
        <f t="shared" si="3126"/>
        <v/>
      </c>
      <c r="EP238" s="30" t="str">
        <f t="shared" si="3127"/>
        <v/>
      </c>
      <c r="EQ238" s="30" t="str">
        <f t="shared" si="3128"/>
        <v/>
      </c>
      <c r="ER238" s="30" t="str">
        <f t="shared" si="3129"/>
        <v/>
      </c>
      <c r="ES238" s="30" t="str">
        <f t="shared" si="3130"/>
        <v/>
      </c>
      <c r="ET238" s="30" t="str">
        <f t="shared" si="3131"/>
        <v/>
      </c>
      <c r="EU238" s="30" t="str">
        <f t="shared" si="3132"/>
        <v/>
      </c>
      <c r="EV238" s="30" t="str">
        <f t="shared" si="3133"/>
        <v/>
      </c>
      <c r="EW238" s="30" t="str">
        <f t="shared" si="3134"/>
        <v/>
      </c>
      <c r="EX238" s="30" t="str">
        <f t="shared" si="3135"/>
        <v/>
      </c>
      <c r="EY238" s="30" t="str">
        <f t="shared" si="3136"/>
        <v/>
      </c>
      <c r="EZ238" s="30" t="str">
        <f t="shared" si="3137"/>
        <v/>
      </c>
      <c r="FA238" s="30" t="str">
        <f t="shared" si="3138"/>
        <v/>
      </c>
      <c r="FB238" s="30" t="str">
        <f t="shared" si="3139"/>
        <v/>
      </c>
      <c r="FC238" s="30" t="str">
        <f t="shared" si="3140"/>
        <v/>
      </c>
      <c r="FD238" s="30" t="str">
        <f t="shared" si="3141"/>
        <v/>
      </c>
      <c r="FE238" s="30" t="str">
        <f t="shared" si="3142"/>
        <v/>
      </c>
      <c r="FF238" s="30" t="str">
        <f t="shared" si="3143"/>
        <v/>
      </c>
      <c r="FG238" s="30" t="str">
        <f t="shared" si="3144"/>
        <v/>
      </c>
      <c r="FH238" s="30" t="str">
        <f t="shared" si="3145"/>
        <v/>
      </c>
      <c r="FI238" s="30" t="str">
        <f t="shared" si="3146"/>
        <v/>
      </c>
      <c r="FJ238" s="30" t="str">
        <f t="shared" si="3147"/>
        <v/>
      </c>
      <c r="FK238" s="30" t="str">
        <f t="shared" si="3148"/>
        <v/>
      </c>
      <c r="FL238" s="30" t="str">
        <f t="shared" si="3149"/>
        <v/>
      </c>
      <c r="FM238" s="30" t="str">
        <f t="shared" si="3150"/>
        <v/>
      </c>
      <c r="FN238" s="30" t="str">
        <f t="shared" si="3151"/>
        <v/>
      </c>
      <c r="FO238" s="30" t="str">
        <f t="shared" si="3152"/>
        <v/>
      </c>
      <c r="FP238" s="30" t="str">
        <f t="shared" si="3153"/>
        <v/>
      </c>
      <c r="FQ238" s="30" t="str">
        <f t="shared" si="3154"/>
        <v/>
      </c>
      <c r="FR238" s="30" t="str">
        <f t="shared" si="3155"/>
        <v/>
      </c>
      <c r="FS238" s="30" t="str">
        <f t="shared" si="3156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86"/>
        <v>|n</v>
      </c>
      <c r="CW239" s="24"/>
      <c r="CX239" s="24"/>
      <c r="CY239" s="24"/>
      <c r="CZ239" s="24"/>
      <c r="DA239" s="24"/>
      <c r="DB239" s="30" t="str">
        <f t="shared" si="3087"/>
        <v/>
      </c>
      <c r="DC239" s="30" t="str">
        <f t="shared" si="3088"/>
        <v/>
      </c>
      <c r="DD239" s="30" t="str">
        <f t="shared" si="3089"/>
        <v/>
      </c>
      <c r="DE239" s="30" t="str">
        <f t="shared" si="3090"/>
        <v/>
      </c>
      <c r="DF239" s="30" t="str">
        <f t="shared" si="3091"/>
        <v/>
      </c>
      <c r="DG239" s="30" t="str">
        <f t="shared" si="3092"/>
        <v/>
      </c>
      <c r="DH239" s="30" t="str">
        <f t="shared" si="3093"/>
        <v/>
      </c>
      <c r="DI239" s="30" t="str">
        <f t="shared" si="3094"/>
        <v/>
      </c>
      <c r="DJ239" s="30" t="str">
        <f t="shared" si="3095"/>
        <v/>
      </c>
      <c r="DK239" s="30" t="str">
        <f t="shared" si="3096"/>
        <v/>
      </c>
      <c r="DL239" s="30" t="str">
        <f t="shared" si="3097"/>
        <v/>
      </c>
      <c r="DM239" s="30" t="str">
        <f t="shared" si="3098"/>
        <v/>
      </c>
      <c r="DN239" s="30" t="str">
        <f t="shared" si="3099"/>
        <v/>
      </c>
      <c r="DO239" s="30" t="str">
        <f t="shared" si="3100"/>
        <v/>
      </c>
      <c r="DP239" s="30" t="str">
        <f t="shared" si="3101"/>
        <v/>
      </c>
      <c r="DQ239" s="30" t="str">
        <f t="shared" si="3102"/>
        <v/>
      </c>
      <c r="DR239" s="30" t="str">
        <f t="shared" si="3103"/>
        <v/>
      </c>
      <c r="DS239" s="30" t="str">
        <f t="shared" si="3104"/>
        <v/>
      </c>
      <c r="DT239" s="30" t="str">
        <f t="shared" si="3105"/>
        <v/>
      </c>
      <c r="DU239" s="30" t="str">
        <f t="shared" si="3106"/>
        <v/>
      </c>
      <c r="DV239" s="30" t="str">
        <f t="shared" si="3107"/>
        <v/>
      </c>
      <c r="DW239" s="30" t="str">
        <f t="shared" si="3108"/>
        <v/>
      </c>
      <c r="DX239" s="30" t="str">
        <f t="shared" si="3109"/>
        <v/>
      </c>
      <c r="DY239" s="30" t="str">
        <f t="shared" si="3110"/>
        <v/>
      </c>
      <c r="DZ239" s="30" t="str">
        <f t="shared" si="3111"/>
        <v/>
      </c>
      <c r="EA239" s="30" t="str">
        <f t="shared" si="3112"/>
        <v/>
      </c>
      <c r="EB239" s="30" t="str">
        <f t="shared" si="3113"/>
        <v/>
      </c>
      <c r="EC239" s="30" t="str">
        <f t="shared" si="3114"/>
        <v/>
      </c>
      <c r="ED239" s="30" t="str">
        <f t="shared" si="3115"/>
        <v/>
      </c>
      <c r="EE239" s="30" t="str">
        <f t="shared" si="3116"/>
        <v/>
      </c>
      <c r="EF239" s="30" t="str">
        <f t="shared" si="3117"/>
        <v/>
      </c>
      <c r="EG239" s="30" t="str">
        <f t="shared" si="3118"/>
        <v/>
      </c>
      <c r="EH239" s="30" t="str">
        <f t="shared" si="3119"/>
        <v/>
      </c>
      <c r="EI239" s="30" t="str">
        <f t="shared" si="3120"/>
        <v/>
      </c>
      <c r="EJ239" s="30" t="str">
        <f t="shared" si="3121"/>
        <v/>
      </c>
      <c r="EK239" s="30" t="str">
        <f t="shared" si="3122"/>
        <v/>
      </c>
      <c r="EL239" s="30" t="str">
        <f t="shared" si="3123"/>
        <v/>
      </c>
      <c r="EM239" s="30" t="str">
        <f t="shared" si="3124"/>
        <v/>
      </c>
      <c r="EN239" s="30" t="str">
        <f t="shared" si="3125"/>
        <v/>
      </c>
      <c r="EO239" s="30" t="str">
        <f t="shared" si="3126"/>
        <v/>
      </c>
      <c r="EP239" s="30" t="str">
        <f t="shared" si="3127"/>
        <v/>
      </c>
      <c r="EQ239" s="30" t="str">
        <f t="shared" si="3128"/>
        <v/>
      </c>
      <c r="ER239" s="30" t="str">
        <f t="shared" si="3129"/>
        <v/>
      </c>
      <c r="ES239" s="30" t="str">
        <f t="shared" si="3130"/>
        <v/>
      </c>
      <c r="ET239" s="30" t="str">
        <f t="shared" si="3131"/>
        <v/>
      </c>
      <c r="EU239" s="30" t="str">
        <f t="shared" si="3132"/>
        <v/>
      </c>
      <c r="EV239" s="30" t="str">
        <f t="shared" si="3133"/>
        <v/>
      </c>
      <c r="EW239" s="30" t="str">
        <f t="shared" si="3134"/>
        <v/>
      </c>
      <c r="EX239" s="30" t="str">
        <f t="shared" si="3135"/>
        <v/>
      </c>
      <c r="EY239" s="30" t="str">
        <f t="shared" si="3136"/>
        <v/>
      </c>
      <c r="EZ239" s="30" t="str">
        <f t="shared" si="3137"/>
        <v/>
      </c>
      <c r="FA239" s="30" t="str">
        <f t="shared" si="3138"/>
        <v/>
      </c>
      <c r="FB239" s="30" t="str">
        <f t="shared" si="3139"/>
        <v/>
      </c>
      <c r="FC239" s="30" t="str">
        <f t="shared" si="3140"/>
        <v/>
      </c>
      <c r="FD239" s="30" t="str">
        <f t="shared" si="3141"/>
        <v/>
      </c>
      <c r="FE239" s="30" t="str">
        <f t="shared" si="3142"/>
        <v/>
      </c>
      <c r="FF239" s="30" t="str">
        <f t="shared" si="3143"/>
        <v/>
      </c>
      <c r="FG239" s="30" t="str">
        <f t="shared" si="3144"/>
        <v/>
      </c>
      <c r="FH239" s="30" t="str">
        <f t="shared" si="3145"/>
        <v/>
      </c>
      <c r="FI239" s="30" t="str">
        <f t="shared" si="3146"/>
        <v/>
      </c>
      <c r="FJ239" s="30" t="str">
        <f t="shared" si="3147"/>
        <v/>
      </c>
      <c r="FK239" s="30" t="str">
        <f t="shared" si="3148"/>
        <v/>
      </c>
      <c r="FL239" s="30" t="str">
        <f t="shared" si="3149"/>
        <v/>
      </c>
      <c r="FM239" s="30" t="str">
        <f t="shared" si="3150"/>
        <v/>
      </c>
      <c r="FN239" s="30" t="str">
        <f t="shared" si="3151"/>
        <v/>
      </c>
      <c r="FO239" s="30" t="str">
        <f t="shared" si="3152"/>
        <v/>
      </c>
      <c r="FP239" s="30" t="str">
        <f t="shared" si="3153"/>
        <v/>
      </c>
      <c r="FQ239" s="30" t="str">
        <f t="shared" si="3154"/>
        <v/>
      </c>
      <c r="FR239" s="30" t="str">
        <f t="shared" si="3155"/>
        <v/>
      </c>
      <c r="FS239" s="30" t="str">
        <f t="shared" si="3156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86"/>
        <v>|n</v>
      </c>
      <c r="CW240" s="24"/>
      <c r="CX240" s="24"/>
      <c r="CY240" s="24"/>
      <c r="CZ240" s="24"/>
      <c r="DA240" s="24"/>
      <c r="DB240" s="30" t="str">
        <f t="shared" si="3087"/>
        <v/>
      </c>
      <c r="DC240" s="30" t="str">
        <f t="shared" si="3088"/>
        <v/>
      </c>
      <c r="DD240" s="30" t="str">
        <f t="shared" si="3089"/>
        <v/>
      </c>
      <c r="DE240" s="30" t="str">
        <f t="shared" si="3090"/>
        <v/>
      </c>
      <c r="DF240" s="30" t="str">
        <f t="shared" si="3091"/>
        <v/>
      </c>
      <c r="DG240" s="30" t="str">
        <f t="shared" si="3092"/>
        <v/>
      </c>
      <c r="DH240" s="30" t="str">
        <f t="shared" si="3093"/>
        <v/>
      </c>
      <c r="DI240" s="30" t="str">
        <f t="shared" si="3094"/>
        <v/>
      </c>
      <c r="DJ240" s="30" t="str">
        <f t="shared" si="3095"/>
        <v/>
      </c>
      <c r="DK240" s="30" t="str">
        <f t="shared" si="3096"/>
        <v/>
      </c>
      <c r="DL240" s="30" t="str">
        <f t="shared" si="3097"/>
        <v/>
      </c>
      <c r="DM240" s="30" t="str">
        <f t="shared" si="3098"/>
        <v/>
      </c>
      <c r="DN240" s="30" t="str">
        <f t="shared" si="3099"/>
        <v/>
      </c>
      <c r="DO240" s="30" t="str">
        <f t="shared" si="3100"/>
        <v/>
      </c>
      <c r="DP240" s="30" t="str">
        <f t="shared" si="3101"/>
        <v/>
      </c>
      <c r="DQ240" s="30" t="str">
        <f t="shared" si="3102"/>
        <v/>
      </c>
      <c r="DR240" s="30" t="str">
        <f t="shared" si="3103"/>
        <v/>
      </c>
      <c r="DS240" s="30" t="str">
        <f t="shared" si="3104"/>
        <v/>
      </c>
      <c r="DT240" s="30" t="str">
        <f t="shared" si="3105"/>
        <v/>
      </c>
      <c r="DU240" s="30" t="str">
        <f t="shared" si="3106"/>
        <v/>
      </c>
      <c r="DV240" s="30" t="str">
        <f t="shared" si="3107"/>
        <v/>
      </c>
      <c r="DW240" s="30" t="str">
        <f t="shared" si="3108"/>
        <v/>
      </c>
      <c r="DX240" s="30" t="str">
        <f t="shared" si="3109"/>
        <v/>
      </c>
      <c r="DY240" s="30" t="str">
        <f t="shared" si="3110"/>
        <v/>
      </c>
      <c r="DZ240" s="30" t="str">
        <f t="shared" si="3111"/>
        <v/>
      </c>
      <c r="EA240" s="30" t="str">
        <f t="shared" si="3112"/>
        <v/>
      </c>
      <c r="EB240" s="30" t="str">
        <f t="shared" si="3113"/>
        <v/>
      </c>
      <c r="EC240" s="30" t="str">
        <f t="shared" si="3114"/>
        <v/>
      </c>
      <c r="ED240" s="30" t="str">
        <f t="shared" si="3115"/>
        <v/>
      </c>
      <c r="EE240" s="30" t="str">
        <f t="shared" si="3116"/>
        <v/>
      </c>
      <c r="EF240" s="30" t="str">
        <f t="shared" si="3117"/>
        <v/>
      </c>
      <c r="EG240" s="30" t="str">
        <f t="shared" si="3118"/>
        <v/>
      </c>
      <c r="EH240" s="30" t="str">
        <f t="shared" si="3119"/>
        <v/>
      </c>
      <c r="EI240" s="30" t="str">
        <f t="shared" si="3120"/>
        <v/>
      </c>
      <c r="EJ240" s="30" t="str">
        <f t="shared" si="3121"/>
        <v/>
      </c>
      <c r="EK240" s="30" t="str">
        <f t="shared" si="3122"/>
        <v/>
      </c>
      <c r="EL240" s="30" t="str">
        <f t="shared" si="3123"/>
        <v/>
      </c>
      <c r="EM240" s="30" t="str">
        <f t="shared" si="3124"/>
        <v/>
      </c>
      <c r="EN240" s="30" t="str">
        <f t="shared" si="3125"/>
        <v/>
      </c>
      <c r="EO240" s="30" t="str">
        <f t="shared" si="3126"/>
        <v/>
      </c>
      <c r="EP240" s="30" t="str">
        <f t="shared" si="3127"/>
        <v/>
      </c>
      <c r="EQ240" s="30" t="str">
        <f t="shared" si="3128"/>
        <v/>
      </c>
      <c r="ER240" s="30" t="str">
        <f t="shared" si="3129"/>
        <v/>
      </c>
      <c r="ES240" s="30" t="str">
        <f t="shared" si="3130"/>
        <v/>
      </c>
      <c r="ET240" s="30" t="str">
        <f t="shared" si="3131"/>
        <v/>
      </c>
      <c r="EU240" s="30" t="str">
        <f t="shared" si="3132"/>
        <v/>
      </c>
      <c r="EV240" s="30" t="str">
        <f t="shared" si="3133"/>
        <v/>
      </c>
      <c r="EW240" s="30" t="str">
        <f t="shared" si="3134"/>
        <v/>
      </c>
      <c r="EX240" s="30" t="str">
        <f t="shared" si="3135"/>
        <v/>
      </c>
      <c r="EY240" s="30" t="str">
        <f t="shared" si="3136"/>
        <v/>
      </c>
      <c r="EZ240" s="30" t="str">
        <f t="shared" si="3137"/>
        <v/>
      </c>
      <c r="FA240" s="30" t="str">
        <f t="shared" si="3138"/>
        <v/>
      </c>
      <c r="FB240" s="30" t="str">
        <f t="shared" si="3139"/>
        <v/>
      </c>
      <c r="FC240" s="30" t="str">
        <f t="shared" si="3140"/>
        <v/>
      </c>
      <c r="FD240" s="30" t="str">
        <f t="shared" si="3141"/>
        <v/>
      </c>
      <c r="FE240" s="30" t="str">
        <f t="shared" si="3142"/>
        <v/>
      </c>
      <c r="FF240" s="30" t="str">
        <f t="shared" si="3143"/>
        <v/>
      </c>
      <c r="FG240" s="30" t="str">
        <f t="shared" si="3144"/>
        <v/>
      </c>
      <c r="FH240" s="30" t="str">
        <f t="shared" si="3145"/>
        <v/>
      </c>
      <c r="FI240" s="30" t="str">
        <f t="shared" si="3146"/>
        <v/>
      </c>
      <c r="FJ240" s="30" t="str">
        <f t="shared" si="3147"/>
        <v/>
      </c>
      <c r="FK240" s="30" t="str">
        <f t="shared" si="3148"/>
        <v/>
      </c>
      <c r="FL240" s="30" t="str">
        <f t="shared" si="3149"/>
        <v/>
      </c>
      <c r="FM240" s="30" t="str">
        <f t="shared" si="3150"/>
        <v/>
      </c>
      <c r="FN240" s="30" t="str">
        <f t="shared" si="3151"/>
        <v/>
      </c>
      <c r="FO240" s="30" t="str">
        <f t="shared" si="3152"/>
        <v/>
      </c>
      <c r="FP240" s="30" t="str">
        <f t="shared" si="3153"/>
        <v/>
      </c>
      <c r="FQ240" s="30" t="str">
        <f t="shared" si="3154"/>
        <v/>
      </c>
      <c r="FR240" s="30" t="str">
        <f t="shared" si="3155"/>
        <v/>
      </c>
      <c r="FS240" s="30" t="str">
        <f t="shared" si="3156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86"/>
        <v>|n</v>
      </c>
      <c r="CW241" s="24"/>
      <c r="CX241" s="24"/>
      <c r="CY241" s="24"/>
      <c r="CZ241" s="24"/>
      <c r="DA241" s="24"/>
      <c r="DB241" s="30" t="str">
        <f t="shared" si="3087"/>
        <v/>
      </c>
      <c r="DC241" s="30" t="str">
        <f t="shared" si="3088"/>
        <v/>
      </c>
      <c r="DD241" s="30" t="str">
        <f t="shared" si="3089"/>
        <v/>
      </c>
      <c r="DE241" s="30" t="str">
        <f t="shared" si="3090"/>
        <v/>
      </c>
      <c r="DF241" s="30" t="str">
        <f t="shared" si="3091"/>
        <v/>
      </c>
      <c r="DG241" s="30" t="str">
        <f t="shared" si="3092"/>
        <v/>
      </c>
      <c r="DH241" s="30" t="str">
        <f t="shared" si="3093"/>
        <v/>
      </c>
      <c r="DI241" s="30" t="str">
        <f t="shared" si="3094"/>
        <v/>
      </c>
      <c r="DJ241" s="30" t="str">
        <f t="shared" si="3095"/>
        <v/>
      </c>
      <c r="DK241" s="30" t="str">
        <f t="shared" si="3096"/>
        <v/>
      </c>
      <c r="DL241" s="30" t="str">
        <f t="shared" si="3097"/>
        <v/>
      </c>
      <c r="DM241" s="30" t="str">
        <f t="shared" si="3098"/>
        <v/>
      </c>
      <c r="DN241" s="30" t="str">
        <f t="shared" si="3099"/>
        <v/>
      </c>
      <c r="DO241" s="30" t="str">
        <f t="shared" si="3100"/>
        <v/>
      </c>
      <c r="DP241" s="30" t="str">
        <f t="shared" si="3101"/>
        <v/>
      </c>
      <c r="DQ241" s="30" t="str">
        <f t="shared" si="3102"/>
        <v/>
      </c>
      <c r="DR241" s="30" t="str">
        <f t="shared" si="3103"/>
        <v/>
      </c>
      <c r="DS241" s="30" t="str">
        <f t="shared" si="3104"/>
        <v/>
      </c>
      <c r="DT241" s="30" t="str">
        <f t="shared" si="3105"/>
        <v/>
      </c>
      <c r="DU241" s="30" t="str">
        <f t="shared" si="3106"/>
        <v/>
      </c>
      <c r="DV241" s="30" t="str">
        <f t="shared" si="3107"/>
        <v/>
      </c>
      <c r="DW241" s="30" t="str">
        <f t="shared" si="3108"/>
        <v/>
      </c>
      <c r="DX241" s="30" t="str">
        <f t="shared" si="3109"/>
        <v/>
      </c>
      <c r="DY241" s="30" t="str">
        <f t="shared" si="3110"/>
        <v/>
      </c>
      <c r="DZ241" s="30" t="str">
        <f t="shared" si="3111"/>
        <v/>
      </c>
      <c r="EA241" s="30" t="str">
        <f t="shared" si="3112"/>
        <v/>
      </c>
      <c r="EB241" s="30" t="str">
        <f t="shared" si="3113"/>
        <v/>
      </c>
      <c r="EC241" s="30" t="str">
        <f t="shared" si="3114"/>
        <v/>
      </c>
      <c r="ED241" s="30" t="str">
        <f t="shared" si="3115"/>
        <v/>
      </c>
      <c r="EE241" s="30" t="str">
        <f t="shared" si="3116"/>
        <v/>
      </c>
      <c r="EF241" s="30" t="str">
        <f t="shared" si="3117"/>
        <v/>
      </c>
      <c r="EG241" s="30" t="str">
        <f t="shared" si="3118"/>
        <v/>
      </c>
      <c r="EH241" s="30" t="str">
        <f t="shared" si="3119"/>
        <v/>
      </c>
      <c r="EI241" s="30" t="str">
        <f t="shared" si="3120"/>
        <v/>
      </c>
      <c r="EJ241" s="30" t="str">
        <f t="shared" si="3121"/>
        <v/>
      </c>
      <c r="EK241" s="30" t="str">
        <f t="shared" si="3122"/>
        <v/>
      </c>
      <c r="EL241" s="30" t="str">
        <f t="shared" si="3123"/>
        <v/>
      </c>
      <c r="EM241" s="30" t="str">
        <f t="shared" si="3124"/>
        <v/>
      </c>
      <c r="EN241" s="30" t="str">
        <f t="shared" si="3125"/>
        <v/>
      </c>
      <c r="EO241" s="30" t="str">
        <f t="shared" si="3126"/>
        <v/>
      </c>
      <c r="EP241" s="30" t="str">
        <f t="shared" si="3127"/>
        <v/>
      </c>
      <c r="EQ241" s="30" t="str">
        <f t="shared" si="3128"/>
        <v/>
      </c>
      <c r="ER241" s="30" t="str">
        <f t="shared" si="3129"/>
        <v/>
      </c>
      <c r="ES241" s="30" t="str">
        <f t="shared" si="3130"/>
        <v/>
      </c>
      <c r="ET241" s="30" t="str">
        <f t="shared" si="3131"/>
        <v/>
      </c>
      <c r="EU241" s="30" t="str">
        <f t="shared" si="3132"/>
        <v/>
      </c>
      <c r="EV241" s="30" t="str">
        <f t="shared" si="3133"/>
        <v/>
      </c>
      <c r="EW241" s="30" t="str">
        <f t="shared" si="3134"/>
        <v/>
      </c>
      <c r="EX241" s="30" t="str">
        <f t="shared" si="3135"/>
        <v/>
      </c>
      <c r="EY241" s="30" t="str">
        <f t="shared" si="3136"/>
        <v/>
      </c>
      <c r="EZ241" s="30" t="str">
        <f t="shared" si="3137"/>
        <v/>
      </c>
      <c r="FA241" s="30" t="str">
        <f t="shared" si="3138"/>
        <v/>
      </c>
      <c r="FB241" s="30" t="str">
        <f t="shared" si="3139"/>
        <v/>
      </c>
      <c r="FC241" s="30" t="str">
        <f t="shared" si="3140"/>
        <v/>
      </c>
      <c r="FD241" s="30" t="str">
        <f t="shared" si="3141"/>
        <v/>
      </c>
      <c r="FE241" s="30" t="str">
        <f t="shared" si="3142"/>
        <v/>
      </c>
      <c r="FF241" s="30" t="str">
        <f t="shared" si="3143"/>
        <v/>
      </c>
      <c r="FG241" s="30" t="str">
        <f t="shared" si="3144"/>
        <v/>
      </c>
      <c r="FH241" s="30" t="str">
        <f t="shared" si="3145"/>
        <v/>
      </c>
      <c r="FI241" s="30" t="str">
        <f t="shared" si="3146"/>
        <v/>
      </c>
      <c r="FJ241" s="30" t="str">
        <f t="shared" si="3147"/>
        <v/>
      </c>
      <c r="FK241" s="30" t="str">
        <f t="shared" si="3148"/>
        <v/>
      </c>
      <c r="FL241" s="30" t="str">
        <f t="shared" si="3149"/>
        <v/>
      </c>
      <c r="FM241" s="30" t="str">
        <f t="shared" si="3150"/>
        <v/>
      </c>
      <c r="FN241" s="30" t="str">
        <f t="shared" si="3151"/>
        <v/>
      </c>
      <c r="FO241" s="30" t="str">
        <f t="shared" si="3152"/>
        <v/>
      </c>
      <c r="FP241" s="30" t="str">
        <f t="shared" si="3153"/>
        <v/>
      </c>
      <c r="FQ241" s="30" t="str">
        <f t="shared" si="3154"/>
        <v/>
      </c>
      <c r="FR241" s="30" t="str">
        <f t="shared" si="3155"/>
        <v/>
      </c>
      <c r="FS241" s="30" t="str">
        <f t="shared" si="3156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86"/>
        <v>|n</v>
      </c>
      <c r="CW242" s="24"/>
      <c r="CX242" s="24"/>
      <c r="CY242" s="24"/>
      <c r="CZ242" s="24"/>
      <c r="DA242" s="24"/>
      <c r="DB242" s="30" t="str">
        <f t="shared" si="3087"/>
        <v/>
      </c>
      <c r="DC242" s="30" t="str">
        <f t="shared" si="3088"/>
        <v/>
      </c>
      <c r="DD242" s="30" t="str">
        <f t="shared" si="3089"/>
        <v/>
      </c>
      <c r="DE242" s="30" t="str">
        <f t="shared" si="3090"/>
        <v/>
      </c>
      <c r="DF242" s="30" t="str">
        <f t="shared" si="3091"/>
        <v/>
      </c>
      <c r="DG242" s="30" t="str">
        <f t="shared" si="3092"/>
        <v/>
      </c>
      <c r="DH242" s="30" t="str">
        <f t="shared" si="3093"/>
        <v/>
      </c>
      <c r="DI242" s="30" t="str">
        <f t="shared" si="3094"/>
        <v/>
      </c>
      <c r="DJ242" s="30" t="str">
        <f t="shared" si="3095"/>
        <v/>
      </c>
      <c r="DK242" s="30" t="str">
        <f t="shared" si="3096"/>
        <v/>
      </c>
      <c r="DL242" s="30" t="str">
        <f t="shared" si="3097"/>
        <v/>
      </c>
      <c r="DM242" s="30" t="str">
        <f t="shared" si="3098"/>
        <v/>
      </c>
      <c r="DN242" s="30" t="str">
        <f t="shared" si="3099"/>
        <v/>
      </c>
      <c r="DO242" s="30" t="str">
        <f t="shared" si="3100"/>
        <v/>
      </c>
      <c r="DP242" s="30" t="str">
        <f t="shared" si="3101"/>
        <v/>
      </c>
      <c r="DQ242" s="30" t="str">
        <f t="shared" si="3102"/>
        <v/>
      </c>
      <c r="DR242" s="30" t="str">
        <f t="shared" si="3103"/>
        <v/>
      </c>
      <c r="DS242" s="30" t="str">
        <f t="shared" si="3104"/>
        <v/>
      </c>
      <c r="DT242" s="30" t="str">
        <f t="shared" si="3105"/>
        <v/>
      </c>
      <c r="DU242" s="30" t="str">
        <f t="shared" si="3106"/>
        <v/>
      </c>
      <c r="DV242" s="30" t="str">
        <f t="shared" si="3107"/>
        <v/>
      </c>
      <c r="DW242" s="30" t="str">
        <f t="shared" si="3108"/>
        <v/>
      </c>
      <c r="DX242" s="30" t="str">
        <f t="shared" si="3109"/>
        <v/>
      </c>
      <c r="DY242" s="30" t="str">
        <f t="shared" si="3110"/>
        <v/>
      </c>
      <c r="DZ242" s="30" t="str">
        <f t="shared" si="3111"/>
        <v/>
      </c>
      <c r="EA242" s="30" t="str">
        <f t="shared" si="3112"/>
        <v/>
      </c>
      <c r="EB242" s="30" t="str">
        <f t="shared" si="3113"/>
        <v/>
      </c>
      <c r="EC242" s="30" t="str">
        <f t="shared" si="3114"/>
        <v/>
      </c>
      <c r="ED242" s="30" t="str">
        <f t="shared" si="3115"/>
        <v/>
      </c>
      <c r="EE242" s="30" t="str">
        <f t="shared" si="3116"/>
        <v/>
      </c>
      <c r="EF242" s="30" t="str">
        <f t="shared" si="3117"/>
        <v/>
      </c>
      <c r="EG242" s="30" t="str">
        <f t="shared" si="3118"/>
        <v/>
      </c>
      <c r="EH242" s="30" t="str">
        <f t="shared" si="3119"/>
        <v/>
      </c>
      <c r="EI242" s="30" t="str">
        <f t="shared" si="3120"/>
        <v/>
      </c>
      <c r="EJ242" s="30" t="str">
        <f t="shared" si="3121"/>
        <v/>
      </c>
      <c r="EK242" s="30" t="str">
        <f t="shared" si="3122"/>
        <v/>
      </c>
      <c r="EL242" s="30" t="str">
        <f t="shared" si="3123"/>
        <v/>
      </c>
      <c r="EM242" s="30" t="str">
        <f t="shared" si="3124"/>
        <v/>
      </c>
      <c r="EN242" s="30" t="str">
        <f t="shared" si="3125"/>
        <v/>
      </c>
      <c r="EO242" s="30" t="str">
        <f t="shared" si="3126"/>
        <v/>
      </c>
      <c r="EP242" s="30" t="str">
        <f t="shared" si="3127"/>
        <v/>
      </c>
      <c r="EQ242" s="30" t="str">
        <f t="shared" si="3128"/>
        <v/>
      </c>
      <c r="ER242" s="30" t="str">
        <f t="shared" si="3129"/>
        <v/>
      </c>
      <c r="ES242" s="30" t="str">
        <f t="shared" si="3130"/>
        <v/>
      </c>
      <c r="ET242" s="30" t="str">
        <f t="shared" si="3131"/>
        <v/>
      </c>
      <c r="EU242" s="30" t="str">
        <f t="shared" si="3132"/>
        <v/>
      </c>
      <c r="EV242" s="30" t="str">
        <f t="shared" si="3133"/>
        <v/>
      </c>
      <c r="EW242" s="30" t="str">
        <f t="shared" si="3134"/>
        <v/>
      </c>
      <c r="EX242" s="30" t="str">
        <f t="shared" si="3135"/>
        <v/>
      </c>
      <c r="EY242" s="30" t="str">
        <f t="shared" si="3136"/>
        <v/>
      </c>
      <c r="EZ242" s="30" t="str">
        <f t="shared" si="3137"/>
        <v/>
      </c>
      <c r="FA242" s="30" t="str">
        <f t="shared" si="3138"/>
        <v/>
      </c>
      <c r="FB242" s="30" t="str">
        <f t="shared" si="3139"/>
        <v/>
      </c>
      <c r="FC242" s="30" t="str">
        <f t="shared" si="3140"/>
        <v/>
      </c>
      <c r="FD242" s="30" t="str">
        <f t="shared" si="3141"/>
        <v/>
      </c>
      <c r="FE242" s="30" t="str">
        <f t="shared" si="3142"/>
        <v/>
      </c>
      <c r="FF242" s="30" t="str">
        <f t="shared" si="3143"/>
        <v/>
      </c>
      <c r="FG242" s="30" t="str">
        <f t="shared" si="3144"/>
        <v/>
      </c>
      <c r="FH242" s="30" t="str">
        <f t="shared" si="3145"/>
        <v/>
      </c>
      <c r="FI242" s="30" t="str">
        <f t="shared" si="3146"/>
        <v/>
      </c>
      <c r="FJ242" s="30" t="str">
        <f t="shared" si="3147"/>
        <v/>
      </c>
      <c r="FK242" s="30" t="str">
        <f t="shared" si="3148"/>
        <v/>
      </c>
      <c r="FL242" s="30" t="str">
        <f t="shared" si="3149"/>
        <v/>
      </c>
      <c r="FM242" s="30" t="str">
        <f t="shared" si="3150"/>
        <v/>
      </c>
      <c r="FN242" s="30" t="str">
        <f t="shared" si="3151"/>
        <v/>
      </c>
      <c r="FO242" s="30" t="str">
        <f t="shared" si="3152"/>
        <v/>
      </c>
      <c r="FP242" s="30" t="str">
        <f t="shared" si="3153"/>
        <v/>
      </c>
      <c r="FQ242" s="30" t="str">
        <f t="shared" si="3154"/>
        <v/>
      </c>
      <c r="FR242" s="30" t="str">
        <f t="shared" si="3155"/>
        <v/>
      </c>
      <c r="FS242" s="30" t="str">
        <f t="shared" si="3156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86"/>
        <v>|n</v>
      </c>
      <c r="CW243" s="24"/>
      <c r="CX243" s="24"/>
      <c r="CY243" s="24"/>
      <c r="CZ243" s="24"/>
      <c r="DA243" s="24"/>
      <c r="DB243" s="30" t="str">
        <f t="shared" si="3087"/>
        <v/>
      </c>
      <c r="DC243" s="30" t="str">
        <f t="shared" si="3088"/>
        <v/>
      </c>
      <c r="DD243" s="30" t="str">
        <f t="shared" si="3089"/>
        <v/>
      </c>
      <c r="DE243" s="30" t="str">
        <f t="shared" si="3090"/>
        <v/>
      </c>
      <c r="DF243" s="30" t="str">
        <f t="shared" si="3091"/>
        <v/>
      </c>
      <c r="DG243" s="30" t="str">
        <f t="shared" si="3092"/>
        <v/>
      </c>
      <c r="DH243" s="30" t="str">
        <f t="shared" si="3093"/>
        <v/>
      </c>
      <c r="DI243" s="30" t="str">
        <f t="shared" si="3094"/>
        <v/>
      </c>
      <c r="DJ243" s="30" t="str">
        <f t="shared" si="3095"/>
        <v/>
      </c>
      <c r="DK243" s="30" t="str">
        <f t="shared" si="3096"/>
        <v/>
      </c>
      <c r="DL243" s="30" t="str">
        <f t="shared" si="3097"/>
        <v/>
      </c>
      <c r="DM243" s="30" t="str">
        <f t="shared" si="3098"/>
        <v/>
      </c>
      <c r="DN243" s="30" t="str">
        <f t="shared" si="3099"/>
        <v/>
      </c>
      <c r="DO243" s="30" t="str">
        <f t="shared" si="3100"/>
        <v/>
      </c>
      <c r="DP243" s="30" t="str">
        <f t="shared" si="3101"/>
        <v/>
      </c>
      <c r="DQ243" s="30" t="str">
        <f t="shared" si="3102"/>
        <v/>
      </c>
      <c r="DR243" s="30" t="str">
        <f t="shared" si="3103"/>
        <v/>
      </c>
      <c r="DS243" s="30" t="str">
        <f t="shared" si="3104"/>
        <v/>
      </c>
      <c r="DT243" s="30" t="str">
        <f t="shared" si="3105"/>
        <v/>
      </c>
      <c r="DU243" s="30" t="str">
        <f t="shared" si="3106"/>
        <v/>
      </c>
      <c r="DV243" s="30" t="str">
        <f t="shared" si="3107"/>
        <v/>
      </c>
      <c r="DW243" s="30" t="str">
        <f t="shared" si="3108"/>
        <v/>
      </c>
      <c r="DX243" s="30" t="str">
        <f t="shared" si="3109"/>
        <v/>
      </c>
      <c r="DY243" s="30" t="str">
        <f t="shared" si="3110"/>
        <v/>
      </c>
      <c r="DZ243" s="30" t="str">
        <f t="shared" si="3111"/>
        <v/>
      </c>
      <c r="EA243" s="30" t="str">
        <f t="shared" si="3112"/>
        <v/>
      </c>
      <c r="EB243" s="30" t="str">
        <f t="shared" si="3113"/>
        <v/>
      </c>
      <c r="EC243" s="30" t="str">
        <f t="shared" si="3114"/>
        <v/>
      </c>
      <c r="ED243" s="30" t="str">
        <f t="shared" si="3115"/>
        <v/>
      </c>
      <c r="EE243" s="30" t="str">
        <f t="shared" si="3116"/>
        <v/>
      </c>
      <c r="EF243" s="30" t="str">
        <f t="shared" si="3117"/>
        <v/>
      </c>
      <c r="EG243" s="30" t="str">
        <f t="shared" si="3118"/>
        <v/>
      </c>
      <c r="EH243" s="30" t="str">
        <f t="shared" si="3119"/>
        <v/>
      </c>
      <c r="EI243" s="30" t="str">
        <f t="shared" si="3120"/>
        <v/>
      </c>
      <c r="EJ243" s="30" t="str">
        <f t="shared" si="3121"/>
        <v/>
      </c>
      <c r="EK243" s="30" t="str">
        <f t="shared" si="3122"/>
        <v/>
      </c>
      <c r="EL243" s="30" t="str">
        <f t="shared" si="3123"/>
        <v/>
      </c>
      <c r="EM243" s="30" t="str">
        <f t="shared" si="3124"/>
        <v/>
      </c>
      <c r="EN243" s="30" t="str">
        <f t="shared" si="3125"/>
        <v/>
      </c>
      <c r="EO243" s="30" t="str">
        <f t="shared" si="3126"/>
        <v/>
      </c>
      <c r="EP243" s="30" t="str">
        <f t="shared" si="3127"/>
        <v/>
      </c>
      <c r="EQ243" s="30" t="str">
        <f t="shared" si="3128"/>
        <v/>
      </c>
      <c r="ER243" s="30" t="str">
        <f t="shared" si="3129"/>
        <v/>
      </c>
      <c r="ES243" s="30" t="str">
        <f t="shared" si="3130"/>
        <v/>
      </c>
      <c r="ET243" s="30" t="str">
        <f t="shared" si="3131"/>
        <v/>
      </c>
      <c r="EU243" s="30" t="str">
        <f t="shared" si="3132"/>
        <v/>
      </c>
      <c r="EV243" s="30" t="str">
        <f t="shared" si="3133"/>
        <v/>
      </c>
      <c r="EW243" s="30" t="str">
        <f t="shared" si="3134"/>
        <v/>
      </c>
      <c r="EX243" s="30" t="str">
        <f t="shared" si="3135"/>
        <v/>
      </c>
      <c r="EY243" s="30" t="str">
        <f t="shared" si="3136"/>
        <v/>
      </c>
      <c r="EZ243" s="30" t="str">
        <f t="shared" si="3137"/>
        <v/>
      </c>
      <c r="FA243" s="30" t="str">
        <f t="shared" si="3138"/>
        <v/>
      </c>
      <c r="FB243" s="30" t="str">
        <f t="shared" si="3139"/>
        <v/>
      </c>
      <c r="FC243" s="30" t="str">
        <f t="shared" si="3140"/>
        <v/>
      </c>
      <c r="FD243" s="30" t="str">
        <f t="shared" si="3141"/>
        <v/>
      </c>
      <c r="FE243" s="30" t="str">
        <f t="shared" si="3142"/>
        <v/>
      </c>
      <c r="FF243" s="30" t="str">
        <f t="shared" si="3143"/>
        <v/>
      </c>
      <c r="FG243" s="30" t="str">
        <f t="shared" si="3144"/>
        <v/>
      </c>
      <c r="FH243" s="30" t="str">
        <f t="shared" si="3145"/>
        <v/>
      </c>
      <c r="FI243" s="30" t="str">
        <f t="shared" si="3146"/>
        <v/>
      </c>
      <c r="FJ243" s="30" t="str">
        <f t="shared" si="3147"/>
        <v/>
      </c>
      <c r="FK243" s="30" t="str">
        <f t="shared" si="3148"/>
        <v/>
      </c>
      <c r="FL243" s="30" t="str">
        <f t="shared" si="3149"/>
        <v/>
      </c>
      <c r="FM243" s="30" t="str">
        <f t="shared" si="3150"/>
        <v/>
      </c>
      <c r="FN243" s="30" t="str">
        <f t="shared" si="3151"/>
        <v/>
      </c>
      <c r="FO243" s="30" t="str">
        <f t="shared" si="3152"/>
        <v/>
      </c>
      <c r="FP243" s="30" t="str">
        <f t="shared" si="3153"/>
        <v/>
      </c>
      <c r="FQ243" s="30" t="str">
        <f t="shared" si="3154"/>
        <v/>
      </c>
      <c r="FR243" s="30" t="str">
        <f t="shared" si="3155"/>
        <v/>
      </c>
      <c r="FS243" s="30" t="str">
        <f t="shared" si="3156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86"/>
        <v>|n</v>
      </c>
      <c r="CW244" s="24"/>
      <c r="CX244" s="24"/>
      <c r="CY244" s="24"/>
      <c r="CZ244" s="24"/>
      <c r="DA244" s="24"/>
      <c r="DB244" s="30" t="str">
        <f t="shared" si="3087"/>
        <v/>
      </c>
      <c r="DC244" s="30" t="str">
        <f t="shared" si="3088"/>
        <v/>
      </c>
      <c r="DD244" s="30" t="str">
        <f t="shared" si="3089"/>
        <v/>
      </c>
      <c r="DE244" s="30" t="str">
        <f t="shared" si="3090"/>
        <v/>
      </c>
      <c r="DF244" s="30" t="str">
        <f t="shared" si="3091"/>
        <v/>
      </c>
      <c r="DG244" s="30" t="str">
        <f t="shared" si="3092"/>
        <v/>
      </c>
      <c r="DH244" s="30" t="str">
        <f t="shared" si="3093"/>
        <v/>
      </c>
      <c r="DI244" s="30" t="str">
        <f t="shared" si="3094"/>
        <v/>
      </c>
      <c r="DJ244" s="30" t="str">
        <f t="shared" si="3095"/>
        <v/>
      </c>
      <c r="DK244" s="30" t="str">
        <f t="shared" si="3096"/>
        <v/>
      </c>
      <c r="DL244" s="30" t="str">
        <f t="shared" si="3097"/>
        <v/>
      </c>
      <c r="DM244" s="30" t="str">
        <f t="shared" si="3098"/>
        <v/>
      </c>
      <c r="DN244" s="30" t="str">
        <f t="shared" si="3099"/>
        <v/>
      </c>
      <c r="DO244" s="30" t="str">
        <f t="shared" si="3100"/>
        <v/>
      </c>
      <c r="DP244" s="30" t="str">
        <f t="shared" si="3101"/>
        <v/>
      </c>
      <c r="DQ244" s="30" t="str">
        <f t="shared" si="3102"/>
        <v/>
      </c>
      <c r="DR244" s="30" t="str">
        <f t="shared" si="3103"/>
        <v/>
      </c>
      <c r="DS244" s="30" t="str">
        <f t="shared" si="3104"/>
        <v/>
      </c>
      <c r="DT244" s="30" t="str">
        <f t="shared" si="3105"/>
        <v/>
      </c>
      <c r="DU244" s="30" t="str">
        <f t="shared" si="3106"/>
        <v/>
      </c>
      <c r="DV244" s="30" t="str">
        <f t="shared" si="3107"/>
        <v/>
      </c>
      <c r="DW244" s="30" t="str">
        <f t="shared" si="3108"/>
        <v/>
      </c>
      <c r="DX244" s="30" t="str">
        <f t="shared" si="3109"/>
        <v/>
      </c>
      <c r="DY244" s="30" t="str">
        <f t="shared" si="3110"/>
        <v/>
      </c>
      <c r="DZ244" s="30" t="str">
        <f t="shared" si="3111"/>
        <v/>
      </c>
      <c r="EA244" s="30" t="str">
        <f t="shared" si="3112"/>
        <v/>
      </c>
      <c r="EB244" s="30" t="str">
        <f t="shared" si="3113"/>
        <v/>
      </c>
      <c r="EC244" s="30" t="str">
        <f t="shared" si="3114"/>
        <v/>
      </c>
      <c r="ED244" s="30" t="str">
        <f t="shared" si="3115"/>
        <v/>
      </c>
      <c r="EE244" s="30" t="str">
        <f t="shared" si="3116"/>
        <v/>
      </c>
      <c r="EF244" s="30" t="str">
        <f t="shared" si="3117"/>
        <v/>
      </c>
      <c r="EG244" s="30" t="str">
        <f t="shared" si="3118"/>
        <v/>
      </c>
      <c r="EH244" s="30" t="str">
        <f t="shared" si="3119"/>
        <v/>
      </c>
      <c r="EI244" s="30" t="str">
        <f t="shared" si="3120"/>
        <v/>
      </c>
      <c r="EJ244" s="30" t="str">
        <f t="shared" si="3121"/>
        <v/>
      </c>
      <c r="EK244" s="30" t="str">
        <f t="shared" si="3122"/>
        <v/>
      </c>
      <c r="EL244" s="30" t="str">
        <f t="shared" si="3123"/>
        <v/>
      </c>
      <c r="EM244" s="30" t="str">
        <f t="shared" si="3124"/>
        <v/>
      </c>
      <c r="EN244" s="30" t="str">
        <f t="shared" si="3125"/>
        <v/>
      </c>
      <c r="EO244" s="30" t="str">
        <f t="shared" si="3126"/>
        <v/>
      </c>
      <c r="EP244" s="30" t="str">
        <f t="shared" si="3127"/>
        <v/>
      </c>
      <c r="EQ244" s="30" t="str">
        <f t="shared" si="3128"/>
        <v/>
      </c>
      <c r="ER244" s="30" t="str">
        <f t="shared" si="3129"/>
        <v/>
      </c>
      <c r="ES244" s="30" t="str">
        <f t="shared" si="3130"/>
        <v/>
      </c>
      <c r="ET244" s="30" t="str">
        <f t="shared" si="3131"/>
        <v/>
      </c>
      <c r="EU244" s="30" t="str">
        <f t="shared" si="3132"/>
        <v/>
      </c>
      <c r="EV244" s="30" t="str">
        <f t="shared" si="3133"/>
        <v/>
      </c>
      <c r="EW244" s="30" t="str">
        <f t="shared" si="3134"/>
        <v/>
      </c>
      <c r="EX244" s="30" t="str">
        <f t="shared" si="3135"/>
        <v/>
      </c>
      <c r="EY244" s="30" t="str">
        <f t="shared" si="3136"/>
        <v/>
      </c>
      <c r="EZ244" s="30" t="str">
        <f t="shared" si="3137"/>
        <v/>
      </c>
      <c r="FA244" s="30" t="str">
        <f t="shared" si="3138"/>
        <v/>
      </c>
      <c r="FB244" s="30" t="str">
        <f t="shared" si="3139"/>
        <v/>
      </c>
      <c r="FC244" s="30" t="str">
        <f t="shared" si="3140"/>
        <v/>
      </c>
      <c r="FD244" s="30" t="str">
        <f t="shared" si="3141"/>
        <v/>
      </c>
      <c r="FE244" s="30" t="str">
        <f t="shared" si="3142"/>
        <v/>
      </c>
      <c r="FF244" s="30" t="str">
        <f t="shared" si="3143"/>
        <v/>
      </c>
      <c r="FG244" s="30" t="str">
        <f t="shared" si="3144"/>
        <v/>
      </c>
      <c r="FH244" s="30" t="str">
        <f t="shared" si="3145"/>
        <v/>
      </c>
      <c r="FI244" s="30" t="str">
        <f t="shared" si="3146"/>
        <v/>
      </c>
      <c r="FJ244" s="30" t="str">
        <f t="shared" si="3147"/>
        <v/>
      </c>
      <c r="FK244" s="30" t="str">
        <f t="shared" si="3148"/>
        <v/>
      </c>
      <c r="FL244" s="30" t="str">
        <f t="shared" si="3149"/>
        <v/>
      </c>
      <c r="FM244" s="30" t="str">
        <f t="shared" si="3150"/>
        <v/>
      </c>
      <c r="FN244" s="30" t="str">
        <f t="shared" si="3151"/>
        <v/>
      </c>
      <c r="FO244" s="30" t="str">
        <f t="shared" si="3152"/>
        <v/>
      </c>
      <c r="FP244" s="30" t="str">
        <f t="shared" si="3153"/>
        <v/>
      </c>
      <c r="FQ244" s="30" t="str">
        <f t="shared" si="3154"/>
        <v/>
      </c>
      <c r="FR244" s="30" t="str">
        <f t="shared" si="3155"/>
        <v/>
      </c>
      <c r="FS244" s="30" t="str">
        <f t="shared" si="3156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86"/>
        <v>|n</v>
      </c>
      <c r="CW245" s="24"/>
      <c r="CX245" s="24"/>
      <c r="CY245" s="24"/>
      <c r="CZ245" s="24"/>
      <c r="DA245" s="24"/>
      <c r="DB245" s="30" t="str">
        <f t="shared" si="3087"/>
        <v/>
      </c>
      <c r="DC245" s="30" t="str">
        <f t="shared" si="3088"/>
        <v/>
      </c>
      <c r="DD245" s="30" t="str">
        <f t="shared" si="3089"/>
        <v/>
      </c>
      <c r="DE245" s="30" t="str">
        <f t="shared" si="3090"/>
        <v/>
      </c>
      <c r="DF245" s="30" t="str">
        <f t="shared" si="3091"/>
        <v/>
      </c>
      <c r="DG245" s="30" t="str">
        <f t="shared" si="3092"/>
        <v/>
      </c>
      <c r="DH245" s="30" t="str">
        <f t="shared" si="3093"/>
        <v/>
      </c>
      <c r="DI245" s="30" t="str">
        <f t="shared" si="3094"/>
        <v/>
      </c>
      <c r="DJ245" s="30" t="str">
        <f t="shared" si="3095"/>
        <v/>
      </c>
      <c r="DK245" s="30" t="str">
        <f t="shared" si="3096"/>
        <v/>
      </c>
      <c r="DL245" s="30" t="str">
        <f t="shared" si="3097"/>
        <v/>
      </c>
      <c r="DM245" s="30" t="str">
        <f t="shared" si="3098"/>
        <v/>
      </c>
      <c r="DN245" s="30" t="str">
        <f t="shared" si="3099"/>
        <v/>
      </c>
      <c r="DO245" s="30" t="str">
        <f t="shared" si="3100"/>
        <v/>
      </c>
      <c r="DP245" s="30" t="str">
        <f t="shared" si="3101"/>
        <v/>
      </c>
      <c r="DQ245" s="30" t="str">
        <f t="shared" si="3102"/>
        <v/>
      </c>
      <c r="DR245" s="30" t="str">
        <f t="shared" si="3103"/>
        <v/>
      </c>
      <c r="DS245" s="30" t="str">
        <f t="shared" si="3104"/>
        <v/>
      </c>
      <c r="DT245" s="30" t="str">
        <f t="shared" si="3105"/>
        <v/>
      </c>
      <c r="DU245" s="30" t="str">
        <f t="shared" si="3106"/>
        <v/>
      </c>
      <c r="DV245" s="30" t="str">
        <f t="shared" si="3107"/>
        <v/>
      </c>
      <c r="DW245" s="30" t="str">
        <f t="shared" si="3108"/>
        <v/>
      </c>
      <c r="DX245" s="30" t="str">
        <f t="shared" si="3109"/>
        <v/>
      </c>
      <c r="DY245" s="30" t="str">
        <f t="shared" si="3110"/>
        <v/>
      </c>
      <c r="DZ245" s="30" t="str">
        <f t="shared" si="3111"/>
        <v/>
      </c>
      <c r="EA245" s="30" t="str">
        <f t="shared" si="3112"/>
        <v/>
      </c>
      <c r="EB245" s="30" t="str">
        <f t="shared" si="3113"/>
        <v/>
      </c>
      <c r="EC245" s="30" t="str">
        <f t="shared" si="3114"/>
        <v/>
      </c>
      <c r="ED245" s="30" t="str">
        <f t="shared" si="3115"/>
        <v/>
      </c>
      <c r="EE245" s="30" t="str">
        <f t="shared" si="3116"/>
        <v/>
      </c>
      <c r="EF245" s="30" t="str">
        <f t="shared" si="3117"/>
        <v/>
      </c>
      <c r="EG245" s="30" t="str">
        <f t="shared" si="3118"/>
        <v/>
      </c>
      <c r="EH245" s="30" t="str">
        <f t="shared" si="3119"/>
        <v/>
      </c>
      <c r="EI245" s="30" t="str">
        <f t="shared" si="3120"/>
        <v/>
      </c>
      <c r="EJ245" s="30" t="str">
        <f t="shared" si="3121"/>
        <v/>
      </c>
      <c r="EK245" s="30" t="str">
        <f t="shared" si="3122"/>
        <v/>
      </c>
      <c r="EL245" s="30" t="str">
        <f t="shared" si="3123"/>
        <v/>
      </c>
      <c r="EM245" s="30" t="str">
        <f t="shared" si="3124"/>
        <v/>
      </c>
      <c r="EN245" s="30" t="str">
        <f t="shared" si="3125"/>
        <v/>
      </c>
      <c r="EO245" s="30" t="str">
        <f t="shared" si="3126"/>
        <v/>
      </c>
      <c r="EP245" s="30" t="str">
        <f t="shared" si="3127"/>
        <v/>
      </c>
      <c r="EQ245" s="30" t="str">
        <f t="shared" si="3128"/>
        <v/>
      </c>
      <c r="ER245" s="30" t="str">
        <f t="shared" si="3129"/>
        <v/>
      </c>
      <c r="ES245" s="30" t="str">
        <f t="shared" si="3130"/>
        <v/>
      </c>
      <c r="ET245" s="30" t="str">
        <f t="shared" si="3131"/>
        <v/>
      </c>
      <c r="EU245" s="30" t="str">
        <f t="shared" si="3132"/>
        <v/>
      </c>
      <c r="EV245" s="30" t="str">
        <f t="shared" si="3133"/>
        <v/>
      </c>
      <c r="EW245" s="30" t="str">
        <f t="shared" si="3134"/>
        <v/>
      </c>
      <c r="EX245" s="30" t="str">
        <f t="shared" si="3135"/>
        <v/>
      </c>
      <c r="EY245" s="30" t="str">
        <f t="shared" si="3136"/>
        <v/>
      </c>
      <c r="EZ245" s="30" t="str">
        <f t="shared" si="3137"/>
        <v/>
      </c>
      <c r="FA245" s="30" t="str">
        <f t="shared" si="3138"/>
        <v/>
      </c>
      <c r="FB245" s="30" t="str">
        <f t="shared" si="3139"/>
        <v/>
      </c>
      <c r="FC245" s="30" t="str">
        <f t="shared" si="3140"/>
        <v/>
      </c>
      <c r="FD245" s="30" t="str">
        <f t="shared" si="3141"/>
        <v/>
      </c>
      <c r="FE245" s="30" t="str">
        <f t="shared" si="3142"/>
        <v/>
      </c>
      <c r="FF245" s="30" t="str">
        <f t="shared" si="3143"/>
        <v/>
      </c>
      <c r="FG245" s="30" t="str">
        <f t="shared" si="3144"/>
        <v/>
      </c>
      <c r="FH245" s="30" t="str">
        <f t="shared" si="3145"/>
        <v/>
      </c>
      <c r="FI245" s="30" t="str">
        <f t="shared" si="3146"/>
        <v/>
      </c>
      <c r="FJ245" s="30" t="str">
        <f t="shared" si="3147"/>
        <v/>
      </c>
      <c r="FK245" s="30" t="str">
        <f t="shared" si="3148"/>
        <v/>
      </c>
      <c r="FL245" s="30" t="str">
        <f t="shared" si="3149"/>
        <v/>
      </c>
      <c r="FM245" s="30" t="str">
        <f t="shared" si="3150"/>
        <v/>
      </c>
      <c r="FN245" s="30" t="str">
        <f t="shared" si="3151"/>
        <v/>
      </c>
      <c r="FO245" s="30" t="str">
        <f t="shared" si="3152"/>
        <v/>
      </c>
      <c r="FP245" s="30" t="str">
        <f t="shared" si="3153"/>
        <v/>
      </c>
      <c r="FQ245" s="30" t="str">
        <f t="shared" si="3154"/>
        <v/>
      </c>
      <c r="FR245" s="30" t="str">
        <f t="shared" si="3155"/>
        <v/>
      </c>
      <c r="FS245" s="30" t="str">
        <f t="shared" si="3156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86"/>
        <v>|n</v>
      </c>
      <c r="CW246" s="24"/>
      <c r="CX246" s="24"/>
      <c r="CY246" s="24"/>
      <c r="CZ246" s="24"/>
      <c r="DA246" s="24"/>
      <c r="DB246" s="30" t="str">
        <f t="shared" si="3087"/>
        <v/>
      </c>
      <c r="DC246" s="30" t="str">
        <f t="shared" si="3088"/>
        <v/>
      </c>
      <c r="DD246" s="30" t="str">
        <f t="shared" si="3089"/>
        <v/>
      </c>
      <c r="DE246" s="30" t="str">
        <f t="shared" si="3090"/>
        <v/>
      </c>
      <c r="DF246" s="30" t="str">
        <f t="shared" si="3091"/>
        <v/>
      </c>
      <c r="DG246" s="30" t="str">
        <f t="shared" si="3092"/>
        <v/>
      </c>
      <c r="DH246" s="30" t="str">
        <f t="shared" si="3093"/>
        <v/>
      </c>
      <c r="DI246" s="30" t="str">
        <f t="shared" si="3094"/>
        <v/>
      </c>
      <c r="DJ246" s="30" t="str">
        <f t="shared" si="3095"/>
        <v/>
      </c>
      <c r="DK246" s="30" t="str">
        <f t="shared" si="3096"/>
        <v/>
      </c>
      <c r="DL246" s="30" t="str">
        <f t="shared" si="3097"/>
        <v/>
      </c>
      <c r="DM246" s="30" t="str">
        <f t="shared" si="3098"/>
        <v/>
      </c>
      <c r="DN246" s="30" t="str">
        <f t="shared" si="3099"/>
        <v/>
      </c>
      <c r="DO246" s="30" t="str">
        <f t="shared" si="3100"/>
        <v/>
      </c>
      <c r="DP246" s="30" t="str">
        <f t="shared" si="3101"/>
        <v/>
      </c>
      <c r="DQ246" s="30" t="str">
        <f t="shared" si="3102"/>
        <v/>
      </c>
      <c r="DR246" s="30" t="str">
        <f t="shared" si="3103"/>
        <v/>
      </c>
      <c r="DS246" s="30" t="str">
        <f t="shared" si="3104"/>
        <v/>
      </c>
      <c r="DT246" s="30" t="str">
        <f t="shared" si="3105"/>
        <v/>
      </c>
      <c r="DU246" s="30" t="str">
        <f t="shared" si="3106"/>
        <v/>
      </c>
      <c r="DV246" s="30" t="str">
        <f t="shared" si="3107"/>
        <v/>
      </c>
      <c r="DW246" s="30" t="str">
        <f t="shared" si="3108"/>
        <v/>
      </c>
      <c r="DX246" s="30" t="str">
        <f t="shared" si="3109"/>
        <v/>
      </c>
      <c r="DY246" s="30" t="str">
        <f t="shared" si="3110"/>
        <v/>
      </c>
      <c r="DZ246" s="30" t="str">
        <f t="shared" si="3111"/>
        <v/>
      </c>
      <c r="EA246" s="30" t="str">
        <f t="shared" si="3112"/>
        <v/>
      </c>
      <c r="EB246" s="30" t="str">
        <f t="shared" si="3113"/>
        <v/>
      </c>
      <c r="EC246" s="30" t="str">
        <f t="shared" si="3114"/>
        <v/>
      </c>
      <c r="ED246" s="30" t="str">
        <f t="shared" si="3115"/>
        <v/>
      </c>
      <c r="EE246" s="30" t="str">
        <f t="shared" si="3116"/>
        <v/>
      </c>
      <c r="EF246" s="30" t="str">
        <f t="shared" si="3117"/>
        <v/>
      </c>
      <c r="EG246" s="30" t="str">
        <f t="shared" si="3118"/>
        <v/>
      </c>
      <c r="EH246" s="30" t="str">
        <f t="shared" si="3119"/>
        <v/>
      </c>
      <c r="EI246" s="30" t="str">
        <f t="shared" si="3120"/>
        <v/>
      </c>
      <c r="EJ246" s="30" t="str">
        <f t="shared" si="3121"/>
        <v/>
      </c>
      <c r="EK246" s="30" t="str">
        <f t="shared" si="3122"/>
        <v/>
      </c>
      <c r="EL246" s="30" t="str">
        <f t="shared" si="3123"/>
        <v/>
      </c>
      <c r="EM246" s="30" t="str">
        <f t="shared" si="3124"/>
        <v/>
      </c>
      <c r="EN246" s="30" t="str">
        <f t="shared" si="3125"/>
        <v/>
      </c>
      <c r="EO246" s="30" t="str">
        <f t="shared" si="3126"/>
        <v/>
      </c>
      <c r="EP246" s="30" t="str">
        <f t="shared" si="3127"/>
        <v/>
      </c>
      <c r="EQ246" s="30" t="str">
        <f t="shared" si="3128"/>
        <v/>
      </c>
      <c r="ER246" s="30" t="str">
        <f t="shared" si="3129"/>
        <v/>
      </c>
      <c r="ES246" s="30" t="str">
        <f t="shared" si="3130"/>
        <v/>
      </c>
      <c r="ET246" s="30" t="str">
        <f t="shared" si="3131"/>
        <v/>
      </c>
      <c r="EU246" s="30" t="str">
        <f t="shared" si="3132"/>
        <v/>
      </c>
      <c r="EV246" s="30" t="str">
        <f t="shared" si="3133"/>
        <v/>
      </c>
      <c r="EW246" s="30" t="str">
        <f t="shared" si="3134"/>
        <v/>
      </c>
      <c r="EX246" s="30" t="str">
        <f t="shared" si="3135"/>
        <v/>
      </c>
      <c r="EY246" s="30" t="str">
        <f t="shared" si="3136"/>
        <v/>
      </c>
      <c r="EZ246" s="30" t="str">
        <f t="shared" si="3137"/>
        <v/>
      </c>
      <c r="FA246" s="30" t="str">
        <f t="shared" si="3138"/>
        <v/>
      </c>
      <c r="FB246" s="30" t="str">
        <f t="shared" si="3139"/>
        <v/>
      </c>
      <c r="FC246" s="30" t="str">
        <f t="shared" si="3140"/>
        <v/>
      </c>
      <c r="FD246" s="30" t="str">
        <f t="shared" si="3141"/>
        <v/>
      </c>
      <c r="FE246" s="30" t="str">
        <f t="shared" si="3142"/>
        <v/>
      </c>
      <c r="FF246" s="30" t="str">
        <f t="shared" si="3143"/>
        <v/>
      </c>
      <c r="FG246" s="30" t="str">
        <f t="shared" si="3144"/>
        <v/>
      </c>
      <c r="FH246" s="30" t="str">
        <f t="shared" si="3145"/>
        <v/>
      </c>
      <c r="FI246" s="30" t="str">
        <f t="shared" si="3146"/>
        <v/>
      </c>
      <c r="FJ246" s="30" t="str">
        <f t="shared" si="3147"/>
        <v/>
      </c>
      <c r="FK246" s="30" t="str">
        <f t="shared" si="3148"/>
        <v/>
      </c>
      <c r="FL246" s="30" t="str">
        <f t="shared" si="3149"/>
        <v/>
      </c>
      <c r="FM246" s="30" t="str">
        <f t="shared" si="3150"/>
        <v/>
      </c>
      <c r="FN246" s="30" t="str">
        <f t="shared" si="3151"/>
        <v/>
      </c>
      <c r="FO246" s="30" t="str">
        <f t="shared" si="3152"/>
        <v/>
      </c>
      <c r="FP246" s="30" t="str">
        <f t="shared" si="3153"/>
        <v/>
      </c>
      <c r="FQ246" s="30" t="str">
        <f t="shared" si="3154"/>
        <v/>
      </c>
      <c r="FR246" s="30" t="str">
        <f t="shared" si="3155"/>
        <v/>
      </c>
      <c r="FS246" s="30" t="str">
        <f t="shared" si="3156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86"/>
        <v>|n</v>
      </c>
      <c r="CW247" s="24"/>
      <c r="CX247" s="24"/>
      <c r="CY247" s="24"/>
      <c r="CZ247" s="24"/>
      <c r="DA247" s="24"/>
      <c r="DB247" s="30" t="str">
        <f t="shared" si="3087"/>
        <v/>
      </c>
      <c r="DC247" s="30" t="str">
        <f t="shared" si="3088"/>
        <v/>
      </c>
      <c r="DD247" s="30" t="str">
        <f t="shared" si="3089"/>
        <v/>
      </c>
      <c r="DE247" s="30" t="str">
        <f t="shared" si="3090"/>
        <v/>
      </c>
      <c r="DF247" s="30" t="str">
        <f t="shared" si="3091"/>
        <v/>
      </c>
      <c r="DG247" s="30" t="str">
        <f t="shared" si="3092"/>
        <v/>
      </c>
      <c r="DH247" s="30" t="str">
        <f t="shared" si="3093"/>
        <v/>
      </c>
      <c r="DI247" s="30" t="str">
        <f t="shared" si="3094"/>
        <v/>
      </c>
      <c r="DJ247" s="30" t="str">
        <f t="shared" si="3095"/>
        <v/>
      </c>
      <c r="DK247" s="30" t="str">
        <f t="shared" si="3096"/>
        <v/>
      </c>
      <c r="DL247" s="30" t="str">
        <f t="shared" si="3097"/>
        <v/>
      </c>
      <c r="DM247" s="30" t="str">
        <f t="shared" si="3098"/>
        <v/>
      </c>
      <c r="DN247" s="30" t="str">
        <f t="shared" si="3099"/>
        <v/>
      </c>
      <c r="DO247" s="30" t="str">
        <f t="shared" si="3100"/>
        <v/>
      </c>
      <c r="DP247" s="30" t="str">
        <f t="shared" si="3101"/>
        <v/>
      </c>
      <c r="DQ247" s="30" t="str">
        <f t="shared" si="3102"/>
        <v/>
      </c>
      <c r="DR247" s="30" t="str">
        <f t="shared" si="3103"/>
        <v/>
      </c>
      <c r="DS247" s="30" t="str">
        <f t="shared" si="3104"/>
        <v/>
      </c>
      <c r="DT247" s="30" t="str">
        <f t="shared" si="3105"/>
        <v/>
      </c>
      <c r="DU247" s="30" t="str">
        <f t="shared" si="3106"/>
        <v/>
      </c>
      <c r="DV247" s="30" t="str">
        <f t="shared" si="3107"/>
        <v/>
      </c>
      <c r="DW247" s="30" t="str">
        <f t="shared" si="3108"/>
        <v/>
      </c>
      <c r="DX247" s="30" t="str">
        <f t="shared" si="3109"/>
        <v/>
      </c>
      <c r="DY247" s="30" t="str">
        <f t="shared" si="3110"/>
        <v/>
      </c>
      <c r="DZ247" s="30" t="str">
        <f t="shared" si="3111"/>
        <v/>
      </c>
      <c r="EA247" s="30" t="str">
        <f t="shared" si="3112"/>
        <v/>
      </c>
      <c r="EB247" s="30" t="str">
        <f t="shared" si="3113"/>
        <v/>
      </c>
      <c r="EC247" s="30" t="str">
        <f t="shared" si="3114"/>
        <v/>
      </c>
      <c r="ED247" s="30" t="str">
        <f t="shared" si="3115"/>
        <v/>
      </c>
      <c r="EE247" s="30" t="str">
        <f t="shared" si="3116"/>
        <v/>
      </c>
      <c r="EF247" s="30" t="str">
        <f t="shared" si="3117"/>
        <v/>
      </c>
      <c r="EG247" s="30" t="str">
        <f t="shared" si="3118"/>
        <v/>
      </c>
      <c r="EH247" s="30" t="str">
        <f t="shared" si="3119"/>
        <v/>
      </c>
      <c r="EI247" s="30" t="str">
        <f t="shared" si="3120"/>
        <v/>
      </c>
      <c r="EJ247" s="30" t="str">
        <f t="shared" si="3121"/>
        <v/>
      </c>
      <c r="EK247" s="30" t="str">
        <f t="shared" si="3122"/>
        <v/>
      </c>
      <c r="EL247" s="30" t="str">
        <f t="shared" si="3123"/>
        <v/>
      </c>
      <c r="EM247" s="30" t="str">
        <f t="shared" si="3124"/>
        <v/>
      </c>
      <c r="EN247" s="30" t="str">
        <f t="shared" si="3125"/>
        <v/>
      </c>
      <c r="EO247" s="30" t="str">
        <f t="shared" si="3126"/>
        <v/>
      </c>
      <c r="EP247" s="30" t="str">
        <f t="shared" si="3127"/>
        <v/>
      </c>
      <c r="EQ247" s="30" t="str">
        <f t="shared" si="3128"/>
        <v/>
      </c>
      <c r="ER247" s="30" t="str">
        <f t="shared" si="3129"/>
        <v/>
      </c>
      <c r="ES247" s="30" t="str">
        <f t="shared" si="3130"/>
        <v/>
      </c>
      <c r="ET247" s="30" t="str">
        <f t="shared" si="3131"/>
        <v/>
      </c>
      <c r="EU247" s="30" t="str">
        <f t="shared" si="3132"/>
        <v/>
      </c>
      <c r="EV247" s="30" t="str">
        <f t="shared" si="3133"/>
        <v/>
      </c>
      <c r="EW247" s="30" t="str">
        <f t="shared" si="3134"/>
        <v/>
      </c>
      <c r="EX247" s="30" t="str">
        <f t="shared" si="3135"/>
        <v/>
      </c>
      <c r="EY247" s="30" t="str">
        <f t="shared" si="3136"/>
        <v/>
      </c>
      <c r="EZ247" s="30" t="str">
        <f t="shared" si="3137"/>
        <v/>
      </c>
      <c r="FA247" s="30" t="str">
        <f t="shared" si="3138"/>
        <v/>
      </c>
      <c r="FB247" s="30" t="str">
        <f t="shared" si="3139"/>
        <v/>
      </c>
      <c r="FC247" s="30" t="str">
        <f t="shared" si="3140"/>
        <v/>
      </c>
      <c r="FD247" s="30" t="str">
        <f t="shared" si="3141"/>
        <v/>
      </c>
      <c r="FE247" s="30" t="str">
        <f t="shared" si="3142"/>
        <v/>
      </c>
      <c r="FF247" s="30" t="str">
        <f t="shared" si="3143"/>
        <v/>
      </c>
      <c r="FG247" s="30" t="str">
        <f t="shared" si="3144"/>
        <v/>
      </c>
      <c r="FH247" s="30" t="str">
        <f t="shared" si="3145"/>
        <v/>
      </c>
      <c r="FI247" s="30" t="str">
        <f t="shared" si="3146"/>
        <v/>
      </c>
      <c r="FJ247" s="30" t="str">
        <f t="shared" si="3147"/>
        <v/>
      </c>
      <c r="FK247" s="30" t="str">
        <f t="shared" si="3148"/>
        <v/>
      </c>
      <c r="FL247" s="30" t="str">
        <f t="shared" si="3149"/>
        <v/>
      </c>
      <c r="FM247" s="30" t="str">
        <f t="shared" si="3150"/>
        <v/>
      </c>
      <c r="FN247" s="30" t="str">
        <f t="shared" si="3151"/>
        <v/>
      </c>
      <c r="FO247" s="30" t="str">
        <f t="shared" si="3152"/>
        <v/>
      </c>
      <c r="FP247" s="30" t="str">
        <f t="shared" si="3153"/>
        <v/>
      </c>
      <c r="FQ247" s="30" t="str">
        <f t="shared" si="3154"/>
        <v/>
      </c>
      <c r="FR247" s="30" t="str">
        <f t="shared" si="3155"/>
        <v/>
      </c>
      <c r="FS247" s="30" t="str">
        <f t="shared" si="3156"/>
        <v/>
      </c>
    </row>
    <row r="248" spans="1:175" ht="16.5">
      <c r="A248" s="5"/>
      <c r="B248" s="6"/>
      <c r="C248" s="5"/>
      <c r="E248" s="35"/>
      <c r="T248" s="104"/>
      <c r="U248" s="32"/>
      <c r="CU248" s="45" t="str">
        <f t="shared" si="3086"/>
        <v>|n</v>
      </c>
      <c r="CW248" s="24"/>
      <c r="CX248" s="24"/>
      <c r="CY248" s="24"/>
      <c r="CZ248" s="24"/>
      <c r="DA248" s="24"/>
      <c r="DB248" s="30" t="str">
        <f t="shared" si="3087"/>
        <v/>
      </c>
      <c r="DC248" s="30" t="str">
        <f t="shared" si="3088"/>
        <v/>
      </c>
      <c r="DD248" s="30" t="str">
        <f t="shared" si="3089"/>
        <v/>
      </c>
      <c r="DE248" s="30" t="str">
        <f t="shared" si="3090"/>
        <v/>
      </c>
      <c r="DF248" s="30" t="str">
        <f t="shared" si="3091"/>
        <v/>
      </c>
      <c r="DG248" s="30" t="str">
        <f t="shared" si="3092"/>
        <v/>
      </c>
      <c r="DH248" s="30" t="str">
        <f t="shared" si="3093"/>
        <v/>
      </c>
      <c r="DI248" s="30" t="str">
        <f t="shared" si="3094"/>
        <v/>
      </c>
      <c r="DJ248" s="30" t="str">
        <f t="shared" si="3095"/>
        <v/>
      </c>
      <c r="DK248" s="30" t="str">
        <f t="shared" si="3096"/>
        <v/>
      </c>
      <c r="DL248" s="30" t="str">
        <f t="shared" si="3097"/>
        <v/>
      </c>
      <c r="DM248" s="30" t="str">
        <f t="shared" si="3098"/>
        <v/>
      </c>
      <c r="DN248" s="30" t="str">
        <f t="shared" si="3099"/>
        <v/>
      </c>
      <c r="DO248" s="30" t="str">
        <f t="shared" si="3100"/>
        <v/>
      </c>
      <c r="DP248" s="30" t="str">
        <f t="shared" si="3101"/>
        <v/>
      </c>
      <c r="DQ248" s="30" t="str">
        <f t="shared" si="3102"/>
        <v/>
      </c>
      <c r="DR248" s="30" t="str">
        <f t="shared" si="3103"/>
        <v/>
      </c>
      <c r="DS248" s="30" t="str">
        <f t="shared" si="3104"/>
        <v/>
      </c>
      <c r="DT248" s="30" t="str">
        <f t="shared" si="3105"/>
        <v/>
      </c>
      <c r="DU248" s="30" t="str">
        <f t="shared" si="3106"/>
        <v/>
      </c>
      <c r="DV248" s="30" t="str">
        <f t="shared" si="3107"/>
        <v/>
      </c>
      <c r="DW248" s="30" t="str">
        <f t="shared" si="3108"/>
        <v/>
      </c>
      <c r="DX248" s="30" t="str">
        <f t="shared" si="3109"/>
        <v/>
      </c>
      <c r="DY248" s="30" t="str">
        <f t="shared" si="3110"/>
        <v/>
      </c>
      <c r="DZ248" s="30" t="str">
        <f t="shared" si="3111"/>
        <v/>
      </c>
      <c r="EA248" s="30" t="str">
        <f t="shared" si="3112"/>
        <v/>
      </c>
      <c r="EB248" s="30" t="str">
        <f t="shared" si="3113"/>
        <v/>
      </c>
      <c r="EC248" s="30" t="str">
        <f t="shared" si="3114"/>
        <v/>
      </c>
      <c r="ED248" s="30" t="str">
        <f t="shared" si="3115"/>
        <v/>
      </c>
      <c r="EE248" s="30" t="str">
        <f t="shared" si="3116"/>
        <v/>
      </c>
      <c r="EF248" s="30" t="str">
        <f t="shared" si="3117"/>
        <v/>
      </c>
      <c r="EG248" s="30" t="str">
        <f t="shared" si="3118"/>
        <v/>
      </c>
      <c r="EH248" s="30" t="str">
        <f t="shared" si="3119"/>
        <v/>
      </c>
      <c r="EI248" s="30" t="str">
        <f t="shared" si="3120"/>
        <v/>
      </c>
      <c r="EJ248" s="30" t="str">
        <f t="shared" si="3121"/>
        <v/>
      </c>
      <c r="EK248" s="30" t="str">
        <f t="shared" si="3122"/>
        <v/>
      </c>
      <c r="EL248" s="30" t="str">
        <f t="shared" si="3123"/>
        <v/>
      </c>
      <c r="EM248" s="30" t="str">
        <f t="shared" si="3124"/>
        <v/>
      </c>
      <c r="EN248" s="30" t="str">
        <f t="shared" si="3125"/>
        <v/>
      </c>
      <c r="EO248" s="30" t="str">
        <f t="shared" si="3126"/>
        <v/>
      </c>
      <c r="EP248" s="30" t="str">
        <f t="shared" si="3127"/>
        <v/>
      </c>
      <c r="EQ248" s="30" t="str">
        <f t="shared" si="3128"/>
        <v/>
      </c>
      <c r="ER248" s="30" t="str">
        <f t="shared" si="3129"/>
        <v/>
      </c>
      <c r="ES248" s="30" t="str">
        <f t="shared" si="3130"/>
        <v/>
      </c>
      <c r="ET248" s="30" t="str">
        <f t="shared" si="3131"/>
        <v/>
      </c>
      <c r="EU248" s="30" t="str">
        <f t="shared" si="3132"/>
        <v/>
      </c>
      <c r="EV248" s="30" t="str">
        <f t="shared" si="3133"/>
        <v/>
      </c>
      <c r="EW248" s="30" t="str">
        <f t="shared" si="3134"/>
        <v/>
      </c>
      <c r="EX248" s="30" t="str">
        <f t="shared" si="3135"/>
        <v/>
      </c>
      <c r="EY248" s="30" t="str">
        <f t="shared" si="3136"/>
        <v/>
      </c>
      <c r="EZ248" s="30" t="str">
        <f t="shared" si="3137"/>
        <v/>
      </c>
      <c r="FA248" s="30" t="str">
        <f t="shared" si="3138"/>
        <v/>
      </c>
      <c r="FB248" s="30" t="str">
        <f t="shared" si="3139"/>
        <v/>
      </c>
      <c r="FC248" s="30" t="str">
        <f t="shared" si="3140"/>
        <v/>
      </c>
      <c r="FD248" s="30" t="str">
        <f t="shared" si="3141"/>
        <v/>
      </c>
      <c r="FE248" s="30" t="str">
        <f t="shared" si="3142"/>
        <v/>
      </c>
      <c r="FF248" s="30" t="str">
        <f t="shared" si="3143"/>
        <v/>
      </c>
      <c r="FG248" s="30" t="str">
        <f t="shared" si="3144"/>
        <v/>
      </c>
      <c r="FH248" s="30" t="str">
        <f t="shared" si="3145"/>
        <v/>
      </c>
      <c r="FI248" s="30" t="str">
        <f t="shared" si="3146"/>
        <v/>
      </c>
      <c r="FJ248" s="30" t="str">
        <f t="shared" si="3147"/>
        <v/>
      </c>
      <c r="FK248" s="30" t="str">
        <f t="shared" si="3148"/>
        <v/>
      </c>
      <c r="FL248" s="30" t="str">
        <f t="shared" si="3149"/>
        <v/>
      </c>
      <c r="FM248" s="30" t="str">
        <f t="shared" si="3150"/>
        <v/>
      </c>
      <c r="FN248" s="30" t="str">
        <f t="shared" si="3151"/>
        <v/>
      </c>
      <c r="FO248" s="30" t="str">
        <f t="shared" si="3152"/>
        <v/>
      </c>
      <c r="FP248" s="30" t="str">
        <f t="shared" si="3153"/>
        <v/>
      </c>
      <c r="FQ248" s="30" t="str">
        <f t="shared" si="3154"/>
        <v/>
      </c>
      <c r="FR248" s="30" t="str">
        <f t="shared" si="3155"/>
        <v/>
      </c>
      <c r="FS248" s="30" t="str">
        <f t="shared" si="3156"/>
        <v/>
      </c>
    </row>
    <row r="249" spans="1:175">
      <c r="CN249" s="7" t="str">
        <f t="shared" ref="CN249:CN280" si="315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7" t="str">
        <f t="shared" ref="CO249:CO280" si="315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7" t="str">
        <f t="shared" ref="CP249:CP280" si="315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7" t="str">
        <f t="shared" ref="CQ249:CQ280" si="316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7" t="str">
        <f t="shared" ref="CR249:CR280" si="3161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InitEquipData('',,"",,,,,'','','','','','',"")</v>
      </c>
      <c r="CU249" s="29" t="str">
        <f t="shared" ref="CU249:CU261" si="316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24"/>
      <c r="CX249" s="24"/>
      <c r="CY249" s="24"/>
      <c r="CZ249" s="24"/>
      <c r="DA249" s="24"/>
      <c r="DB249" s="30" t="str">
        <f t="shared" ref="DB249:DB269" si="3163">IF(V249="","","|n"&amp;DB$2&amp;"+"&amp;V249&amp;DB$1)</f>
        <v/>
      </c>
      <c r="DC249" s="30" t="str">
        <f t="shared" ref="DC249:DC269" si="3164">IF(W249="","","|n"&amp;DC$2&amp;"+"&amp;W249&amp;DC$1)</f>
        <v/>
      </c>
      <c r="DD249" s="30" t="str">
        <f t="shared" ref="DD249:DD269" si="3165">IF(X249="","","|n"&amp;DD$2&amp;"+"&amp;X249&amp;DD$1)</f>
        <v/>
      </c>
      <c r="DE249" s="30" t="str">
        <f t="shared" ref="DE249:DE269" si="3166">IF(Y249="","","|n"&amp;DE$2&amp;"+"&amp;Y249&amp;DE$1)</f>
        <v/>
      </c>
      <c r="DF249" s="30" t="str">
        <f t="shared" ref="DF249:DF269" si="3167">IF(Z249="","","|n"&amp;DF$2&amp;"+"&amp;Z249&amp;DF$1)</f>
        <v/>
      </c>
      <c r="DG249" s="30" t="str">
        <f t="shared" ref="DG249:DG269" si="3168">IF(AA249="","","|n"&amp;DG$2&amp;"+"&amp;AA249&amp;DG$1)</f>
        <v/>
      </c>
      <c r="DH249" s="30" t="str">
        <f t="shared" ref="DH249:DH269" si="3169">IF(AB249="","","|n"&amp;DH$2&amp;"+"&amp;AB249&amp;DH$1)</f>
        <v/>
      </c>
      <c r="DI249" s="30" t="str">
        <f t="shared" ref="DI249:DI269" si="3170">IF(AC249="","","|n"&amp;DI$2&amp;"+"&amp;AC249&amp;DI$1)</f>
        <v/>
      </c>
      <c r="DJ249" s="30" t="str">
        <f t="shared" ref="DJ249:DJ269" si="3171">IF(AD249="","","|n"&amp;DJ$2&amp;"+"&amp;AD249&amp;DJ$1)</f>
        <v/>
      </c>
      <c r="DK249" s="30" t="str">
        <f t="shared" ref="DK249:DK269" si="3172">IF(AE249="","","|n"&amp;DK$2&amp;"+"&amp;AE249&amp;DK$1)</f>
        <v/>
      </c>
      <c r="DL249" s="30" t="str">
        <f t="shared" ref="DL249:DL269" si="3173">IF(AF249="","","|n"&amp;DL$2&amp;"+"&amp;AF249&amp;DL$1)</f>
        <v/>
      </c>
      <c r="DM249" s="30" t="str">
        <f t="shared" ref="DM249:DM269" si="3174">IF(AG249="","","|n"&amp;DM$2&amp;"+"&amp;AG249&amp;DM$1)</f>
        <v/>
      </c>
      <c r="DN249" s="30" t="str">
        <f t="shared" ref="DN249:DN269" si="3175">IF(AH249="","","|n"&amp;DN$2&amp;"+"&amp;AH249&amp;DN$1)</f>
        <v/>
      </c>
      <c r="DO249" s="30" t="str">
        <f t="shared" ref="DO249:DO269" si="3176">IF(AI249="","","|n"&amp;DO$2&amp;"+"&amp;AI249&amp;DO$1)</f>
        <v/>
      </c>
      <c r="DP249" s="30" t="str">
        <f t="shared" ref="DP249:DP269" si="3177">IF(AJ249="","","|n"&amp;DP$2&amp;"+"&amp;AJ249&amp;DP$1)</f>
        <v/>
      </c>
      <c r="DQ249" s="30" t="str">
        <f t="shared" ref="DQ249:DQ269" si="3178">IF(AK249="","","|n"&amp;DQ$2&amp;"+"&amp;AK249&amp;DQ$1)</f>
        <v/>
      </c>
      <c r="DR249" s="30" t="str">
        <f t="shared" ref="DR249:DR269" si="3179">IF(AL249="","","|n"&amp;DR$2&amp;"+"&amp;AL249&amp;DR$1)</f>
        <v/>
      </c>
      <c r="DS249" s="30" t="str">
        <f t="shared" ref="DS249:DS269" si="3180">IF(AM249="","","|n"&amp;DS$2&amp;"+"&amp;AM249&amp;DS$1)</f>
        <v/>
      </c>
      <c r="DT249" s="30" t="str">
        <f t="shared" ref="DT249:DT269" si="3181">IF(AN249="","","|n"&amp;DT$2&amp;"+"&amp;AN249&amp;DT$1)</f>
        <v/>
      </c>
      <c r="DU249" s="30" t="str">
        <f t="shared" ref="DU249:DU269" si="3182">IF(AO249="","","|n"&amp;DU$2&amp;"+"&amp;AO249&amp;DU$1)</f>
        <v/>
      </c>
      <c r="DV249" s="30" t="str">
        <f t="shared" ref="DV249:DV269" si="3183">IF(AP249="","","|n"&amp;DV$2&amp;"+"&amp;AP249&amp;DV$1)</f>
        <v/>
      </c>
      <c r="DW249" s="30" t="str">
        <f t="shared" ref="DW249:DW269" si="3184">IF(AQ249="","","|n"&amp;DW$2&amp;"+"&amp;AQ249&amp;DW$1)</f>
        <v/>
      </c>
      <c r="DX249" s="30" t="str">
        <f t="shared" ref="DX249:DX269" si="3185">IF(AR249="","","|n"&amp;DX$2&amp;"+"&amp;AR249&amp;DX$1)</f>
        <v/>
      </c>
      <c r="DY249" s="30" t="str">
        <f t="shared" ref="DY249:DY269" si="3186">IF(AS249="","","|n"&amp;DY$2&amp;"+"&amp;AS249&amp;DY$1)</f>
        <v/>
      </c>
      <c r="DZ249" s="30" t="str">
        <f t="shared" ref="DZ249:DZ269" si="3187">IF(AT249="","","|n"&amp;DZ$2&amp;"+"&amp;AT249&amp;DZ$1)</f>
        <v/>
      </c>
      <c r="EA249" s="30" t="str">
        <f t="shared" ref="EA249:EA269" si="3188">IF(AU249="","","|n"&amp;EA$2&amp;"+"&amp;AU249&amp;EA$1)</f>
        <v/>
      </c>
      <c r="EB249" s="30" t="str">
        <f t="shared" ref="EB249:EB269" si="3189">IF(AV249="","","|n"&amp;EB$2&amp;"+"&amp;AV249&amp;EB$1)</f>
        <v/>
      </c>
      <c r="EC249" s="30" t="str">
        <f t="shared" ref="EC249:EC269" si="3190">IF(AW249="","","|n"&amp;EC$2&amp;"+"&amp;AW249&amp;EC$1)</f>
        <v/>
      </c>
      <c r="ED249" s="30" t="str">
        <f t="shared" ref="ED249:ED269" si="3191">IF(AX249="","","|n"&amp;ED$2&amp;"+"&amp;AX249&amp;ED$1)</f>
        <v/>
      </c>
      <c r="EE249" s="30" t="str">
        <f t="shared" ref="EE249:EE269" si="3192">IF(AY249="","","|n"&amp;EE$2&amp;"+"&amp;AY249&amp;EE$1)</f>
        <v/>
      </c>
      <c r="EF249" s="30" t="str">
        <f t="shared" ref="EF249:EF269" si="3193">IF(AZ249="","","|n"&amp;EF$2&amp;"+"&amp;AZ249&amp;EF$1)</f>
        <v/>
      </c>
      <c r="EG249" s="30" t="str">
        <f t="shared" ref="EG249:EG269" si="3194">IF(BA249="","","|n"&amp;EG$2&amp;"+"&amp;BA249&amp;EG$1)</f>
        <v/>
      </c>
      <c r="EH249" s="30" t="str">
        <f t="shared" ref="EH249:EH269" si="3195">IF(BB249="","","|n"&amp;EH$2&amp;"+"&amp;BB249&amp;EH$1)</f>
        <v/>
      </c>
      <c r="EI249" s="30" t="str">
        <f t="shared" ref="EI249:EI269" si="3196">IF(BC249="","","|n"&amp;EI$2&amp;"+"&amp;BC249&amp;EI$1)</f>
        <v/>
      </c>
      <c r="EJ249" s="30" t="str">
        <f t="shared" ref="EJ249:EJ269" si="3197">IF(BD249="","","|n"&amp;EJ$2&amp;"+"&amp;BD249&amp;EJ$1)</f>
        <v/>
      </c>
      <c r="EK249" s="30" t="str">
        <f t="shared" ref="EK249:EK269" si="3198">IF(BE249="","","|n"&amp;EK$2&amp;"+"&amp;BE249&amp;EK$1)</f>
        <v/>
      </c>
      <c r="EL249" s="30" t="str">
        <f t="shared" ref="EL249:EL269" si="3199">IF(BF249="","","|n"&amp;EL$2&amp;"+"&amp;BF249&amp;EL$1)</f>
        <v/>
      </c>
      <c r="EM249" s="30" t="str">
        <f t="shared" ref="EM249:EM269" si="3200">IF(BG249="","","|n"&amp;EM$2&amp;"+"&amp;BG249&amp;EM$1)</f>
        <v/>
      </c>
      <c r="EN249" s="30" t="str">
        <f t="shared" ref="EN249:EN269" si="3201">IF(BH249="","","|n"&amp;EN$2&amp;"+"&amp;BH249&amp;EN$1)</f>
        <v/>
      </c>
      <c r="EO249" s="30" t="str">
        <f t="shared" ref="EO249:EO269" si="3202">IF(BI249="","","|n"&amp;EO$2&amp;"+"&amp;BI249&amp;EO$1)</f>
        <v/>
      </c>
      <c r="EP249" s="30" t="str">
        <f t="shared" ref="EP249:EP269" si="3203">IF(BJ249="","","|n"&amp;EP$2&amp;"+"&amp;BJ249&amp;EP$1)</f>
        <v/>
      </c>
      <c r="EQ249" s="30" t="str">
        <f t="shared" ref="EQ249:EQ269" si="3204">IF(BK249="","","|n"&amp;EQ$2&amp;"+"&amp;BK249&amp;EQ$1)</f>
        <v/>
      </c>
      <c r="ER249" s="30" t="str">
        <f t="shared" ref="ER249:ER269" si="3205">IF(BL249="","","|n"&amp;ER$2&amp;"+"&amp;BL249&amp;ER$1)</f>
        <v/>
      </c>
      <c r="ES249" s="30" t="str">
        <f t="shared" ref="ES249:ES269" si="3206">IF(BM249="","","|n"&amp;ES$2&amp;"+"&amp;BM249&amp;ES$1)</f>
        <v/>
      </c>
      <c r="ET249" s="30" t="str">
        <f t="shared" ref="ET249:ET269" si="3207">IF(BN249="","","|n"&amp;ET$2&amp;"+"&amp;BN249&amp;ET$1)</f>
        <v/>
      </c>
      <c r="EU249" s="30" t="str">
        <f t="shared" ref="EU249:EU269" si="3208">IF(BO249="","","|n"&amp;EU$2&amp;"+"&amp;BO249&amp;EU$1)</f>
        <v/>
      </c>
      <c r="EV249" s="30" t="str">
        <f t="shared" ref="EV249:EV269" si="3209">IF(BP249="","","|n"&amp;EV$2&amp;"+"&amp;BP249&amp;EV$1)</f>
        <v/>
      </c>
      <c r="EW249" s="30" t="str">
        <f t="shared" ref="EW249:EW269" si="3210">IF(BQ249="","","|n"&amp;EW$2&amp;"+"&amp;BQ249&amp;EW$1)</f>
        <v/>
      </c>
      <c r="EX249" s="30" t="str">
        <f t="shared" ref="EX249:EX269" si="3211">IF(BR249="","","|n"&amp;EX$2&amp;"+"&amp;BR249&amp;EX$1)</f>
        <v/>
      </c>
      <c r="EY249" s="30" t="str">
        <f t="shared" ref="EY249:EY269" si="3212">IF(BS249="","","|n"&amp;EY$2&amp;"+"&amp;BS249&amp;EY$1)</f>
        <v/>
      </c>
      <c r="EZ249" s="30" t="str">
        <f t="shared" ref="EZ249:EZ269" si="3213">IF(BT249="","","|n"&amp;EZ$2&amp;"+"&amp;BT249&amp;EZ$1)</f>
        <v/>
      </c>
      <c r="FA249" s="30" t="str">
        <f t="shared" ref="FA249:FA269" si="3214">IF(BU249="","","|n"&amp;FA$2&amp;"+"&amp;BU249&amp;FA$1)</f>
        <v/>
      </c>
      <c r="FB249" s="30" t="str">
        <f t="shared" ref="FB249:FB269" si="3215">IF(BV249="","","|n"&amp;FB$2&amp;"+"&amp;BV249&amp;FB$1)</f>
        <v/>
      </c>
      <c r="FC249" s="30" t="str">
        <f t="shared" ref="FC249:FC269" si="3216">IF(BW249="","","|n"&amp;FC$2&amp;"+"&amp;BW249&amp;FC$1)</f>
        <v/>
      </c>
      <c r="FD249" s="30" t="str">
        <f t="shared" ref="FD249:FD269" si="3217">IF(BX249="","","|n"&amp;FD$2&amp;"+"&amp;BX249&amp;FD$1)</f>
        <v/>
      </c>
      <c r="FE249" s="30" t="str">
        <f t="shared" ref="FE249:FE269" si="3218">IF(BY249="","","|n"&amp;FE$2&amp;"+"&amp;BY249&amp;FE$1)</f>
        <v/>
      </c>
      <c r="FF249" s="30" t="str">
        <f t="shared" ref="FF249:FF269" si="3219">IF(BZ249="","","|n"&amp;FF$2&amp;"+"&amp;BZ249&amp;FF$1)</f>
        <v/>
      </c>
      <c r="FG249" s="30" t="str">
        <f t="shared" ref="FG249:FG269" si="3220">IF(CA249="","","|n"&amp;FG$2&amp;"+"&amp;CA249&amp;FG$1)</f>
        <v/>
      </c>
      <c r="FH249" s="30" t="str">
        <f t="shared" ref="FH249:FH269" si="3221">IF(CB249="","","|n"&amp;FH$2&amp;"+"&amp;CB249&amp;FH$1)</f>
        <v/>
      </c>
      <c r="FI249" s="30" t="str">
        <f t="shared" ref="FI249:FI269" si="3222">IF(CC249="","","|n"&amp;FI$2&amp;"+"&amp;CC249&amp;FI$1)</f>
        <v/>
      </c>
      <c r="FJ249" s="30" t="str">
        <f t="shared" ref="FJ249:FJ269" si="3223">IF(CD249="","","|n"&amp;FJ$2&amp;"+"&amp;CD249&amp;FJ$1)</f>
        <v/>
      </c>
      <c r="FK249" s="30" t="str">
        <f t="shared" ref="FK249:FK269" si="3224">IF(CE249="","","|n"&amp;FK$2&amp;"+"&amp;CE249&amp;FK$1)</f>
        <v/>
      </c>
      <c r="FL249" s="30" t="str">
        <f t="shared" ref="FL249:FL269" si="3225">IF(CF249="","","|n"&amp;FL$2&amp;"+"&amp;CF249&amp;FL$1)</f>
        <v/>
      </c>
      <c r="FM249" s="30" t="str">
        <f t="shared" ref="FM249:FM269" si="3226">IF(CG249="","","|n"&amp;FM$2&amp;"+"&amp;CG249&amp;FM$1)</f>
        <v/>
      </c>
      <c r="FN249" s="30" t="str">
        <f t="shared" ref="FN249:FN269" si="3227">IF(CH249="","","|n"&amp;FN$2&amp;"+"&amp;CH249&amp;FN$1)</f>
        <v/>
      </c>
      <c r="FO249" s="30" t="str">
        <f t="shared" ref="FO249:FO269" si="3228">IF(CI249="","","|n"&amp;FO$2&amp;"+"&amp;CI249&amp;FO$1)</f>
        <v/>
      </c>
      <c r="FP249" s="30" t="str">
        <f t="shared" ref="FP249:FP269" si="3229">IF(CJ249="","","|n"&amp;FP$2&amp;"+"&amp;CJ249&amp;FP$1)</f>
        <v/>
      </c>
      <c r="FQ249" s="30" t="str">
        <f t="shared" ref="FQ249:FQ269" si="3230">IF(CK249="","","|n"&amp;FQ$2&amp;"+"&amp;CK249&amp;FQ$1)</f>
        <v/>
      </c>
      <c r="FR249" s="30" t="str">
        <f t="shared" ref="FR249:FR269" si="3231">IF(CL249="","","|n"&amp;FR$2&amp;"+"&amp;CL249&amp;FR$1)</f>
        <v/>
      </c>
      <c r="FS249" s="30" t="str">
        <f t="shared" ref="FS249:FS269" si="3232">IF(CM249="","","|n"&amp;FS$2&amp;"+"&amp;CM249&amp;FS$1)</f>
        <v/>
      </c>
    </row>
    <row r="250" spans="1:175">
      <c r="CN250" s="7" t="str">
        <f t="shared" si="3157"/>
        <v>InitUnitState('',,,,,,,,,,)</v>
      </c>
      <c r="CO250" s="7" t="str">
        <f t="shared" si="3158"/>
        <v>InitUnitNormal('',,,,,,,,,,)</v>
      </c>
      <c r="CP250" s="7" t="str">
        <f t="shared" si="3159"/>
        <v>InitUnitMagic('',,,,,,,,,,)</v>
      </c>
      <c r="CQ250" s="7" t="str">
        <f t="shared" si="3160"/>
        <v>InitUnitAdd('',,,,,,,,,,)</v>
      </c>
      <c r="CR250" s="7" t="str">
        <f t="shared" si="3161"/>
        <v>InitEquipData('',,"",,,,,'','','','','','',"")</v>
      </c>
      <c r="CU250" s="29" t="str">
        <f t="shared" si="3162"/>
        <v>|n</v>
      </c>
      <c r="CW250" s="24"/>
      <c r="CX250" s="24"/>
      <c r="CY250" s="24"/>
      <c r="CZ250" s="24"/>
      <c r="DA250" s="24"/>
      <c r="DB250" s="30" t="str">
        <f t="shared" si="3163"/>
        <v/>
      </c>
      <c r="DC250" s="30" t="str">
        <f t="shared" si="3164"/>
        <v/>
      </c>
      <c r="DD250" s="30" t="str">
        <f t="shared" si="3165"/>
        <v/>
      </c>
      <c r="DE250" s="30" t="str">
        <f t="shared" si="3166"/>
        <v/>
      </c>
      <c r="DF250" s="30" t="str">
        <f t="shared" si="3167"/>
        <v/>
      </c>
      <c r="DG250" s="30" t="str">
        <f t="shared" si="3168"/>
        <v/>
      </c>
      <c r="DH250" s="30" t="str">
        <f t="shared" si="3169"/>
        <v/>
      </c>
      <c r="DI250" s="30" t="str">
        <f t="shared" si="3170"/>
        <v/>
      </c>
      <c r="DJ250" s="30" t="str">
        <f t="shared" si="3171"/>
        <v/>
      </c>
      <c r="DK250" s="30" t="str">
        <f t="shared" si="3172"/>
        <v/>
      </c>
      <c r="DL250" s="30" t="str">
        <f t="shared" si="3173"/>
        <v/>
      </c>
      <c r="DM250" s="30" t="str">
        <f t="shared" si="3174"/>
        <v/>
      </c>
      <c r="DN250" s="30" t="str">
        <f t="shared" si="3175"/>
        <v/>
      </c>
      <c r="DO250" s="30" t="str">
        <f t="shared" si="3176"/>
        <v/>
      </c>
      <c r="DP250" s="30" t="str">
        <f t="shared" si="3177"/>
        <v/>
      </c>
      <c r="DQ250" s="30" t="str">
        <f t="shared" si="3178"/>
        <v/>
      </c>
      <c r="DR250" s="30" t="str">
        <f t="shared" si="3179"/>
        <v/>
      </c>
      <c r="DS250" s="30" t="str">
        <f t="shared" si="3180"/>
        <v/>
      </c>
      <c r="DT250" s="30" t="str">
        <f t="shared" si="3181"/>
        <v/>
      </c>
      <c r="DU250" s="30" t="str">
        <f t="shared" si="3182"/>
        <v/>
      </c>
      <c r="DV250" s="30" t="str">
        <f t="shared" si="3183"/>
        <v/>
      </c>
      <c r="DW250" s="30" t="str">
        <f t="shared" si="3184"/>
        <v/>
      </c>
      <c r="DX250" s="30" t="str">
        <f t="shared" si="3185"/>
        <v/>
      </c>
      <c r="DY250" s="30" t="str">
        <f t="shared" si="3186"/>
        <v/>
      </c>
      <c r="DZ250" s="30" t="str">
        <f t="shared" si="3187"/>
        <v/>
      </c>
      <c r="EA250" s="30" t="str">
        <f t="shared" si="3188"/>
        <v/>
      </c>
      <c r="EB250" s="30" t="str">
        <f t="shared" si="3189"/>
        <v/>
      </c>
      <c r="EC250" s="30" t="str">
        <f t="shared" si="3190"/>
        <v/>
      </c>
      <c r="ED250" s="30" t="str">
        <f t="shared" si="3191"/>
        <v/>
      </c>
      <c r="EE250" s="30" t="str">
        <f t="shared" si="3192"/>
        <v/>
      </c>
      <c r="EF250" s="30" t="str">
        <f t="shared" si="3193"/>
        <v/>
      </c>
      <c r="EG250" s="30" t="str">
        <f t="shared" si="3194"/>
        <v/>
      </c>
      <c r="EH250" s="30" t="str">
        <f t="shared" si="3195"/>
        <v/>
      </c>
      <c r="EI250" s="30" t="str">
        <f t="shared" si="3196"/>
        <v/>
      </c>
      <c r="EJ250" s="30" t="str">
        <f t="shared" si="3197"/>
        <v/>
      </c>
      <c r="EK250" s="30" t="str">
        <f t="shared" si="3198"/>
        <v/>
      </c>
      <c r="EL250" s="30" t="str">
        <f t="shared" si="3199"/>
        <v/>
      </c>
      <c r="EM250" s="30" t="str">
        <f t="shared" si="3200"/>
        <v/>
      </c>
      <c r="EN250" s="30" t="str">
        <f t="shared" si="3201"/>
        <v/>
      </c>
      <c r="EO250" s="30" t="str">
        <f t="shared" si="3202"/>
        <v/>
      </c>
      <c r="EP250" s="30" t="str">
        <f t="shared" si="3203"/>
        <v/>
      </c>
      <c r="EQ250" s="30" t="str">
        <f t="shared" si="3204"/>
        <v/>
      </c>
      <c r="ER250" s="30" t="str">
        <f t="shared" si="3205"/>
        <v/>
      </c>
      <c r="ES250" s="30" t="str">
        <f t="shared" si="3206"/>
        <v/>
      </c>
      <c r="ET250" s="30" t="str">
        <f t="shared" si="3207"/>
        <v/>
      </c>
      <c r="EU250" s="30" t="str">
        <f t="shared" si="3208"/>
        <v/>
      </c>
      <c r="EV250" s="30" t="str">
        <f t="shared" si="3209"/>
        <v/>
      </c>
      <c r="EW250" s="30" t="str">
        <f t="shared" si="3210"/>
        <v/>
      </c>
      <c r="EX250" s="30" t="str">
        <f t="shared" si="3211"/>
        <v/>
      </c>
      <c r="EY250" s="30" t="str">
        <f t="shared" si="3212"/>
        <v/>
      </c>
      <c r="EZ250" s="30" t="str">
        <f t="shared" si="3213"/>
        <v/>
      </c>
      <c r="FA250" s="30" t="str">
        <f t="shared" si="3214"/>
        <v/>
      </c>
      <c r="FB250" s="30" t="str">
        <f t="shared" si="3215"/>
        <v/>
      </c>
      <c r="FC250" s="30" t="str">
        <f t="shared" si="3216"/>
        <v/>
      </c>
      <c r="FD250" s="30" t="str">
        <f t="shared" si="3217"/>
        <v/>
      </c>
      <c r="FE250" s="30" t="str">
        <f t="shared" si="3218"/>
        <v/>
      </c>
      <c r="FF250" s="30" t="str">
        <f t="shared" si="3219"/>
        <v/>
      </c>
      <c r="FG250" s="30" t="str">
        <f t="shared" si="3220"/>
        <v/>
      </c>
      <c r="FH250" s="30" t="str">
        <f t="shared" si="3221"/>
        <v/>
      </c>
      <c r="FI250" s="30" t="str">
        <f t="shared" si="3222"/>
        <v/>
      </c>
      <c r="FJ250" s="30" t="str">
        <f t="shared" si="3223"/>
        <v/>
      </c>
      <c r="FK250" s="30" t="str">
        <f t="shared" si="3224"/>
        <v/>
      </c>
      <c r="FL250" s="30" t="str">
        <f t="shared" si="3225"/>
        <v/>
      </c>
      <c r="FM250" s="30" t="str">
        <f t="shared" si="3226"/>
        <v/>
      </c>
      <c r="FN250" s="30" t="str">
        <f t="shared" si="3227"/>
        <v/>
      </c>
      <c r="FO250" s="30" t="str">
        <f t="shared" si="3228"/>
        <v/>
      </c>
      <c r="FP250" s="30" t="str">
        <f t="shared" si="3229"/>
        <v/>
      </c>
      <c r="FQ250" s="30" t="str">
        <f t="shared" si="3230"/>
        <v/>
      </c>
      <c r="FR250" s="30" t="str">
        <f t="shared" si="3231"/>
        <v/>
      </c>
      <c r="FS250" s="30" t="str">
        <f t="shared" si="3232"/>
        <v/>
      </c>
    </row>
    <row r="251" spans="1:175">
      <c r="CN251" s="7" t="str">
        <f t="shared" si="3157"/>
        <v>InitUnitState('',,,,,,,,,,)</v>
      </c>
      <c r="CO251" s="7" t="str">
        <f t="shared" si="3158"/>
        <v>InitUnitNormal('',,,,,,,,,,)</v>
      </c>
      <c r="CP251" s="7" t="str">
        <f t="shared" si="3159"/>
        <v>InitUnitMagic('',,,,,,,,,,)</v>
      </c>
      <c r="CQ251" s="7" t="str">
        <f t="shared" si="3160"/>
        <v>InitUnitAdd('',,,,,,,,,,)</v>
      </c>
      <c r="CR251" s="7" t="str">
        <f t="shared" si="3161"/>
        <v>InitEquipData('',,"",,,,,'','','','','','',"")</v>
      </c>
      <c r="CU251" s="29" t="str">
        <f t="shared" si="3162"/>
        <v>|n</v>
      </c>
      <c r="CW251" s="24"/>
      <c r="CX251" s="24"/>
      <c r="CY251" s="24"/>
      <c r="CZ251" s="24"/>
      <c r="DA251" s="24"/>
      <c r="DB251" s="30" t="str">
        <f t="shared" si="3163"/>
        <v/>
      </c>
      <c r="DC251" s="30" t="str">
        <f t="shared" si="3164"/>
        <v/>
      </c>
      <c r="DD251" s="30" t="str">
        <f t="shared" si="3165"/>
        <v/>
      </c>
      <c r="DE251" s="30" t="str">
        <f t="shared" si="3166"/>
        <v/>
      </c>
      <c r="DF251" s="30" t="str">
        <f t="shared" si="3167"/>
        <v/>
      </c>
      <c r="DG251" s="30" t="str">
        <f t="shared" si="3168"/>
        <v/>
      </c>
      <c r="DH251" s="30" t="str">
        <f t="shared" si="3169"/>
        <v/>
      </c>
      <c r="DI251" s="30" t="str">
        <f t="shared" si="3170"/>
        <v/>
      </c>
      <c r="DJ251" s="30" t="str">
        <f t="shared" si="3171"/>
        <v/>
      </c>
      <c r="DK251" s="30" t="str">
        <f t="shared" si="3172"/>
        <v/>
      </c>
      <c r="DL251" s="30" t="str">
        <f t="shared" si="3173"/>
        <v/>
      </c>
      <c r="DM251" s="30" t="str">
        <f t="shared" si="3174"/>
        <v/>
      </c>
      <c r="DN251" s="30" t="str">
        <f t="shared" si="3175"/>
        <v/>
      </c>
      <c r="DO251" s="30" t="str">
        <f t="shared" si="3176"/>
        <v/>
      </c>
      <c r="DP251" s="30" t="str">
        <f t="shared" si="3177"/>
        <v/>
      </c>
      <c r="DQ251" s="30" t="str">
        <f t="shared" si="3178"/>
        <v/>
      </c>
      <c r="DR251" s="30" t="str">
        <f t="shared" si="3179"/>
        <v/>
      </c>
      <c r="DS251" s="30" t="str">
        <f t="shared" si="3180"/>
        <v/>
      </c>
      <c r="DT251" s="30" t="str">
        <f t="shared" si="3181"/>
        <v/>
      </c>
      <c r="DU251" s="30" t="str">
        <f t="shared" si="3182"/>
        <v/>
      </c>
      <c r="DV251" s="30" t="str">
        <f t="shared" si="3183"/>
        <v/>
      </c>
      <c r="DW251" s="30" t="str">
        <f t="shared" si="3184"/>
        <v/>
      </c>
      <c r="DX251" s="30" t="str">
        <f t="shared" si="3185"/>
        <v/>
      </c>
      <c r="DY251" s="30" t="str">
        <f t="shared" si="3186"/>
        <v/>
      </c>
      <c r="DZ251" s="30" t="str">
        <f t="shared" si="3187"/>
        <v/>
      </c>
      <c r="EA251" s="30" t="str">
        <f t="shared" si="3188"/>
        <v/>
      </c>
      <c r="EB251" s="30" t="str">
        <f t="shared" si="3189"/>
        <v/>
      </c>
      <c r="EC251" s="30" t="str">
        <f t="shared" si="3190"/>
        <v/>
      </c>
      <c r="ED251" s="30" t="str">
        <f t="shared" si="3191"/>
        <v/>
      </c>
      <c r="EE251" s="30" t="str">
        <f t="shared" si="3192"/>
        <v/>
      </c>
      <c r="EF251" s="30" t="str">
        <f t="shared" si="3193"/>
        <v/>
      </c>
      <c r="EG251" s="30" t="str">
        <f t="shared" si="3194"/>
        <v/>
      </c>
      <c r="EH251" s="30" t="str">
        <f t="shared" si="3195"/>
        <v/>
      </c>
      <c r="EI251" s="30" t="str">
        <f t="shared" si="3196"/>
        <v/>
      </c>
      <c r="EJ251" s="30" t="str">
        <f t="shared" si="3197"/>
        <v/>
      </c>
      <c r="EK251" s="30" t="str">
        <f t="shared" si="3198"/>
        <v/>
      </c>
      <c r="EL251" s="30" t="str">
        <f t="shared" si="3199"/>
        <v/>
      </c>
      <c r="EM251" s="30" t="str">
        <f t="shared" si="3200"/>
        <v/>
      </c>
      <c r="EN251" s="30" t="str">
        <f t="shared" si="3201"/>
        <v/>
      </c>
      <c r="EO251" s="30" t="str">
        <f t="shared" si="3202"/>
        <v/>
      </c>
      <c r="EP251" s="30" t="str">
        <f t="shared" si="3203"/>
        <v/>
      </c>
      <c r="EQ251" s="30" t="str">
        <f t="shared" si="3204"/>
        <v/>
      </c>
      <c r="ER251" s="30" t="str">
        <f t="shared" si="3205"/>
        <v/>
      </c>
      <c r="ES251" s="30" t="str">
        <f t="shared" si="3206"/>
        <v/>
      </c>
      <c r="ET251" s="30" t="str">
        <f t="shared" si="3207"/>
        <v/>
      </c>
      <c r="EU251" s="30" t="str">
        <f t="shared" si="3208"/>
        <v/>
      </c>
      <c r="EV251" s="30" t="str">
        <f t="shared" si="3209"/>
        <v/>
      </c>
      <c r="EW251" s="30" t="str">
        <f t="shared" si="3210"/>
        <v/>
      </c>
      <c r="EX251" s="30" t="str">
        <f t="shared" si="3211"/>
        <v/>
      </c>
      <c r="EY251" s="30" t="str">
        <f t="shared" si="3212"/>
        <v/>
      </c>
      <c r="EZ251" s="30" t="str">
        <f t="shared" si="3213"/>
        <v/>
      </c>
      <c r="FA251" s="30" t="str">
        <f t="shared" si="3214"/>
        <v/>
      </c>
      <c r="FB251" s="30" t="str">
        <f t="shared" si="3215"/>
        <v/>
      </c>
      <c r="FC251" s="30" t="str">
        <f t="shared" si="3216"/>
        <v/>
      </c>
      <c r="FD251" s="30" t="str">
        <f t="shared" si="3217"/>
        <v/>
      </c>
      <c r="FE251" s="30" t="str">
        <f t="shared" si="3218"/>
        <v/>
      </c>
      <c r="FF251" s="30" t="str">
        <f t="shared" si="3219"/>
        <v/>
      </c>
      <c r="FG251" s="30" t="str">
        <f t="shared" si="3220"/>
        <v/>
      </c>
      <c r="FH251" s="30" t="str">
        <f t="shared" si="3221"/>
        <v/>
      </c>
      <c r="FI251" s="30" t="str">
        <f t="shared" si="3222"/>
        <v/>
      </c>
      <c r="FJ251" s="30" t="str">
        <f t="shared" si="3223"/>
        <v/>
      </c>
      <c r="FK251" s="30" t="str">
        <f t="shared" si="3224"/>
        <v/>
      </c>
      <c r="FL251" s="30" t="str">
        <f t="shared" si="3225"/>
        <v/>
      </c>
      <c r="FM251" s="30" t="str">
        <f t="shared" si="3226"/>
        <v/>
      </c>
      <c r="FN251" s="30" t="str">
        <f t="shared" si="3227"/>
        <v/>
      </c>
      <c r="FO251" s="30" t="str">
        <f t="shared" si="3228"/>
        <v/>
      </c>
      <c r="FP251" s="30" t="str">
        <f t="shared" si="3229"/>
        <v/>
      </c>
      <c r="FQ251" s="30" t="str">
        <f t="shared" si="3230"/>
        <v/>
      </c>
      <c r="FR251" s="30" t="str">
        <f t="shared" si="3231"/>
        <v/>
      </c>
      <c r="FS251" s="30" t="str">
        <f t="shared" si="3232"/>
        <v/>
      </c>
    </row>
    <row r="252" spans="1:175">
      <c r="CN252" s="7" t="str">
        <f t="shared" si="3157"/>
        <v>InitUnitState('',,,,,,,,,,)</v>
      </c>
      <c r="CO252" s="7" t="str">
        <f t="shared" si="3158"/>
        <v>InitUnitNormal('',,,,,,,,,,)</v>
      </c>
      <c r="CP252" s="7" t="str">
        <f t="shared" si="3159"/>
        <v>InitUnitMagic('',,,,,,,,,,)</v>
      </c>
      <c r="CQ252" s="7" t="str">
        <f t="shared" si="3160"/>
        <v>InitUnitAdd('',,,,,,,,,,)</v>
      </c>
      <c r="CR252" s="7" t="str">
        <f t="shared" si="3161"/>
        <v>InitEquipData('',,"",,,,,'','','','','','',"")</v>
      </c>
      <c r="CU252" s="29" t="str">
        <f t="shared" si="3162"/>
        <v>|n</v>
      </c>
      <c r="CW252" s="24"/>
      <c r="CX252" s="24"/>
      <c r="CY252" s="24"/>
      <c r="CZ252" s="24"/>
      <c r="DA252" s="24"/>
      <c r="DB252" s="30" t="str">
        <f t="shared" si="3163"/>
        <v/>
      </c>
      <c r="DC252" s="30" t="str">
        <f t="shared" si="3164"/>
        <v/>
      </c>
      <c r="DD252" s="30" t="str">
        <f t="shared" si="3165"/>
        <v/>
      </c>
      <c r="DE252" s="30" t="str">
        <f t="shared" si="3166"/>
        <v/>
      </c>
      <c r="DF252" s="30" t="str">
        <f t="shared" si="3167"/>
        <v/>
      </c>
      <c r="DG252" s="30" t="str">
        <f t="shared" si="3168"/>
        <v/>
      </c>
      <c r="DH252" s="30" t="str">
        <f t="shared" si="3169"/>
        <v/>
      </c>
      <c r="DI252" s="30" t="str">
        <f t="shared" si="3170"/>
        <v/>
      </c>
      <c r="DJ252" s="30" t="str">
        <f t="shared" si="3171"/>
        <v/>
      </c>
      <c r="DK252" s="30" t="str">
        <f t="shared" si="3172"/>
        <v/>
      </c>
      <c r="DL252" s="30" t="str">
        <f t="shared" si="3173"/>
        <v/>
      </c>
      <c r="DM252" s="30" t="str">
        <f t="shared" si="3174"/>
        <v/>
      </c>
      <c r="DN252" s="30" t="str">
        <f t="shared" si="3175"/>
        <v/>
      </c>
      <c r="DO252" s="30" t="str">
        <f t="shared" si="3176"/>
        <v/>
      </c>
      <c r="DP252" s="30" t="str">
        <f t="shared" si="3177"/>
        <v/>
      </c>
      <c r="DQ252" s="30" t="str">
        <f t="shared" si="3178"/>
        <v/>
      </c>
      <c r="DR252" s="30" t="str">
        <f t="shared" si="3179"/>
        <v/>
      </c>
      <c r="DS252" s="30" t="str">
        <f t="shared" si="3180"/>
        <v/>
      </c>
      <c r="DT252" s="30" t="str">
        <f t="shared" si="3181"/>
        <v/>
      </c>
      <c r="DU252" s="30" t="str">
        <f t="shared" si="3182"/>
        <v/>
      </c>
      <c r="DV252" s="30" t="str">
        <f t="shared" si="3183"/>
        <v/>
      </c>
      <c r="DW252" s="30" t="str">
        <f t="shared" si="3184"/>
        <v/>
      </c>
      <c r="DX252" s="30" t="str">
        <f t="shared" si="3185"/>
        <v/>
      </c>
      <c r="DY252" s="30" t="str">
        <f t="shared" si="3186"/>
        <v/>
      </c>
      <c r="DZ252" s="30" t="str">
        <f t="shared" si="3187"/>
        <v/>
      </c>
      <c r="EA252" s="30" t="str">
        <f t="shared" si="3188"/>
        <v/>
      </c>
      <c r="EB252" s="30" t="str">
        <f t="shared" si="3189"/>
        <v/>
      </c>
      <c r="EC252" s="30" t="str">
        <f t="shared" si="3190"/>
        <v/>
      </c>
      <c r="ED252" s="30" t="str">
        <f t="shared" si="3191"/>
        <v/>
      </c>
      <c r="EE252" s="30" t="str">
        <f t="shared" si="3192"/>
        <v/>
      </c>
      <c r="EF252" s="30" t="str">
        <f t="shared" si="3193"/>
        <v/>
      </c>
      <c r="EG252" s="30" t="str">
        <f t="shared" si="3194"/>
        <v/>
      </c>
      <c r="EH252" s="30" t="str">
        <f t="shared" si="3195"/>
        <v/>
      </c>
      <c r="EI252" s="30" t="str">
        <f t="shared" si="3196"/>
        <v/>
      </c>
      <c r="EJ252" s="30" t="str">
        <f t="shared" si="3197"/>
        <v/>
      </c>
      <c r="EK252" s="30" t="str">
        <f t="shared" si="3198"/>
        <v/>
      </c>
      <c r="EL252" s="30" t="str">
        <f t="shared" si="3199"/>
        <v/>
      </c>
      <c r="EM252" s="30" t="str">
        <f t="shared" si="3200"/>
        <v/>
      </c>
      <c r="EN252" s="30" t="str">
        <f t="shared" si="3201"/>
        <v/>
      </c>
      <c r="EO252" s="30" t="str">
        <f t="shared" si="3202"/>
        <v/>
      </c>
      <c r="EP252" s="30" t="str">
        <f t="shared" si="3203"/>
        <v/>
      </c>
      <c r="EQ252" s="30" t="str">
        <f t="shared" si="3204"/>
        <v/>
      </c>
      <c r="ER252" s="30" t="str">
        <f t="shared" si="3205"/>
        <v/>
      </c>
      <c r="ES252" s="30" t="str">
        <f t="shared" si="3206"/>
        <v/>
      </c>
      <c r="ET252" s="30" t="str">
        <f t="shared" si="3207"/>
        <v/>
      </c>
      <c r="EU252" s="30" t="str">
        <f t="shared" si="3208"/>
        <v/>
      </c>
      <c r="EV252" s="30" t="str">
        <f t="shared" si="3209"/>
        <v/>
      </c>
      <c r="EW252" s="30" t="str">
        <f t="shared" si="3210"/>
        <v/>
      </c>
      <c r="EX252" s="30" t="str">
        <f t="shared" si="3211"/>
        <v/>
      </c>
      <c r="EY252" s="30" t="str">
        <f t="shared" si="3212"/>
        <v/>
      </c>
      <c r="EZ252" s="30" t="str">
        <f t="shared" si="3213"/>
        <v/>
      </c>
      <c r="FA252" s="30" t="str">
        <f t="shared" si="3214"/>
        <v/>
      </c>
      <c r="FB252" s="30" t="str">
        <f t="shared" si="3215"/>
        <v/>
      </c>
      <c r="FC252" s="30" t="str">
        <f t="shared" si="3216"/>
        <v/>
      </c>
      <c r="FD252" s="30" t="str">
        <f t="shared" si="3217"/>
        <v/>
      </c>
      <c r="FE252" s="30" t="str">
        <f t="shared" si="3218"/>
        <v/>
      </c>
      <c r="FF252" s="30" t="str">
        <f t="shared" si="3219"/>
        <v/>
      </c>
      <c r="FG252" s="30" t="str">
        <f t="shared" si="3220"/>
        <v/>
      </c>
      <c r="FH252" s="30" t="str">
        <f t="shared" si="3221"/>
        <v/>
      </c>
      <c r="FI252" s="30" t="str">
        <f t="shared" si="3222"/>
        <v/>
      </c>
      <c r="FJ252" s="30" t="str">
        <f t="shared" si="3223"/>
        <v/>
      </c>
      <c r="FK252" s="30" t="str">
        <f t="shared" si="3224"/>
        <v/>
      </c>
      <c r="FL252" s="30" t="str">
        <f t="shared" si="3225"/>
        <v/>
      </c>
      <c r="FM252" s="30" t="str">
        <f t="shared" si="3226"/>
        <v/>
      </c>
      <c r="FN252" s="30" t="str">
        <f t="shared" si="3227"/>
        <v/>
      </c>
      <c r="FO252" s="30" t="str">
        <f t="shared" si="3228"/>
        <v/>
      </c>
      <c r="FP252" s="30" t="str">
        <f t="shared" si="3229"/>
        <v/>
      </c>
      <c r="FQ252" s="30" t="str">
        <f t="shared" si="3230"/>
        <v/>
      </c>
      <c r="FR252" s="30" t="str">
        <f t="shared" si="3231"/>
        <v/>
      </c>
      <c r="FS252" s="30" t="str">
        <f t="shared" si="3232"/>
        <v/>
      </c>
    </row>
    <row r="253" spans="1:175">
      <c r="CN253" s="7" t="str">
        <f t="shared" si="3157"/>
        <v>InitUnitState('',,,,,,,,,,)</v>
      </c>
      <c r="CO253" s="7" t="str">
        <f t="shared" si="3158"/>
        <v>InitUnitNormal('',,,,,,,,,,)</v>
      </c>
      <c r="CP253" s="7" t="str">
        <f t="shared" si="3159"/>
        <v>InitUnitMagic('',,,,,,,,,,)</v>
      </c>
      <c r="CQ253" s="7" t="str">
        <f t="shared" si="3160"/>
        <v>InitUnitAdd('',,,,,,,,,,)</v>
      </c>
      <c r="CR253" s="7" t="str">
        <f t="shared" si="3161"/>
        <v>InitEquipData('',,"",,,,,'','','','','','',"")</v>
      </c>
      <c r="CU253" s="29" t="str">
        <f t="shared" si="3162"/>
        <v>|n</v>
      </c>
      <c r="CW253" s="24"/>
      <c r="CX253" s="24"/>
      <c r="CY253" s="24"/>
      <c r="CZ253" s="24"/>
      <c r="DA253" s="24"/>
      <c r="DB253" s="30" t="str">
        <f t="shared" si="3163"/>
        <v/>
      </c>
      <c r="DC253" s="30" t="str">
        <f t="shared" si="3164"/>
        <v/>
      </c>
      <c r="DD253" s="30" t="str">
        <f t="shared" si="3165"/>
        <v/>
      </c>
      <c r="DE253" s="30" t="str">
        <f t="shared" si="3166"/>
        <v/>
      </c>
      <c r="DF253" s="30" t="str">
        <f t="shared" si="3167"/>
        <v/>
      </c>
      <c r="DG253" s="30" t="str">
        <f t="shared" si="3168"/>
        <v/>
      </c>
      <c r="DH253" s="30" t="str">
        <f t="shared" si="3169"/>
        <v/>
      </c>
      <c r="DI253" s="30" t="str">
        <f t="shared" si="3170"/>
        <v/>
      </c>
      <c r="DJ253" s="30" t="str">
        <f t="shared" si="3171"/>
        <v/>
      </c>
      <c r="DK253" s="30" t="str">
        <f t="shared" si="3172"/>
        <v/>
      </c>
      <c r="DL253" s="30" t="str">
        <f t="shared" si="3173"/>
        <v/>
      </c>
      <c r="DM253" s="30" t="str">
        <f t="shared" si="3174"/>
        <v/>
      </c>
      <c r="DN253" s="30" t="str">
        <f t="shared" si="3175"/>
        <v/>
      </c>
      <c r="DO253" s="30" t="str">
        <f t="shared" si="3176"/>
        <v/>
      </c>
      <c r="DP253" s="30" t="str">
        <f t="shared" si="3177"/>
        <v/>
      </c>
      <c r="DQ253" s="30" t="str">
        <f t="shared" si="3178"/>
        <v/>
      </c>
      <c r="DR253" s="30" t="str">
        <f t="shared" si="3179"/>
        <v/>
      </c>
      <c r="DS253" s="30" t="str">
        <f t="shared" si="3180"/>
        <v/>
      </c>
      <c r="DT253" s="30" t="str">
        <f t="shared" si="3181"/>
        <v/>
      </c>
      <c r="DU253" s="30" t="str">
        <f t="shared" si="3182"/>
        <v/>
      </c>
      <c r="DV253" s="30" t="str">
        <f t="shared" si="3183"/>
        <v/>
      </c>
      <c r="DW253" s="30" t="str">
        <f t="shared" si="3184"/>
        <v/>
      </c>
      <c r="DX253" s="30" t="str">
        <f t="shared" si="3185"/>
        <v/>
      </c>
      <c r="DY253" s="30" t="str">
        <f t="shared" si="3186"/>
        <v/>
      </c>
      <c r="DZ253" s="30" t="str">
        <f t="shared" si="3187"/>
        <v/>
      </c>
      <c r="EA253" s="30" t="str">
        <f t="shared" si="3188"/>
        <v/>
      </c>
      <c r="EB253" s="30" t="str">
        <f t="shared" si="3189"/>
        <v/>
      </c>
      <c r="EC253" s="30" t="str">
        <f t="shared" si="3190"/>
        <v/>
      </c>
      <c r="ED253" s="30" t="str">
        <f t="shared" si="3191"/>
        <v/>
      </c>
      <c r="EE253" s="30" t="str">
        <f t="shared" si="3192"/>
        <v/>
      </c>
      <c r="EF253" s="30" t="str">
        <f t="shared" si="3193"/>
        <v/>
      </c>
      <c r="EG253" s="30" t="str">
        <f t="shared" si="3194"/>
        <v/>
      </c>
      <c r="EH253" s="30" t="str">
        <f t="shared" si="3195"/>
        <v/>
      </c>
      <c r="EI253" s="30" t="str">
        <f t="shared" si="3196"/>
        <v/>
      </c>
      <c r="EJ253" s="30" t="str">
        <f t="shared" si="3197"/>
        <v/>
      </c>
      <c r="EK253" s="30" t="str">
        <f t="shared" si="3198"/>
        <v/>
      </c>
      <c r="EL253" s="30" t="str">
        <f t="shared" si="3199"/>
        <v/>
      </c>
      <c r="EM253" s="30" t="str">
        <f t="shared" si="3200"/>
        <v/>
      </c>
      <c r="EN253" s="30" t="str">
        <f t="shared" si="3201"/>
        <v/>
      </c>
      <c r="EO253" s="30" t="str">
        <f t="shared" si="3202"/>
        <v/>
      </c>
      <c r="EP253" s="30" t="str">
        <f t="shared" si="3203"/>
        <v/>
      </c>
      <c r="EQ253" s="30" t="str">
        <f t="shared" si="3204"/>
        <v/>
      </c>
      <c r="ER253" s="30" t="str">
        <f t="shared" si="3205"/>
        <v/>
      </c>
      <c r="ES253" s="30" t="str">
        <f t="shared" si="3206"/>
        <v/>
      </c>
      <c r="ET253" s="30" t="str">
        <f t="shared" si="3207"/>
        <v/>
      </c>
      <c r="EU253" s="30" t="str">
        <f t="shared" si="3208"/>
        <v/>
      </c>
      <c r="EV253" s="30" t="str">
        <f t="shared" si="3209"/>
        <v/>
      </c>
      <c r="EW253" s="30" t="str">
        <f t="shared" si="3210"/>
        <v/>
      </c>
      <c r="EX253" s="30" t="str">
        <f t="shared" si="3211"/>
        <v/>
      </c>
      <c r="EY253" s="30" t="str">
        <f t="shared" si="3212"/>
        <v/>
      </c>
      <c r="EZ253" s="30" t="str">
        <f t="shared" si="3213"/>
        <v/>
      </c>
      <c r="FA253" s="30" t="str">
        <f t="shared" si="3214"/>
        <v/>
      </c>
      <c r="FB253" s="30" t="str">
        <f t="shared" si="3215"/>
        <v/>
      </c>
      <c r="FC253" s="30" t="str">
        <f t="shared" si="3216"/>
        <v/>
      </c>
      <c r="FD253" s="30" t="str">
        <f t="shared" si="3217"/>
        <v/>
      </c>
      <c r="FE253" s="30" t="str">
        <f t="shared" si="3218"/>
        <v/>
      </c>
      <c r="FF253" s="30" t="str">
        <f t="shared" si="3219"/>
        <v/>
      </c>
      <c r="FG253" s="30" t="str">
        <f t="shared" si="3220"/>
        <v/>
      </c>
      <c r="FH253" s="30" t="str">
        <f t="shared" si="3221"/>
        <v/>
      </c>
      <c r="FI253" s="30" t="str">
        <f t="shared" si="3222"/>
        <v/>
      </c>
      <c r="FJ253" s="30" t="str">
        <f t="shared" si="3223"/>
        <v/>
      </c>
      <c r="FK253" s="30" t="str">
        <f t="shared" si="3224"/>
        <v/>
      </c>
      <c r="FL253" s="30" t="str">
        <f t="shared" si="3225"/>
        <v/>
      </c>
      <c r="FM253" s="30" t="str">
        <f t="shared" si="3226"/>
        <v/>
      </c>
      <c r="FN253" s="30" t="str">
        <f t="shared" si="3227"/>
        <v/>
      </c>
      <c r="FO253" s="30" t="str">
        <f t="shared" si="3228"/>
        <v/>
      </c>
      <c r="FP253" s="30" t="str">
        <f t="shared" si="3229"/>
        <v/>
      </c>
      <c r="FQ253" s="30" t="str">
        <f t="shared" si="3230"/>
        <v/>
      </c>
      <c r="FR253" s="30" t="str">
        <f t="shared" si="3231"/>
        <v/>
      </c>
      <c r="FS253" s="30" t="str">
        <f t="shared" si="3232"/>
        <v/>
      </c>
    </row>
    <row r="254" spans="1:175">
      <c r="CN254" s="7" t="str">
        <f t="shared" si="3157"/>
        <v>InitUnitState('',,,,,,,,,,)</v>
      </c>
      <c r="CO254" s="7" t="str">
        <f t="shared" si="3158"/>
        <v>InitUnitNormal('',,,,,,,,,,)</v>
      </c>
      <c r="CP254" s="7" t="str">
        <f t="shared" si="3159"/>
        <v>InitUnitMagic('',,,,,,,,,,)</v>
      </c>
      <c r="CQ254" s="7" t="str">
        <f t="shared" si="3160"/>
        <v>InitUnitAdd('',,,,,,,,,,)</v>
      </c>
      <c r="CR254" s="7" t="str">
        <f t="shared" si="3161"/>
        <v>InitEquipData('',,"",,,,,'','','','','','',"")</v>
      </c>
      <c r="CU254" s="29" t="str">
        <f t="shared" si="3162"/>
        <v>|n</v>
      </c>
      <c r="CW254" s="24"/>
      <c r="CX254" s="24"/>
      <c r="CY254" s="24"/>
      <c r="CZ254" s="24"/>
      <c r="DA254" s="24"/>
      <c r="DB254" s="30" t="str">
        <f t="shared" si="3163"/>
        <v/>
      </c>
      <c r="DC254" s="30" t="str">
        <f t="shared" si="3164"/>
        <v/>
      </c>
      <c r="DD254" s="30" t="str">
        <f t="shared" si="3165"/>
        <v/>
      </c>
      <c r="DE254" s="30" t="str">
        <f t="shared" si="3166"/>
        <v/>
      </c>
      <c r="DF254" s="30" t="str">
        <f t="shared" si="3167"/>
        <v/>
      </c>
      <c r="DG254" s="30" t="str">
        <f t="shared" si="3168"/>
        <v/>
      </c>
      <c r="DH254" s="30" t="str">
        <f t="shared" si="3169"/>
        <v/>
      </c>
      <c r="DI254" s="30" t="str">
        <f t="shared" si="3170"/>
        <v/>
      </c>
      <c r="DJ254" s="30" t="str">
        <f t="shared" si="3171"/>
        <v/>
      </c>
      <c r="DK254" s="30" t="str">
        <f t="shared" si="3172"/>
        <v/>
      </c>
      <c r="DL254" s="30" t="str">
        <f t="shared" si="3173"/>
        <v/>
      </c>
      <c r="DM254" s="30" t="str">
        <f t="shared" si="3174"/>
        <v/>
      </c>
      <c r="DN254" s="30" t="str">
        <f t="shared" si="3175"/>
        <v/>
      </c>
      <c r="DO254" s="30" t="str">
        <f t="shared" si="3176"/>
        <v/>
      </c>
      <c r="DP254" s="30" t="str">
        <f t="shared" si="3177"/>
        <v/>
      </c>
      <c r="DQ254" s="30" t="str">
        <f t="shared" si="3178"/>
        <v/>
      </c>
      <c r="DR254" s="30" t="str">
        <f t="shared" si="3179"/>
        <v/>
      </c>
      <c r="DS254" s="30" t="str">
        <f t="shared" si="3180"/>
        <v/>
      </c>
      <c r="DT254" s="30" t="str">
        <f t="shared" si="3181"/>
        <v/>
      </c>
      <c r="DU254" s="30" t="str">
        <f t="shared" si="3182"/>
        <v/>
      </c>
      <c r="DV254" s="30" t="str">
        <f t="shared" si="3183"/>
        <v/>
      </c>
      <c r="DW254" s="30" t="str">
        <f t="shared" si="3184"/>
        <v/>
      </c>
      <c r="DX254" s="30" t="str">
        <f t="shared" si="3185"/>
        <v/>
      </c>
      <c r="DY254" s="30" t="str">
        <f t="shared" si="3186"/>
        <v/>
      </c>
      <c r="DZ254" s="30" t="str">
        <f t="shared" si="3187"/>
        <v/>
      </c>
      <c r="EA254" s="30" t="str">
        <f t="shared" si="3188"/>
        <v/>
      </c>
      <c r="EB254" s="30" t="str">
        <f t="shared" si="3189"/>
        <v/>
      </c>
      <c r="EC254" s="30" t="str">
        <f t="shared" si="3190"/>
        <v/>
      </c>
      <c r="ED254" s="30" t="str">
        <f t="shared" si="3191"/>
        <v/>
      </c>
      <c r="EE254" s="30" t="str">
        <f t="shared" si="3192"/>
        <v/>
      </c>
      <c r="EF254" s="30" t="str">
        <f t="shared" si="3193"/>
        <v/>
      </c>
      <c r="EG254" s="30" t="str">
        <f t="shared" si="3194"/>
        <v/>
      </c>
      <c r="EH254" s="30" t="str">
        <f t="shared" si="3195"/>
        <v/>
      </c>
      <c r="EI254" s="30" t="str">
        <f t="shared" si="3196"/>
        <v/>
      </c>
      <c r="EJ254" s="30" t="str">
        <f t="shared" si="3197"/>
        <v/>
      </c>
      <c r="EK254" s="30" t="str">
        <f t="shared" si="3198"/>
        <v/>
      </c>
      <c r="EL254" s="30" t="str">
        <f t="shared" si="3199"/>
        <v/>
      </c>
      <c r="EM254" s="30" t="str">
        <f t="shared" si="3200"/>
        <v/>
      </c>
      <c r="EN254" s="30" t="str">
        <f t="shared" si="3201"/>
        <v/>
      </c>
      <c r="EO254" s="30" t="str">
        <f t="shared" si="3202"/>
        <v/>
      </c>
      <c r="EP254" s="30" t="str">
        <f t="shared" si="3203"/>
        <v/>
      </c>
      <c r="EQ254" s="30" t="str">
        <f t="shared" si="3204"/>
        <v/>
      </c>
      <c r="ER254" s="30" t="str">
        <f t="shared" si="3205"/>
        <v/>
      </c>
      <c r="ES254" s="30" t="str">
        <f t="shared" si="3206"/>
        <v/>
      </c>
      <c r="ET254" s="30" t="str">
        <f t="shared" si="3207"/>
        <v/>
      </c>
      <c r="EU254" s="30" t="str">
        <f t="shared" si="3208"/>
        <v/>
      </c>
      <c r="EV254" s="30" t="str">
        <f t="shared" si="3209"/>
        <v/>
      </c>
      <c r="EW254" s="30" t="str">
        <f t="shared" si="3210"/>
        <v/>
      </c>
      <c r="EX254" s="30" t="str">
        <f t="shared" si="3211"/>
        <v/>
      </c>
      <c r="EY254" s="30" t="str">
        <f t="shared" si="3212"/>
        <v/>
      </c>
      <c r="EZ254" s="30" t="str">
        <f t="shared" si="3213"/>
        <v/>
      </c>
      <c r="FA254" s="30" t="str">
        <f t="shared" si="3214"/>
        <v/>
      </c>
      <c r="FB254" s="30" t="str">
        <f t="shared" si="3215"/>
        <v/>
      </c>
      <c r="FC254" s="30" t="str">
        <f t="shared" si="3216"/>
        <v/>
      </c>
      <c r="FD254" s="30" t="str">
        <f t="shared" si="3217"/>
        <v/>
      </c>
      <c r="FE254" s="30" t="str">
        <f t="shared" si="3218"/>
        <v/>
      </c>
      <c r="FF254" s="30" t="str">
        <f t="shared" si="3219"/>
        <v/>
      </c>
      <c r="FG254" s="30" t="str">
        <f t="shared" si="3220"/>
        <v/>
      </c>
      <c r="FH254" s="30" t="str">
        <f t="shared" si="3221"/>
        <v/>
      </c>
      <c r="FI254" s="30" t="str">
        <f t="shared" si="3222"/>
        <v/>
      </c>
      <c r="FJ254" s="30" t="str">
        <f t="shared" si="3223"/>
        <v/>
      </c>
      <c r="FK254" s="30" t="str">
        <f t="shared" si="3224"/>
        <v/>
      </c>
      <c r="FL254" s="30" t="str">
        <f t="shared" si="3225"/>
        <v/>
      </c>
      <c r="FM254" s="30" t="str">
        <f t="shared" si="3226"/>
        <v/>
      </c>
      <c r="FN254" s="30" t="str">
        <f t="shared" si="3227"/>
        <v/>
      </c>
      <c r="FO254" s="30" t="str">
        <f t="shared" si="3228"/>
        <v/>
      </c>
      <c r="FP254" s="30" t="str">
        <f t="shared" si="3229"/>
        <v/>
      </c>
      <c r="FQ254" s="30" t="str">
        <f t="shared" si="3230"/>
        <v/>
      </c>
      <c r="FR254" s="30" t="str">
        <f t="shared" si="3231"/>
        <v/>
      </c>
      <c r="FS254" s="30" t="str">
        <f t="shared" si="3232"/>
        <v/>
      </c>
    </row>
    <row r="255" spans="1:175">
      <c r="CN255" s="7" t="str">
        <f t="shared" si="3157"/>
        <v>InitUnitState('',,,,,,,,,,)</v>
      </c>
      <c r="CO255" s="7" t="str">
        <f t="shared" si="3158"/>
        <v>InitUnitNormal('',,,,,,,,,,)</v>
      </c>
      <c r="CP255" s="7" t="str">
        <f t="shared" si="3159"/>
        <v>InitUnitMagic('',,,,,,,,,,)</v>
      </c>
      <c r="CQ255" s="7" t="str">
        <f t="shared" si="3160"/>
        <v>InitUnitAdd('',,,,,,,,,,)</v>
      </c>
      <c r="CR255" s="7" t="str">
        <f t="shared" si="3161"/>
        <v>InitEquipData('',,"",,,,,'','','','','','',"")</v>
      </c>
      <c r="CU255" s="29" t="str">
        <f t="shared" si="3162"/>
        <v>|n</v>
      </c>
      <c r="CW255" s="24"/>
      <c r="CX255" s="24"/>
      <c r="CY255" s="24"/>
      <c r="CZ255" s="24"/>
      <c r="DA255" s="24"/>
      <c r="DB255" s="30" t="str">
        <f t="shared" si="3163"/>
        <v/>
      </c>
      <c r="DC255" s="30" t="str">
        <f t="shared" si="3164"/>
        <v/>
      </c>
      <c r="DD255" s="30" t="str">
        <f t="shared" si="3165"/>
        <v/>
      </c>
      <c r="DE255" s="30" t="str">
        <f t="shared" si="3166"/>
        <v/>
      </c>
      <c r="DF255" s="30" t="str">
        <f t="shared" si="3167"/>
        <v/>
      </c>
      <c r="DG255" s="30" t="str">
        <f t="shared" si="3168"/>
        <v/>
      </c>
      <c r="DH255" s="30" t="str">
        <f t="shared" si="3169"/>
        <v/>
      </c>
      <c r="DI255" s="30" t="str">
        <f t="shared" si="3170"/>
        <v/>
      </c>
      <c r="DJ255" s="30" t="str">
        <f t="shared" si="3171"/>
        <v/>
      </c>
      <c r="DK255" s="30" t="str">
        <f t="shared" si="3172"/>
        <v/>
      </c>
      <c r="DL255" s="30" t="str">
        <f t="shared" si="3173"/>
        <v/>
      </c>
      <c r="DM255" s="30" t="str">
        <f t="shared" si="3174"/>
        <v/>
      </c>
      <c r="DN255" s="30" t="str">
        <f t="shared" si="3175"/>
        <v/>
      </c>
      <c r="DO255" s="30" t="str">
        <f t="shared" si="3176"/>
        <v/>
      </c>
      <c r="DP255" s="30" t="str">
        <f t="shared" si="3177"/>
        <v/>
      </c>
      <c r="DQ255" s="30" t="str">
        <f t="shared" si="3178"/>
        <v/>
      </c>
      <c r="DR255" s="30" t="str">
        <f t="shared" si="3179"/>
        <v/>
      </c>
      <c r="DS255" s="30" t="str">
        <f t="shared" si="3180"/>
        <v/>
      </c>
      <c r="DT255" s="30" t="str">
        <f t="shared" si="3181"/>
        <v/>
      </c>
      <c r="DU255" s="30" t="str">
        <f t="shared" si="3182"/>
        <v/>
      </c>
      <c r="DV255" s="30" t="str">
        <f t="shared" si="3183"/>
        <v/>
      </c>
      <c r="DW255" s="30" t="str">
        <f t="shared" si="3184"/>
        <v/>
      </c>
      <c r="DX255" s="30" t="str">
        <f t="shared" si="3185"/>
        <v/>
      </c>
      <c r="DY255" s="30" t="str">
        <f t="shared" si="3186"/>
        <v/>
      </c>
      <c r="DZ255" s="30" t="str">
        <f t="shared" si="3187"/>
        <v/>
      </c>
      <c r="EA255" s="30" t="str">
        <f t="shared" si="3188"/>
        <v/>
      </c>
      <c r="EB255" s="30" t="str">
        <f t="shared" si="3189"/>
        <v/>
      </c>
      <c r="EC255" s="30" t="str">
        <f t="shared" si="3190"/>
        <v/>
      </c>
      <c r="ED255" s="30" t="str">
        <f t="shared" si="3191"/>
        <v/>
      </c>
      <c r="EE255" s="30" t="str">
        <f t="shared" si="3192"/>
        <v/>
      </c>
      <c r="EF255" s="30" t="str">
        <f t="shared" si="3193"/>
        <v/>
      </c>
      <c r="EG255" s="30" t="str">
        <f t="shared" si="3194"/>
        <v/>
      </c>
      <c r="EH255" s="30" t="str">
        <f t="shared" si="3195"/>
        <v/>
      </c>
      <c r="EI255" s="30" t="str">
        <f t="shared" si="3196"/>
        <v/>
      </c>
      <c r="EJ255" s="30" t="str">
        <f t="shared" si="3197"/>
        <v/>
      </c>
      <c r="EK255" s="30" t="str">
        <f t="shared" si="3198"/>
        <v/>
      </c>
      <c r="EL255" s="30" t="str">
        <f t="shared" si="3199"/>
        <v/>
      </c>
      <c r="EM255" s="30" t="str">
        <f t="shared" si="3200"/>
        <v/>
      </c>
      <c r="EN255" s="30" t="str">
        <f t="shared" si="3201"/>
        <v/>
      </c>
      <c r="EO255" s="30" t="str">
        <f t="shared" si="3202"/>
        <v/>
      </c>
      <c r="EP255" s="30" t="str">
        <f t="shared" si="3203"/>
        <v/>
      </c>
      <c r="EQ255" s="30" t="str">
        <f t="shared" si="3204"/>
        <v/>
      </c>
      <c r="ER255" s="30" t="str">
        <f t="shared" si="3205"/>
        <v/>
      </c>
      <c r="ES255" s="30" t="str">
        <f t="shared" si="3206"/>
        <v/>
      </c>
      <c r="ET255" s="30" t="str">
        <f t="shared" si="3207"/>
        <v/>
      </c>
      <c r="EU255" s="30" t="str">
        <f t="shared" si="3208"/>
        <v/>
      </c>
      <c r="EV255" s="30" t="str">
        <f t="shared" si="3209"/>
        <v/>
      </c>
      <c r="EW255" s="30" t="str">
        <f t="shared" si="3210"/>
        <v/>
      </c>
      <c r="EX255" s="30" t="str">
        <f t="shared" si="3211"/>
        <v/>
      </c>
      <c r="EY255" s="30" t="str">
        <f t="shared" si="3212"/>
        <v/>
      </c>
      <c r="EZ255" s="30" t="str">
        <f t="shared" si="3213"/>
        <v/>
      </c>
      <c r="FA255" s="30" t="str">
        <f t="shared" si="3214"/>
        <v/>
      </c>
      <c r="FB255" s="30" t="str">
        <f t="shared" si="3215"/>
        <v/>
      </c>
      <c r="FC255" s="30" t="str">
        <f t="shared" si="3216"/>
        <v/>
      </c>
      <c r="FD255" s="30" t="str">
        <f t="shared" si="3217"/>
        <v/>
      </c>
      <c r="FE255" s="30" t="str">
        <f t="shared" si="3218"/>
        <v/>
      </c>
      <c r="FF255" s="30" t="str">
        <f t="shared" si="3219"/>
        <v/>
      </c>
      <c r="FG255" s="30" t="str">
        <f t="shared" si="3220"/>
        <v/>
      </c>
      <c r="FH255" s="30" t="str">
        <f t="shared" si="3221"/>
        <v/>
      </c>
      <c r="FI255" s="30" t="str">
        <f t="shared" si="3222"/>
        <v/>
      </c>
      <c r="FJ255" s="30" t="str">
        <f t="shared" si="3223"/>
        <v/>
      </c>
      <c r="FK255" s="30" t="str">
        <f t="shared" si="3224"/>
        <v/>
      </c>
      <c r="FL255" s="30" t="str">
        <f t="shared" si="3225"/>
        <v/>
      </c>
      <c r="FM255" s="30" t="str">
        <f t="shared" si="3226"/>
        <v/>
      </c>
      <c r="FN255" s="30" t="str">
        <f t="shared" si="3227"/>
        <v/>
      </c>
      <c r="FO255" s="30" t="str">
        <f t="shared" si="3228"/>
        <v/>
      </c>
      <c r="FP255" s="30" t="str">
        <f t="shared" si="3229"/>
        <v/>
      </c>
      <c r="FQ255" s="30" t="str">
        <f t="shared" si="3230"/>
        <v/>
      </c>
      <c r="FR255" s="30" t="str">
        <f t="shared" si="3231"/>
        <v/>
      </c>
      <c r="FS255" s="30" t="str">
        <f t="shared" si="3232"/>
        <v/>
      </c>
    </row>
    <row r="256" spans="1:175">
      <c r="CN256" s="7" t="str">
        <f t="shared" si="3157"/>
        <v>InitUnitState('',,,,,,,,,,)</v>
      </c>
      <c r="CO256" s="7" t="str">
        <f t="shared" si="3158"/>
        <v>InitUnitNormal('',,,,,,,,,,)</v>
      </c>
      <c r="CP256" s="7" t="str">
        <f t="shared" si="3159"/>
        <v>InitUnitMagic('',,,,,,,,,,)</v>
      </c>
      <c r="CQ256" s="7" t="str">
        <f t="shared" si="3160"/>
        <v>InitUnitAdd('',,,,,,,,,,)</v>
      </c>
      <c r="CR256" s="7" t="str">
        <f t="shared" si="3161"/>
        <v>InitEquipData('',,"",,,,,'','','','','','',"")</v>
      </c>
      <c r="CU256" s="29" t="str">
        <f t="shared" si="3162"/>
        <v>|n</v>
      </c>
      <c r="CW256" s="24"/>
      <c r="CX256" s="24"/>
      <c r="CY256" s="24"/>
      <c r="CZ256" s="24"/>
      <c r="DA256" s="24"/>
      <c r="DB256" s="30" t="str">
        <f t="shared" si="3163"/>
        <v/>
      </c>
      <c r="DC256" s="30" t="str">
        <f t="shared" si="3164"/>
        <v/>
      </c>
      <c r="DD256" s="30" t="str">
        <f t="shared" si="3165"/>
        <v/>
      </c>
      <c r="DE256" s="30" t="str">
        <f t="shared" si="3166"/>
        <v/>
      </c>
      <c r="DF256" s="30" t="str">
        <f t="shared" si="3167"/>
        <v/>
      </c>
      <c r="DG256" s="30" t="str">
        <f t="shared" si="3168"/>
        <v/>
      </c>
      <c r="DH256" s="30" t="str">
        <f t="shared" si="3169"/>
        <v/>
      </c>
      <c r="DI256" s="30" t="str">
        <f t="shared" si="3170"/>
        <v/>
      </c>
      <c r="DJ256" s="30" t="str">
        <f t="shared" si="3171"/>
        <v/>
      </c>
      <c r="DK256" s="30" t="str">
        <f t="shared" si="3172"/>
        <v/>
      </c>
      <c r="DL256" s="30" t="str">
        <f t="shared" si="3173"/>
        <v/>
      </c>
      <c r="DM256" s="30" t="str">
        <f t="shared" si="3174"/>
        <v/>
      </c>
      <c r="DN256" s="30" t="str">
        <f t="shared" si="3175"/>
        <v/>
      </c>
      <c r="DO256" s="30" t="str">
        <f t="shared" si="3176"/>
        <v/>
      </c>
      <c r="DP256" s="30" t="str">
        <f t="shared" si="3177"/>
        <v/>
      </c>
      <c r="DQ256" s="30" t="str">
        <f t="shared" si="3178"/>
        <v/>
      </c>
      <c r="DR256" s="30" t="str">
        <f t="shared" si="3179"/>
        <v/>
      </c>
      <c r="DS256" s="30" t="str">
        <f t="shared" si="3180"/>
        <v/>
      </c>
      <c r="DT256" s="30" t="str">
        <f t="shared" si="3181"/>
        <v/>
      </c>
      <c r="DU256" s="30" t="str">
        <f t="shared" si="3182"/>
        <v/>
      </c>
      <c r="DV256" s="30" t="str">
        <f t="shared" si="3183"/>
        <v/>
      </c>
      <c r="DW256" s="30" t="str">
        <f t="shared" si="3184"/>
        <v/>
      </c>
      <c r="DX256" s="30" t="str">
        <f t="shared" si="3185"/>
        <v/>
      </c>
      <c r="DY256" s="30" t="str">
        <f t="shared" si="3186"/>
        <v/>
      </c>
      <c r="DZ256" s="30" t="str">
        <f t="shared" si="3187"/>
        <v/>
      </c>
      <c r="EA256" s="30" t="str">
        <f t="shared" si="3188"/>
        <v/>
      </c>
      <c r="EB256" s="30" t="str">
        <f t="shared" si="3189"/>
        <v/>
      </c>
      <c r="EC256" s="30" t="str">
        <f t="shared" si="3190"/>
        <v/>
      </c>
      <c r="ED256" s="30" t="str">
        <f t="shared" si="3191"/>
        <v/>
      </c>
      <c r="EE256" s="30" t="str">
        <f t="shared" si="3192"/>
        <v/>
      </c>
      <c r="EF256" s="30" t="str">
        <f t="shared" si="3193"/>
        <v/>
      </c>
      <c r="EG256" s="30" t="str">
        <f t="shared" si="3194"/>
        <v/>
      </c>
      <c r="EH256" s="30" t="str">
        <f t="shared" si="3195"/>
        <v/>
      </c>
      <c r="EI256" s="30" t="str">
        <f t="shared" si="3196"/>
        <v/>
      </c>
      <c r="EJ256" s="30" t="str">
        <f t="shared" si="3197"/>
        <v/>
      </c>
      <c r="EK256" s="30" t="str">
        <f t="shared" si="3198"/>
        <v/>
      </c>
      <c r="EL256" s="30" t="str">
        <f t="shared" si="3199"/>
        <v/>
      </c>
      <c r="EM256" s="30" t="str">
        <f t="shared" si="3200"/>
        <v/>
      </c>
      <c r="EN256" s="30" t="str">
        <f t="shared" si="3201"/>
        <v/>
      </c>
      <c r="EO256" s="30" t="str">
        <f t="shared" si="3202"/>
        <v/>
      </c>
      <c r="EP256" s="30" t="str">
        <f t="shared" si="3203"/>
        <v/>
      </c>
      <c r="EQ256" s="30" t="str">
        <f t="shared" si="3204"/>
        <v/>
      </c>
      <c r="ER256" s="30" t="str">
        <f t="shared" si="3205"/>
        <v/>
      </c>
      <c r="ES256" s="30" t="str">
        <f t="shared" si="3206"/>
        <v/>
      </c>
      <c r="ET256" s="30" t="str">
        <f t="shared" si="3207"/>
        <v/>
      </c>
      <c r="EU256" s="30" t="str">
        <f t="shared" si="3208"/>
        <v/>
      </c>
      <c r="EV256" s="30" t="str">
        <f t="shared" si="3209"/>
        <v/>
      </c>
      <c r="EW256" s="30" t="str">
        <f t="shared" si="3210"/>
        <v/>
      </c>
      <c r="EX256" s="30" t="str">
        <f t="shared" si="3211"/>
        <v/>
      </c>
      <c r="EY256" s="30" t="str">
        <f t="shared" si="3212"/>
        <v/>
      </c>
      <c r="EZ256" s="30" t="str">
        <f t="shared" si="3213"/>
        <v/>
      </c>
      <c r="FA256" s="30" t="str">
        <f t="shared" si="3214"/>
        <v/>
      </c>
      <c r="FB256" s="30" t="str">
        <f t="shared" si="3215"/>
        <v/>
      </c>
      <c r="FC256" s="30" t="str">
        <f t="shared" si="3216"/>
        <v/>
      </c>
      <c r="FD256" s="30" t="str">
        <f t="shared" si="3217"/>
        <v/>
      </c>
      <c r="FE256" s="30" t="str">
        <f t="shared" si="3218"/>
        <v/>
      </c>
      <c r="FF256" s="30" t="str">
        <f t="shared" si="3219"/>
        <v/>
      </c>
      <c r="FG256" s="30" t="str">
        <f t="shared" si="3220"/>
        <v/>
      </c>
      <c r="FH256" s="30" t="str">
        <f t="shared" si="3221"/>
        <v/>
      </c>
      <c r="FI256" s="30" t="str">
        <f t="shared" si="3222"/>
        <v/>
      </c>
      <c r="FJ256" s="30" t="str">
        <f t="shared" si="3223"/>
        <v/>
      </c>
      <c r="FK256" s="30" t="str">
        <f t="shared" si="3224"/>
        <v/>
      </c>
      <c r="FL256" s="30" t="str">
        <f t="shared" si="3225"/>
        <v/>
      </c>
      <c r="FM256" s="30" t="str">
        <f t="shared" si="3226"/>
        <v/>
      </c>
      <c r="FN256" s="30" t="str">
        <f t="shared" si="3227"/>
        <v/>
      </c>
      <c r="FO256" s="30" t="str">
        <f t="shared" si="3228"/>
        <v/>
      </c>
      <c r="FP256" s="30" t="str">
        <f t="shared" si="3229"/>
        <v/>
      </c>
      <c r="FQ256" s="30" t="str">
        <f t="shared" si="3230"/>
        <v/>
      </c>
      <c r="FR256" s="30" t="str">
        <f t="shared" si="3231"/>
        <v/>
      </c>
      <c r="FS256" s="30" t="str">
        <f t="shared" si="3232"/>
        <v/>
      </c>
    </row>
    <row r="257" spans="92:175">
      <c r="CN257" s="7" t="str">
        <f t="shared" si="3157"/>
        <v>InitUnitState('',,,,,,,,,,)</v>
      </c>
      <c r="CO257" s="7" t="str">
        <f t="shared" si="3158"/>
        <v>InitUnitNormal('',,,,,,,,,,)</v>
      </c>
      <c r="CP257" s="7" t="str">
        <f t="shared" si="3159"/>
        <v>InitUnitMagic('',,,,,,,,,,)</v>
      </c>
      <c r="CQ257" s="7" t="str">
        <f t="shared" si="3160"/>
        <v>InitUnitAdd('',,,,,,,,,,)</v>
      </c>
      <c r="CR257" s="7" t="str">
        <f t="shared" si="3161"/>
        <v>InitEquipData('',,"",,,,,'','','','','','',"")</v>
      </c>
      <c r="CU257" s="29" t="str">
        <f t="shared" si="3162"/>
        <v>|n</v>
      </c>
      <c r="CW257" s="24"/>
      <c r="CX257" s="24"/>
      <c r="CY257" s="24"/>
      <c r="CZ257" s="24"/>
      <c r="DA257" s="24"/>
      <c r="DB257" s="30" t="str">
        <f t="shared" si="3163"/>
        <v/>
      </c>
      <c r="DC257" s="30" t="str">
        <f t="shared" si="3164"/>
        <v/>
      </c>
      <c r="DD257" s="30" t="str">
        <f t="shared" si="3165"/>
        <v/>
      </c>
      <c r="DE257" s="30" t="str">
        <f t="shared" si="3166"/>
        <v/>
      </c>
      <c r="DF257" s="30" t="str">
        <f t="shared" si="3167"/>
        <v/>
      </c>
      <c r="DG257" s="30" t="str">
        <f t="shared" si="3168"/>
        <v/>
      </c>
      <c r="DH257" s="30" t="str">
        <f t="shared" si="3169"/>
        <v/>
      </c>
      <c r="DI257" s="30" t="str">
        <f t="shared" si="3170"/>
        <v/>
      </c>
      <c r="DJ257" s="30" t="str">
        <f t="shared" si="3171"/>
        <v/>
      </c>
      <c r="DK257" s="30" t="str">
        <f t="shared" si="3172"/>
        <v/>
      </c>
      <c r="DL257" s="30" t="str">
        <f t="shared" si="3173"/>
        <v/>
      </c>
      <c r="DM257" s="30" t="str">
        <f t="shared" si="3174"/>
        <v/>
      </c>
      <c r="DN257" s="30" t="str">
        <f t="shared" si="3175"/>
        <v/>
      </c>
      <c r="DO257" s="30" t="str">
        <f t="shared" si="3176"/>
        <v/>
      </c>
      <c r="DP257" s="30" t="str">
        <f t="shared" si="3177"/>
        <v/>
      </c>
      <c r="DQ257" s="30" t="str">
        <f t="shared" si="3178"/>
        <v/>
      </c>
      <c r="DR257" s="30" t="str">
        <f t="shared" si="3179"/>
        <v/>
      </c>
      <c r="DS257" s="30" t="str">
        <f t="shared" si="3180"/>
        <v/>
      </c>
      <c r="DT257" s="30" t="str">
        <f t="shared" si="3181"/>
        <v/>
      </c>
      <c r="DU257" s="30" t="str">
        <f t="shared" si="3182"/>
        <v/>
      </c>
      <c r="DV257" s="30" t="str">
        <f t="shared" si="3183"/>
        <v/>
      </c>
      <c r="DW257" s="30" t="str">
        <f t="shared" si="3184"/>
        <v/>
      </c>
      <c r="DX257" s="30" t="str">
        <f t="shared" si="3185"/>
        <v/>
      </c>
      <c r="DY257" s="30" t="str">
        <f t="shared" si="3186"/>
        <v/>
      </c>
      <c r="DZ257" s="30" t="str">
        <f t="shared" si="3187"/>
        <v/>
      </c>
      <c r="EA257" s="30" t="str">
        <f t="shared" si="3188"/>
        <v/>
      </c>
      <c r="EB257" s="30" t="str">
        <f t="shared" si="3189"/>
        <v/>
      </c>
      <c r="EC257" s="30" t="str">
        <f t="shared" si="3190"/>
        <v/>
      </c>
      <c r="ED257" s="30" t="str">
        <f t="shared" si="3191"/>
        <v/>
      </c>
      <c r="EE257" s="30" t="str">
        <f t="shared" si="3192"/>
        <v/>
      </c>
      <c r="EF257" s="30" t="str">
        <f t="shared" si="3193"/>
        <v/>
      </c>
      <c r="EG257" s="30" t="str">
        <f t="shared" si="3194"/>
        <v/>
      </c>
      <c r="EH257" s="30" t="str">
        <f t="shared" si="3195"/>
        <v/>
      </c>
      <c r="EI257" s="30" t="str">
        <f t="shared" si="3196"/>
        <v/>
      </c>
      <c r="EJ257" s="30" t="str">
        <f t="shared" si="3197"/>
        <v/>
      </c>
      <c r="EK257" s="30" t="str">
        <f t="shared" si="3198"/>
        <v/>
      </c>
      <c r="EL257" s="30" t="str">
        <f t="shared" si="3199"/>
        <v/>
      </c>
      <c r="EM257" s="30" t="str">
        <f t="shared" si="3200"/>
        <v/>
      </c>
      <c r="EN257" s="30" t="str">
        <f t="shared" si="3201"/>
        <v/>
      </c>
      <c r="EO257" s="30" t="str">
        <f t="shared" si="3202"/>
        <v/>
      </c>
      <c r="EP257" s="30" t="str">
        <f t="shared" si="3203"/>
        <v/>
      </c>
      <c r="EQ257" s="30" t="str">
        <f t="shared" si="3204"/>
        <v/>
      </c>
      <c r="ER257" s="30" t="str">
        <f t="shared" si="3205"/>
        <v/>
      </c>
      <c r="ES257" s="30" t="str">
        <f t="shared" si="3206"/>
        <v/>
      </c>
      <c r="ET257" s="30" t="str">
        <f t="shared" si="3207"/>
        <v/>
      </c>
      <c r="EU257" s="30" t="str">
        <f t="shared" si="3208"/>
        <v/>
      </c>
      <c r="EV257" s="30" t="str">
        <f t="shared" si="3209"/>
        <v/>
      </c>
      <c r="EW257" s="30" t="str">
        <f t="shared" si="3210"/>
        <v/>
      </c>
      <c r="EX257" s="30" t="str">
        <f t="shared" si="3211"/>
        <v/>
      </c>
      <c r="EY257" s="30" t="str">
        <f t="shared" si="3212"/>
        <v/>
      </c>
      <c r="EZ257" s="30" t="str">
        <f t="shared" si="3213"/>
        <v/>
      </c>
      <c r="FA257" s="30" t="str">
        <f t="shared" si="3214"/>
        <v/>
      </c>
      <c r="FB257" s="30" t="str">
        <f t="shared" si="3215"/>
        <v/>
      </c>
      <c r="FC257" s="30" t="str">
        <f t="shared" si="3216"/>
        <v/>
      </c>
      <c r="FD257" s="30" t="str">
        <f t="shared" si="3217"/>
        <v/>
      </c>
      <c r="FE257" s="30" t="str">
        <f t="shared" si="3218"/>
        <v/>
      </c>
      <c r="FF257" s="30" t="str">
        <f t="shared" si="3219"/>
        <v/>
      </c>
      <c r="FG257" s="30" t="str">
        <f t="shared" si="3220"/>
        <v/>
      </c>
      <c r="FH257" s="30" t="str">
        <f t="shared" si="3221"/>
        <v/>
      </c>
      <c r="FI257" s="30" t="str">
        <f t="shared" si="3222"/>
        <v/>
      </c>
      <c r="FJ257" s="30" t="str">
        <f t="shared" si="3223"/>
        <v/>
      </c>
      <c r="FK257" s="30" t="str">
        <f t="shared" si="3224"/>
        <v/>
      </c>
      <c r="FL257" s="30" t="str">
        <f t="shared" si="3225"/>
        <v/>
      </c>
      <c r="FM257" s="30" t="str">
        <f t="shared" si="3226"/>
        <v/>
      </c>
      <c r="FN257" s="30" t="str">
        <f t="shared" si="3227"/>
        <v/>
      </c>
      <c r="FO257" s="30" t="str">
        <f t="shared" si="3228"/>
        <v/>
      </c>
      <c r="FP257" s="30" t="str">
        <f t="shared" si="3229"/>
        <v/>
      </c>
      <c r="FQ257" s="30" t="str">
        <f t="shared" si="3230"/>
        <v/>
      </c>
      <c r="FR257" s="30" t="str">
        <f t="shared" si="3231"/>
        <v/>
      </c>
      <c r="FS257" s="30" t="str">
        <f t="shared" si="3232"/>
        <v/>
      </c>
    </row>
    <row r="258" spans="92:175">
      <c r="CN258" s="7" t="str">
        <f t="shared" si="3157"/>
        <v>InitUnitState('',,,,,,,,,,)</v>
      </c>
      <c r="CO258" s="7" t="str">
        <f t="shared" si="3158"/>
        <v>InitUnitNormal('',,,,,,,,,,)</v>
      </c>
      <c r="CP258" s="7" t="str">
        <f t="shared" si="3159"/>
        <v>InitUnitMagic('',,,,,,,,,,)</v>
      </c>
      <c r="CQ258" s="7" t="str">
        <f t="shared" si="3160"/>
        <v>InitUnitAdd('',,,,,,,,,,)</v>
      </c>
      <c r="CR258" s="7" t="str">
        <f t="shared" si="3161"/>
        <v>InitEquipData('',,"",,,,,'','','','','','',"")</v>
      </c>
      <c r="CU258" s="29" t="str">
        <f t="shared" si="3162"/>
        <v>|n</v>
      </c>
      <c r="CW258" s="24"/>
      <c r="CX258" s="24"/>
      <c r="CY258" s="24"/>
      <c r="CZ258" s="24"/>
      <c r="DA258" s="24"/>
      <c r="DB258" s="30" t="str">
        <f t="shared" si="3163"/>
        <v/>
      </c>
      <c r="DC258" s="30" t="str">
        <f t="shared" si="3164"/>
        <v/>
      </c>
      <c r="DD258" s="30" t="str">
        <f t="shared" si="3165"/>
        <v/>
      </c>
      <c r="DE258" s="30" t="str">
        <f t="shared" si="3166"/>
        <v/>
      </c>
      <c r="DF258" s="30" t="str">
        <f t="shared" si="3167"/>
        <v/>
      </c>
      <c r="DG258" s="30" t="str">
        <f t="shared" si="3168"/>
        <v/>
      </c>
      <c r="DH258" s="30" t="str">
        <f t="shared" si="3169"/>
        <v/>
      </c>
      <c r="DI258" s="30" t="str">
        <f t="shared" si="3170"/>
        <v/>
      </c>
      <c r="DJ258" s="30" t="str">
        <f t="shared" si="3171"/>
        <v/>
      </c>
      <c r="DK258" s="30" t="str">
        <f t="shared" si="3172"/>
        <v/>
      </c>
      <c r="DL258" s="30" t="str">
        <f t="shared" si="3173"/>
        <v/>
      </c>
      <c r="DM258" s="30" t="str">
        <f t="shared" si="3174"/>
        <v/>
      </c>
      <c r="DN258" s="30" t="str">
        <f t="shared" si="3175"/>
        <v/>
      </c>
      <c r="DO258" s="30" t="str">
        <f t="shared" si="3176"/>
        <v/>
      </c>
      <c r="DP258" s="30" t="str">
        <f t="shared" si="3177"/>
        <v/>
      </c>
      <c r="DQ258" s="30" t="str">
        <f t="shared" si="3178"/>
        <v/>
      </c>
      <c r="DR258" s="30" t="str">
        <f t="shared" si="3179"/>
        <v/>
      </c>
      <c r="DS258" s="30" t="str">
        <f t="shared" si="3180"/>
        <v/>
      </c>
      <c r="DT258" s="30" t="str">
        <f t="shared" si="3181"/>
        <v/>
      </c>
      <c r="DU258" s="30" t="str">
        <f t="shared" si="3182"/>
        <v/>
      </c>
      <c r="DV258" s="30" t="str">
        <f t="shared" si="3183"/>
        <v/>
      </c>
      <c r="DW258" s="30" t="str">
        <f t="shared" si="3184"/>
        <v/>
      </c>
      <c r="DX258" s="30" t="str">
        <f t="shared" si="3185"/>
        <v/>
      </c>
      <c r="DY258" s="30" t="str">
        <f t="shared" si="3186"/>
        <v/>
      </c>
      <c r="DZ258" s="30" t="str">
        <f t="shared" si="3187"/>
        <v/>
      </c>
      <c r="EA258" s="30" t="str">
        <f t="shared" si="3188"/>
        <v/>
      </c>
      <c r="EB258" s="30" t="str">
        <f t="shared" si="3189"/>
        <v/>
      </c>
      <c r="EC258" s="30" t="str">
        <f t="shared" si="3190"/>
        <v/>
      </c>
      <c r="ED258" s="30" t="str">
        <f t="shared" si="3191"/>
        <v/>
      </c>
      <c r="EE258" s="30" t="str">
        <f t="shared" si="3192"/>
        <v/>
      </c>
      <c r="EF258" s="30" t="str">
        <f t="shared" si="3193"/>
        <v/>
      </c>
      <c r="EG258" s="30" t="str">
        <f t="shared" si="3194"/>
        <v/>
      </c>
      <c r="EH258" s="30" t="str">
        <f t="shared" si="3195"/>
        <v/>
      </c>
      <c r="EI258" s="30" t="str">
        <f t="shared" si="3196"/>
        <v/>
      </c>
      <c r="EJ258" s="30" t="str">
        <f t="shared" si="3197"/>
        <v/>
      </c>
      <c r="EK258" s="30" t="str">
        <f t="shared" si="3198"/>
        <v/>
      </c>
      <c r="EL258" s="30" t="str">
        <f t="shared" si="3199"/>
        <v/>
      </c>
      <c r="EM258" s="30" t="str">
        <f t="shared" si="3200"/>
        <v/>
      </c>
      <c r="EN258" s="30" t="str">
        <f t="shared" si="3201"/>
        <v/>
      </c>
      <c r="EO258" s="30" t="str">
        <f t="shared" si="3202"/>
        <v/>
      </c>
      <c r="EP258" s="30" t="str">
        <f t="shared" si="3203"/>
        <v/>
      </c>
      <c r="EQ258" s="30" t="str">
        <f t="shared" si="3204"/>
        <v/>
      </c>
      <c r="ER258" s="30" t="str">
        <f t="shared" si="3205"/>
        <v/>
      </c>
      <c r="ES258" s="30" t="str">
        <f t="shared" si="3206"/>
        <v/>
      </c>
      <c r="ET258" s="30" t="str">
        <f t="shared" si="3207"/>
        <v/>
      </c>
      <c r="EU258" s="30" t="str">
        <f t="shared" si="3208"/>
        <v/>
      </c>
      <c r="EV258" s="30" t="str">
        <f t="shared" si="3209"/>
        <v/>
      </c>
      <c r="EW258" s="30" t="str">
        <f t="shared" si="3210"/>
        <v/>
      </c>
      <c r="EX258" s="30" t="str">
        <f t="shared" si="3211"/>
        <v/>
      </c>
      <c r="EY258" s="30" t="str">
        <f t="shared" si="3212"/>
        <v/>
      </c>
      <c r="EZ258" s="30" t="str">
        <f t="shared" si="3213"/>
        <v/>
      </c>
      <c r="FA258" s="30" t="str">
        <f t="shared" si="3214"/>
        <v/>
      </c>
      <c r="FB258" s="30" t="str">
        <f t="shared" si="3215"/>
        <v/>
      </c>
      <c r="FC258" s="30" t="str">
        <f t="shared" si="3216"/>
        <v/>
      </c>
      <c r="FD258" s="30" t="str">
        <f t="shared" si="3217"/>
        <v/>
      </c>
      <c r="FE258" s="30" t="str">
        <f t="shared" si="3218"/>
        <v/>
      </c>
      <c r="FF258" s="30" t="str">
        <f t="shared" si="3219"/>
        <v/>
      </c>
      <c r="FG258" s="30" t="str">
        <f t="shared" si="3220"/>
        <v/>
      </c>
      <c r="FH258" s="30" t="str">
        <f t="shared" si="3221"/>
        <v/>
      </c>
      <c r="FI258" s="30" t="str">
        <f t="shared" si="3222"/>
        <v/>
      </c>
      <c r="FJ258" s="30" t="str">
        <f t="shared" si="3223"/>
        <v/>
      </c>
      <c r="FK258" s="30" t="str">
        <f t="shared" si="3224"/>
        <v/>
      </c>
      <c r="FL258" s="30" t="str">
        <f t="shared" si="3225"/>
        <v/>
      </c>
      <c r="FM258" s="30" t="str">
        <f t="shared" si="3226"/>
        <v/>
      </c>
      <c r="FN258" s="30" t="str">
        <f t="shared" si="3227"/>
        <v/>
      </c>
      <c r="FO258" s="30" t="str">
        <f t="shared" si="3228"/>
        <v/>
      </c>
      <c r="FP258" s="30" t="str">
        <f t="shared" si="3229"/>
        <v/>
      </c>
      <c r="FQ258" s="30" t="str">
        <f t="shared" si="3230"/>
        <v/>
      </c>
      <c r="FR258" s="30" t="str">
        <f t="shared" si="3231"/>
        <v/>
      </c>
      <c r="FS258" s="30" t="str">
        <f t="shared" si="3232"/>
        <v/>
      </c>
    </row>
    <row r="259" spans="92:175">
      <c r="CN259" s="7" t="str">
        <f t="shared" si="3157"/>
        <v>InitUnitState('',,,,,,,,,,)</v>
      </c>
      <c r="CO259" s="7" t="str">
        <f t="shared" si="3158"/>
        <v>InitUnitNormal('',,,,,,,,,,)</v>
      </c>
      <c r="CP259" s="7" t="str">
        <f t="shared" si="3159"/>
        <v>InitUnitMagic('',,,,,,,,,,)</v>
      </c>
      <c r="CQ259" s="7" t="str">
        <f t="shared" si="3160"/>
        <v>InitUnitAdd('',,,,,,,,,,)</v>
      </c>
      <c r="CR259" s="7" t="str">
        <f t="shared" si="3161"/>
        <v>InitEquipData('',,"",,,,,'','','','','','',"")</v>
      </c>
      <c r="CU259" s="29" t="str">
        <f t="shared" si="3162"/>
        <v>|n</v>
      </c>
      <c r="CW259" s="24"/>
      <c r="CX259" s="24"/>
      <c r="CY259" s="24"/>
      <c r="CZ259" s="24"/>
      <c r="DA259" s="24"/>
      <c r="DB259" s="30" t="str">
        <f t="shared" si="3163"/>
        <v/>
      </c>
      <c r="DC259" s="30" t="str">
        <f t="shared" si="3164"/>
        <v/>
      </c>
      <c r="DD259" s="30" t="str">
        <f t="shared" si="3165"/>
        <v/>
      </c>
      <c r="DE259" s="30" t="str">
        <f t="shared" si="3166"/>
        <v/>
      </c>
      <c r="DF259" s="30" t="str">
        <f t="shared" si="3167"/>
        <v/>
      </c>
      <c r="DG259" s="30" t="str">
        <f t="shared" si="3168"/>
        <v/>
      </c>
      <c r="DH259" s="30" t="str">
        <f t="shared" si="3169"/>
        <v/>
      </c>
      <c r="DI259" s="30" t="str">
        <f t="shared" si="3170"/>
        <v/>
      </c>
      <c r="DJ259" s="30" t="str">
        <f t="shared" si="3171"/>
        <v/>
      </c>
      <c r="DK259" s="30" t="str">
        <f t="shared" si="3172"/>
        <v/>
      </c>
      <c r="DL259" s="30" t="str">
        <f t="shared" si="3173"/>
        <v/>
      </c>
      <c r="DM259" s="30" t="str">
        <f t="shared" si="3174"/>
        <v/>
      </c>
      <c r="DN259" s="30" t="str">
        <f t="shared" si="3175"/>
        <v/>
      </c>
      <c r="DO259" s="30" t="str">
        <f t="shared" si="3176"/>
        <v/>
      </c>
      <c r="DP259" s="30" t="str">
        <f t="shared" si="3177"/>
        <v/>
      </c>
      <c r="DQ259" s="30" t="str">
        <f t="shared" si="3178"/>
        <v/>
      </c>
      <c r="DR259" s="30" t="str">
        <f t="shared" si="3179"/>
        <v/>
      </c>
      <c r="DS259" s="30" t="str">
        <f t="shared" si="3180"/>
        <v/>
      </c>
      <c r="DT259" s="30" t="str">
        <f t="shared" si="3181"/>
        <v/>
      </c>
      <c r="DU259" s="30" t="str">
        <f t="shared" si="3182"/>
        <v/>
      </c>
      <c r="DV259" s="30" t="str">
        <f t="shared" si="3183"/>
        <v/>
      </c>
      <c r="DW259" s="30" t="str">
        <f t="shared" si="3184"/>
        <v/>
      </c>
      <c r="DX259" s="30" t="str">
        <f t="shared" si="3185"/>
        <v/>
      </c>
      <c r="DY259" s="30" t="str">
        <f t="shared" si="3186"/>
        <v/>
      </c>
      <c r="DZ259" s="30" t="str">
        <f t="shared" si="3187"/>
        <v/>
      </c>
      <c r="EA259" s="30" t="str">
        <f t="shared" si="3188"/>
        <v/>
      </c>
      <c r="EB259" s="30" t="str">
        <f t="shared" si="3189"/>
        <v/>
      </c>
      <c r="EC259" s="30" t="str">
        <f t="shared" si="3190"/>
        <v/>
      </c>
      <c r="ED259" s="30" t="str">
        <f t="shared" si="3191"/>
        <v/>
      </c>
      <c r="EE259" s="30" t="str">
        <f t="shared" si="3192"/>
        <v/>
      </c>
      <c r="EF259" s="30" t="str">
        <f t="shared" si="3193"/>
        <v/>
      </c>
      <c r="EG259" s="30" t="str">
        <f t="shared" si="3194"/>
        <v/>
      </c>
      <c r="EH259" s="30" t="str">
        <f t="shared" si="3195"/>
        <v/>
      </c>
      <c r="EI259" s="30" t="str">
        <f t="shared" si="3196"/>
        <v/>
      </c>
      <c r="EJ259" s="30" t="str">
        <f t="shared" si="3197"/>
        <v/>
      </c>
      <c r="EK259" s="30" t="str">
        <f t="shared" si="3198"/>
        <v/>
      </c>
      <c r="EL259" s="30" t="str">
        <f t="shared" si="3199"/>
        <v/>
      </c>
      <c r="EM259" s="30" t="str">
        <f t="shared" si="3200"/>
        <v/>
      </c>
      <c r="EN259" s="30" t="str">
        <f t="shared" si="3201"/>
        <v/>
      </c>
      <c r="EO259" s="30" t="str">
        <f t="shared" si="3202"/>
        <v/>
      </c>
      <c r="EP259" s="30" t="str">
        <f t="shared" si="3203"/>
        <v/>
      </c>
      <c r="EQ259" s="30" t="str">
        <f t="shared" si="3204"/>
        <v/>
      </c>
      <c r="ER259" s="30" t="str">
        <f t="shared" si="3205"/>
        <v/>
      </c>
      <c r="ES259" s="30" t="str">
        <f t="shared" si="3206"/>
        <v/>
      </c>
      <c r="ET259" s="30" t="str">
        <f t="shared" si="3207"/>
        <v/>
      </c>
      <c r="EU259" s="30" t="str">
        <f t="shared" si="3208"/>
        <v/>
      </c>
      <c r="EV259" s="30" t="str">
        <f t="shared" si="3209"/>
        <v/>
      </c>
      <c r="EW259" s="30" t="str">
        <f t="shared" si="3210"/>
        <v/>
      </c>
      <c r="EX259" s="30" t="str">
        <f t="shared" si="3211"/>
        <v/>
      </c>
      <c r="EY259" s="30" t="str">
        <f t="shared" si="3212"/>
        <v/>
      </c>
      <c r="EZ259" s="30" t="str">
        <f t="shared" si="3213"/>
        <v/>
      </c>
      <c r="FA259" s="30" t="str">
        <f t="shared" si="3214"/>
        <v/>
      </c>
      <c r="FB259" s="30" t="str">
        <f t="shared" si="3215"/>
        <v/>
      </c>
      <c r="FC259" s="30" t="str">
        <f t="shared" si="3216"/>
        <v/>
      </c>
      <c r="FD259" s="30" t="str">
        <f t="shared" si="3217"/>
        <v/>
      </c>
      <c r="FE259" s="30" t="str">
        <f t="shared" si="3218"/>
        <v/>
      </c>
      <c r="FF259" s="30" t="str">
        <f t="shared" si="3219"/>
        <v/>
      </c>
      <c r="FG259" s="30" t="str">
        <f t="shared" si="3220"/>
        <v/>
      </c>
      <c r="FH259" s="30" t="str">
        <f t="shared" si="3221"/>
        <v/>
      </c>
      <c r="FI259" s="30" t="str">
        <f t="shared" si="3222"/>
        <v/>
      </c>
      <c r="FJ259" s="30" t="str">
        <f t="shared" si="3223"/>
        <v/>
      </c>
      <c r="FK259" s="30" t="str">
        <f t="shared" si="3224"/>
        <v/>
      </c>
      <c r="FL259" s="30" t="str">
        <f t="shared" si="3225"/>
        <v/>
      </c>
      <c r="FM259" s="30" t="str">
        <f t="shared" si="3226"/>
        <v/>
      </c>
      <c r="FN259" s="30" t="str">
        <f t="shared" si="3227"/>
        <v/>
      </c>
      <c r="FO259" s="30" t="str">
        <f t="shared" si="3228"/>
        <v/>
      </c>
      <c r="FP259" s="30" t="str">
        <f t="shared" si="3229"/>
        <v/>
      </c>
      <c r="FQ259" s="30" t="str">
        <f t="shared" si="3230"/>
        <v/>
      </c>
      <c r="FR259" s="30" t="str">
        <f t="shared" si="3231"/>
        <v/>
      </c>
      <c r="FS259" s="30" t="str">
        <f t="shared" si="3232"/>
        <v/>
      </c>
    </row>
    <row r="260" spans="92:175">
      <c r="CN260" s="7" t="str">
        <f t="shared" si="3157"/>
        <v>InitUnitState('',,,,,,,,,,)</v>
      </c>
      <c r="CO260" s="7" t="str">
        <f t="shared" si="3158"/>
        <v>InitUnitNormal('',,,,,,,,,,)</v>
      </c>
      <c r="CP260" s="7" t="str">
        <f t="shared" si="3159"/>
        <v>InitUnitMagic('',,,,,,,,,,)</v>
      </c>
      <c r="CQ260" s="7" t="str">
        <f t="shared" si="3160"/>
        <v>InitUnitAdd('',,,,,,,,,,)</v>
      </c>
      <c r="CR260" s="7" t="str">
        <f t="shared" si="3161"/>
        <v>InitEquipData('',,"",,,,,'','','','','','',"")</v>
      </c>
      <c r="CU260" s="29" t="str">
        <f t="shared" si="3162"/>
        <v>|n</v>
      </c>
      <c r="CW260" s="24"/>
      <c r="CX260" s="24"/>
      <c r="CY260" s="24"/>
      <c r="CZ260" s="24"/>
      <c r="DA260" s="24"/>
      <c r="DB260" s="30" t="str">
        <f t="shared" si="3163"/>
        <v/>
      </c>
      <c r="DC260" s="30" t="str">
        <f t="shared" si="3164"/>
        <v/>
      </c>
      <c r="DD260" s="30" t="str">
        <f t="shared" si="3165"/>
        <v/>
      </c>
      <c r="DE260" s="30" t="str">
        <f t="shared" si="3166"/>
        <v/>
      </c>
      <c r="DF260" s="30" t="str">
        <f t="shared" si="3167"/>
        <v/>
      </c>
      <c r="DG260" s="30" t="str">
        <f t="shared" si="3168"/>
        <v/>
      </c>
      <c r="DH260" s="30" t="str">
        <f t="shared" si="3169"/>
        <v/>
      </c>
      <c r="DI260" s="30" t="str">
        <f t="shared" si="3170"/>
        <v/>
      </c>
      <c r="DJ260" s="30" t="str">
        <f t="shared" si="3171"/>
        <v/>
      </c>
      <c r="DK260" s="30" t="str">
        <f t="shared" si="3172"/>
        <v/>
      </c>
      <c r="DL260" s="30" t="str">
        <f t="shared" si="3173"/>
        <v/>
      </c>
      <c r="DM260" s="30" t="str">
        <f t="shared" si="3174"/>
        <v/>
      </c>
      <c r="DN260" s="30" t="str">
        <f t="shared" si="3175"/>
        <v/>
      </c>
      <c r="DO260" s="30" t="str">
        <f t="shared" si="3176"/>
        <v/>
      </c>
      <c r="DP260" s="30" t="str">
        <f t="shared" si="3177"/>
        <v/>
      </c>
      <c r="DQ260" s="30" t="str">
        <f t="shared" si="3178"/>
        <v/>
      </c>
      <c r="DR260" s="30" t="str">
        <f t="shared" si="3179"/>
        <v/>
      </c>
      <c r="DS260" s="30" t="str">
        <f t="shared" si="3180"/>
        <v/>
      </c>
      <c r="DT260" s="30" t="str">
        <f t="shared" si="3181"/>
        <v/>
      </c>
      <c r="DU260" s="30" t="str">
        <f t="shared" si="3182"/>
        <v/>
      </c>
      <c r="DV260" s="30" t="str">
        <f t="shared" si="3183"/>
        <v/>
      </c>
      <c r="DW260" s="30" t="str">
        <f t="shared" si="3184"/>
        <v/>
      </c>
      <c r="DX260" s="30" t="str">
        <f t="shared" si="3185"/>
        <v/>
      </c>
      <c r="DY260" s="30" t="str">
        <f t="shared" si="3186"/>
        <v/>
      </c>
      <c r="DZ260" s="30" t="str">
        <f t="shared" si="3187"/>
        <v/>
      </c>
      <c r="EA260" s="30" t="str">
        <f t="shared" si="3188"/>
        <v/>
      </c>
      <c r="EB260" s="30" t="str">
        <f t="shared" si="3189"/>
        <v/>
      </c>
      <c r="EC260" s="30" t="str">
        <f t="shared" si="3190"/>
        <v/>
      </c>
      <c r="ED260" s="30" t="str">
        <f t="shared" si="3191"/>
        <v/>
      </c>
      <c r="EE260" s="30" t="str">
        <f t="shared" si="3192"/>
        <v/>
      </c>
      <c r="EF260" s="30" t="str">
        <f t="shared" si="3193"/>
        <v/>
      </c>
      <c r="EG260" s="30" t="str">
        <f t="shared" si="3194"/>
        <v/>
      </c>
      <c r="EH260" s="30" t="str">
        <f t="shared" si="3195"/>
        <v/>
      </c>
      <c r="EI260" s="30" t="str">
        <f t="shared" si="3196"/>
        <v/>
      </c>
      <c r="EJ260" s="30" t="str">
        <f t="shared" si="3197"/>
        <v/>
      </c>
      <c r="EK260" s="30" t="str">
        <f t="shared" si="3198"/>
        <v/>
      </c>
      <c r="EL260" s="30" t="str">
        <f t="shared" si="3199"/>
        <v/>
      </c>
      <c r="EM260" s="30" t="str">
        <f t="shared" si="3200"/>
        <v/>
      </c>
      <c r="EN260" s="30" t="str">
        <f t="shared" si="3201"/>
        <v/>
      </c>
      <c r="EO260" s="30" t="str">
        <f t="shared" si="3202"/>
        <v/>
      </c>
      <c r="EP260" s="30" t="str">
        <f t="shared" si="3203"/>
        <v/>
      </c>
      <c r="EQ260" s="30" t="str">
        <f t="shared" si="3204"/>
        <v/>
      </c>
      <c r="ER260" s="30" t="str">
        <f t="shared" si="3205"/>
        <v/>
      </c>
      <c r="ES260" s="30" t="str">
        <f t="shared" si="3206"/>
        <v/>
      </c>
      <c r="ET260" s="30" t="str">
        <f t="shared" si="3207"/>
        <v/>
      </c>
      <c r="EU260" s="30" t="str">
        <f t="shared" si="3208"/>
        <v/>
      </c>
      <c r="EV260" s="30" t="str">
        <f t="shared" si="3209"/>
        <v/>
      </c>
      <c r="EW260" s="30" t="str">
        <f t="shared" si="3210"/>
        <v/>
      </c>
      <c r="EX260" s="30" t="str">
        <f t="shared" si="3211"/>
        <v/>
      </c>
      <c r="EY260" s="30" t="str">
        <f t="shared" si="3212"/>
        <v/>
      </c>
      <c r="EZ260" s="30" t="str">
        <f t="shared" si="3213"/>
        <v/>
      </c>
      <c r="FA260" s="30" t="str">
        <f t="shared" si="3214"/>
        <v/>
      </c>
      <c r="FB260" s="30" t="str">
        <f t="shared" si="3215"/>
        <v/>
      </c>
      <c r="FC260" s="30" t="str">
        <f t="shared" si="3216"/>
        <v/>
      </c>
      <c r="FD260" s="30" t="str">
        <f t="shared" si="3217"/>
        <v/>
      </c>
      <c r="FE260" s="30" t="str">
        <f t="shared" si="3218"/>
        <v/>
      </c>
      <c r="FF260" s="30" t="str">
        <f t="shared" si="3219"/>
        <v/>
      </c>
      <c r="FG260" s="30" t="str">
        <f t="shared" si="3220"/>
        <v/>
      </c>
      <c r="FH260" s="30" t="str">
        <f t="shared" si="3221"/>
        <v/>
      </c>
      <c r="FI260" s="30" t="str">
        <f t="shared" si="3222"/>
        <v/>
      </c>
      <c r="FJ260" s="30" t="str">
        <f t="shared" si="3223"/>
        <v/>
      </c>
      <c r="FK260" s="30" t="str">
        <f t="shared" si="3224"/>
        <v/>
      </c>
      <c r="FL260" s="30" t="str">
        <f t="shared" si="3225"/>
        <v/>
      </c>
      <c r="FM260" s="30" t="str">
        <f t="shared" si="3226"/>
        <v/>
      </c>
      <c r="FN260" s="30" t="str">
        <f t="shared" si="3227"/>
        <v/>
      </c>
      <c r="FO260" s="30" t="str">
        <f t="shared" si="3228"/>
        <v/>
      </c>
      <c r="FP260" s="30" t="str">
        <f t="shared" si="3229"/>
        <v/>
      </c>
      <c r="FQ260" s="30" t="str">
        <f t="shared" si="3230"/>
        <v/>
      </c>
      <c r="FR260" s="30" t="str">
        <f t="shared" si="3231"/>
        <v/>
      </c>
      <c r="FS260" s="30" t="str">
        <f t="shared" si="3232"/>
        <v/>
      </c>
    </row>
    <row r="261" spans="92:175">
      <c r="CN261" s="7" t="str">
        <f t="shared" si="3157"/>
        <v>InitUnitState('',,,,,,,,,,)</v>
      </c>
      <c r="CO261" s="7" t="str">
        <f t="shared" si="3158"/>
        <v>InitUnitNormal('',,,,,,,,,,)</v>
      </c>
      <c r="CP261" s="7" t="str">
        <f t="shared" si="3159"/>
        <v>InitUnitMagic('',,,,,,,,,,)</v>
      </c>
      <c r="CQ261" s="7" t="str">
        <f t="shared" si="3160"/>
        <v>InitUnitAdd('',,,,,,,,,,)</v>
      </c>
      <c r="CR261" s="7" t="str">
        <f t="shared" si="3161"/>
        <v>InitEquipData('',,"",,,,,'','','','','','',"")</v>
      </c>
      <c r="CU261" s="29" t="str">
        <f t="shared" si="3162"/>
        <v>|n</v>
      </c>
      <c r="CW261" s="24"/>
      <c r="CX261" s="24"/>
      <c r="CY261" s="24"/>
      <c r="CZ261" s="24"/>
      <c r="DA261" s="24"/>
      <c r="DB261" s="30" t="str">
        <f t="shared" si="3163"/>
        <v/>
      </c>
      <c r="DC261" s="30" t="str">
        <f t="shared" si="3164"/>
        <v/>
      </c>
      <c r="DD261" s="30" t="str">
        <f t="shared" si="3165"/>
        <v/>
      </c>
      <c r="DE261" s="30" t="str">
        <f t="shared" si="3166"/>
        <v/>
      </c>
      <c r="DF261" s="30" t="str">
        <f t="shared" si="3167"/>
        <v/>
      </c>
      <c r="DG261" s="30" t="str">
        <f t="shared" si="3168"/>
        <v/>
      </c>
      <c r="DH261" s="30" t="str">
        <f t="shared" si="3169"/>
        <v/>
      </c>
      <c r="DI261" s="30" t="str">
        <f t="shared" si="3170"/>
        <v/>
      </c>
      <c r="DJ261" s="30" t="str">
        <f t="shared" si="3171"/>
        <v/>
      </c>
      <c r="DK261" s="30" t="str">
        <f t="shared" si="3172"/>
        <v/>
      </c>
      <c r="DL261" s="30" t="str">
        <f t="shared" si="3173"/>
        <v/>
      </c>
      <c r="DM261" s="30" t="str">
        <f t="shared" si="3174"/>
        <v/>
      </c>
      <c r="DN261" s="30" t="str">
        <f t="shared" si="3175"/>
        <v/>
      </c>
      <c r="DO261" s="30" t="str">
        <f t="shared" si="3176"/>
        <v/>
      </c>
      <c r="DP261" s="30" t="str">
        <f t="shared" si="3177"/>
        <v/>
      </c>
      <c r="DQ261" s="30" t="str">
        <f t="shared" si="3178"/>
        <v/>
      </c>
      <c r="DR261" s="30" t="str">
        <f t="shared" si="3179"/>
        <v/>
      </c>
      <c r="DS261" s="30" t="str">
        <f t="shared" si="3180"/>
        <v/>
      </c>
      <c r="DT261" s="30" t="str">
        <f t="shared" si="3181"/>
        <v/>
      </c>
      <c r="DU261" s="30" t="str">
        <f t="shared" si="3182"/>
        <v/>
      </c>
      <c r="DV261" s="30" t="str">
        <f t="shared" si="3183"/>
        <v/>
      </c>
      <c r="DW261" s="30" t="str">
        <f t="shared" si="3184"/>
        <v/>
      </c>
      <c r="DX261" s="30" t="str">
        <f t="shared" si="3185"/>
        <v/>
      </c>
      <c r="DY261" s="30" t="str">
        <f t="shared" si="3186"/>
        <v/>
      </c>
      <c r="DZ261" s="30" t="str">
        <f t="shared" si="3187"/>
        <v/>
      </c>
      <c r="EA261" s="30" t="str">
        <f t="shared" si="3188"/>
        <v/>
      </c>
      <c r="EB261" s="30" t="str">
        <f t="shared" si="3189"/>
        <v/>
      </c>
      <c r="EC261" s="30" t="str">
        <f t="shared" si="3190"/>
        <v/>
      </c>
      <c r="ED261" s="30" t="str">
        <f t="shared" si="3191"/>
        <v/>
      </c>
      <c r="EE261" s="30" t="str">
        <f t="shared" si="3192"/>
        <v/>
      </c>
      <c r="EF261" s="30" t="str">
        <f t="shared" si="3193"/>
        <v/>
      </c>
      <c r="EG261" s="30" t="str">
        <f t="shared" si="3194"/>
        <v/>
      </c>
      <c r="EH261" s="30" t="str">
        <f t="shared" si="3195"/>
        <v/>
      </c>
      <c r="EI261" s="30" t="str">
        <f t="shared" si="3196"/>
        <v/>
      </c>
      <c r="EJ261" s="30" t="str">
        <f t="shared" si="3197"/>
        <v/>
      </c>
      <c r="EK261" s="30" t="str">
        <f t="shared" si="3198"/>
        <v/>
      </c>
      <c r="EL261" s="30" t="str">
        <f t="shared" si="3199"/>
        <v/>
      </c>
      <c r="EM261" s="30" t="str">
        <f t="shared" si="3200"/>
        <v/>
      </c>
      <c r="EN261" s="30" t="str">
        <f t="shared" si="3201"/>
        <v/>
      </c>
      <c r="EO261" s="30" t="str">
        <f t="shared" si="3202"/>
        <v/>
      </c>
      <c r="EP261" s="30" t="str">
        <f t="shared" si="3203"/>
        <v/>
      </c>
      <c r="EQ261" s="30" t="str">
        <f t="shared" si="3204"/>
        <v/>
      </c>
      <c r="ER261" s="30" t="str">
        <f t="shared" si="3205"/>
        <v/>
      </c>
      <c r="ES261" s="30" t="str">
        <f t="shared" si="3206"/>
        <v/>
      </c>
      <c r="ET261" s="30" t="str">
        <f t="shared" si="3207"/>
        <v/>
      </c>
      <c r="EU261" s="30" t="str">
        <f t="shared" si="3208"/>
        <v/>
      </c>
      <c r="EV261" s="30" t="str">
        <f t="shared" si="3209"/>
        <v/>
      </c>
      <c r="EW261" s="30" t="str">
        <f t="shared" si="3210"/>
        <v/>
      </c>
      <c r="EX261" s="30" t="str">
        <f t="shared" si="3211"/>
        <v/>
      </c>
      <c r="EY261" s="30" t="str">
        <f t="shared" si="3212"/>
        <v/>
      </c>
      <c r="EZ261" s="30" t="str">
        <f t="shared" si="3213"/>
        <v/>
      </c>
      <c r="FA261" s="30" t="str">
        <f t="shared" si="3214"/>
        <v/>
      </c>
      <c r="FB261" s="30" t="str">
        <f t="shared" si="3215"/>
        <v/>
      </c>
      <c r="FC261" s="30" t="str">
        <f t="shared" si="3216"/>
        <v/>
      </c>
      <c r="FD261" s="30" t="str">
        <f t="shared" si="3217"/>
        <v/>
      </c>
      <c r="FE261" s="30" t="str">
        <f t="shared" si="3218"/>
        <v/>
      </c>
      <c r="FF261" s="30" t="str">
        <f t="shared" si="3219"/>
        <v/>
      </c>
      <c r="FG261" s="30" t="str">
        <f t="shared" si="3220"/>
        <v/>
      </c>
      <c r="FH261" s="30" t="str">
        <f t="shared" si="3221"/>
        <v/>
      </c>
      <c r="FI261" s="30" t="str">
        <f t="shared" si="3222"/>
        <v/>
      </c>
      <c r="FJ261" s="30" t="str">
        <f t="shared" si="3223"/>
        <v/>
      </c>
      <c r="FK261" s="30" t="str">
        <f t="shared" si="3224"/>
        <v/>
      </c>
      <c r="FL261" s="30" t="str">
        <f t="shared" si="3225"/>
        <v/>
      </c>
      <c r="FM261" s="30" t="str">
        <f t="shared" si="3226"/>
        <v/>
      </c>
      <c r="FN261" s="30" t="str">
        <f t="shared" si="3227"/>
        <v/>
      </c>
      <c r="FO261" s="30" t="str">
        <f t="shared" si="3228"/>
        <v/>
      </c>
      <c r="FP261" s="30" t="str">
        <f t="shared" si="3229"/>
        <v/>
      </c>
      <c r="FQ261" s="30" t="str">
        <f t="shared" si="3230"/>
        <v/>
      </c>
      <c r="FR261" s="30" t="str">
        <f t="shared" si="3231"/>
        <v/>
      </c>
      <c r="FS261" s="30" t="str">
        <f t="shared" si="3232"/>
        <v/>
      </c>
    </row>
    <row r="262" spans="92:175">
      <c r="CN262" s="7" t="str">
        <f t="shared" si="3157"/>
        <v>InitUnitState('',,,,,,,,,,)</v>
      </c>
      <c r="CO262" s="7" t="str">
        <f t="shared" si="3158"/>
        <v>InitUnitNormal('',,,,,,,,,,)</v>
      </c>
      <c r="CP262" s="7" t="str">
        <f t="shared" si="3159"/>
        <v>InitUnitMagic('',,,,,,,,,,)</v>
      </c>
      <c r="CQ262" s="7" t="str">
        <f t="shared" si="3160"/>
        <v>InitUnitAdd('',,,,,,,,,,)</v>
      </c>
      <c r="CR262" s="7" t="str">
        <f t="shared" si="3161"/>
        <v>InitEquipData('',,"",,,,,'','','','','','',"")</v>
      </c>
      <c r="CU262" s="29" t="str">
        <f t="shared" ref="CU262:CU300" si="3233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24"/>
      <c r="CX262" s="24"/>
      <c r="CY262" s="24"/>
      <c r="CZ262" s="24"/>
      <c r="DA262" s="24"/>
      <c r="DB262" s="30" t="str">
        <f t="shared" si="3163"/>
        <v/>
      </c>
      <c r="DC262" s="30" t="str">
        <f t="shared" si="3164"/>
        <v/>
      </c>
      <c r="DD262" s="30" t="str">
        <f t="shared" si="3165"/>
        <v/>
      </c>
      <c r="DE262" s="30" t="str">
        <f t="shared" si="3166"/>
        <v/>
      </c>
      <c r="DF262" s="30" t="str">
        <f t="shared" si="3167"/>
        <v/>
      </c>
      <c r="DG262" s="30" t="str">
        <f t="shared" si="3168"/>
        <v/>
      </c>
      <c r="DH262" s="30" t="str">
        <f t="shared" si="3169"/>
        <v/>
      </c>
      <c r="DI262" s="30" t="str">
        <f t="shared" si="3170"/>
        <v/>
      </c>
      <c r="DJ262" s="30" t="str">
        <f t="shared" si="3171"/>
        <v/>
      </c>
      <c r="DK262" s="30" t="str">
        <f t="shared" si="3172"/>
        <v/>
      </c>
      <c r="DL262" s="30" t="str">
        <f t="shared" si="3173"/>
        <v/>
      </c>
      <c r="DM262" s="30" t="str">
        <f t="shared" si="3174"/>
        <v/>
      </c>
      <c r="DN262" s="30" t="str">
        <f t="shared" si="3175"/>
        <v/>
      </c>
      <c r="DO262" s="30" t="str">
        <f t="shared" si="3176"/>
        <v/>
      </c>
      <c r="DP262" s="30" t="str">
        <f t="shared" si="3177"/>
        <v/>
      </c>
      <c r="DQ262" s="30" t="str">
        <f t="shared" si="3178"/>
        <v/>
      </c>
      <c r="DR262" s="30" t="str">
        <f t="shared" si="3179"/>
        <v/>
      </c>
      <c r="DS262" s="30" t="str">
        <f t="shared" si="3180"/>
        <v/>
      </c>
      <c r="DT262" s="30" t="str">
        <f t="shared" si="3181"/>
        <v/>
      </c>
      <c r="DU262" s="30" t="str">
        <f t="shared" si="3182"/>
        <v/>
      </c>
      <c r="DV262" s="30" t="str">
        <f t="shared" si="3183"/>
        <v/>
      </c>
      <c r="DW262" s="30" t="str">
        <f t="shared" si="3184"/>
        <v/>
      </c>
      <c r="DX262" s="30" t="str">
        <f t="shared" si="3185"/>
        <v/>
      </c>
      <c r="DY262" s="30" t="str">
        <f t="shared" si="3186"/>
        <v/>
      </c>
      <c r="DZ262" s="30" t="str">
        <f t="shared" si="3187"/>
        <v/>
      </c>
      <c r="EA262" s="30" t="str">
        <f t="shared" si="3188"/>
        <v/>
      </c>
      <c r="EB262" s="30" t="str">
        <f t="shared" si="3189"/>
        <v/>
      </c>
      <c r="EC262" s="30" t="str">
        <f t="shared" si="3190"/>
        <v/>
      </c>
      <c r="ED262" s="30" t="str">
        <f t="shared" si="3191"/>
        <v/>
      </c>
      <c r="EE262" s="30" t="str">
        <f t="shared" si="3192"/>
        <v/>
      </c>
      <c r="EF262" s="30" t="str">
        <f t="shared" si="3193"/>
        <v/>
      </c>
      <c r="EG262" s="30" t="str">
        <f t="shared" si="3194"/>
        <v/>
      </c>
      <c r="EH262" s="30" t="str">
        <f t="shared" si="3195"/>
        <v/>
      </c>
      <c r="EI262" s="30" t="str">
        <f t="shared" si="3196"/>
        <v/>
      </c>
      <c r="EJ262" s="30" t="str">
        <f t="shared" si="3197"/>
        <v/>
      </c>
      <c r="EK262" s="30" t="str">
        <f t="shared" si="3198"/>
        <v/>
      </c>
      <c r="EL262" s="30" t="str">
        <f t="shared" si="3199"/>
        <v/>
      </c>
      <c r="EM262" s="30" t="str">
        <f t="shared" si="3200"/>
        <v/>
      </c>
      <c r="EN262" s="30" t="str">
        <f t="shared" si="3201"/>
        <v/>
      </c>
      <c r="EO262" s="30" t="str">
        <f t="shared" si="3202"/>
        <v/>
      </c>
      <c r="EP262" s="30" t="str">
        <f t="shared" si="3203"/>
        <v/>
      </c>
      <c r="EQ262" s="30" t="str">
        <f t="shared" si="3204"/>
        <v/>
      </c>
      <c r="ER262" s="30" t="str">
        <f t="shared" si="3205"/>
        <v/>
      </c>
      <c r="ES262" s="30" t="str">
        <f t="shared" si="3206"/>
        <v/>
      </c>
      <c r="ET262" s="30" t="str">
        <f t="shared" si="3207"/>
        <v/>
      </c>
      <c r="EU262" s="30" t="str">
        <f t="shared" si="3208"/>
        <v/>
      </c>
      <c r="EV262" s="30" t="str">
        <f t="shared" si="3209"/>
        <v/>
      </c>
      <c r="EW262" s="30" t="str">
        <f t="shared" si="3210"/>
        <v/>
      </c>
      <c r="EX262" s="30" t="str">
        <f t="shared" si="3211"/>
        <v/>
      </c>
      <c r="EY262" s="30" t="str">
        <f t="shared" si="3212"/>
        <v/>
      </c>
      <c r="EZ262" s="30" t="str">
        <f t="shared" si="3213"/>
        <v/>
      </c>
      <c r="FA262" s="30" t="str">
        <f t="shared" si="3214"/>
        <v/>
      </c>
      <c r="FB262" s="30" t="str">
        <f t="shared" si="3215"/>
        <v/>
      </c>
      <c r="FC262" s="30" t="str">
        <f t="shared" si="3216"/>
        <v/>
      </c>
      <c r="FD262" s="30" t="str">
        <f t="shared" si="3217"/>
        <v/>
      </c>
      <c r="FE262" s="30" t="str">
        <f t="shared" si="3218"/>
        <v/>
      </c>
      <c r="FF262" s="30" t="str">
        <f t="shared" si="3219"/>
        <v/>
      </c>
      <c r="FG262" s="30" t="str">
        <f t="shared" si="3220"/>
        <v/>
      </c>
      <c r="FH262" s="30" t="str">
        <f t="shared" si="3221"/>
        <v/>
      </c>
      <c r="FI262" s="30" t="str">
        <f t="shared" si="3222"/>
        <v/>
      </c>
      <c r="FJ262" s="30" t="str">
        <f t="shared" si="3223"/>
        <v/>
      </c>
      <c r="FK262" s="30" t="str">
        <f t="shared" si="3224"/>
        <v/>
      </c>
      <c r="FL262" s="30" t="str">
        <f t="shared" si="3225"/>
        <v/>
      </c>
      <c r="FM262" s="30" t="str">
        <f t="shared" si="3226"/>
        <v/>
      </c>
      <c r="FN262" s="30" t="str">
        <f t="shared" si="3227"/>
        <v/>
      </c>
      <c r="FO262" s="30" t="str">
        <f t="shared" si="3228"/>
        <v/>
      </c>
      <c r="FP262" s="30" t="str">
        <f t="shared" si="3229"/>
        <v/>
      </c>
      <c r="FQ262" s="30" t="str">
        <f t="shared" si="3230"/>
        <v/>
      </c>
      <c r="FR262" s="30" t="str">
        <f t="shared" si="3231"/>
        <v/>
      </c>
      <c r="FS262" s="30" t="str">
        <f t="shared" si="3232"/>
        <v/>
      </c>
    </row>
    <row r="263" spans="92:175">
      <c r="CN263" s="7" t="str">
        <f t="shared" si="3157"/>
        <v>InitUnitState('',,,,,,,,,,)</v>
      </c>
      <c r="CO263" s="7" t="str">
        <f t="shared" si="3158"/>
        <v>InitUnitNormal('',,,,,,,,,,)</v>
      </c>
      <c r="CP263" s="7" t="str">
        <f t="shared" si="3159"/>
        <v>InitUnitMagic('',,,,,,,,,,)</v>
      </c>
      <c r="CQ263" s="7" t="str">
        <f t="shared" si="3160"/>
        <v>InitUnitAdd('',,,,,,,,,,)</v>
      </c>
      <c r="CR263" s="7" t="str">
        <f t="shared" si="3161"/>
        <v>InitEquipData('',,"",,,,,'','','','','','',"")</v>
      </c>
      <c r="CU263" s="29" t="str">
        <f t="shared" si="3233"/>
        <v>|n</v>
      </c>
      <c r="CW263" s="24"/>
      <c r="CX263" s="24"/>
      <c r="CY263" s="24"/>
      <c r="CZ263" s="24"/>
      <c r="DA263" s="24"/>
      <c r="DB263" s="30" t="str">
        <f t="shared" si="3163"/>
        <v/>
      </c>
      <c r="DC263" s="30" t="str">
        <f t="shared" si="3164"/>
        <v/>
      </c>
      <c r="DD263" s="30" t="str">
        <f t="shared" si="3165"/>
        <v/>
      </c>
      <c r="DE263" s="30" t="str">
        <f t="shared" si="3166"/>
        <v/>
      </c>
      <c r="DF263" s="30" t="str">
        <f t="shared" si="3167"/>
        <v/>
      </c>
      <c r="DG263" s="30" t="str">
        <f t="shared" si="3168"/>
        <v/>
      </c>
      <c r="DH263" s="30" t="str">
        <f t="shared" si="3169"/>
        <v/>
      </c>
      <c r="DI263" s="30" t="str">
        <f t="shared" si="3170"/>
        <v/>
      </c>
      <c r="DJ263" s="30" t="str">
        <f t="shared" si="3171"/>
        <v/>
      </c>
      <c r="DK263" s="30" t="str">
        <f t="shared" si="3172"/>
        <v/>
      </c>
      <c r="DL263" s="30" t="str">
        <f t="shared" si="3173"/>
        <v/>
      </c>
      <c r="DM263" s="30" t="str">
        <f t="shared" si="3174"/>
        <v/>
      </c>
      <c r="DN263" s="30" t="str">
        <f t="shared" si="3175"/>
        <v/>
      </c>
      <c r="DO263" s="30" t="str">
        <f t="shared" si="3176"/>
        <v/>
      </c>
      <c r="DP263" s="30" t="str">
        <f t="shared" si="3177"/>
        <v/>
      </c>
      <c r="DQ263" s="30" t="str">
        <f t="shared" si="3178"/>
        <v/>
      </c>
      <c r="DR263" s="30" t="str">
        <f t="shared" si="3179"/>
        <v/>
      </c>
      <c r="DS263" s="30" t="str">
        <f t="shared" si="3180"/>
        <v/>
      </c>
      <c r="DT263" s="30" t="str">
        <f t="shared" si="3181"/>
        <v/>
      </c>
      <c r="DU263" s="30" t="str">
        <f t="shared" si="3182"/>
        <v/>
      </c>
      <c r="DV263" s="30" t="str">
        <f t="shared" si="3183"/>
        <v/>
      </c>
      <c r="DW263" s="30" t="str">
        <f t="shared" si="3184"/>
        <v/>
      </c>
      <c r="DX263" s="30" t="str">
        <f t="shared" si="3185"/>
        <v/>
      </c>
      <c r="DY263" s="30" t="str">
        <f t="shared" si="3186"/>
        <v/>
      </c>
      <c r="DZ263" s="30" t="str">
        <f t="shared" si="3187"/>
        <v/>
      </c>
      <c r="EA263" s="30" t="str">
        <f t="shared" si="3188"/>
        <v/>
      </c>
      <c r="EB263" s="30" t="str">
        <f t="shared" si="3189"/>
        <v/>
      </c>
      <c r="EC263" s="30" t="str">
        <f t="shared" si="3190"/>
        <v/>
      </c>
      <c r="ED263" s="30" t="str">
        <f t="shared" si="3191"/>
        <v/>
      </c>
      <c r="EE263" s="30" t="str">
        <f t="shared" si="3192"/>
        <v/>
      </c>
      <c r="EF263" s="30" t="str">
        <f t="shared" si="3193"/>
        <v/>
      </c>
      <c r="EG263" s="30" t="str">
        <f t="shared" si="3194"/>
        <v/>
      </c>
      <c r="EH263" s="30" t="str">
        <f t="shared" si="3195"/>
        <v/>
      </c>
      <c r="EI263" s="30" t="str">
        <f t="shared" si="3196"/>
        <v/>
      </c>
      <c r="EJ263" s="30" t="str">
        <f t="shared" si="3197"/>
        <v/>
      </c>
      <c r="EK263" s="30" t="str">
        <f t="shared" si="3198"/>
        <v/>
      </c>
      <c r="EL263" s="30" t="str">
        <f t="shared" si="3199"/>
        <v/>
      </c>
      <c r="EM263" s="30" t="str">
        <f t="shared" si="3200"/>
        <v/>
      </c>
      <c r="EN263" s="30" t="str">
        <f t="shared" si="3201"/>
        <v/>
      </c>
      <c r="EO263" s="30" t="str">
        <f t="shared" si="3202"/>
        <v/>
      </c>
      <c r="EP263" s="30" t="str">
        <f t="shared" si="3203"/>
        <v/>
      </c>
      <c r="EQ263" s="30" t="str">
        <f t="shared" si="3204"/>
        <v/>
      </c>
      <c r="ER263" s="30" t="str">
        <f t="shared" si="3205"/>
        <v/>
      </c>
      <c r="ES263" s="30" t="str">
        <f t="shared" si="3206"/>
        <v/>
      </c>
      <c r="ET263" s="30" t="str">
        <f t="shared" si="3207"/>
        <v/>
      </c>
      <c r="EU263" s="30" t="str">
        <f t="shared" si="3208"/>
        <v/>
      </c>
      <c r="EV263" s="30" t="str">
        <f t="shared" si="3209"/>
        <v/>
      </c>
      <c r="EW263" s="30" t="str">
        <f t="shared" si="3210"/>
        <v/>
      </c>
      <c r="EX263" s="30" t="str">
        <f t="shared" si="3211"/>
        <v/>
      </c>
      <c r="EY263" s="30" t="str">
        <f t="shared" si="3212"/>
        <v/>
      </c>
      <c r="EZ263" s="30" t="str">
        <f t="shared" si="3213"/>
        <v/>
      </c>
      <c r="FA263" s="30" t="str">
        <f t="shared" si="3214"/>
        <v/>
      </c>
      <c r="FB263" s="30" t="str">
        <f t="shared" si="3215"/>
        <v/>
      </c>
      <c r="FC263" s="30" t="str">
        <f t="shared" si="3216"/>
        <v/>
      </c>
      <c r="FD263" s="30" t="str">
        <f t="shared" si="3217"/>
        <v/>
      </c>
      <c r="FE263" s="30" t="str">
        <f t="shared" si="3218"/>
        <v/>
      </c>
      <c r="FF263" s="30" t="str">
        <f t="shared" si="3219"/>
        <v/>
      </c>
      <c r="FG263" s="30" t="str">
        <f t="shared" si="3220"/>
        <v/>
      </c>
      <c r="FH263" s="30" t="str">
        <f t="shared" si="3221"/>
        <v/>
      </c>
      <c r="FI263" s="30" t="str">
        <f t="shared" si="3222"/>
        <v/>
      </c>
      <c r="FJ263" s="30" t="str">
        <f t="shared" si="3223"/>
        <v/>
      </c>
      <c r="FK263" s="30" t="str">
        <f t="shared" si="3224"/>
        <v/>
      </c>
      <c r="FL263" s="30" t="str">
        <f t="shared" si="3225"/>
        <v/>
      </c>
      <c r="FM263" s="30" t="str">
        <f t="shared" si="3226"/>
        <v/>
      </c>
      <c r="FN263" s="30" t="str">
        <f t="shared" si="3227"/>
        <v/>
      </c>
      <c r="FO263" s="30" t="str">
        <f t="shared" si="3228"/>
        <v/>
      </c>
      <c r="FP263" s="30" t="str">
        <f t="shared" si="3229"/>
        <v/>
      </c>
      <c r="FQ263" s="30" t="str">
        <f t="shared" si="3230"/>
        <v/>
      </c>
      <c r="FR263" s="30" t="str">
        <f t="shared" si="3231"/>
        <v/>
      </c>
      <c r="FS263" s="30" t="str">
        <f t="shared" si="3232"/>
        <v/>
      </c>
    </row>
    <row r="264" spans="92:175">
      <c r="CN264" s="7" t="str">
        <f t="shared" si="3157"/>
        <v>InitUnitState('',,,,,,,,,,)</v>
      </c>
      <c r="CO264" s="7" t="str">
        <f t="shared" si="3158"/>
        <v>InitUnitNormal('',,,,,,,,,,)</v>
      </c>
      <c r="CP264" s="7" t="str">
        <f t="shared" si="3159"/>
        <v>InitUnitMagic('',,,,,,,,,,)</v>
      </c>
      <c r="CQ264" s="7" t="str">
        <f t="shared" si="3160"/>
        <v>InitUnitAdd('',,,,,,,,,,)</v>
      </c>
      <c r="CR264" s="7" t="str">
        <f t="shared" si="3161"/>
        <v>InitEquipData('',,"",,,,,'','','','','','',"")</v>
      </c>
      <c r="CU264" s="29" t="str">
        <f t="shared" si="3233"/>
        <v>|n</v>
      </c>
      <c r="CW264" s="24"/>
      <c r="CX264" s="24"/>
      <c r="CY264" s="24"/>
      <c r="CZ264" s="24"/>
      <c r="DA264" s="24"/>
      <c r="DB264" s="30" t="str">
        <f t="shared" si="3163"/>
        <v/>
      </c>
      <c r="DC264" s="30" t="str">
        <f t="shared" si="3164"/>
        <v/>
      </c>
      <c r="DD264" s="30" t="str">
        <f t="shared" si="3165"/>
        <v/>
      </c>
      <c r="DE264" s="30" t="str">
        <f t="shared" si="3166"/>
        <v/>
      </c>
      <c r="DF264" s="30" t="str">
        <f t="shared" si="3167"/>
        <v/>
      </c>
      <c r="DG264" s="30" t="str">
        <f t="shared" si="3168"/>
        <v/>
      </c>
      <c r="DH264" s="30" t="str">
        <f t="shared" si="3169"/>
        <v/>
      </c>
      <c r="DI264" s="30" t="str">
        <f t="shared" si="3170"/>
        <v/>
      </c>
      <c r="DJ264" s="30" t="str">
        <f t="shared" si="3171"/>
        <v/>
      </c>
      <c r="DK264" s="30" t="str">
        <f t="shared" si="3172"/>
        <v/>
      </c>
      <c r="DL264" s="30" t="str">
        <f t="shared" si="3173"/>
        <v/>
      </c>
      <c r="DM264" s="30" t="str">
        <f t="shared" si="3174"/>
        <v/>
      </c>
      <c r="DN264" s="30" t="str">
        <f t="shared" si="3175"/>
        <v/>
      </c>
      <c r="DO264" s="30" t="str">
        <f t="shared" si="3176"/>
        <v/>
      </c>
      <c r="DP264" s="30" t="str">
        <f t="shared" si="3177"/>
        <v/>
      </c>
      <c r="DQ264" s="30" t="str">
        <f t="shared" si="3178"/>
        <v/>
      </c>
      <c r="DR264" s="30" t="str">
        <f t="shared" si="3179"/>
        <v/>
      </c>
      <c r="DS264" s="30" t="str">
        <f t="shared" si="3180"/>
        <v/>
      </c>
      <c r="DT264" s="30" t="str">
        <f t="shared" si="3181"/>
        <v/>
      </c>
      <c r="DU264" s="30" t="str">
        <f t="shared" si="3182"/>
        <v/>
      </c>
      <c r="DV264" s="30" t="str">
        <f t="shared" si="3183"/>
        <v/>
      </c>
      <c r="DW264" s="30" t="str">
        <f t="shared" si="3184"/>
        <v/>
      </c>
      <c r="DX264" s="30" t="str">
        <f t="shared" si="3185"/>
        <v/>
      </c>
      <c r="DY264" s="30" t="str">
        <f t="shared" si="3186"/>
        <v/>
      </c>
      <c r="DZ264" s="30" t="str">
        <f t="shared" si="3187"/>
        <v/>
      </c>
      <c r="EA264" s="30" t="str">
        <f t="shared" si="3188"/>
        <v/>
      </c>
      <c r="EB264" s="30" t="str">
        <f t="shared" si="3189"/>
        <v/>
      </c>
      <c r="EC264" s="30" t="str">
        <f t="shared" si="3190"/>
        <v/>
      </c>
      <c r="ED264" s="30" t="str">
        <f t="shared" si="3191"/>
        <v/>
      </c>
      <c r="EE264" s="30" t="str">
        <f t="shared" si="3192"/>
        <v/>
      </c>
      <c r="EF264" s="30" t="str">
        <f t="shared" si="3193"/>
        <v/>
      </c>
      <c r="EG264" s="30" t="str">
        <f t="shared" si="3194"/>
        <v/>
      </c>
      <c r="EH264" s="30" t="str">
        <f t="shared" si="3195"/>
        <v/>
      </c>
      <c r="EI264" s="30" t="str">
        <f t="shared" si="3196"/>
        <v/>
      </c>
      <c r="EJ264" s="30" t="str">
        <f t="shared" si="3197"/>
        <v/>
      </c>
      <c r="EK264" s="30" t="str">
        <f t="shared" si="3198"/>
        <v/>
      </c>
      <c r="EL264" s="30" t="str">
        <f t="shared" si="3199"/>
        <v/>
      </c>
      <c r="EM264" s="30" t="str">
        <f t="shared" si="3200"/>
        <v/>
      </c>
      <c r="EN264" s="30" t="str">
        <f t="shared" si="3201"/>
        <v/>
      </c>
      <c r="EO264" s="30" t="str">
        <f t="shared" si="3202"/>
        <v/>
      </c>
      <c r="EP264" s="30" t="str">
        <f t="shared" si="3203"/>
        <v/>
      </c>
      <c r="EQ264" s="30" t="str">
        <f t="shared" si="3204"/>
        <v/>
      </c>
      <c r="ER264" s="30" t="str">
        <f t="shared" si="3205"/>
        <v/>
      </c>
      <c r="ES264" s="30" t="str">
        <f t="shared" si="3206"/>
        <v/>
      </c>
      <c r="ET264" s="30" t="str">
        <f t="shared" si="3207"/>
        <v/>
      </c>
      <c r="EU264" s="30" t="str">
        <f t="shared" si="3208"/>
        <v/>
      </c>
      <c r="EV264" s="30" t="str">
        <f t="shared" si="3209"/>
        <v/>
      </c>
      <c r="EW264" s="30" t="str">
        <f t="shared" si="3210"/>
        <v/>
      </c>
      <c r="EX264" s="30" t="str">
        <f t="shared" si="3211"/>
        <v/>
      </c>
      <c r="EY264" s="30" t="str">
        <f t="shared" si="3212"/>
        <v/>
      </c>
      <c r="EZ264" s="30" t="str">
        <f t="shared" si="3213"/>
        <v/>
      </c>
      <c r="FA264" s="30" t="str">
        <f t="shared" si="3214"/>
        <v/>
      </c>
      <c r="FB264" s="30" t="str">
        <f t="shared" si="3215"/>
        <v/>
      </c>
      <c r="FC264" s="30" t="str">
        <f t="shared" si="3216"/>
        <v/>
      </c>
      <c r="FD264" s="30" t="str">
        <f t="shared" si="3217"/>
        <v/>
      </c>
      <c r="FE264" s="30" t="str">
        <f t="shared" si="3218"/>
        <v/>
      </c>
      <c r="FF264" s="30" t="str">
        <f t="shared" si="3219"/>
        <v/>
      </c>
      <c r="FG264" s="30" t="str">
        <f t="shared" si="3220"/>
        <v/>
      </c>
      <c r="FH264" s="30" t="str">
        <f t="shared" si="3221"/>
        <v/>
      </c>
      <c r="FI264" s="30" t="str">
        <f t="shared" si="3222"/>
        <v/>
      </c>
      <c r="FJ264" s="30" t="str">
        <f t="shared" si="3223"/>
        <v/>
      </c>
      <c r="FK264" s="30" t="str">
        <f t="shared" si="3224"/>
        <v/>
      </c>
      <c r="FL264" s="30" t="str">
        <f t="shared" si="3225"/>
        <v/>
      </c>
      <c r="FM264" s="30" t="str">
        <f t="shared" si="3226"/>
        <v/>
      </c>
      <c r="FN264" s="30" t="str">
        <f t="shared" si="3227"/>
        <v/>
      </c>
      <c r="FO264" s="30" t="str">
        <f t="shared" si="3228"/>
        <v/>
      </c>
      <c r="FP264" s="30" t="str">
        <f t="shared" si="3229"/>
        <v/>
      </c>
      <c r="FQ264" s="30" t="str">
        <f t="shared" si="3230"/>
        <v/>
      </c>
      <c r="FR264" s="30" t="str">
        <f t="shared" si="3231"/>
        <v/>
      </c>
      <c r="FS264" s="30" t="str">
        <f t="shared" si="3232"/>
        <v/>
      </c>
    </row>
    <row r="265" spans="92:175">
      <c r="CN265" s="7" t="str">
        <f t="shared" si="3157"/>
        <v>InitUnitState('',,,,,,,,,,)</v>
      </c>
      <c r="CO265" s="7" t="str">
        <f t="shared" si="3158"/>
        <v>InitUnitNormal('',,,,,,,,,,)</v>
      </c>
      <c r="CP265" s="7" t="str">
        <f t="shared" si="3159"/>
        <v>InitUnitMagic('',,,,,,,,,,)</v>
      </c>
      <c r="CQ265" s="7" t="str">
        <f t="shared" si="3160"/>
        <v>InitUnitAdd('',,,,,,,,,,)</v>
      </c>
      <c r="CR265" s="7" t="str">
        <f t="shared" si="3161"/>
        <v>InitEquipData('',,"",,,,,'','','','','','',"")</v>
      </c>
      <c r="CU265" s="29" t="str">
        <f t="shared" si="3233"/>
        <v>|n</v>
      </c>
      <c r="CW265" s="24"/>
      <c r="CX265" s="24"/>
      <c r="CY265" s="24"/>
      <c r="CZ265" s="24"/>
      <c r="DA265" s="24"/>
      <c r="DB265" s="30" t="str">
        <f t="shared" si="3163"/>
        <v/>
      </c>
      <c r="DC265" s="30" t="str">
        <f t="shared" si="3164"/>
        <v/>
      </c>
      <c r="DD265" s="30" t="str">
        <f t="shared" si="3165"/>
        <v/>
      </c>
      <c r="DE265" s="30" t="str">
        <f t="shared" si="3166"/>
        <v/>
      </c>
      <c r="DF265" s="30" t="str">
        <f t="shared" si="3167"/>
        <v/>
      </c>
      <c r="DG265" s="30" t="str">
        <f t="shared" si="3168"/>
        <v/>
      </c>
      <c r="DH265" s="30" t="str">
        <f t="shared" si="3169"/>
        <v/>
      </c>
      <c r="DI265" s="30" t="str">
        <f t="shared" si="3170"/>
        <v/>
      </c>
      <c r="DJ265" s="30" t="str">
        <f t="shared" si="3171"/>
        <v/>
      </c>
      <c r="DK265" s="30" t="str">
        <f t="shared" si="3172"/>
        <v/>
      </c>
      <c r="DL265" s="30" t="str">
        <f t="shared" si="3173"/>
        <v/>
      </c>
      <c r="DM265" s="30" t="str">
        <f t="shared" si="3174"/>
        <v/>
      </c>
      <c r="DN265" s="30" t="str">
        <f t="shared" si="3175"/>
        <v/>
      </c>
      <c r="DO265" s="30" t="str">
        <f t="shared" si="3176"/>
        <v/>
      </c>
      <c r="DP265" s="30" t="str">
        <f t="shared" si="3177"/>
        <v/>
      </c>
      <c r="DQ265" s="30" t="str">
        <f t="shared" si="3178"/>
        <v/>
      </c>
      <c r="DR265" s="30" t="str">
        <f t="shared" si="3179"/>
        <v/>
      </c>
      <c r="DS265" s="30" t="str">
        <f t="shared" si="3180"/>
        <v/>
      </c>
      <c r="DT265" s="30" t="str">
        <f t="shared" si="3181"/>
        <v/>
      </c>
      <c r="DU265" s="30" t="str">
        <f t="shared" si="3182"/>
        <v/>
      </c>
      <c r="DV265" s="30" t="str">
        <f t="shared" si="3183"/>
        <v/>
      </c>
      <c r="DW265" s="30" t="str">
        <f t="shared" si="3184"/>
        <v/>
      </c>
      <c r="DX265" s="30" t="str">
        <f t="shared" si="3185"/>
        <v/>
      </c>
      <c r="DY265" s="30" t="str">
        <f t="shared" si="3186"/>
        <v/>
      </c>
      <c r="DZ265" s="30" t="str">
        <f t="shared" si="3187"/>
        <v/>
      </c>
      <c r="EA265" s="30" t="str">
        <f t="shared" si="3188"/>
        <v/>
      </c>
      <c r="EB265" s="30" t="str">
        <f t="shared" si="3189"/>
        <v/>
      </c>
      <c r="EC265" s="30" t="str">
        <f t="shared" si="3190"/>
        <v/>
      </c>
      <c r="ED265" s="30" t="str">
        <f t="shared" si="3191"/>
        <v/>
      </c>
      <c r="EE265" s="30" t="str">
        <f t="shared" si="3192"/>
        <v/>
      </c>
      <c r="EF265" s="30" t="str">
        <f t="shared" si="3193"/>
        <v/>
      </c>
      <c r="EG265" s="30" t="str">
        <f t="shared" si="3194"/>
        <v/>
      </c>
      <c r="EH265" s="30" t="str">
        <f t="shared" si="3195"/>
        <v/>
      </c>
      <c r="EI265" s="30" t="str">
        <f t="shared" si="3196"/>
        <v/>
      </c>
      <c r="EJ265" s="30" t="str">
        <f t="shared" si="3197"/>
        <v/>
      </c>
      <c r="EK265" s="30" t="str">
        <f t="shared" si="3198"/>
        <v/>
      </c>
      <c r="EL265" s="30" t="str">
        <f t="shared" si="3199"/>
        <v/>
      </c>
      <c r="EM265" s="30" t="str">
        <f t="shared" si="3200"/>
        <v/>
      </c>
      <c r="EN265" s="30" t="str">
        <f t="shared" si="3201"/>
        <v/>
      </c>
      <c r="EO265" s="30" t="str">
        <f t="shared" si="3202"/>
        <v/>
      </c>
      <c r="EP265" s="30" t="str">
        <f t="shared" si="3203"/>
        <v/>
      </c>
      <c r="EQ265" s="30" t="str">
        <f t="shared" si="3204"/>
        <v/>
      </c>
      <c r="ER265" s="30" t="str">
        <f t="shared" si="3205"/>
        <v/>
      </c>
      <c r="ES265" s="30" t="str">
        <f t="shared" si="3206"/>
        <v/>
      </c>
      <c r="ET265" s="30" t="str">
        <f t="shared" si="3207"/>
        <v/>
      </c>
      <c r="EU265" s="30" t="str">
        <f t="shared" si="3208"/>
        <v/>
      </c>
      <c r="EV265" s="30" t="str">
        <f t="shared" si="3209"/>
        <v/>
      </c>
      <c r="EW265" s="30" t="str">
        <f t="shared" si="3210"/>
        <v/>
      </c>
      <c r="EX265" s="30" t="str">
        <f t="shared" si="3211"/>
        <v/>
      </c>
      <c r="EY265" s="30" t="str">
        <f t="shared" si="3212"/>
        <v/>
      </c>
      <c r="EZ265" s="30" t="str">
        <f t="shared" si="3213"/>
        <v/>
      </c>
      <c r="FA265" s="30" t="str">
        <f t="shared" si="3214"/>
        <v/>
      </c>
      <c r="FB265" s="30" t="str">
        <f t="shared" si="3215"/>
        <v/>
      </c>
      <c r="FC265" s="30" t="str">
        <f t="shared" si="3216"/>
        <v/>
      </c>
      <c r="FD265" s="30" t="str">
        <f t="shared" si="3217"/>
        <v/>
      </c>
      <c r="FE265" s="30" t="str">
        <f t="shared" si="3218"/>
        <v/>
      </c>
      <c r="FF265" s="30" t="str">
        <f t="shared" si="3219"/>
        <v/>
      </c>
      <c r="FG265" s="30" t="str">
        <f t="shared" si="3220"/>
        <v/>
      </c>
      <c r="FH265" s="30" t="str">
        <f t="shared" si="3221"/>
        <v/>
      </c>
      <c r="FI265" s="30" t="str">
        <f t="shared" si="3222"/>
        <v/>
      </c>
      <c r="FJ265" s="30" t="str">
        <f t="shared" si="3223"/>
        <v/>
      </c>
      <c r="FK265" s="30" t="str">
        <f t="shared" si="3224"/>
        <v/>
      </c>
      <c r="FL265" s="30" t="str">
        <f t="shared" si="3225"/>
        <v/>
      </c>
      <c r="FM265" s="30" t="str">
        <f t="shared" si="3226"/>
        <v/>
      </c>
      <c r="FN265" s="30" t="str">
        <f t="shared" si="3227"/>
        <v/>
      </c>
      <c r="FO265" s="30" t="str">
        <f t="shared" si="3228"/>
        <v/>
      </c>
      <c r="FP265" s="30" t="str">
        <f t="shared" si="3229"/>
        <v/>
      </c>
      <c r="FQ265" s="30" t="str">
        <f t="shared" si="3230"/>
        <v/>
      </c>
      <c r="FR265" s="30" t="str">
        <f t="shared" si="3231"/>
        <v/>
      </c>
      <c r="FS265" s="30" t="str">
        <f t="shared" si="3232"/>
        <v/>
      </c>
    </row>
    <row r="266" spans="92:175">
      <c r="CN266" s="7" t="str">
        <f t="shared" si="3157"/>
        <v>InitUnitState('',,,,,,,,,,)</v>
      </c>
      <c r="CO266" s="7" t="str">
        <f t="shared" si="3158"/>
        <v>InitUnitNormal('',,,,,,,,,,)</v>
      </c>
      <c r="CP266" s="7" t="str">
        <f t="shared" si="3159"/>
        <v>InitUnitMagic('',,,,,,,,,,)</v>
      </c>
      <c r="CQ266" s="7" t="str">
        <f t="shared" si="3160"/>
        <v>InitUnitAdd('',,,,,,,,,,)</v>
      </c>
      <c r="CR266" s="7" t="str">
        <f t="shared" si="3161"/>
        <v>InitEquipData('',,"",,,,,'','','','','','',"")</v>
      </c>
      <c r="CU266" s="29" t="str">
        <f t="shared" si="3233"/>
        <v>|n</v>
      </c>
      <c r="CW266" s="24"/>
      <c r="CX266" s="24"/>
      <c r="CY266" s="24"/>
      <c r="CZ266" s="24"/>
      <c r="DA266" s="24"/>
      <c r="DB266" s="30" t="str">
        <f t="shared" si="3163"/>
        <v/>
      </c>
      <c r="DC266" s="30" t="str">
        <f t="shared" si="3164"/>
        <v/>
      </c>
      <c r="DD266" s="30" t="str">
        <f t="shared" si="3165"/>
        <v/>
      </c>
      <c r="DE266" s="30" t="str">
        <f t="shared" si="3166"/>
        <v/>
      </c>
      <c r="DF266" s="30" t="str">
        <f t="shared" si="3167"/>
        <v/>
      </c>
      <c r="DG266" s="30" t="str">
        <f t="shared" si="3168"/>
        <v/>
      </c>
      <c r="DH266" s="30" t="str">
        <f t="shared" si="3169"/>
        <v/>
      </c>
      <c r="DI266" s="30" t="str">
        <f t="shared" si="3170"/>
        <v/>
      </c>
      <c r="DJ266" s="30" t="str">
        <f t="shared" si="3171"/>
        <v/>
      </c>
      <c r="DK266" s="30" t="str">
        <f t="shared" si="3172"/>
        <v/>
      </c>
      <c r="DL266" s="30" t="str">
        <f t="shared" si="3173"/>
        <v/>
      </c>
      <c r="DM266" s="30" t="str">
        <f t="shared" si="3174"/>
        <v/>
      </c>
      <c r="DN266" s="30" t="str">
        <f t="shared" si="3175"/>
        <v/>
      </c>
      <c r="DO266" s="30" t="str">
        <f t="shared" si="3176"/>
        <v/>
      </c>
      <c r="DP266" s="30" t="str">
        <f t="shared" si="3177"/>
        <v/>
      </c>
      <c r="DQ266" s="30" t="str">
        <f t="shared" si="3178"/>
        <v/>
      </c>
      <c r="DR266" s="30" t="str">
        <f t="shared" si="3179"/>
        <v/>
      </c>
      <c r="DS266" s="30" t="str">
        <f t="shared" si="3180"/>
        <v/>
      </c>
      <c r="DT266" s="30" t="str">
        <f t="shared" si="3181"/>
        <v/>
      </c>
      <c r="DU266" s="30" t="str">
        <f t="shared" si="3182"/>
        <v/>
      </c>
      <c r="DV266" s="30" t="str">
        <f t="shared" si="3183"/>
        <v/>
      </c>
      <c r="DW266" s="30" t="str">
        <f t="shared" si="3184"/>
        <v/>
      </c>
      <c r="DX266" s="30" t="str">
        <f t="shared" si="3185"/>
        <v/>
      </c>
      <c r="DY266" s="30" t="str">
        <f t="shared" si="3186"/>
        <v/>
      </c>
      <c r="DZ266" s="30" t="str">
        <f t="shared" si="3187"/>
        <v/>
      </c>
      <c r="EA266" s="30" t="str">
        <f t="shared" si="3188"/>
        <v/>
      </c>
      <c r="EB266" s="30" t="str">
        <f t="shared" si="3189"/>
        <v/>
      </c>
      <c r="EC266" s="30" t="str">
        <f t="shared" si="3190"/>
        <v/>
      </c>
      <c r="ED266" s="30" t="str">
        <f t="shared" si="3191"/>
        <v/>
      </c>
      <c r="EE266" s="30" t="str">
        <f t="shared" si="3192"/>
        <v/>
      </c>
      <c r="EF266" s="30" t="str">
        <f t="shared" si="3193"/>
        <v/>
      </c>
      <c r="EG266" s="30" t="str">
        <f t="shared" si="3194"/>
        <v/>
      </c>
      <c r="EH266" s="30" t="str">
        <f t="shared" si="3195"/>
        <v/>
      </c>
      <c r="EI266" s="30" t="str">
        <f t="shared" si="3196"/>
        <v/>
      </c>
      <c r="EJ266" s="30" t="str">
        <f t="shared" si="3197"/>
        <v/>
      </c>
      <c r="EK266" s="30" t="str">
        <f t="shared" si="3198"/>
        <v/>
      </c>
      <c r="EL266" s="30" t="str">
        <f t="shared" si="3199"/>
        <v/>
      </c>
      <c r="EM266" s="30" t="str">
        <f t="shared" si="3200"/>
        <v/>
      </c>
      <c r="EN266" s="30" t="str">
        <f t="shared" si="3201"/>
        <v/>
      </c>
      <c r="EO266" s="30" t="str">
        <f t="shared" si="3202"/>
        <v/>
      </c>
      <c r="EP266" s="30" t="str">
        <f t="shared" si="3203"/>
        <v/>
      </c>
      <c r="EQ266" s="30" t="str">
        <f t="shared" si="3204"/>
        <v/>
      </c>
      <c r="ER266" s="30" t="str">
        <f t="shared" si="3205"/>
        <v/>
      </c>
      <c r="ES266" s="30" t="str">
        <f t="shared" si="3206"/>
        <v/>
      </c>
      <c r="ET266" s="30" t="str">
        <f t="shared" si="3207"/>
        <v/>
      </c>
      <c r="EU266" s="30" t="str">
        <f t="shared" si="3208"/>
        <v/>
      </c>
      <c r="EV266" s="30" t="str">
        <f t="shared" si="3209"/>
        <v/>
      </c>
      <c r="EW266" s="30" t="str">
        <f t="shared" si="3210"/>
        <v/>
      </c>
      <c r="EX266" s="30" t="str">
        <f t="shared" si="3211"/>
        <v/>
      </c>
      <c r="EY266" s="30" t="str">
        <f t="shared" si="3212"/>
        <v/>
      </c>
      <c r="EZ266" s="30" t="str">
        <f t="shared" si="3213"/>
        <v/>
      </c>
      <c r="FA266" s="30" t="str">
        <f t="shared" si="3214"/>
        <v/>
      </c>
      <c r="FB266" s="30" t="str">
        <f t="shared" si="3215"/>
        <v/>
      </c>
      <c r="FC266" s="30" t="str">
        <f t="shared" si="3216"/>
        <v/>
      </c>
      <c r="FD266" s="30" t="str">
        <f t="shared" si="3217"/>
        <v/>
      </c>
      <c r="FE266" s="30" t="str">
        <f t="shared" si="3218"/>
        <v/>
      </c>
      <c r="FF266" s="30" t="str">
        <f t="shared" si="3219"/>
        <v/>
      </c>
      <c r="FG266" s="30" t="str">
        <f t="shared" si="3220"/>
        <v/>
      </c>
      <c r="FH266" s="30" t="str">
        <f t="shared" si="3221"/>
        <v/>
      </c>
      <c r="FI266" s="30" t="str">
        <f t="shared" si="3222"/>
        <v/>
      </c>
      <c r="FJ266" s="30" t="str">
        <f t="shared" si="3223"/>
        <v/>
      </c>
      <c r="FK266" s="30" t="str">
        <f t="shared" si="3224"/>
        <v/>
      </c>
      <c r="FL266" s="30" t="str">
        <f t="shared" si="3225"/>
        <v/>
      </c>
      <c r="FM266" s="30" t="str">
        <f t="shared" si="3226"/>
        <v/>
      </c>
      <c r="FN266" s="30" t="str">
        <f t="shared" si="3227"/>
        <v/>
      </c>
      <c r="FO266" s="30" t="str">
        <f t="shared" si="3228"/>
        <v/>
      </c>
      <c r="FP266" s="30" t="str">
        <f t="shared" si="3229"/>
        <v/>
      </c>
      <c r="FQ266" s="30" t="str">
        <f t="shared" si="3230"/>
        <v/>
      </c>
      <c r="FR266" s="30" t="str">
        <f t="shared" si="3231"/>
        <v/>
      </c>
      <c r="FS266" s="30" t="str">
        <f t="shared" si="3232"/>
        <v/>
      </c>
    </row>
    <row r="267" spans="92:175">
      <c r="CN267" s="7" t="str">
        <f t="shared" si="3157"/>
        <v>InitUnitState('',,,,,,,,,,)</v>
      </c>
      <c r="CO267" s="7" t="str">
        <f t="shared" si="3158"/>
        <v>InitUnitNormal('',,,,,,,,,,)</v>
      </c>
      <c r="CP267" s="7" t="str">
        <f t="shared" si="3159"/>
        <v>InitUnitMagic('',,,,,,,,,,)</v>
      </c>
      <c r="CQ267" s="7" t="str">
        <f t="shared" si="3160"/>
        <v>InitUnitAdd('',,,,,,,,,,)</v>
      </c>
      <c r="CR267" s="7" t="str">
        <f t="shared" si="3161"/>
        <v>InitEquipData('',,"",,,,,'','','','','','',"")</v>
      </c>
      <c r="CU267" s="29" t="str">
        <f t="shared" si="3233"/>
        <v>|n</v>
      </c>
      <c r="CW267" s="24"/>
      <c r="CX267" s="24"/>
      <c r="CY267" s="24"/>
      <c r="CZ267" s="24"/>
      <c r="DA267" s="24"/>
      <c r="DB267" s="30" t="str">
        <f t="shared" si="3163"/>
        <v/>
      </c>
      <c r="DC267" s="30" t="str">
        <f t="shared" si="3164"/>
        <v/>
      </c>
      <c r="DD267" s="30" t="str">
        <f t="shared" si="3165"/>
        <v/>
      </c>
      <c r="DE267" s="30" t="str">
        <f t="shared" si="3166"/>
        <v/>
      </c>
      <c r="DF267" s="30" t="str">
        <f t="shared" si="3167"/>
        <v/>
      </c>
      <c r="DG267" s="30" t="str">
        <f t="shared" si="3168"/>
        <v/>
      </c>
      <c r="DH267" s="30" t="str">
        <f t="shared" si="3169"/>
        <v/>
      </c>
      <c r="DI267" s="30" t="str">
        <f t="shared" si="3170"/>
        <v/>
      </c>
      <c r="DJ267" s="30" t="str">
        <f t="shared" si="3171"/>
        <v/>
      </c>
      <c r="DK267" s="30" t="str">
        <f t="shared" si="3172"/>
        <v/>
      </c>
      <c r="DL267" s="30" t="str">
        <f t="shared" si="3173"/>
        <v/>
      </c>
      <c r="DM267" s="30" t="str">
        <f t="shared" si="3174"/>
        <v/>
      </c>
      <c r="DN267" s="30" t="str">
        <f t="shared" si="3175"/>
        <v/>
      </c>
      <c r="DO267" s="30" t="str">
        <f t="shared" si="3176"/>
        <v/>
      </c>
      <c r="DP267" s="30" t="str">
        <f t="shared" si="3177"/>
        <v/>
      </c>
      <c r="DQ267" s="30" t="str">
        <f t="shared" si="3178"/>
        <v/>
      </c>
      <c r="DR267" s="30" t="str">
        <f t="shared" si="3179"/>
        <v/>
      </c>
      <c r="DS267" s="30" t="str">
        <f t="shared" si="3180"/>
        <v/>
      </c>
      <c r="DT267" s="30" t="str">
        <f t="shared" si="3181"/>
        <v/>
      </c>
      <c r="DU267" s="30" t="str">
        <f t="shared" si="3182"/>
        <v/>
      </c>
      <c r="DV267" s="30" t="str">
        <f t="shared" si="3183"/>
        <v/>
      </c>
      <c r="DW267" s="30" t="str">
        <f t="shared" si="3184"/>
        <v/>
      </c>
      <c r="DX267" s="30" t="str">
        <f t="shared" si="3185"/>
        <v/>
      </c>
      <c r="DY267" s="30" t="str">
        <f t="shared" si="3186"/>
        <v/>
      </c>
      <c r="DZ267" s="30" t="str">
        <f t="shared" si="3187"/>
        <v/>
      </c>
      <c r="EA267" s="30" t="str">
        <f t="shared" si="3188"/>
        <v/>
      </c>
      <c r="EB267" s="30" t="str">
        <f t="shared" si="3189"/>
        <v/>
      </c>
      <c r="EC267" s="30" t="str">
        <f t="shared" si="3190"/>
        <v/>
      </c>
      <c r="ED267" s="30" t="str">
        <f t="shared" si="3191"/>
        <v/>
      </c>
      <c r="EE267" s="30" t="str">
        <f t="shared" si="3192"/>
        <v/>
      </c>
      <c r="EF267" s="30" t="str">
        <f t="shared" si="3193"/>
        <v/>
      </c>
      <c r="EG267" s="30" t="str">
        <f t="shared" si="3194"/>
        <v/>
      </c>
      <c r="EH267" s="30" t="str">
        <f t="shared" si="3195"/>
        <v/>
      </c>
      <c r="EI267" s="30" t="str">
        <f t="shared" si="3196"/>
        <v/>
      </c>
      <c r="EJ267" s="30" t="str">
        <f t="shared" si="3197"/>
        <v/>
      </c>
      <c r="EK267" s="30" t="str">
        <f t="shared" si="3198"/>
        <v/>
      </c>
      <c r="EL267" s="30" t="str">
        <f t="shared" si="3199"/>
        <v/>
      </c>
      <c r="EM267" s="30" t="str">
        <f t="shared" si="3200"/>
        <v/>
      </c>
      <c r="EN267" s="30" t="str">
        <f t="shared" si="3201"/>
        <v/>
      </c>
      <c r="EO267" s="30" t="str">
        <f t="shared" si="3202"/>
        <v/>
      </c>
      <c r="EP267" s="30" t="str">
        <f t="shared" si="3203"/>
        <v/>
      </c>
      <c r="EQ267" s="30" t="str">
        <f t="shared" si="3204"/>
        <v/>
      </c>
      <c r="ER267" s="30" t="str">
        <f t="shared" si="3205"/>
        <v/>
      </c>
      <c r="ES267" s="30" t="str">
        <f t="shared" si="3206"/>
        <v/>
      </c>
      <c r="ET267" s="30" t="str">
        <f t="shared" si="3207"/>
        <v/>
      </c>
      <c r="EU267" s="30" t="str">
        <f t="shared" si="3208"/>
        <v/>
      </c>
      <c r="EV267" s="30" t="str">
        <f t="shared" si="3209"/>
        <v/>
      </c>
      <c r="EW267" s="30" t="str">
        <f t="shared" si="3210"/>
        <v/>
      </c>
      <c r="EX267" s="30" t="str">
        <f t="shared" si="3211"/>
        <v/>
      </c>
      <c r="EY267" s="30" t="str">
        <f t="shared" si="3212"/>
        <v/>
      </c>
      <c r="EZ267" s="30" t="str">
        <f t="shared" si="3213"/>
        <v/>
      </c>
      <c r="FA267" s="30" t="str">
        <f t="shared" si="3214"/>
        <v/>
      </c>
      <c r="FB267" s="30" t="str">
        <f t="shared" si="3215"/>
        <v/>
      </c>
      <c r="FC267" s="30" t="str">
        <f t="shared" si="3216"/>
        <v/>
      </c>
      <c r="FD267" s="30" t="str">
        <f t="shared" si="3217"/>
        <v/>
      </c>
      <c r="FE267" s="30" t="str">
        <f t="shared" si="3218"/>
        <v/>
      </c>
      <c r="FF267" s="30" t="str">
        <f t="shared" si="3219"/>
        <v/>
      </c>
      <c r="FG267" s="30" t="str">
        <f t="shared" si="3220"/>
        <v/>
      </c>
      <c r="FH267" s="30" t="str">
        <f t="shared" si="3221"/>
        <v/>
      </c>
      <c r="FI267" s="30" t="str">
        <f t="shared" si="3222"/>
        <v/>
      </c>
      <c r="FJ267" s="30" t="str">
        <f t="shared" si="3223"/>
        <v/>
      </c>
      <c r="FK267" s="30" t="str">
        <f t="shared" si="3224"/>
        <v/>
      </c>
      <c r="FL267" s="30" t="str">
        <f t="shared" si="3225"/>
        <v/>
      </c>
      <c r="FM267" s="30" t="str">
        <f t="shared" si="3226"/>
        <v/>
      </c>
      <c r="FN267" s="30" t="str">
        <f t="shared" si="3227"/>
        <v/>
      </c>
      <c r="FO267" s="30" t="str">
        <f t="shared" si="3228"/>
        <v/>
      </c>
      <c r="FP267" s="30" t="str">
        <f t="shared" si="3229"/>
        <v/>
      </c>
      <c r="FQ267" s="30" t="str">
        <f t="shared" si="3230"/>
        <v/>
      </c>
      <c r="FR267" s="30" t="str">
        <f t="shared" si="3231"/>
        <v/>
      </c>
      <c r="FS267" s="30" t="str">
        <f t="shared" si="3232"/>
        <v/>
      </c>
    </row>
    <row r="268" spans="92:175">
      <c r="CN268" s="7" t="str">
        <f t="shared" si="3157"/>
        <v>InitUnitState('',,,,,,,,,,)</v>
      </c>
      <c r="CO268" s="7" t="str">
        <f t="shared" si="3158"/>
        <v>InitUnitNormal('',,,,,,,,,,)</v>
      </c>
      <c r="CP268" s="7" t="str">
        <f t="shared" si="3159"/>
        <v>InitUnitMagic('',,,,,,,,,,)</v>
      </c>
      <c r="CQ268" s="7" t="str">
        <f t="shared" si="3160"/>
        <v>InitUnitAdd('',,,,,,,,,,)</v>
      </c>
      <c r="CR268" s="7" t="str">
        <f t="shared" si="3161"/>
        <v>InitEquipData('',,"",,,,,'','','','','','',"")</v>
      </c>
      <c r="CU268" s="29" t="str">
        <f t="shared" si="3233"/>
        <v>|n</v>
      </c>
      <c r="CW268" s="24"/>
      <c r="CX268" s="24"/>
      <c r="CY268" s="24"/>
      <c r="CZ268" s="24"/>
      <c r="DA268" s="24"/>
      <c r="DB268" s="30" t="str">
        <f t="shared" si="3163"/>
        <v/>
      </c>
      <c r="DC268" s="30" t="str">
        <f t="shared" si="3164"/>
        <v/>
      </c>
      <c r="DD268" s="30" t="str">
        <f t="shared" si="3165"/>
        <v/>
      </c>
      <c r="DE268" s="30" t="str">
        <f t="shared" si="3166"/>
        <v/>
      </c>
      <c r="DF268" s="30" t="str">
        <f t="shared" si="3167"/>
        <v/>
      </c>
      <c r="DG268" s="30" t="str">
        <f t="shared" si="3168"/>
        <v/>
      </c>
      <c r="DH268" s="30" t="str">
        <f t="shared" si="3169"/>
        <v/>
      </c>
      <c r="DI268" s="30" t="str">
        <f t="shared" si="3170"/>
        <v/>
      </c>
      <c r="DJ268" s="30" t="str">
        <f t="shared" si="3171"/>
        <v/>
      </c>
      <c r="DK268" s="30" t="str">
        <f t="shared" si="3172"/>
        <v/>
      </c>
      <c r="DL268" s="30" t="str">
        <f t="shared" si="3173"/>
        <v/>
      </c>
      <c r="DM268" s="30" t="str">
        <f t="shared" si="3174"/>
        <v/>
      </c>
      <c r="DN268" s="30" t="str">
        <f t="shared" si="3175"/>
        <v/>
      </c>
      <c r="DO268" s="30" t="str">
        <f t="shared" si="3176"/>
        <v/>
      </c>
      <c r="DP268" s="30" t="str">
        <f t="shared" si="3177"/>
        <v/>
      </c>
      <c r="DQ268" s="30" t="str">
        <f t="shared" si="3178"/>
        <v/>
      </c>
      <c r="DR268" s="30" t="str">
        <f t="shared" si="3179"/>
        <v/>
      </c>
      <c r="DS268" s="30" t="str">
        <f t="shared" si="3180"/>
        <v/>
      </c>
      <c r="DT268" s="30" t="str">
        <f t="shared" si="3181"/>
        <v/>
      </c>
      <c r="DU268" s="30" t="str">
        <f t="shared" si="3182"/>
        <v/>
      </c>
      <c r="DV268" s="30" t="str">
        <f t="shared" si="3183"/>
        <v/>
      </c>
      <c r="DW268" s="30" t="str">
        <f t="shared" si="3184"/>
        <v/>
      </c>
      <c r="DX268" s="30" t="str">
        <f t="shared" si="3185"/>
        <v/>
      </c>
      <c r="DY268" s="30" t="str">
        <f t="shared" si="3186"/>
        <v/>
      </c>
      <c r="DZ268" s="30" t="str">
        <f t="shared" si="3187"/>
        <v/>
      </c>
      <c r="EA268" s="30" t="str">
        <f t="shared" si="3188"/>
        <v/>
      </c>
      <c r="EB268" s="30" t="str">
        <f t="shared" si="3189"/>
        <v/>
      </c>
      <c r="EC268" s="30" t="str">
        <f t="shared" si="3190"/>
        <v/>
      </c>
      <c r="ED268" s="30" t="str">
        <f t="shared" si="3191"/>
        <v/>
      </c>
      <c r="EE268" s="30" t="str">
        <f t="shared" si="3192"/>
        <v/>
      </c>
      <c r="EF268" s="30" t="str">
        <f t="shared" si="3193"/>
        <v/>
      </c>
      <c r="EG268" s="30" t="str">
        <f t="shared" si="3194"/>
        <v/>
      </c>
      <c r="EH268" s="30" t="str">
        <f t="shared" si="3195"/>
        <v/>
      </c>
      <c r="EI268" s="30" t="str">
        <f t="shared" si="3196"/>
        <v/>
      </c>
      <c r="EJ268" s="30" t="str">
        <f t="shared" si="3197"/>
        <v/>
      </c>
      <c r="EK268" s="30" t="str">
        <f t="shared" si="3198"/>
        <v/>
      </c>
      <c r="EL268" s="30" t="str">
        <f t="shared" si="3199"/>
        <v/>
      </c>
      <c r="EM268" s="30" t="str">
        <f t="shared" si="3200"/>
        <v/>
      </c>
      <c r="EN268" s="30" t="str">
        <f t="shared" si="3201"/>
        <v/>
      </c>
      <c r="EO268" s="30" t="str">
        <f t="shared" si="3202"/>
        <v/>
      </c>
      <c r="EP268" s="30" t="str">
        <f t="shared" si="3203"/>
        <v/>
      </c>
      <c r="EQ268" s="30" t="str">
        <f t="shared" si="3204"/>
        <v/>
      </c>
      <c r="ER268" s="30" t="str">
        <f t="shared" si="3205"/>
        <v/>
      </c>
      <c r="ES268" s="30" t="str">
        <f t="shared" si="3206"/>
        <v/>
      </c>
      <c r="ET268" s="30" t="str">
        <f t="shared" si="3207"/>
        <v/>
      </c>
      <c r="EU268" s="30" t="str">
        <f t="shared" si="3208"/>
        <v/>
      </c>
      <c r="EV268" s="30" t="str">
        <f t="shared" si="3209"/>
        <v/>
      </c>
      <c r="EW268" s="30" t="str">
        <f t="shared" si="3210"/>
        <v/>
      </c>
      <c r="EX268" s="30" t="str">
        <f t="shared" si="3211"/>
        <v/>
      </c>
      <c r="EY268" s="30" t="str">
        <f t="shared" si="3212"/>
        <v/>
      </c>
      <c r="EZ268" s="30" t="str">
        <f t="shared" si="3213"/>
        <v/>
      </c>
      <c r="FA268" s="30" t="str">
        <f t="shared" si="3214"/>
        <v/>
      </c>
      <c r="FB268" s="30" t="str">
        <f t="shared" si="3215"/>
        <v/>
      </c>
      <c r="FC268" s="30" t="str">
        <f t="shared" si="3216"/>
        <v/>
      </c>
      <c r="FD268" s="30" t="str">
        <f t="shared" si="3217"/>
        <v/>
      </c>
      <c r="FE268" s="30" t="str">
        <f t="shared" si="3218"/>
        <v/>
      </c>
      <c r="FF268" s="30" t="str">
        <f t="shared" si="3219"/>
        <v/>
      </c>
      <c r="FG268" s="30" t="str">
        <f t="shared" si="3220"/>
        <v/>
      </c>
      <c r="FH268" s="30" t="str">
        <f t="shared" si="3221"/>
        <v/>
      </c>
      <c r="FI268" s="30" t="str">
        <f t="shared" si="3222"/>
        <v/>
      </c>
      <c r="FJ268" s="30" t="str">
        <f t="shared" si="3223"/>
        <v/>
      </c>
      <c r="FK268" s="30" t="str">
        <f t="shared" si="3224"/>
        <v/>
      </c>
      <c r="FL268" s="30" t="str">
        <f t="shared" si="3225"/>
        <v/>
      </c>
      <c r="FM268" s="30" t="str">
        <f t="shared" si="3226"/>
        <v/>
      </c>
      <c r="FN268" s="30" t="str">
        <f t="shared" si="3227"/>
        <v/>
      </c>
      <c r="FO268" s="30" t="str">
        <f t="shared" si="3228"/>
        <v/>
      </c>
      <c r="FP268" s="30" t="str">
        <f t="shared" si="3229"/>
        <v/>
      </c>
      <c r="FQ268" s="30" t="str">
        <f t="shared" si="3230"/>
        <v/>
      </c>
      <c r="FR268" s="30" t="str">
        <f t="shared" si="3231"/>
        <v/>
      </c>
      <c r="FS268" s="30" t="str">
        <f t="shared" si="3232"/>
        <v/>
      </c>
    </row>
    <row r="269" spans="92:175">
      <c r="CN269" s="7" t="str">
        <f t="shared" si="3157"/>
        <v>InitUnitState('',,,,,,,,,,)</v>
      </c>
      <c r="CO269" s="7" t="str">
        <f t="shared" si="3158"/>
        <v>InitUnitNormal('',,,,,,,,,,)</v>
      </c>
      <c r="CP269" s="7" t="str">
        <f t="shared" si="3159"/>
        <v>InitUnitMagic('',,,,,,,,,,)</v>
      </c>
      <c r="CQ269" s="7" t="str">
        <f t="shared" si="3160"/>
        <v>InitUnitAdd('',,,,,,,,,,)</v>
      </c>
      <c r="CR269" s="7" t="str">
        <f t="shared" si="3161"/>
        <v>InitEquipData('',,"",,,,,'','','','','','',"")</v>
      </c>
      <c r="CU269" s="29" t="str">
        <f t="shared" si="3233"/>
        <v>|n</v>
      </c>
      <c r="CW269" s="24"/>
      <c r="CX269" s="24"/>
      <c r="CY269" s="24"/>
      <c r="CZ269" s="24"/>
      <c r="DA269" s="24"/>
      <c r="DB269" s="30" t="str">
        <f t="shared" si="3163"/>
        <v/>
      </c>
      <c r="DC269" s="30" t="str">
        <f t="shared" si="3164"/>
        <v/>
      </c>
      <c r="DD269" s="30" t="str">
        <f t="shared" si="3165"/>
        <v/>
      </c>
      <c r="DE269" s="30" t="str">
        <f t="shared" si="3166"/>
        <v/>
      </c>
      <c r="DF269" s="30" t="str">
        <f t="shared" si="3167"/>
        <v/>
      </c>
      <c r="DG269" s="30" t="str">
        <f t="shared" si="3168"/>
        <v/>
      </c>
      <c r="DH269" s="30" t="str">
        <f t="shared" si="3169"/>
        <v/>
      </c>
      <c r="DI269" s="30" t="str">
        <f t="shared" si="3170"/>
        <v/>
      </c>
      <c r="DJ269" s="30" t="str">
        <f t="shared" si="3171"/>
        <v/>
      </c>
      <c r="DK269" s="30" t="str">
        <f t="shared" si="3172"/>
        <v/>
      </c>
      <c r="DL269" s="30" t="str">
        <f t="shared" si="3173"/>
        <v/>
      </c>
      <c r="DM269" s="30" t="str">
        <f t="shared" si="3174"/>
        <v/>
      </c>
      <c r="DN269" s="30" t="str">
        <f t="shared" si="3175"/>
        <v/>
      </c>
      <c r="DO269" s="30" t="str">
        <f t="shared" si="3176"/>
        <v/>
      </c>
      <c r="DP269" s="30" t="str">
        <f t="shared" si="3177"/>
        <v/>
      </c>
      <c r="DQ269" s="30" t="str">
        <f t="shared" si="3178"/>
        <v/>
      </c>
      <c r="DR269" s="30" t="str">
        <f t="shared" si="3179"/>
        <v/>
      </c>
      <c r="DS269" s="30" t="str">
        <f t="shared" si="3180"/>
        <v/>
      </c>
      <c r="DT269" s="30" t="str">
        <f t="shared" si="3181"/>
        <v/>
      </c>
      <c r="DU269" s="30" t="str">
        <f t="shared" si="3182"/>
        <v/>
      </c>
      <c r="DV269" s="30" t="str">
        <f t="shared" si="3183"/>
        <v/>
      </c>
      <c r="DW269" s="30" t="str">
        <f t="shared" si="3184"/>
        <v/>
      </c>
      <c r="DX269" s="30" t="str">
        <f t="shared" si="3185"/>
        <v/>
      </c>
      <c r="DY269" s="30" t="str">
        <f t="shared" si="3186"/>
        <v/>
      </c>
      <c r="DZ269" s="30" t="str">
        <f t="shared" si="3187"/>
        <v/>
      </c>
      <c r="EA269" s="30" t="str">
        <f t="shared" si="3188"/>
        <v/>
      </c>
      <c r="EB269" s="30" t="str">
        <f t="shared" si="3189"/>
        <v/>
      </c>
      <c r="EC269" s="30" t="str">
        <f t="shared" si="3190"/>
        <v/>
      </c>
      <c r="ED269" s="30" t="str">
        <f t="shared" si="3191"/>
        <v/>
      </c>
      <c r="EE269" s="30" t="str">
        <f t="shared" si="3192"/>
        <v/>
      </c>
      <c r="EF269" s="30" t="str">
        <f t="shared" si="3193"/>
        <v/>
      </c>
      <c r="EG269" s="30" t="str">
        <f t="shared" si="3194"/>
        <v/>
      </c>
      <c r="EH269" s="30" t="str">
        <f t="shared" si="3195"/>
        <v/>
      </c>
      <c r="EI269" s="30" t="str">
        <f t="shared" si="3196"/>
        <v/>
      </c>
      <c r="EJ269" s="30" t="str">
        <f t="shared" si="3197"/>
        <v/>
      </c>
      <c r="EK269" s="30" t="str">
        <f t="shared" si="3198"/>
        <v/>
      </c>
      <c r="EL269" s="30" t="str">
        <f t="shared" si="3199"/>
        <v/>
      </c>
      <c r="EM269" s="30" t="str">
        <f t="shared" si="3200"/>
        <v/>
      </c>
      <c r="EN269" s="30" t="str">
        <f t="shared" si="3201"/>
        <v/>
      </c>
      <c r="EO269" s="30" t="str">
        <f t="shared" si="3202"/>
        <v/>
      </c>
      <c r="EP269" s="30" t="str">
        <f t="shared" si="3203"/>
        <v/>
      </c>
      <c r="EQ269" s="30" t="str">
        <f t="shared" si="3204"/>
        <v/>
      </c>
      <c r="ER269" s="30" t="str">
        <f t="shared" si="3205"/>
        <v/>
      </c>
      <c r="ES269" s="30" t="str">
        <f t="shared" si="3206"/>
        <v/>
      </c>
      <c r="ET269" s="30" t="str">
        <f t="shared" si="3207"/>
        <v/>
      </c>
      <c r="EU269" s="30" t="str">
        <f t="shared" si="3208"/>
        <v/>
      </c>
      <c r="EV269" s="30" t="str">
        <f t="shared" si="3209"/>
        <v/>
      </c>
      <c r="EW269" s="30" t="str">
        <f t="shared" si="3210"/>
        <v/>
      </c>
      <c r="EX269" s="30" t="str">
        <f t="shared" si="3211"/>
        <v/>
      </c>
      <c r="EY269" s="30" t="str">
        <f t="shared" si="3212"/>
        <v/>
      </c>
      <c r="EZ269" s="30" t="str">
        <f t="shared" si="3213"/>
        <v/>
      </c>
      <c r="FA269" s="30" t="str">
        <f t="shared" si="3214"/>
        <v/>
      </c>
      <c r="FB269" s="30" t="str">
        <f t="shared" si="3215"/>
        <v/>
      </c>
      <c r="FC269" s="30" t="str">
        <f t="shared" si="3216"/>
        <v/>
      </c>
      <c r="FD269" s="30" t="str">
        <f t="shared" si="3217"/>
        <v/>
      </c>
      <c r="FE269" s="30" t="str">
        <f t="shared" si="3218"/>
        <v/>
      </c>
      <c r="FF269" s="30" t="str">
        <f t="shared" si="3219"/>
        <v/>
      </c>
      <c r="FG269" s="30" t="str">
        <f t="shared" si="3220"/>
        <v/>
      </c>
      <c r="FH269" s="30" t="str">
        <f t="shared" si="3221"/>
        <v/>
      </c>
      <c r="FI269" s="30" t="str">
        <f t="shared" si="3222"/>
        <v/>
      </c>
      <c r="FJ269" s="30" t="str">
        <f t="shared" si="3223"/>
        <v/>
      </c>
      <c r="FK269" s="30" t="str">
        <f t="shared" si="3224"/>
        <v/>
      </c>
      <c r="FL269" s="30" t="str">
        <f t="shared" si="3225"/>
        <v/>
      </c>
      <c r="FM269" s="30" t="str">
        <f t="shared" si="3226"/>
        <v/>
      </c>
      <c r="FN269" s="30" t="str">
        <f t="shared" si="3227"/>
        <v/>
      </c>
      <c r="FO269" s="30" t="str">
        <f t="shared" si="3228"/>
        <v/>
      </c>
      <c r="FP269" s="30" t="str">
        <f t="shared" si="3229"/>
        <v/>
      </c>
      <c r="FQ269" s="30" t="str">
        <f t="shared" si="3230"/>
        <v/>
      </c>
      <c r="FR269" s="30" t="str">
        <f t="shared" si="3231"/>
        <v/>
      </c>
      <c r="FS269" s="30" t="str">
        <f t="shared" si="3232"/>
        <v/>
      </c>
    </row>
    <row r="270" spans="92:175">
      <c r="CN270" s="7" t="str">
        <f t="shared" si="3157"/>
        <v>InitUnitState('',,,,,,,,,,)</v>
      </c>
      <c r="CO270" s="7" t="str">
        <f t="shared" si="3158"/>
        <v>InitUnitNormal('',,,,,,,,,,)</v>
      </c>
      <c r="CP270" s="7" t="str">
        <f t="shared" si="3159"/>
        <v>InitUnitMagic('',,,,,,,,,,)</v>
      </c>
      <c r="CQ270" s="7" t="str">
        <f t="shared" si="3160"/>
        <v>InitUnitAdd('',,,,,,,,,,)</v>
      </c>
      <c r="CR270" s="7" t="str">
        <f t="shared" si="3161"/>
        <v>InitEquipData('',,"",,,,,'','','','','','',"")</v>
      </c>
      <c r="CU270" s="29" t="str">
        <f t="shared" si="3233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157"/>
        <v>InitUnitState('',,,,,,,,,,)</v>
      </c>
      <c r="CO271" s="7" t="str">
        <f t="shared" si="3158"/>
        <v>InitUnitNormal('',,,,,,,,,,)</v>
      </c>
      <c r="CP271" s="7" t="str">
        <f t="shared" si="3159"/>
        <v>InitUnitMagic('',,,,,,,,,,)</v>
      </c>
      <c r="CQ271" s="7" t="str">
        <f t="shared" si="3160"/>
        <v>InitUnitAdd('',,,,,,,,,,)</v>
      </c>
      <c r="CR271" s="7" t="str">
        <f t="shared" si="3161"/>
        <v>InitEquipData('',,"",,,,,'','','','','','',"")</v>
      </c>
      <c r="CU271" s="29" t="str">
        <f t="shared" si="3233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157"/>
        <v>InitUnitState('',,,,,,,,,,)</v>
      </c>
      <c r="CO272" s="7" t="str">
        <f t="shared" si="3158"/>
        <v>InitUnitNormal('',,,,,,,,,,)</v>
      </c>
      <c r="CP272" s="7" t="str">
        <f t="shared" si="3159"/>
        <v>InitUnitMagic('',,,,,,,,,,)</v>
      </c>
      <c r="CQ272" s="7" t="str">
        <f t="shared" si="3160"/>
        <v>InitUnitAdd('',,,,,,,,,,)</v>
      </c>
      <c r="CR272" s="7" t="str">
        <f t="shared" si="3161"/>
        <v>InitEquipData('',,"",,,,,'','','','','','',"")</v>
      </c>
      <c r="CU272" s="29" t="str">
        <f t="shared" si="3233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157"/>
        <v>InitUnitState('',,,,,,,,,,)</v>
      </c>
      <c r="CO273" s="7" t="str">
        <f t="shared" si="3158"/>
        <v>InitUnitNormal('',,,,,,,,,,)</v>
      </c>
      <c r="CP273" s="7" t="str">
        <f t="shared" si="3159"/>
        <v>InitUnitMagic('',,,,,,,,,,)</v>
      </c>
      <c r="CQ273" s="7" t="str">
        <f t="shared" si="3160"/>
        <v>InitUnitAdd('',,,,,,,,,,)</v>
      </c>
      <c r="CR273" s="7" t="str">
        <f t="shared" si="3161"/>
        <v>InitEquipData('',,"",,,,,'','','','','','',"")</v>
      </c>
      <c r="CU273" s="29" t="str">
        <f t="shared" si="3233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157"/>
        <v>InitUnitState('',,,,,,,,,,)</v>
      </c>
      <c r="CO274" s="7" t="str">
        <f t="shared" si="3158"/>
        <v>InitUnitNormal('',,,,,,,,,,)</v>
      </c>
      <c r="CP274" s="7" t="str">
        <f t="shared" si="3159"/>
        <v>InitUnitMagic('',,,,,,,,,,)</v>
      </c>
      <c r="CQ274" s="7" t="str">
        <f t="shared" si="3160"/>
        <v>InitUnitAdd('',,,,,,,,,,)</v>
      </c>
      <c r="CR274" s="7" t="str">
        <f t="shared" si="3161"/>
        <v>InitEquipData('',,"",,,,,'','','','','','',"")</v>
      </c>
      <c r="CU274" s="29" t="str">
        <f t="shared" si="3233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157"/>
        <v>InitUnitState('',,,,,,,,,,)</v>
      </c>
      <c r="CO275" s="7" t="str">
        <f t="shared" si="3158"/>
        <v>InitUnitNormal('',,,,,,,,,,)</v>
      </c>
      <c r="CP275" s="7" t="str">
        <f t="shared" si="3159"/>
        <v>InitUnitMagic('',,,,,,,,,,)</v>
      </c>
      <c r="CQ275" s="7" t="str">
        <f t="shared" si="3160"/>
        <v>InitUnitAdd('',,,,,,,,,,)</v>
      </c>
      <c r="CR275" s="7" t="str">
        <f t="shared" si="3161"/>
        <v>InitEquipData('',,"",,,,,'','','','','','',"")</v>
      </c>
      <c r="CU275" s="29" t="str">
        <f t="shared" si="3233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157"/>
        <v>InitUnitState('',,,,,,,,,,)</v>
      </c>
      <c r="CO276" s="7" t="str">
        <f t="shared" si="3158"/>
        <v>InitUnitNormal('',,,,,,,,,,)</v>
      </c>
      <c r="CP276" s="7" t="str">
        <f t="shared" si="3159"/>
        <v>InitUnitMagic('',,,,,,,,,,)</v>
      </c>
      <c r="CQ276" s="7" t="str">
        <f t="shared" si="3160"/>
        <v>InitUnitAdd('',,,,,,,,,,)</v>
      </c>
      <c r="CR276" s="7" t="str">
        <f t="shared" si="3161"/>
        <v>InitEquipData('',,"",,,,,'','','','','','',"")</v>
      </c>
      <c r="CU276" s="29" t="str">
        <f t="shared" si="3233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157"/>
        <v>InitUnitState('',,,,,,,,,,)</v>
      </c>
      <c r="CO277" s="7" t="str">
        <f t="shared" si="3158"/>
        <v>InitUnitNormal('',,,,,,,,,,)</v>
      </c>
      <c r="CP277" s="7" t="str">
        <f t="shared" si="3159"/>
        <v>InitUnitMagic('',,,,,,,,,,)</v>
      </c>
      <c r="CQ277" s="7" t="str">
        <f t="shared" si="3160"/>
        <v>InitUnitAdd('',,,,,,,,,,)</v>
      </c>
      <c r="CR277" s="7" t="str">
        <f t="shared" si="3161"/>
        <v>InitEquipData('',,"",,,,,'','','','','','',"")</v>
      </c>
      <c r="CU277" s="29" t="str">
        <f t="shared" si="3233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157"/>
        <v>InitUnitState('',,,,,,,,,,)</v>
      </c>
      <c r="CO278" s="7" t="str">
        <f t="shared" si="3158"/>
        <v>InitUnitNormal('',,,,,,,,,,)</v>
      </c>
      <c r="CP278" s="7" t="str">
        <f t="shared" si="3159"/>
        <v>InitUnitMagic('',,,,,,,,,,)</v>
      </c>
      <c r="CQ278" s="7" t="str">
        <f t="shared" si="3160"/>
        <v>InitUnitAdd('',,,,,,,,,,)</v>
      </c>
      <c r="CR278" s="7" t="str">
        <f t="shared" si="3161"/>
        <v>InitEquipData('',,"",,,,,'','','','','','',"")</v>
      </c>
      <c r="CU278" s="29" t="str">
        <f t="shared" si="3233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157"/>
        <v>InitUnitState('',,,,,,,,,,)</v>
      </c>
      <c r="CO279" s="7" t="str">
        <f t="shared" si="3158"/>
        <v>InitUnitNormal('',,,,,,,,,,)</v>
      </c>
      <c r="CP279" s="7" t="str">
        <f t="shared" si="3159"/>
        <v>InitUnitMagic('',,,,,,,,,,)</v>
      </c>
      <c r="CQ279" s="7" t="str">
        <f t="shared" si="3160"/>
        <v>InitUnitAdd('',,,,,,,,,,)</v>
      </c>
      <c r="CR279" s="7" t="str">
        <f t="shared" si="3161"/>
        <v>InitEquipData('',,"",,,,,'','','','','','',"")</v>
      </c>
      <c r="CU279" s="29" t="str">
        <f t="shared" si="3233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si="3157"/>
        <v>InitUnitState('',,,,,,,,,,)</v>
      </c>
      <c r="CO280" s="7" t="str">
        <f t="shared" si="3158"/>
        <v>InitUnitNormal('',,,,,,,,,,)</v>
      </c>
      <c r="CP280" s="7" t="str">
        <f t="shared" si="3159"/>
        <v>InitUnitMagic('',,,,,,,,,,)</v>
      </c>
      <c r="CQ280" s="7" t="str">
        <f t="shared" si="3160"/>
        <v>InitUnitAdd('',,,,,,,,,,)</v>
      </c>
      <c r="CR280" s="7" t="str">
        <f t="shared" si="3161"/>
        <v>InitEquipData('',,"",,,,,'','','','','','',"")</v>
      </c>
      <c r="CU280" s="29" t="str">
        <f t="shared" si="3233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ref="CN281:CN300" si="3234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" t="str">
        <f t="shared" ref="CO281:CO300" si="3235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" t="str">
        <f t="shared" ref="CP281:CP300" si="3236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" t="str">
        <f t="shared" ref="CQ281:CQ300" si="3237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" t="str">
        <f t="shared" ref="CR281:CR300" si="3238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29" t="str">
        <f t="shared" si="3233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234"/>
        <v>InitUnitState('',,,,,,,,,,)</v>
      </c>
      <c r="CO282" s="7" t="str">
        <f t="shared" si="3235"/>
        <v>InitUnitNormal('',,,,,,,,,,)</v>
      </c>
      <c r="CP282" s="7" t="str">
        <f t="shared" si="3236"/>
        <v>InitUnitMagic('',,,,,,,,,,)</v>
      </c>
      <c r="CQ282" s="7" t="str">
        <f t="shared" si="3237"/>
        <v>InitUnitAdd('',,,,,,,,,,)</v>
      </c>
      <c r="CR282" s="7" t="str">
        <f t="shared" si="3238"/>
        <v>InitEquipData('',,"",,,,,'','','','','','',"")</v>
      </c>
      <c r="CU282" s="29" t="str">
        <f t="shared" si="3233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234"/>
        <v>InitUnitState('',,,,,,,,,,)</v>
      </c>
      <c r="CO283" s="7" t="str">
        <f t="shared" si="3235"/>
        <v>InitUnitNormal('',,,,,,,,,,)</v>
      </c>
      <c r="CP283" s="7" t="str">
        <f t="shared" si="3236"/>
        <v>InitUnitMagic('',,,,,,,,,,)</v>
      </c>
      <c r="CQ283" s="7" t="str">
        <f t="shared" si="3237"/>
        <v>InitUnitAdd('',,,,,,,,,,)</v>
      </c>
      <c r="CR283" s="7" t="str">
        <f t="shared" si="3238"/>
        <v>InitEquipData('',,"",,,,,'','','','','','',"")</v>
      </c>
      <c r="CU283" s="29" t="str">
        <f t="shared" si="3233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234"/>
        <v>InitUnitState('',,,,,,,,,,)</v>
      </c>
      <c r="CO284" s="7" t="str">
        <f t="shared" si="3235"/>
        <v>InitUnitNormal('',,,,,,,,,,)</v>
      </c>
      <c r="CP284" s="7" t="str">
        <f t="shared" si="3236"/>
        <v>InitUnitMagic('',,,,,,,,,,)</v>
      </c>
      <c r="CQ284" s="7" t="str">
        <f t="shared" si="3237"/>
        <v>InitUnitAdd('',,,,,,,,,,)</v>
      </c>
      <c r="CR284" s="7" t="str">
        <f t="shared" si="3238"/>
        <v>InitEquipData('',,"",,,,,'','','','','','',"")</v>
      </c>
      <c r="CU284" s="29" t="str">
        <f t="shared" si="3233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234"/>
        <v>InitUnitState('',,,,,,,,,,)</v>
      </c>
      <c r="CO285" s="7" t="str">
        <f t="shared" si="3235"/>
        <v>InitUnitNormal('',,,,,,,,,,)</v>
      </c>
      <c r="CP285" s="7" t="str">
        <f t="shared" si="3236"/>
        <v>InitUnitMagic('',,,,,,,,,,)</v>
      </c>
      <c r="CQ285" s="7" t="str">
        <f t="shared" si="3237"/>
        <v>InitUnitAdd('',,,,,,,,,,)</v>
      </c>
      <c r="CR285" s="7" t="str">
        <f t="shared" si="3238"/>
        <v>InitEquipData('',,"",,,,,'','','','','','',"")</v>
      </c>
      <c r="CU285" s="29" t="str">
        <f t="shared" si="3233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234"/>
        <v>InitUnitState('',,,,,,,,,,)</v>
      </c>
      <c r="CO286" s="7" t="str">
        <f t="shared" si="3235"/>
        <v>InitUnitNormal('',,,,,,,,,,)</v>
      </c>
      <c r="CP286" s="7" t="str">
        <f t="shared" si="3236"/>
        <v>InitUnitMagic('',,,,,,,,,,)</v>
      </c>
      <c r="CQ286" s="7" t="str">
        <f t="shared" si="3237"/>
        <v>InitUnitAdd('',,,,,,,,,,)</v>
      </c>
      <c r="CR286" s="7" t="str">
        <f t="shared" si="3238"/>
        <v>InitEquipData('',,"",,,,,'','','','','','',"")</v>
      </c>
      <c r="CU286" s="29" t="str">
        <f t="shared" si="3233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234"/>
        <v>InitUnitState('',,,,,,,,,,)</v>
      </c>
      <c r="CO287" s="7" t="str">
        <f t="shared" si="3235"/>
        <v>InitUnitNormal('',,,,,,,,,,)</v>
      </c>
      <c r="CP287" s="7" t="str">
        <f t="shared" si="3236"/>
        <v>InitUnitMagic('',,,,,,,,,,)</v>
      </c>
      <c r="CQ287" s="7" t="str">
        <f t="shared" si="3237"/>
        <v>InitUnitAdd('',,,,,,,,,,)</v>
      </c>
      <c r="CR287" s="7" t="str">
        <f t="shared" si="3238"/>
        <v>InitEquipData('',,"",,,,,'','','','','','',"")</v>
      </c>
      <c r="CU287" s="29" t="str">
        <f t="shared" si="3233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234"/>
        <v>InitUnitState('',,,,,,,,,,)</v>
      </c>
      <c r="CO288" s="7" t="str">
        <f t="shared" si="3235"/>
        <v>InitUnitNormal('',,,,,,,,,,)</v>
      </c>
      <c r="CP288" s="7" t="str">
        <f t="shared" si="3236"/>
        <v>InitUnitMagic('',,,,,,,,,,)</v>
      </c>
      <c r="CQ288" s="7" t="str">
        <f t="shared" si="3237"/>
        <v>InitUnitAdd('',,,,,,,,,,)</v>
      </c>
      <c r="CR288" s="7" t="str">
        <f t="shared" si="3238"/>
        <v>InitEquipData('',,"",,,,,'','','','','','',"")</v>
      </c>
      <c r="CU288" s="29" t="str">
        <f t="shared" si="3233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234"/>
        <v>InitUnitState('',,,,,,,,,,)</v>
      </c>
      <c r="CO289" s="7" t="str">
        <f t="shared" si="3235"/>
        <v>InitUnitNormal('',,,,,,,,,,)</v>
      </c>
      <c r="CP289" s="7" t="str">
        <f t="shared" si="3236"/>
        <v>InitUnitMagic('',,,,,,,,,,)</v>
      </c>
      <c r="CQ289" s="7" t="str">
        <f t="shared" si="3237"/>
        <v>InitUnitAdd('',,,,,,,,,,)</v>
      </c>
      <c r="CR289" s="7" t="str">
        <f t="shared" si="3238"/>
        <v>InitEquipData('',,"",,,,,'','','','','','',"")</v>
      </c>
      <c r="CU289" s="29" t="str">
        <f t="shared" si="3233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234"/>
        <v>InitUnitState('',,,,,,,,,,)</v>
      </c>
      <c r="CO290" s="7" t="str">
        <f t="shared" si="3235"/>
        <v>InitUnitNormal('',,,,,,,,,,)</v>
      </c>
      <c r="CP290" s="7" t="str">
        <f t="shared" si="3236"/>
        <v>InitUnitMagic('',,,,,,,,,,)</v>
      </c>
      <c r="CQ290" s="7" t="str">
        <f t="shared" si="3237"/>
        <v>InitUnitAdd('',,,,,,,,,,)</v>
      </c>
      <c r="CR290" s="7" t="str">
        <f t="shared" si="3238"/>
        <v>InitEquipData('',,"",,,,,'','','','','','',"")</v>
      </c>
      <c r="CU290" s="29" t="str">
        <f t="shared" si="3233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234"/>
        <v>InitUnitState('',,,,,,,,,,)</v>
      </c>
      <c r="CO291" s="7" t="str">
        <f t="shared" si="3235"/>
        <v>InitUnitNormal('',,,,,,,,,,)</v>
      </c>
      <c r="CP291" s="7" t="str">
        <f t="shared" si="3236"/>
        <v>InitUnitMagic('',,,,,,,,,,)</v>
      </c>
      <c r="CQ291" s="7" t="str">
        <f t="shared" si="3237"/>
        <v>InitUnitAdd('',,,,,,,,,,)</v>
      </c>
      <c r="CR291" s="7" t="str">
        <f t="shared" si="3238"/>
        <v>InitEquipData('',,"",,,,,'','','','','','',"")</v>
      </c>
      <c r="CU291" s="29" t="str">
        <f t="shared" si="3233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234"/>
        <v>InitUnitState('',,,,,,,,,,)</v>
      </c>
      <c r="CO292" s="7" t="str">
        <f t="shared" si="3235"/>
        <v>InitUnitNormal('',,,,,,,,,,)</v>
      </c>
      <c r="CP292" s="7" t="str">
        <f t="shared" si="3236"/>
        <v>InitUnitMagic('',,,,,,,,,,)</v>
      </c>
      <c r="CQ292" s="7" t="str">
        <f t="shared" si="3237"/>
        <v>InitUnitAdd('',,,,,,,,,,)</v>
      </c>
      <c r="CR292" s="7" t="str">
        <f t="shared" si="3238"/>
        <v>InitEquipData('',,"",,,,,'','','','','','',"")</v>
      </c>
      <c r="CU292" s="29" t="str">
        <f t="shared" si="3233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234"/>
        <v>InitUnitState('',,,,,,,,,,)</v>
      </c>
      <c r="CO293" s="7" t="str">
        <f t="shared" si="3235"/>
        <v>InitUnitNormal('',,,,,,,,,,)</v>
      </c>
      <c r="CP293" s="7" t="str">
        <f t="shared" si="3236"/>
        <v>InitUnitMagic('',,,,,,,,,,)</v>
      </c>
      <c r="CQ293" s="7" t="str">
        <f t="shared" si="3237"/>
        <v>InitUnitAdd('',,,,,,,,,,)</v>
      </c>
      <c r="CR293" s="7" t="str">
        <f t="shared" si="3238"/>
        <v>InitEquipData('',,"",,,,,'','','','','','',"")</v>
      </c>
      <c r="CU293" s="29" t="str">
        <f t="shared" si="3233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234"/>
        <v>InitUnitState('',,,,,,,,,,)</v>
      </c>
      <c r="CO294" s="7" t="str">
        <f t="shared" si="3235"/>
        <v>InitUnitNormal('',,,,,,,,,,)</v>
      </c>
      <c r="CP294" s="7" t="str">
        <f t="shared" si="3236"/>
        <v>InitUnitMagic('',,,,,,,,,,)</v>
      </c>
      <c r="CQ294" s="7" t="str">
        <f t="shared" si="3237"/>
        <v>InitUnitAdd('',,,,,,,,,,)</v>
      </c>
      <c r="CR294" s="7" t="str">
        <f t="shared" si="3238"/>
        <v>InitEquipData('',,"",,,,,'','','','','','',"")</v>
      </c>
      <c r="CU294" s="29" t="str">
        <f t="shared" si="3233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234"/>
        <v>InitUnitState('',,,,,,,,,,)</v>
      </c>
      <c r="CO295" s="7" t="str">
        <f t="shared" si="3235"/>
        <v>InitUnitNormal('',,,,,,,,,,)</v>
      </c>
      <c r="CP295" s="7" t="str">
        <f t="shared" si="3236"/>
        <v>InitUnitMagic('',,,,,,,,,,)</v>
      </c>
      <c r="CQ295" s="7" t="str">
        <f t="shared" si="3237"/>
        <v>InitUnitAdd('',,,,,,,,,,)</v>
      </c>
      <c r="CR295" s="7" t="str">
        <f t="shared" si="3238"/>
        <v>InitEquipData('',,"",,,,,'','','','','','',"")</v>
      </c>
      <c r="CU295" s="29" t="str">
        <f t="shared" si="3233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234"/>
        <v>InitUnitState('',,,,,,,,,,)</v>
      </c>
      <c r="CO296" s="7" t="str">
        <f t="shared" si="3235"/>
        <v>InitUnitNormal('',,,,,,,,,,)</v>
      </c>
      <c r="CP296" s="7" t="str">
        <f t="shared" si="3236"/>
        <v>InitUnitMagic('',,,,,,,,,,)</v>
      </c>
      <c r="CQ296" s="7" t="str">
        <f t="shared" si="3237"/>
        <v>InitUnitAdd('',,,,,,,,,,)</v>
      </c>
      <c r="CR296" s="7" t="str">
        <f t="shared" si="3238"/>
        <v>InitEquipData('',,"",,,,,'','','','','','',"")</v>
      </c>
      <c r="CU296" s="29" t="str">
        <f t="shared" si="3233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234"/>
        <v>InitUnitState('',,,,,,,,,,)</v>
      </c>
      <c r="CO297" s="7" t="str">
        <f t="shared" si="3235"/>
        <v>InitUnitNormal('',,,,,,,,,,)</v>
      </c>
      <c r="CP297" s="7" t="str">
        <f t="shared" si="3236"/>
        <v>InitUnitMagic('',,,,,,,,,,)</v>
      </c>
      <c r="CQ297" s="7" t="str">
        <f t="shared" si="3237"/>
        <v>InitUnitAdd('',,,,,,,,,,)</v>
      </c>
      <c r="CR297" s="7" t="str">
        <f t="shared" si="3238"/>
        <v>InitEquipData('',,"",,,,,'','','','','','',"")</v>
      </c>
      <c r="CU297" s="29" t="str">
        <f t="shared" si="3233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234"/>
        <v>InitUnitState('',,,,,,,,,,)</v>
      </c>
      <c r="CO298" s="7" t="str">
        <f t="shared" si="3235"/>
        <v>InitUnitNormal('',,,,,,,,,,)</v>
      </c>
      <c r="CP298" s="7" t="str">
        <f t="shared" si="3236"/>
        <v>InitUnitMagic('',,,,,,,,,,)</v>
      </c>
      <c r="CQ298" s="7" t="str">
        <f t="shared" si="3237"/>
        <v>InitUnitAdd('',,,,,,,,,,)</v>
      </c>
      <c r="CR298" s="7" t="str">
        <f t="shared" si="3238"/>
        <v>InitEquipData('',,"",,,,,'','','','','','',"")</v>
      </c>
      <c r="CU298" s="29" t="str">
        <f t="shared" si="3233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234"/>
        <v>InitUnitState('',,,,,,,,,,)</v>
      </c>
      <c r="CO299" s="7" t="str">
        <f t="shared" si="3235"/>
        <v>InitUnitNormal('',,,,,,,,,,)</v>
      </c>
      <c r="CP299" s="7" t="str">
        <f t="shared" si="3236"/>
        <v>InitUnitMagic('',,,,,,,,,,)</v>
      </c>
      <c r="CQ299" s="7" t="str">
        <f t="shared" si="3237"/>
        <v>InitUnitAdd('',,,,,,,,,,)</v>
      </c>
      <c r="CR299" s="7" t="str">
        <f t="shared" si="3238"/>
        <v>InitEquipData('',,"",,,,,'','','','','','',"")</v>
      </c>
      <c r="CU299" s="29" t="str">
        <f t="shared" si="3233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  <row r="300" spans="92:120">
      <c r="CN300" s="7" t="str">
        <f t="shared" si="3234"/>
        <v>InitUnitState('',,,,,,,,,,)</v>
      </c>
      <c r="CO300" s="7" t="str">
        <f t="shared" si="3235"/>
        <v>InitUnitNormal('',,,,,,,,,,)</v>
      </c>
      <c r="CP300" s="7" t="str">
        <f t="shared" si="3236"/>
        <v>InitUnitMagic('',,,,,,,,,,)</v>
      </c>
      <c r="CQ300" s="7" t="str">
        <f t="shared" si="3237"/>
        <v>InitUnitAdd('',,,,,,,,,,)</v>
      </c>
      <c r="CR300" s="7" t="str">
        <f t="shared" si="3238"/>
        <v>InitEquipData('',,"",,,,,'','','','','','',"")</v>
      </c>
      <c r="CU300" s="29" t="str">
        <f t="shared" si="3233"/>
        <v>|n</v>
      </c>
      <c r="DB300" s="30" t="str">
        <f>IF(V300="","","|n"&amp;#REF!&amp;"+"&amp;V300)</f>
        <v/>
      </c>
      <c r="DC300" s="30" t="str">
        <f>IF(W300="","","|n"&amp;#REF!&amp;"+"&amp;W300)</f>
        <v/>
      </c>
      <c r="DD300" s="30" t="str">
        <f>IF(X300="","","|n"&amp;#REF!&amp;"+"&amp;X300)</f>
        <v/>
      </c>
      <c r="DE300" s="30" t="str">
        <f>IF(Y300="","","|n"&amp;#REF!&amp;"+"&amp;Y300)</f>
        <v/>
      </c>
      <c r="DF300" s="30" t="str">
        <f>IF(Z300="","","|n"&amp;#REF!&amp;"+"&amp;Z300)</f>
        <v/>
      </c>
      <c r="DG300" s="30" t="str">
        <f>IF(AA300="","","|n"&amp;#REF!&amp;"+"&amp;AA300)</f>
        <v/>
      </c>
      <c r="DH300" s="30" t="str">
        <f>IF(AB300="","","|n"&amp;#REF!&amp;"+"&amp;AB300)</f>
        <v/>
      </c>
      <c r="DI300" s="30" t="str">
        <f>IF(AC300="","","|n"&amp;#REF!&amp;"+"&amp;AC300&amp;"%")</f>
        <v/>
      </c>
      <c r="DJ300" s="30" t="str">
        <f>IF(AD300="","","|n"&amp;#REF!&amp;"+"&amp;AD300)</f>
        <v/>
      </c>
      <c r="DK300" s="30" t="str">
        <f>IF(AE300="","","|n"&amp;#REF!&amp;"+"&amp;AE300)</f>
        <v/>
      </c>
      <c r="DL300" s="30" t="str">
        <f>IF(AF300="","","|n"&amp;#REF!&amp;"+"&amp;AF300)</f>
        <v/>
      </c>
      <c r="DM300" s="30" t="str">
        <f>IF(AG300="","","|n"&amp;#REF!&amp;"+"&amp;AG300&amp;"%")</f>
        <v/>
      </c>
      <c r="DN300" s="30" t="str">
        <f>IF(AH300="","","|n"&amp;#REF!&amp;"+"&amp;AH300)</f>
        <v/>
      </c>
      <c r="DO300" s="30" t="str">
        <f>IF(AI300="","","|n"&amp;#REF!&amp;"+"&amp;AI300)</f>
        <v/>
      </c>
      <c r="DP300" s="30" t="str">
        <f>IF(AJ300="","","|n"&amp;#REF!&amp;"+"&amp;AJ300)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装备!A147</f>
        <v>0</v>
      </c>
      <c r="B173" s="19" t="str">
        <f>"'"&amp;装备!B147&amp;"'"</f>
        <v>'IP01'</v>
      </c>
      <c r="C173" s="19">
        <f>装备!J147</f>
        <v>0</v>
      </c>
      <c r="D173" s="19">
        <f>装备!K147</f>
        <v>0</v>
      </c>
      <c r="E173" s="19">
        <f>装备!L147</f>
        <v>0</v>
      </c>
      <c r="F173" s="19">
        <f>装备!M147</f>
        <v>0</v>
      </c>
      <c r="G173" s="19">
        <f>装备!N147</f>
        <v>0</v>
      </c>
      <c r="H173" s="19">
        <f>装备!O147</f>
        <v>0</v>
      </c>
      <c r="I173" s="19">
        <f>IF(装备!J147=0,0,"'"&amp;装备!J147&amp;"'")</f>
        <v>0</v>
      </c>
      <c r="J173" s="19">
        <f>IF(装备!K147=0,0,"'"&amp;装备!K147&amp;"'")</f>
        <v>0</v>
      </c>
      <c r="K173" s="19">
        <f>IF(装备!L147=0,0,"'"&amp;装备!L147&amp;"'")</f>
        <v>0</v>
      </c>
      <c r="L173" s="19">
        <f>IF(装备!M147=0,0,"'"&amp;装备!M147&amp;"'")</f>
        <v>0</v>
      </c>
      <c r="M173" s="19">
        <f>IF(装备!N147=0,0,"'"&amp;装备!N147&amp;"'")</f>
        <v>0</v>
      </c>
      <c r="N173" s="19">
        <f>IF(装备!O147=0,0,"'"&amp;装备!O147&amp;"'")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装备!A148</f>
        <v>0</v>
      </c>
      <c r="B174" s="19" t="str">
        <f>"'"&amp;装备!B148&amp;"'"</f>
        <v>'IP02'</v>
      </c>
      <c r="C174" s="19">
        <f>装备!J148</f>
        <v>0</v>
      </c>
      <c r="D174" s="19">
        <f>装备!K148</f>
        <v>0</v>
      </c>
      <c r="E174" s="19">
        <f>装备!L148</f>
        <v>0</v>
      </c>
      <c r="F174" s="19">
        <f>装备!M148</f>
        <v>0</v>
      </c>
      <c r="G174" s="19">
        <f>装备!N148</f>
        <v>0</v>
      </c>
      <c r="H174" s="19">
        <f>装备!O148</f>
        <v>0</v>
      </c>
      <c r="I174" s="19">
        <f>IF(装备!J148=0,0,"'"&amp;装备!J148&amp;"'")</f>
        <v>0</v>
      </c>
      <c r="J174" s="19">
        <f>IF(装备!K148=0,0,"'"&amp;装备!K148&amp;"'")</f>
        <v>0</v>
      </c>
      <c r="K174" s="19">
        <f>IF(装备!L148=0,0,"'"&amp;装备!L148&amp;"'")</f>
        <v>0</v>
      </c>
      <c r="L174" s="19">
        <f>IF(装备!M148=0,0,"'"&amp;装备!M148&amp;"'")</f>
        <v>0</v>
      </c>
      <c r="M174" s="19">
        <f>IF(装备!N148=0,0,"'"&amp;装备!N148&amp;"'")</f>
        <v>0</v>
      </c>
      <c r="N174" s="19">
        <f>IF(装备!O148=0,0,"'"&amp;装备!O148&amp;"'")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装备!A149</f>
        <v>0</v>
      </c>
      <c r="B175" s="19" t="str">
        <f>"'"&amp;装备!B149&amp;"'"</f>
        <v>'IP03'</v>
      </c>
      <c r="C175" s="19">
        <f>装备!J149</f>
        <v>0</v>
      </c>
      <c r="D175" s="19">
        <f>装备!K149</f>
        <v>0</v>
      </c>
      <c r="E175" s="19">
        <f>装备!L149</f>
        <v>0</v>
      </c>
      <c r="F175" s="19">
        <f>装备!M149</f>
        <v>0</v>
      </c>
      <c r="G175" s="19">
        <f>装备!N149</f>
        <v>0</v>
      </c>
      <c r="H175" s="19">
        <f>装备!O149</f>
        <v>0</v>
      </c>
      <c r="I175" s="19">
        <f>IF(装备!J149=0,0,"'"&amp;装备!J149&amp;"'")</f>
        <v>0</v>
      </c>
      <c r="J175" s="19">
        <f>IF(装备!K149=0,0,"'"&amp;装备!K149&amp;"'")</f>
        <v>0</v>
      </c>
      <c r="K175" s="19">
        <f>IF(装备!L149=0,0,"'"&amp;装备!L149&amp;"'")</f>
        <v>0</v>
      </c>
      <c r="L175" s="19">
        <f>IF(装备!M149=0,0,"'"&amp;装备!M149&amp;"'")</f>
        <v>0</v>
      </c>
      <c r="M175" s="19">
        <f>IF(装备!N149=0,0,"'"&amp;装备!N149&amp;"'")</f>
        <v>0</v>
      </c>
      <c r="N175" s="19">
        <f>IF(装备!O149=0,0,"'"&amp;装备!O149&amp;"'")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装备!A150</f>
        <v>0</v>
      </c>
      <c r="B176" s="19" t="str">
        <f>"'"&amp;装备!B150&amp;"'"</f>
        <v>'IT01'</v>
      </c>
      <c r="C176" s="19">
        <f>装备!J150</f>
        <v>0</v>
      </c>
      <c r="D176" s="19">
        <f>装备!K150</f>
        <v>0</v>
      </c>
      <c r="E176" s="19">
        <f>装备!L150</f>
        <v>0</v>
      </c>
      <c r="F176" s="19">
        <f>装备!M150</f>
        <v>0</v>
      </c>
      <c r="G176" s="19">
        <f>装备!N150</f>
        <v>0</v>
      </c>
      <c r="H176" s="19">
        <f>装备!O150</f>
        <v>0</v>
      </c>
      <c r="I176" s="19">
        <f>IF(装备!J150=0,0,"'"&amp;装备!J150&amp;"'")</f>
        <v>0</v>
      </c>
      <c r="J176" s="19">
        <f>IF(装备!K150=0,0,"'"&amp;装备!K150&amp;"'")</f>
        <v>0</v>
      </c>
      <c r="K176" s="19">
        <f>IF(装备!L150=0,0,"'"&amp;装备!L150&amp;"'")</f>
        <v>0</v>
      </c>
      <c r="L176" s="19">
        <f>IF(装备!M150=0,0,"'"&amp;装备!M150&amp;"'")</f>
        <v>0</v>
      </c>
      <c r="M176" s="19">
        <f>IF(装备!N150=0,0,"'"&amp;装备!N150&amp;"'")</f>
        <v>0</v>
      </c>
      <c r="N176" s="19">
        <f>IF(装备!O150=0,0,"'"&amp;装备!O150&amp;"'")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装备!A151</f>
        <v>0</v>
      </c>
      <c r="B177" s="19" t="str">
        <f>"'"&amp;装备!B151&amp;"'"</f>
        <v>'IT02'</v>
      </c>
      <c r="C177" s="19">
        <f>装备!J151</f>
        <v>0</v>
      </c>
      <c r="D177" s="19">
        <f>装备!K151</f>
        <v>0</v>
      </c>
      <c r="E177" s="19">
        <f>装备!L151</f>
        <v>0</v>
      </c>
      <c r="F177" s="19">
        <f>装备!M151</f>
        <v>0</v>
      </c>
      <c r="G177" s="19">
        <f>装备!N151</f>
        <v>0</v>
      </c>
      <c r="H177" s="19">
        <f>装备!O151</f>
        <v>0</v>
      </c>
      <c r="I177" s="19">
        <f>IF(装备!J151=0,0,"'"&amp;装备!J151&amp;"'")</f>
        <v>0</v>
      </c>
      <c r="J177" s="19">
        <f>IF(装备!K151=0,0,"'"&amp;装备!K151&amp;"'")</f>
        <v>0</v>
      </c>
      <c r="K177" s="19">
        <f>IF(装备!L151=0,0,"'"&amp;装备!L151&amp;"'")</f>
        <v>0</v>
      </c>
      <c r="L177" s="19">
        <f>IF(装备!M151=0,0,"'"&amp;装备!M151&amp;"'")</f>
        <v>0</v>
      </c>
      <c r="M177" s="19">
        <f>IF(装备!N151=0,0,"'"&amp;装备!N151&amp;"'")</f>
        <v>0</v>
      </c>
      <c r="N177" s="19">
        <f>IF(装备!O151=0,0,"'"&amp;装备!O151&amp;"'")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装备!A152</f>
        <v>0</v>
      </c>
      <c r="B178" s="19" t="str">
        <f>"'"&amp;装备!B152&amp;"'"</f>
        <v>'IT03'</v>
      </c>
      <c r="C178" s="19">
        <f>装备!J152</f>
        <v>0</v>
      </c>
      <c r="D178" s="19">
        <f>装备!K152</f>
        <v>0</v>
      </c>
      <c r="E178" s="19">
        <f>装备!L152</f>
        <v>0</v>
      </c>
      <c r="F178" s="19">
        <f>装备!M152</f>
        <v>0</v>
      </c>
      <c r="G178" s="19">
        <f>装备!N152</f>
        <v>0</v>
      </c>
      <c r="H178" s="19">
        <f>装备!O152</f>
        <v>0</v>
      </c>
      <c r="I178" s="19">
        <f>IF(装备!J152=0,0,"'"&amp;装备!J152&amp;"'")</f>
        <v>0</v>
      </c>
      <c r="J178" s="19">
        <f>IF(装备!K152=0,0,"'"&amp;装备!K152&amp;"'")</f>
        <v>0</v>
      </c>
      <c r="K178" s="19">
        <f>IF(装备!L152=0,0,"'"&amp;装备!L152&amp;"'")</f>
        <v>0</v>
      </c>
      <c r="L178" s="19">
        <f>IF(装备!M152=0,0,"'"&amp;装备!M152&amp;"'")</f>
        <v>0</v>
      </c>
      <c r="M178" s="19">
        <f>IF(装备!N152=0,0,"'"&amp;装备!N152&amp;"'")</f>
        <v>0</v>
      </c>
      <c r="N178" s="19">
        <f>IF(装备!O152=0,0,"'"&amp;装备!O152&amp;"'")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装备!A153</f>
        <v>0</v>
      </c>
      <c r="B179" s="19" t="str">
        <f>"'"&amp;装备!B153&amp;"'"</f>
        <v>'IT04'</v>
      </c>
      <c r="C179" s="19">
        <f>装备!J153</f>
        <v>0</v>
      </c>
      <c r="D179" s="19">
        <f>装备!K153</f>
        <v>0</v>
      </c>
      <c r="E179" s="19">
        <f>装备!L153</f>
        <v>0</v>
      </c>
      <c r="F179" s="19">
        <f>装备!M153</f>
        <v>0</v>
      </c>
      <c r="G179" s="19">
        <f>装备!N153</f>
        <v>0</v>
      </c>
      <c r="H179" s="19">
        <f>装备!O153</f>
        <v>0</v>
      </c>
      <c r="I179" s="19">
        <f>IF(装备!J153=0,0,"'"&amp;装备!J153&amp;"'")</f>
        <v>0</v>
      </c>
      <c r="J179" s="19">
        <f>IF(装备!K153=0,0,"'"&amp;装备!K153&amp;"'")</f>
        <v>0</v>
      </c>
      <c r="K179" s="19">
        <f>IF(装备!L153=0,0,"'"&amp;装备!L153&amp;"'")</f>
        <v>0</v>
      </c>
      <c r="L179" s="19">
        <f>IF(装备!M153=0,0,"'"&amp;装备!M153&amp;"'")</f>
        <v>0</v>
      </c>
      <c r="M179" s="19">
        <f>IF(装备!N153=0,0,"'"&amp;装备!N153&amp;"'")</f>
        <v>0</v>
      </c>
      <c r="N179" s="19">
        <f>IF(装备!O153=0,0,"'"&amp;装备!O153&amp;"'")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装备!A154</f>
        <v>0</v>
      </c>
      <c r="B180" s="19" t="str">
        <f>"'"&amp;装备!B154&amp;"'"</f>
        <v>'IT05'</v>
      </c>
      <c r="C180" s="19">
        <f>装备!J154</f>
        <v>0</v>
      </c>
      <c r="D180" s="19">
        <f>装备!K154</f>
        <v>0</v>
      </c>
      <c r="E180" s="19">
        <f>装备!L154</f>
        <v>0</v>
      </c>
      <c r="F180" s="19">
        <f>装备!M154</f>
        <v>0</v>
      </c>
      <c r="G180" s="19">
        <f>装备!N154</f>
        <v>0</v>
      </c>
      <c r="H180" s="19">
        <f>装备!O154</f>
        <v>0</v>
      </c>
      <c r="I180" s="19">
        <f>IF(装备!J154=0,0,"'"&amp;装备!J154&amp;"'")</f>
        <v>0</v>
      </c>
      <c r="J180" s="19">
        <f>IF(装备!K154=0,0,"'"&amp;装备!K154&amp;"'")</f>
        <v>0</v>
      </c>
      <c r="K180" s="19">
        <f>IF(装备!L154=0,0,"'"&amp;装备!L154&amp;"'")</f>
        <v>0</v>
      </c>
      <c r="L180" s="19">
        <f>IF(装备!M154=0,0,"'"&amp;装备!M154&amp;"'")</f>
        <v>0</v>
      </c>
      <c r="M180" s="19">
        <f>IF(装备!N154=0,0,"'"&amp;装备!N154&amp;"'")</f>
        <v>0</v>
      </c>
      <c r="N180" s="19">
        <f>IF(装备!O154=0,0,"'"&amp;装备!O154&amp;"'")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装备!A155</f>
        <v>0</v>
      </c>
      <c r="B181" s="19" t="str">
        <f>"'"&amp;装备!B155&amp;"'"</f>
        <v>'IT06'</v>
      </c>
      <c r="C181" s="19">
        <f>装备!J155</f>
        <v>0</v>
      </c>
      <c r="D181" s="19">
        <f>装备!K155</f>
        <v>0</v>
      </c>
      <c r="E181" s="19">
        <f>装备!L155</f>
        <v>0</v>
      </c>
      <c r="F181" s="19">
        <f>装备!M155</f>
        <v>0</v>
      </c>
      <c r="G181" s="19">
        <f>装备!N155</f>
        <v>0</v>
      </c>
      <c r="H181" s="19">
        <f>装备!O155</f>
        <v>0</v>
      </c>
      <c r="I181" s="19">
        <f>IF(装备!J155=0,0,"'"&amp;装备!J155&amp;"'")</f>
        <v>0</v>
      </c>
      <c r="J181" s="19">
        <f>IF(装备!K155=0,0,"'"&amp;装备!K155&amp;"'")</f>
        <v>0</v>
      </c>
      <c r="K181" s="19">
        <f>IF(装备!L155=0,0,"'"&amp;装备!L155&amp;"'")</f>
        <v>0</v>
      </c>
      <c r="L181" s="19">
        <f>IF(装备!M155=0,0,"'"&amp;装备!M155&amp;"'")</f>
        <v>0</v>
      </c>
      <c r="M181" s="19">
        <f>IF(装备!N155=0,0,"'"&amp;装备!N155&amp;"'")</f>
        <v>0</v>
      </c>
      <c r="N181" s="19">
        <f>IF(装备!O155=0,0,"'"&amp;装备!O155&amp;"'")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装备!A156</f>
        <v>0</v>
      </c>
      <c r="B182" s="19" t="str">
        <f>"'"&amp;装备!B156&amp;"'"</f>
        <v>'IT07'</v>
      </c>
      <c r="C182" s="19">
        <f>装备!J156</f>
        <v>0</v>
      </c>
      <c r="D182" s="19">
        <f>装备!K156</f>
        <v>0</v>
      </c>
      <c r="E182" s="19">
        <f>装备!L156</f>
        <v>0</v>
      </c>
      <c r="F182" s="19">
        <f>装备!M156</f>
        <v>0</v>
      </c>
      <c r="G182" s="19">
        <f>装备!N156</f>
        <v>0</v>
      </c>
      <c r="H182" s="19">
        <f>装备!O156</f>
        <v>0</v>
      </c>
      <c r="I182" s="19">
        <f>IF(装备!J156=0,0,"'"&amp;装备!J156&amp;"'")</f>
        <v>0</v>
      </c>
      <c r="J182" s="19">
        <f>IF(装备!K156=0,0,"'"&amp;装备!K156&amp;"'")</f>
        <v>0</v>
      </c>
      <c r="K182" s="19">
        <f>IF(装备!L156=0,0,"'"&amp;装备!L156&amp;"'")</f>
        <v>0</v>
      </c>
      <c r="L182" s="19">
        <f>IF(装备!M156=0,0,"'"&amp;装备!M156&amp;"'")</f>
        <v>0</v>
      </c>
      <c r="M182" s="19">
        <f>IF(装备!N156=0,0,"'"&amp;装备!N156&amp;"'")</f>
        <v>0</v>
      </c>
      <c r="N182" s="19">
        <f>IF(装备!O156=0,0,"'"&amp;装备!O156&amp;"'")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装备!A157</f>
        <v>.</v>
      </c>
      <c r="B183" s="19" t="str">
        <f>"'"&amp;装备!B157&amp;"'"</f>
        <v>'IT08'</v>
      </c>
      <c r="C183" s="19">
        <f>装备!J157</f>
        <v>0</v>
      </c>
      <c r="D183" s="19">
        <f>装备!K157</f>
        <v>0</v>
      </c>
      <c r="E183" s="19">
        <f>装备!L157</f>
        <v>0</v>
      </c>
      <c r="F183" s="19">
        <f>装备!M157</f>
        <v>0</v>
      </c>
      <c r="G183" s="19">
        <f>装备!N157</f>
        <v>0</v>
      </c>
      <c r="H183" s="19">
        <f>装备!O157</f>
        <v>0</v>
      </c>
      <c r="I183" s="19">
        <f>IF(装备!J157=0,0,"'"&amp;装备!J157&amp;"'")</f>
        <v>0</v>
      </c>
      <c r="J183" s="19">
        <f>IF(装备!K157=0,0,"'"&amp;装备!K157&amp;"'")</f>
        <v>0</v>
      </c>
      <c r="K183" s="19">
        <f>IF(装备!L157=0,0,"'"&amp;装备!L157&amp;"'")</f>
        <v>0</v>
      </c>
      <c r="L183" s="19">
        <f>IF(装备!M157=0,0,"'"&amp;装备!M157&amp;"'")</f>
        <v>0</v>
      </c>
      <c r="M183" s="19">
        <f>IF(装备!N157=0,0,"'"&amp;装备!N157&amp;"'")</f>
        <v>0</v>
      </c>
      <c r="N183" s="19">
        <f>IF(装备!O157=0,0,"'"&amp;装备!O157&amp;"'")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装备!A158</f>
        <v>0</v>
      </c>
      <c r="B184" s="19" t="str">
        <f>"'"&amp;装备!B158&amp;"'"</f>
        <v>'IT09'</v>
      </c>
      <c r="C184" s="19">
        <f>装备!J158</f>
        <v>0</v>
      </c>
      <c r="D184" s="19">
        <f>装备!K158</f>
        <v>0</v>
      </c>
      <c r="E184" s="19">
        <f>装备!L158</f>
        <v>0</v>
      </c>
      <c r="F184" s="19">
        <f>装备!M158</f>
        <v>0</v>
      </c>
      <c r="G184" s="19">
        <f>装备!N158</f>
        <v>0</v>
      </c>
      <c r="H184" s="19">
        <f>装备!O158</f>
        <v>0</v>
      </c>
      <c r="I184" s="19">
        <f>IF(装备!J158=0,0,"'"&amp;装备!J158&amp;"'")</f>
        <v>0</v>
      </c>
      <c r="J184" s="19">
        <f>IF(装备!K158=0,0,"'"&amp;装备!K158&amp;"'")</f>
        <v>0</v>
      </c>
      <c r="K184" s="19">
        <f>IF(装备!L158=0,0,"'"&amp;装备!L158&amp;"'")</f>
        <v>0</v>
      </c>
      <c r="L184" s="19">
        <f>IF(装备!M158=0,0,"'"&amp;装备!M158&amp;"'")</f>
        <v>0</v>
      </c>
      <c r="M184" s="19">
        <f>IF(装备!N158=0,0,"'"&amp;装备!N158&amp;"'")</f>
        <v>0</v>
      </c>
      <c r="N184" s="19">
        <f>IF(装备!O158=0,0,"'"&amp;装备!O158&amp;"'")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装备!A159</f>
        <v>0</v>
      </c>
      <c r="B185" s="19" t="str">
        <f>"'"&amp;装备!B159&amp;"'"</f>
        <v>'IT10'</v>
      </c>
      <c r="C185" s="19">
        <f>装备!J159</f>
        <v>0</v>
      </c>
      <c r="D185" s="19">
        <f>装备!K159</f>
        <v>0</v>
      </c>
      <c r="E185" s="19">
        <f>装备!L159</f>
        <v>0</v>
      </c>
      <c r="F185" s="19">
        <f>装备!M159</f>
        <v>0</v>
      </c>
      <c r="G185" s="19">
        <f>装备!N159</f>
        <v>0</v>
      </c>
      <c r="H185" s="19">
        <f>装备!O159</f>
        <v>0</v>
      </c>
      <c r="I185" s="19">
        <f>IF(装备!J159=0,0,"'"&amp;装备!J159&amp;"'")</f>
        <v>0</v>
      </c>
      <c r="J185" s="19">
        <f>IF(装备!K159=0,0,"'"&amp;装备!K159&amp;"'")</f>
        <v>0</v>
      </c>
      <c r="K185" s="19">
        <f>IF(装备!L159=0,0,"'"&amp;装备!L159&amp;"'")</f>
        <v>0</v>
      </c>
      <c r="L185" s="19">
        <f>IF(装备!M159=0,0,"'"&amp;装备!M159&amp;"'")</f>
        <v>0</v>
      </c>
      <c r="M185" s="19">
        <f>IF(装备!N159=0,0,"'"&amp;装备!N159&amp;"'")</f>
        <v>0</v>
      </c>
      <c r="N185" s="19">
        <f>IF(装备!O159=0,0,"'"&amp;装备!O159&amp;"'")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装备!A165</f>
        <v>0</v>
      </c>
      <c r="B186" s="19" t="str">
        <f>"'"&amp;装备!B165&amp;"'"</f>
        <v>'IS02'</v>
      </c>
      <c r="C186" s="19">
        <f>装备!J165</f>
        <v>0</v>
      </c>
      <c r="D186" s="19">
        <f>装备!K165</f>
        <v>0</v>
      </c>
      <c r="E186" s="19">
        <f>装备!L165</f>
        <v>0</v>
      </c>
      <c r="F186" s="19">
        <f>装备!M165</f>
        <v>0</v>
      </c>
      <c r="G186" s="19">
        <f>装备!N165</f>
        <v>0</v>
      </c>
      <c r="H186" s="19">
        <f>装备!O165</f>
        <v>0</v>
      </c>
      <c r="I186" s="19">
        <f>IF(装备!J165=0,0,"'"&amp;装备!J165&amp;"'")</f>
        <v>0</v>
      </c>
      <c r="J186" s="19">
        <f>IF(装备!K165=0,0,"'"&amp;装备!K165&amp;"'")</f>
        <v>0</v>
      </c>
      <c r="K186" s="19">
        <f>IF(装备!L165=0,0,"'"&amp;装备!L165&amp;"'")</f>
        <v>0</v>
      </c>
      <c r="L186" s="19">
        <f>IF(装备!M165=0,0,"'"&amp;装备!M165&amp;"'")</f>
        <v>0</v>
      </c>
      <c r="M186" s="19">
        <f>IF(装备!N165=0,0,"'"&amp;装备!N165&amp;"'")</f>
        <v>0</v>
      </c>
      <c r="N186" s="19">
        <f>IF(装备!O165=0,0,"'"&amp;装备!O165&amp;"'")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装备!A166</f>
        <v>0</v>
      </c>
      <c r="B187" s="19" t="str">
        <f>"'"&amp;装备!B166&amp;"'"</f>
        <v>'IS03'</v>
      </c>
      <c r="C187" s="19">
        <f>装备!J166</f>
        <v>0</v>
      </c>
      <c r="D187" s="19">
        <f>装备!K166</f>
        <v>0</v>
      </c>
      <c r="E187" s="19">
        <f>装备!L166</f>
        <v>0</v>
      </c>
      <c r="F187" s="19">
        <f>装备!M166</f>
        <v>0</v>
      </c>
      <c r="G187" s="19">
        <f>装备!N166</f>
        <v>0</v>
      </c>
      <c r="H187" s="19">
        <f>装备!O166</f>
        <v>0</v>
      </c>
      <c r="I187" s="19">
        <f>IF(装备!J166=0,0,"'"&amp;装备!J166&amp;"'")</f>
        <v>0</v>
      </c>
      <c r="J187" s="19">
        <f>IF(装备!K166=0,0,"'"&amp;装备!K166&amp;"'")</f>
        <v>0</v>
      </c>
      <c r="K187" s="19">
        <f>IF(装备!L166=0,0,"'"&amp;装备!L166&amp;"'")</f>
        <v>0</v>
      </c>
      <c r="L187" s="19">
        <f>IF(装备!M166=0,0,"'"&amp;装备!M166&amp;"'")</f>
        <v>0</v>
      </c>
      <c r="M187" s="19">
        <f>IF(装备!N166=0,0,"'"&amp;装备!N166&amp;"'")</f>
        <v>0</v>
      </c>
      <c r="N187" s="19">
        <f>IF(装备!O166=0,0,"'"&amp;装备!O166&amp;"'")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装备!A167</f>
        <v>0</v>
      </c>
      <c r="B188" s="19" t="str">
        <f>"'"&amp;装备!B167&amp;"'"</f>
        <v>'IS04'</v>
      </c>
      <c r="C188" s="19">
        <f>装备!J167</f>
        <v>0</v>
      </c>
      <c r="D188" s="19">
        <f>装备!K167</f>
        <v>0</v>
      </c>
      <c r="E188" s="19">
        <f>装备!L167</f>
        <v>0</v>
      </c>
      <c r="F188" s="19">
        <f>装备!M167</f>
        <v>0</v>
      </c>
      <c r="G188" s="19">
        <f>装备!N167</f>
        <v>0</v>
      </c>
      <c r="H188" s="19">
        <f>装备!O167</f>
        <v>0</v>
      </c>
      <c r="I188" s="19">
        <f>IF(装备!J167=0,0,"'"&amp;装备!J167&amp;"'")</f>
        <v>0</v>
      </c>
      <c r="J188" s="19">
        <f>IF(装备!K167=0,0,"'"&amp;装备!K167&amp;"'")</f>
        <v>0</v>
      </c>
      <c r="K188" s="19">
        <f>IF(装备!L167=0,0,"'"&amp;装备!L167&amp;"'")</f>
        <v>0</v>
      </c>
      <c r="L188" s="19">
        <f>IF(装备!M167=0,0,"'"&amp;装备!M167&amp;"'")</f>
        <v>0</v>
      </c>
      <c r="M188" s="19">
        <f>IF(装备!N167=0,0,"'"&amp;装备!N167&amp;"'")</f>
        <v>0</v>
      </c>
      <c r="N188" s="19">
        <f>IF(装备!O167=0,0,"'"&amp;装备!O167&amp;"'")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装备!A168</f>
        <v>0</v>
      </c>
      <c r="B189" s="19" t="str">
        <f>"'"&amp;装备!B168&amp;"'"</f>
        <v>'IS05'</v>
      </c>
      <c r="C189" s="19">
        <f>装备!J168</f>
        <v>0</v>
      </c>
      <c r="D189" s="19">
        <f>装备!K168</f>
        <v>0</v>
      </c>
      <c r="E189" s="19">
        <f>装备!L168</f>
        <v>0</v>
      </c>
      <c r="F189" s="19">
        <f>装备!M168</f>
        <v>0</v>
      </c>
      <c r="G189" s="19">
        <f>装备!N168</f>
        <v>0</v>
      </c>
      <c r="H189" s="19">
        <f>装备!O168</f>
        <v>0</v>
      </c>
      <c r="I189" s="19">
        <f>IF(装备!J168=0,0,"'"&amp;装备!J168&amp;"'")</f>
        <v>0</v>
      </c>
      <c r="J189" s="19">
        <f>IF(装备!K168=0,0,"'"&amp;装备!K168&amp;"'")</f>
        <v>0</v>
      </c>
      <c r="K189" s="19">
        <f>IF(装备!L168=0,0,"'"&amp;装备!L168&amp;"'")</f>
        <v>0</v>
      </c>
      <c r="L189" s="19">
        <f>IF(装备!M168=0,0,"'"&amp;装备!M168&amp;"'")</f>
        <v>0</v>
      </c>
      <c r="M189" s="19">
        <f>IF(装备!N168=0,0,"'"&amp;装备!N168&amp;"'")</f>
        <v>0</v>
      </c>
      <c r="N189" s="19">
        <f>IF(装备!O168=0,0,"'"&amp;装备!O168&amp;"'")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装备!A170</f>
        <v>0</v>
      </c>
      <c r="B190" s="19" t="str">
        <f>"'"&amp;装备!B170&amp;"'"</f>
        <v>'IH00'</v>
      </c>
      <c r="C190" s="19">
        <f>装备!J170</f>
        <v>0</v>
      </c>
      <c r="D190" s="19">
        <f>装备!K170</f>
        <v>0</v>
      </c>
      <c r="E190" s="19">
        <f>装备!L170</f>
        <v>0</v>
      </c>
      <c r="F190" s="19">
        <f>装备!M170</f>
        <v>0</v>
      </c>
      <c r="G190" s="19">
        <f>装备!N170</f>
        <v>0</v>
      </c>
      <c r="H190" s="19">
        <f>装备!O170</f>
        <v>0</v>
      </c>
      <c r="I190" s="19">
        <f>IF(装备!J170=0,0,"'"&amp;装备!J170&amp;"'")</f>
        <v>0</v>
      </c>
      <c r="J190" s="19">
        <f>IF(装备!K170=0,0,"'"&amp;装备!K170&amp;"'")</f>
        <v>0</v>
      </c>
      <c r="K190" s="19">
        <f>IF(装备!L170=0,0,"'"&amp;装备!L170&amp;"'")</f>
        <v>0</v>
      </c>
      <c r="L190" s="19">
        <f>IF(装备!M170=0,0,"'"&amp;装备!M170&amp;"'")</f>
        <v>0</v>
      </c>
      <c r="M190" s="19">
        <f>IF(装备!N170=0,0,"'"&amp;装备!N170&amp;"'")</f>
        <v>0</v>
      </c>
      <c r="N190" s="19">
        <f>IF(装备!O170=0,0,"'"&amp;装备!O170&amp;"'")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装备!A171</f>
        <v>0</v>
      </c>
      <c r="B191" s="19" t="str">
        <f>"'"&amp;装备!B171&amp;"'"</f>
        <v>'IH01'</v>
      </c>
      <c r="C191" s="19">
        <f>装备!J171</f>
        <v>0</v>
      </c>
      <c r="D191" s="19">
        <f>装备!K171</f>
        <v>0</v>
      </c>
      <c r="E191" s="19">
        <f>装备!L171</f>
        <v>0</v>
      </c>
      <c r="F191" s="19">
        <f>装备!M171</f>
        <v>0</v>
      </c>
      <c r="G191" s="19">
        <f>装备!N171</f>
        <v>0</v>
      </c>
      <c r="H191" s="19">
        <f>装备!O171</f>
        <v>0</v>
      </c>
      <c r="I191" s="19">
        <f>IF(装备!J171=0,0,"'"&amp;装备!J171&amp;"'")</f>
        <v>0</v>
      </c>
      <c r="J191" s="19">
        <f>IF(装备!K171=0,0,"'"&amp;装备!K171&amp;"'")</f>
        <v>0</v>
      </c>
      <c r="K191" s="19">
        <f>IF(装备!L171=0,0,"'"&amp;装备!L171&amp;"'")</f>
        <v>0</v>
      </c>
      <c r="L191" s="19">
        <f>IF(装备!M171=0,0,"'"&amp;装备!M171&amp;"'")</f>
        <v>0</v>
      </c>
      <c r="M191" s="19">
        <f>IF(装备!N171=0,0,"'"&amp;装备!N171&amp;"'")</f>
        <v>0</v>
      </c>
      <c r="N191" s="19">
        <f>IF(装备!O171=0,0,"'"&amp;装备!O171&amp;"'")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装备!A172</f>
        <v>0</v>
      </c>
      <c r="B192" s="19" t="str">
        <f>"'"&amp;装备!B172&amp;"'"</f>
        <v>'IH02'</v>
      </c>
      <c r="C192" s="19">
        <f>装备!J172</f>
        <v>0</v>
      </c>
      <c r="D192" s="19">
        <f>装备!K172</f>
        <v>0</v>
      </c>
      <c r="E192" s="19">
        <f>装备!L172</f>
        <v>0</v>
      </c>
      <c r="F192" s="19">
        <f>装备!M172</f>
        <v>0</v>
      </c>
      <c r="G192" s="19">
        <f>装备!N172</f>
        <v>0</v>
      </c>
      <c r="H192" s="19">
        <f>装备!O172</f>
        <v>0</v>
      </c>
      <c r="I192" s="19">
        <f>IF(装备!J172=0,0,"'"&amp;装备!J172&amp;"'")</f>
        <v>0</v>
      </c>
      <c r="J192" s="19">
        <f>IF(装备!K172=0,0,"'"&amp;装备!K172&amp;"'")</f>
        <v>0</v>
      </c>
      <c r="K192" s="19">
        <f>IF(装备!L172=0,0,"'"&amp;装备!L172&amp;"'")</f>
        <v>0</v>
      </c>
      <c r="L192" s="19">
        <f>IF(装备!M172=0,0,"'"&amp;装备!M172&amp;"'")</f>
        <v>0</v>
      </c>
      <c r="M192" s="19">
        <f>IF(装备!N172=0,0,"'"&amp;装备!N172&amp;"'")</f>
        <v>0</v>
      </c>
      <c r="N192" s="19">
        <f>IF(装备!O172=0,0,"'"&amp;装备!O172&amp;"'")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装备!A173</f>
        <v>0</v>
      </c>
      <c r="B193" s="19" t="str">
        <f>"'"&amp;装备!B173&amp;"'"</f>
        <v>'IH03'</v>
      </c>
      <c r="C193" s="19">
        <f>装备!J173</f>
        <v>0</v>
      </c>
      <c r="D193" s="19">
        <f>装备!K173</f>
        <v>0</v>
      </c>
      <c r="E193" s="19">
        <f>装备!L173</f>
        <v>0</v>
      </c>
      <c r="F193" s="19">
        <f>装备!M173</f>
        <v>0</v>
      </c>
      <c r="G193" s="19">
        <f>装备!N173</f>
        <v>0</v>
      </c>
      <c r="H193" s="19">
        <f>装备!O173</f>
        <v>0</v>
      </c>
      <c r="I193" s="19">
        <f>IF(装备!J173=0,0,"'"&amp;装备!J173&amp;"'")</f>
        <v>0</v>
      </c>
      <c r="J193" s="19">
        <f>IF(装备!K173=0,0,"'"&amp;装备!K173&amp;"'")</f>
        <v>0</v>
      </c>
      <c r="K193" s="19">
        <f>IF(装备!L173=0,0,"'"&amp;装备!L173&amp;"'")</f>
        <v>0</v>
      </c>
      <c r="L193" s="19">
        <f>IF(装备!M173=0,0,"'"&amp;装备!M173&amp;"'")</f>
        <v>0</v>
      </c>
      <c r="M193" s="19">
        <f>IF(装备!N173=0,0,"'"&amp;装备!N173&amp;"'")</f>
        <v>0</v>
      </c>
      <c r="N193" s="19">
        <f>IF(装备!O173=0,0,"'"&amp;装备!O173&amp;"'")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装备!A174</f>
        <v>0</v>
      </c>
      <c r="B194" s="19" t="str">
        <f>"'"&amp;装备!B174&amp;"'"</f>
        <v>'IH04'</v>
      </c>
      <c r="C194" s="19">
        <f>装备!J174</f>
        <v>0</v>
      </c>
      <c r="D194" s="19">
        <f>装备!K174</f>
        <v>0</v>
      </c>
      <c r="E194" s="19">
        <f>装备!L174</f>
        <v>0</v>
      </c>
      <c r="F194" s="19">
        <f>装备!M174</f>
        <v>0</v>
      </c>
      <c r="G194" s="19">
        <f>装备!N174</f>
        <v>0</v>
      </c>
      <c r="H194" s="19">
        <f>装备!O174</f>
        <v>0</v>
      </c>
      <c r="I194" s="19">
        <f>IF(装备!J174=0,0,"'"&amp;装备!J174&amp;"'")</f>
        <v>0</v>
      </c>
      <c r="J194" s="19">
        <f>IF(装备!K174=0,0,"'"&amp;装备!K174&amp;"'")</f>
        <v>0</v>
      </c>
      <c r="K194" s="19">
        <f>IF(装备!L174=0,0,"'"&amp;装备!L174&amp;"'")</f>
        <v>0</v>
      </c>
      <c r="L194" s="19">
        <f>IF(装备!M174=0,0,"'"&amp;装备!M174&amp;"'")</f>
        <v>0</v>
      </c>
      <c r="M194" s="19">
        <f>IF(装备!N174=0,0,"'"&amp;装备!N174&amp;"'")</f>
        <v>0</v>
      </c>
      <c r="N194" s="19">
        <f>IF(装备!O174=0,0,"'"&amp;装备!O174&amp;"'")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装备!A175</f>
        <v>0</v>
      </c>
      <c r="B195" s="19" t="str">
        <f>"'"&amp;装备!B175&amp;"'"</f>
        <v>'IH05'</v>
      </c>
      <c r="C195" s="19">
        <f>装备!J175</f>
        <v>0</v>
      </c>
      <c r="D195" s="19">
        <f>装备!K175</f>
        <v>0</v>
      </c>
      <c r="E195" s="19">
        <f>装备!L175</f>
        <v>0</v>
      </c>
      <c r="F195" s="19">
        <f>装备!M175</f>
        <v>0</v>
      </c>
      <c r="G195" s="19">
        <f>装备!N175</f>
        <v>0</v>
      </c>
      <c r="H195" s="19">
        <f>装备!O175</f>
        <v>0</v>
      </c>
      <c r="I195" s="19">
        <f>IF(装备!J175=0,0,"'"&amp;装备!J175&amp;"'")</f>
        <v>0</v>
      </c>
      <c r="J195" s="19">
        <f>IF(装备!K175=0,0,"'"&amp;装备!K175&amp;"'")</f>
        <v>0</v>
      </c>
      <c r="K195" s="19">
        <f>IF(装备!L175=0,0,"'"&amp;装备!L175&amp;"'")</f>
        <v>0</v>
      </c>
      <c r="L195" s="19">
        <f>IF(装备!M175=0,0,"'"&amp;装备!M175&amp;"'")</f>
        <v>0</v>
      </c>
      <c r="M195" s="19">
        <f>IF(装备!N175=0,0,"'"&amp;装备!N175&amp;"'")</f>
        <v>0</v>
      </c>
      <c r="N195" s="19">
        <f>IF(装备!O175=0,0,"'"&amp;装备!O175&amp;"'")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装备!A176</f>
        <v>0</v>
      </c>
      <c r="B196" s="19" t="str">
        <f>"'"&amp;装备!B176&amp;"'"</f>
        <v>'IH06'</v>
      </c>
      <c r="C196" s="19">
        <f>装备!J176</f>
        <v>0</v>
      </c>
      <c r="D196" s="19">
        <f>装备!K176</f>
        <v>0</v>
      </c>
      <c r="E196" s="19">
        <f>装备!L176</f>
        <v>0</v>
      </c>
      <c r="F196" s="19">
        <f>装备!M176</f>
        <v>0</v>
      </c>
      <c r="G196" s="19">
        <f>装备!N176</f>
        <v>0</v>
      </c>
      <c r="H196" s="19">
        <f>装备!O176</f>
        <v>0</v>
      </c>
      <c r="I196" s="19">
        <f>IF(装备!J176=0,0,"'"&amp;装备!J176&amp;"'")</f>
        <v>0</v>
      </c>
      <c r="J196" s="19">
        <f>IF(装备!K176=0,0,"'"&amp;装备!K176&amp;"'")</f>
        <v>0</v>
      </c>
      <c r="K196" s="19">
        <f>IF(装备!L176=0,0,"'"&amp;装备!L176&amp;"'")</f>
        <v>0</v>
      </c>
      <c r="L196" s="19">
        <f>IF(装备!M176=0,0,"'"&amp;装备!M176&amp;"'")</f>
        <v>0</v>
      </c>
      <c r="M196" s="19">
        <f>IF(装备!N176=0,0,"'"&amp;装备!N176&amp;"'")</f>
        <v>0</v>
      </c>
      <c r="N196" s="19">
        <f>IF(装备!O176=0,0,"'"&amp;装备!O176&amp;"'")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装备!A177</f>
        <v>0</v>
      </c>
      <c r="B197" s="19" t="str">
        <f>"'"&amp;装备!B177&amp;"'"</f>
        <v>'IH07'</v>
      </c>
      <c r="C197" s="19">
        <f>装备!J177</f>
        <v>0</v>
      </c>
      <c r="D197" s="19">
        <f>装备!K177</f>
        <v>0</v>
      </c>
      <c r="E197" s="19">
        <f>装备!L177</f>
        <v>0</v>
      </c>
      <c r="F197" s="19">
        <f>装备!M177</f>
        <v>0</v>
      </c>
      <c r="G197" s="19">
        <f>装备!N177</f>
        <v>0</v>
      </c>
      <c r="H197" s="19">
        <f>装备!O177</f>
        <v>0</v>
      </c>
      <c r="I197" s="19">
        <f>IF(装备!J177=0,0,"'"&amp;装备!J177&amp;"'")</f>
        <v>0</v>
      </c>
      <c r="J197" s="19">
        <f>IF(装备!K177=0,0,"'"&amp;装备!K177&amp;"'")</f>
        <v>0</v>
      </c>
      <c r="K197" s="19">
        <f>IF(装备!L177=0,0,"'"&amp;装备!L177&amp;"'")</f>
        <v>0</v>
      </c>
      <c r="L197" s="19">
        <f>IF(装备!M177=0,0,"'"&amp;装备!M177&amp;"'")</f>
        <v>0</v>
      </c>
      <c r="M197" s="19">
        <f>IF(装备!N177=0,0,"'"&amp;装备!N177&amp;"'")</f>
        <v>0</v>
      </c>
      <c r="N197" s="19">
        <f>IF(装备!O177=0,0,"'"&amp;装备!O177&amp;"'")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装备!A178</f>
        <v>0</v>
      </c>
      <c r="B198" s="19" t="str">
        <f>"'"&amp;装备!B178&amp;"'"</f>
        <v>'IH08'</v>
      </c>
      <c r="C198" s="19">
        <f>装备!J178</f>
        <v>0</v>
      </c>
      <c r="D198" s="19">
        <f>装备!K178</f>
        <v>0</v>
      </c>
      <c r="E198" s="19">
        <f>装备!L178</f>
        <v>0</v>
      </c>
      <c r="F198" s="19">
        <f>装备!M178</f>
        <v>0</v>
      </c>
      <c r="G198" s="19">
        <f>装备!N178</f>
        <v>0</v>
      </c>
      <c r="H198" s="19">
        <f>装备!O178</f>
        <v>0</v>
      </c>
      <c r="I198" s="19">
        <f>IF(装备!J178=0,0,"'"&amp;装备!J178&amp;"'")</f>
        <v>0</v>
      </c>
      <c r="J198" s="19">
        <f>IF(装备!K178=0,0,"'"&amp;装备!K178&amp;"'")</f>
        <v>0</v>
      </c>
      <c r="K198" s="19">
        <f>IF(装备!L178=0,0,"'"&amp;装备!L178&amp;"'")</f>
        <v>0</v>
      </c>
      <c r="L198" s="19">
        <f>IF(装备!M178=0,0,"'"&amp;装备!M178&amp;"'")</f>
        <v>0</v>
      </c>
      <c r="M198" s="19">
        <f>IF(装备!N178=0,0,"'"&amp;装备!N178&amp;"'")</f>
        <v>0</v>
      </c>
      <c r="N198" s="19">
        <f>IF(装备!O178=0,0,"'"&amp;装备!O178&amp;"'")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装备!A184</f>
        <v>0</v>
      </c>
      <c r="B199" s="19" t="str">
        <f>"'"&amp;装备!B184&amp;"'"</f>
        <v>'IF01'</v>
      </c>
      <c r="C199" s="19">
        <f>装备!J184</f>
        <v>0</v>
      </c>
      <c r="D199" s="19">
        <f>装备!K184</f>
        <v>0</v>
      </c>
      <c r="E199" s="19">
        <f>装备!L184</f>
        <v>0</v>
      </c>
      <c r="F199" s="19">
        <f>装备!M184</f>
        <v>0</v>
      </c>
      <c r="G199" s="19">
        <f>装备!N184</f>
        <v>0</v>
      </c>
      <c r="H199" s="19">
        <f>装备!O184</f>
        <v>0</v>
      </c>
      <c r="I199" s="19">
        <f>IF(装备!J184=0,0,"'"&amp;装备!J184&amp;"'")</f>
        <v>0</v>
      </c>
      <c r="J199" s="19">
        <f>IF(装备!K184=0,0,"'"&amp;装备!K184&amp;"'")</f>
        <v>0</v>
      </c>
      <c r="K199" s="19">
        <f>IF(装备!L184=0,0,"'"&amp;装备!L184&amp;"'")</f>
        <v>0</v>
      </c>
      <c r="L199" s="19">
        <f>IF(装备!M184=0,0,"'"&amp;装备!M184&amp;"'")</f>
        <v>0</v>
      </c>
      <c r="M199" s="19">
        <f>IF(装备!N184=0,0,"'"&amp;装备!N184&amp;"'")</f>
        <v>0</v>
      </c>
      <c r="N199" s="19">
        <f>IF(装备!O184=0,0,"'"&amp;装备!O184&amp;"'")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装备!A185</f>
        <v>0</v>
      </c>
      <c r="B200" s="19" t="str">
        <f>"'"&amp;装备!B185&amp;"'"</f>
        <v>'IF02'</v>
      </c>
      <c r="C200" s="19">
        <f>装备!J185</f>
        <v>0</v>
      </c>
      <c r="D200" s="19">
        <f>装备!K185</f>
        <v>0</v>
      </c>
      <c r="E200" s="19">
        <f>装备!L185</f>
        <v>0</v>
      </c>
      <c r="F200" s="19">
        <f>装备!M185</f>
        <v>0</v>
      </c>
      <c r="G200" s="19">
        <f>装备!N185</f>
        <v>0</v>
      </c>
      <c r="H200" s="19">
        <f>装备!O185</f>
        <v>0</v>
      </c>
      <c r="I200" s="19">
        <f>IF(装备!J185=0,0,"'"&amp;装备!J185&amp;"'")</f>
        <v>0</v>
      </c>
      <c r="J200" s="19">
        <f>IF(装备!K185=0,0,"'"&amp;装备!K185&amp;"'")</f>
        <v>0</v>
      </c>
      <c r="K200" s="19">
        <f>IF(装备!L185=0,0,"'"&amp;装备!L185&amp;"'")</f>
        <v>0</v>
      </c>
      <c r="L200" s="19">
        <f>IF(装备!M185=0,0,"'"&amp;装备!M185&amp;"'")</f>
        <v>0</v>
      </c>
      <c r="M200" s="19">
        <f>IF(装备!N185=0,0,"'"&amp;装备!N185&amp;"'")</f>
        <v>0</v>
      </c>
      <c r="N200" s="19">
        <f>IF(装备!O185=0,0,"'"&amp;装备!O185&amp;"'")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装备!A186</f>
        <v>0</v>
      </c>
      <c r="B201" s="19" t="str">
        <f>"'"&amp;装备!B186&amp;"'"</f>
        <v>'IF03'</v>
      </c>
      <c r="C201" s="19">
        <f>装备!J186</f>
        <v>0</v>
      </c>
      <c r="D201" s="19">
        <f>装备!K186</f>
        <v>0</v>
      </c>
      <c r="E201" s="19">
        <f>装备!L186</f>
        <v>0</v>
      </c>
      <c r="F201" s="19">
        <f>装备!M186</f>
        <v>0</v>
      </c>
      <c r="G201" s="19">
        <f>装备!N186</f>
        <v>0</v>
      </c>
      <c r="H201" s="19">
        <f>装备!O186</f>
        <v>0</v>
      </c>
      <c r="I201" s="19">
        <f>IF(装备!J186=0,0,"'"&amp;装备!J186&amp;"'")</f>
        <v>0</v>
      </c>
      <c r="J201" s="19">
        <f>IF(装备!K186=0,0,"'"&amp;装备!K186&amp;"'")</f>
        <v>0</v>
      </c>
      <c r="K201" s="19">
        <f>IF(装备!L186=0,0,"'"&amp;装备!L186&amp;"'")</f>
        <v>0</v>
      </c>
      <c r="L201" s="19">
        <f>IF(装备!M186=0,0,"'"&amp;装备!M186&amp;"'")</f>
        <v>0</v>
      </c>
      <c r="M201" s="19">
        <f>IF(装备!N186=0,0,"'"&amp;装备!N186&amp;"'")</f>
        <v>0</v>
      </c>
      <c r="N201" s="19">
        <f>IF(装备!O186=0,0,"'"&amp;装备!O186&amp;"'")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装备!A187</f>
        <v>0</v>
      </c>
      <c r="B202" s="19" t="str">
        <f>"'"&amp;装备!B187&amp;"'"</f>
        <v>'IF04'</v>
      </c>
      <c r="C202" s="19">
        <f>装备!J187</f>
        <v>0</v>
      </c>
      <c r="D202" s="19">
        <f>装备!K187</f>
        <v>0</v>
      </c>
      <c r="E202" s="19">
        <f>装备!L187</f>
        <v>0</v>
      </c>
      <c r="F202" s="19">
        <f>装备!M187</f>
        <v>0</v>
      </c>
      <c r="G202" s="19">
        <f>装备!N187</f>
        <v>0</v>
      </c>
      <c r="H202" s="19">
        <f>装备!O187</f>
        <v>0</v>
      </c>
      <c r="I202" s="19">
        <f>IF(装备!J187=0,0,"'"&amp;装备!J187&amp;"'")</f>
        <v>0</v>
      </c>
      <c r="J202" s="19">
        <f>IF(装备!K187=0,0,"'"&amp;装备!K187&amp;"'")</f>
        <v>0</v>
      </c>
      <c r="K202" s="19">
        <f>IF(装备!L187=0,0,"'"&amp;装备!L187&amp;"'")</f>
        <v>0</v>
      </c>
      <c r="L202" s="19">
        <f>IF(装备!M187=0,0,"'"&amp;装备!M187&amp;"'")</f>
        <v>0</v>
      </c>
      <c r="M202" s="19">
        <f>IF(装备!N187=0,0,"'"&amp;装备!N187&amp;"'")</f>
        <v>0</v>
      </c>
      <c r="N202" s="19">
        <f>IF(装备!O187=0,0,"'"&amp;装备!O187&amp;"'")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装备!A188</f>
        <v>0</v>
      </c>
      <c r="B203" s="19" t="str">
        <f>"'"&amp;装备!B188&amp;"'"</f>
        <v>'IF05'</v>
      </c>
      <c r="C203" s="19">
        <f>装备!J188</f>
        <v>0</v>
      </c>
      <c r="D203" s="19">
        <f>装备!K188</f>
        <v>0</v>
      </c>
      <c r="E203" s="19">
        <f>装备!L188</f>
        <v>0</v>
      </c>
      <c r="F203" s="19">
        <f>装备!M188</f>
        <v>0</v>
      </c>
      <c r="G203" s="19">
        <f>装备!N188</f>
        <v>0</v>
      </c>
      <c r="H203" s="19">
        <f>装备!O188</f>
        <v>0</v>
      </c>
      <c r="I203" s="19">
        <f>IF(装备!J188=0,0,"'"&amp;装备!J188&amp;"'")</f>
        <v>0</v>
      </c>
      <c r="J203" s="19">
        <f>IF(装备!K188=0,0,"'"&amp;装备!K188&amp;"'")</f>
        <v>0</v>
      </c>
      <c r="K203" s="19">
        <f>IF(装备!L188=0,0,"'"&amp;装备!L188&amp;"'")</f>
        <v>0</v>
      </c>
      <c r="L203" s="19">
        <f>IF(装备!M188=0,0,"'"&amp;装备!M188&amp;"'")</f>
        <v>0</v>
      </c>
      <c r="M203" s="19">
        <f>IF(装备!N188=0,0,"'"&amp;装备!N188&amp;"'")</f>
        <v>0</v>
      </c>
      <c r="N203" s="19">
        <f>IF(装备!O188=0,0,"'"&amp;装备!O188&amp;"'")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装备!A189</f>
        <v>0</v>
      </c>
      <c r="B204" s="19" t="str">
        <f>"'"&amp;装备!B189&amp;"'"</f>
        <v>'IF06'</v>
      </c>
      <c r="C204" s="19">
        <f>装备!J189</f>
        <v>0</v>
      </c>
      <c r="D204" s="19">
        <f>装备!K189</f>
        <v>0</v>
      </c>
      <c r="E204" s="19">
        <f>装备!L189</f>
        <v>0</v>
      </c>
      <c r="F204" s="19">
        <f>装备!M189</f>
        <v>0</v>
      </c>
      <c r="G204" s="19">
        <f>装备!N189</f>
        <v>0</v>
      </c>
      <c r="H204" s="19">
        <f>装备!O189</f>
        <v>0</v>
      </c>
      <c r="I204" s="19">
        <f>IF(装备!J189=0,0,"'"&amp;装备!J189&amp;"'")</f>
        <v>0</v>
      </c>
      <c r="J204" s="19">
        <f>IF(装备!K189=0,0,"'"&amp;装备!K189&amp;"'")</f>
        <v>0</v>
      </c>
      <c r="K204" s="19">
        <f>IF(装备!L189=0,0,"'"&amp;装备!L189&amp;"'")</f>
        <v>0</v>
      </c>
      <c r="L204" s="19">
        <f>IF(装备!M189=0,0,"'"&amp;装备!M189&amp;"'")</f>
        <v>0</v>
      </c>
      <c r="M204" s="19">
        <f>IF(装备!N189=0,0,"'"&amp;装备!N189&amp;"'")</f>
        <v>0</v>
      </c>
      <c r="N204" s="19">
        <f>IF(装备!O189=0,0,"'"&amp;装备!O189&amp;"'")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装备!A190</f>
        <v>0</v>
      </c>
      <c r="B205" s="19" t="str">
        <f>"'"&amp;装备!B190&amp;"'"</f>
        <v>'IF07'</v>
      </c>
      <c r="C205" s="19">
        <f>装备!J190</f>
        <v>0</v>
      </c>
      <c r="D205" s="19">
        <f>装备!K190</f>
        <v>0</v>
      </c>
      <c r="E205" s="19">
        <f>装备!L190</f>
        <v>0</v>
      </c>
      <c r="F205" s="19">
        <f>装备!M190</f>
        <v>0</v>
      </c>
      <c r="G205" s="19">
        <f>装备!N190</f>
        <v>0</v>
      </c>
      <c r="H205" s="19">
        <f>装备!O190</f>
        <v>0</v>
      </c>
      <c r="I205" s="19">
        <f>IF(装备!J190=0,0,"'"&amp;装备!J190&amp;"'")</f>
        <v>0</v>
      </c>
      <c r="J205" s="19">
        <f>IF(装备!K190=0,0,"'"&amp;装备!K190&amp;"'")</f>
        <v>0</v>
      </c>
      <c r="K205" s="19">
        <f>IF(装备!L190=0,0,"'"&amp;装备!L190&amp;"'")</f>
        <v>0</v>
      </c>
      <c r="L205" s="19">
        <f>IF(装备!M190=0,0,"'"&amp;装备!M190&amp;"'")</f>
        <v>0</v>
      </c>
      <c r="M205" s="19">
        <f>IF(装备!N190=0,0,"'"&amp;装备!N190&amp;"'")</f>
        <v>0</v>
      </c>
      <c r="N205" s="19">
        <f>IF(装备!O190=0,0,"'"&amp;装备!O190&amp;"'")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装备!A191</f>
        <v>0</v>
      </c>
      <c r="B206" s="19" t="str">
        <f>"'"&amp;装备!B191&amp;"'"</f>
        <v>'IF08'</v>
      </c>
      <c r="C206" s="19">
        <f>装备!J191</f>
        <v>0</v>
      </c>
      <c r="D206" s="19">
        <f>装备!K191</f>
        <v>0</v>
      </c>
      <c r="E206" s="19">
        <f>装备!L191</f>
        <v>0</v>
      </c>
      <c r="F206" s="19">
        <f>装备!M191</f>
        <v>0</v>
      </c>
      <c r="G206" s="19">
        <f>装备!N191</f>
        <v>0</v>
      </c>
      <c r="H206" s="19">
        <f>装备!O191</f>
        <v>0</v>
      </c>
      <c r="I206" s="19">
        <f>IF(装备!J191=0,0,"'"&amp;装备!J191&amp;"'")</f>
        <v>0</v>
      </c>
      <c r="J206" s="19">
        <f>IF(装备!K191=0,0,"'"&amp;装备!K191&amp;"'")</f>
        <v>0</v>
      </c>
      <c r="K206" s="19">
        <f>IF(装备!L191=0,0,"'"&amp;装备!L191&amp;"'")</f>
        <v>0</v>
      </c>
      <c r="L206" s="19">
        <f>IF(装备!M191=0,0,"'"&amp;装备!M191&amp;"'")</f>
        <v>0</v>
      </c>
      <c r="M206" s="19">
        <f>IF(装备!N191=0,0,"'"&amp;装备!N191&amp;"'")</f>
        <v>0</v>
      </c>
      <c r="N206" s="19">
        <f>IF(装备!O191=0,0,"'"&amp;装备!O191&amp;"'")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装备!A192</f>
        <v>0</v>
      </c>
      <c r="B207" s="19" t="str">
        <f>"'"&amp;装备!B192&amp;"'"</f>
        <v>'IF09'</v>
      </c>
      <c r="C207" s="19">
        <f>装备!J192</f>
        <v>0</v>
      </c>
      <c r="D207" s="19">
        <f>装备!K192</f>
        <v>0</v>
      </c>
      <c r="E207" s="19">
        <f>装备!L192</f>
        <v>0</v>
      </c>
      <c r="F207" s="19">
        <f>装备!M192</f>
        <v>0</v>
      </c>
      <c r="G207" s="19">
        <f>装备!N192</f>
        <v>0</v>
      </c>
      <c r="H207" s="19">
        <f>装备!O192</f>
        <v>0</v>
      </c>
      <c r="I207" s="19">
        <f>IF(装备!J192=0,0,"'"&amp;装备!J192&amp;"'")</f>
        <v>0</v>
      </c>
      <c r="J207" s="19">
        <f>IF(装备!K192=0,0,"'"&amp;装备!K192&amp;"'")</f>
        <v>0</v>
      </c>
      <c r="K207" s="19">
        <f>IF(装备!L192=0,0,"'"&amp;装备!L192&amp;"'")</f>
        <v>0</v>
      </c>
      <c r="L207" s="19">
        <f>IF(装备!M192=0,0,"'"&amp;装备!M192&amp;"'")</f>
        <v>0</v>
      </c>
      <c r="M207" s="19">
        <f>IF(装备!N192=0,0,"'"&amp;装备!N192&amp;"'")</f>
        <v>0</v>
      </c>
      <c r="N207" s="19">
        <f>IF(装备!O192=0,0,"'"&amp;装备!O192&amp;"'")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装备!A193</f>
        <v>0</v>
      </c>
      <c r="B208" s="19" t="str">
        <f>"'"&amp;装备!B193&amp;"'"</f>
        <v>'IF10'</v>
      </c>
      <c r="C208" s="19">
        <f>装备!J193</f>
        <v>0</v>
      </c>
      <c r="D208" s="19">
        <f>装备!K193</f>
        <v>0</v>
      </c>
      <c r="E208" s="19">
        <f>装备!L193</f>
        <v>0</v>
      </c>
      <c r="F208" s="19">
        <f>装备!M193</f>
        <v>0</v>
      </c>
      <c r="G208" s="19">
        <f>装备!N193</f>
        <v>0</v>
      </c>
      <c r="H208" s="19">
        <f>装备!O193</f>
        <v>0</v>
      </c>
      <c r="I208" s="19">
        <f>IF(装备!J193=0,0,"'"&amp;装备!J193&amp;"'")</f>
        <v>0</v>
      </c>
      <c r="J208" s="19">
        <f>IF(装备!K193=0,0,"'"&amp;装备!K193&amp;"'")</f>
        <v>0</v>
      </c>
      <c r="K208" s="19">
        <f>IF(装备!L193=0,0,"'"&amp;装备!L193&amp;"'")</f>
        <v>0</v>
      </c>
      <c r="L208" s="19">
        <f>IF(装备!M193=0,0,"'"&amp;装备!M193&amp;"'")</f>
        <v>0</v>
      </c>
      <c r="M208" s="19">
        <f>IF(装备!N193=0,0,"'"&amp;装备!N193&amp;"'")</f>
        <v>0</v>
      </c>
      <c r="N208" s="19">
        <f>IF(装备!O193=0,0,"'"&amp;装备!O193&amp;"'")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装备!A194</f>
        <v>0</v>
      </c>
      <c r="B209" s="19" t="str">
        <f>"'"&amp;装备!B194&amp;"'"</f>
        <v>'IF11'</v>
      </c>
      <c r="C209" s="19">
        <f>装备!J194</f>
        <v>0</v>
      </c>
      <c r="D209" s="19">
        <f>装备!K194</f>
        <v>0</v>
      </c>
      <c r="E209" s="19">
        <f>装备!L194</f>
        <v>0</v>
      </c>
      <c r="F209" s="19">
        <f>装备!M194</f>
        <v>0</v>
      </c>
      <c r="G209" s="19">
        <f>装备!N194</f>
        <v>0</v>
      </c>
      <c r="H209" s="19">
        <f>装备!O194</f>
        <v>0</v>
      </c>
      <c r="I209" s="19">
        <f>IF(装备!J194=0,0,"'"&amp;装备!J194&amp;"'")</f>
        <v>0</v>
      </c>
      <c r="J209" s="19">
        <f>IF(装备!K194=0,0,"'"&amp;装备!K194&amp;"'")</f>
        <v>0</v>
      </c>
      <c r="K209" s="19">
        <f>IF(装备!L194=0,0,"'"&amp;装备!L194&amp;"'")</f>
        <v>0</v>
      </c>
      <c r="L209" s="19">
        <f>IF(装备!M194=0,0,"'"&amp;装备!M194&amp;"'")</f>
        <v>0</v>
      </c>
      <c r="M209" s="19">
        <f>IF(装备!N194=0,0,"'"&amp;装备!N194&amp;"'")</f>
        <v>0</v>
      </c>
      <c r="N209" s="19">
        <f>IF(装备!O194=0,0,"'"&amp;装备!O194&amp;"'")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装备!A195</f>
        <v>0</v>
      </c>
      <c r="B210" s="19" t="str">
        <f>"'"&amp;装备!B195&amp;"'"</f>
        <v>'IF12'</v>
      </c>
      <c r="C210" s="19">
        <f>装备!J195</f>
        <v>0</v>
      </c>
      <c r="D210" s="19">
        <f>装备!K195</f>
        <v>0</v>
      </c>
      <c r="E210" s="19">
        <f>装备!L195</f>
        <v>0</v>
      </c>
      <c r="F210" s="19">
        <f>装备!M195</f>
        <v>0</v>
      </c>
      <c r="G210" s="19">
        <f>装备!N195</f>
        <v>0</v>
      </c>
      <c r="H210" s="19">
        <f>装备!O195</f>
        <v>0</v>
      </c>
      <c r="I210" s="19">
        <f>IF(装备!J195=0,0,"'"&amp;装备!J195&amp;"'")</f>
        <v>0</v>
      </c>
      <c r="J210" s="19">
        <f>IF(装备!K195=0,0,"'"&amp;装备!K195&amp;"'")</f>
        <v>0</v>
      </c>
      <c r="K210" s="19">
        <f>IF(装备!L195=0,0,"'"&amp;装备!L195&amp;"'")</f>
        <v>0</v>
      </c>
      <c r="L210" s="19">
        <f>IF(装备!M195=0,0,"'"&amp;装备!M195&amp;"'")</f>
        <v>0</v>
      </c>
      <c r="M210" s="19">
        <f>IF(装备!N195=0,0,"'"&amp;装备!N195&amp;"'")</f>
        <v>0</v>
      </c>
      <c r="N210" s="19">
        <f>IF(装备!O195=0,0,"'"&amp;装备!O195&amp;"'")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装备!A196</f>
        <v>0</v>
      </c>
      <c r="B211" s="19" t="str">
        <f>"'"&amp;装备!B196&amp;"'"</f>
        <v>'IF13'</v>
      </c>
      <c r="C211" s="19">
        <f>装备!J196</f>
        <v>0</v>
      </c>
      <c r="D211" s="19">
        <f>装备!K196</f>
        <v>0</v>
      </c>
      <c r="E211" s="19">
        <f>装备!L196</f>
        <v>0</v>
      </c>
      <c r="F211" s="19">
        <f>装备!M196</f>
        <v>0</v>
      </c>
      <c r="G211" s="19">
        <f>装备!N196</f>
        <v>0</v>
      </c>
      <c r="H211" s="19">
        <f>装备!O196</f>
        <v>0</v>
      </c>
      <c r="I211" s="19">
        <f>IF(装备!J196=0,0,"'"&amp;装备!J196&amp;"'")</f>
        <v>0</v>
      </c>
      <c r="J211" s="19">
        <f>IF(装备!K196=0,0,"'"&amp;装备!K196&amp;"'")</f>
        <v>0</v>
      </c>
      <c r="K211" s="19">
        <f>IF(装备!L196=0,0,"'"&amp;装备!L196&amp;"'")</f>
        <v>0</v>
      </c>
      <c r="L211" s="19">
        <f>IF(装备!M196=0,0,"'"&amp;装备!M196&amp;"'")</f>
        <v>0</v>
      </c>
      <c r="M211" s="19">
        <f>IF(装备!N196=0,0,"'"&amp;装备!N196&amp;"'")</f>
        <v>0</v>
      </c>
      <c r="N211" s="19">
        <f>IF(装备!O196=0,0,"'"&amp;装备!O196&amp;"'")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装备!A197</f>
        <v>0</v>
      </c>
      <c r="B212" s="19" t="str">
        <f>"'"&amp;装备!B197&amp;"'"</f>
        <v>'IF14'</v>
      </c>
      <c r="C212" s="19">
        <f>装备!J197</f>
        <v>0</v>
      </c>
      <c r="D212" s="19">
        <f>装备!K197</f>
        <v>0</v>
      </c>
      <c r="E212" s="19">
        <f>装备!L197</f>
        <v>0</v>
      </c>
      <c r="F212" s="19">
        <f>装备!M197</f>
        <v>0</v>
      </c>
      <c r="G212" s="19">
        <f>装备!N197</f>
        <v>0</v>
      </c>
      <c r="H212" s="19">
        <f>装备!O197</f>
        <v>0</v>
      </c>
      <c r="I212" s="19">
        <f>IF(装备!J197=0,0,"'"&amp;装备!J197&amp;"'")</f>
        <v>0</v>
      </c>
      <c r="J212" s="19">
        <f>IF(装备!K197=0,0,"'"&amp;装备!K197&amp;"'")</f>
        <v>0</v>
      </c>
      <c r="K212" s="19">
        <f>IF(装备!L197=0,0,"'"&amp;装备!L197&amp;"'")</f>
        <v>0</v>
      </c>
      <c r="L212" s="19">
        <f>IF(装备!M197=0,0,"'"&amp;装备!M197&amp;"'")</f>
        <v>0</v>
      </c>
      <c r="M212" s="19">
        <f>IF(装备!N197=0,0,"'"&amp;装备!N197&amp;"'")</f>
        <v>0</v>
      </c>
      <c r="N212" s="19">
        <f>IF(装备!O197=0,0,"'"&amp;装备!O197&amp;"'")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装备!A198</f>
        <v>0</v>
      </c>
      <c r="B213" s="19" t="str">
        <f>"'"&amp;装备!B198&amp;"'"</f>
        <v>'IF15'</v>
      </c>
      <c r="C213" s="19">
        <f>装备!J198</f>
        <v>0</v>
      </c>
      <c r="D213" s="19">
        <f>装备!K198</f>
        <v>0</v>
      </c>
      <c r="E213" s="19">
        <f>装备!L198</f>
        <v>0</v>
      </c>
      <c r="F213" s="19">
        <f>装备!M198</f>
        <v>0</v>
      </c>
      <c r="G213" s="19">
        <f>装备!N198</f>
        <v>0</v>
      </c>
      <c r="H213" s="19">
        <f>装备!O198</f>
        <v>0</v>
      </c>
      <c r="I213" s="19">
        <f>IF(装备!J198=0,0,"'"&amp;装备!J198&amp;"'")</f>
        <v>0</v>
      </c>
      <c r="J213" s="19">
        <f>IF(装备!K198=0,0,"'"&amp;装备!K198&amp;"'")</f>
        <v>0</v>
      </c>
      <c r="K213" s="19">
        <f>IF(装备!L198=0,0,"'"&amp;装备!L198&amp;"'")</f>
        <v>0</v>
      </c>
      <c r="L213" s="19">
        <f>IF(装备!M198=0,0,"'"&amp;装备!M198&amp;"'")</f>
        <v>0</v>
      </c>
      <c r="M213" s="19">
        <f>IF(装备!N198=0,0,"'"&amp;装备!N198&amp;"'")</f>
        <v>0</v>
      </c>
      <c r="N213" s="19">
        <f>IF(装备!O198=0,0,"'"&amp;装备!O198&amp;"'")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装备!A199</f>
        <v>0</v>
      </c>
      <c r="B214" s="19" t="str">
        <f>"'"&amp;装备!B199&amp;"'"</f>
        <v>'IF16'</v>
      </c>
      <c r="C214" s="19">
        <f>装备!J199</f>
        <v>0</v>
      </c>
      <c r="D214" s="19">
        <f>装备!K199</f>
        <v>0</v>
      </c>
      <c r="E214" s="19">
        <f>装备!L199</f>
        <v>0</v>
      </c>
      <c r="F214" s="19">
        <f>装备!M199</f>
        <v>0</v>
      </c>
      <c r="G214" s="19">
        <f>装备!N199</f>
        <v>0</v>
      </c>
      <c r="H214" s="19">
        <f>装备!O199</f>
        <v>0</v>
      </c>
      <c r="I214" s="19">
        <f>IF(装备!J199=0,0,"'"&amp;装备!J199&amp;"'")</f>
        <v>0</v>
      </c>
      <c r="J214" s="19">
        <f>IF(装备!K199=0,0,"'"&amp;装备!K199&amp;"'")</f>
        <v>0</v>
      </c>
      <c r="K214" s="19">
        <f>IF(装备!L199=0,0,"'"&amp;装备!L199&amp;"'")</f>
        <v>0</v>
      </c>
      <c r="L214" s="19">
        <f>IF(装备!M199=0,0,"'"&amp;装备!M199&amp;"'")</f>
        <v>0</v>
      </c>
      <c r="M214" s="19">
        <f>IF(装备!N199=0,0,"'"&amp;装备!N199&amp;"'")</f>
        <v>0</v>
      </c>
      <c r="N214" s="19">
        <f>IF(装备!O199=0,0,"'"&amp;装备!O199&amp;"'")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装备!A200</f>
        <v>0</v>
      </c>
      <c r="B215" s="19" t="str">
        <f>"'"&amp;装备!B200&amp;"'"</f>
        <v>'IF17'</v>
      </c>
      <c r="C215" s="19">
        <f>装备!J200</f>
        <v>0</v>
      </c>
      <c r="D215" s="19">
        <f>装备!K200</f>
        <v>0</v>
      </c>
      <c r="E215" s="19">
        <f>装备!L200</f>
        <v>0</v>
      </c>
      <c r="F215" s="19">
        <f>装备!M200</f>
        <v>0</v>
      </c>
      <c r="G215" s="19">
        <f>装备!N200</f>
        <v>0</v>
      </c>
      <c r="H215" s="19">
        <f>装备!O200</f>
        <v>0</v>
      </c>
      <c r="I215" s="19">
        <f>IF(装备!J200=0,0,"'"&amp;装备!J200&amp;"'")</f>
        <v>0</v>
      </c>
      <c r="J215" s="19">
        <f>IF(装备!K200=0,0,"'"&amp;装备!K200&amp;"'")</f>
        <v>0</v>
      </c>
      <c r="K215" s="19">
        <f>IF(装备!L200=0,0,"'"&amp;装备!L200&amp;"'")</f>
        <v>0</v>
      </c>
      <c r="L215" s="19">
        <f>IF(装备!M200=0,0,"'"&amp;装备!M200&amp;"'")</f>
        <v>0</v>
      </c>
      <c r="M215" s="19">
        <f>IF(装备!N200=0,0,"'"&amp;装备!N200&amp;"'")</f>
        <v>0</v>
      </c>
      <c r="N215" s="19">
        <f>IF(装备!O200=0,0,"'"&amp;装备!O200&amp;"'")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装备!A201</f>
        <v>0</v>
      </c>
      <c r="B216" s="19" t="str">
        <f>"'"&amp;装备!B201&amp;"'"</f>
        <v>'IF18'</v>
      </c>
      <c r="C216" s="19">
        <f>装备!J201</f>
        <v>0</v>
      </c>
      <c r="D216" s="19">
        <f>装备!K201</f>
        <v>0</v>
      </c>
      <c r="E216" s="19">
        <f>装备!L201</f>
        <v>0</v>
      </c>
      <c r="F216" s="19">
        <f>装备!M201</f>
        <v>0</v>
      </c>
      <c r="G216" s="19">
        <f>装备!N201</f>
        <v>0</v>
      </c>
      <c r="H216" s="19">
        <f>装备!O201</f>
        <v>0</v>
      </c>
      <c r="I216" s="19">
        <f>IF(装备!J201=0,0,"'"&amp;装备!J201&amp;"'")</f>
        <v>0</v>
      </c>
      <c r="J216" s="19">
        <f>IF(装备!K201=0,0,"'"&amp;装备!K201&amp;"'")</f>
        <v>0</v>
      </c>
      <c r="K216" s="19">
        <f>IF(装备!L201=0,0,"'"&amp;装备!L201&amp;"'")</f>
        <v>0</v>
      </c>
      <c r="L216" s="19">
        <f>IF(装备!M201=0,0,"'"&amp;装备!M201&amp;"'")</f>
        <v>0</v>
      </c>
      <c r="M216" s="19">
        <f>IF(装备!N201=0,0,"'"&amp;装备!N201&amp;"'")</f>
        <v>0</v>
      </c>
      <c r="N216" s="19">
        <f>IF(装备!O201=0,0,"'"&amp;装备!O201&amp;"'")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装备!A202</f>
        <v>0</v>
      </c>
      <c r="B217" s="19" t="str">
        <f>"'"&amp;装备!B202&amp;"'"</f>
        <v>'IF19'</v>
      </c>
      <c r="C217" s="19">
        <f>装备!J202</f>
        <v>0</v>
      </c>
      <c r="D217" s="19">
        <f>装备!K202</f>
        <v>0</v>
      </c>
      <c r="E217" s="19">
        <f>装备!L202</f>
        <v>0</v>
      </c>
      <c r="F217" s="19">
        <f>装备!M202</f>
        <v>0</v>
      </c>
      <c r="G217" s="19">
        <f>装备!N202</f>
        <v>0</v>
      </c>
      <c r="H217" s="19">
        <f>装备!O202</f>
        <v>0</v>
      </c>
      <c r="I217" s="19">
        <f>IF(装备!J202=0,0,"'"&amp;装备!J202&amp;"'")</f>
        <v>0</v>
      </c>
      <c r="J217" s="19">
        <f>IF(装备!K202=0,0,"'"&amp;装备!K202&amp;"'")</f>
        <v>0</v>
      </c>
      <c r="K217" s="19">
        <f>IF(装备!L202=0,0,"'"&amp;装备!L202&amp;"'")</f>
        <v>0</v>
      </c>
      <c r="L217" s="19">
        <f>IF(装备!M202=0,0,"'"&amp;装备!M202&amp;"'")</f>
        <v>0</v>
      </c>
      <c r="M217" s="19">
        <f>IF(装备!N202=0,0,"'"&amp;装备!N202&amp;"'")</f>
        <v>0</v>
      </c>
      <c r="N217" s="19">
        <f>IF(装备!O202=0,0,"'"&amp;装备!O202&amp;"'")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装备!A203</f>
        <v>0</v>
      </c>
      <c r="B218" s="19" t="str">
        <f>"'"&amp;装备!B203&amp;"'"</f>
        <v>'IF20'</v>
      </c>
      <c r="C218" s="19">
        <f>装备!J203</f>
        <v>0</v>
      </c>
      <c r="D218" s="19">
        <f>装备!K203</f>
        <v>0</v>
      </c>
      <c r="E218" s="19">
        <f>装备!L203</f>
        <v>0</v>
      </c>
      <c r="F218" s="19">
        <f>装备!M203</f>
        <v>0</v>
      </c>
      <c r="G218" s="19">
        <f>装备!N203</f>
        <v>0</v>
      </c>
      <c r="H218" s="19">
        <f>装备!O203</f>
        <v>0</v>
      </c>
      <c r="I218" s="19">
        <f>IF(装备!J203=0,0,"'"&amp;装备!J203&amp;"'")</f>
        <v>0</v>
      </c>
      <c r="J218" s="19">
        <f>IF(装备!K203=0,0,"'"&amp;装备!K203&amp;"'")</f>
        <v>0</v>
      </c>
      <c r="K218" s="19">
        <f>IF(装备!L203=0,0,"'"&amp;装备!L203&amp;"'")</f>
        <v>0</v>
      </c>
      <c r="L218" s="19">
        <f>IF(装备!M203=0,0,"'"&amp;装备!M203&amp;"'")</f>
        <v>0</v>
      </c>
      <c r="M218" s="19">
        <f>IF(装备!N203=0,0,"'"&amp;装备!N203&amp;"'")</f>
        <v>0</v>
      </c>
      <c r="N218" s="19">
        <f>IF(装备!O203=0,0,"'"&amp;装备!O203&amp;"'")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装备!A204</f>
        <v>0</v>
      </c>
      <c r="B219" s="19" t="str">
        <f>"'"&amp;装备!B204&amp;"'"</f>
        <v>'IF21'</v>
      </c>
      <c r="C219" s="19">
        <f>装备!J204</f>
        <v>0</v>
      </c>
      <c r="D219" s="19">
        <f>装备!K204</f>
        <v>0</v>
      </c>
      <c r="E219" s="19">
        <f>装备!L204</f>
        <v>0</v>
      </c>
      <c r="F219" s="19">
        <f>装备!M204</f>
        <v>0</v>
      </c>
      <c r="G219" s="19">
        <f>装备!N204</f>
        <v>0</v>
      </c>
      <c r="H219" s="19">
        <f>装备!O204</f>
        <v>0</v>
      </c>
      <c r="I219" s="19">
        <f>IF(装备!J204=0,0,"'"&amp;装备!J204&amp;"'")</f>
        <v>0</v>
      </c>
      <c r="J219" s="19">
        <f>IF(装备!K204=0,0,"'"&amp;装备!K204&amp;"'")</f>
        <v>0</v>
      </c>
      <c r="K219" s="19">
        <f>IF(装备!L204=0,0,"'"&amp;装备!L204&amp;"'")</f>
        <v>0</v>
      </c>
      <c r="L219" s="19">
        <f>IF(装备!M204=0,0,"'"&amp;装备!M204&amp;"'")</f>
        <v>0</v>
      </c>
      <c r="M219" s="19">
        <f>IF(装备!N204=0,0,"'"&amp;装备!N204&amp;"'")</f>
        <v>0</v>
      </c>
      <c r="N219" s="19">
        <f>IF(装备!O204=0,0,"'"&amp;装备!O204&amp;"'")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装备!A205</f>
        <v>0</v>
      </c>
      <c r="B220" s="19" t="str">
        <f>"'"&amp;装备!B205&amp;"'"</f>
        <v>'IF22'</v>
      </c>
      <c r="C220" s="19">
        <f>装备!J205</f>
        <v>0</v>
      </c>
      <c r="D220" s="19">
        <f>装备!K205</f>
        <v>0</v>
      </c>
      <c r="E220" s="19">
        <f>装备!L205</f>
        <v>0</v>
      </c>
      <c r="F220" s="19">
        <f>装备!M205</f>
        <v>0</v>
      </c>
      <c r="G220" s="19">
        <f>装备!N205</f>
        <v>0</v>
      </c>
      <c r="H220" s="19">
        <f>装备!O205</f>
        <v>0</v>
      </c>
      <c r="I220" s="19">
        <f>IF(装备!J205=0,0,"'"&amp;装备!J205&amp;"'")</f>
        <v>0</v>
      </c>
      <c r="J220" s="19">
        <f>IF(装备!K205=0,0,"'"&amp;装备!K205&amp;"'")</f>
        <v>0</v>
      </c>
      <c r="K220" s="19">
        <f>IF(装备!L205=0,0,"'"&amp;装备!L205&amp;"'")</f>
        <v>0</v>
      </c>
      <c r="L220" s="19">
        <f>IF(装备!M205=0,0,"'"&amp;装备!M205&amp;"'")</f>
        <v>0</v>
      </c>
      <c r="M220" s="19">
        <f>IF(装备!N205=0,0,"'"&amp;装备!N205&amp;"'")</f>
        <v>0</v>
      </c>
      <c r="N220" s="19">
        <f>IF(装备!O205=0,0,"'"&amp;装备!O205&amp;"'")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装备!A206</f>
        <v>0</v>
      </c>
      <c r="B221" s="19" t="str">
        <f>"'"&amp;装备!B206&amp;"'"</f>
        <v>'IF23'</v>
      </c>
      <c r="C221" s="19">
        <f>装备!J206</f>
        <v>0</v>
      </c>
      <c r="D221" s="19">
        <f>装备!K206</f>
        <v>0</v>
      </c>
      <c r="E221" s="19">
        <f>装备!L206</f>
        <v>0</v>
      </c>
      <c r="F221" s="19">
        <f>装备!M206</f>
        <v>0</v>
      </c>
      <c r="G221" s="19">
        <f>装备!N206</f>
        <v>0</v>
      </c>
      <c r="H221" s="19">
        <f>装备!O206</f>
        <v>0</v>
      </c>
      <c r="I221" s="19">
        <f>IF(装备!J206=0,0,"'"&amp;装备!J206&amp;"'")</f>
        <v>0</v>
      </c>
      <c r="J221" s="19">
        <f>IF(装备!K206=0,0,"'"&amp;装备!K206&amp;"'")</f>
        <v>0</v>
      </c>
      <c r="K221" s="19">
        <f>IF(装备!L206=0,0,"'"&amp;装备!L206&amp;"'")</f>
        <v>0</v>
      </c>
      <c r="L221" s="19">
        <f>IF(装备!M206=0,0,"'"&amp;装备!M206&amp;"'")</f>
        <v>0</v>
      </c>
      <c r="M221" s="19">
        <f>IF(装备!N206=0,0,"'"&amp;装备!N206&amp;"'")</f>
        <v>0</v>
      </c>
      <c r="N221" s="19">
        <f>IF(装备!O206=0,0,"'"&amp;装备!O206&amp;"'")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装备!A207</f>
        <v>0</v>
      </c>
      <c r="B222" s="19" t="str">
        <f>"'"&amp;装备!B207&amp;"'"</f>
        <v>'IF24'</v>
      </c>
      <c r="C222" s="19">
        <f>装备!J207</f>
        <v>0</v>
      </c>
      <c r="D222" s="19">
        <f>装备!K207</f>
        <v>0</v>
      </c>
      <c r="E222" s="19">
        <f>装备!L207</f>
        <v>0</v>
      </c>
      <c r="F222" s="19">
        <f>装备!M207</f>
        <v>0</v>
      </c>
      <c r="G222" s="19">
        <f>装备!N207</f>
        <v>0</v>
      </c>
      <c r="H222" s="19">
        <f>装备!O207</f>
        <v>0</v>
      </c>
      <c r="I222" s="19">
        <f>IF(装备!J207=0,0,"'"&amp;装备!J207&amp;"'")</f>
        <v>0</v>
      </c>
      <c r="J222" s="19">
        <f>IF(装备!K207=0,0,"'"&amp;装备!K207&amp;"'")</f>
        <v>0</v>
      </c>
      <c r="K222" s="19">
        <f>IF(装备!L207=0,0,"'"&amp;装备!L207&amp;"'")</f>
        <v>0</v>
      </c>
      <c r="L222" s="19">
        <f>IF(装备!M207=0,0,"'"&amp;装备!M207&amp;"'")</f>
        <v>0</v>
      </c>
      <c r="M222" s="19">
        <f>IF(装备!N207=0,0,"'"&amp;装备!N207&amp;"'")</f>
        <v>0</v>
      </c>
      <c r="N222" s="19">
        <f>IF(装备!O207=0,0,"'"&amp;装备!O207&amp;"'")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装备!A208</f>
        <v>0</v>
      </c>
      <c r="B223" s="19" t="str">
        <f>"'"&amp;装备!B208&amp;"'"</f>
        <v>'IF25'</v>
      </c>
      <c r="C223" s="19">
        <f>装备!J208</f>
        <v>0</v>
      </c>
      <c r="D223" s="19">
        <f>装备!K208</f>
        <v>0</v>
      </c>
      <c r="E223" s="19">
        <f>装备!L208</f>
        <v>0</v>
      </c>
      <c r="F223" s="19">
        <f>装备!M208</f>
        <v>0</v>
      </c>
      <c r="G223" s="19">
        <f>装备!N208</f>
        <v>0</v>
      </c>
      <c r="H223" s="19">
        <f>装备!O208</f>
        <v>0</v>
      </c>
      <c r="I223" s="19">
        <f>IF(装备!J208=0,0,"'"&amp;装备!J208&amp;"'")</f>
        <v>0</v>
      </c>
      <c r="J223" s="19">
        <f>IF(装备!K208=0,0,"'"&amp;装备!K208&amp;"'")</f>
        <v>0</v>
      </c>
      <c r="K223" s="19">
        <f>IF(装备!L208=0,0,"'"&amp;装备!L208&amp;"'")</f>
        <v>0</v>
      </c>
      <c r="L223" s="19">
        <f>IF(装备!M208=0,0,"'"&amp;装备!M208&amp;"'")</f>
        <v>0</v>
      </c>
      <c r="M223" s="19">
        <f>IF(装备!N208=0,0,"'"&amp;装备!N208&amp;"'")</f>
        <v>0</v>
      </c>
      <c r="N223" s="19">
        <f>IF(装备!O208=0,0,"'"&amp;装备!O208&amp;"'")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装备!A209</f>
        <v>0</v>
      </c>
      <c r="B224" s="19" t="str">
        <f>"'"&amp;装备!B209&amp;"'"</f>
        <v>'IF26'</v>
      </c>
      <c r="C224" s="19">
        <f>装备!J209</f>
        <v>0</v>
      </c>
      <c r="D224" s="19">
        <f>装备!K209</f>
        <v>0</v>
      </c>
      <c r="E224" s="19">
        <f>装备!L209</f>
        <v>0</v>
      </c>
      <c r="F224" s="19">
        <f>装备!M209</f>
        <v>0</v>
      </c>
      <c r="G224" s="19">
        <f>装备!N209</f>
        <v>0</v>
      </c>
      <c r="H224" s="19">
        <f>装备!O209</f>
        <v>0</v>
      </c>
      <c r="I224" s="19">
        <f>IF(装备!J209=0,0,"'"&amp;装备!J209&amp;"'")</f>
        <v>0</v>
      </c>
      <c r="J224" s="19">
        <f>IF(装备!K209=0,0,"'"&amp;装备!K209&amp;"'")</f>
        <v>0</v>
      </c>
      <c r="K224" s="19">
        <f>IF(装备!L209=0,0,"'"&amp;装备!L209&amp;"'")</f>
        <v>0</v>
      </c>
      <c r="L224" s="19">
        <f>IF(装备!M209=0,0,"'"&amp;装备!M209&amp;"'")</f>
        <v>0</v>
      </c>
      <c r="M224" s="19">
        <f>IF(装备!N209=0,0,"'"&amp;装备!N209&amp;"'")</f>
        <v>0</v>
      </c>
      <c r="N224" s="19">
        <f>IF(装备!O209=0,0,"'"&amp;装备!O209&amp;"'")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装备!A210</f>
        <v>0</v>
      </c>
      <c r="B225" s="19" t="str">
        <f>"'"&amp;装备!B210&amp;"'"</f>
        <v>'IF27'</v>
      </c>
      <c r="C225" s="19">
        <f>装备!J210</f>
        <v>0</v>
      </c>
      <c r="D225" s="19">
        <f>装备!K210</f>
        <v>0</v>
      </c>
      <c r="E225" s="19">
        <f>装备!L210</f>
        <v>0</v>
      </c>
      <c r="F225" s="19">
        <f>装备!M210</f>
        <v>0</v>
      </c>
      <c r="G225" s="19">
        <f>装备!N210</f>
        <v>0</v>
      </c>
      <c r="H225" s="19">
        <f>装备!O210</f>
        <v>0</v>
      </c>
      <c r="I225" s="19">
        <f>IF(装备!J210=0,0,"'"&amp;装备!J210&amp;"'")</f>
        <v>0</v>
      </c>
      <c r="J225" s="19">
        <f>IF(装备!K210=0,0,"'"&amp;装备!K210&amp;"'")</f>
        <v>0</v>
      </c>
      <c r="K225" s="19">
        <f>IF(装备!L210=0,0,"'"&amp;装备!L210&amp;"'")</f>
        <v>0</v>
      </c>
      <c r="L225" s="19">
        <f>IF(装备!M210=0,0,"'"&amp;装备!M210&amp;"'")</f>
        <v>0</v>
      </c>
      <c r="M225" s="19">
        <f>IF(装备!N210=0,0,"'"&amp;装备!N210&amp;"'")</f>
        <v>0</v>
      </c>
      <c r="N225" s="19">
        <f>IF(装备!O210=0,0,"'"&amp;装备!O210&amp;"'")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装备!A211</f>
        <v>0</v>
      </c>
      <c r="B226" s="19" t="str">
        <f>"'"&amp;装备!B211&amp;"'"</f>
        <v>''</v>
      </c>
      <c r="C226" s="19">
        <f>装备!J211</f>
        <v>0</v>
      </c>
      <c r="D226" s="19">
        <f>装备!K211</f>
        <v>0</v>
      </c>
      <c r="E226" s="19">
        <f>装备!L211</f>
        <v>0</v>
      </c>
      <c r="F226" s="19">
        <f>装备!M211</f>
        <v>0</v>
      </c>
      <c r="G226" s="19">
        <f>装备!N211</f>
        <v>0</v>
      </c>
      <c r="H226" s="19">
        <f>装备!O211</f>
        <v>0</v>
      </c>
      <c r="I226" s="19">
        <f>IF(装备!J211=0,0,"'"&amp;装备!J211&amp;"'")</f>
        <v>0</v>
      </c>
      <c r="J226" s="19">
        <f>IF(装备!K211=0,0,"'"&amp;装备!K211&amp;"'")</f>
        <v>0</v>
      </c>
      <c r="K226" s="19">
        <f>IF(装备!L211=0,0,"'"&amp;装备!L211&amp;"'")</f>
        <v>0</v>
      </c>
      <c r="L226" s="19">
        <f>IF(装备!M211=0,0,"'"&amp;装备!M211&amp;"'")</f>
        <v>0</v>
      </c>
      <c r="M226" s="19">
        <f>IF(装备!N211=0,0,"'"&amp;装备!N211&amp;"'")</f>
        <v>0</v>
      </c>
      <c r="N226" s="19">
        <f>IF(装备!O211=0,0,"'"&amp;装备!O211&amp;"'")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装备!A212</f>
        <v>0</v>
      </c>
      <c r="B227" s="19" t="str">
        <f>"'"&amp;装备!B212&amp;"'"</f>
        <v>''</v>
      </c>
      <c r="C227" s="19">
        <f>装备!J212</f>
        <v>0</v>
      </c>
      <c r="D227" s="19">
        <f>装备!K212</f>
        <v>0</v>
      </c>
      <c r="E227" s="19">
        <f>装备!L212</f>
        <v>0</v>
      </c>
      <c r="F227" s="19">
        <f>装备!M212</f>
        <v>0</v>
      </c>
      <c r="G227" s="19">
        <f>装备!N212</f>
        <v>0</v>
      </c>
      <c r="H227" s="19">
        <f>装备!O212</f>
        <v>0</v>
      </c>
      <c r="I227" s="19">
        <f>IF(装备!J212=0,0,"'"&amp;装备!J212&amp;"'")</f>
        <v>0</v>
      </c>
      <c r="J227" s="19">
        <f>IF(装备!K212=0,0,"'"&amp;装备!K212&amp;"'")</f>
        <v>0</v>
      </c>
      <c r="K227" s="19">
        <f>IF(装备!L212=0,0,"'"&amp;装备!L212&amp;"'")</f>
        <v>0</v>
      </c>
      <c r="L227" s="19">
        <f>IF(装备!M212=0,0,"'"&amp;装备!M212&amp;"'")</f>
        <v>0</v>
      </c>
      <c r="M227" s="19">
        <f>IF(装备!N212=0,0,"'"&amp;装备!N212&amp;"'")</f>
        <v>0</v>
      </c>
      <c r="N227" s="19">
        <f>IF(装备!O212=0,0,"'"&amp;装备!O212&amp;"'")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装备!A213</f>
        <v>0</v>
      </c>
      <c r="B228" s="19" t="str">
        <f>"'"&amp;装备!B213&amp;"'"</f>
        <v>''</v>
      </c>
      <c r="C228" s="19">
        <f>装备!J213</f>
        <v>0</v>
      </c>
      <c r="D228" s="19">
        <f>装备!K213</f>
        <v>0</v>
      </c>
      <c r="E228" s="19">
        <f>装备!L213</f>
        <v>0</v>
      </c>
      <c r="F228" s="19">
        <f>装备!M213</f>
        <v>0</v>
      </c>
      <c r="G228" s="19">
        <f>装备!N213</f>
        <v>0</v>
      </c>
      <c r="H228" s="19">
        <f>装备!O213</f>
        <v>0</v>
      </c>
      <c r="I228" s="19">
        <f>IF(装备!J213=0,0,"'"&amp;装备!J213&amp;"'")</f>
        <v>0</v>
      </c>
      <c r="J228" s="19">
        <f>IF(装备!K213=0,0,"'"&amp;装备!K213&amp;"'")</f>
        <v>0</v>
      </c>
      <c r="K228" s="19">
        <f>IF(装备!L213=0,0,"'"&amp;装备!L213&amp;"'")</f>
        <v>0</v>
      </c>
      <c r="L228" s="19">
        <f>IF(装备!M213=0,0,"'"&amp;装备!M213&amp;"'")</f>
        <v>0</v>
      </c>
      <c r="M228" s="19">
        <f>IF(装备!N213=0,0,"'"&amp;装备!N213&amp;"'")</f>
        <v>0</v>
      </c>
      <c r="N228" s="19">
        <f>IF(装备!O213=0,0,"'"&amp;装备!O213&amp;"'")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装备!A214</f>
        <v>0</v>
      </c>
      <c r="B229" s="19" t="str">
        <f>"'"&amp;装备!B214&amp;"'"</f>
        <v>''</v>
      </c>
      <c r="C229" s="19">
        <f>装备!J214</f>
        <v>0</v>
      </c>
      <c r="D229" s="19">
        <f>装备!K214</f>
        <v>0</v>
      </c>
      <c r="E229" s="19">
        <f>装备!L214</f>
        <v>0</v>
      </c>
      <c r="F229" s="19">
        <f>装备!M214</f>
        <v>0</v>
      </c>
      <c r="G229" s="19">
        <f>装备!N214</f>
        <v>0</v>
      </c>
      <c r="H229" s="19">
        <f>装备!O214</f>
        <v>0</v>
      </c>
      <c r="I229" s="19">
        <f>IF(装备!J214=0,0,"'"&amp;装备!J214&amp;"'")</f>
        <v>0</v>
      </c>
      <c r="J229" s="19">
        <f>IF(装备!K214=0,0,"'"&amp;装备!K214&amp;"'")</f>
        <v>0</v>
      </c>
      <c r="K229" s="19">
        <f>IF(装备!L214=0,0,"'"&amp;装备!L214&amp;"'")</f>
        <v>0</v>
      </c>
      <c r="L229" s="19">
        <f>IF(装备!M214=0,0,"'"&amp;装备!M214&amp;"'")</f>
        <v>0</v>
      </c>
      <c r="M229" s="19">
        <f>IF(装备!N214=0,0,"'"&amp;装备!N214&amp;"'")</f>
        <v>0</v>
      </c>
      <c r="N229" s="19">
        <f>IF(装备!O214=0,0,"'"&amp;装备!O214&amp;"'")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装备!A215</f>
        <v>0</v>
      </c>
      <c r="B230" s="19" t="str">
        <f>"'"&amp;装备!B215&amp;"'"</f>
        <v>''</v>
      </c>
      <c r="C230" s="19">
        <f>装备!J215</f>
        <v>0</v>
      </c>
      <c r="D230" s="19">
        <f>装备!K215</f>
        <v>0</v>
      </c>
      <c r="E230" s="19">
        <f>装备!L215</f>
        <v>0</v>
      </c>
      <c r="F230" s="19">
        <f>装备!M215</f>
        <v>0</v>
      </c>
      <c r="G230" s="19">
        <f>装备!N215</f>
        <v>0</v>
      </c>
      <c r="H230" s="19">
        <f>装备!O215</f>
        <v>0</v>
      </c>
      <c r="I230" s="19">
        <f>IF(装备!J215=0,0,"'"&amp;装备!J215&amp;"'")</f>
        <v>0</v>
      </c>
      <c r="J230" s="19">
        <f>IF(装备!K215=0,0,"'"&amp;装备!K215&amp;"'")</f>
        <v>0</v>
      </c>
      <c r="K230" s="19">
        <f>IF(装备!L215=0,0,"'"&amp;装备!L215&amp;"'")</f>
        <v>0</v>
      </c>
      <c r="L230" s="19">
        <f>IF(装备!M215=0,0,"'"&amp;装备!M215&amp;"'")</f>
        <v>0</v>
      </c>
      <c r="M230" s="19">
        <f>IF(装备!N215=0,0,"'"&amp;装备!N215&amp;"'")</f>
        <v>0</v>
      </c>
      <c r="N230" s="19">
        <f>IF(装备!O215=0,0,"'"&amp;装备!O215&amp;"'")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装备!A216</f>
        <v>0</v>
      </c>
      <c r="B231" s="19" t="str">
        <f>"'"&amp;装备!B216&amp;"'"</f>
        <v>''</v>
      </c>
      <c r="C231" s="19">
        <f>装备!J216</f>
        <v>0</v>
      </c>
      <c r="D231" s="19">
        <f>装备!K216</f>
        <v>0</v>
      </c>
      <c r="E231" s="19">
        <f>装备!L216</f>
        <v>0</v>
      </c>
      <c r="F231" s="19">
        <f>装备!M216</f>
        <v>0</v>
      </c>
      <c r="G231" s="19">
        <f>装备!N216</f>
        <v>0</v>
      </c>
      <c r="H231" s="19">
        <f>装备!O216</f>
        <v>0</v>
      </c>
      <c r="I231" s="19">
        <f>IF(装备!J216=0,0,"'"&amp;装备!J216&amp;"'")</f>
        <v>0</v>
      </c>
      <c r="J231" s="19">
        <f>IF(装备!K216=0,0,"'"&amp;装备!K216&amp;"'")</f>
        <v>0</v>
      </c>
      <c r="K231" s="19">
        <f>IF(装备!L216=0,0,"'"&amp;装备!L216&amp;"'")</f>
        <v>0</v>
      </c>
      <c r="L231" s="19">
        <f>IF(装备!M216=0,0,"'"&amp;装备!M216&amp;"'")</f>
        <v>0</v>
      </c>
      <c r="M231" s="19">
        <f>IF(装备!N216=0,0,"'"&amp;装备!N216&amp;"'")</f>
        <v>0</v>
      </c>
      <c r="N231" s="19">
        <f>IF(装备!O216=0,0,"'"&amp;装备!O216&amp;"'")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装备!A217</f>
        <v>0</v>
      </c>
      <c r="B232" s="19" t="str">
        <f>"'"&amp;装备!B217&amp;"'"</f>
        <v>''</v>
      </c>
      <c r="C232" s="19">
        <f>装备!J217</f>
        <v>0</v>
      </c>
      <c r="D232" s="19">
        <f>装备!K217</f>
        <v>0</v>
      </c>
      <c r="E232" s="19">
        <f>装备!L217</f>
        <v>0</v>
      </c>
      <c r="F232" s="19">
        <f>装备!M217</f>
        <v>0</v>
      </c>
      <c r="G232" s="19">
        <f>装备!N217</f>
        <v>0</v>
      </c>
      <c r="H232" s="19">
        <f>装备!O217</f>
        <v>0</v>
      </c>
      <c r="I232" s="19">
        <f>IF(装备!J217=0,0,"'"&amp;装备!J217&amp;"'")</f>
        <v>0</v>
      </c>
      <c r="J232" s="19">
        <f>IF(装备!K217=0,0,"'"&amp;装备!K217&amp;"'")</f>
        <v>0</v>
      </c>
      <c r="K232" s="19">
        <f>IF(装备!L217=0,0,"'"&amp;装备!L217&amp;"'")</f>
        <v>0</v>
      </c>
      <c r="L232" s="19">
        <f>IF(装备!M217=0,0,"'"&amp;装备!M217&amp;"'")</f>
        <v>0</v>
      </c>
      <c r="M232" s="19">
        <f>IF(装备!N217=0,0,"'"&amp;装备!N217&amp;"'")</f>
        <v>0</v>
      </c>
      <c r="N232" s="19">
        <f>IF(装备!O217=0,0,"'"&amp;装备!O217&amp;"'")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装备!A218</f>
        <v>0</v>
      </c>
      <c r="B233" s="19" t="str">
        <f>"'"&amp;装备!B218&amp;"'"</f>
        <v>''</v>
      </c>
      <c r="C233" s="19">
        <f>装备!J218</f>
        <v>0</v>
      </c>
      <c r="D233" s="19">
        <f>装备!K218</f>
        <v>0</v>
      </c>
      <c r="E233" s="19">
        <f>装备!L218</f>
        <v>0</v>
      </c>
      <c r="F233" s="19">
        <f>装备!M218</f>
        <v>0</v>
      </c>
      <c r="G233" s="19">
        <f>装备!N218</f>
        <v>0</v>
      </c>
      <c r="H233" s="19">
        <f>装备!O218</f>
        <v>0</v>
      </c>
      <c r="I233" s="19">
        <f>IF(装备!J218=0,0,"'"&amp;装备!J218&amp;"'")</f>
        <v>0</v>
      </c>
      <c r="J233" s="19">
        <f>IF(装备!K218=0,0,"'"&amp;装备!K218&amp;"'")</f>
        <v>0</v>
      </c>
      <c r="K233" s="19">
        <f>IF(装备!L218=0,0,"'"&amp;装备!L218&amp;"'")</f>
        <v>0</v>
      </c>
      <c r="L233" s="19">
        <f>IF(装备!M218=0,0,"'"&amp;装备!M218&amp;"'")</f>
        <v>0</v>
      </c>
      <c r="M233" s="19">
        <f>IF(装备!N218=0,0,"'"&amp;装备!N218&amp;"'")</f>
        <v>0</v>
      </c>
      <c r="N233" s="19">
        <f>IF(装备!O218=0,0,"'"&amp;装备!O218&amp;"'")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装备!A219</f>
        <v>0</v>
      </c>
      <c r="B234" s="19" t="str">
        <f>"'"&amp;装备!B219&amp;"'"</f>
        <v>''</v>
      </c>
      <c r="C234" s="19">
        <f>装备!J219</f>
        <v>0</v>
      </c>
      <c r="D234" s="19">
        <f>装备!K219</f>
        <v>0</v>
      </c>
      <c r="E234" s="19">
        <f>装备!L219</f>
        <v>0</v>
      </c>
      <c r="F234" s="19">
        <f>装备!M219</f>
        <v>0</v>
      </c>
      <c r="G234" s="19">
        <f>装备!N219</f>
        <v>0</v>
      </c>
      <c r="H234" s="19">
        <f>装备!O219</f>
        <v>0</v>
      </c>
      <c r="I234" s="19">
        <f>IF(装备!J219=0,0,"'"&amp;装备!J219&amp;"'")</f>
        <v>0</v>
      </c>
      <c r="J234" s="19">
        <f>IF(装备!K219=0,0,"'"&amp;装备!K219&amp;"'")</f>
        <v>0</v>
      </c>
      <c r="K234" s="19">
        <f>IF(装备!L219=0,0,"'"&amp;装备!L219&amp;"'")</f>
        <v>0</v>
      </c>
      <c r="L234" s="19">
        <f>IF(装备!M219=0,0,"'"&amp;装备!M219&amp;"'")</f>
        <v>0</v>
      </c>
      <c r="M234" s="19">
        <f>IF(装备!N219=0,0,"'"&amp;装备!N219&amp;"'")</f>
        <v>0</v>
      </c>
      <c r="N234" s="19">
        <f>IF(装备!O219=0,0,"'"&amp;装备!O219&amp;"'")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装备!A220</f>
        <v>0</v>
      </c>
      <c r="B235" s="19" t="str">
        <f>"'"&amp;装备!B220&amp;"'"</f>
        <v>''</v>
      </c>
      <c r="C235" s="19">
        <f>装备!J220</f>
        <v>0</v>
      </c>
      <c r="D235" s="19">
        <f>装备!K220</f>
        <v>0</v>
      </c>
      <c r="E235" s="19">
        <f>装备!L220</f>
        <v>0</v>
      </c>
      <c r="F235" s="19">
        <f>装备!M220</f>
        <v>0</v>
      </c>
      <c r="G235" s="19">
        <f>装备!N220</f>
        <v>0</v>
      </c>
      <c r="H235" s="19">
        <f>装备!O220</f>
        <v>0</v>
      </c>
      <c r="I235" s="19">
        <f>IF(装备!J220=0,0,"'"&amp;装备!J220&amp;"'")</f>
        <v>0</v>
      </c>
      <c r="J235" s="19">
        <f>IF(装备!K220=0,0,"'"&amp;装备!K220&amp;"'")</f>
        <v>0</v>
      </c>
      <c r="K235" s="19">
        <f>IF(装备!L220=0,0,"'"&amp;装备!L220&amp;"'")</f>
        <v>0</v>
      </c>
      <c r="L235" s="19">
        <f>IF(装备!M220=0,0,"'"&amp;装备!M220&amp;"'")</f>
        <v>0</v>
      </c>
      <c r="M235" s="19">
        <f>IF(装备!N220=0,0,"'"&amp;装备!N220&amp;"'")</f>
        <v>0</v>
      </c>
      <c r="N235" s="19">
        <f>IF(装备!O220=0,0,"'"&amp;装备!O220&amp;"'")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装备!A221</f>
        <v>0</v>
      </c>
      <c r="B236" s="19" t="str">
        <f>"'"&amp;装备!B221&amp;"'"</f>
        <v>''</v>
      </c>
      <c r="C236" s="19">
        <f>装备!J221</f>
        <v>0</v>
      </c>
      <c r="D236" s="19">
        <f>装备!K221</f>
        <v>0</v>
      </c>
      <c r="E236" s="19">
        <f>装备!L221</f>
        <v>0</v>
      </c>
      <c r="F236" s="19">
        <f>装备!M221</f>
        <v>0</v>
      </c>
      <c r="G236" s="19">
        <f>装备!N221</f>
        <v>0</v>
      </c>
      <c r="H236" s="19">
        <f>装备!O221</f>
        <v>0</v>
      </c>
      <c r="I236" s="19">
        <f>IF(装备!J221=0,0,"'"&amp;装备!J221&amp;"'")</f>
        <v>0</v>
      </c>
      <c r="J236" s="19">
        <f>IF(装备!K221=0,0,"'"&amp;装备!K221&amp;"'")</f>
        <v>0</v>
      </c>
      <c r="K236" s="19">
        <f>IF(装备!L221=0,0,"'"&amp;装备!L221&amp;"'")</f>
        <v>0</v>
      </c>
      <c r="L236" s="19">
        <f>IF(装备!M221=0,0,"'"&amp;装备!M221&amp;"'")</f>
        <v>0</v>
      </c>
      <c r="M236" s="19">
        <f>IF(装备!N221=0,0,"'"&amp;装备!N221&amp;"'")</f>
        <v>0</v>
      </c>
      <c r="N236" s="19">
        <f>IF(装备!O221=0,0,"'"&amp;装备!O221&amp;"'")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装备!A222</f>
        <v>0</v>
      </c>
      <c r="B237" s="19" t="str">
        <f>"'"&amp;装备!B222&amp;"'"</f>
        <v>''</v>
      </c>
      <c r="C237" s="19">
        <f>装备!J222</f>
        <v>0</v>
      </c>
      <c r="D237" s="19">
        <f>装备!K222</f>
        <v>0</v>
      </c>
      <c r="E237" s="19">
        <f>装备!L222</f>
        <v>0</v>
      </c>
      <c r="F237" s="19">
        <f>装备!M222</f>
        <v>0</v>
      </c>
      <c r="G237" s="19">
        <f>装备!N222</f>
        <v>0</v>
      </c>
      <c r="H237" s="19">
        <f>装备!O222</f>
        <v>0</v>
      </c>
      <c r="I237" s="19">
        <f>IF(装备!J222=0,0,"'"&amp;装备!J222&amp;"'")</f>
        <v>0</v>
      </c>
      <c r="J237" s="19">
        <f>IF(装备!K222=0,0,"'"&amp;装备!K222&amp;"'")</f>
        <v>0</v>
      </c>
      <c r="K237" s="19">
        <f>IF(装备!L222=0,0,"'"&amp;装备!L222&amp;"'")</f>
        <v>0</v>
      </c>
      <c r="L237" s="19">
        <f>IF(装备!M222=0,0,"'"&amp;装备!M222&amp;"'")</f>
        <v>0</v>
      </c>
      <c r="M237" s="19">
        <f>IF(装备!N222=0,0,"'"&amp;装备!N222&amp;"'")</f>
        <v>0</v>
      </c>
      <c r="N237" s="19">
        <f>IF(装备!O222=0,0,"'"&amp;装备!O222&amp;"'")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装备!A223</f>
        <v>0</v>
      </c>
      <c r="B238" s="19" t="str">
        <f>"'"&amp;装备!B223&amp;"'"</f>
        <v>''</v>
      </c>
      <c r="C238" s="19">
        <f>装备!J223</f>
        <v>0</v>
      </c>
      <c r="D238" s="19">
        <f>装备!K223</f>
        <v>0</v>
      </c>
      <c r="E238" s="19">
        <f>装备!L223</f>
        <v>0</v>
      </c>
      <c r="F238" s="19">
        <f>装备!M223</f>
        <v>0</v>
      </c>
      <c r="G238" s="19">
        <f>装备!N223</f>
        <v>0</v>
      </c>
      <c r="H238" s="19">
        <f>装备!O223</f>
        <v>0</v>
      </c>
      <c r="I238" s="19">
        <f>IF(装备!J223=0,0,"'"&amp;装备!J223&amp;"'")</f>
        <v>0</v>
      </c>
      <c r="J238" s="19">
        <f>IF(装备!K223=0,0,"'"&amp;装备!K223&amp;"'")</f>
        <v>0</v>
      </c>
      <c r="K238" s="19">
        <f>IF(装备!L223=0,0,"'"&amp;装备!L223&amp;"'")</f>
        <v>0</v>
      </c>
      <c r="L238" s="19">
        <f>IF(装备!M223=0,0,"'"&amp;装备!M223&amp;"'")</f>
        <v>0</v>
      </c>
      <c r="M238" s="19">
        <f>IF(装备!N223=0,0,"'"&amp;装备!N223&amp;"'")</f>
        <v>0</v>
      </c>
      <c r="N238" s="19">
        <f>IF(装备!O223=0,0,"'"&amp;装备!O223&amp;"'")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装备!A224</f>
        <v>0</v>
      </c>
      <c r="B239" s="19" t="str">
        <f>"'"&amp;装备!B224&amp;"'"</f>
        <v>''</v>
      </c>
      <c r="C239" s="19">
        <f>装备!J224</f>
        <v>0</v>
      </c>
      <c r="D239" s="19">
        <f>装备!K224</f>
        <v>0</v>
      </c>
      <c r="E239" s="19">
        <f>装备!L224</f>
        <v>0</v>
      </c>
      <c r="F239" s="19">
        <f>装备!M224</f>
        <v>0</v>
      </c>
      <c r="G239" s="19">
        <f>装备!N224</f>
        <v>0</v>
      </c>
      <c r="H239" s="19">
        <f>装备!O224</f>
        <v>0</v>
      </c>
      <c r="I239" s="19">
        <f>IF(装备!J224=0,0,"'"&amp;装备!J224&amp;"'")</f>
        <v>0</v>
      </c>
      <c r="J239" s="19">
        <f>IF(装备!K224=0,0,"'"&amp;装备!K224&amp;"'")</f>
        <v>0</v>
      </c>
      <c r="K239" s="19">
        <f>IF(装备!L224=0,0,"'"&amp;装备!L224&amp;"'")</f>
        <v>0</v>
      </c>
      <c r="L239" s="19">
        <f>IF(装备!M224=0,0,"'"&amp;装备!M224&amp;"'")</f>
        <v>0</v>
      </c>
      <c r="M239" s="19">
        <f>IF(装备!N224=0,0,"'"&amp;装备!N224&amp;"'")</f>
        <v>0</v>
      </c>
      <c r="N239" s="19">
        <f>IF(装备!O224=0,0,"'"&amp;装备!O224&amp;"'")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装备!A225</f>
        <v>0</v>
      </c>
      <c r="B240" s="19" t="str">
        <f>"'"&amp;装备!B225&amp;"'"</f>
        <v>''</v>
      </c>
      <c r="C240" s="19">
        <f>装备!J225</f>
        <v>0</v>
      </c>
      <c r="D240" s="19">
        <f>装备!K225</f>
        <v>0</v>
      </c>
      <c r="E240" s="19">
        <f>装备!L225</f>
        <v>0</v>
      </c>
      <c r="F240" s="19">
        <f>装备!M225</f>
        <v>0</v>
      </c>
      <c r="G240" s="19">
        <f>装备!N225</f>
        <v>0</v>
      </c>
      <c r="H240" s="19">
        <f>装备!O225</f>
        <v>0</v>
      </c>
      <c r="I240" s="19">
        <f>IF(装备!J225=0,0,"'"&amp;装备!J225&amp;"'")</f>
        <v>0</v>
      </c>
      <c r="J240" s="19">
        <f>IF(装备!K225=0,0,"'"&amp;装备!K225&amp;"'")</f>
        <v>0</v>
      </c>
      <c r="K240" s="19">
        <f>IF(装备!L225=0,0,"'"&amp;装备!L225&amp;"'")</f>
        <v>0</v>
      </c>
      <c r="L240" s="19">
        <f>IF(装备!M225=0,0,"'"&amp;装备!M225&amp;"'")</f>
        <v>0</v>
      </c>
      <c r="M240" s="19">
        <f>IF(装备!N225=0,0,"'"&amp;装备!N225&amp;"'")</f>
        <v>0</v>
      </c>
      <c r="N240" s="19">
        <f>IF(装备!O225=0,0,"'"&amp;装备!O225&amp;"'")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装备!A226</f>
        <v>0</v>
      </c>
      <c r="B241" s="19" t="str">
        <f>"'"&amp;装备!B226&amp;"'"</f>
        <v>''</v>
      </c>
      <c r="C241" s="19">
        <f>装备!J226</f>
        <v>0</v>
      </c>
      <c r="D241" s="19">
        <f>装备!K226</f>
        <v>0</v>
      </c>
      <c r="E241" s="19">
        <f>装备!L226</f>
        <v>0</v>
      </c>
      <c r="F241" s="19">
        <f>装备!M226</f>
        <v>0</v>
      </c>
      <c r="G241" s="19">
        <f>装备!N226</f>
        <v>0</v>
      </c>
      <c r="H241" s="19">
        <f>装备!O226</f>
        <v>0</v>
      </c>
      <c r="I241" s="19">
        <f>IF(装备!J226=0,0,"'"&amp;装备!J226&amp;"'")</f>
        <v>0</v>
      </c>
      <c r="J241" s="19">
        <f>IF(装备!K226=0,0,"'"&amp;装备!K226&amp;"'")</f>
        <v>0</v>
      </c>
      <c r="K241" s="19">
        <f>IF(装备!L226=0,0,"'"&amp;装备!L226&amp;"'")</f>
        <v>0</v>
      </c>
      <c r="L241" s="19">
        <f>IF(装备!M226=0,0,"'"&amp;装备!M226&amp;"'")</f>
        <v>0</v>
      </c>
      <c r="M241" s="19">
        <f>IF(装备!N226=0,0,"'"&amp;装备!N226&amp;"'")</f>
        <v>0</v>
      </c>
      <c r="N241" s="19">
        <f>IF(装备!O226=0,0,"'"&amp;装备!O226&amp;"'")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装备!A227</f>
        <v>0</v>
      </c>
      <c r="B242" s="19" t="str">
        <f>"'"&amp;装备!B227&amp;"'"</f>
        <v>''</v>
      </c>
      <c r="C242" s="19">
        <f>装备!J227</f>
        <v>0</v>
      </c>
      <c r="D242" s="19">
        <f>装备!K227</f>
        <v>0</v>
      </c>
      <c r="E242" s="19">
        <f>装备!L227</f>
        <v>0</v>
      </c>
      <c r="F242" s="19">
        <f>装备!M227</f>
        <v>0</v>
      </c>
      <c r="G242" s="19">
        <f>装备!N227</f>
        <v>0</v>
      </c>
      <c r="H242" s="19">
        <f>装备!O227</f>
        <v>0</v>
      </c>
      <c r="I242" s="19">
        <f>IF(装备!J227=0,0,"'"&amp;装备!J227&amp;"'")</f>
        <v>0</v>
      </c>
      <c r="J242" s="19">
        <f>IF(装备!K227=0,0,"'"&amp;装备!K227&amp;"'")</f>
        <v>0</v>
      </c>
      <c r="K242" s="19">
        <f>IF(装备!L227=0,0,"'"&amp;装备!L227&amp;"'")</f>
        <v>0</v>
      </c>
      <c r="L242" s="19">
        <f>IF(装备!M227=0,0,"'"&amp;装备!M227&amp;"'")</f>
        <v>0</v>
      </c>
      <c r="M242" s="19">
        <f>IF(装备!N227=0,0,"'"&amp;装备!N227&amp;"'")</f>
        <v>0</v>
      </c>
      <c r="N242" s="19">
        <f>IF(装备!O227=0,0,"'"&amp;装备!O227&amp;"'")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装备!A228</f>
        <v>0</v>
      </c>
      <c r="B243" s="19" t="str">
        <f>"'"&amp;装备!B228&amp;"'"</f>
        <v>''</v>
      </c>
      <c r="C243" s="19">
        <f>装备!J228</f>
        <v>0</v>
      </c>
      <c r="D243" s="19">
        <f>装备!K228</f>
        <v>0</v>
      </c>
      <c r="E243" s="19">
        <f>装备!L228</f>
        <v>0</v>
      </c>
      <c r="F243" s="19">
        <f>装备!M228</f>
        <v>0</v>
      </c>
      <c r="G243" s="19">
        <f>装备!N228</f>
        <v>0</v>
      </c>
      <c r="H243" s="19">
        <f>装备!O228</f>
        <v>0</v>
      </c>
      <c r="I243" s="19">
        <f>IF(装备!J228=0,0,"'"&amp;装备!J228&amp;"'")</f>
        <v>0</v>
      </c>
      <c r="J243" s="19">
        <f>IF(装备!K228=0,0,"'"&amp;装备!K228&amp;"'")</f>
        <v>0</v>
      </c>
      <c r="K243" s="19">
        <f>IF(装备!L228=0,0,"'"&amp;装备!L228&amp;"'")</f>
        <v>0</v>
      </c>
      <c r="L243" s="19">
        <f>IF(装备!M228=0,0,"'"&amp;装备!M228&amp;"'")</f>
        <v>0</v>
      </c>
      <c r="M243" s="19">
        <f>IF(装备!N228=0,0,"'"&amp;装备!N228&amp;"'")</f>
        <v>0</v>
      </c>
      <c r="N243" s="19">
        <f>IF(装备!O228=0,0,"'"&amp;装备!O228&amp;"'")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装备!A229</f>
        <v>0</v>
      </c>
      <c r="B244" s="19" t="str">
        <f>"'"&amp;装备!B229&amp;"'"</f>
        <v>''</v>
      </c>
      <c r="C244" s="19">
        <f>装备!J229</f>
        <v>0</v>
      </c>
      <c r="D244" s="19">
        <f>装备!K229</f>
        <v>0</v>
      </c>
      <c r="E244" s="19">
        <f>装备!L229</f>
        <v>0</v>
      </c>
      <c r="F244" s="19">
        <f>装备!M229</f>
        <v>0</v>
      </c>
      <c r="G244" s="19">
        <f>装备!N229</f>
        <v>0</v>
      </c>
      <c r="H244" s="19">
        <f>装备!O229</f>
        <v>0</v>
      </c>
      <c r="I244" s="19">
        <f>IF(装备!J229=0,0,"'"&amp;装备!J229&amp;"'")</f>
        <v>0</v>
      </c>
      <c r="J244" s="19">
        <f>IF(装备!K229=0,0,"'"&amp;装备!K229&amp;"'")</f>
        <v>0</v>
      </c>
      <c r="K244" s="19">
        <f>IF(装备!L229=0,0,"'"&amp;装备!L229&amp;"'")</f>
        <v>0</v>
      </c>
      <c r="L244" s="19">
        <f>IF(装备!M229=0,0,"'"&amp;装备!M229&amp;"'")</f>
        <v>0</v>
      </c>
      <c r="M244" s="19">
        <f>IF(装备!N229=0,0,"'"&amp;装备!N229&amp;"'")</f>
        <v>0</v>
      </c>
      <c r="N244" s="19">
        <f>IF(装备!O229=0,0,"'"&amp;装备!O229&amp;"'")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装备!A230</f>
        <v>0</v>
      </c>
      <c r="B245" s="19" t="str">
        <f>"'"&amp;装备!B230&amp;"'"</f>
        <v>''</v>
      </c>
      <c r="C245" s="19">
        <f>装备!J230</f>
        <v>0</v>
      </c>
      <c r="D245" s="19">
        <f>装备!K230</f>
        <v>0</v>
      </c>
      <c r="E245" s="19">
        <f>装备!L230</f>
        <v>0</v>
      </c>
      <c r="F245" s="19">
        <f>装备!M230</f>
        <v>0</v>
      </c>
      <c r="G245" s="19">
        <f>装备!N230</f>
        <v>0</v>
      </c>
      <c r="H245" s="19">
        <f>装备!O230</f>
        <v>0</v>
      </c>
      <c r="I245" s="19">
        <f>IF(装备!J230=0,0,"'"&amp;装备!J230&amp;"'")</f>
        <v>0</v>
      </c>
      <c r="J245" s="19">
        <f>IF(装备!K230=0,0,"'"&amp;装备!K230&amp;"'")</f>
        <v>0</v>
      </c>
      <c r="K245" s="19">
        <f>IF(装备!L230=0,0,"'"&amp;装备!L230&amp;"'")</f>
        <v>0</v>
      </c>
      <c r="L245" s="19">
        <f>IF(装备!M230=0,0,"'"&amp;装备!M230&amp;"'")</f>
        <v>0</v>
      </c>
      <c r="M245" s="19">
        <f>IF(装备!N230=0,0,"'"&amp;装备!N230&amp;"'")</f>
        <v>0</v>
      </c>
      <c r="N245" s="19">
        <f>IF(装备!O230=0,0,"'"&amp;装备!O230&amp;"'")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装备!A231</f>
        <v>0</v>
      </c>
      <c r="B246" s="19" t="str">
        <f>"'"&amp;装备!B231&amp;"'"</f>
        <v>''</v>
      </c>
      <c r="C246" s="19">
        <f>装备!J231</f>
        <v>0</v>
      </c>
      <c r="D246" s="19">
        <f>装备!K231</f>
        <v>0</v>
      </c>
      <c r="E246" s="19">
        <f>装备!L231</f>
        <v>0</v>
      </c>
      <c r="F246" s="19">
        <f>装备!M231</f>
        <v>0</v>
      </c>
      <c r="G246" s="19">
        <f>装备!N231</f>
        <v>0</v>
      </c>
      <c r="H246" s="19">
        <f>装备!O231</f>
        <v>0</v>
      </c>
      <c r="I246" s="19">
        <f>IF(装备!J231=0,0,"'"&amp;装备!J231&amp;"'")</f>
        <v>0</v>
      </c>
      <c r="J246" s="19">
        <f>IF(装备!K231=0,0,"'"&amp;装备!K231&amp;"'")</f>
        <v>0</v>
      </c>
      <c r="K246" s="19">
        <f>IF(装备!L231=0,0,"'"&amp;装备!L231&amp;"'")</f>
        <v>0</v>
      </c>
      <c r="L246" s="19">
        <f>IF(装备!M231=0,0,"'"&amp;装备!M231&amp;"'")</f>
        <v>0</v>
      </c>
      <c r="M246" s="19">
        <f>IF(装备!N231=0,0,"'"&amp;装备!N231&amp;"'")</f>
        <v>0</v>
      </c>
      <c r="N246" s="19">
        <f>IF(装备!O231=0,0,"'"&amp;装备!O231&amp;"'")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装备!A232</f>
        <v>0</v>
      </c>
      <c r="B247" s="19" t="str">
        <f>"'"&amp;装备!B232&amp;"'"</f>
        <v>''</v>
      </c>
      <c r="C247" s="19">
        <f>装备!J232</f>
        <v>0</v>
      </c>
      <c r="D247" s="19">
        <f>装备!K232</f>
        <v>0</v>
      </c>
      <c r="E247" s="19">
        <f>装备!L232</f>
        <v>0</v>
      </c>
      <c r="F247" s="19">
        <f>装备!M232</f>
        <v>0</v>
      </c>
      <c r="G247" s="19">
        <f>装备!N232</f>
        <v>0</v>
      </c>
      <c r="H247" s="19">
        <f>装备!O232</f>
        <v>0</v>
      </c>
      <c r="I247" s="19">
        <f>IF(装备!J232=0,0,"'"&amp;装备!J232&amp;"'")</f>
        <v>0</v>
      </c>
      <c r="J247" s="19">
        <f>IF(装备!K232=0,0,"'"&amp;装备!K232&amp;"'")</f>
        <v>0</v>
      </c>
      <c r="K247" s="19">
        <f>IF(装备!L232=0,0,"'"&amp;装备!L232&amp;"'")</f>
        <v>0</v>
      </c>
      <c r="L247" s="19">
        <f>IF(装备!M232=0,0,"'"&amp;装备!M232&amp;"'")</f>
        <v>0</v>
      </c>
      <c r="M247" s="19">
        <f>IF(装备!N232=0,0,"'"&amp;装备!N232&amp;"'")</f>
        <v>0</v>
      </c>
      <c r="N247" s="19">
        <f>IF(装备!O232=0,0,"'"&amp;装备!O232&amp;"'")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装备!A233</f>
        <v>0</v>
      </c>
      <c r="B248" s="19" t="str">
        <f>"'"&amp;装备!B233&amp;"'"</f>
        <v>''</v>
      </c>
      <c r="C248" s="19">
        <f>装备!J233</f>
        <v>0</v>
      </c>
      <c r="D248" s="19">
        <f>装备!K233</f>
        <v>0</v>
      </c>
      <c r="E248" s="19">
        <f>装备!L233</f>
        <v>0</v>
      </c>
      <c r="F248" s="19">
        <f>装备!M233</f>
        <v>0</v>
      </c>
      <c r="G248" s="19">
        <f>装备!N233</f>
        <v>0</v>
      </c>
      <c r="H248" s="19">
        <f>装备!O233</f>
        <v>0</v>
      </c>
      <c r="I248" s="19">
        <f>IF(装备!J233=0,0,"'"&amp;装备!J233&amp;"'")</f>
        <v>0</v>
      </c>
      <c r="J248" s="19">
        <f>IF(装备!K233=0,0,"'"&amp;装备!K233&amp;"'")</f>
        <v>0</v>
      </c>
      <c r="K248" s="19">
        <f>IF(装备!L233=0,0,"'"&amp;装备!L233&amp;"'")</f>
        <v>0</v>
      </c>
      <c r="L248" s="19">
        <f>IF(装备!M233=0,0,"'"&amp;装备!M233&amp;"'")</f>
        <v>0</v>
      </c>
      <c r="M248" s="19">
        <f>IF(装备!N233=0,0,"'"&amp;装备!N233&amp;"'")</f>
        <v>0</v>
      </c>
      <c r="N248" s="19">
        <f>IF(装备!O233=0,0,"'"&amp;装备!O233&amp;"'")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装备!A234</f>
        <v>0</v>
      </c>
      <c r="B249" s="19" t="str">
        <f>"'"&amp;装备!B234&amp;"'"</f>
        <v>''</v>
      </c>
      <c r="C249" s="19">
        <f>装备!J234</f>
        <v>0</v>
      </c>
      <c r="D249" s="19">
        <f>装备!K234</f>
        <v>0</v>
      </c>
      <c r="E249" s="19">
        <f>装备!L234</f>
        <v>0</v>
      </c>
      <c r="F249" s="19">
        <f>装备!M234</f>
        <v>0</v>
      </c>
      <c r="G249" s="19">
        <f>装备!N234</f>
        <v>0</v>
      </c>
      <c r="H249" s="19">
        <f>装备!O234</f>
        <v>0</v>
      </c>
      <c r="I249" s="19">
        <f>IF(装备!J234=0,0,"'"&amp;装备!J234&amp;"'")</f>
        <v>0</v>
      </c>
      <c r="J249" s="19">
        <f>IF(装备!K234=0,0,"'"&amp;装备!K234&amp;"'")</f>
        <v>0</v>
      </c>
      <c r="K249" s="19">
        <f>IF(装备!L234=0,0,"'"&amp;装备!L234&amp;"'")</f>
        <v>0</v>
      </c>
      <c r="L249" s="19">
        <f>IF(装备!M234=0,0,"'"&amp;装备!M234&amp;"'")</f>
        <v>0</v>
      </c>
      <c r="M249" s="19">
        <f>IF(装备!N234=0,0,"'"&amp;装备!N234&amp;"'")</f>
        <v>0</v>
      </c>
      <c r="N249" s="19">
        <f>IF(装备!O234=0,0,"'"&amp;装备!O234&amp;"'")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装备!A235</f>
        <v>0</v>
      </c>
      <c r="B250" s="19" t="str">
        <f>"'"&amp;装备!B235&amp;"'"</f>
        <v>''</v>
      </c>
      <c r="C250" s="19">
        <f>装备!J235</f>
        <v>0</v>
      </c>
      <c r="D250" s="19">
        <f>装备!K235</f>
        <v>0</v>
      </c>
      <c r="E250" s="19">
        <f>装备!L235</f>
        <v>0</v>
      </c>
      <c r="F250" s="19">
        <f>装备!M235</f>
        <v>0</v>
      </c>
      <c r="G250" s="19">
        <f>装备!N235</f>
        <v>0</v>
      </c>
      <c r="H250" s="19">
        <f>装备!O235</f>
        <v>0</v>
      </c>
      <c r="I250" s="19">
        <f>IF(装备!J235=0,0,"'"&amp;装备!J235&amp;"'")</f>
        <v>0</v>
      </c>
      <c r="J250" s="19">
        <f>IF(装备!K235=0,0,"'"&amp;装备!K235&amp;"'")</f>
        <v>0</v>
      </c>
      <c r="K250" s="19">
        <f>IF(装备!L235=0,0,"'"&amp;装备!L235&amp;"'")</f>
        <v>0</v>
      </c>
      <c r="L250" s="19">
        <f>IF(装备!M235=0,0,"'"&amp;装备!M235&amp;"'")</f>
        <v>0</v>
      </c>
      <c r="M250" s="19">
        <f>IF(装备!N235=0,0,"'"&amp;装备!N235&amp;"'")</f>
        <v>0</v>
      </c>
      <c r="N250" s="19">
        <f>IF(装备!O235=0,0,"'"&amp;装备!O235&amp;"'")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装备!A236</f>
        <v>0</v>
      </c>
      <c r="B251" s="19" t="str">
        <f>"'"&amp;装备!B236&amp;"'"</f>
        <v>''</v>
      </c>
      <c r="C251" s="19">
        <f>装备!J236</f>
        <v>0</v>
      </c>
      <c r="D251" s="19">
        <f>装备!K236</f>
        <v>0</v>
      </c>
      <c r="E251" s="19">
        <f>装备!L236</f>
        <v>0</v>
      </c>
      <c r="F251" s="19">
        <f>装备!M236</f>
        <v>0</v>
      </c>
      <c r="G251" s="19">
        <f>装备!N236</f>
        <v>0</v>
      </c>
      <c r="H251" s="19">
        <f>装备!O236</f>
        <v>0</v>
      </c>
      <c r="I251" s="19">
        <f>IF(装备!J236=0,0,"'"&amp;装备!J236&amp;"'")</f>
        <v>0</v>
      </c>
      <c r="J251" s="19">
        <f>IF(装备!K236=0,0,"'"&amp;装备!K236&amp;"'")</f>
        <v>0</v>
      </c>
      <c r="K251" s="19">
        <f>IF(装备!L236=0,0,"'"&amp;装备!L236&amp;"'")</f>
        <v>0</v>
      </c>
      <c r="L251" s="19">
        <f>IF(装备!M236=0,0,"'"&amp;装备!M236&amp;"'")</f>
        <v>0</v>
      </c>
      <c r="M251" s="19">
        <f>IF(装备!N236=0,0,"'"&amp;装备!N236&amp;"'")</f>
        <v>0</v>
      </c>
      <c r="N251" s="19">
        <f>IF(装备!O236=0,0,"'"&amp;装备!O236&amp;"'")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装备!A237</f>
        <v>0</v>
      </c>
      <c r="B252" s="19" t="str">
        <f>"'"&amp;装备!B237&amp;"'"</f>
        <v>''</v>
      </c>
      <c r="C252" s="19">
        <f>装备!J237</f>
        <v>0</v>
      </c>
      <c r="D252" s="19">
        <f>装备!K237</f>
        <v>0</v>
      </c>
      <c r="E252" s="19">
        <f>装备!L237</f>
        <v>0</v>
      </c>
      <c r="F252" s="19">
        <f>装备!M237</f>
        <v>0</v>
      </c>
      <c r="G252" s="19">
        <f>装备!N237</f>
        <v>0</v>
      </c>
      <c r="H252" s="19">
        <f>装备!O237</f>
        <v>0</v>
      </c>
      <c r="I252" s="19">
        <f>IF(装备!J237=0,0,"'"&amp;装备!J237&amp;"'")</f>
        <v>0</v>
      </c>
      <c r="J252" s="19">
        <f>IF(装备!K237=0,0,"'"&amp;装备!K237&amp;"'")</f>
        <v>0</v>
      </c>
      <c r="K252" s="19">
        <f>IF(装备!L237=0,0,"'"&amp;装备!L237&amp;"'")</f>
        <v>0</v>
      </c>
      <c r="L252" s="19">
        <f>IF(装备!M237=0,0,"'"&amp;装备!M237&amp;"'")</f>
        <v>0</v>
      </c>
      <c r="M252" s="19">
        <f>IF(装备!N237=0,0,"'"&amp;装备!N237&amp;"'")</f>
        <v>0</v>
      </c>
      <c r="N252" s="19">
        <f>IF(装备!O237=0,0,"'"&amp;装备!O237&amp;"'")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装备!A238</f>
        <v>0</v>
      </c>
      <c r="B253" s="19" t="str">
        <f>"'"&amp;装备!B238&amp;"'"</f>
        <v>''</v>
      </c>
      <c r="C253" s="19">
        <f>装备!J238</f>
        <v>0</v>
      </c>
      <c r="D253" s="19">
        <f>装备!K238</f>
        <v>0</v>
      </c>
      <c r="E253" s="19">
        <f>装备!L238</f>
        <v>0</v>
      </c>
      <c r="F253" s="19">
        <f>装备!M238</f>
        <v>0</v>
      </c>
      <c r="G253" s="19">
        <f>装备!N238</f>
        <v>0</v>
      </c>
      <c r="H253" s="19">
        <f>装备!O238</f>
        <v>0</v>
      </c>
      <c r="I253" s="19">
        <f>IF(装备!J238=0,0,"'"&amp;装备!J238&amp;"'")</f>
        <v>0</v>
      </c>
      <c r="J253" s="19">
        <f>IF(装备!K238=0,0,"'"&amp;装备!K238&amp;"'")</f>
        <v>0</v>
      </c>
      <c r="K253" s="19">
        <f>IF(装备!L238=0,0,"'"&amp;装备!L238&amp;"'")</f>
        <v>0</v>
      </c>
      <c r="L253" s="19">
        <f>IF(装备!M238=0,0,"'"&amp;装备!M238&amp;"'")</f>
        <v>0</v>
      </c>
      <c r="M253" s="19">
        <f>IF(装备!N238=0,0,"'"&amp;装备!N238&amp;"'")</f>
        <v>0</v>
      </c>
      <c r="N253" s="19">
        <f>IF(装备!O238=0,0,"'"&amp;装备!O238&amp;"'")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装备!A239</f>
        <v>0</v>
      </c>
      <c r="B254" s="19" t="str">
        <f>"'"&amp;装备!B239&amp;"'"</f>
        <v>''</v>
      </c>
      <c r="C254" s="19">
        <f>装备!J239</f>
        <v>0</v>
      </c>
      <c r="D254" s="19">
        <f>装备!K239</f>
        <v>0</v>
      </c>
      <c r="E254" s="19">
        <f>装备!L239</f>
        <v>0</v>
      </c>
      <c r="F254" s="19">
        <f>装备!M239</f>
        <v>0</v>
      </c>
      <c r="G254" s="19">
        <f>装备!N239</f>
        <v>0</v>
      </c>
      <c r="H254" s="19">
        <f>装备!O239</f>
        <v>0</v>
      </c>
      <c r="I254" s="19">
        <f>IF(装备!J239=0,0,"'"&amp;装备!J239&amp;"'")</f>
        <v>0</v>
      </c>
      <c r="J254" s="19">
        <f>IF(装备!K239=0,0,"'"&amp;装备!K239&amp;"'")</f>
        <v>0</v>
      </c>
      <c r="K254" s="19">
        <f>IF(装备!L239=0,0,"'"&amp;装备!L239&amp;"'")</f>
        <v>0</v>
      </c>
      <c r="L254" s="19">
        <f>IF(装备!M239=0,0,"'"&amp;装备!M239&amp;"'")</f>
        <v>0</v>
      </c>
      <c r="M254" s="19">
        <f>IF(装备!N239=0,0,"'"&amp;装备!N239&amp;"'")</f>
        <v>0</v>
      </c>
      <c r="N254" s="19">
        <f>IF(装备!O239=0,0,"'"&amp;装备!O239&amp;"'")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装备!A240</f>
        <v>0</v>
      </c>
      <c r="B255" s="19" t="str">
        <f>"'"&amp;装备!B240&amp;"'"</f>
        <v>''</v>
      </c>
      <c r="C255" s="19">
        <f>装备!J240</f>
        <v>0</v>
      </c>
      <c r="D255" s="19">
        <f>装备!K240</f>
        <v>0</v>
      </c>
      <c r="E255" s="19">
        <f>装备!L240</f>
        <v>0</v>
      </c>
      <c r="F255" s="19">
        <f>装备!M240</f>
        <v>0</v>
      </c>
      <c r="G255" s="19">
        <f>装备!N240</f>
        <v>0</v>
      </c>
      <c r="H255" s="19">
        <f>装备!O240</f>
        <v>0</v>
      </c>
      <c r="I255" s="19">
        <f>IF(装备!J240=0,0,"'"&amp;装备!J240&amp;"'")</f>
        <v>0</v>
      </c>
      <c r="J255" s="19">
        <f>IF(装备!K240=0,0,"'"&amp;装备!K240&amp;"'")</f>
        <v>0</v>
      </c>
      <c r="K255" s="19">
        <f>IF(装备!L240=0,0,"'"&amp;装备!L240&amp;"'")</f>
        <v>0</v>
      </c>
      <c r="L255" s="19">
        <f>IF(装备!M240=0,0,"'"&amp;装备!M240&amp;"'")</f>
        <v>0</v>
      </c>
      <c r="M255" s="19">
        <f>IF(装备!N240=0,0,"'"&amp;装备!N240&amp;"'")</f>
        <v>0</v>
      </c>
      <c r="N255" s="19">
        <f>IF(装备!O240=0,0,"'"&amp;装备!O240&amp;"'")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装备!A241</f>
        <v>0</v>
      </c>
      <c r="B256" s="19" t="str">
        <f>"'"&amp;装备!B241&amp;"'"</f>
        <v>''</v>
      </c>
      <c r="C256" s="19">
        <f>装备!J241</f>
        <v>0</v>
      </c>
      <c r="D256" s="19">
        <f>装备!K241</f>
        <v>0</v>
      </c>
      <c r="E256" s="19">
        <f>装备!L241</f>
        <v>0</v>
      </c>
      <c r="F256" s="19">
        <f>装备!M241</f>
        <v>0</v>
      </c>
      <c r="G256" s="19">
        <f>装备!N241</f>
        <v>0</v>
      </c>
      <c r="H256" s="19">
        <f>装备!O241</f>
        <v>0</v>
      </c>
      <c r="I256" s="19">
        <f>IF(装备!J241=0,0,"'"&amp;装备!J241&amp;"'")</f>
        <v>0</v>
      </c>
      <c r="J256" s="19">
        <f>IF(装备!K241=0,0,"'"&amp;装备!K241&amp;"'")</f>
        <v>0</v>
      </c>
      <c r="K256" s="19">
        <f>IF(装备!L241=0,0,"'"&amp;装备!L241&amp;"'")</f>
        <v>0</v>
      </c>
      <c r="L256" s="19">
        <f>IF(装备!M241=0,0,"'"&amp;装备!M241&amp;"'")</f>
        <v>0</v>
      </c>
      <c r="M256" s="19">
        <f>IF(装备!N241=0,0,"'"&amp;装备!N241&amp;"'")</f>
        <v>0</v>
      </c>
      <c r="N256" s="19">
        <f>IF(装备!O241=0,0,"'"&amp;装备!O241&amp;"'")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装备!A242</f>
        <v>0</v>
      </c>
      <c r="B257" s="19" t="str">
        <f>"'"&amp;装备!B242&amp;"'"</f>
        <v>''</v>
      </c>
      <c r="C257" s="19">
        <f>装备!J242</f>
        <v>0</v>
      </c>
      <c r="D257" s="19">
        <f>装备!K242</f>
        <v>0</v>
      </c>
      <c r="E257" s="19">
        <f>装备!L242</f>
        <v>0</v>
      </c>
      <c r="F257" s="19">
        <f>装备!M242</f>
        <v>0</v>
      </c>
      <c r="G257" s="19">
        <f>装备!N242</f>
        <v>0</v>
      </c>
      <c r="H257" s="19">
        <f>装备!O242</f>
        <v>0</v>
      </c>
      <c r="I257" s="19">
        <f>IF(装备!J242=0,0,"'"&amp;装备!J242&amp;"'")</f>
        <v>0</v>
      </c>
      <c r="J257" s="19">
        <f>IF(装备!K242=0,0,"'"&amp;装备!K242&amp;"'")</f>
        <v>0</v>
      </c>
      <c r="K257" s="19">
        <f>IF(装备!L242=0,0,"'"&amp;装备!L242&amp;"'")</f>
        <v>0</v>
      </c>
      <c r="L257" s="19">
        <f>IF(装备!M242=0,0,"'"&amp;装备!M242&amp;"'")</f>
        <v>0</v>
      </c>
      <c r="M257" s="19">
        <f>IF(装备!N242=0,0,"'"&amp;装备!N242&amp;"'")</f>
        <v>0</v>
      </c>
      <c r="N257" s="19">
        <f>IF(装备!O242=0,0,"'"&amp;装备!O242&amp;"'")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装备!A243</f>
        <v>0</v>
      </c>
      <c r="B258" s="19" t="str">
        <f>"'"&amp;装备!B243&amp;"'"</f>
        <v>''</v>
      </c>
      <c r="C258" s="19">
        <f>装备!J243</f>
        <v>0</v>
      </c>
      <c r="D258" s="19">
        <f>装备!K243</f>
        <v>0</v>
      </c>
      <c r="E258" s="19">
        <f>装备!L243</f>
        <v>0</v>
      </c>
      <c r="F258" s="19">
        <f>装备!M243</f>
        <v>0</v>
      </c>
      <c r="G258" s="19">
        <f>装备!N243</f>
        <v>0</v>
      </c>
      <c r="H258" s="19">
        <f>装备!O243</f>
        <v>0</v>
      </c>
      <c r="I258" s="19">
        <f>IF(装备!J243=0,0,"'"&amp;装备!J243&amp;"'")</f>
        <v>0</v>
      </c>
      <c r="J258" s="19">
        <f>IF(装备!K243=0,0,"'"&amp;装备!K243&amp;"'")</f>
        <v>0</v>
      </c>
      <c r="K258" s="19">
        <f>IF(装备!L243=0,0,"'"&amp;装备!L243&amp;"'")</f>
        <v>0</v>
      </c>
      <c r="L258" s="19">
        <f>IF(装备!M243=0,0,"'"&amp;装备!M243&amp;"'")</f>
        <v>0</v>
      </c>
      <c r="M258" s="19">
        <f>IF(装备!N243=0,0,"'"&amp;装备!N243&amp;"'")</f>
        <v>0</v>
      </c>
      <c r="N258" s="19">
        <f>IF(装备!O243=0,0,"'"&amp;装备!O243&amp;"'")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装备!A244</f>
        <v>0</v>
      </c>
      <c r="B259" s="19" t="str">
        <f>"'"&amp;装备!B244&amp;"'"</f>
        <v>''</v>
      </c>
      <c r="C259" s="19">
        <f>装备!J244</f>
        <v>0</v>
      </c>
      <c r="D259" s="19">
        <f>装备!K244</f>
        <v>0</v>
      </c>
      <c r="E259" s="19">
        <f>装备!L244</f>
        <v>0</v>
      </c>
      <c r="F259" s="19">
        <f>装备!M244</f>
        <v>0</v>
      </c>
      <c r="G259" s="19">
        <f>装备!N244</f>
        <v>0</v>
      </c>
      <c r="H259" s="19">
        <f>装备!O244</f>
        <v>0</v>
      </c>
      <c r="I259" s="19">
        <f>IF(装备!J244=0,0,"'"&amp;装备!J244&amp;"'")</f>
        <v>0</v>
      </c>
      <c r="J259" s="19">
        <f>IF(装备!K244=0,0,"'"&amp;装备!K244&amp;"'")</f>
        <v>0</v>
      </c>
      <c r="K259" s="19">
        <f>IF(装备!L244=0,0,"'"&amp;装备!L244&amp;"'")</f>
        <v>0</v>
      </c>
      <c r="L259" s="19">
        <f>IF(装备!M244=0,0,"'"&amp;装备!M244&amp;"'")</f>
        <v>0</v>
      </c>
      <c r="M259" s="19">
        <f>IF(装备!N244=0,0,"'"&amp;装备!N244&amp;"'")</f>
        <v>0</v>
      </c>
      <c r="N259" s="19">
        <f>IF(装备!O244=0,0,"'"&amp;装备!O244&amp;"'")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装备!A245</f>
        <v>0</v>
      </c>
      <c r="B260" s="19" t="str">
        <f>"'"&amp;装备!B245&amp;"'"</f>
        <v>''</v>
      </c>
      <c r="C260" s="19">
        <f>装备!J245</f>
        <v>0</v>
      </c>
      <c r="D260" s="19">
        <f>装备!K245</f>
        <v>0</v>
      </c>
      <c r="E260" s="19">
        <f>装备!L245</f>
        <v>0</v>
      </c>
      <c r="F260" s="19">
        <f>装备!M245</f>
        <v>0</v>
      </c>
      <c r="G260" s="19">
        <f>装备!N245</f>
        <v>0</v>
      </c>
      <c r="H260" s="19">
        <f>装备!O245</f>
        <v>0</v>
      </c>
      <c r="I260" s="19">
        <f>IF(装备!J245=0,0,"'"&amp;装备!J245&amp;"'")</f>
        <v>0</v>
      </c>
      <c r="J260" s="19">
        <f>IF(装备!K245=0,0,"'"&amp;装备!K245&amp;"'")</f>
        <v>0</v>
      </c>
      <c r="K260" s="19">
        <f>IF(装备!L245=0,0,"'"&amp;装备!L245&amp;"'")</f>
        <v>0</v>
      </c>
      <c r="L260" s="19">
        <f>IF(装备!M245=0,0,"'"&amp;装备!M245&amp;"'")</f>
        <v>0</v>
      </c>
      <c r="M260" s="19">
        <f>IF(装备!N245=0,0,"'"&amp;装备!N245&amp;"'")</f>
        <v>0</v>
      </c>
      <c r="N260" s="19">
        <f>IF(装备!O245=0,0,"'"&amp;装备!O245&amp;"'")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装备!A246</f>
        <v>0</v>
      </c>
      <c r="B261" s="19" t="str">
        <f>"'"&amp;装备!B246&amp;"'"</f>
        <v>''</v>
      </c>
      <c r="C261" s="19">
        <f>装备!J246</f>
        <v>0</v>
      </c>
      <c r="D261" s="19">
        <f>装备!K246</f>
        <v>0</v>
      </c>
      <c r="E261" s="19">
        <f>装备!L246</f>
        <v>0</v>
      </c>
      <c r="F261" s="19">
        <f>装备!M246</f>
        <v>0</v>
      </c>
      <c r="G261" s="19">
        <f>装备!N246</f>
        <v>0</v>
      </c>
      <c r="H261" s="19">
        <f>装备!O246</f>
        <v>0</v>
      </c>
      <c r="I261" s="19">
        <f>IF(装备!J246=0,0,"'"&amp;装备!J246&amp;"'")</f>
        <v>0</v>
      </c>
      <c r="J261" s="19">
        <f>IF(装备!K246=0,0,"'"&amp;装备!K246&amp;"'")</f>
        <v>0</v>
      </c>
      <c r="K261" s="19">
        <f>IF(装备!L246=0,0,"'"&amp;装备!L246&amp;"'")</f>
        <v>0</v>
      </c>
      <c r="L261" s="19">
        <f>IF(装备!M246=0,0,"'"&amp;装备!M246&amp;"'")</f>
        <v>0</v>
      </c>
      <c r="M261" s="19">
        <f>IF(装备!N246=0,0,"'"&amp;装备!N246&amp;"'")</f>
        <v>0</v>
      </c>
      <c r="N261" s="19">
        <f>IF(装备!O246=0,0,"'"&amp;装备!O246&amp;"'")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装备!A247</f>
        <v>0</v>
      </c>
      <c r="B262" s="19" t="str">
        <f>"'"&amp;装备!B247&amp;"'"</f>
        <v>''</v>
      </c>
      <c r="C262" s="19">
        <f>装备!J247</f>
        <v>0</v>
      </c>
      <c r="D262" s="19">
        <f>装备!K247</f>
        <v>0</v>
      </c>
      <c r="E262" s="19">
        <f>装备!L247</f>
        <v>0</v>
      </c>
      <c r="F262" s="19">
        <f>装备!M247</f>
        <v>0</v>
      </c>
      <c r="G262" s="19">
        <f>装备!N247</f>
        <v>0</v>
      </c>
      <c r="H262" s="19">
        <f>装备!O247</f>
        <v>0</v>
      </c>
      <c r="I262" s="19">
        <f>IF(装备!J247=0,0,"'"&amp;装备!J247&amp;"'")</f>
        <v>0</v>
      </c>
      <c r="J262" s="19">
        <f>IF(装备!K247=0,0,"'"&amp;装备!K247&amp;"'")</f>
        <v>0</v>
      </c>
      <c r="K262" s="19">
        <f>IF(装备!L247=0,0,"'"&amp;装备!L247&amp;"'")</f>
        <v>0</v>
      </c>
      <c r="L262" s="19">
        <f>IF(装备!M247=0,0,"'"&amp;装备!M247&amp;"'")</f>
        <v>0</v>
      </c>
      <c r="M262" s="19">
        <f>IF(装备!N247=0,0,"'"&amp;装备!N247&amp;"'")</f>
        <v>0</v>
      </c>
      <c r="N262" s="19">
        <f>IF(装备!O247=0,0,"'"&amp;装备!O247&amp;"'")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装备!A248</f>
        <v>0</v>
      </c>
      <c r="B263" s="19" t="str">
        <f>"'"&amp;装备!B248&amp;"'"</f>
        <v>''</v>
      </c>
      <c r="C263" s="19">
        <f>装备!J248</f>
        <v>0</v>
      </c>
      <c r="D263" s="19">
        <f>装备!K248</f>
        <v>0</v>
      </c>
      <c r="E263" s="19">
        <f>装备!L248</f>
        <v>0</v>
      </c>
      <c r="F263" s="19">
        <f>装备!M248</f>
        <v>0</v>
      </c>
      <c r="G263" s="19">
        <f>装备!N248</f>
        <v>0</v>
      </c>
      <c r="H263" s="19">
        <f>装备!O248</f>
        <v>0</v>
      </c>
      <c r="I263" s="19">
        <f>IF(装备!J248=0,0,"'"&amp;装备!J248&amp;"'")</f>
        <v>0</v>
      </c>
      <c r="J263" s="19">
        <f>IF(装备!K248=0,0,"'"&amp;装备!K248&amp;"'")</f>
        <v>0</v>
      </c>
      <c r="K263" s="19">
        <f>IF(装备!L248=0,0,"'"&amp;装备!L248&amp;"'")</f>
        <v>0</v>
      </c>
      <c r="L263" s="19">
        <f>IF(装备!M248=0,0,"'"&amp;装备!M248&amp;"'")</f>
        <v>0</v>
      </c>
      <c r="M263" s="19">
        <f>IF(装备!N248=0,0,"'"&amp;装备!N248&amp;"'")</f>
        <v>0</v>
      </c>
      <c r="N263" s="19">
        <f>IF(装备!O248=0,0,"'"&amp;装备!O248&amp;"'")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"消耗补天石，可重铸指定法宝"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"消耗鸿蒙结晶，可将指定法宝锻造为高一品阶的随机法宝。"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-7657</v>
      </c>
      <c r="I96">
        <f>IF(装备!S150="",0,装备!S150)</f>
        <v>-4635</v>
      </c>
      <c r="J96" t="str">
        <f>IF(装备!C150="",0,""""&amp;装备!C150&amp;"""")</f>
        <v>"境界挑战1"</v>
      </c>
      <c r="K96" t="str">
        <f>IF(装备!T150="","""""",""""&amp;装备!T150&amp;"""")</f>
        <v>"境界挑战1"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-7872</v>
      </c>
      <c r="I97">
        <f>IF(装备!S151="",0,装备!S151)</f>
        <v>-2816</v>
      </c>
      <c r="J97" t="str">
        <f>IF(装备!C151="",0,""""&amp;装备!C151&amp;"""")</f>
        <v>"境界挑战2"</v>
      </c>
      <c r="K97" t="str">
        <f>IF(装备!T151="","""""",""""&amp;装备!T151&amp;"""")</f>
        <v>"境界挑战2"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-8048</v>
      </c>
      <c r="I98">
        <f>IF(装备!S152="",0,装备!S152)</f>
        <v>-1563</v>
      </c>
      <c r="J98" t="str">
        <f>IF(装备!C152="",0,""""&amp;装备!C152&amp;"""")</f>
        <v>"境界挑战3"</v>
      </c>
      <c r="K98" t="str">
        <f>IF(装备!T152="","""""",""""&amp;装备!T152&amp;"""")</f>
        <v>"境界挑战3"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"境界挑战4"</v>
      </c>
      <c r="K99" t="str">
        <f>IF(装备!T153="","""""",""""&amp;装备!T153&amp;"""")</f>
        <v>"境界挑战4"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"境界挑战5"</v>
      </c>
      <c r="K100" t="str">
        <f>IF(装备!T154="","""""",""""&amp;装备!T154&amp;"""")</f>
        <v>"境界挑战5"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"境界挑战6"</v>
      </c>
      <c r="K101" t="str">
        <f>IF(装备!T155="","""""",""""&amp;装备!T155&amp;"""")</f>
        <v>"境界挑战6"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"境界挑战7"</v>
      </c>
      <c r="K102" t="str">
        <f>IF(装备!T156="","""""",""""&amp;装备!T156&amp;"""")</f>
        <v>"境界挑战7"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"境界挑战8"</v>
      </c>
      <c r="K103" t="str">
        <f>IF(装备!T157="","""""",""""&amp;装备!T157&amp;"""")</f>
        <v>"境界挑战8"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"境界挑战9"</v>
      </c>
      <c r="K104" t="str">
        <f>IF(装备!T158="","""""",""""&amp;装备!T158&amp;"""")</f>
        <v>"境界挑战9"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4814</v>
      </c>
      <c r="I105">
        <f>IF(装备!S159="",0,装备!S159)</f>
        <v>-8830</v>
      </c>
      <c r="J105" t="str">
        <f>IF(装备!C159="",0,""""&amp;装备!C159&amp;"""")</f>
        <v>"境界挑战10"</v>
      </c>
      <c r="K105" t="str">
        <f>IF(装备!T159="","""""",""""&amp;装备!T159&amp;"""")</f>
        <v>"境界挑战10"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"境界挑战11"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"境界挑战12"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"境界挑战13"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装备!D165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IF(装备!B165="",0,"'"&amp;装备!B165&amp;"'")</f>
        <v>'IS02'</v>
      </c>
      <c r="B110">
        <f>装备!D166</f>
        <v>0</v>
      </c>
      <c r="C110">
        <f>装备!E165</f>
        <v>0</v>
      </c>
      <c r="D110">
        <f>装备!F165</f>
        <v>0</v>
      </c>
      <c r="E110">
        <f>IF(ISTEXT(装备!G165)=TRUE,"'"&amp;装备!G165&amp;"'",装备!G165)</f>
        <v>0</v>
      </c>
      <c r="F110">
        <f>IF(ISTEXT(装备!H165)=TRUE,"'"&amp;装备!H165&amp;"'",装备!H165)</f>
        <v>0</v>
      </c>
      <c r="G110">
        <f>IF(装备!I165="",0,"'"&amp;装备!I165&amp;"'")</f>
        <v>0</v>
      </c>
      <c r="H110">
        <f>IF(装备!R165="",0,装备!R165)</f>
        <v>0</v>
      </c>
      <c r="I110">
        <f>IF(装备!S165="",0,装备!S165)</f>
        <v>0</v>
      </c>
      <c r="J110" t="str">
        <f>IF(装备!C165="",0,""""&amp;装备!C165&amp;"""")</f>
        <v>"抽技能C"</v>
      </c>
      <c r="K110" t="str">
        <f>IF(装备!T165="","""""",""""&amp;装备!T165&amp;"""")</f>
        <v>"需求100杀敌数"</v>
      </c>
      <c r="L110" t="str">
        <f>IF(装备!U165="",0,""""&amp;装备!U165&amp;"""")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IF(装备!B166="",0,"'"&amp;装备!B166&amp;"'")</f>
        <v>'IS03'</v>
      </c>
      <c r="B111">
        <f>装备!D167</f>
        <v>0</v>
      </c>
      <c r="C111">
        <f>装备!E166</f>
        <v>0</v>
      </c>
      <c r="D111">
        <f>装备!F166</f>
        <v>0</v>
      </c>
      <c r="E111">
        <f>IF(ISTEXT(装备!G166)=TRUE,"'"&amp;装备!G166&amp;"'",装备!G166)</f>
        <v>0</v>
      </c>
      <c r="F111">
        <f>IF(ISTEXT(装备!H166)=TRUE,"'"&amp;装备!H166&amp;"'",装备!H166)</f>
        <v>0</v>
      </c>
      <c r="G111">
        <f>IF(装备!I166="",0,"'"&amp;装备!I166&amp;"'")</f>
        <v>0</v>
      </c>
      <c r="H111">
        <f>IF(装备!R166="",0,装备!R166)</f>
        <v>0</v>
      </c>
      <c r="I111">
        <f>IF(装备!S166="",0,装备!S166)</f>
        <v>0</v>
      </c>
      <c r="J111" t="str">
        <f>IF(装备!C166="",0,""""&amp;装备!C166&amp;"""")</f>
        <v>"抽技能B"</v>
      </c>
      <c r="K111" t="str">
        <f>IF(装备!T166="","""""",""""&amp;装备!T166&amp;"""")</f>
        <v>"需求360杀敌数"</v>
      </c>
      <c r="L111" t="str">
        <f>IF(装备!U166="",0,""""&amp;装备!U166&amp;"""")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IF(装备!B167="",0,"'"&amp;装备!B167&amp;"'")</f>
        <v>'IS04'</v>
      </c>
      <c r="B112">
        <f>装备!D168</f>
        <v>0</v>
      </c>
      <c r="C112">
        <f>装备!E167</f>
        <v>0</v>
      </c>
      <c r="D112">
        <f>装备!F167</f>
        <v>0</v>
      </c>
      <c r="E112">
        <f>IF(ISTEXT(装备!G167)=TRUE,"'"&amp;装备!G167&amp;"'",装备!G167)</f>
        <v>0</v>
      </c>
      <c r="F112">
        <f>IF(ISTEXT(装备!H167)=TRUE,"'"&amp;装备!H167&amp;"'",装备!H167)</f>
        <v>0</v>
      </c>
      <c r="G112">
        <f>IF(装备!I167="",0,"'"&amp;装备!I167&amp;"'")</f>
        <v>0</v>
      </c>
      <c r="H112">
        <f>IF(装备!R167="",0,装备!R167)</f>
        <v>0</v>
      </c>
      <c r="I112">
        <f>IF(装备!S167="",0,装备!S167)</f>
        <v>0</v>
      </c>
      <c r="J112" t="str">
        <f>IF(装备!C167="",0,""""&amp;装备!C167&amp;"""")</f>
        <v>"抽技能A"</v>
      </c>
      <c r="K112" t="str">
        <f>IF(装备!T167="","""""",""""&amp;装备!T167&amp;"""")</f>
        <v>"需求1080杀敌数"</v>
      </c>
      <c r="L112" t="str">
        <f>IF(装备!U167="",0,""""&amp;装备!U167&amp;"""")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IF(装备!B168="",0,"'"&amp;装备!B168&amp;"'")</f>
        <v>'IS05'</v>
      </c>
      <c r="B113">
        <f>装备!D170</f>
        <v>0</v>
      </c>
      <c r="C113">
        <f>装备!E168</f>
        <v>0</v>
      </c>
      <c r="D113">
        <f>装备!F168</f>
        <v>0</v>
      </c>
      <c r="E113">
        <f>IF(ISTEXT(装备!G168)=TRUE,"'"&amp;装备!G168&amp;"'",装备!G168)</f>
        <v>0</v>
      </c>
      <c r="F113">
        <f>IF(ISTEXT(装备!H168)=TRUE,"'"&amp;装备!H168&amp;"'",装备!H168)</f>
        <v>0</v>
      </c>
      <c r="G113">
        <f>IF(装备!I168="",0,"'"&amp;装备!I168&amp;"'")</f>
        <v>0</v>
      </c>
      <c r="H113">
        <f>IF(装备!R168="",0,装备!R168)</f>
        <v>0</v>
      </c>
      <c r="I113">
        <f>IF(装备!S168="",0,装备!S168)</f>
        <v>0</v>
      </c>
      <c r="J113" t="str">
        <f>IF(装备!C168="",0,""""&amp;装备!C168&amp;"""")</f>
        <v>"抽技能S"</v>
      </c>
      <c r="K113" t="str">
        <f>IF(装备!T168="","""""",""""&amp;装备!T168&amp;"""")</f>
        <v>"抽技能S"</v>
      </c>
      <c r="L113" t="str">
        <f>IF(装备!U168="",0,""""&amp;装备!U168&amp;"""")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IF(装备!B170="",0,"'"&amp;装备!B170&amp;"'")</f>
        <v>'IH00'</v>
      </c>
      <c r="B114">
        <f>装备!D171</f>
        <v>0</v>
      </c>
      <c r="C114">
        <f>装备!E170</f>
        <v>0</v>
      </c>
      <c r="D114">
        <f>装备!F170</f>
        <v>0</v>
      </c>
      <c r="E114">
        <f>IF(ISTEXT(装备!G170)=TRUE,"'"&amp;装备!G170&amp;"'",装备!G170)</f>
        <v>0</v>
      </c>
      <c r="F114">
        <f>IF(ISTEXT(装备!H170)=TRUE,"'"&amp;装备!H170&amp;"'",装备!H170)</f>
        <v>0</v>
      </c>
      <c r="G114">
        <f>IF(装备!I170="",0,"'"&amp;装备!I170&amp;"'")</f>
        <v>0</v>
      </c>
      <c r="H114">
        <f>IF(装备!R170="",0,装备!R170)</f>
        <v>0</v>
      </c>
      <c r="I114">
        <f>IF(装备!S170="",0,装备!S170)</f>
        <v>0</v>
      </c>
      <c r="J114" t="str">
        <f>IF(装备!C170="",0,""""&amp;装备!C170&amp;"""")</f>
        <v>"觉醒兽魂"</v>
      </c>
      <c r="K114" t="str">
        <f>IF(装备!T170="","""""",""""&amp;装备!T170&amp;"""")</f>
        <v>"觉醒兽魂"</v>
      </c>
      <c r="L114" t="str">
        <f>IF(装备!U170="",0,""""&amp;装备!U170&amp;"""")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IF(装备!B171="",0,"'"&amp;装备!B171&amp;"'")</f>
        <v>'IH01'</v>
      </c>
      <c r="B115">
        <f>装备!D172</f>
        <v>0</v>
      </c>
      <c r="C115">
        <f>装备!E171</f>
        <v>0</v>
      </c>
      <c r="D115">
        <f>装备!F171</f>
        <v>0</v>
      </c>
      <c r="E115">
        <f>IF(ISTEXT(装备!G171)=TRUE,"'"&amp;装备!G171&amp;"'",装备!G171)</f>
        <v>0</v>
      </c>
      <c r="F115">
        <f>IF(ISTEXT(装备!H171)=TRUE,"'"&amp;装备!H171&amp;"'",装备!H171)</f>
        <v>0</v>
      </c>
      <c r="G115">
        <f>IF(装备!I171="",0,"'"&amp;装备!I171&amp;"'")</f>
        <v>0</v>
      </c>
      <c r="H115">
        <f>IF(装备!R171="",0,装备!R171)</f>
        <v>0</v>
      </c>
      <c r="I115">
        <f>IF(装备!S171="",0,装备!S171)</f>
        <v>0</v>
      </c>
      <c r="J115" t="str">
        <f>IF(装备!C171="",0,""""&amp;装备!C171&amp;"""")</f>
        <v>"兽魂1"</v>
      </c>
      <c r="K115" t="str">
        <f>IF(装备!T171="","""""",""""&amp;装备!T171&amp;"""")</f>
        <v>"觉醒兽魂"</v>
      </c>
      <c r="L115" t="str">
        <f>IF(装备!U171="",0,""""&amp;装备!U171&amp;"""")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IF(装备!B172="",0,"'"&amp;装备!B172&amp;"'")</f>
        <v>'IH02'</v>
      </c>
      <c r="B116">
        <f>装备!D173</f>
        <v>0</v>
      </c>
      <c r="C116">
        <f>装备!E172</f>
        <v>0</v>
      </c>
      <c r="D116">
        <f>装备!F172</f>
        <v>0</v>
      </c>
      <c r="E116">
        <f>IF(ISTEXT(装备!G172)=TRUE,"'"&amp;装备!G172&amp;"'",装备!G172)</f>
        <v>0</v>
      </c>
      <c r="F116">
        <f>IF(ISTEXT(装备!H172)=TRUE,"'"&amp;装备!H172&amp;"'",装备!H172)</f>
        <v>0</v>
      </c>
      <c r="G116">
        <f>IF(装备!I172="",0,"'"&amp;装备!I172&amp;"'")</f>
        <v>0</v>
      </c>
      <c r="H116">
        <f>IF(装备!R172="",0,装备!R172)</f>
        <v>0</v>
      </c>
      <c r="I116">
        <f>IF(装备!S172="",0,装备!S172)</f>
        <v>0</v>
      </c>
      <c r="J116" t="str">
        <f>IF(装备!C172="",0,""""&amp;装备!C172&amp;"""")</f>
        <v>"兽魂2"</v>
      </c>
      <c r="K116" t="str">
        <f>IF(装备!T172="","""""",""""&amp;装备!T172&amp;"""")</f>
        <v>"觉醒兽魂"</v>
      </c>
      <c r="L116" t="str">
        <f>IF(装备!U172="",0,""""&amp;装备!U172&amp;"""")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IF(装备!B173="",0,"'"&amp;装备!B173&amp;"'")</f>
        <v>'IH03'</v>
      </c>
      <c r="B117">
        <f>装备!D174</f>
        <v>0</v>
      </c>
      <c r="C117">
        <f>装备!E173</f>
        <v>0</v>
      </c>
      <c r="D117">
        <f>装备!F173</f>
        <v>0</v>
      </c>
      <c r="E117">
        <f>IF(ISTEXT(装备!G173)=TRUE,"'"&amp;装备!G173&amp;"'",装备!G173)</f>
        <v>0</v>
      </c>
      <c r="F117">
        <f>IF(ISTEXT(装备!H173)=TRUE,"'"&amp;装备!H173&amp;"'",装备!H173)</f>
        <v>0</v>
      </c>
      <c r="G117">
        <f>IF(装备!I173="",0,"'"&amp;装备!I173&amp;"'")</f>
        <v>0</v>
      </c>
      <c r="H117">
        <f>IF(装备!R173="",0,装备!R173)</f>
        <v>0</v>
      </c>
      <c r="I117">
        <f>IF(装备!S173="",0,装备!S173)</f>
        <v>0</v>
      </c>
      <c r="J117" t="str">
        <f>IF(装备!C173="",0,""""&amp;装备!C173&amp;"""")</f>
        <v>"兽魂3"</v>
      </c>
      <c r="K117" t="str">
        <f>IF(装备!T173="","""""",""""&amp;装备!T173&amp;"""")</f>
        <v>"觉醒兽魂"</v>
      </c>
      <c r="L117" t="str">
        <f>IF(装备!U173="",0,""""&amp;装备!U173&amp;"""")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IF(装备!B174="",0,"'"&amp;装备!B174&amp;"'")</f>
        <v>'IH04'</v>
      </c>
      <c r="B118">
        <f>装备!D175</f>
        <v>0</v>
      </c>
      <c r="C118">
        <f>装备!E174</f>
        <v>0</v>
      </c>
      <c r="D118">
        <f>装备!F174</f>
        <v>0</v>
      </c>
      <c r="E118">
        <f>IF(ISTEXT(装备!G174)=TRUE,"'"&amp;装备!G174&amp;"'",装备!G174)</f>
        <v>0</v>
      </c>
      <c r="F118">
        <f>IF(ISTEXT(装备!H174)=TRUE,"'"&amp;装备!H174&amp;"'",装备!H174)</f>
        <v>0</v>
      </c>
      <c r="G118">
        <f>IF(装备!I174="",0,"'"&amp;装备!I174&amp;"'")</f>
        <v>0</v>
      </c>
      <c r="H118">
        <f>IF(装备!R174="",0,装备!R174)</f>
        <v>0</v>
      </c>
      <c r="I118">
        <f>IF(装备!S174="",0,装备!S174)</f>
        <v>0</v>
      </c>
      <c r="J118" t="str">
        <f>IF(装备!C174="",0,""""&amp;装备!C174&amp;"""")</f>
        <v>"兽魂4"</v>
      </c>
      <c r="K118" t="str">
        <f>IF(装备!T174="","""""",""""&amp;装备!T174&amp;"""")</f>
        <v>"觉醒兽魂"</v>
      </c>
      <c r="L118" t="str">
        <f>IF(装备!U174="",0,""""&amp;装备!U174&amp;"""")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IF(装备!B175="",0,"'"&amp;装备!B175&amp;"'")</f>
        <v>'IH05'</v>
      </c>
      <c r="B119">
        <f>装备!D176</f>
        <v>0</v>
      </c>
      <c r="C119">
        <f>装备!E175</f>
        <v>0</v>
      </c>
      <c r="D119">
        <f>装备!F175</f>
        <v>0</v>
      </c>
      <c r="E119">
        <f>IF(ISTEXT(装备!G175)=TRUE,"'"&amp;装备!G175&amp;"'",装备!G175)</f>
        <v>0</v>
      </c>
      <c r="F119">
        <f>IF(ISTEXT(装备!H175)=TRUE,"'"&amp;装备!H175&amp;"'",装备!H175)</f>
        <v>0</v>
      </c>
      <c r="G119">
        <f>IF(装备!I175="",0,"'"&amp;装备!I175&amp;"'")</f>
        <v>0</v>
      </c>
      <c r="H119">
        <f>IF(装备!R175="",0,装备!R175)</f>
        <v>0</v>
      </c>
      <c r="I119">
        <f>IF(装备!S175="",0,装备!S175)</f>
        <v>0</v>
      </c>
      <c r="J119" t="str">
        <f>IF(装备!C175="",0,""""&amp;装备!C175&amp;"""")</f>
        <v>"兽魂5"</v>
      </c>
      <c r="K119" t="str">
        <f>IF(装备!T175="","""""",""""&amp;装备!T175&amp;"""")</f>
        <v>"觉醒兽魂"</v>
      </c>
      <c r="L119" t="str">
        <f>IF(装备!U175="",0,""""&amp;装备!U175&amp;"""")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IF(装备!B176="",0,"'"&amp;装备!B176&amp;"'")</f>
        <v>'IH06'</v>
      </c>
      <c r="B120">
        <f>装备!D177</f>
        <v>0</v>
      </c>
      <c r="C120">
        <f>装备!E176</f>
        <v>0</v>
      </c>
      <c r="D120">
        <f>装备!F176</f>
        <v>0</v>
      </c>
      <c r="E120">
        <f>IF(ISTEXT(装备!G176)=TRUE,"'"&amp;装备!G176&amp;"'",装备!G176)</f>
        <v>0</v>
      </c>
      <c r="F120">
        <f>IF(ISTEXT(装备!H176)=TRUE,"'"&amp;装备!H176&amp;"'",装备!H176)</f>
        <v>0</v>
      </c>
      <c r="G120">
        <f>IF(装备!I176="",0,"'"&amp;装备!I176&amp;"'")</f>
        <v>0</v>
      </c>
      <c r="H120">
        <f>IF(装备!R176="",0,装备!R176)</f>
        <v>0</v>
      </c>
      <c r="I120">
        <f>IF(装备!S176="",0,装备!S176)</f>
        <v>0</v>
      </c>
      <c r="J120" t="str">
        <f>IF(装备!C176="",0,""""&amp;装备!C176&amp;"""")</f>
        <v>"兽魂6"</v>
      </c>
      <c r="K120" t="str">
        <f>IF(装备!T176="","""""",""""&amp;装备!T176&amp;"""")</f>
        <v>"觉醒兽魂"</v>
      </c>
      <c r="L120" t="str">
        <f>IF(装备!U176="",0,""""&amp;装备!U176&amp;"""")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IF(装备!B177="",0,"'"&amp;装备!B177&amp;"'")</f>
        <v>'IH07'</v>
      </c>
      <c r="B121">
        <f>装备!D178</f>
        <v>0</v>
      </c>
      <c r="C121">
        <f>装备!E177</f>
        <v>0</v>
      </c>
      <c r="D121">
        <f>装备!F177</f>
        <v>0</v>
      </c>
      <c r="E121">
        <f>IF(ISTEXT(装备!G177)=TRUE,"'"&amp;装备!G177&amp;"'",装备!G177)</f>
        <v>0</v>
      </c>
      <c r="F121">
        <f>IF(ISTEXT(装备!H177)=TRUE,"'"&amp;装备!H177&amp;"'",装备!H177)</f>
        <v>0</v>
      </c>
      <c r="G121">
        <f>IF(装备!I177="",0,"'"&amp;装备!I177&amp;"'")</f>
        <v>0</v>
      </c>
      <c r="H121">
        <f>IF(装备!R177="",0,装备!R177)</f>
        <v>0</v>
      </c>
      <c r="I121">
        <f>IF(装备!S177="",0,装备!S177)</f>
        <v>0</v>
      </c>
      <c r="J121" t="str">
        <f>IF(装备!C177="",0,""""&amp;装备!C177&amp;"""")</f>
        <v>"兽魂7"</v>
      </c>
      <c r="K121" t="str">
        <f>IF(装备!T177="","""""",""""&amp;装备!T177&amp;"""")</f>
        <v>"觉醒兽魂"</v>
      </c>
      <c r="L121" t="str">
        <f>IF(装备!U177="",0,""""&amp;装备!U177&amp;"""")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IF(装备!B178="",0,"'"&amp;装备!B178&amp;"'")</f>
        <v>'IH08'</v>
      </c>
      <c r="B122">
        <f>装备!D179</f>
        <v>0</v>
      </c>
      <c r="C122">
        <f>装备!E178</f>
        <v>0</v>
      </c>
      <c r="D122">
        <f>装备!F178</f>
        <v>0</v>
      </c>
      <c r="E122">
        <f>IF(ISTEXT(装备!G178)=TRUE,"'"&amp;装备!G178&amp;"'",装备!G178)</f>
        <v>0</v>
      </c>
      <c r="F122">
        <f>IF(ISTEXT(装备!H178)=TRUE,"'"&amp;装备!H178&amp;"'",装备!H178)</f>
        <v>0</v>
      </c>
      <c r="G122">
        <f>IF(装备!I178="",0,"'"&amp;装备!I178&amp;"'")</f>
        <v>0</v>
      </c>
      <c r="H122">
        <f>IF(装备!R178="",0,装备!R178)</f>
        <v>0</v>
      </c>
      <c r="I122">
        <f>IF(装备!S178="",0,装备!S178)</f>
        <v>0</v>
      </c>
      <c r="J122" t="str">
        <f>IF(装备!C178="",0,""""&amp;装备!C178&amp;"""")</f>
        <v>"兽魂8"</v>
      </c>
      <c r="K122" t="str">
        <f>IF(装备!T178="","""""",""""&amp;装备!T178&amp;"""")</f>
        <v>"觉醒兽魂"</v>
      </c>
      <c r="L122" t="str">
        <f>IF(装备!U178="",0,""""&amp;装备!U178&amp;"""")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IF(装备!B179="",0,"'"&amp;装备!B179&amp;"'")</f>
        <v>'IB01'</v>
      </c>
      <c r="B123">
        <f>装备!D180</f>
        <v>0</v>
      </c>
      <c r="C123">
        <f>装备!E179</f>
        <v>0</v>
      </c>
      <c r="D123">
        <f>装备!F179</f>
        <v>0</v>
      </c>
      <c r="E123">
        <f>IF(ISTEXT(装备!G179)=TRUE,"'"&amp;装备!G179&amp;"'",装备!G179)</f>
        <v>0</v>
      </c>
      <c r="F123">
        <f>IF(ISTEXT(装备!H179)=TRUE,"'"&amp;装备!H179&amp;"'",装备!H179)</f>
        <v>0</v>
      </c>
      <c r="G123">
        <f>IF(装备!I179="",0,"'"&amp;装备!I179&amp;"'")</f>
        <v>0</v>
      </c>
      <c r="H123">
        <f>IF(装备!R179="",0,装备!R179)</f>
        <v>0</v>
      </c>
      <c r="I123">
        <f>IF(装备!S179="",0,装备!S179)</f>
        <v>0</v>
      </c>
      <c r="J123" t="str">
        <f>IF(装备!C179="",0,""""&amp;装备!C179&amp;"""")</f>
        <v>"入群礼包"</v>
      </c>
      <c r="K123" t="str">
        <f>IF(装备!T179="","""""",""""&amp;装备!T179&amp;"""")</f>
        <v>"入群礼包"</v>
      </c>
      <c r="L123" t="str">
        <f>IF(装备!U179="",0,""""&amp;装备!U179&amp;"""")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IF(装备!B180="",0,"'"&amp;装备!B180&amp;"'")</f>
        <v>'IB02'</v>
      </c>
      <c r="B124">
        <f>装备!D181</f>
        <v>0</v>
      </c>
      <c r="C124">
        <f>装备!E180</f>
        <v>0</v>
      </c>
      <c r="D124">
        <f>装备!F180</f>
        <v>0</v>
      </c>
      <c r="E124">
        <f>IF(ISTEXT(装备!G180)=TRUE,"'"&amp;装备!G180&amp;"'",装备!G180)</f>
        <v>0</v>
      </c>
      <c r="F124">
        <f>IF(ISTEXT(装备!H180)=TRUE,"'"&amp;装备!H180&amp;"'",装备!H180)</f>
        <v>0</v>
      </c>
      <c r="G124">
        <f>IF(装备!I180="",0,"'"&amp;装备!I180&amp;"'")</f>
        <v>0</v>
      </c>
      <c r="H124">
        <f>IF(装备!R180="",0,装备!R180)</f>
        <v>0</v>
      </c>
      <c r="I124">
        <f>IF(装备!S180="",0,装备!S180)</f>
        <v>0</v>
      </c>
      <c r="J124" t="str">
        <f>IF(装备!C180="",0,""""&amp;装备!C180&amp;"""")</f>
        <v>"公众号礼包"</v>
      </c>
      <c r="K124" t="str">
        <f>IF(装备!T180="","""""",""""&amp;装备!T180&amp;"""")</f>
        <v>"公众号礼包"</v>
      </c>
      <c r="L124" t="str">
        <f>IF(装备!U180="",0,""""&amp;装备!U180&amp;"""")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IF(装备!B181="",0,"'"&amp;装备!B181&amp;"'")</f>
        <v>'IB03'</v>
      </c>
      <c r="B125">
        <f>装备!D182</f>
        <v>0</v>
      </c>
      <c r="C125">
        <f>装备!E181</f>
        <v>0</v>
      </c>
      <c r="D125">
        <f>装备!F181</f>
        <v>0</v>
      </c>
      <c r="E125">
        <f>IF(ISTEXT(装备!G181)=TRUE,"'"&amp;装备!G181&amp;"'",装备!G181)</f>
        <v>0</v>
      </c>
      <c r="F125">
        <f>IF(ISTEXT(装备!H181)=TRUE,"'"&amp;装备!H181&amp;"'",装备!H181)</f>
        <v>0</v>
      </c>
      <c r="G125">
        <f>IF(装备!I181="",0,"'"&amp;装备!I181&amp;"'")</f>
        <v>0</v>
      </c>
      <c r="H125">
        <f>IF(装备!R181="",0,装备!R181)</f>
        <v>0</v>
      </c>
      <c r="I125">
        <f>IF(装备!S181="",0,装备!S181)</f>
        <v>0</v>
      </c>
      <c r="J125" t="str">
        <f>IF(装备!C181="",0,""""&amp;装备!C181&amp;"""")</f>
        <v>"好评礼包"</v>
      </c>
      <c r="K125" t="str">
        <f>IF(装备!T181="","""""",""""&amp;装备!T181&amp;"""")</f>
        <v>"好评礼包"</v>
      </c>
      <c r="L125" t="str">
        <f>IF(装备!U181="",0,""""&amp;装备!U181&amp;"""")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IF(装备!B182="",0,"'"&amp;装备!B182&amp;"'")</f>
        <v>'IB04'</v>
      </c>
      <c r="B126">
        <f>装备!D183</f>
        <v>0</v>
      </c>
      <c r="C126">
        <f>装备!E182</f>
        <v>0</v>
      </c>
      <c r="D126">
        <f>装备!F182</f>
        <v>0</v>
      </c>
      <c r="E126">
        <f>IF(ISTEXT(装备!G182)=TRUE,"'"&amp;装备!G182&amp;"'",装备!G182)</f>
        <v>0</v>
      </c>
      <c r="F126">
        <f>IF(ISTEXT(装备!H182)=TRUE,"'"&amp;装备!H182&amp;"'",装备!H182)</f>
        <v>0</v>
      </c>
      <c r="G126">
        <f>IF(装备!I182="",0,"'"&amp;装备!I182&amp;"'")</f>
        <v>0</v>
      </c>
      <c r="H126">
        <f>IF(装备!R182="",0,装备!R182)</f>
        <v>0</v>
      </c>
      <c r="I126">
        <f>IF(装备!S182="",0,装备!S182)</f>
        <v>0</v>
      </c>
      <c r="J126" t="str">
        <f>IF(装备!C182="",0,""""&amp;装备!C182&amp;"""")</f>
        <v>"老铁礼包"</v>
      </c>
      <c r="K126" t="str">
        <f>IF(装备!T182="","""""",""""&amp;装备!T182&amp;"""")</f>
        <v>"老铁礼包"</v>
      </c>
      <c r="L126" t="str">
        <f>IF(装备!U182="",0,""""&amp;装备!U182&amp;"""")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IF(装备!B183="",0,"'"&amp;装备!B183&amp;"'")</f>
        <v>'IB05'</v>
      </c>
      <c r="B127">
        <f>装备!D184</f>
        <v>0</v>
      </c>
      <c r="C127">
        <f>装备!E183</f>
        <v>0</v>
      </c>
      <c r="D127">
        <f>装备!F183</f>
        <v>0</v>
      </c>
      <c r="E127">
        <f>IF(ISTEXT(装备!G183)=TRUE,"'"&amp;装备!G183&amp;"'",装备!G183)</f>
        <v>0</v>
      </c>
      <c r="F127">
        <f>IF(ISTEXT(装备!H183)=TRUE,"'"&amp;装备!H183&amp;"'",装备!H183)</f>
        <v>0</v>
      </c>
      <c r="G127">
        <f>IF(装备!I183="",0,"'"&amp;装备!I183&amp;"'")</f>
        <v>0</v>
      </c>
      <c r="H127">
        <f>IF(装备!R183="",0,装备!R183)</f>
        <v>0</v>
      </c>
      <c r="I127">
        <f>IF(装备!S183="",0,装备!S183)</f>
        <v>0</v>
      </c>
      <c r="J127" t="str">
        <f>IF(装备!C183="",0,""""&amp;装备!C183&amp;"""")</f>
        <v>"工会礼包"</v>
      </c>
      <c r="K127" t="str">
        <f>IF(装备!T183="","""""",""""&amp;装备!T183&amp;"""")</f>
        <v>"工会礼包"</v>
      </c>
      <c r="L127" t="str">
        <f>IF(装备!U183="",0,""""&amp;装备!U183&amp;"""")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IF(装备!B184="",0,"'"&amp;装备!B184&amp;"'")</f>
        <v>'IF01'</v>
      </c>
      <c r="B128">
        <f>装备!D185</f>
        <v>0</v>
      </c>
      <c r="C128">
        <f>装备!E184</f>
        <v>0</v>
      </c>
      <c r="D128">
        <f>装备!F184</f>
        <v>0</v>
      </c>
      <c r="E128">
        <f>IF(ISTEXT(装备!G184)=TRUE,"'"&amp;装备!G184&amp;"'",装备!G184)</f>
        <v>0</v>
      </c>
      <c r="F128">
        <f>IF(ISTEXT(装备!H184)=TRUE,"'"&amp;装备!H184&amp;"'",装备!H184)</f>
        <v>0</v>
      </c>
      <c r="G128">
        <f>IF(装备!I184="",0,"'"&amp;装备!I184&amp;"'")</f>
        <v>0</v>
      </c>
      <c r="H128">
        <f>IF(装备!R184="",0,装备!R184)</f>
        <v>0</v>
      </c>
      <c r="I128">
        <f>IF(装备!S184="",0,装备!S184)</f>
        <v>0</v>
      </c>
      <c r="J128" t="str">
        <f>IF(装备!C184="",0,""""&amp;装备!C184&amp;"""")</f>
        <v>"攻击"</v>
      </c>
      <c r="K128" t="str">
        <f>IF(装备!T184="","""""",""""&amp;装备!T184&amp;"""")</f>
        <v>""</v>
      </c>
      <c r="L128" t="str">
        <f>IF(装备!U184="",0,""""&amp;装备!U184&amp;"""")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IF(装备!B185="",0,"'"&amp;装备!B185&amp;"'")</f>
        <v>'IF02'</v>
      </c>
      <c r="B129">
        <f>装备!D186</f>
        <v>0</v>
      </c>
      <c r="C129">
        <f>装备!E185</f>
        <v>0</v>
      </c>
      <c r="D129">
        <f>装备!F185</f>
        <v>0</v>
      </c>
      <c r="E129">
        <f>IF(ISTEXT(装备!G185)=TRUE,"'"&amp;装备!G185&amp;"'",装备!G185)</f>
        <v>0</v>
      </c>
      <c r="F129">
        <f>IF(ISTEXT(装备!H185)=TRUE,"'"&amp;装备!H185&amp;"'",装备!H185)</f>
        <v>0</v>
      </c>
      <c r="G129">
        <f>IF(装备!I185="",0,"'"&amp;装备!I185&amp;"'")</f>
        <v>0</v>
      </c>
      <c r="H129">
        <f>IF(装备!R185="",0,装备!R185)</f>
        <v>0</v>
      </c>
      <c r="I129">
        <f>IF(装备!S185="",0,装备!S185)</f>
        <v>0</v>
      </c>
      <c r="J129" t="str">
        <f>IF(装备!C185="",0,""""&amp;装备!C185&amp;"""")</f>
        <v>"法强"</v>
      </c>
      <c r="K129" t="str">
        <f>IF(装备!T185="","""""",""""&amp;装备!T185&amp;"""")</f>
        <v>""</v>
      </c>
      <c r="L129">
        <f>IF(装备!U185="",0,""""&amp;装备!U185&amp;"""")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IF(装备!B186="",0,"'"&amp;装备!B186&amp;"'")</f>
        <v>'IF03'</v>
      </c>
      <c r="B130">
        <f>装备!D187</f>
        <v>0</v>
      </c>
      <c r="C130">
        <f>装备!E186</f>
        <v>0</v>
      </c>
      <c r="D130">
        <f>装备!F186</f>
        <v>0</v>
      </c>
      <c r="E130">
        <f>IF(ISTEXT(装备!G186)=TRUE,"'"&amp;装备!G186&amp;"'",装备!G186)</f>
        <v>0</v>
      </c>
      <c r="F130">
        <f>IF(ISTEXT(装备!H186)=TRUE,"'"&amp;装备!H186&amp;"'",装备!H186)</f>
        <v>0</v>
      </c>
      <c r="G130">
        <f>IF(装备!I186="",0,"'"&amp;装备!I186&amp;"'")</f>
        <v>0</v>
      </c>
      <c r="H130">
        <f>IF(装备!R186="",0,装备!R186)</f>
        <v>0</v>
      </c>
      <c r="I130">
        <f>IF(装备!S186="",0,装备!S186)</f>
        <v>0</v>
      </c>
      <c r="J130" t="str">
        <f>IF(装备!C186="",0,""""&amp;装备!C186&amp;"""")</f>
        <v>"攻击"</v>
      </c>
      <c r="K130" t="str">
        <f>IF(装备!T186="","""""",""""&amp;装备!T186&amp;"""")</f>
        <v>""</v>
      </c>
      <c r="L130">
        <f>IF(装备!U186="",0,""""&amp;装备!U186&amp;"""")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IF(装备!B187="",0,"'"&amp;装备!B187&amp;"'")</f>
        <v>'IF04'</v>
      </c>
      <c r="B131">
        <f>装备!D188</f>
        <v>0</v>
      </c>
      <c r="C131">
        <f>装备!E187</f>
        <v>0</v>
      </c>
      <c r="D131">
        <f>装备!F187</f>
        <v>0</v>
      </c>
      <c r="E131">
        <f>IF(ISTEXT(装备!G187)=TRUE,"'"&amp;装备!G187&amp;"'",装备!G187)</f>
        <v>0</v>
      </c>
      <c r="F131">
        <f>IF(ISTEXT(装备!H187)=TRUE,"'"&amp;装备!H187&amp;"'",装备!H187)</f>
        <v>0</v>
      </c>
      <c r="G131">
        <f>IF(装备!I187="",0,"'"&amp;装备!I187&amp;"'")</f>
        <v>0</v>
      </c>
      <c r="H131">
        <f>IF(装备!R187="",0,装备!R187)</f>
        <v>0</v>
      </c>
      <c r="I131">
        <f>IF(装备!S187="",0,装备!S187)</f>
        <v>0</v>
      </c>
      <c r="J131" t="str">
        <f>IF(装备!C187="",0,""""&amp;装备!C187&amp;"""")</f>
        <v>"法强"</v>
      </c>
      <c r="K131" t="str">
        <f>IF(装备!T187="","""""",""""&amp;装备!T187&amp;"""")</f>
        <v>""</v>
      </c>
      <c r="L131">
        <f>IF(装备!U187="",0,""""&amp;装备!U187&amp;"""")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IF(装备!B188="",0,"'"&amp;装备!B188&amp;"'")</f>
        <v>'IF05'</v>
      </c>
      <c r="B132">
        <f>装备!D189</f>
        <v>0</v>
      </c>
      <c r="C132">
        <f>装备!E188</f>
        <v>0</v>
      </c>
      <c r="D132">
        <f>装备!F188</f>
        <v>0</v>
      </c>
      <c r="E132">
        <f>IF(ISTEXT(装备!G188)=TRUE,"'"&amp;装备!G188&amp;"'",装备!G188)</f>
        <v>0</v>
      </c>
      <c r="F132">
        <f>IF(ISTEXT(装备!H188)=TRUE,"'"&amp;装备!H188&amp;"'",装备!H188)</f>
        <v>0</v>
      </c>
      <c r="G132">
        <f>IF(装备!I188="",0,"'"&amp;装备!I188&amp;"'")</f>
        <v>0</v>
      </c>
      <c r="H132">
        <f>IF(装备!R188="",0,装备!R188)</f>
        <v>0</v>
      </c>
      <c r="I132">
        <f>IF(装备!S188="",0,装备!S188)</f>
        <v>0</v>
      </c>
      <c r="J132" t="str">
        <f>IF(装备!C188="",0,""""&amp;装备!C188&amp;"""")</f>
        <v>"攻击"</v>
      </c>
      <c r="K132" t="str">
        <f>IF(装备!T188="","""""",""""&amp;装备!T188&amp;"""")</f>
        <v>""</v>
      </c>
      <c r="L132">
        <f>IF(装备!U188="",0,""""&amp;装备!U188&amp;"""")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IF(装备!B189="",0,"'"&amp;装备!B189&amp;"'")</f>
        <v>'IF06'</v>
      </c>
      <c r="B133">
        <f>装备!D190</f>
        <v>0</v>
      </c>
      <c r="C133">
        <f>装备!E189</f>
        <v>0</v>
      </c>
      <c r="D133">
        <f>装备!F189</f>
        <v>0</v>
      </c>
      <c r="E133">
        <f>IF(ISTEXT(装备!G189)=TRUE,"'"&amp;装备!G189&amp;"'",装备!G189)</f>
        <v>0</v>
      </c>
      <c r="F133">
        <f>IF(ISTEXT(装备!H189)=TRUE,"'"&amp;装备!H189&amp;"'",装备!H189)</f>
        <v>0</v>
      </c>
      <c r="G133">
        <f>IF(装备!I189="",0,"'"&amp;装备!I189&amp;"'")</f>
        <v>0</v>
      </c>
      <c r="H133">
        <f>IF(装备!R189="",0,装备!R189)</f>
        <v>0</v>
      </c>
      <c r="I133">
        <f>IF(装备!S189="",0,装备!S189)</f>
        <v>0</v>
      </c>
      <c r="J133" t="str">
        <f>IF(装备!C189="",0,""""&amp;装备!C189&amp;"""")</f>
        <v>"法强"</v>
      </c>
      <c r="K133" t="str">
        <f>IF(装备!T189="","""""",""""&amp;装备!T189&amp;"""")</f>
        <v>""</v>
      </c>
      <c r="L133">
        <f>IF(装备!U189="",0,""""&amp;装备!U189&amp;"""")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IF(装备!B190="",0,"'"&amp;装备!B190&amp;"'")</f>
        <v>'IF07'</v>
      </c>
      <c r="B134">
        <f>装备!D191</f>
        <v>0</v>
      </c>
      <c r="C134">
        <f>装备!E190</f>
        <v>0</v>
      </c>
      <c r="D134">
        <f>装备!F190</f>
        <v>0</v>
      </c>
      <c r="E134">
        <f>IF(ISTEXT(装备!G190)=TRUE,"'"&amp;装备!G190&amp;"'",装备!G190)</f>
        <v>0</v>
      </c>
      <c r="F134">
        <f>IF(ISTEXT(装备!H190)=TRUE,"'"&amp;装备!H190&amp;"'",装备!H190)</f>
        <v>0</v>
      </c>
      <c r="G134">
        <f>IF(装备!I190="",0,"'"&amp;装备!I190&amp;"'")</f>
        <v>0</v>
      </c>
      <c r="H134">
        <f>IF(装备!R190="",0,装备!R190)</f>
        <v>0</v>
      </c>
      <c r="I134">
        <f>IF(装备!S190="",0,装备!S190)</f>
        <v>0</v>
      </c>
      <c r="J134" t="str">
        <f>IF(装备!C190="",0,""""&amp;装备!C190&amp;"""")</f>
        <v>"攻击"</v>
      </c>
      <c r="K134" t="str">
        <f>IF(装备!T190="","""""",""""&amp;装备!T190&amp;"""")</f>
        <v>""</v>
      </c>
      <c r="L134">
        <f>IF(装备!U190="",0,""""&amp;装备!U190&amp;"""")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IF(装备!B191="",0,"'"&amp;装备!B191&amp;"'")</f>
        <v>'IF08'</v>
      </c>
      <c r="B135">
        <f>装备!D192</f>
        <v>0</v>
      </c>
      <c r="C135">
        <f>装备!E191</f>
        <v>0</v>
      </c>
      <c r="D135">
        <f>装备!F191</f>
        <v>0</v>
      </c>
      <c r="E135">
        <f>IF(ISTEXT(装备!G191)=TRUE,"'"&amp;装备!G191&amp;"'",装备!G191)</f>
        <v>0</v>
      </c>
      <c r="F135">
        <f>IF(ISTEXT(装备!H191)=TRUE,"'"&amp;装备!H191&amp;"'",装备!H191)</f>
        <v>0</v>
      </c>
      <c r="G135">
        <f>IF(装备!I191="",0,"'"&amp;装备!I191&amp;"'")</f>
        <v>0</v>
      </c>
      <c r="H135">
        <f>IF(装备!R191="",0,装备!R191)</f>
        <v>0</v>
      </c>
      <c r="I135">
        <f>IF(装备!S191="",0,装备!S191)</f>
        <v>0</v>
      </c>
      <c r="J135" t="str">
        <f>IF(装备!C191="",0,""""&amp;装备!C191&amp;"""")</f>
        <v>"法强"</v>
      </c>
      <c r="K135" t="str">
        <f>IF(装备!T191="","""""",""""&amp;装备!T191&amp;"""")</f>
        <v>""</v>
      </c>
      <c r="L135">
        <f>IF(装备!U191="",0,""""&amp;装备!U191&amp;"""")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IF(装备!B192="",0,"'"&amp;装备!B192&amp;"'")</f>
        <v>'IF09'</v>
      </c>
      <c r="B136">
        <f>装备!D193</f>
        <v>0</v>
      </c>
      <c r="C136">
        <f>装备!E192</f>
        <v>0</v>
      </c>
      <c r="D136">
        <f>装备!F192</f>
        <v>0</v>
      </c>
      <c r="E136">
        <f>IF(ISTEXT(装备!G192)=TRUE,"'"&amp;装备!G192&amp;"'",装备!G192)</f>
        <v>0</v>
      </c>
      <c r="F136">
        <f>IF(ISTEXT(装备!H192)=TRUE,"'"&amp;装备!H192&amp;"'",装备!H192)</f>
        <v>0</v>
      </c>
      <c r="G136">
        <f>IF(装备!I192="",0,"'"&amp;装备!I192&amp;"'")</f>
        <v>0</v>
      </c>
      <c r="H136">
        <f>IF(装备!R192="",0,装备!R192)</f>
        <v>0</v>
      </c>
      <c r="I136">
        <f>IF(装备!S192="",0,装备!S192)</f>
        <v>0</v>
      </c>
      <c r="J136" t="str">
        <f>IF(装备!C192="",0,""""&amp;装备!C192&amp;"""")</f>
        <v>"攻击"</v>
      </c>
      <c r="K136" t="str">
        <f>IF(装备!T192="","""""",""""&amp;装备!T192&amp;"""")</f>
        <v>""</v>
      </c>
      <c r="L136">
        <f>IF(装备!U192="",0,""""&amp;装备!U192&amp;"""")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IF(装备!B193="",0,"'"&amp;装备!B193&amp;"'")</f>
        <v>'IF10'</v>
      </c>
      <c r="B137">
        <f>装备!D194</f>
        <v>0</v>
      </c>
      <c r="C137">
        <f>装备!E193</f>
        <v>0</v>
      </c>
      <c r="D137">
        <f>装备!F193</f>
        <v>0</v>
      </c>
      <c r="E137">
        <f>IF(ISTEXT(装备!G193)=TRUE,"'"&amp;装备!G193&amp;"'",装备!G193)</f>
        <v>0</v>
      </c>
      <c r="F137">
        <f>IF(ISTEXT(装备!H193)=TRUE,"'"&amp;装备!H193&amp;"'",装备!H193)</f>
        <v>0</v>
      </c>
      <c r="G137">
        <f>IF(装备!I193="",0,"'"&amp;装备!I193&amp;"'")</f>
        <v>0</v>
      </c>
      <c r="H137">
        <f>IF(装备!R193="",0,装备!R193)</f>
        <v>0</v>
      </c>
      <c r="I137">
        <f>IF(装备!S193="",0,装备!S193)</f>
        <v>0</v>
      </c>
      <c r="J137" t="str">
        <f>IF(装备!C193="",0,""""&amp;装备!C193&amp;"""")</f>
        <v>"法强"</v>
      </c>
      <c r="K137" t="str">
        <f>IF(装备!T193="","""""",""""&amp;装备!T193&amp;"""")</f>
        <v>""</v>
      </c>
      <c r="L137">
        <f>IF(装备!U193="",0,""""&amp;装备!U193&amp;"""")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IF(装备!B194="",0,"'"&amp;装备!B194&amp;"'")</f>
        <v>'IF11'</v>
      </c>
      <c r="B138">
        <f>装备!D195</f>
        <v>0</v>
      </c>
      <c r="C138">
        <f>装备!E194</f>
        <v>0</v>
      </c>
      <c r="D138">
        <f>装备!F194</f>
        <v>0</v>
      </c>
      <c r="E138">
        <f>IF(ISTEXT(装备!G194)=TRUE,"'"&amp;装备!G194&amp;"'",装备!G194)</f>
        <v>0</v>
      </c>
      <c r="F138">
        <f>IF(ISTEXT(装备!H194)=TRUE,"'"&amp;装备!H194&amp;"'",装备!H194)</f>
        <v>0</v>
      </c>
      <c r="G138">
        <f>IF(装备!I194="",0,"'"&amp;装备!I194&amp;"'")</f>
        <v>0</v>
      </c>
      <c r="H138">
        <f>IF(装备!R194="",0,装备!R194)</f>
        <v>0</v>
      </c>
      <c r="I138">
        <f>IF(装备!S194="",0,装备!S194)</f>
        <v>0</v>
      </c>
      <c r="J138" t="str">
        <f>IF(装备!C194="",0,""""&amp;装备!C194&amp;"""")</f>
        <v>"攻击和法强"</v>
      </c>
      <c r="K138" t="str">
        <f>IF(装备!T194="","""""",""""&amp;装备!T194&amp;"""")</f>
        <v>""</v>
      </c>
      <c r="L138">
        <f>IF(装备!U194="",0,""""&amp;装备!U194&amp;"""")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IF(装备!B195="",0,"'"&amp;装备!B195&amp;"'")</f>
        <v>'IF12'</v>
      </c>
      <c r="B139">
        <f>装备!D196</f>
        <v>0</v>
      </c>
      <c r="C139">
        <f>装备!E195</f>
        <v>0</v>
      </c>
      <c r="D139">
        <f>装备!F195</f>
        <v>0</v>
      </c>
      <c r="E139">
        <f>IF(ISTEXT(装备!G195)=TRUE,"'"&amp;装备!G195&amp;"'",装备!G195)</f>
        <v>0</v>
      </c>
      <c r="F139">
        <f>IF(ISTEXT(装备!H195)=TRUE,"'"&amp;装备!H195&amp;"'",装备!H195)</f>
        <v>0</v>
      </c>
      <c r="G139">
        <f>IF(装备!I195="",0,"'"&amp;装备!I195&amp;"'")</f>
        <v>0</v>
      </c>
      <c r="H139">
        <f>IF(装备!R195="",0,装备!R195)</f>
        <v>0</v>
      </c>
      <c r="I139">
        <f>IF(装备!S195="",0,装备!S195)</f>
        <v>0</v>
      </c>
      <c r="J139" t="str">
        <f>IF(装备!C195="",0,""""&amp;装备!C195&amp;"""")</f>
        <v>"暴击"</v>
      </c>
      <c r="K139" t="str">
        <f>IF(装备!T195="","""""",""""&amp;装备!T195&amp;"""")</f>
        <v>""</v>
      </c>
      <c r="L139">
        <f>IF(装备!U195="",0,""""&amp;装备!U195&amp;"""")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IF(装备!B196="",0,"'"&amp;装备!B196&amp;"'")</f>
        <v>'IF13'</v>
      </c>
      <c r="B140">
        <f>装备!D197</f>
        <v>0</v>
      </c>
      <c r="C140">
        <f>装备!E196</f>
        <v>0</v>
      </c>
      <c r="D140">
        <f>装备!F196</f>
        <v>0</v>
      </c>
      <c r="E140">
        <f>IF(ISTEXT(装备!G196)=TRUE,"'"&amp;装备!G196&amp;"'",装备!G196)</f>
        <v>0</v>
      </c>
      <c r="F140">
        <f>IF(ISTEXT(装备!H196)=TRUE,"'"&amp;装备!H196&amp;"'",装备!H196)</f>
        <v>0</v>
      </c>
      <c r="G140">
        <f>IF(装备!I196="",0,"'"&amp;装备!I196&amp;"'")</f>
        <v>0</v>
      </c>
      <c r="H140">
        <f>IF(装备!R196="",0,装备!R196)</f>
        <v>0</v>
      </c>
      <c r="I140">
        <f>IF(装备!S196="",0,装备!S196)</f>
        <v>0</v>
      </c>
      <c r="J140" t="str">
        <f>IF(装备!C196="",0,""""&amp;装备!C196&amp;"""")</f>
        <v>"爆伤"</v>
      </c>
      <c r="K140" t="str">
        <f>IF(装备!T196="","""""",""""&amp;装备!T196&amp;"""")</f>
        <v>""</v>
      </c>
      <c r="L140">
        <f>IF(装备!U196="",0,""""&amp;装备!U196&amp;"""")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IF(装备!B197="",0,"'"&amp;装备!B197&amp;"'")</f>
        <v>'IF14'</v>
      </c>
      <c r="B141">
        <f>装备!D198</f>
        <v>0</v>
      </c>
      <c r="C141">
        <f>装备!E197</f>
        <v>0</v>
      </c>
      <c r="D141">
        <f>装备!F197</f>
        <v>0</v>
      </c>
      <c r="E141">
        <f>IF(ISTEXT(装备!G197)=TRUE,"'"&amp;装备!G197&amp;"'",装备!G197)</f>
        <v>0</v>
      </c>
      <c r="F141">
        <f>IF(ISTEXT(装备!H197)=TRUE,"'"&amp;装备!H197&amp;"'",装备!H197)</f>
        <v>0</v>
      </c>
      <c r="G141">
        <f>IF(装备!I197="",0,"'"&amp;装备!I197&amp;"'")</f>
        <v>0</v>
      </c>
      <c r="H141">
        <f>IF(装备!R197="",0,装备!R197)</f>
        <v>0</v>
      </c>
      <c r="I141">
        <f>IF(装备!S197="",0,装备!S197)</f>
        <v>0</v>
      </c>
      <c r="J141" t="str">
        <f>IF(装备!C197="",0,""""&amp;装备!C197&amp;"""")</f>
        <v>"爆伤"</v>
      </c>
      <c r="K141" t="str">
        <f>IF(装备!T197="","""""",""""&amp;装备!T197&amp;"""")</f>
        <v>""</v>
      </c>
      <c r="L141">
        <f>IF(装备!U197="",0,""""&amp;装备!U197&amp;"""")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IF(装备!B198="",0,"'"&amp;装备!B198&amp;"'")</f>
        <v>'IF15'</v>
      </c>
      <c r="B142">
        <f>装备!D199</f>
        <v>0</v>
      </c>
      <c r="C142">
        <f>装备!E198</f>
        <v>0</v>
      </c>
      <c r="D142">
        <f>装备!F198</f>
        <v>0</v>
      </c>
      <c r="E142">
        <f>IF(ISTEXT(装备!G198)=TRUE,"'"&amp;装备!G198&amp;"'",装备!G198)</f>
        <v>0</v>
      </c>
      <c r="F142">
        <f>IF(ISTEXT(装备!H198)=TRUE,"'"&amp;装备!H198&amp;"'",装备!H198)</f>
        <v>0</v>
      </c>
      <c r="G142">
        <f>IF(装备!I198="",0,"'"&amp;装备!I198&amp;"'")</f>
        <v>0</v>
      </c>
      <c r="H142">
        <f>IF(装备!R198="",0,装备!R198)</f>
        <v>0</v>
      </c>
      <c r="I142">
        <f>IF(装备!S198="",0,装备!S198)</f>
        <v>0</v>
      </c>
      <c r="J142" t="str">
        <f>IF(装备!C198="",0,""""&amp;装备!C198&amp;"""")</f>
        <v>"爆伤"</v>
      </c>
      <c r="K142" t="str">
        <f>IF(装备!T198="","""""",""""&amp;装备!T198&amp;"""")</f>
        <v>""</v>
      </c>
      <c r="L142">
        <f>IF(装备!U198="",0,""""&amp;装备!U198&amp;"""")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IF(装备!B199="",0,"'"&amp;装备!B199&amp;"'")</f>
        <v>'IF16'</v>
      </c>
      <c r="B143">
        <f>装备!D200</f>
        <v>0</v>
      </c>
      <c r="C143">
        <f>装备!E199</f>
        <v>0</v>
      </c>
      <c r="D143">
        <f>装备!F199</f>
        <v>0</v>
      </c>
      <c r="E143">
        <f>IF(ISTEXT(装备!G199)=TRUE,"'"&amp;装备!G199&amp;"'",装备!G199)</f>
        <v>0</v>
      </c>
      <c r="F143">
        <f>IF(ISTEXT(装备!H199)=TRUE,"'"&amp;装备!H199&amp;"'",装备!H199)</f>
        <v>0</v>
      </c>
      <c r="G143">
        <f>IF(装备!I199="",0,"'"&amp;装备!I199&amp;"'")</f>
        <v>0</v>
      </c>
      <c r="H143">
        <f>IF(装备!R199="",0,装备!R199)</f>
        <v>0</v>
      </c>
      <c r="I143">
        <f>IF(装备!S199="",0,装备!S199)</f>
        <v>0</v>
      </c>
      <c r="J143" t="str">
        <f>IF(装备!C199="",0,""""&amp;装备!C199&amp;"""")</f>
        <v>"冷却缩减"</v>
      </c>
      <c r="K143" t="str">
        <f>IF(装备!T199="","""""",""""&amp;装备!T199&amp;"""")</f>
        <v>""</v>
      </c>
      <c r="L143">
        <f>IF(装备!U199="",0,""""&amp;装备!U199&amp;"""")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IF(装备!B200="",0,"'"&amp;装备!B200&amp;"'")</f>
        <v>'IF17'</v>
      </c>
      <c r="B144">
        <f>装备!D201</f>
        <v>0</v>
      </c>
      <c r="C144">
        <f>装备!E200</f>
        <v>0</v>
      </c>
      <c r="D144">
        <f>装备!F200</f>
        <v>0</v>
      </c>
      <c r="E144">
        <f>IF(ISTEXT(装备!G200)=TRUE,"'"&amp;装备!G200&amp;"'",装备!G200)</f>
        <v>0</v>
      </c>
      <c r="F144">
        <f>IF(ISTEXT(装备!H200)=TRUE,"'"&amp;装备!H200&amp;"'",装备!H200)</f>
        <v>0</v>
      </c>
      <c r="G144">
        <f>IF(装备!I200="",0,"'"&amp;装备!I200&amp;"'")</f>
        <v>0</v>
      </c>
      <c r="H144">
        <f>IF(装备!R200="",0,装备!R200)</f>
        <v>0</v>
      </c>
      <c r="I144">
        <f>IF(装备!S200="",0,装备!S200)</f>
        <v>0</v>
      </c>
      <c r="J144" t="str">
        <f>IF(装备!C200="",0,""""&amp;装备!C200&amp;"""")</f>
        <v>"冷却缩减"</v>
      </c>
      <c r="K144" t="str">
        <f>IF(装备!T200="","""""",""""&amp;装备!T200&amp;"""")</f>
        <v>""</v>
      </c>
      <c r="L144">
        <f>IF(装备!U200="",0,""""&amp;装备!U200&amp;"""")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IF(装备!B201="",0,"'"&amp;装备!B201&amp;"'")</f>
        <v>'IF18'</v>
      </c>
      <c r="B145">
        <f>装备!D202</f>
        <v>0</v>
      </c>
      <c r="C145">
        <f>装备!E201</f>
        <v>0</v>
      </c>
      <c r="D145">
        <f>装备!F201</f>
        <v>0</v>
      </c>
      <c r="E145">
        <f>IF(ISTEXT(装备!G201)=TRUE,"'"&amp;装备!G201&amp;"'",装备!G201)</f>
        <v>0</v>
      </c>
      <c r="F145">
        <f>IF(ISTEXT(装备!H201)=TRUE,"'"&amp;装备!H201&amp;"'",装备!H201)</f>
        <v>0</v>
      </c>
      <c r="G145">
        <f>IF(装备!I201="",0,"'"&amp;装备!I201&amp;"'")</f>
        <v>0</v>
      </c>
      <c r="H145">
        <f>IF(装备!R201="",0,装备!R201)</f>
        <v>0</v>
      </c>
      <c r="I145">
        <f>IF(装备!S201="",0,装备!S201)</f>
        <v>0</v>
      </c>
      <c r="J145" t="str">
        <f>IF(装备!C201="",0,""""&amp;装备!C201&amp;"""")</f>
        <v>"攻击速度"</v>
      </c>
      <c r="K145" t="str">
        <f>IF(装备!T201="","""""",""""&amp;装备!T201&amp;"""")</f>
        <v>""</v>
      </c>
      <c r="L145">
        <f>IF(装备!U201="",0,""""&amp;装备!U201&amp;"""")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IF(装备!B202="",0,"'"&amp;装备!B202&amp;"'")</f>
        <v>'IF19'</v>
      </c>
      <c r="B146">
        <f>装备!D203</f>
        <v>0</v>
      </c>
      <c r="C146">
        <f>装备!E202</f>
        <v>0</v>
      </c>
      <c r="D146">
        <f>装备!F202</f>
        <v>0</v>
      </c>
      <c r="E146">
        <f>IF(ISTEXT(装备!G202)=TRUE,"'"&amp;装备!G202&amp;"'",装备!G202)</f>
        <v>0</v>
      </c>
      <c r="F146">
        <f>IF(ISTEXT(装备!H202)=TRUE,"'"&amp;装备!H202&amp;"'",装备!H202)</f>
        <v>0</v>
      </c>
      <c r="G146">
        <f>IF(装备!I202="",0,"'"&amp;装备!I202&amp;"'")</f>
        <v>0</v>
      </c>
      <c r="H146">
        <f>IF(装备!R202="",0,装备!R202)</f>
        <v>0</v>
      </c>
      <c r="I146">
        <f>IF(装备!S202="",0,装备!S202)</f>
        <v>0</v>
      </c>
      <c r="J146" t="str">
        <f>IF(装备!C202="",0,""""&amp;装备!C202&amp;"""")</f>
        <v>"攻击速度"</v>
      </c>
      <c r="K146" t="str">
        <f>IF(装备!T202="","""""",""""&amp;装备!T202&amp;"""")</f>
        <v>""</v>
      </c>
      <c r="L146">
        <f>IF(装备!U202="",0,""""&amp;装备!U202&amp;"""")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IF(装备!B203="",0,"'"&amp;装备!B203&amp;"'")</f>
        <v>'IF20'</v>
      </c>
      <c r="B147">
        <f>装备!D204</f>
        <v>0</v>
      </c>
      <c r="C147">
        <f>装备!E203</f>
        <v>0</v>
      </c>
      <c r="D147">
        <f>装备!F203</f>
        <v>0</v>
      </c>
      <c r="E147">
        <f>IF(ISTEXT(装备!G203)=TRUE,"'"&amp;装备!G203&amp;"'",装备!G203)</f>
        <v>0</v>
      </c>
      <c r="F147">
        <f>IF(ISTEXT(装备!H203)=TRUE,"'"&amp;装备!H203&amp;"'",装备!H203)</f>
        <v>0</v>
      </c>
      <c r="G147">
        <f>IF(装备!I203="",0,"'"&amp;装备!I203&amp;"'")</f>
        <v>0</v>
      </c>
      <c r="H147">
        <f>IF(装备!R203="",0,装备!R203)</f>
        <v>0</v>
      </c>
      <c r="I147">
        <f>IF(装备!S203="",0,装备!S203)</f>
        <v>0</v>
      </c>
      <c r="J147" t="str">
        <f>IF(装备!C203="",0,""""&amp;装备!C203&amp;"""")</f>
        <v>"普攻伤害"</v>
      </c>
      <c r="K147" t="str">
        <f>IF(装备!T203="","""""",""""&amp;装备!T203&amp;"""")</f>
        <v>""</v>
      </c>
      <c r="L147">
        <f>IF(装备!U203="",0,""""&amp;装备!U203&amp;"""")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IF(装备!B204="",0,"'"&amp;装备!B204&amp;"'")</f>
        <v>'IF21'</v>
      </c>
      <c r="B148">
        <f>装备!D205</f>
        <v>0</v>
      </c>
      <c r="C148">
        <f>装备!E204</f>
        <v>0</v>
      </c>
      <c r="D148">
        <f>装备!F204</f>
        <v>0</v>
      </c>
      <c r="E148">
        <f>IF(ISTEXT(装备!G204)=TRUE,"'"&amp;装备!G204&amp;"'",装备!G204)</f>
        <v>0</v>
      </c>
      <c r="F148">
        <f>IF(ISTEXT(装备!H204)=TRUE,"'"&amp;装备!H204&amp;"'",装备!H204)</f>
        <v>0</v>
      </c>
      <c r="G148">
        <f>IF(装备!I204="",0,"'"&amp;装备!I204&amp;"'")</f>
        <v>0</v>
      </c>
      <c r="H148">
        <f>IF(装备!R204="",0,装备!R204)</f>
        <v>0</v>
      </c>
      <c r="I148">
        <f>IF(装备!S204="",0,装备!S204)</f>
        <v>0</v>
      </c>
      <c r="J148" t="str">
        <f>IF(装备!C204="",0,""""&amp;装备!C204&amp;"""")</f>
        <v>"普攻伤害"</v>
      </c>
      <c r="K148" t="str">
        <f>IF(装备!T204="","""""",""""&amp;装备!T204&amp;"""")</f>
        <v>""</v>
      </c>
      <c r="L148">
        <f>IF(装备!U204="",0,""""&amp;装备!U204&amp;"""")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IF(装备!B205="",0,"'"&amp;装备!B205&amp;"'")</f>
        <v>'IF22'</v>
      </c>
      <c r="B149">
        <f>装备!D206</f>
        <v>0</v>
      </c>
      <c r="C149">
        <f>装备!E205</f>
        <v>0</v>
      </c>
      <c r="D149">
        <f>装备!F205</f>
        <v>0</v>
      </c>
      <c r="E149">
        <f>IF(ISTEXT(装备!G205)=TRUE,"'"&amp;装备!G205&amp;"'",装备!G205)</f>
        <v>0</v>
      </c>
      <c r="F149">
        <f>IF(ISTEXT(装备!H205)=TRUE,"'"&amp;装备!H205&amp;"'",装备!H205)</f>
        <v>0</v>
      </c>
      <c r="G149">
        <f>IF(装备!I205="",0,"'"&amp;装备!I205&amp;"'")</f>
        <v>0</v>
      </c>
      <c r="H149">
        <f>IF(装备!R205="",0,装备!R205)</f>
        <v>0</v>
      </c>
      <c r="I149">
        <f>IF(装备!S205="",0,装备!S205)</f>
        <v>0</v>
      </c>
      <c r="J149" t="str">
        <f>IF(装备!C205="",0,""""&amp;装备!C205&amp;"""")</f>
        <v>"回蓝"</v>
      </c>
      <c r="K149" t="str">
        <f>IF(装备!T205="","""""",""""&amp;装备!T205&amp;"""")</f>
        <v>""</v>
      </c>
      <c r="L149">
        <f>IF(装备!U205="",0,""""&amp;装备!U205&amp;"""")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IF(装备!B206="",0,"'"&amp;装备!B206&amp;"'")</f>
        <v>'IF23'</v>
      </c>
      <c r="B150">
        <f>装备!D207</f>
        <v>0</v>
      </c>
      <c r="C150">
        <f>装备!E206</f>
        <v>0</v>
      </c>
      <c r="D150">
        <f>装备!F206</f>
        <v>0</v>
      </c>
      <c r="E150">
        <f>IF(ISTEXT(装备!G206)=TRUE,"'"&amp;装备!G206&amp;"'",装备!G206)</f>
        <v>0</v>
      </c>
      <c r="F150">
        <f>IF(ISTEXT(装备!H206)=TRUE,"'"&amp;装备!H206&amp;"'",装备!H206)</f>
        <v>0</v>
      </c>
      <c r="G150">
        <f>IF(装备!I206="",0,"'"&amp;装备!I206&amp;"'")</f>
        <v>0</v>
      </c>
      <c r="H150">
        <f>IF(装备!R206="",0,装备!R206)</f>
        <v>0</v>
      </c>
      <c r="I150">
        <f>IF(装备!S206="",0,装备!S206)</f>
        <v>0</v>
      </c>
      <c r="J150" t="str">
        <f>IF(装备!C206="",0,""""&amp;装备!C206&amp;"""")</f>
        <v>"回蓝"</v>
      </c>
      <c r="K150" t="str">
        <f>IF(装备!T206="","""""",""""&amp;装备!T206&amp;"""")</f>
        <v>""</v>
      </c>
      <c r="L150">
        <f>IF(装备!U206="",0,""""&amp;装备!U206&amp;"""")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IF(装备!B207="",0,"'"&amp;装备!B207&amp;"'")</f>
        <v>'IF24'</v>
      </c>
      <c r="B151">
        <f>装备!D208</f>
        <v>0</v>
      </c>
      <c r="C151">
        <f>装备!E207</f>
        <v>0</v>
      </c>
      <c r="D151">
        <f>装备!F207</f>
        <v>0</v>
      </c>
      <c r="E151">
        <f>IF(ISTEXT(装备!G207)=TRUE,"'"&amp;装备!G207&amp;"'",装备!G207)</f>
        <v>0</v>
      </c>
      <c r="F151">
        <f>IF(ISTEXT(装备!H207)=TRUE,"'"&amp;装备!H207&amp;"'",装备!H207)</f>
        <v>0</v>
      </c>
      <c r="G151">
        <f>IF(装备!I207="",0,"'"&amp;装备!I207&amp;"'")</f>
        <v>0</v>
      </c>
      <c r="H151">
        <f>IF(装备!R207="",0,装备!R207)</f>
        <v>0</v>
      </c>
      <c r="I151">
        <f>IF(装备!S207="",0,装备!S207)</f>
        <v>0</v>
      </c>
      <c r="J151" t="str">
        <f>IF(装备!C207="",0,""""&amp;装备!C207&amp;"""")</f>
        <v>"生命回复"</v>
      </c>
      <c r="K151" t="str">
        <f>IF(装备!T207="","""""",""""&amp;装备!T207&amp;"""")</f>
        <v>""</v>
      </c>
      <c r="L151">
        <f>IF(装备!U207="",0,""""&amp;装备!U207&amp;"""")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IF(装备!B208="",0,"'"&amp;装备!B208&amp;"'")</f>
        <v>'IF25'</v>
      </c>
      <c r="B152">
        <f>装备!D209</f>
        <v>0</v>
      </c>
      <c r="C152">
        <f>装备!E208</f>
        <v>0</v>
      </c>
      <c r="D152">
        <f>装备!F208</f>
        <v>0</v>
      </c>
      <c r="E152">
        <f>IF(ISTEXT(装备!G208)=TRUE,"'"&amp;装备!G208&amp;"'",装备!G208)</f>
        <v>0</v>
      </c>
      <c r="F152">
        <f>IF(ISTEXT(装备!H208)=TRUE,"'"&amp;装备!H208&amp;"'",装备!H208)</f>
        <v>0</v>
      </c>
      <c r="G152">
        <f>IF(装备!I208="",0,"'"&amp;装备!I208&amp;"'")</f>
        <v>0</v>
      </c>
      <c r="H152">
        <f>IF(装备!R208="",0,装备!R208)</f>
        <v>0</v>
      </c>
      <c r="I152">
        <f>IF(装备!S208="",0,装备!S208)</f>
        <v>0</v>
      </c>
      <c r="J152" t="str">
        <f>IF(装备!C208="",0,""""&amp;装备!C208&amp;"""")</f>
        <v>"伤害吸血"</v>
      </c>
      <c r="K152" t="str">
        <f>IF(装备!T208="","""""",""""&amp;装备!T208&amp;"""")</f>
        <v>""</v>
      </c>
      <c r="L152">
        <f>IF(装备!U208="",0,""""&amp;装备!U208&amp;"""")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IF(装备!B209="",0,"'"&amp;装备!B209&amp;"'")</f>
        <v>'IF26'</v>
      </c>
      <c r="B153">
        <f>装备!D210</f>
        <v>0</v>
      </c>
      <c r="C153">
        <f>装备!E209</f>
        <v>0</v>
      </c>
      <c r="D153">
        <f>装备!F209</f>
        <v>0</v>
      </c>
      <c r="E153">
        <f>IF(ISTEXT(装备!G209)=TRUE,"'"&amp;装备!G209&amp;"'",装备!G209)</f>
        <v>0</v>
      </c>
      <c r="F153">
        <f>IF(ISTEXT(装备!H209)=TRUE,"'"&amp;装备!H209&amp;"'",装备!H209)</f>
        <v>0</v>
      </c>
      <c r="G153">
        <f>IF(装备!I209="",0,"'"&amp;装备!I209&amp;"'")</f>
        <v>0</v>
      </c>
      <c r="H153">
        <f>IF(装备!R209="",0,装备!R209)</f>
        <v>0</v>
      </c>
      <c r="I153">
        <f>IF(装备!S209="",0,装备!S209)</f>
        <v>0</v>
      </c>
      <c r="J153" t="str">
        <f>IF(装备!C209="",0,""""&amp;装备!C209&amp;"""")</f>
        <v>"闪避"</v>
      </c>
      <c r="K153" t="str">
        <f>IF(装备!T209="","""""",""""&amp;装备!T209&amp;"""")</f>
        <v>""</v>
      </c>
      <c r="L153">
        <f>IF(装备!U209="",0,""""&amp;装备!U209&amp;"""")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IF(装备!B210="",0,"'"&amp;装备!B210&amp;"'")</f>
        <v>'IF27'</v>
      </c>
      <c r="B154">
        <f>装备!D211</f>
        <v>0</v>
      </c>
      <c r="C154">
        <f>装备!E210</f>
        <v>0</v>
      </c>
      <c r="D154">
        <f>装备!F210</f>
        <v>0</v>
      </c>
      <c r="E154">
        <f>IF(ISTEXT(装备!G210)=TRUE,"'"&amp;装备!G210&amp;"'",装备!G210)</f>
        <v>0</v>
      </c>
      <c r="F154">
        <f>IF(ISTEXT(装备!H210)=TRUE,"'"&amp;装备!H210&amp;"'",装备!H210)</f>
        <v>0</v>
      </c>
      <c r="G154">
        <f>IF(装备!I210="",0,"'"&amp;装备!I210&amp;"'")</f>
        <v>0</v>
      </c>
      <c r="H154">
        <f>IF(装备!R210="",0,装备!R210)</f>
        <v>0</v>
      </c>
      <c r="I154">
        <f>IF(装备!S210="",0,装备!S210)</f>
        <v>0</v>
      </c>
      <c r="J154" t="str">
        <f>IF(装备!C210="",0,""""&amp;装备!C210&amp;"""")</f>
        <v>"伤害减免"</v>
      </c>
      <c r="K154" t="str">
        <f>IF(装备!T210="","""""",""""&amp;装备!T210&amp;"""")</f>
        <v>""</v>
      </c>
      <c r="L154">
        <f>IF(装备!U210="",0,""""&amp;装备!U210&amp;"""")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IF(装备!B211="",0,"'"&amp;装备!B211&amp;"'")</f>
        <v>0</v>
      </c>
      <c r="B155">
        <f>装备!D212</f>
        <v>0</v>
      </c>
      <c r="C155">
        <f>装备!E211</f>
        <v>0</v>
      </c>
      <c r="D155">
        <f>装备!F211</f>
        <v>0</v>
      </c>
      <c r="E155">
        <f>IF(ISTEXT(装备!G211)=TRUE,"'"&amp;装备!G211&amp;"'",装备!G211)</f>
        <v>0</v>
      </c>
      <c r="F155">
        <f>IF(ISTEXT(装备!H211)=TRUE,"'"&amp;装备!H211&amp;"'",装备!H211)</f>
        <v>0</v>
      </c>
      <c r="G155">
        <f>IF(装备!I211="",0,"'"&amp;装备!I211&amp;"'")</f>
        <v>0</v>
      </c>
      <c r="H155">
        <f>IF(装备!R211="",0,装备!R211)</f>
        <v>0</v>
      </c>
      <c r="I155">
        <f>IF(装备!S211="",0,装备!S211)</f>
        <v>0</v>
      </c>
      <c r="J155">
        <f>IF(装备!C211="",0,""""&amp;装备!C211&amp;"""")</f>
        <v>0</v>
      </c>
      <c r="K155" t="str">
        <f>IF(装备!T211="","""""",""""&amp;装备!T211&amp;"""")</f>
        <v>""</v>
      </c>
      <c r="L155">
        <f>IF(装备!U211="",0,""""&amp;装备!U211&amp;"""")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IF(装备!B212="",0,"'"&amp;装备!B212&amp;"'")</f>
        <v>0</v>
      </c>
      <c r="B156">
        <f>装备!D213</f>
        <v>0</v>
      </c>
      <c r="C156">
        <f>装备!E212</f>
        <v>0</v>
      </c>
      <c r="D156">
        <f>装备!F212</f>
        <v>0</v>
      </c>
      <c r="E156">
        <f>IF(ISTEXT(装备!G212)=TRUE,"'"&amp;装备!G212&amp;"'",装备!G212)</f>
        <v>0</v>
      </c>
      <c r="F156">
        <f>IF(ISTEXT(装备!H212)=TRUE,"'"&amp;装备!H212&amp;"'",装备!H212)</f>
        <v>0</v>
      </c>
      <c r="G156">
        <f>IF(装备!I212="",0,"'"&amp;装备!I212&amp;"'")</f>
        <v>0</v>
      </c>
      <c r="H156">
        <f>IF(装备!R212="",0,装备!R212)</f>
        <v>0</v>
      </c>
      <c r="I156">
        <f>IF(装备!S212="",0,装备!S212)</f>
        <v>0</v>
      </c>
      <c r="J156">
        <f>IF(装备!C212="",0,""""&amp;装备!C212&amp;"""")</f>
        <v>0</v>
      </c>
      <c r="K156" t="str">
        <f>IF(装备!T212="","""""",""""&amp;装备!T212&amp;"""")</f>
        <v>""</v>
      </c>
      <c r="L156">
        <f>IF(装备!U212="",0,""""&amp;装备!U212&amp;"""")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IF(装备!B213="",0,"'"&amp;装备!B213&amp;"'")</f>
        <v>0</v>
      </c>
      <c r="B157">
        <f>装备!D214</f>
        <v>0</v>
      </c>
      <c r="C157">
        <f>装备!E213</f>
        <v>0</v>
      </c>
      <c r="D157">
        <f>装备!F213</f>
        <v>0</v>
      </c>
      <c r="E157">
        <f>IF(ISTEXT(装备!G213)=TRUE,"'"&amp;装备!G213&amp;"'",装备!G213)</f>
        <v>0</v>
      </c>
      <c r="F157">
        <f>IF(ISTEXT(装备!H213)=TRUE,"'"&amp;装备!H213&amp;"'",装备!H213)</f>
        <v>0</v>
      </c>
      <c r="G157">
        <f>IF(装备!I213="",0,"'"&amp;装备!I213&amp;"'")</f>
        <v>0</v>
      </c>
      <c r="H157">
        <f>IF(装备!R213="",0,装备!R213)</f>
        <v>0</v>
      </c>
      <c r="I157">
        <f>IF(装备!S213="",0,装备!S213)</f>
        <v>0</v>
      </c>
      <c r="J157">
        <f>IF(装备!C213="",0,""""&amp;装备!C213&amp;"""")</f>
        <v>0</v>
      </c>
      <c r="K157" t="str">
        <f>IF(装备!T213="","""""",""""&amp;装备!T213&amp;"""")</f>
        <v>""</v>
      </c>
      <c r="L157">
        <f>IF(装备!U213="",0,""""&amp;装备!U213&amp;"""")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IF(装备!B214="",0,"'"&amp;装备!B214&amp;"'")</f>
        <v>0</v>
      </c>
      <c r="B158">
        <f>装备!D215</f>
        <v>0</v>
      </c>
      <c r="C158">
        <f>装备!E214</f>
        <v>0</v>
      </c>
      <c r="D158">
        <f>装备!F214</f>
        <v>0</v>
      </c>
      <c r="E158">
        <f>IF(ISTEXT(装备!G214)=TRUE,"'"&amp;装备!G214&amp;"'",装备!G214)</f>
        <v>0</v>
      </c>
      <c r="F158">
        <f>IF(ISTEXT(装备!H214)=TRUE,"'"&amp;装备!H214&amp;"'",装备!H214)</f>
        <v>0</v>
      </c>
      <c r="G158">
        <f>IF(装备!I214="",0,"'"&amp;装备!I214&amp;"'")</f>
        <v>0</v>
      </c>
      <c r="H158">
        <f>IF(装备!R214="",0,装备!R214)</f>
        <v>0</v>
      </c>
      <c r="I158">
        <f>IF(装备!S214="",0,装备!S214)</f>
        <v>0</v>
      </c>
      <c r="J158">
        <f>IF(装备!C214="",0,""""&amp;装备!C214&amp;"""")</f>
        <v>0</v>
      </c>
      <c r="K158" t="str">
        <f>IF(装备!T214="","""""",""""&amp;装备!T214&amp;"""")</f>
        <v>""</v>
      </c>
      <c r="L158">
        <f>IF(装备!U214="",0,""""&amp;装备!U214&amp;"""")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IF(装备!B215="",0,"'"&amp;装备!B215&amp;"'")</f>
        <v>0</v>
      </c>
      <c r="B159">
        <f>装备!D216</f>
        <v>0</v>
      </c>
      <c r="C159">
        <f>装备!E215</f>
        <v>0</v>
      </c>
      <c r="D159">
        <f>装备!F215</f>
        <v>0</v>
      </c>
      <c r="E159">
        <f>IF(ISTEXT(装备!G215)=TRUE,"'"&amp;装备!G215&amp;"'",装备!G215)</f>
        <v>0</v>
      </c>
      <c r="F159">
        <f>IF(ISTEXT(装备!H215)=TRUE,"'"&amp;装备!H215&amp;"'",装备!H215)</f>
        <v>0</v>
      </c>
      <c r="G159">
        <f>IF(装备!I215="",0,"'"&amp;装备!I215&amp;"'")</f>
        <v>0</v>
      </c>
      <c r="H159">
        <f>IF(装备!R215="",0,装备!R215)</f>
        <v>0</v>
      </c>
      <c r="I159">
        <f>IF(装备!S215="",0,装备!S215)</f>
        <v>0</v>
      </c>
      <c r="J159">
        <f>IF(装备!C215="",0,""""&amp;装备!C215&amp;"""")</f>
        <v>0</v>
      </c>
      <c r="K159" t="str">
        <f>IF(装备!T215="","""""",""""&amp;装备!T215&amp;"""")</f>
        <v>""</v>
      </c>
      <c r="L159">
        <f>IF(装备!U215="",0,""""&amp;装备!U215&amp;"""")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IF(装备!B216="",0,"'"&amp;装备!B216&amp;"'")</f>
        <v>0</v>
      </c>
      <c r="B160">
        <f>装备!D217</f>
        <v>0</v>
      </c>
      <c r="C160">
        <f>装备!E216</f>
        <v>0</v>
      </c>
      <c r="D160">
        <f>装备!F216</f>
        <v>0</v>
      </c>
      <c r="E160">
        <f>IF(ISTEXT(装备!G216)=TRUE,"'"&amp;装备!G216&amp;"'",装备!G216)</f>
        <v>0</v>
      </c>
      <c r="F160">
        <f>IF(ISTEXT(装备!H216)=TRUE,"'"&amp;装备!H216&amp;"'",装备!H216)</f>
        <v>0</v>
      </c>
      <c r="G160">
        <f>IF(装备!I216="",0,"'"&amp;装备!I216&amp;"'")</f>
        <v>0</v>
      </c>
      <c r="H160">
        <f>IF(装备!R216="",0,装备!R216)</f>
        <v>0</v>
      </c>
      <c r="I160">
        <f>IF(装备!S216="",0,装备!S216)</f>
        <v>0</v>
      </c>
      <c r="J160">
        <f>IF(装备!C216="",0,""""&amp;装备!C216&amp;"""")</f>
        <v>0</v>
      </c>
      <c r="K160" t="str">
        <f>IF(装备!T216="","""""",""""&amp;装备!T216&amp;"""")</f>
        <v>""</v>
      </c>
      <c r="L160">
        <f>IF(装备!U216="",0,""""&amp;装备!U216&amp;"""")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IF(装备!B217="",0,"'"&amp;装备!B217&amp;"'")</f>
        <v>0</v>
      </c>
      <c r="B161">
        <f>装备!D218</f>
        <v>0</v>
      </c>
      <c r="C161">
        <f>装备!E217</f>
        <v>0</v>
      </c>
      <c r="D161">
        <f>装备!F217</f>
        <v>0</v>
      </c>
      <c r="E161">
        <f>IF(ISTEXT(装备!G217)=TRUE,"'"&amp;装备!G217&amp;"'",装备!G217)</f>
        <v>0</v>
      </c>
      <c r="F161">
        <f>IF(ISTEXT(装备!H217)=TRUE,"'"&amp;装备!H217&amp;"'",装备!H217)</f>
        <v>0</v>
      </c>
      <c r="G161">
        <f>IF(装备!I217="",0,"'"&amp;装备!I217&amp;"'")</f>
        <v>0</v>
      </c>
      <c r="H161">
        <f>IF(装备!R217="",0,装备!R217)</f>
        <v>0</v>
      </c>
      <c r="I161">
        <f>IF(装备!S217="",0,装备!S217)</f>
        <v>0</v>
      </c>
      <c r="J161">
        <f>IF(装备!C217="",0,""""&amp;装备!C217&amp;"""")</f>
        <v>0</v>
      </c>
      <c r="K161" t="str">
        <f>IF(装备!T217="","""""",""""&amp;装备!T217&amp;"""")</f>
        <v>""</v>
      </c>
      <c r="L161">
        <f>IF(装备!U217="",0,""""&amp;装备!U217&amp;"""")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IF(装备!B218="",0,"'"&amp;装备!B218&amp;"'")</f>
        <v>0</v>
      </c>
      <c r="B162">
        <f>装备!D219</f>
        <v>0</v>
      </c>
      <c r="C162">
        <f>装备!E218</f>
        <v>0</v>
      </c>
      <c r="D162">
        <f>装备!F218</f>
        <v>0</v>
      </c>
      <c r="E162">
        <f>IF(ISTEXT(装备!G218)=TRUE,"'"&amp;装备!G218&amp;"'",装备!G218)</f>
        <v>0</v>
      </c>
      <c r="F162">
        <f>IF(ISTEXT(装备!H218)=TRUE,"'"&amp;装备!H218&amp;"'",装备!H218)</f>
        <v>0</v>
      </c>
      <c r="G162">
        <f>IF(装备!I218="",0,"'"&amp;装备!I218&amp;"'")</f>
        <v>0</v>
      </c>
      <c r="H162">
        <f>IF(装备!R218="",0,装备!R218)</f>
        <v>0</v>
      </c>
      <c r="I162">
        <f>IF(装备!S218="",0,装备!S218)</f>
        <v>0</v>
      </c>
      <c r="J162">
        <f>IF(装备!C218="",0,""""&amp;装备!C218&amp;"""")</f>
        <v>0</v>
      </c>
      <c r="K162" t="str">
        <f>IF(装备!T218="","""""",""""&amp;装备!T218&amp;"""")</f>
        <v>""</v>
      </c>
      <c r="L162">
        <f>IF(装备!U218="",0,""""&amp;装备!U218&amp;"""")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IF(装备!B219="",0,"'"&amp;装备!B219&amp;"'")</f>
        <v>0</v>
      </c>
      <c r="B163">
        <f>装备!D220</f>
        <v>0</v>
      </c>
      <c r="C163">
        <f>装备!E219</f>
        <v>0</v>
      </c>
      <c r="D163">
        <f>装备!F219</f>
        <v>0</v>
      </c>
      <c r="E163">
        <f>IF(ISTEXT(装备!G219)=TRUE,"'"&amp;装备!G219&amp;"'",装备!G219)</f>
        <v>0</v>
      </c>
      <c r="F163">
        <f>IF(ISTEXT(装备!H219)=TRUE,"'"&amp;装备!H219&amp;"'",装备!H219)</f>
        <v>0</v>
      </c>
      <c r="G163">
        <f>IF(装备!I219="",0,"'"&amp;装备!I219&amp;"'")</f>
        <v>0</v>
      </c>
      <c r="H163">
        <f>IF(装备!R219="",0,装备!R219)</f>
        <v>0</v>
      </c>
      <c r="I163">
        <f>IF(装备!S219="",0,装备!S219)</f>
        <v>0</v>
      </c>
      <c r="J163">
        <f>IF(装备!C219="",0,""""&amp;装备!C219&amp;"""")</f>
        <v>0</v>
      </c>
      <c r="K163" t="str">
        <f>IF(装备!T219="","""""",""""&amp;装备!T219&amp;"""")</f>
        <v>""</v>
      </c>
      <c r="L163">
        <f>IF(装备!U219="",0,""""&amp;装备!U219&amp;"""")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IF(装备!B220="",0,"'"&amp;装备!B220&amp;"'")</f>
        <v>0</v>
      </c>
      <c r="B164">
        <f>装备!D221</f>
        <v>0</v>
      </c>
      <c r="C164">
        <f>装备!E220</f>
        <v>0</v>
      </c>
      <c r="D164">
        <f>装备!F220</f>
        <v>0</v>
      </c>
      <c r="E164">
        <f>IF(ISTEXT(装备!G220)=TRUE,"'"&amp;装备!G220&amp;"'",装备!G220)</f>
        <v>0</v>
      </c>
      <c r="F164">
        <f>IF(ISTEXT(装备!H220)=TRUE,"'"&amp;装备!H220&amp;"'",装备!H220)</f>
        <v>0</v>
      </c>
      <c r="G164">
        <f>IF(装备!I220="",0,"'"&amp;装备!I220&amp;"'")</f>
        <v>0</v>
      </c>
      <c r="H164">
        <f>IF(装备!R220="",0,装备!R220)</f>
        <v>0</v>
      </c>
      <c r="I164">
        <f>IF(装备!S220="",0,装备!S220)</f>
        <v>0</v>
      </c>
      <c r="J164">
        <f>IF(装备!C220="",0,""""&amp;装备!C220&amp;"""")</f>
        <v>0</v>
      </c>
      <c r="K164" t="str">
        <f>IF(装备!T220="","""""",""""&amp;装备!T220&amp;"""")</f>
        <v>""</v>
      </c>
      <c r="L164">
        <f>IF(装备!U220="",0,""""&amp;装备!U220&amp;"""")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IF(装备!B221="",0,"'"&amp;装备!B221&amp;"'")</f>
        <v>0</v>
      </c>
      <c r="B165">
        <f>装备!D222</f>
        <v>0</v>
      </c>
      <c r="C165">
        <f>装备!E221</f>
        <v>0</v>
      </c>
      <c r="D165">
        <f>装备!F221</f>
        <v>0</v>
      </c>
      <c r="E165">
        <f>IF(ISTEXT(装备!G221)=TRUE,"'"&amp;装备!G221&amp;"'",装备!G221)</f>
        <v>0</v>
      </c>
      <c r="F165">
        <f>IF(ISTEXT(装备!H221)=TRUE,"'"&amp;装备!H221&amp;"'",装备!H221)</f>
        <v>0</v>
      </c>
      <c r="G165">
        <f>IF(装备!I221="",0,"'"&amp;装备!I221&amp;"'")</f>
        <v>0</v>
      </c>
      <c r="H165">
        <f>IF(装备!R221="",0,装备!R221)</f>
        <v>0</v>
      </c>
      <c r="I165">
        <f>IF(装备!S221="",0,装备!S221)</f>
        <v>0</v>
      </c>
      <c r="J165">
        <f>IF(装备!C221="",0,""""&amp;装备!C221&amp;"""")</f>
        <v>0</v>
      </c>
      <c r="K165" t="str">
        <f>IF(装备!T221="","""""",""""&amp;装备!T221&amp;"""")</f>
        <v>""</v>
      </c>
      <c r="L165">
        <f>IF(装备!U221="",0,""""&amp;装备!U221&amp;"""")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IF(装备!B222="",0,"'"&amp;装备!B222&amp;"'")</f>
        <v>0</v>
      </c>
      <c r="B166">
        <f>装备!D223</f>
        <v>0</v>
      </c>
      <c r="C166">
        <f>装备!E222</f>
        <v>0</v>
      </c>
      <c r="D166">
        <f>装备!F222</f>
        <v>0</v>
      </c>
      <c r="E166">
        <f>IF(ISTEXT(装备!G222)=TRUE,"'"&amp;装备!G222&amp;"'",装备!G222)</f>
        <v>0</v>
      </c>
      <c r="F166">
        <f>IF(ISTEXT(装备!H222)=TRUE,"'"&amp;装备!H222&amp;"'",装备!H222)</f>
        <v>0</v>
      </c>
      <c r="G166">
        <f>IF(装备!I222="",0,"'"&amp;装备!I222&amp;"'")</f>
        <v>0</v>
      </c>
      <c r="H166">
        <f>IF(装备!R222="",0,装备!R222)</f>
        <v>0</v>
      </c>
      <c r="I166">
        <f>IF(装备!S222="",0,装备!S222)</f>
        <v>0</v>
      </c>
      <c r="J166">
        <f>IF(装备!C222="",0,""""&amp;装备!C222&amp;"""")</f>
        <v>0</v>
      </c>
      <c r="K166" t="str">
        <f>IF(装备!T222="","""""",""""&amp;装备!T222&amp;"""")</f>
        <v>""</v>
      </c>
      <c r="L166">
        <f>IF(装备!U222="",0,""""&amp;装备!U222&amp;"""")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IF(装备!B223="",0,"'"&amp;装备!B223&amp;"'")</f>
        <v>0</v>
      </c>
      <c r="B167">
        <f>装备!D224</f>
        <v>0</v>
      </c>
      <c r="C167">
        <f>装备!E223</f>
        <v>0</v>
      </c>
      <c r="D167">
        <f>装备!F223</f>
        <v>0</v>
      </c>
      <c r="E167">
        <f>IF(ISTEXT(装备!G223)=TRUE,"'"&amp;装备!G223&amp;"'",装备!G223)</f>
        <v>0</v>
      </c>
      <c r="F167">
        <f>IF(ISTEXT(装备!H223)=TRUE,"'"&amp;装备!H223&amp;"'",装备!H223)</f>
        <v>0</v>
      </c>
      <c r="G167">
        <f>IF(装备!I223="",0,"'"&amp;装备!I223&amp;"'")</f>
        <v>0</v>
      </c>
      <c r="H167">
        <f>IF(装备!R223="",0,装备!R223)</f>
        <v>0</v>
      </c>
      <c r="I167">
        <f>IF(装备!S223="",0,装备!S223)</f>
        <v>0</v>
      </c>
      <c r="J167">
        <f>IF(装备!C223="",0,""""&amp;装备!C223&amp;"""")</f>
        <v>0</v>
      </c>
      <c r="K167" t="str">
        <f>IF(装备!T223="","""""",""""&amp;装备!T223&amp;"""")</f>
        <v>""</v>
      </c>
      <c r="L167">
        <f>IF(装备!U223="",0,""""&amp;装备!U223&amp;"""")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IF(装备!B224="",0,"'"&amp;装备!B224&amp;"'")</f>
        <v>0</v>
      </c>
      <c r="B168">
        <f>装备!D225</f>
        <v>0</v>
      </c>
      <c r="C168">
        <f>装备!E224</f>
        <v>0</v>
      </c>
      <c r="D168">
        <f>装备!F224</f>
        <v>0</v>
      </c>
      <c r="E168">
        <f>IF(ISTEXT(装备!G224)=TRUE,"'"&amp;装备!G224&amp;"'",装备!G224)</f>
        <v>0</v>
      </c>
      <c r="F168">
        <f>IF(ISTEXT(装备!H224)=TRUE,"'"&amp;装备!H224&amp;"'",装备!H224)</f>
        <v>0</v>
      </c>
      <c r="G168">
        <f>IF(装备!I224="",0,"'"&amp;装备!I224&amp;"'")</f>
        <v>0</v>
      </c>
      <c r="H168">
        <f>IF(装备!R224="",0,装备!R224)</f>
        <v>0</v>
      </c>
      <c r="I168">
        <f>IF(装备!S224="",0,装备!S224)</f>
        <v>0</v>
      </c>
      <c r="J168">
        <f>IF(装备!C224="",0,""""&amp;装备!C224&amp;"""")</f>
        <v>0</v>
      </c>
      <c r="K168" t="str">
        <f>IF(装备!T224="","""""",""""&amp;装备!T224&amp;"""")</f>
        <v>""</v>
      </c>
      <c r="L168">
        <f>IF(装备!U224="",0,""""&amp;装备!U224&amp;"""")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IF(装备!B225="",0,"'"&amp;装备!B225&amp;"'")</f>
        <v>0</v>
      </c>
      <c r="B169">
        <f>装备!D226</f>
        <v>0</v>
      </c>
      <c r="C169">
        <f>装备!E225</f>
        <v>0</v>
      </c>
      <c r="D169">
        <f>装备!F225</f>
        <v>0</v>
      </c>
      <c r="E169">
        <f>IF(ISTEXT(装备!G225)=TRUE,"'"&amp;装备!G225&amp;"'",装备!G225)</f>
        <v>0</v>
      </c>
      <c r="F169">
        <f>IF(ISTEXT(装备!H225)=TRUE,"'"&amp;装备!H225&amp;"'",装备!H225)</f>
        <v>0</v>
      </c>
      <c r="G169">
        <f>IF(装备!I225="",0,"'"&amp;装备!I225&amp;"'")</f>
        <v>0</v>
      </c>
      <c r="H169">
        <f>IF(装备!R225="",0,装备!R225)</f>
        <v>0</v>
      </c>
      <c r="I169">
        <f>IF(装备!S225="",0,装备!S225)</f>
        <v>0</v>
      </c>
      <c r="J169">
        <f>IF(装备!C225="",0,""""&amp;装备!C225&amp;"""")</f>
        <v>0</v>
      </c>
      <c r="K169" t="str">
        <f>IF(装备!T225="","""""",""""&amp;装备!T225&amp;"""")</f>
        <v>""</v>
      </c>
      <c r="L169">
        <f>IF(装备!U225="",0,""""&amp;装备!U225&amp;"""")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IF(装备!B226="",0,"'"&amp;装备!B226&amp;"'")</f>
        <v>0</v>
      </c>
      <c r="B170">
        <f>装备!D227</f>
        <v>0</v>
      </c>
      <c r="C170">
        <f>装备!E226</f>
        <v>0</v>
      </c>
      <c r="D170">
        <f>装备!F226</f>
        <v>0</v>
      </c>
      <c r="E170">
        <f>IF(ISTEXT(装备!G226)=TRUE,"'"&amp;装备!G226&amp;"'",装备!G226)</f>
        <v>0</v>
      </c>
      <c r="F170">
        <f>IF(ISTEXT(装备!H226)=TRUE,"'"&amp;装备!H226&amp;"'",装备!H226)</f>
        <v>0</v>
      </c>
      <c r="G170">
        <f>IF(装备!I226="",0,"'"&amp;装备!I226&amp;"'")</f>
        <v>0</v>
      </c>
      <c r="H170">
        <f>IF(装备!R226="",0,装备!R226)</f>
        <v>0</v>
      </c>
      <c r="I170">
        <f>IF(装备!S226="",0,装备!S226)</f>
        <v>0</v>
      </c>
      <c r="J170">
        <f>IF(装备!C226="",0,""""&amp;装备!C226&amp;"""")</f>
        <v>0</v>
      </c>
      <c r="K170" t="str">
        <f>IF(装备!T226="","""""",""""&amp;装备!T226&amp;"""")</f>
        <v>""</v>
      </c>
      <c r="L170">
        <f>IF(装备!U226="",0,""""&amp;装备!U226&amp;"""")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IF(装备!B227="",0,"'"&amp;装备!B227&amp;"'")</f>
        <v>0</v>
      </c>
      <c r="B171">
        <f>装备!D228</f>
        <v>0</v>
      </c>
      <c r="C171">
        <f>装备!E227</f>
        <v>0</v>
      </c>
      <c r="D171">
        <f>装备!F227</f>
        <v>0</v>
      </c>
      <c r="E171">
        <f>IF(ISTEXT(装备!G227)=TRUE,"'"&amp;装备!G227&amp;"'",装备!G227)</f>
        <v>0</v>
      </c>
      <c r="F171">
        <f>IF(ISTEXT(装备!H227)=TRUE,"'"&amp;装备!H227&amp;"'",装备!H227)</f>
        <v>0</v>
      </c>
      <c r="G171">
        <f>IF(装备!I227="",0,"'"&amp;装备!I227&amp;"'")</f>
        <v>0</v>
      </c>
      <c r="H171">
        <f>IF(装备!R227="",0,装备!R227)</f>
        <v>0</v>
      </c>
      <c r="I171">
        <f>IF(装备!S227="",0,装备!S227)</f>
        <v>0</v>
      </c>
      <c r="J171">
        <f>IF(装备!C227="",0,""""&amp;装备!C227&amp;"""")</f>
        <v>0</v>
      </c>
      <c r="K171" t="str">
        <f>IF(装备!T227="","""""",""""&amp;装备!T227&amp;"""")</f>
        <v>""</v>
      </c>
      <c r="L171">
        <f>IF(装备!U227="",0,""""&amp;装备!U227&amp;"""")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IF(装备!B228="",0,"'"&amp;装备!B228&amp;"'")</f>
        <v>0</v>
      </c>
      <c r="B172">
        <f>装备!D229</f>
        <v>0</v>
      </c>
      <c r="C172">
        <f>装备!E228</f>
        <v>0</v>
      </c>
      <c r="D172">
        <f>装备!F228</f>
        <v>0</v>
      </c>
      <c r="E172">
        <f>IF(ISTEXT(装备!G228)=TRUE,"'"&amp;装备!G228&amp;"'",装备!G228)</f>
        <v>0</v>
      </c>
      <c r="F172">
        <f>IF(ISTEXT(装备!H228)=TRUE,"'"&amp;装备!H228&amp;"'",装备!H228)</f>
        <v>0</v>
      </c>
      <c r="G172">
        <f>IF(装备!I228="",0,"'"&amp;装备!I228&amp;"'")</f>
        <v>0</v>
      </c>
      <c r="H172">
        <f>IF(装备!R228="",0,装备!R228)</f>
        <v>0</v>
      </c>
      <c r="I172">
        <f>IF(装备!S228="",0,装备!S228)</f>
        <v>0</v>
      </c>
      <c r="J172">
        <f>IF(装备!C228="",0,""""&amp;装备!C228&amp;"""")</f>
        <v>0</v>
      </c>
      <c r="K172" t="str">
        <f>IF(装备!T228="","""""",""""&amp;装备!T228&amp;"""")</f>
        <v>""</v>
      </c>
      <c r="L172">
        <f>IF(装备!U228="",0,""""&amp;装备!U228&amp;"""")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IF(装备!B229="",0,"'"&amp;装备!B229&amp;"'")</f>
        <v>0</v>
      </c>
      <c r="B173">
        <f>装备!D230</f>
        <v>0</v>
      </c>
      <c r="C173">
        <f>装备!E229</f>
        <v>0</v>
      </c>
      <c r="D173">
        <f>装备!F229</f>
        <v>0</v>
      </c>
      <c r="E173">
        <f>IF(ISTEXT(装备!G229)=TRUE,"'"&amp;装备!G229&amp;"'",装备!G229)</f>
        <v>0</v>
      </c>
      <c r="F173">
        <f>IF(ISTEXT(装备!H229)=TRUE,"'"&amp;装备!H229&amp;"'",装备!H229)</f>
        <v>0</v>
      </c>
      <c r="G173">
        <f>IF(装备!I229="",0,"'"&amp;装备!I229&amp;"'")</f>
        <v>0</v>
      </c>
      <c r="H173">
        <f>IF(装备!R229="",0,装备!R229)</f>
        <v>0</v>
      </c>
      <c r="I173">
        <f>IF(装备!S229="",0,装备!S229)</f>
        <v>0</v>
      </c>
      <c r="J173">
        <f>IF(装备!C229="",0,""""&amp;装备!C229&amp;"""")</f>
        <v>0</v>
      </c>
      <c r="K173" t="str">
        <f>IF(装备!T229="","""""",""""&amp;装备!T229&amp;"""")</f>
        <v>""</v>
      </c>
      <c r="L173">
        <f>IF(装备!U229="",0,""""&amp;装备!U229&amp;"""")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IF(装备!B230="",0,"'"&amp;装备!B230&amp;"'")</f>
        <v>0</v>
      </c>
      <c r="B174">
        <f>装备!D231</f>
        <v>0</v>
      </c>
      <c r="C174">
        <f>装备!E230</f>
        <v>0</v>
      </c>
      <c r="D174">
        <f>装备!F230</f>
        <v>0</v>
      </c>
      <c r="E174">
        <f>IF(ISTEXT(装备!G230)=TRUE,"'"&amp;装备!G230&amp;"'",装备!G230)</f>
        <v>0</v>
      </c>
      <c r="F174">
        <f>IF(ISTEXT(装备!H230)=TRUE,"'"&amp;装备!H230&amp;"'",装备!H230)</f>
        <v>0</v>
      </c>
      <c r="G174">
        <f>IF(装备!I230="",0,"'"&amp;装备!I230&amp;"'")</f>
        <v>0</v>
      </c>
      <c r="H174">
        <f>IF(装备!R230="",0,装备!R230)</f>
        <v>0</v>
      </c>
      <c r="I174">
        <f>IF(装备!S230="",0,装备!S230)</f>
        <v>0</v>
      </c>
      <c r="J174">
        <f>IF(装备!C230="",0,""""&amp;装备!C230&amp;"""")</f>
        <v>0</v>
      </c>
      <c r="K174" t="str">
        <f>IF(装备!T230="","""""",""""&amp;装备!T230&amp;"""")</f>
        <v>""</v>
      </c>
      <c r="L174">
        <f>IF(装备!U230="",0,""""&amp;装备!U230&amp;"""")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IF(装备!B231="",0,"'"&amp;装备!B231&amp;"'")</f>
        <v>0</v>
      </c>
      <c r="B175">
        <f>装备!D232</f>
        <v>0</v>
      </c>
      <c r="C175">
        <f>装备!E231</f>
        <v>0</v>
      </c>
      <c r="D175">
        <f>装备!F231</f>
        <v>0</v>
      </c>
      <c r="E175">
        <f>IF(ISTEXT(装备!G231)=TRUE,"'"&amp;装备!G231&amp;"'",装备!G231)</f>
        <v>0</v>
      </c>
      <c r="F175">
        <f>IF(ISTEXT(装备!H231)=TRUE,"'"&amp;装备!H231&amp;"'",装备!H231)</f>
        <v>0</v>
      </c>
      <c r="G175">
        <f>IF(装备!I231="",0,"'"&amp;装备!I231&amp;"'")</f>
        <v>0</v>
      </c>
      <c r="H175">
        <f>IF(装备!R231="",0,装备!R231)</f>
        <v>0</v>
      </c>
      <c r="I175">
        <f>IF(装备!S231="",0,装备!S231)</f>
        <v>0</v>
      </c>
      <c r="J175">
        <f>IF(装备!C231="",0,""""&amp;装备!C231&amp;"""")</f>
        <v>0</v>
      </c>
      <c r="K175" t="str">
        <f>IF(装备!T231="","""""",""""&amp;装备!T231&amp;"""")</f>
        <v>""</v>
      </c>
      <c r="L175">
        <f>IF(装备!U231="",0,""""&amp;装备!U231&amp;"""")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IF(装备!B232="",0,"'"&amp;装备!B232&amp;"'")</f>
        <v>0</v>
      </c>
      <c r="B176">
        <f>装备!D233</f>
        <v>0</v>
      </c>
      <c r="C176">
        <f>装备!E232</f>
        <v>0</v>
      </c>
      <c r="D176">
        <f>装备!F232</f>
        <v>0</v>
      </c>
      <c r="E176">
        <f>IF(ISTEXT(装备!G232)=TRUE,"'"&amp;装备!G232&amp;"'",装备!G232)</f>
        <v>0</v>
      </c>
      <c r="F176">
        <f>IF(ISTEXT(装备!H232)=TRUE,"'"&amp;装备!H232&amp;"'",装备!H232)</f>
        <v>0</v>
      </c>
      <c r="G176">
        <f>IF(装备!I232="",0,"'"&amp;装备!I232&amp;"'")</f>
        <v>0</v>
      </c>
      <c r="H176">
        <f>IF(装备!R232="",0,装备!R232)</f>
        <v>0</v>
      </c>
      <c r="I176">
        <f>IF(装备!S232="",0,装备!S232)</f>
        <v>0</v>
      </c>
      <c r="J176">
        <f>IF(装备!C232="",0,""""&amp;装备!C232&amp;"""")</f>
        <v>0</v>
      </c>
      <c r="K176" t="str">
        <f>IF(装备!T232="","""""",""""&amp;装备!T232&amp;"""")</f>
        <v>""</v>
      </c>
      <c r="L176">
        <f>IF(装备!U232="",0,""""&amp;装备!U232&amp;"""")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IF(装备!B233="",0,"'"&amp;装备!B233&amp;"'")</f>
        <v>0</v>
      </c>
      <c r="B177">
        <f>装备!D234</f>
        <v>0</v>
      </c>
      <c r="C177">
        <f>装备!E233</f>
        <v>0</v>
      </c>
      <c r="D177">
        <f>装备!F233</f>
        <v>0</v>
      </c>
      <c r="E177">
        <f>IF(ISTEXT(装备!G233)=TRUE,"'"&amp;装备!G233&amp;"'",装备!G233)</f>
        <v>0</v>
      </c>
      <c r="F177">
        <f>IF(ISTEXT(装备!H233)=TRUE,"'"&amp;装备!H233&amp;"'",装备!H233)</f>
        <v>0</v>
      </c>
      <c r="G177">
        <f>IF(装备!I233="",0,"'"&amp;装备!I233&amp;"'")</f>
        <v>0</v>
      </c>
      <c r="H177">
        <f>IF(装备!R233="",0,装备!R233)</f>
        <v>0</v>
      </c>
      <c r="I177">
        <f>IF(装备!S233="",0,装备!S233)</f>
        <v>0</v>
      </c>
      <c r="J177">
        <f>IF(装备!C233="",0,""""&amp;装备!C233&amp;"""")</f>
        <v>0</v>
      </c>
      <c r="K177" t="str">
        <f>IF(装备!T233="","""""",""""&amp;装备!T233&amp;"""")</f>
        <v>""</v>
      </c>
      <c r="L177">
        <f>IF(装备!U233="",0,""""&amp;装备!U233&amp;"""")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IF(装备!B234="",0,"'"&amp;装备!B234&amp;"'")</f>
        <v>0</v>
      </c>
      <c r="B178">
        <f>装备!D235</f>
        <v>0</v>
      </c>
      <c r="C178">
        <f>装备!E234</f>
        <v>0</v>
      </c>
      <c r="D178">
        <f>装备!F234</f>
        <v>0</v>
      </c>
      <c r="E178">
        <f>IF(ISTEXT(装备!G234)=TRUE,"'"&amp;装备!G234&amp;"'",装备!G234)</f>
        <v>0</v>
      </c>
      <c r="F178">
        <f>IF(ISTEXT(装备!H234)=TRUE,"'"&amp;装备!H234&amp;"'",装备!H234)</f>
        <v>0</v>
      </c>
      <c r="G178">
        <f>IF(装备!I234="",0,"'"&amp;装备!I234&amp;"'")</f>
        <v>0</v>
      </c>
      <c r="H178">
        <f>IF(装备!R234="",0,装备!R234)</f>
        <v>0</v>
      </c>
      <c r="I178">
        <f>IF(装备!S234="",0,装备!S234)</f>
        <v>0</v>
      </c>
      <c r="J178">
        <f>IF(装备!C234="",0,""""&amp;装备!C234&amp;"""")</f>
        <v>0</v>
      </c>
      <c r="K178" t="str">
        <f>IF(装备!T234="","""""",""""&amp;装备!T234&amp;"""")</f>
        <v>""</v>
      </c>
      <c r="L178">
        <f>IF(装备!U234="",0,""""&amp;装备!U234&amp;"""")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IF(装备!B235="",0,"'"&amp;装备!B235&amp;"'")</f>
        <v>0</v>
      </c>
      <c r="B179">
        <f>装备!D236</f>
        <v>0</v>
      </c>
      <c r="C179">
        <f>装备!E235</f>
        <v>0</v>
      </c>
      <c r="D179">
        <f>装备!F235</f>
        <v>0</v>
      </c>
      <c r="E179">
        <f>IF(ISTEXT(装备!G235)=TRUE,"'"&amp;装备!G235&amp;"'",装备!G235)</f>
        <v>0</v>
      </c>
      <c r="F179">
        <f>IF(ISTEXT(装备!H235)=TRUE,"'"&amp;装备!H235&amp;"'",装备!H235)</f>
        <v>0</v>
      </c>
      <c r="G179">
        <f>IF(装备!I235="",0,"'"&amp;装备!I235&amp;"'")</f>
        <v>0</v>
      </c>
      <c r="H179">
        <f>IF(装备!R235="",0,装备!R235)</f>
        <v>0</v>
      </c>
      <c r="I179">
        <f>IF(装备!S235="",0,装备!S235)</f>
        <v>0</v>
      </c>
      <c r="J179">
        <f>IF(装备!C235="",0,""""&amp;装备!C235&amp;"""")</f>
        <v>0</v>
      </c>
      <c r="K179" t="str">
        <f>IF(装备!T235="","""""",""""&amp;装备!T235&amp;"""")</f>
        <v>""</v>
      </c>
      <c r="L179">
        <f>IF(装备!U235="",0,""""&amp;装备!U235&amp;"""")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IF(装备!B236="",0,"'"&amp;装备!B236&amp;"'")</f>
        <v>0</v>
      </c>
      <c r="B180">
        <f>装备!D237</f>
        <v>0</v>
      </c>
      <c r="C180">
        <f>装备!E236</f>
        <v>0</v>
      </c>
      <c r="D180">
        <f>装备!F236</f>
        <v>0</v>
      </c>
      <c r="E180">
        <f>IF(ISTEXT(装备!G236)=TRUE,"'"&amp;装备!G236&amp;"'",装备!G236)</f>
        <v>0</v>
      </c>
      <c r="F180">
        <f>IF(ISTEXT(装备!H236)=TRUE,"'"&amp;装备!H236&amp;"'",装备!H236)</f>
        <v>0</v>
      </c>
      <c r="G180">
        <f>IF(装备!I236="",0,"'"&amp;装备!I236&amp;"'")</f>
        <v>0</v>
      </c>
      <c r="H180">
        <f>IF(装备!R236="",0,装备!R236)</f>
        <v>0</v>
      </c>
      <c r="I180">
        <f>IF(装备!S236="",0,装备!S236)</f>
        <v>0</v>
      </c>
      <c r="J180">
        <f>IF(装备!C236="",0,""""&amp;装备!C236&amp;"""")</f>
        <v>0</v>
      </c>
      <c r="K180" t="str">
        <f>IF(装备!T236="","""""",""""&amp;装备!T236&amp;"""")</f>
        <v>""</v>
      </c>
      <c r="L180">
        <f>IF(装备!U236="",0,""""&amp;装备!U236&amp;"""")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IF(装备!B237="",0,"'"&amp;装备!B237&amp;"'")</f>
        <v>0</v>
      </c>
      <c r="B181">
        <f>装备!D238</f>
        <v>0</v>
      </c>
      <c r="C181">
        <f>装备!E237</f>
        <v>0</v>
      </c>
      <c r="D181">
        <f>装备!F237</f>
        <v>0</v>
      </c>
      <c r="E181">
        <f>IF(ISTEXT(装备!G237)=TRUE,"'"&amp;装备!G237&amp;"'",装备!G237)</f>
        <v>0</v>
      </c>
      <c r="F181">
        <f>IF(ISTEXT(装备!H237)=TRUE,"'"&amp;装备!H237&amp;"'",装备!H237)</f>
        <v>0</v>
      </c>
      <c r="G181">
        <f>IF(装备!I237="",0,"'"&amp;装备!I237&amp;"'")</f>
        <v>0</v>
      </c>
      <c r="H181">
        <f>IF(装备!R237="",0,装备!R237)</f>
        <v>0</v>
      </c>
      <c r="I181">
        <f>IF(装备!S237="",0,装备!S237)</f>
        <v>0</v>
      </c>
      <c r="J181">
        <f>IF(装备!C237="",0,""""&amp;装备!C237&amp;"""")</f>
        <v>0</v>
      </c>
      <c r="K181" t="str">
        <f>IF(装备!T237="","""""",""""&amp;装备!T237&amp;"""")</f>
        <v>""</v>
      </c>
      <c r="L181">
        <f>IF(装备!U237="",0,""""&amp;装备!U237&amp;"""")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IF(装备!B238="",0,"'"&amp;装备!B238&amp;"'")</f>
        <v>0</v>
      </c>
      <c r="B182">
        <f>装备!D239</f>
        <v>0</v>
      </c>
      <c r="C182">
        <f>装备!E238</f>
        <v>0</v>
      </c>
      <c r="D182">
        <f>装备!F238</f>
        <v>0</v>
      </c>
      <c r="E182">
        <f>IF(ISTEXT(装备!G238)=TRUE,"'"&amp;装备!G238&amp;"'",装备!G238)</f>
        <v>0</v>
      </c>
      <c r="F182">
        <f>IF(ISTEXT(装备!H238)=TRUE,"'"&amp;装备!H238&amp;"'",装备!H238)</f>
        <v>0</v>
      </c>
      <c r="G182">
        <f>IF(装备!I238="",0,"'"&amp;装备!I238&amp;"'")</f>
        <v>0</v>
      </c>
      <c r="H182">
        <f>IF(装备!R238="",0,装备!R238)</f>
        <v>0</v>
      </c>
      <c r="I182">
        <f>IF(装备!S238="",0,装备!S238)</f>
        <v>0</v>
      </c>
      <c r="J182">
        <f>IF(装备!C238="",0,""""&amp;装备!C238&amp;"""")</f>
        <v>0</v>
      </c>
      <c r="K182" t="str">
        <f>IF(装备!T238="","""""",""""&amp;装备!T238&amp;"""")</f>
        <v>""</v>
      </c>
      <c r="L182">
        <f>IF(装备!U238="",0,""""&amp;装备!U238&amp;"""")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IF(装备!B239="",0,"'"&amp;装备!B239&amp;"'")</f>
        <v>0</v>
      </c>
      <c r="B183">
        <f>装备!D240</f>
        <v>0</v>
      </c>
      <c r="C183">
        <f>装备!E239</f>
        <v>0</v>
      </c>
      <c r="D183">
        <f>装备!F239</f>
        <v>0</v>
      </c>
      <c r="E183">
        <f>IF(ISTEXT(装备!G239)=TRUE,"'"&amp;装备!G239&amp;"'",装备!G239)</f>
        <v>0</v>
      </c>
      <c r="F183">
        <f>IF(ISTEXT(装备!H239)=TRUE,"'"&amp;装备!H239&amp;"'",装备!H239)</f>
        <v>0</v>
      </c>
      <c r="G183">
        <f>IF(装备!I239="",0,"'"&amp;装备!I239&amp;"'")</f>
        <v>0</v>
      </c>
      <c r="H183">
        <f>IF(装备!R239="",0,装备!R239)</f>
        <v>0</v>
      </c>
      <c r="I183">
        <f>IF(装备!S239="",0,装备!S239)</f>
        <v>0</v>
      </c>
      <c r="J183">
        <f>IF(装备!C239="",0,""""&amp;装备!C239&amp;"""")</f>
        <v>0</v>
      </c>
      <c r="K183" t="str">
        <f>IF(装备!T239="","""""",""""&amp;装备!T239&amp;"""")</f>
        <v>""</v>
      </c>
      <c r="L183">
        <f>IF(装备!U239="",0,""""&amp;装备!U239&amp;"""")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IF(装备!B240="",0,"'"&amp;装备!B240&amp;"'")</f>
        <v>0</v>
      </c>
      <c r="B184">
        <f>装备!D241</f>
        <v>0</v>
      </c>
      <c r="C184">
        <f>装备!E240</f>
        <v>0</v>
      </c>
      <c r="D184">
        <f>装备!F240</f>
        <v>0</v>
      </c>
      <c r="E184">
        <f>IF(ISTEXT(装备!G240)=TRUE,"'"&amp;装备!G240&amp;"'",装备!G240)</f>
        <v>0</v>
      </c>
      <c r="F184">
        <f>IF(ISTEXT(装备!H240)=TRUE,"'"&amp;装备!H240&amp;"'",装备!H240)</f>
        <v>0</v>
      </c>
      <c r="G184">
        <f>IF(装备!I240="",0,"'"&amp;装备!I240&amp;"'")</f>
        <v>0</v>
      </c>
      <c r="H184">
        <f>IF(装备!R240="",0,装备!R240)</f>
        <v>0</v>
      </c>
      <c r="I184">
        <f>IF(装备!S240="",0,装备!S240)</f>
        <v>0</v>
      </c>
      <c r="J184">
        <f>IF(装备!C240="",0,""""&amp;装备!C240&amp;"""")</f>
        <v>0</v>
      </c>
      <c r="K184" t="str">
        <f>IF(装备!T240="","""""",""""&amp;装备!T240&amp;"""")</f>
        <v>""</v>
      </c>
      <c r="L184">
        <f>IF(装备!U240="",0,""""&amp;装备!U240&amp;"""")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IF(装备!B250="",0,"'"&amp;装备!B250&amp;"'")</f>
        <v>0</v>
      </c>
      <c r="B185">
        <f>装备!D251</f>
        <v>0</v>
      </c>
      <c r="C185">
        <f>装备!E250</f>
        <v>0</v>
      </c>
      <c r="D185">
        <f>装备!F250</f>
        <v>0</v>
      </c>
      <c r="E185">
        <f>IF(ISTEXT(装备!G241)=TRUE,"'"&amp;装备!G241&amp;"'",装备!G241)</f>
        <v>0</v>
      </c>
      <c r="F185">
        <f>IF(ISTEXT(装备!H241)=TRUE,"'"&amp;装备!H241&amp;"'",装备!H241)</f>
        <v>0</v>
      </c>
      <c r="G185">
        <f>IF(装备!I250="",0,"'"&amp;装备!I250&amp;"'")</f>
        <v>0</v>
      </c>
      <c r="H185">
        <f>IF(装备!R241="",0,装备!R241)</f>
        <v>0</v>
      </c>
      <c r="I185">
        <f>IF(装备!S241="",0,装备!S241)</f>
        <v>0</v>
      </c>
      <c r="J185">
        <f>IF(装备!C250="",0,""""&amp;装备!C250&amp;"""")</f>
        <v>0</v>
      </c>
      <c r="K185" t="str">
        <f>IF(装备!T250="","""""",""""&amp;装备!T250&amp;"""")</f>
        <v>""</v>
      </c>
      <c r="L185">
        <f>IF(装备!U250="",0,""""&amp;装备!U250&amp;"""")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IF(装备!B251="",0,"'"&amp;装备!B251&amp;"'")</f>
        <v>0</v>
      </c>
      <c r="B186">
        <f>装备!D252</f>
        <v>0</v>
      </c>
      <c r="C186">
        <f>装备!E251</f>
        <v>0</v>
      </c>
      <c r="D186">
        <f>装备!F251</f>
        <v>0</v>
      </c>
      <c r="E186">
        <f>IF(ISTEXT(装备!G242)=TRUE,"'"&amp;装备!G242&amp;"'",装备!G242)</f>
        <v>0</v>
      </c>
      <c r="F186">
        <f>IF(ISTEXT(装备!H242)=TRUE,"'"&amp;装备!H242&amp;"'",装备!H242)</f>
        <v>0</v>
      </c>
      <c r="G186">
        <f>IF(装备!I251="",0,"'"&amp;装备!I251&amp;"'")</f>
        <v>0</v>
      </c>
      <c r="H186">
        <f>IF(装备!R242="",0,装备!R242)</f>
        <v>0</v>
      </c>
      <c r="I186">
        <f>IF(装备!S242="",0,装备!S242)</f>
        <v>0</v>
      </c>
      <c r="J186">
        <f>IF(装备!C251="",0,""""&amp;装备!C251&amp;"""")</f>
        <v>0</v>
      </c>
      <c r="K186" t="str">
        <f>IF(装备!T251="","""""",""""&amp;装备!T251&amp;"""")</f>
        <v>""</v>
      </c>
      <c r="L186">
        <f>IF(装备!U251="",0,""""&amp;装备!U251&amp;"""")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IF(装备!B252="",0,"'"&amp;装备!B252&amp;"'")</f>
        <v>0</v>
      </c>
      <c r="B187">
        <f>装备!D253</f>
        <v>0</v>
      </c>
      <c r="C187">
        <f>装备!E252</f>
        <v>0</v>
      </c>
      <c r="D187">
        <f>装备!F252</f>
        <v>0</v>
      </c>
      <c r="E187">
        <f>IF(ISTEXT(装备!G243)=TRUE,"'"&amp;装备!G243&amp;"'",装备!G243)</f>
        <v>0</v>
      </c>
      <c r="F187">
        <f>IF(ISTEXT(装备!H243)=TRUE,"'"&amp;装备!H243&amp;"'",装备!H243)</f>
        <v>0</v>
      </c>
      <c r="G187">
        <f>IF(装备!I252="",0,"'"&amp;装备!I252&amp;"'")</f>
        <v>0</v>
      </c>
      <c r="H187">
        <f>IF(装备!R243="",0,装备!R243)</f>
        <v>0</v>
      </c>
      <c r="I187">
        <f>IF(装备!S243="",0,装备!S243)</f>
        <v>0</v>
      </c>
      <c r="J187">
        <f>IF(装备!C252="",0,""""&amp;装备!C252&amp;"""")</f>
        <v>0</v>
      </c>
      <c r="K187" t="str">
        <f>IF(装备!T252="","""""",""""&amp;装备!T252&amp;"""")</f>
        <v>""</v>
      </c>
      <c r="L187">
        <f>IF(装备!U252="",0,""""&amp;装备!U252&amp;"""")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IF(装备!B253="",0,"'"&amp;装备!B253&amp;"'")</f>
        <v>0</v>
      </c>
      <c r="B188">
        <f>装备!D254</f>
        <v>0</v>
      </c>
      <c r="C188">
        <f>装备!E253</f>
        <v>0</v>
      </c>
      <c r="D188">
        <f>装备!F253</f>
        <v>0</v>
      </c>
      <c r="E188">
        <f>IF(ISTEXT(装备!G244)=TRUE,"'"&amp;装备!G244&amp;"'",装备!G244)</f>
        <v>0</v>
      </c>
      <c r="F188">
        <f>IF(ISTEXT(装备!H244)=TRUE,"'"&amp;装备!H244&amp;"'",装备!H244)</f>
        <v>0</v>
      </c>
      <c r="G188">
        <f>IF(装备!I253="",0,"'"&amp;装备!I253&amp;"'")</f>
        <v>0</v>
      </c>
      <c r="H188">
        <f>IF(装备!R244="",0,装备!R244)</f>
        <v>0</v>
      </c>
      <c r="I188">
        <f>IF(装备!S244="",0,装备!S244)</f>
        <v>0</v>
      </c>
      <c r="J188">
        <f>IF(装备!C253="",0,""""&amp;装备!C253&amp;"""")</f>
        <v>0</v>
      </c>
      <c r="K188" t="str">
        <f>IF(装备!T253="","""""",""""&amp;装备!T253&amp;"""")</f>
        <v>""</v>
      </c>
      <c r="L188">
        <f>IF(装备!U253="",0,""""&amp;装备!U253&amp;"""")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IF(装备!B254="",0,"'"&amp;装备!B254&amp;"'")</f>
        <v>0</v>
      </c>
      <c r="B189">
        <f>装备!D255</f>
        <v>0</v>
      </c>
      <c r="C189">
        <f>装备!E254</f>
        <v>0</v>
      </c>
      <c r="D189">
        <f>装备!F254</f>
        <v>0</v>
      </c>
      <c r="E189">
        <f>IF(ISTEXT(装备!G245)=TRUE,"'"&amp;装备!G245&amp;"'",装备!G245)</f>
        <v>0</v>
      </c>
      <c r="F189">
        <f>IF(ISTEXT(装备!H245)=TRUE,"'"&amp;装备!H245&amp;"'",装备!H245)</f>
        <v>0</v>
      </c>
      <c r="G189">
        <f>IF(装备!I254="",0,"'"&amp;装备!I254&amp;"'")</f>
        <v>0</v>
      </c>
      <c r="H189">
        <f>IF(装备!R245="",0,装备!R245)</f>
        <v>0</v>
      </c>
      <c r="I189">
        <f>IF(装备!S245="",0,装备!S245)</f>
        <v>0</v>
      </c>
      <c r="J189">
        <f>IF(装备!C254="",0,""""&amp;装备!C254&amp;"""")</f>
        <v>0</v>
      </c>
      <c r="K189" t="str">
        <f>IF(装备!T254="","""""",""""&amp;装备!T254&amp;"""")</f>
        <v>""</v>
      </c>
      <c r="L189">
        <f>IF(装备!U254="",0,""""&amp;装备!U254&amp;"""")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IF(装备!B255="",0,"'"&amp;装备!B255&amp;"'")</f>
        <v>0</v>
      </c>
      <c r="B190">
        <f>装备!D256</f>
        <v>0</v>
      </c>
      <c r="C190">
        <f>装备!E255</f>
        <v>0</v>
      </c>
      <c r="D190">
        <f>装备!F255</f>
        <v>0</v>
      </c>
      <c r="E190">
        <f>IF(ISTEXT(装备!G246)=TRUE,"'"&amp;装备!G246&amp;"'",装备!G246)</f>
        <v>0</v>
      </c>
      <c r="F190">
        <f>IF(ISTEXT(装备!H246)=TRUE,"'"&amp;装备!H246&amp;"'",装备!H246)</f>
        <v>0</v>
      </c>
      <c r="G190">
        <f>IF(装备!I255="",0,"'"&amp;装备!I255&amp;"'")</f>
        <v>0</v>
      </c>
      <c r="H190">
        <f>IF(装备!R246="",0,装备!R246)</f>
        <v>0</v>
      </c>
      <c r="I190">
        <f>IF(装备!S246="",0,装备!S246)</f>
        <v>0</v>
      </c>
      <c r="J190">
        <f>IF(装备!C255="",0,""""&amp;装备!C255&amp;"""")</f>
        <v>0</v>
      </c>
      <c r="K190" t="str">
        <f>IF(装备!T255="","""""",""""&amp;装备!T255&amp;"""")</f>
        <v>""</v>
      </c>
      <c r="L190">
        <f>IF(装备!U255="",0,""""&amp;装备!U255&amp;"""")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IF(装备!B256="",0,"'"&amp;装备!B256&amp;"'")</f>
        <v>0</v>
      </c>
      <c r="B191">
        <f>装备!D257</f>
        <v>0</v>
      </c>
      <c r="C191">
        <f>装备!E256</f>
        <v>0</v>
      </c>
      <c r="D191">
        <f>装备!F256</f>
        <v>0</v>
      </c>
      <c r="E191">
        <f>IF(ISTEXT(装备!G247)=TRUE,"'"&amp;装备!G247&amp;"'",装备!G247)</f>
        <v>0</v>
      </c>
      <c r="F191">
        <f>IF(ISTEXT(装备!H247)=TRUE,"'"&amp;装备!H247&amp;"'",装备!H247)</f>
        <v>0</v>
      </c>
      <c r="G191">
        <f>IF(装备!I256="",0,"'"&amp;装备!I256&amp;"'")</f>
        <v>0</v>
      </c>
      <c r="H191">
        <f>IF(装备!R247="",0,装备!R247)</f>
        <v>0</v>
      </c>
      <c r="I191">
        <f>IF(装备!S247="",0,装备!S247)</f>
        <v>0</v>
      </c>
      <c r="J191">
        <f>IF(装备!C256="",0,""""&amp;装备!C256&amp;"""")</f>
        <v>0</v>
      </c>
      <c r="K191" t="str">
        <f>IF(装备!T256="","""""",""""&amp;装备!T256&amp;"""")</f>
        <v>""</v>
      </c>
      <c r="L191">
        <f>IF(装备!U256="",0,""""&amp;装备!U256&amp;"""")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IF(装备!B257="",0,"'"&amp;装备!B257&amp;"'")</f>
        <v>0</v>
      </c>
      <c r="B192">
        <f>装备!D258</f>
        <v>0</v>
      </c>
      <c r="C192">
        <f>装备!E257</f>
        <v>0</v>
      </c>
      <c r="D192">
        <f>装备!F257</f>
        <v>0</v>
      </c>
      <c r="E192">
        <f>IF(ISTEXT(装备!G248)=TRUE,"'"&amp;装备!G248&amp;"'",装备!G248)</f>
        <v>0</v>
      </c>
      <c r="F192">
        <f>IF(ISTEXT(装备!H248)=TRUE,"'"&amp;装备!H248&amp;"'",装备!H248)</f>
        <v>0</v>
      </c>
      <c r="G192">
        <f>IF(装备!I257="",0,"'"&amp;装备!I257&amp;"'")</f>
        <v>0</v>
      </c>
      <c r="H192">
        <f>IF(装备!R248="",0,装备!R248)</f>
        <v>0</v>
      </c>
      <c r="I192">
        <f>IF(装备!S248="",0,装备!S248)</f>
        <v>0</v>
      </c>
      <c r="J192">
        <f>IF(装备!C257="",0,""""&amp;装备!C257&amp;"""")</f>
        <v>0</v>
      </c>
      <c r="K192" t="str">
        <f>IF(装备!T257="","""""",""""&amp;装备!T257&amp;"""")</f>
        <v>""</v>
      </c>
      <c r="L192">
        <f>IF(装备!U257="",0,""""&amp;装备!U257&amp;"""")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IF(装备!B258="",0,"'"&amp;装备!B258&amp;"'")</f>
        <v>0</v>
      </c>
      <c r="B193">
        <f>装备!D259</f>
        <v>0</v>
      </c>
      <c r="C193">
        <f>装备!E258</f>
        <v>0</v>
      </c>
      <c r="D193">
        <f>装备!F258</f>
        <v>0</v>
      </c>
      <c r="E193">
        <f>IF(ISTEXT(装备!G249)=TRUE,"'"&amp;装备!G249&amp;"'",装备!G249)</f>
        <v>0</v>
      </c>
      <c r="F193">
        <f>IF(ISTEXT(装备!H249)=TRUE,"'"&amp;装备!H249&amp;"'",装备!H249)</f>
        <v>0</v>
      </c>
      <c r="G193">
        <f>IF(装备!I258="",0,"'"&amp;装备!I258&amp;"'")</f>
        <v>0</v>
      </c>
      <c r="H193">
        <f>IF(装备!R249="",0,装备!R249)</f>
        <v>0</v>
      </c>
      <c r="I193">
        <f>IF(装备!S249="",0,装备!S249)</f>
        <v>0</v>
      </c>
      <c r="J193">
        <f>IF(装备!C258="",0,""""&amp;装备!C258&amp;"""")</f>
        <v>0</v>
      </c>
      <c r="K193" t="str">
        <f>IF(装备!T258="","""""",""""&amp;装备!T258&amp;"""")</f>
        <v>""</v>
      </c>
      <c r="L193">
        <f>IF(装备!U258="",0,""""&amp;装备!U258&amp;"""")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IF(装备!B259="",0,"'"&amp;装备!B259&amp;"'")</f>
        <v>0</v>
      </c>
      <c r="B194">
        <f>装备!D260</f>
        <v>0</v>
      </c>
      <c r="C194">
        <f>装备!E259</f>
        <v>0</v>
      </c>
      <c r="D194">
        <f>装备!F259</f>
        <v>0</v>
      </c>
      <c r="E194">
        <f>IF(ISTEXT(装备!G250)=TRUE,"'"&amp;装备!G250&amp;"'",装备!G250)</f>
        <v>0</v>
      </c>
      <c r="F194">
        <f>IF(ISTEXT(装备!H250)=TRUE,"'"&amp;装备!H250&amp;"'",装备!H250)</f>
        <v>0</v>
      </c>
      <c r="G194">
        <f>IF(装备!I259="",0,"'"&amp;装备!I259&amp;"'")</f>
        <v>0</v>
      </c>
      <c r="H194">
        <f>IF(装备!R250="",0,装备!R250)</f>
        <v>0</v>
      </c>
      <c r="I194">
        <f>IF(装备!S250="",0,装备!S250)</f>
        <v>0</v>
      </c>
      <c r="J194">
        <f>IF(装备!C259="",0,""""&amp;装备!C259&amp;"""")</f>
        <v>0</v>
      </c>
      <c r="K194" t="str">
        <f>IF(装备!T259="","""""",""""&amp;装备!T259&amp;"""")</f>
        <v>""</v>
      </c>
      <c r="L194">
        <f>IF(装备!U259="",0,""""&amp;装备!U259&amp;"""")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IF(装备!B260="",0,"'"&amp;装备!B260&amp;"'")</f>
        <v>0</v>
      </c>
      <c r="B195">
        <f>装备!D261</f>
        <v>0</v>
      </c>
      <c r="C195">
        <f>装备!E260</f>
        <v>0</v>
      </c>
      <c r="D195">
        <f>装备!F260</f>
        <v>0</v>
      </c>
      <c r="E195">
        <f>IF(ISTEXT(装备!G251)=TRUE,"'"&amp;装备!G251&amp;"'",装备!G251)</f>
        <v>0</v>
      </c>
      <c r="F195">
        <f>IF(ISTEXT(装备!H251)=TRUE,"'"&amp;装备!H251&amp;"'",装备!H251)</f>
        <v>0</v>
      </c>
      <c r="G195">
        <f>IF(装备!I260="",0,"'"&amp;装备!I260&amp;"'")</f>
        <v>0</v>
      </c>
      <c r="H195">
        <f>IF(装备!R251="",0,装备!R251)</f>
        <v>0</v>
      </c>
      <c r="I195">
        <f>IF(装备!S251="",0,装备!S251)</f>
        <v>0</v>
      </c>
      <c r="J195">
        <f>IF(装备!C260="",0,""""&amp;装备!C260&amp;"""")</f>
        <v>0</v>
      </c>
      <c r="K195" t="str">
        <f>IF(装备!T260="","""""",""""&amp;装备!T260&amp;"""")</f>
        <v>""</v>
      </c>
      <c r="L195">
        <f>IF(装备!U260="",0,""""&amp;装备!U260&amp;"""")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IF(装备!B261="",0,"'"&amp;装备!B261&amp;"'")</f>
        <v>0</v>
      </c>
      <c r="B196">
        <f>装备!D262</f>
        <v>0</v>
      </c>
      <c r="C196">
        <f>装备!E261</f>
        <v>0</v>
      </c>
      <c r="D196">
        <f>装备!F261</f>
        <v>0</v>
      </c>
      <c r="E196">
        <f>IF(ISTEXT(装备!G252)=TRUE,"'"&amp;装备!G252&amp;"'",装备!G252)</f>
        <v>0</v>
      </c>
      <c r="F196">
        <f>IF(ISTEXT(装备!H252)=TRUE,"'"&amp;装备!H252&amp;"'",装备!H252)</f>
        <v>0</v>
      </c>
      <c r="G196">
        <f>IF(装备!I261="",0,"'"&amp;装备!I261&amp;"'")</f>
        <v>0</v>
      </c>
      <c r="H196">
        <f>IF(装备!R252="",0,装备!R252)</f>
        <v>0</v>
      </c>
      <c r="I196">
        <f>IF(装备!S252="",0,装备!S252)</f>
        <v>0</v>
      </c>
      <c r="J196">
        <f>IF(装备!C261="",0,""""&amp;装备!C261&amp;"""")</f>
        <v>0</v>
      </c>
      <c r="K196" t="str">
        <f>IF(装备!T261="","""""",""""&amp;装备!T261&amp;"""")</f>
        <v>""</v>
      </c>
      <c r="L196">
        <f>IF(装备!U261="",0,""""&amp;装备!U261&amp;"""")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IF(装备!B262="",0,"'"&amp;装备!B262&amp;"'")</f>
        <v>0</v>
      </c>
      <c r="B197">
        <f>装备!D263</f>
        <v>0</v>
      </c>
      <c r="C197">
        <f>装备!E262</f>
        <v>0</v>
      </c>
      <c r="D197">
        <f>装备!F262</f>
        <v>0</v>
      </c>
      <c r="E197">
        <f>IF(ISTEXT(装备!G253)=TRUE,"'"&amp;装备!G253&amp;"'",装备!G253)</f>
        <v>0</v>
      </c>
      <c r="F197">
        <f>IF(ISTEXT(装备!H253)=TRUE,"'"&amp;装备!H253&amp;"'",装备!H253)</f>
        <v>0</v>
      </c>
      <c r="G197">
        <f>IF(装备!I262="",0,"'"&amp;装备!I262&amp;"'")</f>
        <v>0</v>
      </c>
      <c r="H197">
        <f>IF(装备!R253="",0,装备!R253)</f>
        <v>0</v>
      </c>
      <c r="I197">
        <f>IF(装备!S253="",0,装备!S253)</f>
        <v>0</v>
      </c>
      <c r="J197">
        <f>IF(装备!C262="",0,""""&amp;装备!C262&amp;"""")</f>
        <v>0</v>
      </c>
      <c r="K197" t="str">
        <f>IF(装备!T262="","""""",""""&amp;装备!T262&amp;"""")</f>
        <v>""</v>
      </c>
      <c r="L197">
        <f>IF(装备!U262="",0,""""&amp;装备!U262&amp;"""")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IF(装备!B263="",0,"'"&amp;装备!B263&amp;"'")</f>
        <v>0</v>
      </c>
      <c r="B198">
        <f>装备!D264</f>
        <v>0</v>
      </c>
      <c r="C198">
        <f>装备!E263</f>
        <v>0</v>
      </c>
      <c r="D198">
        <f>装备!F263</f>
        <v>0</v>
      </c>
      <c r="E198">
        <f>IF(ISTEXT(装备!G254)=TRUE,"'"&amp;装备!G254&amp;"'",装备!G254)</f>
        <v>0</v>
      </c>
      <c r="F198">
        <f>IF(ISTEXT(装备!H254)=TRUE,"'"&amp;装备!H254&amp;"'",装备!H254)</f>
        <v>0</v>
      </c>
      <c r="G198">
        <f>IF(装备!I263="",0,"'"&amp;装备!I263&amp;"'")</f>
        <v>0</v>
      </c>
      <c r="H198">
        <f>IF(装备!R254="",0,装备!R254)</f>
        <v>0</v>
      </c>
      <c r="I198">
        <f>IF(装备!S254="",0,装备!S254)</f>
        <v>0</v>
      </c>
      <c r="J198">
        <f>IF(装备!C263="",0,""""&amp;装备!C263&amp;"""")</f>
        <v>0</v>
      </c>
      <c r="K198" t="str">
        <f>IF(装备!T263="","""""",""""&amp;装备!T263&amp;"""")</f>
        <v>""</v>
      </c>
      <c r="L198">
        <f>IF(装备!U263="",0,""""&amp;装备!U263&amp;"""")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IF(装备!B264="",0,"'"&amp;装备!B264&amp;"'")</f>
        <v>0</v>
      </c>
      <c r="B199">
        <f>装备!D265</f>
        <v>0</v>
      </c>
      <c r="C199">
        <f>装备!E264</f>
        <v>0</v>
      </c>
      <c r="D199">
        <f>装备!F264</f>
        <v>0</v>
      </c>
      <c r="E199">
        <f>IF(ISTEXT(装备!G255)=TRUE,"'"&amp;装备!G255&amp;"'",装备!G255)</f>
        <v>0</v>
      </c>
      <c r="F199">
        <f>IF(ISTEXT(装备!H255)=TRUE,"'"&amp;装备!H255&amp;"'",装备!H255)</f>
        <v>0</v>
      </c>
      <c r="G199">
        <f>IF(装备!I264="",0,"'"&amp;装备!I264&amp;"'")</f>
        <v>0</v>
      </c>
      <c r="H199">
        <f>IF(装备!R255="",0,装备!R255)</f>
        <v>0</v>
      </c>
      <c r="I199">
        <f>IF(装备!S255="",0,装备!S255)</f>
        <v>0</v>
      </c>
      <c r="J199">
        <f>IF(装备!C264="",0,""""&amp;装备!C264&amp;"""")</f>
        <v>0</v>
      </c>
      <c r="K199" t="str">
        <f>IF(装备!T264="","""""",""""&amp;装备!T264&amp;"""")</f>
        <v>""</v>
      </c>
      <c r="L199">
        <f>IF(装备!U264="",0,""""&amp;装备!U264&amp;"""")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IF(装备!B265="",0,"'"&amp;装备!B265&amp;"'")</f>
        <v>0</v>
      </c>
      <c r="B200">
        <f>装备!D266</f>
        <v>0</v>
      </c>
      <c r="C200">
        <f>装备!E265</f>
        <v>0</v>
      </c>
      <c r="D200">
        <f>装备!F265</f>
        <v>0</v>
      </c>
      <c r="E200">
        <f>IF(ISTEXT(装备!G256)=TRUE,"'"&amp;装备!G256&amp;"'",装备!G256)</f>
        <v>0</v>
      </c>
      <c r="F200">
        <f>IF(ISTEXT(装备!H256)=TRUE,"'"&amp;装备!H256&amp;"'",装备!H256)</f>
        <v>0</v>
      </c>
      <c r="G200">
        <f>IF(装备!I265="",0,"'"&amp;装备!I265&amp;"'")</f>
        <v>0</v>
      </c>
      <c r="H200">
        <f>IF(装备!R256="",0,装备!R256)</f>
        <v>0</v>
      </c>
      <c r="I200">
        <f>IF(装备!S256="",0,装备!S256)</f>
        <v>0</v>
      </c>
      <c r="J200">
        <f>IF(装备!C265="",0,""""&amp;装备!C265&amp;"""")</f>
        <v>0</v>
      </c>
      <c r="K200" t="str">
        <f>IF(装备!T265="","""""",""""&amp;装备!T265&amp;"""")</f>
        <v>""</v>
      </c>
      <c r="L200">
        <f>IF(装备!U265="",0,""""&amp;装备!U265&amp;"""")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IF(装备!B266="",0,"'"&amp;装备!B266&amp;"'")</f>
        <v>0</v>
      </c>
      <c r="B201">
        <f>装备!D267</f>
        <v>0</v>
      </c>
      <c r="C201">
        <f>装备!E266</f>
        <v>0</v>
      </c>
      <c r="D201">
        <f>装备!F266</f>
        <v>0</v>
      </c>
      <c r="E201">
        <f>IF(ISTEXT(装备!G257)=TRUE,"'"&amp;装备!G257&amp;"'",装备!G257)</f>
        <v>0</v>
      </c>
      <c r="F201">
        <f>IF(ISTEXT(装备!H257)=TRUE,"'"&amp;装备!H257&amp;"'",装备!H257)</f>
        <v>0</v>
      </c>
      <c r="G201">
        <f>IF(装备!I266="",0,"'"&amp;装备!I266&amp;"'")</f>
        <v>0</v>
      </c>
      <c r="H201">
        <f>IF(装备!R257="",0,装备!R257)</f>
        <v>0</v>
      </c>
      <c r="I201">
        <f>IF(装备!S257="",0,装备!S257)</f>
        <v>0</v>
      </c>
      <c r="J201">
        <f>IF(装备!C266="",0,""""&amp;装备!C266&amp;"""")</f>
        <v>0</v>
      </c>
      <c r="K201" t="str">
        <f>IF(装备!T266="","""""",""""&amp;装备!T266&amp;"""")</f>
        <v>""</v>
      </c>
      <c r="L201">
        <f>IF(装备!U266="",0,""""&amp;装备!U266&amp;"""")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IF(装备!B267="",0,"'"&amp;装备!B267&amp;"'")</f>
        <v>0</v>
      </c>
      <c r="B202">
        <f>装备!D268</f>
        <v>0</v>
      </c>
      <c r="C202">
        <f>装备!E267</f>
        <v>0</v>
      </c>
      <c r="D202">
        <f>装备!F267</f>
        <v>0</v>
      </c>
      <c r="E202">
        <f>IF(ISTEXT(装备!G258)=TRUE,"'"&amp;装备!G258&amp;"'",装备!G258)</f>
        <v>0</v>
      </c>
      <c r="F202">
        <f>IF(ISTEXT(装备!H258)=TRUE,"'"&amp;装备!H258&amp;"'",装备!H258)</f>
        <v>0</v>
      </c>
      <c r="G202">
        <f>IF(装备!I267="",0,"'"&amp;装备!I267&amp;"'")</f>
        <v>0</v>
      </c>
      <c r="H202">
        <f>IF(装备!R258="",0,装备!R258)</f>
        <v>0</v>
      </c>
      <c r="I202">
        <f>IF(装备!S258="",0,装备!S258)</f>
        <v>0</v>
      </c>
      <c r="J202">
        <f>IF(装备!C267="",0,""""&amp;装备!C267&amp;"""")</f>
        <v>0</v>
      </c>
      <c r="K202" t="str">
        <f>IF(装备!T267="","""""",""""&amp;装备!T267&amp;"""")</f>
        <v>""</v>
      </c>
      <c r="L202">
        <f>IF(装备!U267="",0,""""&amp;装备!U267&amp;"""")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IF(装备!B268="",0,"'"&amp;装备!B268&amp;"'")</f>
        <v>0</v>
      </c>
      <c r="B203">
        <f>装备!D269</f>
        <v>0</v>
      </c>
      <c r="C203">
        <f>装备!E268</f>
        <v>0</v>
      </c>
      <c r="D203">
        <f>装备!F268</f>
        <v>0</v>
      </c>
      <c r="E203">
        <f>IF(ISTEXT(装备!G259)=TRUE,"'"&amp;装备!G259&amp;"'",装备!G259)</f>
        <v>0</v>
      </c>
      <c r="F203">
        <f>IF(ISTEXT(装备!H259)=TRUE,"'"&amp;装备!H259&amp;"'",装备!H259)</f>
        <v>0</v>
      </c>
      <c r="G203">
        <f>IF(装备!I268="",0,"'"&amp;装备!I268&amp;"'")</f>
        <v>0</v>
      </c>
      <c r="H203">
        <f>IF(装备!R259="",0,装备!R259)</f>
        <v>0</v>
      </c>
      <c r="I203">
        <f>IF(装备!S259="",0,装备!S259)</f>
        <v>0</v>
      </c>
      <c r="J203">
        <f>IF(装备!C268="",0,""""&amp;装备!C268&amp;"""")</f>
        <v>0</v>
      </c>
      <c r="K203" t="str">
        <f>IF(装备!T268="","""""",""""&amp;装备!T268&amp;"""")</f>
        <v>""</v>
      </c>
      <c r="L203">
        <f>IF(装备!U268="",0,""""&amp;装备!U268&amp;"""")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IF(装备!B269="",0,"'"&amp;装备!B269&amp;"'")</f>
        <v>0</v>
      </c>
      <c r="B204">
        <f>装备!D270</f>
        <v>0</v>
      </c>
      <c r="C204">
        <f>装备!E269</f>
        <v>0</v>
      </c>
      <c r="D204">
        <f>装备!F269</f>
        <v>0</v>
      </c>
      <c r="E204">
        <f>IF(ISTEXT(装备!G260)=TRUE,"'"&amp;装备!G260&amp;"'",装备!G260)</f>
        <v>0</v>
      </c>
      <c r="F204">
        <f>IF(ISTEXT(装备!H260)=TRUE,"'"&amp;装备!H260&amp;"'",装备!H260)</f>
        <v>0</v>
      </c>
      <c r="G204">
        <f>IF(装备!I269="",0,"'"&amp;装备!I269&amp;"'")</f>
        <v>0</v>
      </c>
      <c r="H204">
        <f>IF(装备!R260="",0,装备!R260)</f>
        <v>0</v>
      </c>
      <c r="I204">
        <f>IF(装备!S260="",0,装备!S260)</f>
        <v>0</v>
      </c>
      <c r="J204">
        <f>IF(装备!C269="",0,""""&amp;装备!C269&amp;"""")</f>
        <v>0</v>
      </c>
      <c r="K204" t="str">
        <f>IF(装备!T269="","""""",""""&amp;装备!T269&amp;"""")</f>
        <v>""</v>
      </c>
      <c r="L204">
        <f>IF(装备!U269="",0,""""&amp;装备!U269&amp;"""")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IF(装备!B270="",0,"'"&amp;装备!B270&amp;"'")</f>
        <v>0</v>
      </c>
      <c r="B205">
        <f>装备!D271</f>
        <v>0</v>
      </c>
      <c r="C205">
        <f>装备!E270</f>
        <v>0</v>
      </c>
      <c r="D205">
        <f>装备!F270</f>
        <v>0</v>
      </c>
      <c r="E205">
        <f>IF(ISTEXT(装备!G261)=TRUE,"'"&amp;装备!G261&amp;"'",装备!G261)</f>
        <v>0</v>
      </c>
      <c r="F205">
        <f>IF(ISTEXT(装备!H261)=TRUE,"'"&amp;装备!H261&amp;"'",装备!H261)</f>
        <v>0</v>
      </c>
      <c r="G205">
        <f>IF(装备!I270="",0,"'"&amp;装备!I270&amp;"'")</f>
        <v>0</v>
      </c>
      <c r="H205">
        <f>IF(装备!R261="",0,装备!R261)</f>
        <v>0</v>
      </c>
      <c r="I205">
        <f>IF(装备!S261="",0,装备!S261)</f>
        <v>0</v>
      </c>
      <c r="J205">
        <f>IF(装备!C270="",0,""""&amp;装备!C270&amp;"""")</f>
        <v>0</v>
      </c>
      <c r="K205" t="str">
        <f>IF(装备!T270="","""""",""""&amp;装备!T270&amp;"""")</f>
        <v>""</v>
      </c>
      <c r="L205">
        <f>IF(装备!U270="",0,""""&amp;装备!U270&amp;"""")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IF(装备!B271="",0,"'"&amp;装备!B271&amp;"'")</f>
        <v>0</v>
      </c>
      <c r="B206">
        <f>装备!D272</f>
        <v>0</v>
      </c>
      <c r="C206">
        <f>装备!E271</f>
        <v>0</v>
      </c>
      <c r="D206">
        <f>装备!F271</f>
        <v>0</v>
      </c>
      <c r="E206">
        <f>IF(ISTEXT(装备!G262)=TRUE,"'"&amp;装备!G262&amp;"'",装备!G262)</f>
        <v>0</v>
      </c>
      <c r="F206">
        <f>IF(ISTEXT(装备!H262)=TRUE,"'"&amp;装备!H262&amp;"'",装备!H262)</f>
        <v>0</v>
      </c>
      <c r="G206">
        <f>IF(装备!I271="",0,"'"&amp;装备!I271&amp;"'")</f>
        <v>0</v>
      </c>
      <c r="H206">
        <f>IF(装备!R262="",0,装备!R262)</f>
        <v>0</v>
      </c>
      <c r="I206">
        <f>IF(装备!S262="",0,装备!S262)</f>
        <v>0</v>
      </c>
      <c r="J206">
        <f>IF(装备!C271="",0,""""&amp;装备!C271&amp;"""")</f>
        <v>0</v>
      </c>
      <c r="K206" t="str">
        <f>IF(装备!T271="","""""",""""&amp;装备!T271&amp;"""")</f>
        <v>""</v>
      </c>
      <c r="L206">
        <f>IF(装备!U271="",0,""""&amp;装备!U271&amp;"""")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IF(装备!B272="",0,"'"&amp;装备!B272&amp;"'")</f>
        <v>0</v>
      </c>
      <c r="B207">
        <f>装备!D273</f>
        <v>0</v>
      </c>
      <c r="C207">
        <f>装备!E272</f>
        <v>0</v>
      </c>
      <c r="D207">
        <f>装备!F272</f>
        <v>0</v>
      </c>
      <c r="E207">
        <f>IF(ISTEXT(装备!G263)=TRUE,"'"&amp;装备!G263&amp;"'",装备!G263)</f>
        <v>0</v>
      </c>
      <c r="F207">
        <f>IF(ISTEXT(装备!H263)=TRUE,"'"&amp;装备!H263&amp;"'",装备!H263)</f>
        <v>0</v>
      </c>
      <c r="G207">
        <f>IF(装备!I272="",0,"'"&amp;装备!I272&amp;"'")</f>
        <v>0</v>
      </c>
      <c r="H207">
        <f>IF(装备!R263="",0,装备!R263)</f>
        <v>0</v>
      </c>
      <c r="I207">
        <f>IF(装备!S263="",0,装备!S263)</f>
        <v>0</v>
      </c>
      <c r="J207">
        <f>IF(装备!C272="",0,""""&amp;装备!C272&amp;"""")</f>
        <v>0</v>
      </c>
      <c r="K207" t="str">
        <f>IF(装备!T272="","""""",""""&amp;装备!T272&amp;"""")</f>
        <v>""</v>
      </c>
      <c r="L207">
        <f>IF(装备!U272="",0,""""&amp;装备!U272&amp;"""")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IF(装备!B273="",0,"'"&amp;装备!B273&amp;"'")</f>
        <v>0</v>
      </c>
      <c r="B208">
        <f>装备!D274</f>
        <v>0</v>
      </c>
      <c r="C208">
        <f>装备!E273</f>
        <v>0</v>
      </c>
      <c r="D208">
        <f>装备!F273</f>
        <v>0</v>
      </c>
      <c r="E208">
        <f>IF(ISTEXT(装备!G264)=TRUE,"'"&amp;装备!G264&amp;"'",装备!G264)</f>
        <v>0</v>
      </c>
      <c r="F208">
        <f>IF(ISTEXT(装备!H264)=TRUE,"'"&amp;装备!H264&amp;"'",装备!H264)</f>
        <v>0</v>
      </c>
      <c r="G208">
        <f>IF(装备!I273="",0,"'"&amp;装备!I273&amp;"'")</f>
        <v>0</v>
      </c>
      <c r="H208">
        <f>IF(装备!R264="",0,装备!R264)</f>
        <v>0</v>
      </c>
      <c r="I208">
        <f>IF(装备!S264="",0,装备!S264)</f>
        <v>0</v>
      </c>
      <c r="J208">
        <f>IF(装备!C273="",0,""""&amp;装备!C273&amp;"""")</f>
        <v>0</v>
      </c>
      <c r="K208" t="str">
        <f>IF(装备!T273="","""""",""""&amp;装备!T273&amp;"""")</f>
        <v>""</v>
      </c>
      <c r="L208">
        <f>IF(装备!U273="",0,""""&amp;装备!U273&amp;"""")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IF(装备!B274="",0,"'"&amp;装备!B274&amp;"'")</f>
        <v>0</v>
      </c>
      <c r="B209">
        <f>装备!D275</f>
        <v>0</v>
      </c>
      <c r="C209">
        <f>装备!E274</f>
        <v>0</v>
      </c>
      <c r="D209">
        <f>装备!F274</f>
        <v>0</v>
      </c>
      <c r="E209">
        <f>IF(ISTEXT(装备!G265)=TRUE,"'"&amp;装备!G265&amp;"'",装备!G265)</f>
        <v>0</v>
      </c>
      <c r="F209">
        <f>IF(ISTEXT(装备!H265)=TRUE,"'"&amp;装备!H265&amp;"'",装备!H265)</f>
        <v>0</v>
      </c>
      <c r="G209">
        <f>IF(装备!I274="",0,"'"&amp;装备!I274&amp;"'")</f>
        <v>0</v>
      </c>
      <c r="H209">
        <f>IF(装备!R265="",0,装备!R265)</f>
        <v>0</v>
      </c>
      <c r="I209">
        <f>IF(装备!S265="",0,装备!S265)</f>
        <v>0</v>
      </c>
      <c r="J209">
        <f>IF(装备!C274="",0,""""&amp;装备!C274&amp;"""")</f>
        <v>0</v>
      </c>
      <c r="K209" t="str">
        <f>IF(装备!T274="","""""",""""&amp;装备!T274&amp;"""")</f>
        <v>""</v>
      </c>
      <c r="L209">
        <f>IF(装备!U274="",0,""""&amp;装备!U274&amp;"""")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IF(装备!B275="",0,"'"&amp;装备!B275&amp;"'")</f>
        <v>0</v>
      </c>
      <c r="B210">
        <f>装备!D276</f>
        <v>0</v>
      </c>
      <c r="C210">
        <f>装备!E275</f>
        <v>0</v>
      </c>
      <c r="D210">
        <f>装备!F275</f>
        <v>0</v>
      </c>
      <c r="E210">
        <f>IF(ISTEXT(装备!G266)=TRUE,"'"&amp;装备!G266&amp;"'",装备!G266)</f>
        <v>0</v>
      </c>
      <c r="F210">
        <f>IF(ISTEXT(装备!H266)=TRUE,"'"&amp;装备!H266&amp;"'",装备!H266)</f>
        <v>0</v>
      </c>
      <c r="G210">
        <f>IF(装备!I275="",0,"'"&amp;装备!I275&amp;"'")</f>
        <v>0</v>
      </c>
      <c r="H210">
        <f>IF(装备!R266="",0,装备!R266)</f>
        <v>0</v>
      </c>
      <c r="I210">
        <f>IF(装备!S266="",0,装备!S266)</f>
        <v>0</v>
      </c>
      <c r="J210">
        <f>IF(装备!C275="",0,""""&amp;装备!C275&amp;"""")</f>
        <v>0</v>
      </c>
      <c r="K210" t="str">
        <f>IF(装备!T275="","""""",""""&amp;装备!T275&amp;"""")</f>
        <v>""</v>
      </c>
      <c r="L210">
        <f>IF(装备!U275="",0,""""&amp;装备!U275&amp;"""")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IF(装备!B276="",0,"'"&amp;装备!B276&amp;"'")</f>
        <v>0</v>
      </c>
      <c r="B211">
        <f>装备!D277</f>
        <v>0</v>
      </c>
      <c r="C211">
        <f>装备!E276</f>
        <v>0</v>
      </c>
      <c r="D211">
        <f>装备!F276</f>
        <v>0</v>
      </c>
      <c r="E211">
        <f>IF(ISTEXT(装备!G267)=TRUE,"'"&amp;装备!G267&amp;"'",装备!G267)</f>
        <v>0</v>
      </c>
      <c r="F211">
        <f>IF(ISTEXT(装备!H267)=TRUE,"'"&amp;装备!H267&amp;"'",装备!H267)</f>
        <v>0</v>
      </c>
      <c r="G211">
        <f>IF(装备!I276="",0,"'"&amp;装备!I276&amp;"'")</f>
        <v>0</v>
      </c>
      <c r="H211">
        <f>IF(装备!R267="",0,装备!R267)</f>
        <v>0</v>
      </c>
      <c r="I211">
        <f>IF(装备!S267="",0,装备!S267)</f>
        <v>0</v>
      </c>
      <c r="J211">
        <f>IF(装备!C276="",0,""""&amp;装备!C276&amp;"""")</f>
        <v>0</v>
      </c>
      <c r="K211" t="str">
        <f>IF(装备!T276="","""""",""""&amp;装备!T276&amp;"""")</f>
        <v>""</v>
      </c>
      <c r="L211">
        <f>IF(装备!U276="",0,""""&amp;装备!U276&amp;"""")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IF(装备!B277="",0,"'"&amp;装备!B277&amp;"'")</f>
        <v>0</v>
      </c>
      <c r="B212">
        <f>装备!D278</f>
        <v>0</v>
      </c>
      <c r="C212">
        <f>装备!E277</f>
        <v>0</v>
      </c>
      <c r="D212">
        <f>装备!F277</f>
        <v>0</v>
      </c>
      <c r="E212">
        <f>IF(ISTEXT(装备!G268)=TRUE,"'"&amp;装备!G268&amp;"'",装备!G268)</f>
        <v>0</v>
      </c>
      <c r="F212">
        <f>IF(ISTEXT(装备!H268)=TRUE,"'"&amp;装备!H268&amp;"'",装备!H268)</f>
        <v>0</v>
      </c>
      <c r="G212">
        <f>IF(装备!I277="",0,"'"&amp;装备!I277&amp;"'")</f>
        <v>0</v>
      </c>
      <c r="H212">
        <f>IF(装备!R268="",0,装备!R268)</f>
        <v>0</v>
      </c>
      <c r="I212">
        <f>IF(装备!S268="",0,装备!S268)</f>
        <v>0</v>
      </c>
      <c r="J212">
        <f>IF(装备!C277="",0,""""&amp;装备!C277&amp;"""")</f>
        <v>0</v>
      </c>
      <c r="K212" t="str">
        <f>IF(装备!T277="","""""",""""&amp;装备!T277&amp;"""")</f>
        <v>""</v>
      </c>
      <c r="L212">
        <f>IF(装备!U277="",0,""""&amp;装备!U277&amp;"""")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IF(装备!B278="",0,"'"&amp;装备!B278&amp;"'")</f>
        <v>0</v>
      </c>
      <c r="B213">
        <f>装备!D279</f>
        <v>0</v>
      </c>
      <c r="C213">
        <f>装备!E278</f>
        <v>0</v>
      </c>
      <c r="D213">
        <f>装备!F278</f>
        <v>0</v>
      </c>
      <c r="E213">
        <f>IF(ISTEXT(装备!G269)=TRUE,"'"&amp;装备!G269&amp;"'",装备!G269)</f>
        <v>0</v>
      </c>
      <c r="F213">
        <f>IF(ISTEXT(装备!H269)=TRUE,"'"&amp;装备!H269&amp;"'",装备!H269)</f>
        <v>0</v>
      </c>
      <c r="G213">
        <f>IF(装备!I278="",0,"'"&amp;装备!I278&amp;"'")</f>
        <v>0</v>
      </c>
      <c r="H213">
        <f>IF(装备!R269="",0,装备!R269)</f>
        <v>0</v>
      </c>
      <c r="I213">
        <f>IF(装备!S269="",0,装备!S269)</f>
        <v>0</v>
      </c>
      <c r="J213">
        <f>IF(装备!C278="",0,""""&amp;装备!C278&amp;"""")</f>
        <v>0</v>
      </c>
      <c r="K213" t="str">
        <f>IF(装备!T278="","""""",""""&amp;装备!T278&amp;"""")</f>
        <v>""</v>
      </c>
      <c r="L213">
        <f>IF(装备!U278="",0,""""&amp;装备!U278&amp;"""")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IF(装备!B279="",0,"'"&amp;装备!B279&amp;"'")</f>
        <v>0</v>
      </c>
      <c r="B214">
        <f>装备!D280</f>
        <v>0</v>
      </c>
      <c r="C214">
        <f>装备!E279</f>
        <v>0</v>
      </c>
      <c r="D214">
        <f>装备!F279</f>
        <v>0</v>
      </c>
      <c r="E214">
        <f>IF(ISTEXT(装备!G270)=TRUE,"'"&amp;装备!G270&amp;"'",装备!G270)</f>
        <v>0</v>
      </c>
      <c r="F214">
        <f>IF(ISTEXT(装备!H270)=TRUE,"'"&amp;装备!H270&amp;"'",装备!H270)</f>
        <v>0</v>
      </c>
      <c r="G214">
        <f>IF(装备!I279="",0,"'"&amp;装备!I279&amp;"'")</f>
        <v>0</v>
      </c>
      <c r="H214">
        <f>IF(装备!R270="",0,装备!R270)</f>
        <v>0</v>
      </c>
      <c r="I214">
        <f>IF(装备!S270="",0,装备!S270)</f>
        <v>0</v>
      </c>
      <c r="J214">
        <f>IF(装备!C279="",0,""""&amp;装备!C279&amp;"""")</f>
        <v>0</v>
      </c>
      <c r="K214" t="str">
        <f>IF(装备!T279="","""""",""""&amp;装备!T279&amp;"""")</f>
        <v>""</v>
      </c>
      <c r="L214">
        <f>IF(装备!U279="",0,""""&amp;装备!U279&amp;"""")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IF(装备!B280="",0,"'"&amp;装备!B280&amp;"'")</f>
        <v>0</v>
      </c>
      <c r="B215">
        <f>装备!D281</f>
        <v>0</v>
      </c>
      <c r="C215">
        <f>装备!E280</f>
        <v>0</v>
      </c>
      <c r="D215">
        <f>装备!F280</f>
        <v>0</v>
      </c>
      <c r="E215">
        <f>IF(ISTEXT(装备!G271)=TRUE,"'"&amp;装备!G271&amp;"'",装备!G271)</f>
        <v>0</v>
      </c>
      <c r="F215">
        <f>IF(ISTEXT(装备!H271)=TRUE,"'"&amp;装备!H271&amp;"'",装备!H271)</f>
        <v>0</v>
      </c>
      <c r="G215">
        <f>IF(装备!I280="",0,"'"&amp;装备!I280&amp;"'")</f>
        <v>0</v>
      </c>
      <c r="H215">
        <f>IF(装备!R271="",0,装备!R271)</f>
        <v>0</v>
      </c>
      <c r="I215">
        <f>IF(装备!S271="",0,装备!S271)</f>
        <v>0</v>
      </c>
      <c r="J215">
        <f>IF(装备!C280="",0,""""&amp;装备!C280&amp;"""")</f>
        <v>0</v>
      </c>
      <c r="K215" t="str">
        <f>IF(装备!T280="","""""",""""&amp;装备!T280&amp;"""")</f>
        <v>""</v>
      </c>
      <c r="L215">
        <f>IF(装备!U280="",0,""""&amp;装备!U280&amp;"""")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IF(装备!B281="",0,"'"&amp;装备!B281&amp;"'")</f>
        <v>0</v>
      </c>
      <c r="B216">
        <f>装备!D282</f>
        <v>0</v>
      </c>
      <c r="C216">
        <f>装备!E281</f>
        <v>0</v>
      </c>
      <c r="D216">
        <f>装备!F281</f>
        <v>0</v>
      </c>
      <c r="E216">
        <f>IF(ISTEXT(装备!G272)=TRUE,"'"&amp;装备!G272&amp;"'",装备!G272)</f>
        <v>0</v>
      </c>
      <c r="F216">
        <f>IF(ISTEXT(装备!H272)=TRUE,"'"&amp;装备!H272&amp;"'",装备!H272)</f>
        <v>0</v>
      </c>
      <c r="G216">
        <f>IF(装备!I281="",0,"'"&amp;装备!I281&amp;"'")</f>
        <v>0</v>
      </c>
      <c r="H216">
        <f>IF(装备!R272="",0,装备!R272)</f>
        <v>0</v>
      </c>
      <c r="I216">
        <f>IF(装备!S272="",0,装备!S272)</f>
        <v>0</v>
      </c>
      <c r="J216">
        <f>IF(装备!C281="",0,""""&amp;装备!C281&amp;"""")</f>
        <v>0</v>
      </c>
      <c r="K216" t="str">
        <f>IF(装备!T281="","""""",""""&amp;装备!T281&amp;"""")</f>
        <v>""</v>
      </c>
      <c r="L216">
        <f>IF(装备!U281="",0,""""&amp;装备!U281&amp;"""")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IF(装备!B282="",0,"'"&amp;装备!B282&amp;"'")</f>
        <v>0</v>
      </c>
      <c r="B217">
        <f>装备!D283</f>
        <v>0</v>
      </c>
      <c r="C217">
        <f>装备!E282</f>
        <v>0</v>
      </c>
      <c r="D217">
        <f>装备!F282</f>
        <v>0</v>
      </c>
      <c r="E217">
        <f>IF(ISTEXT(装备!G273)=TRUE,"'"&amp;装备!G273&amp;"'",装备!G273)</f>
        <v>0</v>
      </c>
      <c r="F217">
        <f>IF(ISTEXT(装备!H273)=TRUE,"'"&amp;装备!H273&amp;"'",装备!H273)</f>
        <v>0</v>
      </c>
      <c r="G217">
        <f>IF(装备!I282="",0,"'"&amp;装备!I282&amp;"'")</f>
        <v>0</v>
      </c>
      <c r="H217">
        <f>IF(装备!R273="",0,装备!R273)</f>
        <v>0</v>
      </c>
      <c r="I217">
        <f>IF(装备!S273="",0,装备!S273)</f>
        <v>0</v>
      </c>
      <c r="J217">
        <f>IF(装备!C282="",0,""""&amp;装备!C282&amp;"""")</f>
        <v>0</v>
      </c>
      <c r="K217" t="str">
        <f>IF(装备!T282="","""""",""""&amp;装备!T282&amp;"""")</f>
        <v>""</v>
      </c>
      <c r="L217">
        <f>IF(装备!U282="",0,""""&amp;装备!U282&amp;"""")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IF(装备!B283="",0,"'"&amp;装备!B283&amp;"'")</f>
        <v>0</v>
      </c>
      <c r="B218">
        <f>装备!D284</f>
        <v>0</v>
      </c>
      <c r="C218">
        <f>装备!E283</f>
        <v>0</v>
      </c>
      <c r="D218">
        <f>装备!F283</f>
        <v>0</v>
      </c>
      <c r="E218">
        <f>IF(ISTEXT(装备!G274)=TRUE,"'"&amp;装备!G274&amp;"'",装备!G274)</f>
        <v>0</v>
      </c>
      <c r="F218">
        <f>IF(ISTEXT(装备!H274)=TRUE,"'"&amp;装备!H274&amp;"'",装备!H274)</f>
        <v>0</v>
      </c>
      <c r="G218">
        <f>IF(装备!I283="",0,"'"&amp;装备!I283&amp;"'")</f>
        <v>0</v>
      </c>
      <c r="H218">
        <f>IF(装备!R274="",0,装备!R274)</f>
        <v>0</v>
      </c>
      <c r="I218">
        <f>IF(装备!S274="",0,装备!S274)</f>
        <v>0</v>
      </c>
      <c r="J218">
        <f>IF(装备!C283="",0,""""&amp;装备!C283&amp;"""")</f>
        <v>0</v>
      </c>
      <c r="K218" t="str">
        <f>IF(装备!T283="","""""",""""&amp;装备!T283&amp;"""")</f>
        <v>""</v>
      </c>
      <c r="L218">
        <f>IF(装备!U283="",0,""""&amp;装备!U283&amp;"""")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IF(装备!B284="",0,"'"&amp;装备!B284&amp;"'")</f>
        <v>0</v>
      </c>
      <c r="B219">
        <f>装备!D285</f>
        <v>0</v>
      </c>
      <c r="C219">
        <f>装备!E284</f>
        <v>0</v>
      </c>
      <c r="D219">
        <f>装备!F284</f>
        <v>0</v>
      </c>
      <c r="E219">
        <f>IF(ISTEXT(装备!G275)=TRUE,"'"&amp;装备!G275&amp;"'",装备!G275)</f>
        <v>0</v>
      </c>
      <c r="F219">
        <f>IF(ISTEXT(装备!H275)=TRUE,"'"&amp;装备!H275&amp;"'",装备!H275)</f>
        <v>0</v>
      </c>
      <c r="G219">
        <f>IF(装备!I284="",0,"'"&amp;装备!I284&amp;"'")</f>
        <v>0</v>
      </c>
      <c r="H219">
        <f>IF(装备!R275="",0,装备!R275)</f>
        <v>0</v>
      </c>
      <c r="I219">
        <f>IF(装备!S275="",0,装备!S275)</f>
        <v>0</v>
      </c>
      <c r="J219">
        <f>IF(装备!C284="",0,""""&amp;装备!C284&amp;"""")</f>
        <v>0</v>
      </c>
      <c r="K219" t="str">
        <f>IF(装备!T284="","""""",""""&amp;装备!T284&amp;"""")</f>
        <v>""</v>
      </c>
      <c r="L219">
        <f>IF(装备!U284="",0,""""&amp;装备!U284&amp;"""")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IF(装备!B285="",0,"'"&amp;装备!B285&amp;"'")</f>
        <v>0</v>
      </c>
      <c r="B220">
        <f>装备!D286</f>
        <v>0</v>
      </c>
      <c r="C220">
        <f>装备!E285</f>
        <v>0</v>
      </c>
      <c r="D220">
        <f>装备!F285</f>
        <v>0</v>
      </c>
      <c r="E220">
        <f>IF(ISTEXT(装备!G276)=TRUE,"'"&amp;装备!G276&amp;"'",装备!G276)</f>
        <v>0</v>
      </c>
      <c r="F220">
        <f>IF(ISTEXT(装备!H276)=TRUE,"'"&amp;装备!H276&amp;"'",装备!H276)</f>
        <v>0</v>
      </c>
      <c r="G220">
        <f>IF(装备!I285="",0,"'"&amp;装备!I285&amp;"'")</f>
        <v>0</v>
      </c>
      <c r="H220">
        <f>IF(装备!R276="",0,装备!R276)</f>
        <v>0</v>
      </c>
      <c r="I220">
        <f>IF(装备!S276="",0,装备!S276)</f>
        <v>0</v>
      </c>
      <c r="J220">
        <f>IF(装备!C285="",0,""""&amp;装备!C285&amp;"""")</f>
        <v>0</v>
      </c>
      <c r="K220" t="str">
        <f>IF(装备!T285="","""""",""""&amp;装备!T285&amp;"""")</f>
        <v>""</v>
      </c>
      <c r="L220">
        <f>IF(装备!U285="",0,""""&amp;装备!U285&amp;"""")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IF(装备!B286="",0,"'"&amp;装备!B286&amp;"'")</f>
        <v>0</v>
      </c>
      <c r="B221">
        <f>装备!D287</f>
        <v>0</v>
      </c>
      <c r="C221">
        <f>装备!E286</f>
        <v>0</v>
      </c>
      <c r="D221">
        <f>装备!F286</f>
        <v>0</v>
      </c>
      <c r="E221">
        <f>IF(ISTEXT(装备!G277)=TRUE,"'"&amp;装备!G277&amp;"'",装备!G277)</f>
        <v>0</v>
      </c>
      <c r="F221">
        <f>IF(ISTEXT(装备!H277)=TRUE,"'"&amp;装备!H277&amp;"'",装备!H277)</f>
        <v>0</v>
      </c>
      <c r="G221">
        <f>IF(装备!I286="",0,"'"&amp;装备!I286&amp;"'")</f>
        <v>0</v>
      </c>
      <c r="H221">
        <f>IF(装备!R277="",0,装备!R277)</f>
        <v>0</v>
      </c>
      <c r="I221">
        <f>IF(装备!S277="",0,装备!S277)</f>
        <v>0</v>
      </c>
      <c r="J221">
        <f>IF(装备!C286="",0,""""&amp;装备!C286&amp;"""")</f>
        <v>0</v>
      </c>
      <c r="K221" t="str">
        <f>IF(装备!T286="","""""",""""&amp;装备!T286&amp;"""")</f>
        <v>""</v>
      </c>
      <c r="L221">
        <f>IF(装备!U286="",0,""""&amp;装备!U286&amp;"""")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IF(装备!B287="",0,"'"&amp;装备!B287&amp;"'")</f>
        <v>0</v>
      </c>
      <c r="B222">
        <f>装备!D288</f>
        <v>0</v>
      </c>
      <c r="C222">
        <f>装备!E287</f>
        <v>0</v>
      </c>
      <c r="D222">
        <f>装备!F287</f>
        <v>0</v>
      </c>
      <c r="E222">
        <f>IF(ISTEXT(装备!G278)=TRUE,"'"&amp;装备!G278&amp;"'",装备!G278)</f>
        <v>0</v>
      </c>
      <c r="F222">
        <f>IF(ISTEXT(装备!H278)=TRUE,"'"&amp;装备!H278&amp;"'",装备!H278)</f>
        <v>0</v>
      </c>
      <c r="G222">
        <f>IF(装备!I287="",0,"'"&amp;装备!I287&amp;"'")</f>
        <v>0</v>
      </c>
      <c r="H222">
        <f>IF(装备!R278="",0,装备!R278)</f>
        <v>0</v>
      </c>
      <c r="I222">
        <f>IF(装备!S278="",0,装备!S278)</f>
        <v>0</v>
      </c>
      <c r="J222">
        <f>IF(装备!C287="",0,""""&amp;装备!C287&amp;"""")</f>
        <v>0</v>
      </c>
      <c r="K222" t="str">
        <f>IF(装备!T287="","""""",""""&amp;装备!T287&amp;"""")</f>
        <v>""</v>
      </c>
      <c r="L222">
        <f>IF(装备!U287="",0,""""&amp;装备!U287&amp;"""")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IF(装备!B288="",0,"'"&amp;装备!B288&amp;"'")</f>
        <v>0</v>
      </c>
      <c r="B223">
        <f>装备!D289</f>
        <v>0</v>
      </c>
      <c r="C223">
        <f>装备!E288</f>
        <v>0</v>
      </c>
      <c r="D223">
        <f>装备!F288</f>
        <v>0</v>
      </c>
      <c r="E223">
        <f>IF(ISTEXT(装备!G279)=TRUE,"'"&amp;装备!G279&amp;"'",装备!G279)</f>
        <v>0</v>
      </c>
      <c r="F223">
        <f>IF(ISTEXT(装备!H279)=TRUE,"'"&amp;装备!H279&amp;"'",装备!H279)</f>
        <v>0</v>
      </c>
      <c r="G223">
        <f>IF(装备!I288="",0,"'"&amp;装备!I288&amp;"'")</f>
        <v>0</v>
      </c>
      <c r="H223">
        <f>IF(装备!R279="",0,装备!R279)</f>
        <v>0</v>
      </c>
      <c r="I223">
        <f>IF(装备!S279="",0,装备!S279)</f>
        <v>0</v>
      </c>
      <c r="J223">
        <f>IF(装备!C288="",0,""""&amp;装备!C288&amp;"""")</f>
        <v>0</v>
      </c>
      <c r="K223" t="str">
        <f>IF(装备!T288="","""""",""""&amp;装备!T288&amp;"""")</f>
        <v>""</v>
      </c>
      <c r="L223">
        <f>IF(装备!U288="",0,""""&amp;装备!U288&amp;"""")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IF(装备!B289="",0,"'"&amp;装备!B289&amp;"'")</f>
        <v>0</v>
      </c>
      <c r="B224">
        <f>装备!D290</f>
        <v>0</v>
      </c>
      <c r="C224">
        <f>装备!E289</f>
        <v>0</v>
      </c>
      <c r="D224">
        <f>装备!F289</f>
        <v>0</v>
      </c>
      <c r="E224">
        <f>IF(ISTEXT(装备!G280)=TRUE,"'"&amp;装备!G280&amp;"'",装备!G280)</f>
        <v>0</v>
      </c>
      <c r="F224">
        <f>IF(ISTEXT(装备!H280)=TRUE,"'"&amp;装备!H280&amp;"'",装备!H280)</f>
        <v>0</v>
      </c>
      <c r="G224">
        <f>IF(装备!I289="",0,"'"&amp;装备!I289&amp;"'")</f>
        <v>0</v>
      </c>
      <c r="H224">
        <f>IF(装备!R280="",0,装备!R280)</f>
        <v>0</v>
      </c>
      <c r="I224">
        <f>IF(装备!S280="",0,装备!S280)</f>
        <v>0</v>
      </c>
      <c r="J224">
        <f>IF(装备!C289="",0,""""&amp;装备!C289&amp;"""")</f>
        <v>0</v>
      </c>
      <c r="K224" t="str">
        <f>IF(装备!T289="","""""",""""&amp;装备!T289&amp;"""")</f>
        <v>""</v>
      </c>
      <c r="L224">
        <f>IF(装备!U289="",0,""""&amp;装备!U289&amp;"""")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IF(装备!B290="",0,"'"&amp;装备!B290&amp;"'")</f>
        <v>0</v>
      </c>
      <c r="B225">
        <f>装备!D291</f>
        <v>0</v>
      </c>
      <c r="C225">
        <f>装备!E290</f>
        <v>0</v>
      </c>
      <c r="D225">
        <f>装备!F290</f>
        <v>0</v>
      </c>
      <c r="E225">
        <f>IF(ISTEXT(装备!G281)=TRUE,"'"&amp;装备!G281&amp;"'",装备!G281)</f>
        <v>0</v>
      </c>
      <c r="F225">
        <f>IF(ISTEXT(装备!H281)=TRUE,"'"&amp;装备!H281&amp;"'",装备!H281)</f>
        <v>0</v>
      </c>
      <c r="G225">
        <f>IF(装备!I290="",0,"'"&amp;装备!I290&amp;"'")</f>
        <v>0</v>
      </c>
      <c r="H225">
        <f>IF(装备!R281="",0,装备!R281)</f>
        <v>0</v>
      </c>
      <c r="I225">
        <f>IF(装备!S281="",0,装备!S281)</f>
        <v>0</v>
      </c>
      <c r="J225">
        <f>IF(装备!C290="",0,""""&amp;装备!C290&amp;"""")</f>
        <v>0</v>
      </c>
      <c r="K225" t="str">
        <f>IF(装备!T290="","""""",""""&amp;装备!T290&amp;"""")</f>
        <v>""</v>
      </c>
      <c r="L225">
        <f>IF(装备!U290="",0,""""&amp;装备!U290&amp;"""")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2020-01-13T02:54:32Z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